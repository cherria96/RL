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stechackr-my.sharepoint.com/personal/sujineeda_postech_ac_kr/Documents/연구/졸업/실규모 데이터/"/>
    </mc:Choice>
  </mc:AlternateContent>
  <xr:revisionPtr revIDLastSave="1" documentId="8_{35BA8A47-1B9A-4ABF-854F-1C8847AD5351}" xr6:coauthVersionLast="36" xr6:coauthVersionMax="36" xr10:uidLastSave="{A268EF3B-A5C1-4DB0-8836-A3F78758CD27}"/>
  <bookViews>
    <workbookView xWindow="0" yWindow="0" windowWidth="28800" windowHeight="11850" xr2:uid="{19FB31D3-17F2-4F31-ABD3-2354D6EAF20C}"/>
  </bookViews>
  <sheets>
    <sheet name="2020년" sheetId="2" r:id="rId1"/>
    <sheet name="2021년" sheetId="3" r:id="rId2"/>
    <sheet name="2022년" sheetId="4" r:id="rId3"/>
    <sheet name="2023년" sheetId="5" r:id="rId4"/>
    <sheet name="2024년" sheetId="6" r:id="rId5"/>
  </sheets>
  <definedNames>
    <definedName name="_xlnm.Print_Area" localSheetId="0">'2020년'!$A$1:$BL$431</definedName>
    <definedName name="_xlnm.Print_Area" localSheetId="1">'2021년'!$A$1:$BL$431</definedName>
    <definedName name="_xlnm.Print_Area" localSheetId="2">'2022년'!$A$1:$BL$431</definedName>
    <definedName name="_xlnm.Print_Area" localSheetId="3">'2023년'!$A$1:$BL$431</definedName>
    <definedName name="_xlnm.Print_Area" localSheetId="4">'2024년'!$A$1:$BL$431</definedName>
    <definedName name="_xlnm.Print_Titles" localSheetId="0">'2020년'!$1:$16</definedName>
    <definedName name="_xlnm.Print_Titles" localSheetId="1">'2021년'!$1:$16</definedName>
    <definedName name="_xlnm.Print_Titles" localSheetId="2">'2022년'!$1:$16</definedName>
    <definedName name="_xlnm.Print_Titles" localSheetId="3">'2023년'!$1:$16</definedName>
    <definedName name="_xlnm.Print_Titles" localSheetId="4">'2024년'!$1:$16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8" i="2" l="1"/>
  <c r="AL8" i="2"/>
  <c r="X9" i="2"/>
  <c r="AJ9" i="2"/>
  <c r="J10" i="2"/>
  <c r="F48" i="2"/>
  <c r="F8" i="2" s="1"/>
  <c r="G48" i="2"/>
  <c r="H48" i="2"/>
  <c r="H8" i="2" s="1"/>
  <c r="I48" i="2"/>
  <c r="I9" i="2" s="1"/>
  <c r="J48" i="2"/>
  <c r="J8" i="2" s="1"/>
  <c r="K48" i="2"/>
  <c r="K10" i="2" s="1"/>
  <c r="F49" i="2"/>
  <c r="G49" i="2"/>
  <c r="H49" i="2"/>
  <c r="I49" i="2"/>
  <c r="J49" i="2"/>
  <c r="J9" i="2" s="1"/>
  <c r="K49" i="2"/>
  <c r="F50" i="2"/>
  <c r="G50" i="2"/>
  <c r="H50" i="2"/>
  <c r="I50" i="2"/>
  <c r="J50" i="2"/>
  <c r="K50" i="2"/>
  <c r="F81" i="2"/>
  <c r="G81" i="2"/>
  <c r="H81" i="2"/>
  <c r="I81" i="2"/>
  <c r="J81" i="2"/>
  <c r="K81" i="2"/>
  <c r="F82" i="2"/>
  <c r="G82" i="2"/>
  <c r="H82" i="2"/>
  <c r="I82" i="2"/>
  <c r="J82" i="2"/>
  <c r="K82" i="2"/>
  <c r="F83" i="2"/>
  <c r="G83" i="2"/>
  <c r="H83" i="2"/>
  <c r="I83" i="2"/>
  <c r="J83" i="2"/>
  <c r="K83" i="2"/>
  <c r="F116" i="2"/>
  <c r="G116" i="2"/>
  <c r="H116" i="2"/>
  <c r="I116" i="2"/>
  <c r="J116" i="2"/>
  <c r="K116" i="2"/>
  <c r="F117" i="2"/>
  <c r="G117" i="2"/>
  <c r="H117" i="2"/>
  <c r="I117" i="2"/>
  <c r="J117" i="2"/>
  <c r="K117" i="2"/>
  <c r="F118" i="2"/>
  <c r="G118" i="2"/>
  <c r="H118" i="2"/>
  <c r="I118" i="2"/>
  <c r="J118" i="2"/>
  <c r="K118" i="2"/>
  <c r="F150" i="2"/>
  <c r="G150" i="2"/>
  <c r="H150" i="2"/>
  <c r="I150" i="2"/>
  <c r="J150" i="2"/>
  <c r="K150" i="2"/>
  <c r="F151" i="2"/>
  <c r="G151" i="2"/>
  <c r="H151" i="2"/>
  <c r="I151" i="2"/>
  <c r="J151" i="2"/>
  <c r="K151" i="2"/>
  <c r="F152" i="2"/>
  <c r="G152" i="2"/>
  <c r="H152" i="2"/>
  <c r="I152" i="2"/>
  <c r="J152" i="2"/>
  <c r="K152" i="2"/>
  <c r="F185" i="2"/>
  <c r="G185" i="2"/>
  <c r="H185" i="2"/>
  <c r="I185" i="2"/>
  <c r="J185" i="2"/>
  <c r="K185" i="2"/>
  <c r="F186" i="2"/>
  <c r="G186" i="2"/>
  <c r="H186" i="2"/>
  <c r="I186" i="2"/>
  <c r="J186" i="2"/>
  <c r="K186" i="2"/>
  <c r="F187" i="2"/>
  <c r="G187" i="2"/>
  <c r="H187" i="2"/>
  <c r="I187" i="2"/>
  <c r="J187" i="2"/>
  <c r="K187" i="2"/>
  <c r="F219" i="2"/>
  <c r="G219" i="2"/>
  <c r="H219" i="2"/>
  <c r="I219" i="2"/>
  <c r="J219" i="2"/>
  <c r="K219" i="2"/>
  <c r="F220" i="2"/>
  <c r="G220" i="2"/>
  <c r="H220" i="2"/>
  <c r="I220" i="2"/>
  <c r="J220" i="2"/>
  <c r="K220" i="2"/>
  <c r="F221" i="2"/>
  <c r="G221" i="2"/>
  <c r="H221" i="2"/>
  <c r="I221" i="2"/>
  <c r="J221" i="2"/>
  <c r="K221" i="2"/>
  <c r="F254" i="2"/>
  <c r="G254" i="2"/>
  <c r="H254" i="2"/>
  <c r="I254" i="2"/>
  <c r="J254" i="2"/>
  <c r="K254" i="2"/>
  <c r="F255" i="2"/>
  <c r="G255" i="2"/>
  <c r="H255" i="2"/>
  <c r="I255" i="2"/>
  <c r="J255" i="2"/>
  <c r="K255" i="2"/>
  <c r="F256" i="2"/>
  <c r="G256" i="2"/>
  <c r="H256" i="2"/>
  <c r="I256" i="2"/>
  <c r="J256" i="2"/>
  <c r="K256" i="2"/>
  <c r="F289" i="2"/>
  <c r="G289" i="2"/>
  <c r="H289" i="2"/>
  <c r="I289" i="2"/>
  <c r="J289" i="2"/>
  <c r="K289" i="2"/>
  <c r="F290" i="2"/>
  <c r="G290" i="2"/>
  <c r="H290" i="2"/>
  <c r="I290" i="2"/>
  <c r="J290" i="2"/>
  <c r="K290" i="2"/>
  <c r="F291" i="2"/>
  <c r="G291" i="2"/>
  <c r="H291" i="2"/>
  <c r="I291" i="2"/>
  <c r="I8" i="2" s="1"/>
  <c r="J291" i="2"/>
  <c r="K291" i="2"/>
  <c r="F323" i="2"/>
  <c r="G323" i="2"/>
  <c r="H323" i="2"/>
  <c r="I323" i="2"/>
  <c r="J323" i="2"/>
  <c r="K323" i="2"/>
  <c r="F324" i="2"/>
  <c r="G324" i="2"/>
  <c r="H324" i="2"/>
  <c r="I324" i="2"/>
  <c r="J324" i="2"/>
  <c r="K324" i="2"/>
  <c r="F325" i="2"/>
  <c r="G325" i="2"/>
  <c r="H325" i="2"/>
  <c r="I325" i="2"/>
  <c r="J325" i="2"/>
  <c r="K325" i="2"/>
  <c r="F358" i="2"/>
  <c r="G358" i="2"/>
  <c r="H358" i="2"/>
  <c r="I358" i="2"/>
  <c r="J358" i="2"/>
  <c r="K358" i="2"/>
  <c r="F359" i="2"/>
  <c r="G359" i="2"/>
  <c r="H359" i="2"/>
  <c r="I359" i="2"/>
  <c r="J359" i="2"/>
  <c r="K359" i="2"/>
  <c r="F360" i="2"/>
  <c r="G360" i="2"/>
  <c r="H360" i="2"/>
  <c r="I360" i="2"/>
  <c r="J360" i="2"/>
  <c r="K360" i="2"/>
  <c r="F392" i="2"/>
  <c r="G392" i="2"/>
  <c r="H392" i="2"/>
  <c r="I392" i="2"/>
  <c r="J392" i="2"/>
  <c r="K392" i="2"/>
  <c r="F393" i="2"/>
  <c r="G393" i="2"/>
  <c r="H393" i="2"/>
  <c r="I393" i="2"/>
  <c r="J393" i="2"/>
  <c r="K393" i="2"/>
  <c r="F394" i="2"/>
  <c r="G394" i="2"/>
  <c r="H394" i="2"/>
  <c r="I394" i="2"/>
  <c r="J394" i="2"/>
  <c r="K394" i="2"/>
  <c r="F427" i="2"/>
  <c r="G427" i="2"/>
  <c r="H427" i="2"/>
  <c r="I427" i="2"/>
  <c r="J427" i="2"/>
  <c r="K427" i="2"/>
  <c r="F428" i="2"/>
  <c r="G428" i="2"/>
  <c r="H428" i="2"/>
  <c r="I428" i="2"/>
  <c r="J428" i="2"/>
  <c r="K428" i="2"/>
  <c r="F429" i="2"/>
  <c r="G429" i="2"/>
  <c r="H429" i="2"/>
  <c r="I429" i="2"/>
  <c r="J429" i="2"/>
  <c r="K429" i="2"/>
  <c r="O48" i="2"/>
  <c r="O8" i="2" s="1"/>
  <c r="P48" i="2"/>
  <c r="Q48" i="2"/>
  <c r="Q8" i="2" s="1"/>
  <c r="R48" i="2"/>
  <c r="R8" i="2" s="1"/>
  <c r="S48" i="2"/>
  <c r="S8" i="2" s="1"/>
  <c r="T48" i="2"/>
  <c r="T8" i="2" s="1"/>
  <c r="O49" i="2"/>
  <c r="P49" i="2"/>
  <c r="Q49" i="2"/>
  <c r="R49" i="2"/>
  <c r="S49" i="2"/>
  <c r="T49" i="2"/>
  <c r="O50" i="2"/>
  <c r="P50" i="2"/>
  <c r="Q50" i="2"/>
  <c r="R50" i="2"/>
  <c r="S50" i="2"/>
  <c r="T50" i="2"/>
  <c r="O81" i="2"/>
  <c r="P81" i="2"/>
  <c r="Q81" i="2"/>
  <c r="R81" i="2"/>
  <c r="S81" i="2"/>
  <c r="T81" i="2"/>
  <c r="O82" i="2"/>
  <c r="P82" i="2"/>
  <c r="Q82" i="2"/>
  <c r="R82" i="2"/>
  <c r="S82" i="2"/>
  <c r="T82" i="2"/>
  <c r="O83" i="2"/>
  <c r="P83" i="2"/>
  <c r="Q83" i="2"/>
  <c r="R83" i="2"/>
  <c r="S83" i="2"/>
  <c r="T83" i="2"/>
  <c r="O116" i="2"/>
  <c r="P116" i="2"/>
  <c r="Q116" i="2"/>
  <c r="R116" i="2"/>
  <c r="S116" i="2"/>
  <c r="T116" i="2"/>
  <c r="O117" i="2"/>
  <c r="P117" i="2"/>
  <c r="Q117" i="2"/>
  <c r="R117" i="2"/>
  <c r="S117" i="2"/>
  <c r="T117" i="2"/>
  <c r="O118" i="2"/>
  <c r="P118" i="2"/>
  <c r="Q118" i="2"/>
  <c r="R118" i="2"/>
  <c r="S118" i="2"/>
  <c r="T118" i="2"/>
  <c r="O150" i="2"/>
  <c r="P150" i="2"/>
  <c r="Q150" i="2"/>
  <c r="R150" i="2"/>
  <c r="S150" i="2"/>
  <c r="T150" i="2"/>
  <c r="O151" i="2"/>
  <c r="P151" i="2"/>
  <c r="Q151" i="2"/>
  <c r="R151" i="2"/>
  <c r="S151" i="2"/>
  <c r="T151" i="2"/>
  <c r="O152" i="2"/>
  <c r="P152" i="2"/>
  <c r="Q152" i="2"/>
  <c r="R152" i="2"/>
  <c r="S152" i="2"/>
  <c r="T152" i="2"/>
  <c r="O185" i="2"/>
  <c r="P185" i="2"/>
  <c r="Q185" i="2"/>
  <c r="R185" i="2"/>
  <c r="S185" i="2"/>
  <c r="T185" i="2"/>
  <c r="O186" i="2"/>
  <c r="P186" i="2"/>
  <c r="Q186" i="2"/>
  <c r="R186" i="2"/>
  <c r="S186" i="2"/>
  <c r="T186" i="2"/>
  <c r="O187" i="2"/>
  <c r="P187" i="2"/>
  <c r="Q187" i="2"/>
  <c r="R187" i="2"/>
  <c r="S187" i="2"/>
  <c r="T187" i="2"/>
  <c r="O219" i="2"/>
  <c r="P219" i="2"/>
  <c r="Q219" i="2"/>
  <c r="R219" i="2"/>
  <c r="S219" i="2"/>
  <c r="T219" i="2"/>
  <c r="O220" i="2"/>
  <c r="P220" i="2"/>
  <c r="Q220" i="2"/>
  <c r="R220" i="2"/>
  <c r="S220" i="2"/>
  <c r="T220" i="2"/>
  <c r="O221" i="2"/>
  <c r="P221" i="2"/>
  <c r="Q221" i="2"/>
  <c r="R221" i="2"/>
  <c r="S221" i="2"/>
  <c r="T221" i="2"/>
  <c r="O254" i="2"/>
  <c r="P254" i="2"/>
  <c r="Q254" i="2"/>
  <c r="R254" i="2"/>
  <c r="S254" i="2"/>
  <c r="T254" i="2"/>
  <c r="O255" i="2"/>
  <c r="P255" i="2"/>
  <c r="Q255" i="2"/>
  <c r="R255" i="2"/>
  <c r="S255" i="2"/>
  <c r="T255" i="2"/>
  <c r="O256" i="2"/>
  <c r="P256" i="2"/>
  <c r="Q256" i="2"/>
  <c r="R256" i="2"/>
  <c r="S256" i="2"/>
  <c r="T256" i="2"/>
  <c r="O289" i="2"/>
  <c r="P289" i="2"/>
  <c r="Q289" i="2"/>
  <c r="R289" i="2"/>
  <c r="S289" i="2"/>
  <c r="T289" i="2"/>
  <c r="O290" i="2"/>
  <c r="P290" i="2"/>
  <c r="Q290" i="2"/>
  <c r="R290" i="2"/>
  <c r="S290" i="2"/>
  <c r="T290" i="2"/>
  <c r="O291" i="2"/>
  <c r="P291" i="2"/>
  <c r="Q291" i="2"/>
  <c r="R291" i="2"/>
  <c r="S291" i="2"/>
  <c r="T291" i="2"/>
  <c r="O323" i="2"/>
  <c r="P323" i="2"/>
  <c r="Q323" i="2"/>
  <c r="R323" i="2"/>
  <c r="S323" i="2"/>
  <c r="T323" i="2"/>
  <c r="O324" i="2"/>
  <c r="P324" i="2"/>
  <c r="Q324" i="2"/>
  <c r="R324" i="2"/>
  <c r="S324" i="2"/>
  <c r="T324" i="2"/>
  <c r="O325" i="2"/>
  <c r="P325" i="2"/>
  <c r="Q325" i="2"/>
  <c r="R325" i="2"/>
  <c r="S325" i="2"/>
  <c r="T325" i="2"/>
  <c r="O358" i="2"/>
  <c r="P358" i="2"/>
  <c r="Q358" i="2"/>
  <c r="R358" i="2"/>
  <c r="S358" i="2"/>
  <c r="T358" i="2"/>
  <c r="O359" i="2"/>
  <c r="P359" i="2"/>
  <c r="Q359" i="2"/>
  <c r="R359" i="2"/>
  <c r="S359" i="2"/>
  <c r="T359" i="2"/>
  <c r="O360" i="2"/>
  <c r="P360" i="2"/>
  <c r="Q360" i="2"/>
  <c r="R360" i="2"/>
  <c r="S360" i="2"/>
  <c r="T360" i="2"/>
  <c r="O392" i="2"/>
  <c r="P392" i="2"/>
  <c r="Q392" i="2"/>
  <c r="R392" i="2"/>
  <c r="S392" i="2"/>
  <c r="T392" i="2"/>
  <c r="O393" i="2"/>
  <c r="P393" i="2"/>
  <c r="Q393" i="2"/>
  <c r="R393" i="2"/>
  <c r="S393" i="2"/>
  <c r="T393" i="2"/>
  <c r="O394" i="2"/>
  <c r="P394" i="2"/>
  <c r="Q394" i="2"/>
  <c r="R394" i="2"/>
  <c r="S394" i="2"/>
  <c r="T394" i="2"/>
  <c r="O427" i="2"/>
  <c r="P427" i="2"/>
  <c r="Q427" i="2"/>
  <c r="R427" i="2"/>
  <c r="S427" i="2"/>
  <c r="T427" i="2"/>
  <c r="O428" i="2"/>
  <c r="P428" i="2"/>
  <c r="Q428" i="2"/>
  <c r="R428" i="2"/>
  <c r="S428" i="2"/>
  <c r="T428" i="2"/>
  <c r="O429" i="2"/>
  <c r="P429" i="2"/>
  <c r="Q429" i="2"/>
  <c r="R429" i="2"/>
  <c r="S429" i="2"/>
  <c r="T429" i="2"/>
  <c r="X48" i="2"/>
  <c r="X10" i="2" s="1"/>
  <c r="Y48" i="2"/>
  <c r="Z48" i="2"/>
  <c r="Z9" i="2" s="1"/>
  <c r="AA48" i="2"/>
  <c r="AA8" i="2" s="1"/>
  <c r="AB48" i="2"/>
  <c r="AB8" i="2" s="1"/>
  <c r="AC48" i="2"/>
  <c r="AC8" i="2" s="1"/>
  <c r="X49" i="2"/>
  <c r="Y49" i="2"/>
  <c r="Z49" i="2"/>
  <c r="AA49" i="2"/>
  <c r="AB49" i="2"/>
  <c r="AC49" i="2"/>
  <c r="X50" i="2"/>
  <c r="Y50" i="2"/>
  <c r="Z50" i="2"/>
  <c r="AA50" i="2"/>
  <c r="AB50" i="2"/>
  <c r="AC50" i="2"/>
  <c r="X81" i="2"/>
  <c r="Y81" i="2"/>
  <c r="Z81" i="2"/>
  <c r="AA81" i="2"/>
  <c r="AB81" i="2"/>
  <c r="AC81" i="2"/>
  <c r="X82" i="2"/>
  <c r="Y82" i="2"/>
  <c r="Z82" i="2"/>
  <c r="AA82" i="2"/>
  <c r="AB82" i="2"/>
  <c r="AC82" i="2"/>
  <c r="X83" i="2"/>
  <c r="Y83" i="2"/>
  <c r="Z83" i="2"/>
  <c r="AA83" i="2"/>
  <c r="AB83" i="2"/>
  <c r="AC83" i="2"/>
  <c r="X116" i="2"/>
  <c r="Y116" i="2"/>
  <c r="Z116" i="2"/>
  <c r="AA116" i="2"/>
  <c r="AB116" i="2"/>
  <c r="AC116" i="2"/>
  <c r="X117" i="2"/>
  <c r="Y117" i="2"/>
  <c r="Z117" i="2"/>
  <c r="AA117" i="2"/>
  <c r="AB117" i="2"/>
  <c r="AC117" i="2"/>
  <c r="X118" i="2"/>
  <c r="Y118" i="2"/>
  <c r="Z118" i="2"/>
  <c r="AA118" i="2"/>
  <c r="AB118" i="2"/>
  <c r="AC118" i="2"/>
  <c r="X150" i="2"/>
  <c r="Y150" i="2"/>
  <c r="Z150" i="2"/>
  <c r="AA150" i="2"/>
  <c r="AB150" i="2"/>
  <c r="AC150" i="2"/>
  <c r="X151" i="2"/>
  <c r="Y151" i="2"/>
  <c r="Z151" i="2"/>
  <c r="AA151" i="2"/>
  <c r="AB151" i="2"/>
  <c r="AC151" i="2"/>
  <c r="X152" i="2"/>
  <c r="Y152" i="2"/>
  <c r="Z152" i="2"/>
  <c r="AA152" i="2"/>
  <c r="AB152" i="2"/>
  <c r="AC152" i="2"/>
  <c r="X185" i="2"/>
  <c r="Y185" i="2"/>
  <c r="Z185" i="2"/>
  <c r="AA185" i="2"/>
  <c r="AB185" i="2"/>
  <c r="AC185" i="2"/>
  <c r="X186" i="2"/>
  <c r="Y186" i="2"/>
  <c r="Z186" i="2"/>
  <c r="AA186" i="2"/>
  <c r="AB186" i="2"/>
  <c r="AC186" i="2"/>
  <c r="X187" i="2"/>
  <c r="Y187" i="2"/>
  <c r="Z187" i="2"/>
  <c r="AA187" i="2"/>
  <c r="AB187" i="2"/>
  <c r="AC187" i="2"/>
  <c r="X219" i="2"/>
  <c r="Y219" i="2"/>
  <c r="Z219" i="2"/>
  <c r="AA219" i="2"/>
  <c r="AB219" i="2"/>
  <c r="AC219" i="2"/>
  <c r="X220" i="2"/>
  <c r="Y220" i="2"/>
  <c r="Z220" i="2"/>
  <c r="AA220" i="2"/>
  <c r="AB220" i="2"/>
  <c r="AC220" i="2"/>
  <c r="X221" i="2"/>
  <c r="Y221" i="2"/>
  <c r="Z221" i="2"/>
  <c r="AA221" i="2"/>
  <c r="AB221" i="2"/>
  <c r="AC221" i="2"/>
  <c r="X254" i="2"/>
  <c r="Y254" i="2"/>
  <c r="Z254" i="2"/>
  <c r="AA254" i="2"/>
  <c r="AB254" i="2"/>
  <c r="AC254" i="2"/>
  <c r="X255" i="2"/>
  <c r="Y255" i="2"/>
  <c r="Z255" i="2"/>
  <c r="AA255" i="2"/>
  <c r="AB255" i="2"/>
  <c r="AC255" i="2"/>
  <c r="X256" i="2"/>
  <c r="Y256" i="2"/>
  <c r="Z256" i="2"/>
  <c r="AA256" i="2"/>
  <c r="AB256" i="2"/>
  <c r="AC256" i="2"/>
  <c r="X289" i="2"/>
  <c r="Y289" i="2"/>
  <c r="Z289" i="2"/>
  <c r="AA289" i="2"/>
  <c r="AB289" i="2"/>
  <c r="AC289" i="2"/>
  <c r="X290" i="2"/>
  <c r="Y290" i="2"/>
  <c r="Z290" i="2"/>
  <c r="AA290" i="2"/>
  <c r="AB290" i="2"/>
  <c r="AC290" i="2"/>
  <c r="X291" i="2"/>
  <c r="Y291" i="2"/>
  <c r="Z291" i="2"/>
  <c r="AA291" i="2"/>
  <c r="AB291" i="2"/>
  <c r="AC291" i="2"/>
  <c r="X323" i="2"/>
  <c r="Y323" i="2"/>
  <c r="Z323" i="2"/>
  <c r="AA323" i="2"/>
  <c r="AB323" i="2"/>
  <c r="AC323" i="2"/>
  <c r="X324" i="2"/>
  <c r="Y324" i="2"/>
  <c r="Z324" i="2"/>
  <c r="AA324" i="2"/>
  <c r="AB324" i="2"/>
  <c r="AC324" i="2"/>
  <c r="X325" i="2"/>
  <c r="Y325" i="2"/>
  <c r="Z325" i="2"/>
  <c r="AA325" i="2"/>
  <c r="AB325" i="2"/>
  <c r="AC325" i="2"/>
  <c r="X358" i="2"/>
  <c r="Y358" i="2"/>
  <c r="Z358" i="2"/>
  <c r="AA358" i="2"/>
  <c r="AB358" i="2"/>
  <c r="AC358" i="2"/>
  <c r="X359" i="2"/>
  <c r="Y359" i="2"/>
  <c r="Z359" i="2"/>
  <c r="AA359" i="2"/>
  <c r="AB359" i="2"/>
  <c r="AC359" i="2"/>
  <c r="X360" i="2"/>
  <c r="Y360" i="2"/>
  <c r="Z360" i="2"/>
  <c r="AA360" i="2"/>
  <c r="AB360" i="2"/>
  <c r="AC360" i="2"/>
  <c r="X392" i="2"/>
  <c r="Y392" i="2"/>
  <c r="Z392" i="2"/>
  <c r="AA392" i="2"/>
  <c r="AB392" i="2"/>
  <c r="AC392" i="2"/>
  <c r="X393" i="2"/>
  <c r="Y393" i="2"/>
  <c r="Z393" i="2"/>
  <c r="AA393" i="2"/>
  <c r="AB393" i="2"/>
  <c r="AC393" i="2"/>
  <c r="X394" i="2"/>
  <c r="Y394" i="2"/>
  <c r="Z394" i="2"/>
  <c r="AA394" i="2"/>
  <c r="AB394" i="2"/>
  <c r="AC394" i="2"/>
  <c r="X427" i="2"/>
  <c r="Y427" i="2"/>
  <c r="Z427" i="2"/>
  <c r="AA427" i="2"/>
  <c r="AB427" i="2"/>
  <c r="AC427" i="2"/>
  <c r="X428" i="2"/>
  <c r="Y428" i="2"/>
  <c r="Z428" i="2"/>
  <c r="AA428" i="2"/>
  <c r="AB428" i="2"/>
  <c r="AC428" i="2"/>
  <c r="X429" i="2"/>
  <c r="Y429" i="2"/>
  <c r="Z429" i="2"/>
  <c r="AA429" i="2"/>
  <c r="AB429" i="2"/>
  <c r="AC429" i="2"/>
  <c r="AG48" i="2"/>
  <c r="AG8" i="2" s="1"/>
  <c r="AH48" i="2"/>
  <c r="AI48" i="2"/>
  <c r="AI10" i="2" s="1"/>
  <c r="AJ48" i="2"/>
  <c r="AJ10" i="2" s="1"/>
  <c r="AK48" i="2"/>
  <c r="AK9" i="2" s="1"/>
  <c r="AL48" i="2"/>
  <c r="AL9" i="2" s="1"/>
  <c r="AG49" i="2"/>
  <c r="AH49" i="2"/>
  <c r="AH10" i="2" s="1"/>
  <c r="AI49" i="2"/>
  <c r="AJ49" i="2"/>
  <c r="AK49" i="2"/>
  <c r="AL49" i="2"/>
  <c r="AG50" i="2"/>
  <c r="AH50" i="2"/>
  <c r="AI50" i="2"/>
  <c r="AJ50" i="2"/>
  <c r="AK50" i="2"/>
  <c r="AL50" i="2"/>
  <c r="AG81" i="2"/>
  <c r="AH81" i="2"/>
  <c r="AI81" i="2"/>
  <c r="AJ81" i="2"/>
  <c r="AK81" i="2"/>
  <c r="AL81" i="2"/>
  <c r="AG82" i="2"/>
  <c r="AH82" i="2"/>
  <c r="AI82" i="2"/>
  <c r="AJ82" i="2"/>
  <c r="AK82" i="2"/>
  <c r="AL82" i="2"/>
  <c r="AG83" i="2"/>
  <c r="AH83" i="2"/>
  <c r="AI83" i="2"/>
  <c r="AJ83" i="2"/>
  <c r="AK83" i="2"/>
  <c r="AL83" i="2"/>
  <c r="AG116" i="2"/>
  <c r="AH116" i="2"/>
  <c r="AI116" i="2"/>
  <c r="AJ116" i="2"/>
  <c r="AK116" i="2"/>
  <c r="AL116" i="2"/>
  <c r="AG117" i="2"/>
  <c r="AH117" i="2"/>
  <c r="AI117" i="2"/>
  <c r="AJ117" i="2"/>
  <c r="AK117" i="2"/>
  <c r="AL117" i="2"/>
  <c r="AG118" i="2"/>
  <c r="AH118" i="2"/>
  <c r="AI118" i="2"/>
  <c r="AJ118" i="2"/>
  <c r="AK118" i="2"/>
  <c r="AL118" i="2"/>
  <c r="AG150" i="2"/>
  <c r="AH150" i="2"/>
  <c r="AI150" i="2"/>
  <c r="AJ150" i="2"/>
  <c r="AK150" i="2"/>
  <c r="AL150" i="2"/>
  <c r="AG151" i="2"/>
  <c r="AH151" i="2"/>
  <c r="AI151" i="2"/>
  <c r="AJ151" i="2"/>
  <c r="AK151" i="2"/>
  <c r="AL151" i="2"/>
  <c r="AG152" i="2"/>
  <c r="AH152" i="2"/>
  <c r="AI152" i="2"/>
  <c r="AJ152" i="2"/>
  <c r="AK152" i="2"/>
  <c r="AL152" i="2"/>
  <c r="AG185" i="2"/>
  <c r="AH185" i="2"/>
  <c r="AI185" i="2"/>
  <c r="AJ185" i="2"/>
  <c r="AK185" i="2"/>
  <c r="AL185" i="2"/>
  <c r="AG186" i="2"/>
  <c r="AH186" i="2"/>
  <c r="AI186" i="2"/>
  <c r="AJ186" i="2"/>
  <c r="AK186" i="2"/>
  <c r="AL186" i="2"/>
  <c r="AG187" i="2"/>
  <c r="AH187" i="2"/>
  <c r="AI187" i="2"/>
  <c r="AJ187" i="2"/>
  <c r="AK187" i="2"/>
  <c r="AL187" i="2"/>
  <c r="AG219" i="2"/>
  <c r="AH219" i="2"/>
  <c r="AI219" i="2"/>
  <c r="AJ219" i="2"/>
  <c r="AK219" i="2"/>
  <c r="AL219" i="2"/>
  <c r="AG220" i="2"/>
  <c r="AH220" i="2"/>
  <c r="AI220" i="2"/>
  <c r="AJ220" i="2"/>
  <c r="AK220" i="2"/>
  <c r="AL220" i="2"/>
  <c r="AG221" i="2"/>
  <c r="AH221" i="2"/>
  <c r="AI221" i="2"/>
  <c r="AJ221" i="2"/>
  <c r="AK221" i="2"/>
  <c r="AL221" i="2"/>
  <c r="AG254" i="2"/>
  <c r="AH254" i="2"/>
  <c r="AI254" i="2"/>
  <c r="AJ254" i="2"/>
  <c r="AK254" i="2"/>
  <c r="AL254" i="2"/>
  <c r="AG255" i="2"/>
  <c r="AH255" i="2"/>
  <c r="AI255" i="2"/>
  <c r="AJ255" i="2"/>
  <c r="AK255" i="2"/>
  <c r="AL255" i="2"/>
  <c r="AG256" i="2"/>
  <c r="AH256" i="2"/>
  <c r="AI256" i="2"/>
  <c r="AJ256" i="2"/>
  <c r="AK256" i="2"/>
  <c r="AL256" i="2"/>
  <c r="AG289" i="2"/>
  <c r="AH289" i="2"/>
  <c r="AI289" i="2"/>
  <c r="AJ289" i="2"/>
  <c r="AK289" i="2"/>
  <c r="AL289" i="2"/>
  <c r="AG290" i="2"/>
  <c r="AH290" i="2"/>
  <c r="AI290" i="2"/>
  <c r="AJ290" i="2"/>
  <c r="AK290" i="2"/>
  <c r="AL290" i="2"/>
  <c r="AG291" i="2"/>
  <c r="AH291" i="2"/>
  <c r="AI291" i="2"/>
  <c r="AJ291" i="2"/>
  <c r="AK291" i="2"/>
  <c r="AL291" i="2"/>
  <c r="AG323" i="2"/>
  <c r="AH323" i="2"/>
  <c r="AI323" i="2"/>
  <c r="AJ323" i="2"/>
  <c r="AK323" i="2"/>
  <c r="AL323" i="2"/>
  <c r="AG324" i="2"/>
  <c r="AH324" i="2"/>
  <c r="AI324" i="2"/>
  <c r="AJ324" i="2"/>
  <c r="AK324" i="2"/>
  <c r="AL324" i="2"/>
  <c r="AG325" i="2"/>
  <c r="AH325" i="2"/>
  <c r="AI325" i="2"/>
  <c r="AJ325" i="2"/>
  <c r="AK325" i="2"/>
  <c r="AL325" i="2"/>
  <c r="AG358" i="2"/>
  <c r="AH358" i="2"/>
  <c r="AI358" i="2"/>
  <c r="AJ358" i="2"/>
  <c r="AK358" i="2"/>
  <c r="AL358" i="2"/>
  <c r="AG359" i="2"/>
  <c r="AH359" i="2"/>
  <c r="AI359" i="2"/>
  <c r="AJ359" i="2"/>
  <c r="AK359" i="2"/>
  <c r="AL359" i="2"/>
  <c r="AG360" i="2"/>
  <c r="AH360" i="2"/>
  <c r="AI360" i="2"/>
  <c r="AJ360" i="2"/>
  <c r="AK360" i="2"/>
  <c r="AL360" i="2"/>
  <c r="AG392" i="2"/>
  <c r="AH392" i="2"/>
  <c r="AI392" i="2"/>
  <c r="AJ392" i="2"/>
  <c r="AK392" i="2"/>
  <c r="AL392" i="2"/>
  <c r="AG393" i="2"/>
  <c r="AH393" i="2"/>
  <c r="AI393" i="2"/>
  <c r="AJ393" i="2"/>
  <c r="AK393" i="2"/>
  <c r="AL393" i="2"/>
  <c r="AG394" i="2"/>
  <c r="AH394" i="2"/>
  <c r="AI394" i="2"/>
  <c r="AJ394" i="2"/>
  <c r="AK394" i="2"/>
  <c r="AL394" i="2"/>
  <c r="AG427" i="2"/>
  <c r="AH427" i="2"/>
  <c r="AI427" i="2"/>
  <c r="AJ427" i="2"/>
  <c r="AK427" i="2"/>
  <c r="AL427" i="2"/>
  <c r="AG428" i="2"/>
  <c r="AH428" i="2"/>
  <c r="AI428" i="2"/>
  <c r="AJ428" i="2"/>
  <c r="AK428" i="2"/>
  <c r="AL428" i="2"/>
  <c r="AG429" i="2"/>
  <c r="AH429" i="2"/>
  <c r="AI429" i="2"/>
  <c r="AJ429" i="2"/>
  <c r="AK429" i="2"/>
  <c r="AL429" i="2"/>
  <c r="AQ17" i="2"/>
  <c r="AR17" i="2"/>
  <c r="AQ18" i="2"/>
  <c r="AR18" i="2" s="1"/>
  <c r="AR49" i="2" s="1"/>
  <c r="AQ19" i="2"/>
  <c r="AR19" i="2"/>
  <c r="AQ20" i="2"/>
  <c r="AR20" i="2"/>
  <c r="AQ21" i="2"/>
  <c r="AR21" i="2" s="1"/>
  <c r="AQ22" i="2"/>
  <c r="AR22" i="2" s="1"/>
  <c r="AQ23" i="2"/>
  <c r="AR23" i="2"/>
  <c r="AQ24" i="2"/>
  <c r="AR24" i="2" s="1"/>
  <c r="AQ25" i="2"/>
  <c r="AR25" i="2"/>
  <c r="AQ26" i="2"/>
  <c r="AR26" i="2"/>
  <c r="AQ27" i="2"/>
  <c r="AR27" i="2" s="1"/>
  <c r="AQ28" i="2"/>
  <c r="AR28" i="2" s="1"/>
  <c r="AQ29" i="2"/>
  <c r="AR29" i="2"/>
  <c r="AQ30" i="2"/>
  <c r="AR30" i="2" s="1"/>
  <c r="AQ31" i="2"/>
  <c r="AR31" i="2"/>
  <c r="AQ32" i="2"/>
  <c r="AR32" i="2"/>
  <c r="AQ33" i="2"/>
  <c r="AR33" i="2" s="1"/>
  <c r="AQ34" i="2"/>
  <c r="AR34" i="2" s="1"/>
  <c r="AQ35" i="2"/>
  <c r="AR35" i="2"/>
  <c r="AQ36" i="2"/>
  <c r="AR36" i="2" s="1"/>
  <c r="AQ37" i="2"/>
  <c r="AR37" i="2"/>
  <c r="AQ38" i="2"/>
  <c r="AR38" i="2"/>
  <c r="AQ39" i="2"/>
  <c r="AR39" i="2" s="1"/>
  <c r="AQ40" i="2"/>
  <c r="AR40" i="2" s="1"/>
  <c r="AQ41" i="2"/>
  <c r="AR41" i="2"/>
  <c r="AQ42" i="2"/>
  <c r="AR42" i="2" s="1"/>
  <c r="AQ43" i="2"/>
  <c r="AR43" i="2"/>
  <c r="AQ44" i="2"/>
  <c r="AR44" i="2"/>
  <c r="AQ45" i="2"/>
  <c r="AR45" i="2" s="1"/>
  <c r="AQ46" i="2"/>
  <c r="AR46" i="2" s="1"/>
  <c r="AQ47" i="2"/>
  <c r="AR47" i="2"/>
  <c r="AQ52" i="2"/>
  <c r="AR52" i="2" s="1"/>
  <c r="AQ53" i="2"/>
  <c r="AQ54" i="2"/>
  <c r="AR54" i="2"/>
  <c r="AQ55" i="2"/>
  <c r="AR55" i="2" s="1"/>
  <c r="AQ56" i="2"/>
  <c r="AR56" i="2"/>
  <c r="AQ57" i="2"/>
  <c r="AR57" i="2"/>
  <c r="AQ58" i="2"/>
  <c r="AR58" i="2" s="1"/>
  <c r="AQ59" i="2"/>
  <c r="AR59" i="2" s="1"/>
  <c r="AQ60" i="2"/>
  <c r="AR60" i="2"/>
  <c r="AQ61" i="2"/>
  <c r="AR61" i="2" s="1"/>
  <c r="AQ62" i="2"/>
  <c r="AR62" i="2"/>
  <c r="AQ63" i="2"/>
  <c r="AR63" i="2"/>
  <c r="AX63" i="2" s="1"/>
  <c r="AQ64" i="2"/>
  <c r="AR64" i="2" s="1"/>
  <c r="AQ65" i="2"/>
  <c r="AR65" i="2" s="1"/>
  <c r="AQ66" i="2"/>
  <c r="AR66" i="2"/>
  <c r="AQ67" i="2"/>
  <c r="AR67" i="2" s="1"/>
  <c r="AQ68" i="2"/>
  <c r="AR68" i="2"/>
  <c r="AQ69" i="2"/>
  <c r="AR69" i="2"/>
  <c r="AQ70" i="2"/>
  <c r="AR70" i="2" s="1"/>
  <c r="AQ71" i="2"/>
  <c r="AR71" i="2" s="1"/>
  <c r="AQ72" i="2"/>
  <c r="AR72" i="2"/>
  <c r="AQ73" i="2"/>
  <c r="AR73" i="2" s="1"/>
  <c r="AQ74" i="2"/>
  <c r="AR74" i="2"/>
  <c r="AQ75" i="2"/>
  <c r="AR75" i="2"/>
  <c r="AQ76" i="2"/>
  <c r="AR76" i="2" s="1"/>
  <c r="AQ77" i="2"/>
  <c r="AR77" i="2" s="1"/>
  <c r="AQ78" i="2"/>
  <c r="AR78" i="2"/>
  <c r="AQ79" i="2"/>
  <c r="AR79" i="2" s="1"/>
  <c r="AQ80" i="2"/>
  <c r="AR80" i="2"/>
  <c r="AQ85" i="2"/>
  <c r="AR85" i="2"/>
  <c r="AQ86" i="2"/>
  <c r="AR86" i="2" s="1"/>
  <c r="AQ87" i="2"/>
  <c r="AR87" i="2"/>
  <c r="AQ88" i="2"/>
  <c r="AR88" i="2"/>
  <c r="AQ89" i="2"/>
  <c r="AR89" i="2" s="1"/>
  <c r="AQ90" i="2"/>
  <c r="AQ91" i="2"/>
  <c r="AR91" i="2"/>
  <c r="AQ92" i="2"/>
  <c r="AR92" i="2" s="1"/>
  <c r="AQ93" i="2"/>
  <c r="AR93" i="2"/>
  <c r="AQ94" i="2"/>
  <c r="AR94" i="2"/>
  <c r="AQ95" i="2"/>
  <c r="AR95" i="2" s="1"/>
  <c r="AQ96" i="2"/>
  <c r="AR96" i="2" s="1"/>
  <c r="AQ97" i="2"/>
  <c r="AR97" i="2"/>
  <c r="AQ98" i="2"/>
  <c r="AR98" i="2" s="1"/>
  <c r="AQ99" i="2"/>
  <c r="AR99" i="2" s="1"/>
  <c r="AX99" i="2" s="1"/>
  <c r="AQ100" i="2"/>
  <c r="AR100" i="2"/>
  <c r="AQ101" i="2"/>
  <c r="AR101" i="2" s="1"/>
  <c r="AQ102" i="2"/>
  <c r="AR102" i="2" s="1"/>
  <c r="AQ103" i="2"/>
  <c r="AR103" i="2"/>
  <c r="AQ104" i="2"/>
  <c r="AR104" i="2" s="1"/>
  <c r="AQ105" i="2"/>
  <c r="AR105" i="2" s="1"/>
  <c r="AX105" i="2" s="1"/>
  <c r="AQ106" i="2"/>
  <c r="AR106" i="2"/>
  <c r="AQ107" i="2"/>
  <c r="AR107" i="2" s="1"/>
  <c r="AQ108" i="2"/>
  <c r="AR108" i="2" s="1"/>
  <c r="AQ109" i="2"/>
  <c r="AR109" i="2"/>
  <c r="AQ110" i="2"/>
  <c r="AR110" i="2" s="1"/>
  <c r="AQ111" i="2"/>
  <c r="AR111" i="2"/>
  <c r="AQ112" i="2"/>
  <c r="AR112" i="2"/>
  <c r="AQ113" i="2"/>
  <c r="AR113" i="2" s="1"/>
  <c r="AQ114" i="2"/>
  <c r="AR114" i="2" s="1"/>
  <c r="AQ115" i="2"/>
  <c r="AR115" i="2"/>
  <c r="AQ120" i="2"/>
  <c r="AR120" i="2" s="1"/>
  <c r="AQ121" i="2"/>
  <c r="AR121" i="2" s="1"/>
  <c r="AQ122" i="2"/>
  <c r="AR122" i="2"/>
  <c r="AQ123" i="2"/>
  <c r="AR123" i="2" s="1"/>
  <c r="AQ124" i="2"/>
  <c r="AR124" i="2"/>
  <c r="AX124" i="2" s="1"/>
  <c r="AQ125" i="2"/>
  <c r="AR125" i="2"/>
  <c r="AQ126" i="2"/>
  <c r="AR126" i="2" s="1"/>
  <c r="AQ127" i="2"/>
  <c r="AR127" i="2" s="1"/>
  <c r="AQ128" i="2"/>
  <c r="AR128" i="2"/>
  <c r="AQ129" i="2"/>
  <c r="AR129" i="2" s="1"/>
  <c r="AQ130" i="2"/>
  <c r="AR130" i="2" s="1"/>
  <c r="AX130" i="2" s="1"/>
  <c r="AQ131" i="2"/>
  <c r="AR131" i="2"/>
  <c r="AQ132" i="2"/>
  <c r="AR132" i="2" s="1"/>
  <c r="AX132" i="2" s="1"/>
  <c r="AQ133" i="2"/>
  <c r="AR133" i="2" s="1"/>
  <c r="AQ134" i="2"/>
  <c r="AR134" i="2"/>
  <c r="AQ135" i="2"/>
  <c r="AR135" i="2" s="1"/>
  <c r="AQ136" i="2"/>
  <c r="AR136" i="2"/>
  <c r="AQ137" i="2"/>
  <c r="AR137" i="2"/>
  <c r="AQ138" i="2"/>
  <c r="AR138" i="2" s="1"/>
  <c r="AQ139" i="2"/>
  <c r="AR139" i="2" s="1"/>
  <c r="AQ140" i="2"/>
  <c r="AR140" i="2"/>
  <c r="AQ141" i="2"/>
  <c r="AR141" i="2" s="1"/>
  <c r="AQ142" i="2"/>
  <c r="AR142" i="2"/>
  <c r="AQ143" i="2"/>
  <c r="AR143" i="2"/>
  <c r="AQ144" i="2"/>
  <c r="AR144" i="2" s="1"/>
  <c r="AQ145" i="2"/>
  <c r="AR145" i="2" s="1"/>
  <c r="AQ146" i="2"/>
  <c r="AR146" i="2"/>
  <c r="AQ147" i="2"/>
  <c r="AR147" i="2" s="1"/>
  <c r="AQ148" i="2"/>
  <c r="AR148" i="2"/>
  <c r="AX148" i="2" s="1"/>
  <c r="AQ149" i="2"/>
  <c r="AR149" i="2" s="1"/>
  <c r="AQ154" i="2"/>
  <c r="AR154" i="2" s="1"/>
  <c r="AQ155" i="2"/>
  <c r="AR155" i="2"/>
  <c r="AQ156" i="2"/>
  <c r="AR156" i="2"/>
  <c r="AQ157" i="2"/>
  <c r="AR157" i="2" s="1"/>
  <c r="AQ158" i="2"/>
  <c r="AR158" i="2" s="1"/>
  <c r="AQ159" i="2"/>
  <c r="AR159" i="2"/>
  <c r="AQ160" i="2"/>
  <c r="AR160" i="2" s="1"/>
  <c r="AQ161" i="2"/>
  <c r="AR161" i="2" s="1"/>
  <c r="AX161" i="2" s="1"/>
  <c r="AQ162" i="2"/>
  <c r="AR162" i="2" s="1"/>
  <c r="AQ163" i="2"/>
  <c r="AR163" i="2" s="1"/>
  <c r="AQ164" i="2"/>
  <c r="AR164" i="2" s="1"/>
  <c r="AQ165" i="2"/>
  <c r="AR165" i="2"/>
  <c r="AQ166" i="2"/>
  <c r="AR166" i="2" s="1"/>
  <c r="AQ167" i="2"/>
  <c r="AR167" i="2" s="1"/>
  <c r="AQ168" i="2"/>
  <c r="AR168" i="2"/>
  <c r="AQ169" i="2"/>
  <c r="AR169" i="2" s="1"/>
  <c r="AQ170" i="2"/>
  <c r="AR170" i="2" s="1"/>
  <c r="AQ171" i="2"/>
  <c r="AR171" i="2"/>
  <c r="AQ172" i="2"/>
  <c r="AR172" i="2" s="1"/>
  <c r="AQ173" i="2"/>
  <c r="AR173" i="2" s="1"/>
  <c r="AX173" i="2" s="1"/>
  <c r="AQ174" i="2"/>
  <c r="AR174" i="2" s="1"/>
  <c r="AX174" i="2" s="1"/>
  <c r="AQ175" i="2"/>
  <c r="AR175" i="2" s="1"/>
  <c r="AQ176" i="2"/>
  <c r="AR176" i="2" s="1"/>
  <c r="AQ177" i="2"/>
  <c r="AR177" i="2" s="1"/>
  <c r="AQ178" i="2"/>
  <c r="AR178" i="2" s="1"/>
  <c r="AQ179" i="2"/>
  <c r="AR179" i="2"/>
  <c r="AQ180" i="2"/>
  <c r="AR180" i="2"/>
  <c r="AQ181" i="2"/>
  <c r="AR181" i="2" s="1"/>
  <c r="AQ182" i="2"/>
  <c r="AR182" i="2" s="1"/>
  <c r="AQ183" i="2"/>
  <c r="AR183" i="2" s="1"/>
  <c r="AX183" i="2" s="1"/>
  <c r="AQ184" i="2"/>
  <c r="AR184" i="2" s="1"/>
  <c r="AQ189" i="2"/>
  <c r="AR189" i="2" s="1"/>
  <c r="AQ190" i="2"/>
  <c r="AQ221" i="2" s="1"/>
  <c r="AQ191" i="2"/>
  <c r="AR191" i="2" s="1"/>
  <c r="AQ192" i="2"/>
  <c r="AR192" i="2" s="1"/>
  <c r="AQ193" i="2"/>
  <c r="AR193" i="2"/>
  <c r="AQ194" i="2"/>
  <c r="AR194" i="2" s="1"/>
  <c r="AQ195" i="2"/>
  <c r="AR195" i="2" s="1"/>
  <c r="AQ196" i="2"/>
  <c r="AR196" i="2"/>
  <c r="AQ197" i="2"/>
  <c r="AR197" i="2" s="1"/>
  <c r="AQ198" i="2"/>
  <c r="AR198" i="2" s="1"/>
  <c r="AX198" i="2" s="1"/>
  <c r="AQ199" i="2"/>
  <c r="AR199" i="2" s="1"/>
  <c r="AQ200" i="2"/>
  <c r="AR200" i="2" s="1"/>
  <c r="AQ201" i="2"/>
  <c r="AR201" i="2" s="1"/>
  <c r="AQ202" i="2"/>
  <c r="AR202" i="2" s="1"/>
  <c r="AX202" i="2" s="1"/>
  <c r="AQ203" i="2"/>
  <c r="AR203" i="2" s="1"/>
  <c r="AQ204" i="2"/>
  <c r="AR204" i="2"/>
  <c r="AQ205" i="2"/>
  <c r="AR205" i="2"/>
  <c r="AQ206" i="2"/>
  <c r="AR206" i="2" s="1"/>
  <c r="AQ207" i="2"/>
  <c r="AR207" i="2" s="1"/>
  <c r="AQ208" i="2"/>
  <c r="AR208" i="2" s="1"/>
  <c r="AQ209" i="2"/>
  <c r="AR209" i="2" s="1"/>
  <c r="AQ210" i="2"/>
  <c r="AR210" i="2" s="1"/>
  <c r="AX210" i="2" s="1"/>
  <c r="AQ211" i="2"/>
  <c r="AR211" i="2" s="1"/>
  <c r="AQ212" i="2"/>
  <c r="AR212" i="2" s="1"/>
  <c r="AQ213" i="2"/>
  <c r="AR213" i="2" s="1"/>
  <c r="AQ214" i="2"/>
  <c r="AR214" i="2" s="1"/>
  <c r="AQ215" i="2"/>
  <c r="AR215" i="2" s="1"/>
  <c r="AQ216" i="2"/>
  <c r="AR216" i="2" s="1"/>
  <c r="AX216" i="2" s="1"/>
  <c r="AQ217" i="2"/>
  <c r="AR217" i="2"/>
  <c r="AQ218" i="2"/>
  <c r="AR218" i="2" s="1"/>
  <c r="AQ223" i="2"/>
  <c r="AQ254" i="2" s="1"/>
  <c r="AQ224" i="2"/>
  <c r="AR224" i="2" s="1"/>
  <c r="AQ225" i="2"/>
  <c r="AR225" i="2" s="1"/>
  <c r="AQ226" i="2"/>
  <c r="AR226" i="2" s="1"/>
  <c r="AQ227" i="2"/>
  <c r="AR227" i="2" s="1"/>
  <c r="AX227" i="2" s="1"/>
  <c r="AQ228" i="2"/>
  <c r="AR228" i="2" s="1"/>
  <c r="AQ229" i="2"/>
  <c r="AR229" i="2"/>
  <c r="AQ230" i="2"/>
  <c r="AR230" i="2"/>
  <c r="AQ231" i="2"/>
  <c r="AR231" i="2" s="1"/>
  <c r="AQ232" i="2"/>
  <c r="AR232" i="2" s="1"/>
  <c r="AQ233" i="2"/>
  <c r="AR233" i="2" s="1"/>
  <c r="AQ234" i="2"/>
  <c r="AR234" i="2" s="1"/>
  <c r="AQ235" i="2"/>
  <c r="AR235" i="2" s="1"/>
  <c r="AQ236" i="2"/>
  <c r="AR236" i="2" s="1"/>
  <c r="AX236" i="2" s="1"/>
  <c r="AQ237" i="2"/>
  <c r="AR237" i="2" s="1"/>
  <c r="AQ238" i="2"/>
  <c r="AR238" i="2" s="1"/>
  <c r="AQ239" i="2"/>
  <c r="AR239" i="2" s="1"/>
  <c r="AX239" i="2" s="1"/>
  <c r="AQ240" i="2"/>
  <c r="AR240" i="2" s="1"/>
  <c r="AX240" i="2" s="1"/>
  <c r="AQ241" i="2"/>
  <c r="AR241" i="2" s="1"/>
  <c r="AQ242" i="2"/>
  <c r="AR242" i="2"/>
  <c r="AQ243" i="2"/>
  <c r="AR243" i="2" s="1"/>
  <c r="AQ244" i="2"/>
  <c r="AR244" i="2" s="1"/>
  <c r="AQ245" i="2"/>
  <c r="AR245" i="2"/>
  <c r="AQ246" i="2"/>
  <c r="AR246" i="2" s="1"/>
  <c r="AQ247" i="2"/>
  <c r="AR247" i="2" s="1"/>
  <c r="AX247" i="2" s="1"/>
  <c r="AQ248" i="2"/>
  <c r="AR248" i="2" s="1"/>
  <c r="AQ249" i="2"/>
  <c r="AR249" i="2" s="1"/>
  <c r="AQ250" i="2"/>
  <c r="AR250" i="2" s="1"/>
  <c r="AQ251" i="2"/>
  <c r="AR251" i="2" s="1"/>
  <c r="AQ252" i="2"/>
  <c r="AR252" i="2" s="1"/>
  <c r="AQ253" i="2"/>
  <c r="AR253" i="2"/>
  <c r="AQ258" i="2"/>
  <c r="AR258" i="2" s="1"/>
  <c r="AQ259" i="2"/>
  <c r="AR259" i="2" s="1"/>
  <c r="AQ260" i="2"/>
  <c r="AR260" i="2" s="1"/>
  <c r="AX260" i="2" s="1"/>
  <c r="AQ261" i="2"/>
  <c r="AR261" i="2" s="1"/>
  <c r="AQ262" i="2"/>
  <c r="AR262" i="2" s="1"/>
  <c r="AQ263" i="2"/>
  <c r="AR263" i="2" s="1"/>
  <c r="AQ264" i="2"/>
  <c r="AQ290" i="2" s="1"/>
  <c r="AQ265" i="2"/>
  <c r="AR265" i="2" s="1"/>
  <c r="AQ266" i="2"/>
  <c r="AR266" i="2" s="1"/>
  <c r="AX266" i="2" s="1"/>
  <c r="AQ267" i="2"/>
  <c r="AR267" i="2"/>
  <c r="AQ268" i="2"/>
  <c r="AR268" i="2" s="1"/>
  <c r="AQ269" i="2"/>
  <c r="AR269" i="2" s="1"/>
  <c r="AQ270" i="2"/>
  <c r="AR270" i="2"/>
  <c r="AQ271" i="2"/>
  <c r="AR271" i="2" s="1"/>
  <c r="AQ272" i="2"/>
  <c r="AR272" i="2" s="1"/>
  <c r="AQ273" i="2"/>
  <c r="AR273" i="2" s="1"/>
  <c r="AQ274" i="2"/>
  <c r="AR274" i="2" s="1"/>
  <c r="AQ275" i="2"/>
  <c r="AR275" i="2" s="1"/>
  <c r="AQ276" i="2"/>
  <c r="AR276" i="2" s="1"/>
  <c r="AX276" i="2" s="1"/>
  <c r="AQ277" i="2"/>
  <c r="AR277" i="2" s="1"/>
  <c r="AQ278" i="2"/>
  <c r="AR278" i="2"/>
  <c r="AQ279" i="2"/>
  <c r="AR279" i="2"/>
  <c r="AQ280" i="2"/>
  <c r="AR280" i="2" s="1"/>
  <c r="AQ281" i="2"/>
  <c r="AR281" i="2" s="1"/>
  <c r="AQ282" i="2"/>
  <c r="AR282" i="2" s="1"/>
  <c r="AX282" i="2" s="1"/>
  <c r="AQ283" i="2"/>
  <c r="AR283" i="2" s="1"/>
  <c r="AQ284" i="2"/>
  <c r="AR284" i="2" s="1"/>
  <c r="AX284" i="2" s="1"/>
  <c r="AQ285" i="2"/>
  <c r="AR285" i="2" s="1"/>
  <c r="AQ286" i="2"/>
  <c r="AR286" i="2" s="1"/>
  <c r="AQ287" i="2"/>
  <c r="AR287" i="2" s="1"/>
  <c r="AQ288" i="2"/>
  <c r="AR288" i="2" s="1"/>
  <c r="AQ293" i="2"/>
  <c r="AR293" i="2" s="1"/>
  <c r="AQ294" i="2"/>
  <c r="AR294" i="2" s="1"/>
  <c r="AQ295" i="2"/>
  <c r="AR295" i="2"/>
  <c r="AQ296" i="2"/>
  <c r="AR296" i="2" s="1"/>
  <c r="AQ297" i="2"/>
  <c r="AR297" i="2" s="1"/>
  <c r="AX297" i="2" s="1"/>
  <c r="AQ298" i="2"/>
  <c r="AR298" i="2" s="1"/>
  <c r="AQ299" i="2"/>
  <c r="AR299" i="2" s="1"/>
  <c r="AQ300" i="2"/>
  <c r="AR300" i="2" s="1"/>
  <c r="AQ301" i="2"/>
  <c r="AR301" i="2" s="1"/>
  <c r="AQ302" i="2"/>
  <c r="AR302" i="2" s="1"/>
  <c r="AQ303" i="2"/>
  <c r="AR303" i="2"/>
  <c r="AQ304" i="2"/>
  <c r="AR304" i="2" s="1"/>
  <c r="AQ305" i="2"/>
  <c r="AR305" i="2" s="1"/>
  <c r="AQ306" i="2"/>
  <c r="AR306" i="2" s="1"/>
  <c r="AQ307" i="2"/>
  <c r="AR307" i="2" s="1"/>
  <c r="AQ308" i="2"/>
  <c r="AR308" i="2" s="1"/>
  <c r="AQ309" i="2"/>
  <c r="AR309" i="2" s="1"/>
  <c r="AX309" i="2" s="1"/>
  <c r="AQ310" i="2"/>
  <c r="AR310" i="2" s="1"/>
  <c r="AQ311" i="2"/>
  <c r="AR311" i="2" s="1"/>
  <c r="AQ312" i="2"/>
  <c r="AR312" i="2" s="1"/>
  <c r="AQ313" i="2"/>
  <c r="AR313" i="2" s="1"/>
  <c r="AQ314" i="2"/>
  <c r="AR314" i="2" s="1"/>
  <c r="AX314" i="2" s="1"/>
  <c r="AQ315" i="2"/>
  <c r="AR315" i="2" s="1"/>
  <c r="AQ316" i="2"/>
  <c r="AR316" i="2" s="1"/>
  <c r="AQ317" i="2"/>
  <c r="AR317" i="2" s="1"/>
  <c r="AQ318" i="2"/>
  <c r="AR318" i="2" s="1"/>
  <c r="AQ319" i="2"/>
  <c r="AR319" i="2"/>
  <c r="AQ320" i="2"/>
  <c r="AR320" i="2" s="1"/>
  <c r="AQ321" i="2"/>
  <c r="AR321" i="2" s="1"/>
  <c r="AX321" i="2" s="1"/>
  <c r="AQ322" i="2"/>
  <c r="AR322" i="2" s="1"/>
  <c r="AQ327" i="2"/>
  <c r="AR327" i="2" s="1"/>
  <c r="AQ328" i="2"/>
  <c r="AR328" i="2"/>
  <c r="AQ329" i="2"/>
  <c r="AQ359" i="2" s="1"/>
  <c r="AQ330" i="2"/>
  <c r="AR330" i="2" s="1"/>
  <c r="AQ331" i="2"/>
  <c r="AR331" i="2" s="1"/>
  <c r="AQ332" i="2"/>
  <c r="AR332" i="2" s="1"/>
  <c r="AX332" i="2" s="1"/>
  <c r="AQ333" i="2"/>
  <c r="AR333" i="2" s="1"/>
  <c r="AQ334" i="2"/>
  <c r="AR334" i="2" s="1"/>
  <c r="AQ335" i="2"/>
  <c r="AR335" i="2" s="1"/>
  <c r="AQ336" i="2"/>
  <c r="AR336" i="2" s="1"/>
  <c r="AQ337" i="2"/>
  <c r="AR337" i="2" s="1"/>
  <c r="AQ338" i="2"/>
  <c r="AR338" i="2" s="1"/>
  <c r="AX338" i="2" s="1"/>
  <c r="AQ339" i="2"/>
  <c r="AR339" i="2" s="1"/>
  <c r="AX339" i="2" s="1"/>
  <c r="AQ340" i="2"/>
  <c r="AR340" i="2" s="1"/>
  <c r="AQ341" i="2"/>
  <c r="AR341" i="2" s="1"/>
  <c r="AX341" i="2" s="1"/>
  <c r="AQ342" i="2"/>
  <c r="AR342" i="2" s="1"/>
  <c r="AQ343" i="2"/>
  <c r="AR343" i="2" s="1"/>
  <c r="AQ344" i="2"/>
  <c r="AR344" i="2"/>
  <c r="AQ345" i="2"/>
  <c r="AR345" i="2" s="1"/>
  <c r="AQ346" i="2"/>
  <c r="AR346" i="2" s="1"/>
  <c r="AX346" i="2" s="1"/>
  <c r="AQ347" i="2"/>
  <c r="AR347" i="2" s="1"/>
  <c r="AQ348" i="2"/>
  <c r="AR348" i="2" s="1"/>
  <c r="AQ349" i="2"/>
  <c r="AR349" i="2" s="1"/>
  <c r="AQ350" i="2"/>
  <c r="AR350" i="2" s="1"/>
  <c r="AQ351" i="2"/>
  <c r="AR351" i="2" s="1"/>
  <c r="AQ352" i="2"/>
  <c r="AR352" i="2"/>
  <c r="AQ353" i="2"/>
  <c r="AR353" i="2" s="1"/>
  <c r="AQ354" i="2"/>
  <c r="AR354" i="2" s="1"/>
  <c r="AQ355" i="2"/>
  <c r="AR355" i="2" s="1"/>
  <c r="AQ356" i="2"/>
  <c r="AR356" i="2" s="1"/>
  <c r="AX356" i="2" s="1"/>
  <c r="AQ357" i="2"/>
  <c r="AR357" i="2" s="1"/>
  <c r="AQ362" i="2"/>
  <c r="AR362" i="2" s="1"/>
  <c r="AQ363" i="2"/>
  <c r="AR363" i="2" s="1"/>
  <c r="AX363" i="2" s="1"/>
  <c r="AQ364" i="2"/>
  <c r="AR364" i="2" s="1"/>
  <c r="AQ365" i="2"/>
  <c r="AR365" i="2" s="1"/>
  <c r="AQ366" i="2"/>
  <c r="AR366" i="2" s="1"/>
  <c r="AQ367" i="2"/>
  <c r="AR367" i="2" s="1"/>
  <c r="AQ368" i="2"/>
  <c r="AR368" i="2" s="1"/>
  <c r="AQ369" i="2"/>
  <c r="AR369" i="2"/>
  <c r="AQ370" i="2"/>
  <c r="AR370" i="2" s="1"/>
  <c r="AQ371" i="2"/>
  <c r="AR371" i="2" s="1"/>
  <c r="AX371" i="2" s="1"/>
  <c r="AQ372" i="2"/>
  <c r="AR372" i="2" s="1"/>
  <c r="AQ373" i="2"/>
  <c r="AR373" i="2" s="1"/>
  <c r="AQ374" i="2"/>
  <c r="AR374" i="2" s="1"/>
  <c r="AQ375" i="2"/>
  <c r="AR375" i="2" s="1"/>
  <c r="AX375" i="2" s="1"/>
  <c r="AQ376" i="2"/>
  <c r="AR376" i="2" s="1"/>
  <c r="AQ377" i="2"/>
  <c r="AR377" i="2"/>
  <c r="AQ378" i="2"/>
  <c r="AR378" i="2" s="1"/>
  <c r="AQ379" i="2"/>
  <c r="AR379" i="2" s="1"/>
  <c r="AQ380" i="2"/>
  <c r="AR380" i="2" s="1"/>
  <c r="AQ381" i="2"/>
  <c r="AR381" i="2" s="1"/>
  <c r="AQ382" i="2"/>
  <c r="AR382" i="2" s="1"/>
  <c r="AQ383" i="2"/>
  <c r="AR383" i="2" s="1"/>
  <c r="AX383" i="2" s="1"/>
  <c r="AQ384" i="2"/>
  <c r="AR384" i="2" s="1"/>
  <c r="AQ385" i="2"/>
  <c r="AR385" i="2" s="1"/>
  <c r="AQ386" i="2"/>
  <c r="AR386" i="2" s="1"/>
  <c r="AQ387" i="2"/>
  <c r="AR387" i="2" s="1"/>
  <c r="AX387" i="2" s="1"/>
  <c r="AQ388" i="2"/>
  <c r="AR388" i="2" s="1"/>
  <c r="AQ389" i="2"/>
  <c r="AR389" i="2" s="1"/>
  <c r="AX389" i="2" s="1"/>
  <c r="AQ390" i="2"/>
  <c r="AR390" i="2" s="1"/>
  <c r="AQ391" i="2"/>
  <c r="AR391" i="2" s="1"/>
  <c r="AQ396" i="2"/>
  <c r="AR396" i="2" s="1"/>
  <c r="AQ397" i="2"/>
  <c r="AR397" i="2" s="1"/>
  <c r="AQ398" i="2"/>
  <c r="AR398" i="2" s="1"/>
  <c r="AQ399" i="2"/>
  <c r="AR399" i="2" s="1"/>
  <c r="AQ400" i="2"/>
  <c r="AR400" i="2" s="1"/>
  <c r="AX400" i="2" s="1"/>
  <c r="AQ401" i="2"/>
  <c r="AR401" i="2" s="1"/>
  <c r="AQ402" i="2"/>
  <c r="AR402" i="2"/>
  <c r="AQ403" i="2"/>
  <c r="AR403" i="2" s="1"/>
  <c r="AX403" i="2" s="1"/>
  <c r="AQ404" i="2"/>
  <c r="AR404" i="2" s="1"/>
  <c r="AQ405" i="2"/>
  <c r="AR405" i="2" s="1"/>
  <c r="AQ406" i="2"/>
  <c r="AR406" i="2" s="1"/>
  <c r="AQ407" i="2"/>
  <c r="AR407" i="2" s="1"/>
  <c r="AQ408" i="2"/>
  <c r="AR408" i="2" s="1"/>
  <c r="AQ409" i="2"/>
  <c r="AR409" i="2" s="1"/>
  <c r="AQ410" i="2"/>
  <c r="AR410" i="2" s="1"/>
  <c r="AQ411" i="2"/>
  <c r="AR411" i="2" s="1"/>
  <c r="AQ412" i="2"/>
  <c r="AR412" i="2" s="1"/>
  <c r="AX412" i="2" s="1"/>
  <c r="AQ413" i="2"/>
  <c r="AR413" i="2" s="1"/>
  <c r="AQ414" i="2"/>
  <c r="AR414" i="2" s="1"/>
  <c r="AQ415" i="2"/>
  <c r="AR415" i="2" s="1"/>
  <c r="AQ416" i="2"/>
  <c r="AR416" i="2" s="1"/>
  <c r="AQ417" i="2"/>
  <c r="AR417" i="2" s="1"/>
  <c r="AQ418" i="2"/>
  <c r="AR418" i="2"/>
  <c r="AQ419" i="2"/>
  <c r="AR419" i="2" s="1"/>
  <c r="AQ420" i="2"/>
  <c r="AR420" i="2" s="1"/>
  <c r="AQ421" i="2"/>
  <c r="AR421" i="2" s="1"/>
  <c r="AQ422" i="2"/>
  <c r="AR422" i="2" s="1"/>
  <c r="AQ423" i="2"/>
  <c r="AR423" i="2" s="1"/>
  <c r="AQ424" i="2"/>
  <c r="AR424" i="2" s="1"/>
  <c r="AX424" i="2" s="1"/>
  <c r="AQ425" i="2"/>
  <c r="AR425" i="2" s="1"/>
  <c r="AQ426" i="2"/>
  <c r="AR426" i="2"/>
  <c r="AQ429" i="2"/>
  <c r="AV17" i="2"/>
  <c r="AV18" i="2"/>
  <c r="AW18" i="2" s="1"/>
  <c r="AX18" i="2" s="1"/>
  <c r="AV19" i="2"/>
  <c r="AW19" i="2" s="1"/>
  <c r="AV20" i="2"/>
  <c r="AV21" i="2"/>
  <c r="AV22" i="2"/>
  <c r="AW22" i="2" s="1"/>
  <c r="AX22" i="2" s="1"/>
  <c r="AV23" i="2"/>
  <c r="AW23" i="2" s="1"/>
  <c r="AV24" i="2"/>
  <c r="AW24" i="2" s="1"/>
  <c r="AV25" i="2"/>
  <c r="AW25" i="2" s="1"/>
  <c r="AX25" i="2" s="1"/>
  <c r="AV26" i="2"/>
  <c r="AW26" i="2" s="1"/>
  <c r="AV27" i="2"/>
  <c r="AW27" i="2" s="1"/>
  <c r="AV28" i="2"/>
  <c r="AW28" i="2" s="1"/>
  <c r="AX28" i="2" s="1"/>
  <c r="AV29" i="2"/>
  <c r="AW29" i="2" s="1"/>
  <c r="AX29" i="2" s="1"/>
  <c r="AV30" i="2"/>
  <c r="AW30" i="2" s="1"/>
  <c r="AX30" i="2" s="1"/>
  <c r="AV31" i="2"/>
  <c r="AW31" i="2"/>
  <c r="AV32" i="2"/>
  <c r="AV33" i="2"/>
  <c r="AV34" i="2"/>
  <c r="AW34" i="2" s="1"/>
  <c r="AX34" i="2" s="1"/>
  <c r="AV35" i="2"/>
  <c r="AW35" i="2" s="1"/>
  <c r="AV36" i="2"/>
  <c r="AW36" i="2" s="1"/>
  <c r="AV37" i="2"/>
  <c r="AW37" i="2" s="1"/>
  <c r="AV38" i="2"/>
  <c r="AW38" i="2" s="1"/>
  <c r="AX38" i="2" s="1"/>
  <c r="AV39" i="2"/>
  <c r="AW39" i="2" s="1"/>
  <c r="AV40" i="2"/>
  <c r="AW40" i="2" s="1"/>
  <c r="AX40" i="2" s="1"/>
  <c r="AV41" i="2"/>
  <c r="AW41" i="2" s="1"/>
  <c r="AX41" i="2" s="1"/>
  <c r="AV42" i="2"/>
  <c r="AW42" i="2" s="1"/>
  <c r="AX42" i="2" s="1"/>
  <c r="AV43" i="2"/>
  <c r="AW43" i="2"/>
  <c r="AV44" i="2"/>
  <c r="AV45" i="2"/>
  <c r="AV46" i="2"/>
  <c r="AW46" i="2" s="1"/>
  <c r="AX46" i="2" s="1"/>
  <c r="AV47" i="2"/>
  <c r="AW47" i="2" s="1"/>
  <c r="AV52" i="2"/>
  <c r="AW52" i="2"/>
  <c r="AV53" i="2"/>
  <c r="AV54" i="2"/>
  <c r="AW54" i="2" s="1"/>
  <c r="AV55" i="2"/>
  <c r="AW55" i="2" s="1"/>
  <c r="AV56" i="2"/>
  <c r="AW56" i="2"/>
  <c r="AV57" i="2"/>
  <c r="AV58" i="2"/>
  <c r="AW58" i="2" s="1"/>
  <c r="AV59" i="2"/>
  <c r="AW59" i="2" s="1"/>
  <c r="AV60" i="2"/>
  <c r="AW60" i="2" s="1"/>
  <c r="AX60" i="2" s="1"/>
  <c r="AV61" i="2"/>
  <c r="AW61" i="2" s="1"/>
  <c r="AX61" i="2" s="1"/>
  <c r="AV62" i="2"/>
  <c r="AW62" i="2"/>
  <c r="AV63" i="2"/>
  <c r="AW63" i="2" s="1"/>
  <c r="AV64" i="2"/>
  <c r="AW64" i="2"/>
  <c r="AV65" i="2"/>
  <c r="AW65" i="2" s="1"/>
  <c r="AX65" i="2" s="1"/>
  <c r="AV66" i="2"/>
  <c r="AW66" i="2" s="1"/>
  <c r="AV67" i="2"/>
  <c r="AW67" i="2" s="1"/>
  <c r="AV68" i="2"/>
  <c r="AW68" i="2" s="1"/>
  <c r="AX68" i="2" s="1"/>
  <c r="AV69" i="2"/>
  <c r="AV70" i="2"/>
  <c r="AW70" i="2" s="1"/>
  <c r="AV71" i="2"/>
  <c r="AW71" i="2"/>
  <c r="AV72" i="2"/>
  <c r="AW72" i="2" s="1"/>
  <c r="AX72" i="2" s="1"/>
  <c r="AV73" i="2"/>
  <c r="AW73" i="2" s="1"/>
  <c r="AV74" i="2"/>
  <c r="AW74" i="2" s="1"/>
  <c r="AX74" i="2" s="1"/>
  <c r="AV75" i="2"/>
  <c r="AW75" i="2" s="1"/>
  <c r="AV76" i="2"/>
  <c r="AV77" i="2"/>
  <c r="AW77" i="2" s="1"/>
  <c r="AV78" i="2"/>
  <c r="AW78" i="2" s="1"/>
  <c r="AV79" i="2"/>
  <c r="AW79" i="2" s="1"/>
  <c r="AV80" i="2"/>
  <c r="AW80" i="2"/>
  <c r="AV85" i="2"/>
  <c r="AW85" i="2" s="1"/>
  <c r="AV86" i="2"/>
  <c r="AW86" i="2" s="1"/>
  <c r="AX86" i="2" s="1"/>
  <c r="AV87" i="2"/>
  <c r="AW87" i="2"/>
  <c r="AV88" i="2"/>
  <c r="AV89" i="2"/>
  <c r="AW89" i="2" s="1"/>
  <c r="AX89" i="2" s="1"/>
  <c r="AV90" i="2"/>
  <c r="AW90" i="2" s="1"/>
  <c r="AV91" i="2"/>
  <c r="AW91" i="2" s="1"/>
  <c r="AV92" i="2"/>
  <c r="AW92" i="2" s="1"/>
  <c r="AV93" i="2"/>
  <c r="AW93" i="2"/>
  <c r="AV94" i="2"/>
  <c r="AW94" i="2" s="1"/>
  <c r="AV95" i="2"/>
  <c r="AW95" i="2" s="1"/>
  <c r="AX95" i="2" s="1"/>
  <c r="AV96" i="2"/>
  <c r="AW96" i="2"/>
  <c r="AV97" i="2"/>
  <c r="AW97" i="2" s="1"/>
  <c r="AX97" i="2" s="1"/>
  <c r="AV98" i="2"/>
  <c r="AW98" i="2" s="1"/>
  <c r="AV99" i="2"/>
  <c r="AW99" i="2"/>
  <c r="AV100" i="2"/>
  <c r="AV101" i="2"/>
  <c r="AW101" i="2"/>
  <c r="AV102" i="2"/>
  <c r="AW102" i="2" s="1"/>
  <c r="AX102" i="2" s="1"/>
  <c r="AV103" i="2"/>
  <c r="AW103" i="2" s="1"/>
  <c r="AV104" i="2"/>
  <c r="AW104" i="2" s="1"/>
  <c r="AV105" i="2"/>
  <c r="AW105" i="2"/>
  <c r="AV106" i="2"/>
  <c r="AW106" i="2" s="1"/>
  <c r="AV107" i="2"/>
  <c r="AW107" i="2" s="1"/>
  <c r="AX107" i="2" s="1"/>
  <c r="AV108" i="2"/>
  <c r="AW108" i="2" s="1"/>
  <c r="AV109" i="2"/>
  <c r="AW109" i="2" s="1"/>
  <c r="AX109" i="2" s="1"/>
  <c r="AV110" i="2"/>
  <c r="AW110" i="2" s="1"/>
  <c r="AX110" i="2" s="1"/>
  <c r="AV111" i="2"/>
  <c r="AW111" i="2"/>
  <c r="AV112" i="2"/>
  <c r="AW112" i="2" s="1"/>
  <c r="AV113" i="2"/>
  <c r="AW113" i="2" s="1"/>
  <c r="AX113" i="2" s="1"/>
  <c r="AV114" i="2"/>
  <c r="AW114" i="2" s="1"/>
  <c r="AV115" i="2"/>
  <c r="AW115" i="2" s="1"/>
  <c r="AV120" i="2"/>
  <c r="AW120" i="2" s="1"/>
  <c r="AV121" i="2"/>
  <c r="AW121" i="2" s="1"/>
  <c r="AX121" i="2" s="1"/>
  <c r="AV122" i="2"/>
  <c r="AW122" i="2" s="1"/>
  <c r="AV123" i="2"/>
  <c r="AW123" i="2" s="1"/>
  <c r="AV124" i="2"/>
  <c r="AW124" i="2"/>
  <c r="AV125" i="2"/>
  <c r="AW125" i="2" s="1"/>
  <c r="AV126" i="2"/>
  <c r="AW126" i="2" s="1"/>
  <c r="AV127" i="2"/>
  <c r="AW127" i="2" s="1"/>
  <c r="AV128" i="2"/>
  <c r="AW128" i="2" s="1"/>
  <c r="AX128" i="2" s="1"/>
  <c r="AV129" i="2"/>
  <c r="AW129" i="2" s="1"/>
  <c r="AV130" i="2"/>
  <c r="AW130" i="2"/>
  <c r="AV131" i="2"/>
  <c r="AW131" i="2" s="1"/>
  <c r="AX131" i="2" s="1"/>
  <c r="AV132" i="2"/>
  <c r="AW132" i="2"/>
  <c r="AV133" i="2"/>
  <c r="AW133" i="2" s="1"/>
  <c r="AX133" i="2" s="1"/>
  <c r="AV134" i="2"/>
  <c r="AW134" i="2" s="1"/>
  <c r="AV135" i="2"/>
  <c r="AW135" i="2" s="1"/>
  <c r="AV136" i="2"/>
  <c r="AW136" i="2"/>
  <c r="AX136" i="2" s="1"/>
  <c r="AV137" i="2"/>
  <c r="AW137" i="2" s="1"/>
  <c r="AV138" i="2"/>
  <c r="AW138" i="2" s="1"/>
  <c r="AV139" i="2"/>
  <c r="AW139" i="2" s="1"/>
  <c r="AV140" i="2"/>
  <c r="AW140" i="2" s="1"/>
  <c r="AV141" i="2"/>
  <c r="AW141" i="2" s="1"/>
  <c r="AV142" i="2"/>
  <c r="AW142" i="2"/>
  <c r="AV143" i="2"/>
  <c r="AW143" i="2"/>
  <c r="AV144" i="2"/>
  <c r="AW144" i="2" s="1"/>
  <c r="AX144" i="2" s="1"/>
  <c r="AV145" i="2"/>
  <c r="AW145" i="2" s="1"/>
  <c r="AX145" i="2" s="1"/>
  <c r="AV146" i="2"/>
  <c r="AW146" i="2" s="1"/>
  <c r="AV147" i="2"/>
  <c r="AW147" i="2" s="1"/>
  <c r="AV148" i="2"/>
  <c r="AW148" i="2"/>
  <c r="AV149" i="2"/>
  <c r="AW149" i="2" s="1"/>
  <c r="AV154" i="2"/>
  <c r="AW154" i="2" s="1"/>
  <c r="AV155" i="2"/>
  <c r="AW155" i="2" s="1"/>
  <c r="AV156" i="2"/>
  <c r="AW156" i="2" s="1"/>
  <c r="AV157" i="2"/>
  <c r="AW157" i="2" s="1"/>
  <c r="AX157" i="2" s="1"/>
  <c r="AV158" i="2"/>
  <c r="AW158" i="2" s="1"/>
  <c r="AV159" i="2"/>
  <c r="AW159" i="2" s="1"/>
  <c r="AV160" i="2"/>
  <c r="AW160" i="2" s="1"/>
  <c r="AV161" i="2"/>
  <c r="AW161" i="2"/>
  <c r="AV162" i="2"/>
  <c r="AW162" i="2" s="1"/>
  <c r="AV163" i="2"/>
  <c r="AW163" i="2" s="1"/>
  <c r="AV164" i="2"/>
  <c r="AW164" i="2" s="1"/>
  <c r="AV165" i="2"/>
  <c r="AW165" i="2" s="1"/>
  <c r="AX165" i="2" s="1"/>
  <c r="AV166" i="2"/>
  <c r="AW166" i="2" s="1"/>
  <c r="AV167" i="2"/>
  <c r="AW167" i="2" s="1"/>
  <c r="AV168" i="2"/>
  <c r="AW168" i="2" s="1"/>
  <c r="AX168" i="2" s="1"/>
  <c r="AV169" i="2"/>
  <c r="AW169" i="2" s="1"/>
  <c r="AX169" i="2" s="1"/>
  <c r="AV170" i="2"/>
  <c r="AW170" i="2" s="1"/>
  <c r="AV171" i="2"/>
  <c r="AW171" i="2" s="1"/>
  <c r="AV172" i="2"/>
  <c r="AW172" i="2" s="1"/>
  <c r="AV173" i="2"/>
  <c r="AW173" i="2"/>
  <c r="AV174" i="2"/>
  <c r="AW174" i="2"/>
  <c r="AV175" i="2"/>
  <c r="AW175" i="2" s="1"/>
  <c r="AV176" i="2"/>
  <c r="AW176" i="2" s="1"/>
  <c r="AV177" i="2"/>
  <c r="AW177" i="2" s="1"/>
  <c r="AV178" i="2"/>
  <c r="AW178" i="2" s="1"/>
  <c r="AX178" i="2" s="1"/>
  <c r="AV179" i="2"/>
  <c r="AW179" i="2" s="1"/>
  <c r="AX179" i="2" s="1"/>
  <c r="AV180" i="2"/>
  <c r="AW180" i="2" s="1"/>
  <c r="AX180" i="2" s="1"/>
  <c r="AV181" i="2"/>
  <c r="AW181" i="2" s="1"/>
  <c r="AX181" i="2" s="1"/>
  <c r="AV182" i="2"/>
  <c r="AW182" i="2" s="1"/>
  <c r="AV183" i="2"/>
  <c r="AW183" i="2" s="1"/>
  <c r="AV184" i="2"/>
  <c r="AW184" i="2" s="1"/>
  <c r="AV189" i="2"/>
  <c r="AW189" i="2" s="1"/>
  <c r="AV190" i="2"/>
  <c r="AW190" i="2" s="1"/>
  <c r="AV191" i="2"/>
  <c r="AW191" i="2" s="1"/>
  <c r="AX191" i="2" s="1"/>
  <c r="AV192" i="2"/>
  <c r="AW192" i="2" s="1"/>
  <c r="AV193" i="2"/>
  <c r="AW193" i="2" s="1"/>
  <c r="AV194" i="2"/>
  <c r="AW194" i="2" s="1"/>
  <c r="AV195" i="2"/>
  <c r="AW195" i="2" s="1"/>
  <c r="AV196" i="2"/>
  <c r="AW196" i="2" s="1"/>
  <c r="AV197" i="2"/>
  <c r="AW197" i="2" s="1"/>
  <c r="AV198" i="2"/>
  <c r="AW198" i="2"/>
  <c r="AV199" i="2"/>
  <c r="AW199" i="2" s="1"/>
  <c r="AV200" i="2"/>
  <c r="AW200" i="2" s="1"/>
  <c r="AX200" i="2" s="1"/>
  <c r="AV201" i="2"/>
  <c r="AW201" i="2" s="1"/>
  <c r="AX201" i="2" s="1"/>
  <c r="AV202" i="2"/>
  <c r="AW202" i="2" s="1"/>
  <c r="AV203" i="2"/>
  <c r="AW203" i="2" s="1"/>
  <c r="AX203" i="2" s="1"/>
  <c r="AV204" i="2"/>
  <c r="AW204" i="2"/>
  <c r="AV205" i="2"/>
  <c r="AW205" i="2"/>
  <c r="AV206" i="2"/>
  <c r="AW206" i="2" s="1"/>
  <c r="AV207" i="2"/>
  <c r="AW207" i="2" s="1"/>
  <c r="AV208" i="2"/>
  <c r="AW208" i="2" s="1"/>
  <c r="AV209" i="2"/>
  <c r="AW209" i="2" s="1"/>
  <c r="AV210" i="2"/>
  <c r="AW210" i="2"/>
  <c r="AV211" i="2"/>
  <c r="AW211" i="2" s="1"/>
  <c r="AV212" i="2"/>
  <c r="AW212" i="2"/>
  <c r="AV213" i="2"/>
  <c r="AW213" i="2" s="1"/>
  <c r="AX213" i="2" s="1"/>
  <c r="AV214" i="2"/>
  <c r="AW214" i="2" s="1"/>
  <c r="AV215" i="2"/>
  <c r="AW215" i="2" s="1"/>
  <c r="AV216" i="2"/>
  <c r="AW216" i="2"/>
  <c r="AV217" i="2"/>
  <c r="AW217" i="2" s="1"/>
  <c r="AV218" i="2"/>
  <c r="AW218" i="2" s="1"/>
  <c r="AV223" i="2"/>
  <c r="AW223" i="2"/>
  <c r="AV224" i="2"/>
  <c r="AW224" i="2" s="1"/>
  <c r="AV225" i="2"/>
  <c r="AW225" i="2" s="1"/>
  <c r="AX225" i="2" s="1"/>
  <c r="AV226" i="2"/>
  <c r="AW226" i="2" s="1"/>
  <c r="AX226" i="2" s="1"/>
  <c r="AV227" i="2"/>
  <c r="AW227" i="2" s="1"/>
  <c r="AV228" i="2"/>
  <c r="AW228" i="2" s="1"/>
  <c r="AV229" i="2"/>
  <c r="AV255" i="2" s="1"/>
  <c r="AV230" i="2"/>
  <c r="AW230" i="2" s="1"/>
  <c r="AX230" i="2" s="1"/>
  <c r="AV231" i="2"/>
  <c r="AW231" i="2" s="1"/>
  <c r="AV232" i="2"/>
  <c r="AW232" i="2" s="1"/>
  <c r="AV233" i="2"/>
  <c r="AW233" i="2" s="1"/>
  <c r="AV234" i="2"/>
  <c r="AW234" i="2" s="1"/>
  <c r="AX234" i="2" s="1"/>
  <c r="AV235" i="2"/>
  <c r="AW235" i="2" s="1"/>
  <c r="AV236" i="2"/>
  <c r="AW236" i="2"/>
  <c r="AV237" i="2"/>
  <c r="AW237" i="2" s="1"/>
  <c r="AV238" i="2"/>
  <c r="AW238" i="2" s="1"/>
  <c r="AX238" i="2" s="1"/>
  <c r="AV239" i="2"/>
  <c r="AW239" i="2" s="1"/>
  <c r="AV240" i="2"/>
  <c r="AW240" i="2" s="1"/>
  <c r="AV241" i="2"/>
  <c r="AV242" i="2"/>
  <c r="AW242" i="2" s="1"/>
  <c r="AX242" i="2" s="1"/>
  <c r="AV243" i="2"/>
  <c r="AW243" i="2" s="1"/>
  <c r="AV244" i="2"/>
  <c r="AW244" i="2" s="1"/>
  <c r="AX244" i="2" s="1"/>
  <c r="AV245" i="2"/>
  <c r="AW245" i="2" s="1"/>
  <c r="AX245" i="2" s="1"/>
  <c r="AV246" i="2"/>
  <c r="AW246" i="2" s="1"/>
  <c r="AX246" i="2" s="1"/>
  <c r="AV247" i="2"/>
  <c r="AW247" i="2"/>
  <c r="AV248" i="2"/>
  <c r="AW248" i="2" s="1"/>
  <c r="AV249" i="2"/>
  <c r="AW249" i="2" s="1"/>
  <c r="AX249" i="2" s="1"/>
  <c r="AV250" i="2"/>
  <c r="AV251" i="2"/>
  <c r="AW251" i="2" s="1"/>
  <c r="AV252" i="2"/>
  <c r="AW252" i="2" s="1"/>
  <c r="AX252" i="2" s="1"/>
  <c r="AV253" i="2"/>
  <c r="AW253" i="2" s="1"/>
  <c r="AX253" i="2" s="1"/>
  <c r="AV258" i="2"/>
  <c r="AW258" i="2" s="1"/>
  <c r="AV259" i="2"/>
  <c r="AW259" i="2" s="1"/>
  <c r="AX259" i="2" s="1"/>
  <c r="AV260" i="2"/>
  <c r="AW260" i="2"/>
  <c r="AV261" i="2"/>
  <c r="AW261" i="2" s="1"/>
  <c r="AV262" i="2"/>
  <c r="AW262" i="2" s="1"/>
  <c r="AV263" i="2"/>
  <c r="AW263" i="2" s="1"/>
  <c r="AX263" i="2" s="1"/>
  <c r="AV264" i="2"/>
  <c r="AW264" i="2" s="1"/>
  <c r="AV265" i="2"/>
  <c r="AW265" i="2" s="1"/>
  <c r="AV266" i="2"/>
  <c r="AW266" i="2"/>
  <c r="AV267" i="2"/>
  <c r="AW267" i="2" s="1"/>
  <c r="AX267" i="2" s="1"/>
  <c r="AV268" i="2"/>
  <c r="AW268" i="2" s="1"/>
  <c r="AX268" i="2" s="1"/>
  <c r="AV269" i="2"/>
  <c r="AW269" i="2" s="1"/>
  <c r="AX269" i="2" s="1"/>
  <c r="AV270" i="2"/>
  <c r="AW270" i="2" s="1"/>
  <c r="AX270" i="2" s="1"/>
  <c r="AV271" i="2"/>
  <c r="AW271" i="2" s="1"/>
  <c r="AX271" i="2" s="1"/>
  <c r="AV272" i="2"/>
  <c r="AV273" i="2"/>
  <c r="AW273" i="2"/>
  <c r="AV274" i="2"/>
  <c r="AW274" i="2" s="1"/>
  <c r="AV275" i="2"/>
  <c r="AW275" i="2" s="1"/>
  <c r="AX275" i="2" s="1"/>
  <c r="AV276" i="2"/>
  <c r="AW276" i="2" s="1"/>
  <c r="AV277" i="2"/>
  <c r="AW277" i="2" s="1"/>
  <c r="AV278" i="2"/>
  <c r="AW278" i="2"/>
  <c r="AX278" i="2" s="1"/>
  <c r="AV279" i="2"/>
  <c r="AW279" i="2" s="1"/>
  <c r="AX279" i="2" s="1"/>
  <c r="AV280" i="2"/>
  <c r="AW280" i="2"/>
  <c r="AV281" i="2"/>
  <c r="AW281" i="2" s="1"/>
  <c r="AV282" i="2"/>
  <c r="AW282" i="2" s="1"/>
  <c r="AV283" i="2"/>
  <c r="AW283" i="2" s="1"/>
  <c r="AX283" i="2" s="1"/>
  <c r="AV284" i="2"/>
  <c r="AW284" i="2" s="1"/>
  <c r="AV285" i="2"/>
  <c r="AW285" i="2" s="1"/>
  <c r="AV286" i="2"/>
  <c r="AW286" i="2" s="1"/>
  <c r="AV287" i="2"/>
  <c r="AW287" i="2"/>
  <c r="AV288" i="2"/>
  <c r="AW288" i="2" s="1"/>
  <c r="AV293" i="2"/>
  <c r="AW293" i="2" s="1"/>
  <c r="AV294" i="2"/>
  <c r="AV295" i="2"/>
  <c r="AW295" i="2" s="1"/>
  <c r="AV296" i="2"/>
  <c r="AW296" i="2" s="1"/>
  <c r="AV297" i="2"/>
  <c r="AW297" i="2" s="1"/>
  <c r="AV298" i="2"/>
  <c r="AW298" i="2" s="1"/>
  <c r="AV299" i="2"/>
  <c r="AW299" i="2" s="1"/>
  <c r="AV300" i="2"/>
  <c r="AW300" i="2" s="1"/>
  <c r="AX300" i="2" s="1"/>
  <c r="AV301" i="2"/>
  <c r="AW301" i="2" s="1"/>
  <c r="AV302" i="2"/>
  <c r="AW302" i="2" s="1"/>
  <c r="AX302" i="2" s="1"/>
  <c r="AV303" i="2"/>
  <c r="AW303" i="2"/>
  <c r="AV304" i="2"/>
  <c r="AV305" i="2"/>
  <c r="AW305" i="2" s="1"/>
  <c r="AX305" i="2" s="1"/>
  <c r="AV306" i="2"/>
  <c r="AW306" i="2" s="1"/>
  <c r="AV307" i="2"/>
  <c r="AW307" i="2" s="1"/>
  <c r="AV308" i="2"/>
  <c r="AW308" i="2" s="1"/>
  <c r="AV309" i="2"/>
  <c r="AW309" i="2"/>
  <c r="AV310" i="2"/>
  <c r="AW310" i="2" s="1"/>
  <c r="AV311" i="2"/>
  <c r="AV312" i="2"/>
  <c r="AW312" i="2" s="1"/>
  <c r="AX312" i="2" s="1"/>
  <c r="AV313" i="2"/>
  <c r="AW313" i="2" s="1"/>
  <c r="AV314" i="2"/>
  <c r="AW314" i="2" s="1"/>
  <c r="AV315" i="2"/>
  <c r="AX315" i="2" s="1"/>
  <c r="AW315" i="2"/>
  <c r="AV316" i="2"/>
  <c r="AW316" i="2" s="1"/>
  <c r="AV317" i="2"/>
  <c r="AW317" i="2" s="1"/>
  <c r="AX317" i="2" s="1"/>
  <c r="AV318" i="2"/>
  <c r="AW318" i="2"/>
  <c r="AV319" i="2"/>
  <c r="AW319" i="2" s="1"/>
  <c r="AX319" i="2" s="1"/>
  <c r="AV320" i="2"/>
  <c r="AW320" i="2" s="1"/>
  <c r="AX320" i="2" s="1"/>
  <c r="AV321" i="2"/>
  <c r="AW321" i="2"/>
  <c r="AV322" i="2"/>
  <c r="AW322" i="2" s="1"/>
  <c r="AV327" i="2"/>
  <c r="AW327" i="2" s="1"/>
  <c r="AV328" i="2"/>
  <c r="AW328" i="2"/>
  <c r="AX328" i="2" s="1"/>
  <c r="AV329" i="2"/>
  <c r="AW329" i="2" s="1"/>
  <c r="AV330" i="2"/>
  <c r="AW330" i="2"/>
  <c r="AV331" i="2"/>
  <c r="AW331" i="2" s="1"/>
  <c r="AX331" i="2" s="1"/>
  <c r="AV332" i="2"/>
  <c r="AW332" i="2" s="1"/>
  <c r="AV333" i="2"/>
  <c r="AW333" i="2" s="1"/>
  <c r="AV334" i="2"/>
  <c r="AX334" i="2" s="1"/>
  <c r="AW334" i="2"/>
  <c r="AV335" i="2"/>
  <c r="AW335" i="2" s="1"/>
  <c r="AV336" i="2"/>
  <c r="AW336" i="2" s="1"/>
  <c r="AV337" i="2"/>
  <c r="AW337" i="2" s="1"/>
  <c r="AX337" i="2" s="1"/>
  <c r="AV338" i="2"/>
  <c r="AW338" i="2" s="1"/>
  <c r="AV339" i="2"/>
  <c r="AW339" i="2" s="1"/>
  <c r="AV340" i="2"/>
  <c r="AW340" i="2"/>
  <c r="AV341" i="2"/>
  <c r="AW341" i="2"/>
  <c r="AV342" i="2"/>
  <c r="AV343" i="2"/>
  <c r="AW343" i="2" s="1"/>
  <c r="AX343" i="2" s="1"/>
  <c r="AV344" i="2"/>
  <c r="AW344" i="2" s="1"/>
  <c r="AV345" i="2"/>
  <c r="AW345" i="2" s="1"/>
  <c r="AV346" i="2"/>
  <c r="AW346" i="2"/>
  <c r="AV347" i="2"/>
  <c r="AW347" i="2" s="1"/>
  <c r="AV348" i="2"/>
  <c r="AW348" i="2"/>
  <c r="AV349" i="2"/>
  <c r="AW349" i="2"/>
  <c r="AX349" i="2" s="1"/>
  <c r="AV350" i="2"/>
  <c r="AW350" i="2" s="1"/>
  <c r="AV351" i="2"/>
  <c r="AW351" i="2" s="1"/>
  <c r="AV352" i="2"/>
  <c r="AW352" i="2"/>
  <c r="AX352" i="2" s="1"/>
  <c r="AV353" i="2"/>
  <c r="AW353" i="2" s="1"/>
  <c r="AV354" i="2"/>
  <c r="AW354" i="2" s="1"/>
  <c r="AX354" i="2" s="1"/>
  <c r="AV355" i="2"/>
  <c r="AV356" i="2"/>
  <c r="AW356" i="2" s="1"/>
  <c r="AV357" i="2"/>
  <c r="AW357" i="2" s="1"/>
  <c r="AX357" i="2" s="1"/>
  <c r="AV362" i="2"/>
  <c r="AW362" i="2" s="1"/>
  <c r="AV363" i="2"/>
  <c r="AW363" i="2" s="1"/>
  <c r="AV364" i="2"/>
  <c r="AW364" i="2" s="1"/>
  <c r="AV365" i="2"/>
  <c r="AW365" i="2" s="1"/>
  <c r="AX365" i="2" s="1"/>
  <c r="AV366" i="2"/>
  <c r="AW366" i="2" s="1"/>
  <c r="AV367" i="2"/>
  <c r="AW367" i="2" s="1"/>
  <c r="AX367" i="2" s="1"/>
  <c r="AV368" i="2"/>
  <c r="AW368" i="2" s="1"/>
  <c r="AV369" i="2"/>
  <c r="AW369" i="2" s="1"/>
  <c r="AV370" i="2"/>
  <c r="AW370" i="2" s="1"/>
  <c r="AV371" i="2"/>
  <c r="AW371" i="2"/>
  <c r="AV372" i="2"/>
  <c r="AW372" i="2" s="1"/>
  <c r="AV373" i="2"/>
  <c r="AW373" i="2" s="1"/>
  <c r="AX373" i="2" s="1"/>
  <c r="AV374" i="2"/>
  <c r="AW374" i="2" s="1"/>
  <c r="AV375" i="2"/>
  <c r="AW375" i="2" s="1"/>
  <c r="AV376" i="2"/>
  <c r="AW376" i="2" s="1"/>
  <c r="AV377" i="2"/>
  <c r="AW377" i="2"/>
  <c r="AV378" i="2"/>
  <c r="AW378" i="2" s="1"/>
  <c r="AV379" i="2"/>
  <c r="AW379" i="2" s="1"/>
  <c r="AX379" i="2" s="1"/>
  <c r="AV380" i="2"/>
  <c r="AV381" i="2"/>
  <c r="AW381" i="2" s="1"/>
  <c r="AV382" i="2"/>
  <c r="AW382" i="2" s="1"/>
  <c r="AV383" i="2"/>
  <c r="AW383" i="2"/>
  <c r="AV384" i="2"/>
  <c r="AW384" i="2" s="1"/>
  <c r="AV385" i="2"/>
  <c r="AW385" i="2" s="1"/>
  <c r="AX385" i="2" s="1"/>
  <c r="AV386" i="2"/>
  <c r="AX386" i="2" s="1"/>
  <c r="AW386" i="2"/>
  <c r="AV387" i="2"/>
  <c r="AW387" i="2" s="1"/>
  <c r="AV388" i="2"/>
  <c r="AW388" i="2" s="1"/>
  <c r="AV389" i="2"/>
  <c r="AW389" i="2"/>
  <c r="AV390" i="2"/>
  <c r="AW390" i="2" s="1"/>
  <c r="AV391" i="2"/>
  <c r="AW391" i="2" s="1"/>
  <c r="AV396" i="2"/>
  <c r="AW396" i="2"/>
  <c r="AV397" i="2"/>
  <c r="AW397" i="2" s="1"/>
  <c r="AV398" i="2"/>
  <c r="AW398" i="2" s="1"/>
  <c r="AX398" i="2" s="1"/>
  <c r="AV399" i="2"/>
  <c r="AW399" i="2" s="1"/>
  <c r="AX399" i="2" s="1"/>
  <c r="AV400" i="2"/>
  <c r="AW400" i="2" s="1"/>
  <c r="AV401" i="2"/>
  <c r="AW401" i="2" s="1"/>
  <c r="AV402" i="2"/>
  <c r="AV428" i="2" s="1"/>
  <c r="AV403" i="2"/>
  <c r="AW403" i="2"/>
  <c r="AV404" i="2"/>
  <c r="AW404" i="2" s="1"/>
  <c r="AX404" i="2" s="1"/>
  <c r="AV405" i="2"/>
  <c r="AW405" i="2" s="1"/>
  <c r="AV406" i="2"/>
  <c r="AW406" i="2" s="1"/>
  <c r="AV407" i="2"/>
  <c r="AW407" i="2" s="1"/>
  <c r="AV408" i="2"/>
  <c r="AW408" i="2"/>
  <c r="AV409" i="2"/>
  <c r="AW409" i="2" s="1"/>
  <c r="AV410" i="2"/>
  <c r="AW410" i="2"/>
  <c r="AV411" i="2"/>
  <c r="AW411" i="2" s="1"/>
  <c r="AV412" i="2"/>
  <c r="AW412" i="2" s="1"/>
  <c r="AV413" i="2"/>
  <c r="AW413" i="2" s="1"/>
  <c r="AV414" i="2"/>
  <c r="AW414" i="2" s="1"/>
  <c r="AV415" i="2"/>
  <c r="AW415" i="2" s="1"/>
  <c r="AV416" i="2"/>
  <c r="AW416" i="2" s="1"/>
  <c r="AX416" i="2" s="1"/>
  <c r="AV417" i="2"/>
  <c r="AX417" i="2" s="1"/>
  <c r="AW417" i="2"/>
  <c r="AV418" i="2"/>
  <c r="AW418" i="2" s="1"/>
  <c r="AX418" i="2" s="1"/>
  <c r="AV419" i="2"/>
  <c r="AW419" i="2" s="1"/>
  <c r="AV420" i="2"/>
  <c r="AW420" i="2" s="1"/>
  <c r="AV421" i="2"/>
  <c r="AW421" i="2" s="1"/>
  <c r="AV422" i="2"/>
  <c r="AW422" i="2" s="1"/>
  <c r="AX422" i="2" s="1"/>
  <c r="AV423" i="2"/>
  <c r="AW423" i="2" s="1"/>
  <c r="AX423" i="2" s="1"/>
  <c r="AV424" i="2"/>
  <c r="AW424" i="2" s="1"/>
  <c r="AV425" i="2"/>
  <c r="AW425" i="2" s="1"/>
  <c r="AV426" i="2"/>
  <c r="AW426" i="2" s="1"/>
  <c r="AX426" i="2" s="1"/>
  <c r="AX19" i="2"/>
  <c r="AX23" i="2"/>
  <c r="AX24" i="2"/>
  <c r="AX27" i="2"/>
  <c r="AX31" i="2"/>
  <c r="AX35" i="2"/>
  <c r="AX36" i="2"/>
  <c r="AX39" i="2"/>
  <c r="AX43" i="2"/>
  <c r="AX47" i="2"/>
  <c r="AX52" i="2"/>
  <c r="AX54" i="2"/>
  <c r="AX55" i="2"/>
  <c r="AX56" i="2"/>
  <c r="AX62" i="2"/>
  <c r="AX64" i="2"/>
  <c r="AX66" i="2"/>
  <c r="AX73" i="2"/>
  <c r="AX75" i="2"/>
  <c r="AX79" i="2"/>
  <c r="AX80" i="2"/>
  <c r="AX87" i="2"/>
  <c r="AX91" i="2"/>
  <c r="AX92" i="2"/>
  <c r="AX93" i="2"/>
  <c r="AX94" i="2"/>
  <c r="AX101" i="2"/>
  <c r="AX103" i="2"/>
  <c r="AX104" i="2"/>
  <c r="AX106" i="2"/>
  <c r="AX111" i="2"/>
  <c r="AX115" i="2"/>
  <c r="AX123" i="2"/>
  <c r="AX129" i="2"/>
  <c r="AX134" i="2"/>
  <c r="AX135" i="2"/>
  <c r="AX141" i="2"/>
  <c r="AX142" i="2"/>
  <c r="AX143" i="2"/>
  <c r="AX147" i="2"/>
  <c r="AX160" i="2"/>
  <c r="AX171" i="2"/>
  <c r="AX172" i="2"/>
  <c r="AX184" i="2"/>
  <c r="AX196" i="2"/>
  <c r="AX197" i="2"/>
  <c r="AX204" i="2"/>
  <c r="AX209" i="2"/>
  <c r="AX212" i="2"/>
  <c r="AX228" i="2"/>
  <c r="AX265" i="2"/>
  <c r="AX277" i="2"/>
  <c r="AX280" i="2"/>
  <c r="AX287" i="2"/>
  <c r="AX295" i="2"/>
  <c r="AX296" i="2"/>
  <c r="AX303" i="2"/>
  <c r="AX308" i="2"/>
  <c r="AX318" i="2"/>
  <c r="AX327" i="2"/>
  <c r="AX330" i="2"/>
  <c r="AX333" i="2"/>
  <c r="AX345" i="2"/>
  <c r="AX348" i="2"/>
  <c r="AX351" i="2"/>
  <c r="AX369" i="2"/>
  <c r="AX376" i="2"/>
  <c r="AX377" i="2"/>
  <c r="AX382" i="2"/>
  <c r="AX401" i="2"/>
  <c r="AX410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116" i="2"/>
  <c r="C117" i="2"/>
  <c r="C118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BL430" i="6"/>
  <c r="BK430" i="6"/>
  <c r="BJ430" i="6"/>
  <c r="BI430" i="6"/>
  <c r="BH430" i="6"/>
  <c r="BG430" i="6"/>
  <c r="BF430" i="6"/>
  <c r="BD430" i="6"/>
  <c r="AS430" i="6"/>
  <c r="AN430" i="6"/>
  <c r="BL429" i="6"/>
  <c r="BK429" i="6"/>
  <c r="BJ429" i="6"/>
  <c r="BI429" i="6"/>
  <c r="BH429" i="6"/>
  <c r="BG429" i="6"/>
  <c r="BF429" i="6"/>
  <c r="BD429" i="6"/>
  <c r="BC429" i="6"/>
  <c r="BB429" i="6"/>
  <c r="BA429" i="6"/>
  <c r="AZ429" i="6"/>
  <c r="AY429" i="6"/>
  <c r="AU429" i="6"/>
  <c r="AT429" i="6"/>
  <c r="AS429" i="6"/>
  <c r="AP429" i="6"/>
  <c r="AO429" i="6"/>
  <c r="AN429" i="6"/>
  <c r="AM429" i="6"/>
  <c r="AL429" i="6"/>
  <c r="AK429" i="6"/>
  <c r="AJ429" i="6"/>
  <c r="AI429" i="6"/>
  <c r="AH429" i="6"/>
  <c r="AG429" i="6"/>
  <c r="AF429" i="6"/>
  <c r="AE429" i="6"/>
  <c r="AC429" i="6"/>
  <c r="AB429" i="6"/>
  <c r="AA429" i="6"/>
  <c r="Z429" i="6"/>
  <c r="Y429" i="6"/>
  <c r="X429" i="6"/>
  <c r="W429" i="6"/>
  <c r="V429" i="6"/>
  <c r="T429" i="6"/>
  <c r="S429" i="6"/>
  <c r="R429" i="6"/>
  <c r="Q429" i="6"/>
  <c r="P429" i="6"/>
  <c r="O429" i="6"/>
  <c r="N429" i="6"/>
  <c r="M429" i="6"/>
  <c r="K429" i="6"/>
  <c r="J429" i="6"/>
  <c r="I429" i="6"/>
  <c r="H429" i="6"/>
  <c r="G429" i="6"/>
  <c r="F429" i="6"/>
  <c r="E429" i="6"/>
  <c r="D429" i="6"/>
  <c r="BL428" i="6"/>
  <c r="BK428" i="6"/>
  <c r="BJ428" i="6"/>
  <c r="BI428" i="6"/>
  <c r="BH428" i="6"/>
  <c r="BG428" i="6"/>
  <c r="BF428" i="6"/>
  <c r="BD428" i="6"/>
  <c r="BC428" i="6"/>
  <c r="BB428" i="6"/>
  <c r="BA428" i="6"/>
  <c r="AZ428" i="6"/>
  <c r="AY428" i="6"/>
  <c r="AU428" i="6"/>
  <c r="AT428" i="6"/>
  <c r="AS428" i="6"/>
  <c r="AP428" i="6"/>
  <c r="AO428" i="6"/>
  <c r="AN428" i="6"/>
  <c r="AM428" i="6"/>
  <c r="AL428" i="6"/>
  <c r="AK428" i="6"/>
  <c r="AJ428" i="6"/>
  <c r="AI428" i="6"/>
  <c r="AH428" i="6"/>
  <c r="AG428" i="6"/>
  <c r="AF428" i="6"/>
  <c r="AE428" i="6"/>
  <c r="AC428" i="6"/>
  <c r="AB428" i="6"/>
  <c r="AA428" i="6"/>
  <c r="Z428" i="6"/>
  <c r="Y428" i="6"/>
  <c r="X428" i="6"/>
  <c r="W428" i="6"/>
  <c r="V428" i="6"/>
  <c r="T428" i="6"/>
  <c r="S428" i="6"/>
  <c r="R428" i="6"/>
  <c r="Q428" i="6"/>
  <c r="P428" i="6"/>
  <c r="O428" i="6"/>
  <c r="N428" i="6"/>
  <c r="M428" i="6"/>
  <c r="K428" i="6"/>
  <c r="J428" i="6"/>
  <c r="I428" i="6"/>
  <c r="H428" i="6"/>
  <c r="G428" i="6"/>
  <c r="F428" i="6"/>
  <c r="E428" i="6"/>
  <c r="D428" i="6"/>
  <c r="BL427" i="6"/>
  <c r="BK427" i="6"/>
  <c r="BJ427" i="6"/>
  <c r="BI427" i="6"/>
  <c r="BH427" i="6"/>
  <c r="BG427" i="6"/>
  <c r="BF427" i="6"/>
  <c r="BE427" i="6"/>
  <c r="BD427" i="6"/>
  <c r="BC427" i="6"/>
  <c r="BB427" i="6"/>
  <c r="BA427" i="6"/>
  <c r="AZ427" i="6"/>
  <c r="AY427" i="6"/>
  <c r="AU427" i="6"/>
  <c r="AT427" i="6"/>
  <c r="AS427" i="6"/>
  <c r="AP427" i="6"/>
  <c r="AO427" i="6"/>
  <c r="AN427" i="6"/>
  <c r="AM427" i="6"/>
  <c r="AL427" i="6"/>
  <c r="AK427" i="6"/>
  <c r="AJ427" i="6"/>
  <c r="AI427" i="6"/>
  <c r="AH427" i="6"/>
  <c r="AG427" i="6"/>
  <c r="AF427" i="6"/>
  <c r="AE427" i="6"/>
  <c r="AC427" i="6"/>
  <c r="AB427" i="6"/>
  <c r="AA427" i="6"/>
  <c r="Z427" i="6"/>
  <c r="Y427" i="6"/>
  <c r="X427" i="6"/>
  <c r="W427" i="6"/>
  <c r="V427" i="6"/>
  <c r="U427" i="6"/>
  <c r="T427" i="6"/>
  <c r="S427" i="6"/>
  <c r="R427" i="6"/>
  <c r="Q427" i="6"/>
  <c r="P427" i="6"/>
  <c r="O427" i="6"/>
  <c r="N427" i="6"/>
  <c r="M427" i="6"/>
  <c r="K427" i="6"/>
  <c r="J427" i="6"/>
  <c r="I427" i="6"/>
  <c r="H427" i="6"/>
  <c r="G427" i="6"/>
  <c r="F427" i="6"/>
  <c r="E427" i="6"/>
  <c r="D427" i="6"/>
  <c r="BE426" i="6"/>
  <c r="AV426" i="6"/>
  <c r="AW426" i="6" s="1"/>
  <c r="AQ426" i="6"/>
  <c r="AR426" i="6" s="1"/>
  <c r="AD426" i="6"/>
  <c r="U426" i="6"/>
  <c r="L426" i="6"/>
  <c r="C426" i="6"/>
  <c r="BE425" i="6"/>
  <c r="AV425" i="6"/>
  <c r="AW425" i="6" s="1"/>
  <c r="AQ425" i="6"/>
  <c r="AR425" i="6" s="1"/>
  <c r="AD425" i="6"/>
  <c r="U425" i="6"/>
  <c r="L425" i="6"/>
  <c r="C425" i="6"/>
  <c r="BE424" i="6"/>
  <c r="AV424" i="6"/>
  <c r="AW424" i="6" s="1"/>
  <c r="AQ424" i="6"/>
  <c r="AR424" i="6" s="1"/>
  <c r="AD424" i="6"/>
  <c r="U424" i="6"/>
  <c r="L424" i="6"/>
  <c r="C424" i="6"/>
  <c r="BE423" i="6"/>
  <c r="AV423" i="6"/>
  <c r="AW423" i="6" s="1"/>
  <c r="AQ423" i="6"/>
  <c r="AR423" i="6" s="1"/>
  <c r="AX423" i="6" s="1"/>
  <c r="AD423" i="6"/>
  <c r="U423" i="6"/>
  <c r="L423" i="6"/>
  <c r="C423" i="6"/>
  <c r="BE422" i="6"/>
  <c r="AV422" i="6"/>
  <c r="AW422" i="6" s="1"/>
  <c r="AQ422" i="6"/>
  <c r="AR422" i="6" s="1"/>
  <c r="AD422" i="6"/>
  <c r="U422" i="6"/>
  <c r="L422" i="6"/>
  <c r="C422" i="6"/>
  <c r="BE421" i="6"/>
  <c r="AV421" i="6"/>
  <c r="AW421" i="6" s="1"/>
  <c r="AQ421" i="6"/>
  <c r="AR421" i="6" s="1"/>
  <c r="AD421" i="6"/>
  <c r="U421" i="6"/>
  <c r="L421" i="6"/>
  <c r="C421" i="6"/>
  <c r="BE420" i="6"/>
  <c r="AV420" i="6"/>
  <c r="AW420" i="6" s="1"/>
  <c r="AQ420" i="6"/>
  <c r="AR420" i="6" s="1"/>
  <c r="AX420" i="6" s="1"/>
  <c r="AD420" i="6"/>
  <c r="U420" i="6"/>
  <c r="L420" i="6"/>
  <c r="C420" i="6"/>
  <c r="BE419" i="6"/>
  <c r="AV419" i="6"/>
  <c r="AW419" i="6" s="1"/>
  <c r="AQ419" i="6"/>
  <c r="AR419" i="6" s="1"/>
  <c r="AX419" i="6" s="1"/>
  <c r="AD419" i="6"/>
  <c r="U419" i="6"/>
  <c r="L419" i="6"/>
  <c r="C419" i="6"/>
  <c r="BE418" i="6"/>
  <c r="AV418" i="6"/>
  <c r="AW418" i="6" s="1"/>
  <c r="AQ418" i="6"/>
  <c r="AR418" i="6" s="1"/>
  <c r="AD418" i="6"/>
  <c r="U418" i="6"/>
  <c r="L418" i="6"/>
  <c r="C418" i="6"/>
  <c r="BE417" i="6"/>
  <c r="AV417" i="6"/>
  <c r="AW417" i="6" s="1"/>
  <c r="AQ417" i="6"/>
  <c r="AR417" i="6" s="1"/>
  <c r="AX417" i="6" s="1"/>
  <c r="AD417" i="6"/>
  <c r="U417" i="6"/>
  <c r="L417" i="6"/>
  <c r="C417" i="6"/>
  <c r="BE416" i="6"/>
  <c r="AV416" i="6"/>
  <c r="AW416" i="6" s="1"/>
  <c r="AQ416" i="6"/>
  <c r="AR416" i="6" s="1"/>
  <c r="AX416" i="6" s="1"/>
  <c r="AD416" i="6"/>
  <c r="U416" i="6"/>
  <c r="L416" i="6"/>
  <c r="C416" i="6"/>
  <c r="BE415" i="6"/>
  <c r="AV415" i="6"/>
  <c r="AW415" i="6" s="1"/>
  <c r="AQ415" i="6"/>
  <c r="AR415" i="6" s="1"/>
  <c r="AX415" i="6" s="1"/>
  <c r="AD415" i="6"/>
  <c r="U415" i="6"/>
  <c r="L415" i="6"/>
  <c r="C415" i="6"/>
  <c r="BE414" i="6"/>
  <c r="AV414" i="6"/>
  <c r="AW414" i="6" s="1"/>
  <c r="AQ414" i="6"/>
  <c r="AR414" i="6" s="1"/>
  <c r="AD414" i="6"/>
  <c r="U414" i="6"/>
  <c r="L414" i="6"/>
  <c r="C414" i="6"/>
  <c r="BE413" i="6"/>
  <c r="AV413" i="6"/>
  <c r="AW413" i="6" s="1"/>
  <c r="AQ413" i="6"/>
  <c r="AR413" i="6" s="1"/>
  <c r="AD413" i="6"/>
  <c r="U413" i="6"/>
  <c r="L413" i="6"/>
  <c r="C413" i="6"/>
  <c r="BE412" i="6"/>
  <c r="AV412" i="6"/>
  <c r="AW412" i="6" s="1"/>
  <c r="AQ412" i="6"/>
  <c r="AR412" i="6" s="1"/>
  <c r="AD412" i="6"/>
  <c r="U412" i="6"/>
  <c r="L412" i="6"/>
  <c r="C412" i="6"/>
  <c r="BE411" i="6"/>
  <c r="AV411" i="6"/>
  <c r="AW411" i="6" s="1"/>
  <c r="AQ411" i="6"/>
  <c r="AR411" i="6" s="1"/>
  <c r="AX411" i="6" s="1"/>
  <c r="AD411" i="6"/>
  <c r="U411" i="6"/>
  <c r="L411" i="6"/>
  <c r="C411" i="6"/>
  <c r="BE410" i="6"/>
  <c r="AV410" i="6"/>
  <c r="AW410" i="6" s="1"/>
  <c r="AQ410" i="6"/>
  <c r="AR410" i="6" s="1"/>
  <c r="AD410" i="6"/>
  <c r="U410" i="6"/>
  <c r="L410" i="6"/>
  <c r="C410" i="6"/>
  <c r="BE409" i="6"/>
  <c r="AV409" i="6"/>
  <c r="AQ409" i="6"/>
  <c r="AR409" i="6" s="1"/>
  <c r="AD409" i="6"/>
  <c r="U409" i="6"/>
  <c r="L409" i="6"/>
  <c r="C409" i="6"/>
  <c r="BE408" i="6"/>
  <c r="AV408" i="6"/>
  <c r="AQ408" i="6"/>
  <c r="AR408" i="6" s="1"/>
  <c r="AD408" i="6"/>
  <c r="U408" i="6"/>
  <c r="L408" i="6"/>
  <c r="C408" i="6"/>
  <c r="BE407" i="6"/>
  <c r="AV407" i="6"/>
  <c r="AQ407" i="6"/>
  <c r="AR407" i="6" s="1"/>
  <c r="AD407" i="6"/>
  <c r="U407" i="6"/>
  <c r="L407" i="6"/>
  <c r="C407" i="6"/>
  <c r="BE406" i="6"/>
  <c r="AV406" i="6"/>
  <c r="AQ406" i="6"/>
  <c r="AR406" i="6" s="1"/>
  <c r="AD406" i="6"/>
  <c r="U406" i="6"/>
  <c r="L406" i="6"/>
  <c r="C406" i="6"/>
  <c r="BE405" i="6"/>
  <c r="AV405" i="6"/>
  <c r="AQ405" i="6"/>
  <c r="AR405" i="6" s="1"/>
  <c r="AD405" i="6"/>
  <c r="U405" i="6"/>
  <c r="L405" i="6"/>
  <c r="C405" i="6"/>
  <c r="BE404" i="6"/>
  <c r="AV404" i="6"/>
  <c r="AQ404" i="6"/>
  <c r="AR404" i="6" s="1"/>
  <c r="AD404" i="6"/>
  <c r="U404" i="6"/>
  <c r="L404" i="6"/>
  <c r="C404" i="6"/>
  <c r="BE403" i="6"/>
  <c r="AV403" i="6"/>
  <c r="AQ403" i="6"/>
  <c r="AR403" i="6" s="1"/>
  <c r="AD403" i="6"/>
  <c r="U403" i="6"/>
  <c r="L403" i="6"/>
  <c r="C403" i="6"/>
  <c r="BE402" i="6"/>
  <c r="AV402" i="6"/>
  <c r="AQ402" i="6"/>
  <c r="AR402" i="6" s="1"/>
  <c r="AD402" i="6"/>
  <c r="U402" i="6"/>
  <c r="L402" i="6"/>
  <c r="C402" i="6"/>
  <c r="BE401" i="6"/>
  <c r="AV401" i="6"/>
  <c r="AQ401" i="6"/>
  <c r="AR401" i="6" s="1"/>
  <c r="AD401" i="6"/>
  <c r="U401" i="6"/>
  <c r="L401" i="6"/>
  <c r="C401" i="6"/>
  <c r="BE400" i="6"/>
  <c r="AV400" i="6"/>
  <c r="AQ400" i="6"/>
  <c r="AR400" i="6" s="1"/>
  <c r="AD400" i="6"/>
  <c r="U400" i="6"/>
  <c r="L400" i="6"/>
  <c r="C400" i="6"/>
  <c r="BE399" i="6"/>
  <c r="AV399" i="6"/>
  <c r="AQ399" i="6"/>
  <c r="AR399" i="6" s="1"/>
  <c r="AD399" i="6"/>
  <c r="U399" i="6"/>
  <c r="L399" i="6"/>
  <c r="C399" i="6"/>
  <c r="BE398" i="6"/>
  <c r="AV398" i="6"/>
  <c r="AQ398" i="6"/>
  <c r="AR398" i="6" s="1"/>
  <c r="AD398" i="6"/>
  <c r="U398" i="6"/>
  <c r="L398" i="6"/>
  <c r="C398" i="6"/>
  <c r="BE397" i="6"/>
  <c r="AV397" i="6"/>
  <c r="AQ397" i="6"/>
  <c r="AR397" i="6" s="1"/>
  <c r="AD397" i="6"/>
  <c r="U397" i="6"/>
  <c r="L397" i="6"/>
  <c r="C397" i="6"/>
  <c r="BE396" i="6"/>
  <c r="BE429" i="6" s="1"/>
  <c r="AV396" i="6"/>
  <c r="AV429" i="6" s="1"/>
  <c r="AQ396" i="6"/>
  <c r="AD396" i="6"/>
  <c r="AD428" i="6" s="1"/>
  <c r="U396" i="6"/>
  <c r="U429" i="6" s="1"/>
  <c r="L396" i="6"/>
  <c r="L429" i="6" s="1"/>
  <c r="C396" i="6"/>
  <c r="C429" i="6" s="1"/>
  <c r="BL395" i="6"/>
  <c r="BK395" i="6"/>
  <c r="BJ395" i="6"/>
  <c r="BI395" i="6"/>
  <c r="BH395" i="6"/>
  <c r="BG395" i="6"/>
  <c r="BF395" i="6"/>
  <c r="BD395" i="6"/>
  <c r="AS395" i="6"/>
  <c r="AN395" i="6"/>
  <c r="BL394" i="6"/>
  <c r="BK394" i="6"/>
  <c r="BJ394" i="6"/>
  <c r="BI394" i="6"/>
  <c r="BH394" i="6"/>
  <c r="BG394" i="6"/>
  <c r="BF394" i="6"/>
  <c r="BD394" i="6"/>
  <c r="BC394" i="6"/>
  <c r="BB394" i="6"/>
  <c r="BA394" i="6"/>
  <c r="AZ394" i="6"/>
  <c r="AY394" i="6"/>
  <c r="AU394" i="6"/>
  <c r="AT394" i="6"/>
  <c r="AS394" i="6"/>
  <c r="AP394" i="6"/>
  <c r="AO394" i="6"/>
  <c r="AN394" i="6"/>
  <c r="AM394" i="6"/>
  <c r="AL394" i="6"/>
  <c r="AK394" i="6"/>
  <c r="AJ394" i="6"/>
  <c r="AI394" i="6"/>
  <c r="AH394" i="6"/>
  <c r="AG394" i="6"/>
  <c r="AF394" i="6"/>
  <c r="AE394" i="6"/>
  <c r="AC394" i="6"/>
  <c r="AB394" i="6"/>
  <c r="AA394" i="6"/>
  <c r="Z394" i="6"/>
  <c r="Y394" i="6"/>
  <c r="X394" i="6"/>
  <c r="W394" i="6"/>
  <c r="V394" i="6"/>
  <c r="T394" i="6"/>
  <c r="S394" i="6"/>
  <c r="R394" i="6"/>
  <c r="Q394" i="6"/>
  <c r="P394" i="6"/>
  <c r="O394" i="6"/>
  <c r="N394" i="6"/>
  <c r="M394" i="6"/>
  <c r="K394" i="6"/>
  <c r="J394" i="6"/>
  <c r="I394" i="6"/>
  <c r="H394" i="6"/>
  <c r="G394" i="6"/>
  <c r="F394" i="6"/>
  <c r="E394" i="6"/>
  <c r="D394" i="6"/>
  <c r="BL393" i="6"/>
  <c r="BK393" i="6"/>
  <c r="BJ393" i="6"/>
  <c r="BI393" i="6"/>
  <c r="BH393" i="6"/>
  <c r="BG393" i="6"/>
  <c r="BF393" i="6"/>
  <c r="BD393" i="6"/>
  <c r="BC393" i="6"/>
  <c r="BB393" i="6"/>
  <c r="BA393" i="6"/>
  <c r="AZ393" i="6"/>
  <c r="AY393" i="6"/>
  <c r="AU393" i="6"/>
  <c r="AT393" i="6"/>
  <c r="AS393" i="6"/>
  <c r="AP393" i="6"/>
  <c r="AO393" i="6"/>
  <c r="AN393" i="6"/>
  <c r="AM393" i="6"/>
  <c r="AL393" i="6"/>
  <c r="AK393" i="6"/>
  <c r="AJ393" i="6"/>
  <c r="AI393" i="6"/>
  <c r="AH393" i="6"/>
  <c r="AG393" i="6"/>
  <c r="AF393" i="6"/>
  <c r="AE393" i="6"/>
  <c r="AC393" i="6"/>
  <c r="AB393" i="6"/>
  <c r="AA393" i="6"/>
  <c r="Z393" i="6"/>
  <c r="Y393" i="6"/>
  <c r="X393" i="6"/>
  <c r="W393" i="6"/>
  <c r="V393" i="6"/>
  <c r="T393" i="6"/>
  <c r="S393" i="6"/>
  <c r="R393" i="6"/>
  <c r="Q393" i="6"/>
  <c r="P393" i="6"/>
  <c r="O393" i="6"/>
  <c r="N393" i="6"/>
  <c r="M393" i="6"/>
  <c r="K393" i="6"/>
  <c r="J393" i="6"/>
  <c r="I393" i="6"/>
  <c r="H393" i="6"/>
  <c r="G393" i="6"/>
  <c r="F393" i="6"/>
  <c r="E393" i="6"/>
  <c r="D393" i="6"/>
  <c r="BL392" i="6"/>
  <c r="BK392" i="6"/>
  <c r="BJ392" i="6"/>
  <c r="BI392" i="6"/>
  <c r="BH392" i="6"/>
  <c r="BG392" i="6"/>
  <c r="BF392" i="6"/>
  <c r="BD392" i="6"/>
  <c r="BC392" i="6"/>
  <c r="BB392" i="6"/>
  <c r="BA392" i="6"/>
  <c r="AZ392" i="6"/>
  <c r="AY392" i="6"/>
  <c r="AU392" i="6"/>
  <c r="AT392" i="6"/>
  <c r="AS392" i="6"/>
  <c r="AP392" i="6"/>
  <c r="AO392" i="6"/>
  <c r="AN392" i="6"/>
  <c r="AM392" i="6"/>
  <c r="AL392" i="6"/>
  <c r="AK392" i="6"/>
  <c r="AJ392" i="6"/>
  <c r="AI392" i="6"/>
  <c r="AH392" i="6"/>
  <c r="AG392" i="6"/>
  <c r="AF392" i="6"/>
  <c r="AE392" i="6"/>
  <c r="AC392" i="6"/>
  <c r="AB392" i="6"/>
  <c r="AA392" i="6"/>
  <c r="Z392" i="6"/>
  <c r="Y392" i="6"/>
  <c r="X392" i="6"/>
  <c r="W392" i="6"/>
  <c r="V392" i="6"/>
  <c r="T392" i="6"/>
  <c r="S392" i="6"/>
  <c r="R392" i="6"/>
  <c r="Q392" i="6"/>
  <c r="P392" i="6"/>
  <c r="O392" i="6"/>
  <c r="N392" i="6"/>
  <c r="M392" i="6"/>
  <c r="K392" i="6"/>
  <c r="J392" i="6"/>
  <c r="I392" i="6"/>
  <c r="H392" i="6"/>
  <c r="G392" i="6"/>
  <c r="F392" i="6"/>
  <c r="E392" i="6"/>
  <c r="D392" i="6"/>
  <c r="BE391" i="6"/>
  <c r="AX391" i="6"/>
  <c r="AW391" i="6"/>
  <c r="AV391" i="6"/>
  <c r="AR391" i="6"/>
  <c r="AQ391" i="6"/>
  <c r="AD391" i="6"/>
  <c r="U391" i="6"/>
  <c r="L391" i="6"/>
  <c r="C391" i="6"/>
  <c r="BE390" i="6"/>
  <c r="AW390" i="6"/>
  <c r="AV390" i="6"/>
  <c r="AR390" i="6"/>
  <c r="AX390" i="6" s="1"/>
  <c r="AQ390" i="6"/>
  <c r="AD390" i="6"/>
  <c r="U390" i="6"/>
  <c r="L390" i="6"/>
  <c r="C390" i="6"/>
  <c r="BE389" i="6"/>
  <c r="AW389" i="6"/>
  <c r="AV389" i="6"/>
  <c r="AR389" i="6"/>
  <c r="AX389" i="6" s="1"/>
  <c r="AQ389" i="6"/>
  <c r="AD389" i="6"/>
  <c r="U389" i="6"/>
  <c r="L389" i="6"/>
  <c r="C389" i="6"/>
  <c r="BE388" i="6"/>
  <c r="AW388" i="6"/>
  <c r="AV388" i="6"/>
  <c r="AR388" i="6"/>
  <c r="AX388" i="6" s="1"/>
  <c r="AQ388" i="6"/>
  <c r="AD388" i="6"/>
  <c r="U388" i="6"/>
  <c r="L388" i="6"/>
  <c r="C388" i="6"/>
  <c r="BE387" i="6"/>
  <c r="AW387" i="6"/>
  <c r="AV387" i="6"/>
  <c r="AR387" i="6"/>
  <c r="AX387" i="6" s="1"/>
  <c r="AQ387" i="6"/>
  <c r="AD387" i="6"/>
  <c r="U387" i="6"/>
  <c r="L387" i="6"/>
  <c r="C387" i="6"/>
  <c r="BE386" i="6"/>
  <c r="AW386" i="6"/>
  <c r="AV386" i="6"/>
  <c r="AR386" i="6"/>
  <c r="AX386" i="6" s="1"/>
  <c r="AQ386" i="6"/>
  <c r="AD386" i="6"/>
  <c r="U386" i="6"/>
  <c r="L386" i="6"/>
  <c r="C386" i="6"/>
  <c r="BE385" i="6"/>
  <c r="AX385" i="6"/>
  <c r="AW385" i="6"/>
  <c r="AV385" i="6"/>
  <c r="AR385" i="6"/>
  <c r="AQ385" i="6"/>
  <c r="AD385" i="6"/>
  <c r="U385" i="6"/>
  <c r="L385" i="6"/>
  <c r="C385" i="6"/>
  <c r="BE384" i="6"/>
  <c r="AW384" i="6"/>
  <c r="AV384" i="6"/>
  <c r="AR384" i="6"/>
  <c r="AX384" i="6" s="1"/>
  <c r="AQ384" i="6"/>
  <c r="AD384" i="6"/>
  <c r="U384" i="6"/>
  <c r="L384" i="6"/>
  <c r="C384" i="6"/>
  <c r="BE383" i="6"/>
  <c r="AW383" i="6"/>
  <c r="AV383" i="6"/>
  <c r="AR383" i="6"/>
  <c r="AX383" i="6" s="1"/>
  <c r="AQ383" i="6"/>
  <c r="AD383" i="6"/>
  <c r="U383" i="6"/>
  <c r="L383" i="6"/>
  <c r="C383" i="6"/>
  <c r="BE382" i="6"/>
  <c r="AW382" i="6"/>
  <c r="AV382" i="6"/>
  <c r="AR382" i="6"/>
  <c r="AX382" i="6" s="1"/>
  <c r="AQ382" i="6"/>
  <c r="AD382" i="6"/>
  <c r="U382" i="6"/>
  <c r="L382" i="6"/>
  <c r="C382" i="6"/>
  <c r="BE381" i="6"/>
  <c r="AW381" i="6"/>
  <c r="AV381" i="6"/>
  <c r="AR381" i="6"/>
  <c r="AX381" i="6" s="1"/>
  <c r="AQ381" i="6"/>
  <c r="AD381" i="6"/>
  <c r="U381" i="6"/>
  <c r="L381" i="6"/>
  <c r="C381" i="6"/>
  <c r="BE380" i="6"/>
  <c r="AW380" i="6"/>
  <c r="AV380" i="6"/>
  <c r="AR380" i="6"/>
  <c r="AX380" i="6" s="1"/>
  <c r="AQ380" i="6"/>
  <c r="AD380" i="6"/>
  <c r="U380" i="6"/>
  <c r="L380" i="6"/>
  <c r="C380" i="6"/>
  <c r="BE379" i="6"/>
  <c r="AX379" i="6"/>
  <c r="AW379" i="6"/>
  <c r="AV379" i="6"/>
  <c r="AR379" i="6"/>
  <c r="AQ379" i="6"/>
  <c r="AD379" i="6"/>
  <c r="U379" i="6"/>
  <c r="L379" i="6"/>
  <c r="C379" i="6"/>
  <c r="BE378" i="6"/>
  <c r="AW378" i="6"/>
  <c r="AV378" i="6"/>
  <c r="AX378" i="6" s="1"/>
  <c r="AR378" i="6"/>
  <c r="AQ378" i="6"/>
  <c r="AD378" i="6"/>
  <c r="U378" i="6"/>
  <c r="L378" i="6"/>
  <c r="C378" i="6"/>
  <c r="BE377" i="6"/>
  <c r="AW377" i="6"/>
  <c r="AV377" i="6"/>
  <c r="AR377" i="6"/>
  <c r="AX377" i="6" s="1"/>
  <c r="AQ377" i="6"/>
  <c r="AD377" i="6"/>
  <c r="U377" i="6"/>
  <c r="L377" i="6"/>
  <c r="C377" i="6"/>
  <c r="BE376" i="6"/>
  <c r="AW376" i="6"/>
  <c r="AV376" i="6"/>
  <c r="AX376" i="6" s="1"/>
  <c r="AR376" i="6"/>
  <c r="AQ376" i="6"/>
  <c r="AD376" i="6"/>
  <c r="U376" i="6"/>
  <c r="L376" i="6"/>
  <c r="C376" i="6"/>
  <c r="BE375" i="6"/>
  <c r="AW375" i="6"/>
  <c r="AV375" i="6"/>
  <c r="AR375" i="6"/>
  <c r="AX375" i="6" s="1"/>
  <c r="AQ375" i="6"/>
  <c r="AD375" i="6"/>
  <c r="U375" i="6"/>
  <c r="L375" i="6"/>
  <c r="C375" i="6"/>
  <c r="BE374" i="6"/>
  <c r="AW374" i="6"/>
  <c r="AV374" i="6"/>
  <c r="AX374" i="6" s="1"/>
  <c r="AR374" i="6"/>
  <c r="AQ374" i="6"/>
  <c r="AD374" i="6"/>
  <c r="U374" i="6"/>
  <c r="L374" i="6"/>
  <c r="C374" i="6"/>
  <c r="BE373" i="6"/>
  <c r="AX373" i="6"/>
  <c r="AW373" i="6"/>
  <c r="AV373" i="6"/>
  <c r="AR373" i="6"/>
  <c r="AQ373" i="6"/>
  <c r="AD373" i="6"/>
  <c r="U373" i="6"/>
  <c r="L373" i="6"/>
  <c r="C373" i="6"/>
  <c r="BE372" i="6"/>
  <c r="AW372" i="6"/>
  <c r="AV372" i="6"/>
  <c r="AX372" i="6" s="1"/>
  <c r="AR372" i="6"/>
  <c r="AQ372" i="6"/>
  <c r="AD372" i="6"/>
  <c r="U372" i="6"/>
  <c r="L372" i="6"/>
  <c r="C372" i="6"/>
  <c r="BE371" i="6"/>
  <c r="AW371" i="6"/>
  <c r="AV371" i="6"/>
  <c r="AR371" i="6"/>
  <c r="AX371" i="6" s="1"/>
  <c r="AQ371" i="6"/>
  <c r="AD371" i="6"/>
  <c r="U371" i="6"/>
  <c r="L371" i="6"/>
  <c r="C371" i="6"/>
  <c r="BE370" i="6"/>
  <c r="AW370" i="6"/>
  <c r="AV370" i="6"/>
  <c r="AX370" i="6" s="1"/>
  <c r="AR370" i="6"/>
  <c r="AQ370" i="6"/>
  <c r="AD370" i="6"/>
  <c r="U370" i="6"/>
  <c r="L370" i="6"/>
  <c r="C370" i="6"/>
  <c r="BE369" i="6"/>
  <c r="AW369" i="6"/>
  <c r="AV369" i="6"/>
  <c r="AR369" i="6"/>
  <c r="AX369" i="6" s="1"/>
  <c r="AQ369" i="6"/>
  <c r="AD369" i="6"/>
  <c r="U369" i="6"/>
  <c r="L369" i="6"/>
  <c r="C369" i="6"/>
  <c r="BE368" i="6"/>
  <c r="AW368" i="6"/>
  <c r="AV368" i="6"/>
  <c r="AX368" i="6" s="1"/>
  <c r="AR368" i="6"/>
  <c r="AQ368" i="6"/>
  <c r="AD368" i="6"/>
  <c r="U368" i="6"/>
  <c r="L368" i="6"/>
  <c r="C368" i="6"/>
  <c r="BE367" i="6"/>
  <c r="AX367" i="6"/>
  <c r="AW367" i="6"/>
  <c r="AV367" i="6"/>
  <c r="AR367" i="6"/>
  <c r="AQ367" i="6"/>
  <c r="AD367" i="6"/>
  <c r="U367" i="6"/>
  <c r="L367" i="6"/>
  <c r="C367" i="6"/>
  <c r="BE366" i="6"/>
  <c r="AW366" i="6"/>
  <c r="AV366" i="6"/>
  <c r="AX366" i="6" s="1"/>
  <c r="AR366" i="6"/>
  <c r="AQ366" i="6"/>
  <c r="AD366" i="6"/>
  <c r="U366" i="6"/>
  <c r="L366" i="6"/>
  <c r="C366" i="6"/>
  <c r="BE365" i="6"/>
  <c r="AW365" i="6"/>
  <c r="AV365" i="6"/>
  <c r="AR365" i="6"/>
  <c r="AX365" i="6" s="1"/>
  <c r="AQ365" i="6"/>
  <c r="AD365" i="6"/>
  <c r="U365" i="6"/>
  <c r="L365" i="6"/>
  <c r="C365" i="6"/>
  <c r="BE364" i="6"/>
  <c r="AW364" i="6"/>
  <c r="AV364" i="6"/>
  <c r="AX364" i="6" s="1"/>
  <c r="AR364" i="6"/>
  <c r="AQ364" i="6"/>
  <c r="AD364" i="6"/>
  <c r="U364" i="6"/>
  <c r="L364" i="6"/>
  <c r="C364" i="6"/>
  <c r="BE363" i="6"/>
  <c r="AW363" i="6"/>
  <c r="AV363" i="6"/>
  <c r="AR363" i="6"/>
  <c r="AX363" i="6" s="1"/>
  <c r="AQ363" i="6"/>
  <c r="AD363" i="6"/>
  <c r="U363" i="6"/>
  <c r="L363" i="6"/>
  <c r="C363" i="6"/>
  <c r="BE362" i="6"/>
  <c r="BE394" i="6" s="1"/>
  <c r="AV362" i="6"/>
  <c r="AV392" i="6" s="1"/>
  <c r="AR362" i="6"/>
  <c r="AQ362" i="6"/>
  <c r="AQ394" i="6" s="1"/>
  <c r="AD362" i="6"/>
  <c r="AD394" i="6" s="1"/>
  <c r="U362" i="6"/>
  <c r="L362" i="6"/>
  <c r="C362" i="6"/>
  <c r="BL361" i="6"/>
  <c r="BK361" i="6"/>
  <c r="BJ361" i="6"/>
  <c r="BI361" i="6"/>
  <c r="BH361" i="6"/>
  <c r="BG361" i="6"/>
  <c r="BF361" i="6"/>
  <c r="BD361" i="6"/>
  <c r="AS361" i="6"/>
  <c r="AN361" i="6"/>
  <c r="BL360" i="6"/>
  <c r="BK360" i="6"/>
  <c r="BJ360" i="6"/>
  <c r="BI360" i="6"/>
  <c r="BH360" i="6"/>
  <c r="BG360" i="6"/>
  <c r="BF360" i="6"/>
  <c r="BD360" i="6"/>
  <c r="BC360" i="6"/>
  <c r="BB360" i="6"/>
  <c r="BA360" i="6"/>
  <c r="AZ360" i="6"/>
  <c r="AY360" i="6"/>
  <c r="AU360" i="6"/>
  <c r="AT360" i="6"/>
  <c r="AS360" i="6"/>
  <c r="AP360" i="6"/>
  <c r="AO360" i="6"/>
  <c r="AN360" i="6"/>
  <c r="AM360" i="6"/>
  <c r="AL360" i="6"/>
  <c r="AK360" i="6"/>
  <c r="AJ360" i="6"/>
  <c r="AI360" i="6"/>
  <c r="AH360" i="6"/>
  <c r="AG360" i="6"/>
  <c r="AF360" i="6"/>
  <c r="AE360" i="6"/>
  <c r="AC360" i="6"/>
  <c r="AB360" i="6"/>
  <c r="AA360" i="6"/>
  <c r="Z360" i="6"/>
  <c r="Y360" i="6"/>
  <c r="X360" i="6"/>
  <c r="W360" i="6"/>
  <c r="V360" i="6"/>
  <c r="T360" i="6"/>
  <c r="S360" i="6"/>
  <c r="R360" i="6"/>
  <c r="Q360" i="6"/>
  <c r="P360" i="6"/>
  <c r="O360" i="6"/>
  <c r="N360" i="6"/>
  <c r="M360" i="6"/>
  <c r="K360" i="6"/>
  <c r="J360" i="6"/>
  <c r="I360" i="6"/>
  <c r="H360" i="6"/>
  <c r="G360" i="6"/>
  <c r="F360" i="6"/>
  <c r="E360" i="6"/>
  <c r="D360" i="6"/>
  <c r="BL359" i="6"/>
  <c r="BK359" i="6"/>
  <c r="BJ359" i="6"/>
  <c r="BI359" i="6"/>
  <c r="BH359" i="6"/>
  <c r="BG359" i="6"/>
  <c r="BF359" i="6"/>
  <c r="BD359" i="6"/>
  <c r="BC359" i="6"/>
  <c r="BB359" i="6"/>
  <c r="BA359" i="6"/>
  <c r="AZ359" i="6"/>
  <c r="AY359" i="6"/>
  <c r="AU359" i="6"/>
  <c r="AT359" i="6"/>
  <c r="AS359" i="6"/>
  <c r="AP359" i="6"/>
  <c r="AO359" i="6"/>
  <c r="AN359" i="6"/>
  <c r="AM359" i="6"/>
  <c r="AL359" i="6"/>
  <c r="AK359" i="6"/>
  <c r="AJ359" i="6"/>
  <c r="AI359" i="6"/>
  <c r="AH359" i="6"/>
  <c r="AG359" i="6"/>
  <c r="AC359" i="6"/>
  <c r="AB359" i="6"/>
  <c r="AA359" i="6"/>
  <c r="Z359" i="6"/>
  <c r="Y359" i="6"/>
  <c r="X359" i="6"/>
  <c r="W359" i="6"/>
  <c r="V359" i="6"/>
  <c r="T359" i="6"/>
  <c r="S359" i="6"/>
  <c r="R359" i="6"/>
  <c r="Q359" i="6"/>
  <c r="P359" i="6"/>
  <c r="O359" i="6"/>
  <c r="N359" i="6"/>
  <c r="M359" i="6"/>
  <c r="K359" i="6"/>
  <c r="J359" i="6"/>
  <c r="I359" i="6"/>
  <c r="H359" i="6"/>
  <c r="G359" i="6"/>
  <c r="F359" i="6"/>
  <c r="E359" i="6"/>
  <c r="D359" i="6"/>
  <c r="BL358" i="6"/>
  <c r="BK358" i="6"/>
  <c r="BJ358" i="6"/>
  <c r="BI358" i="6"/>
  <c r="BH358" i="6"/>
  <c r="BG358" i="6"/>
  <c r="BF358" i="6"/>
  <c r="BD358" i="6"/>
  <c r="BC358" i="6"/>
  <c r="BB358" i="6"/>
  <c r="BA358" i="6"/>
  <c r="AZ358" i="6"/>
  <c r="AY358" i="6"/>
  <c r="AU358" i="6"/>
  <c r="AT358" i="6"/>
  <c r="AS358" i="6"/>
  <c r="AP358" i="6"/>
  <c r="AO358" i="6"/>
  <c r="AN358" i="6"/>
  <c r="AM358" i="6"/>
  <c r="AL358" i="6"/>
  <c r="AK358" i="6"/>
  <c r="AJ358" i="6"/>
  <c r="AI358" i="6"/>
  <c r="AH358" i="6"/>
  <c r="AG358" i="6"/>
  <c r="AC358" i="6"/>
  <c r="AB358" i="6"/>
  <c r="AA358" i="6"/>
  <c r="Z358" i="6"/>
  <c r="Y358" i="6"/>
  <c r="X358" i="6"/>
  <c r="W358" i="6"/>
  <c r="V358" i="6"/>
  <c r="T358" i="6"/>
  <c r="S358" i="6"/>
  <c r="R358" i="6"/>
  <c r="Q358" i="6"/>
  <c r="P358" i="6"/>
  <c r="O358" i="6"/>
  <c r="N358" i="6"/>
  <c r="M358" i="6"/>
  <c r="K358" i="6"/>
  <c r="J358" i="6"/>
  <c r="I358" i="6"/>
  <c r="H358" i="6"/>
  <c r="G358" i="6"/>
  <c r="F358" i="6"/>
  <c r="E358" i="6"/>
  <c r="D358" i="6"/>
  <c r="BE357" i="6"/>
  <c r="AV357" i="6"/>
  <c r="AW357" i="6" s="1"/>
  <c r="AQ357" i="6"/>
  <c r="AR357" i="6" s="1"/>
  <c r="AD357" i="6"/>
  <c r="U357" i="6"/>
  <c r="L357" i="6"/>
  <c r="C357" i="6"/>
  <c r="BE356" i="6"/>
  <c r="AW356" i="6"/>
  <c r="AV356" i="6"/>
  <c r="AR356" i="6"/>
  <c r="AX356" i="6" s="1"/>
  <c r="AQ356" i="6"/>
  <c r="AD356" i="6"/>
  <c r="U356" i="6"/>
  <c r="L356" i="6"/>
  <c r="C356" i="6"/>
  <c r="BE355" i="6"/>
  <c r="AV355" i="6"/>
  <c r="AW355" i="6" s="1"/>
  <c r="AQ355" i="6"/>
  <c r="AR355" i="6" s="1"/>
  <c r="AX355" i="6" s="1"/>
  <c r="AD355" i="6"/>
  <c r="U355" i="6"/>
  <c r="L355" i="6"/>
  <c r="C355" i="6"/>
  <c r="BE354" i="6"/>
  <c r="AX354" i="6"/>
  <c r="AW354" i="6"/>
  <c r="AV354" i="6"/>
  <c r="AR354" i="6"/>
  <c r="AQ354" i="6"/>
  <c r="AD354" i="6"/>
  <c r="U354" i="6"/>
  <c r="L354" i="6"/>
  <c r="C354" i="6"/>
  <c r="BE353" i="6"/>
  <c r="AW353" i="6"/>
  <c r="AV353" i="6"/>
  <c r="AQ353" i="6"/>
  <c r="AR353" i="6" s="1"/>
  <c r="AX353" i="6" s="1"/>
  <c r="AD353" i="6"/>
  <c r="U353" i="6"/>
  <c r="L353" i="6"/>
  <c r="C353" i="6"/>
  <c r="BE352" i="6"/>
  <c r="AW352" i="6"/>
  <c r="AV352" i="6"/>
  <c r="AX352" i="6" s="1"/>
  <c r="AR352" i="6"/>
  <c r="AQ352" i="6"/>
  <c r="AD352" i="6"/>
  <c r="U352" i="6"/>
  <c r="L352" i="6"/>
  <c r="C352" i="6"/>
  <c r="BE351" i="6"/>
  <c r="AV351" i="6"/>
  <c r="AR351" i="6"/>
  <c r="AQ351" i="6"/>
  <c r="AD351" i="6"/>
  <c r="U351" i="6"/>
  <c r="L351" i="6"/>
  <c r="C351" i="6"/>
  <c r="BE350" i="6"/>
  <c r="AW350" i="6"/>
  <c r="AV350" i="6"/>
  <c r="AR350" i="6"/>
  <c r="AX350" i="6" s="1"/>
  <c r="AQ350" i="6"/>
  <c r="AD350" i="6"/>
  <c r="U350" i="6"/>
  <c r="L350" i="6"/>
  <c r="C350" i="6"/>
  <c r="BE349" i="6"/>
  <c r="AV349" i="6"/>
  <c r="AW349" i="6" s="1"/>
  <c r="AQ349" i="6"/>
  <c r="AR349" i="6" s="1"/>
  <c r="AD349" i="6"/>
  <c r="U349" i="6"/>
  <c r="L349" i="6"/>
  <c r="C349" i="6"/>
  <c r="BE348" i="6"/>
  <c r="AW348" i="6"/>
  <c r="AV348" i="6"/>
  <c r="AX348" i="6" s="1"/>
  <c r="AR348" i="6"/>
  <c r="AQ348" i="6"/>
  <c r="AD348" i="6"/>
  <c r="U348" i="6"/>
  <c r="L348" i="6"/>
  <c r="C348" i="6"/>
  <c r="BE347" i="6"/>
  <c r="AV347" i="6"/>
  <c r="AQ347" i="6"/>
  <c r="AR347" i="6" s="1"/>
  <c r="AD347" i="6"/>
  <c r="U347" i="6"/>
  <c r="L347" i="6"/>
  <c r="C347" i="6"/>
  <c r="BE346" i="6"/>
  <c r="AW346" i="6"/>
  <c r="AV346" i="6"/>
  <c r="AX346" i="6" s="1"/>
  <c r="AR346" i="6"/>
  <c r="AQ346" i="6"/>
  <c r="AD346" i="6"/>
  <c r="U346" i="6"/>
  <c r="L346" i="6"/>
  <c r="C346" i="6"/>
  <c r="BE345" i="6"/>
  <c r="AV345" i="6"/>
  <c r="AW345" i="6" s="1"/>
  <c r="AQ345" i="6"/>
  <c r="AR345" i="6" s="1"/>
  <c r="AD345" i="6"/>
  <c r="U345" i="6"/>
  <c r="L345" i="6"/>
  <c r="C345" i="6"/>
  <c r="BE344" i="6"/>
  <c r="AW344" i="6"/>
  <c r="AV344" i="6"/>
  <c r="AR344" i="6"/>
  <c r="AX344" i="6" s="1"/>
  <c r="AQ344" i="6"/>
  <c r="AD344" i="6"/>
  <c r="U344" i="6"/>
  <c r="L344" i="6"/>
  <c r="C344" i="6"/>
  <c r="BE343" i="6"/>
  <c r="AV343" i="6"/>
  <c r="AW343" i="6" s="1"/>
  <c r="AQ343" i="6"/>
  <c r="AR343" i="6" s="1"/>
  <c r="AD343" i="6"/>
  <c r="U343" i="6"/>
  <c r="L343" i="6"/>
  <c r="C343" i="6"/>
  <c r="BE342" i="6"/>
  <c r="AX342" i="6"/>
  <c r="AW342" i="6"/>
  <c r="AV342" i="6"/>
  <c r="AR342" i="6"/>
  <c r="AQ342" i="6"/>
  <c r="AD342" i="6"/>
  <c r="U342" i="6"/>
  <c r="L342" i="6"/>
  <c r="C342" i="6"/>
  <c r="BE341" i="6"/>
  <c r="AW341" i="6"/>
  <c r="AV341" i="6"/>
  <c r="AQ341" i="6"/>
  <c r="AR341" i="6" s="1"/>
  <c r="AX341" i="6" s="1"/>
  <c r="AD341" i="6"/>
  <c r="U341" i="6"/>
  <c r="L341" i="6"/>
  <c r="C341" i="6"/>
  <c r="BE340" i="6"/>
  <c r="AW340" i="6"/>
  <c r="AV340" i="6"/>
  <c r="AX340" i="6" s="1"/>
  <c r="AR340" i="6"/>
  <c r="AQ340" i="6"/>
  <c r="AD340" i="6"/>
  <c r="U340" i="6"/>
  <c r="L340" i="6"/>
  <c r="C340" i="6"/>
  <c r="BE339" i="6"/>
  <c r="AV339" i="6"/>
  <c r="AR339" i="6"/>
  <c r="AQ339" i="6"/>
  <c r="AD339" i="6"/>
  <c r="U339" i="6"/>
  <c r="L339" i="6"/>
  <c r="C339" i="6"/>
  <c r="BE338" i="6"/>
  <c r="AW338" i="6"/>
  <c r="AV338" i="6"/>
  <c r="AX338" i="6" s="1"/>
  <c r="AR338" i="6"/>
  <c r="AQ338" i="6"/>
  <c r="AD338" i="6"/>
  <c r="U338" i="6"/>
  <c r="L338" i="6"/>
  <c r="C338" i="6"/>
  <c r="BE337" i="6"/>
  <c r="AV337" i="6"/>
  <c r="AW337" i="6" s="1"/>
  <c r="AQ337" i="6"/>
  <c r="AR337" i="6" s="1"/>
  <c r="AX337" i="6" s="1"/>
  <c r="AD337" i="6"/>
  <c r="U337" i="6"/>
  <c r="L337" i="6"/>
  <c r="C337" i="6"/>
  <c r="BE336" i="6"/>
  <c r="AV336" i="6"/>
  <c r="AQ336" i="6"/>
  <c r="AR336" i="6" s="1"/>
  <c r="AD336" i="6"/>
  <c r="U336" i="6"/>
  <c r="L336" i="6"/>
  <c r="C336" i="6"/>
  <c r="BE335" i="6"/>
  <c r="AV335" i="6"/>
  <c r="AQ335" i="6"/>
  <c r="AR335" i="6" s="1"/>
  <c r="AD335" i="6"/>
  <c r="U335" i="6"/>
  <c r="L335" i="6"/>
  <c r="C335" i="6"/>
  <c r="BE334" i="6"/>
  <c r="AV334" i="6"/>
  <c r="AQ334" i="6"/>
  <c r="AR334" i="6" s="1"/>
  <c r="AD334" i="6"/>
  <c r="U334" i="6"/>
  <c r="L334" i="6"/>
  <c r="C334" i="6"/>
  <c r="BE333" i="6"/>
  <c r="AV333" i="6"/>
  <c r="AQ333" i="6"/>
  <c r="AR333" i="6" s="1"/>
  <c r="AD333" i="6"/>
  <c r="U333" i="6"/>
  <c r="L333" i="6"/>
  <c r="C333" i="6"/>
  <c r="BE332" i="6"/>
  <c r="AV332" i="6"/>
  <c r="AQ332" i="6"/>
  <c r="AR332" i="6" s="1"/>
  <c r="AD332" i="6"/>
  <c r="U332" i="6"/>
  <c r="L332" i="6"/>
  <c r="C332" i="6"/>
  <c r="BE331" i="6"/>
  <c r="AV331" i="6"/>
  <c r="AQ331" i="6"/>
  <c r="AR331" i="6" s="1"/>
  <c r="AD331" i="6"/>
  <c r="U331" i="6"/>
  <c r="L331" i="6"/>
  <c r="C331" i="6"/>
  <c r="BE330" i="6"/>
  <c r="AV330" i="6"/>
  <c r="AQ330" i="6"/>
  <c r="AR330" i="6" s="1"/>
  <c r="AD330" i="6"/>
  <c r="U330" i="6"/>
  <c r="L330" i="6"/>
  <c r="C330" i="6"/>
  <c r="BE329" i="6"/>
  <c r="AV329" i="6"/>
  <c r="AQ329" i="6"/>
  <c r="AR329" i="6" s="1"/>
  <c r="AD329" i="6"/>
  <c r="U329" i="6"/>
  <c r="L329" i="6"/>
  <c r="C329" i="6"/>
  <c r="BE328" i="6"/>
  <c r="AV328" i="6"/>
  <c r="AQ328" i="6"/>
  <c r="AR328" i="6" s="1"/>
  <c r="AD328" i="6"/>
  <c r="U328" i="6"/>
  <c r="L328" i="6"/>
  <c r="C328" i="6"/>
  <c r="BE327" i="6"/>
  <c r="BE360" i="6" s="1"/>
  <c r="AV327" i="6"/>
  <c r="AV360" i="6" s="1"/>
  <c r="AQ327" i="6"/>
  <c r="AQ360" i="6" s="1"/>
  <c r="AD327" i="6"/>
  <c r="AD360" i="6" s="1"/>
  <c r="U327" i="6"/>
  <c r="U360" i="6" s="1"/>
  <c r="L327" i="6"/>
  <c r="L360" i="6" s="1"/>
  <c r="C327" i="6"/>
  <c r="C360" i="6" s="1"/>
  <c r="BL326" i="6"/>
  <c r="BK326" i="6"/>
  <c r="BJ326" i="6"/>
  <c r="BI326" i="6"/>
  <c r="BH326" i="6"/>
  <c r="BG326" i="6"/>
  <c r="BF326" i="6"/>
  <c r="BD326" i="6"/>
  <c r="AS326" i="6"/>
  <c r="AN326" i="6"/>
  <c r="BL325" i="6"/>
  <c r="BK325" i="6"/>
  <c r="BJ325" i="6"/>
  <c r="BI325" i="6"/>
  <c r="BH325" i="6"/>
  <c r="BG325" i="6"/>
  <c r="BF325" i="6"/>
  <c r="BD325" i="6"/>
  <c r="BC325" i="6"/>
  <c r="BB325" i="6"/>
  <c r="BA325" i="6"/>
  <c r="AZ325" i="6"/>
  <c r="AY325" i="6"/>
  <c r="AU325" i="6"/>
  <c r="AT325" i="6"/>
  <c r="AS325" i="6"/>
  <c r="AQ325" i="6"/>
  <c r="AP325" i="6"/>
  <c r="AO325" i="6"/>
  <c r="AN325" i="6"/>
  <c r="AM325" i="6"/>
  <c r="AL325" i="6"/>
  <c r="AK325" i="6"/>
  <c r="AJ325" i="6"/>
  <c r="AI325" i="6"/>
  <c r="AH325" i="6"/>
  <c r="AG325" i="6"/>
  <c r="AF325" i="6"/>
  <c r="AE325" i="6"/>
  <c r="AC325" i="6"/>
  <c r="AB325" i="6"/>
  <c r="AA325" i="6"/>
  <c r="Z325" i="6"/>
  <c r="Y325" i="6"/>
  <c r="X325" i="6"/>
  <c r="W325" i="6"/>
  <c r="V325" i="6"/>
  <c r="U325" i="6"/>
  <c r="T325" i="6"/>
  <c r="S325" i="6"/>
  <c r="R325" i="6"/>
  <c r="Q325" i="6"/>
  <c r="P325" i="6"/>
  <c r="O325" i="6"/>
  <c r="N325" i="6"/>
  <c r="M325" i="6"/>
  <c r="K325" i="6"/>
  <c r="J325" i="6"/>
  <c r="I325" i="6"/>
  <c r="H325" i="6"/>
  <c r="G325" i="6"/>
  <c r="F325" i="6"/>
  <c r="E325" i="6"/>
  <c r="D325" i="6"/>
  <c r="BL324" i="6"/>
  <c r="BK324" i="6"/>
  <c r="BJ324" i="6"/>
  <c r="BI324" i="6"/>
  <c r="BH324" i="6"/>
  <c r="BG324" i="6"/>
  <c r="BF324" i="6"/>
  <c r="BD324" i="6"/>
  <c r="BC324" i="6"/>
  <c r="BB324" i="6"/>
  <c r="BA324" i="6"/>
  <c r="AZ324" i="6"/>
  <c r="AY324" i="6"/>
  <c r="AU324" i="6"/>
  <c r="AT324" i="6"/>
  <c r="AS324" i="6"/>
  <c r="AP324" i="6"/>
  <c r="AO324" i="6"/>
  <c r="AN324" i="6"/>
  <c r="AM324" i="6"/>
  <c r="AL324" i="6"/>
  <c r="AK324" i="6"/>
  <c r="AJ324" i="6"/>
  <c r="AI324" i="6"/>
  <c r="AH324" i="6"/>
  <c r="AG324" i="6"/>
  <c r="AF324" i="6"/>
  <c r="AE324" i="6"/>
  <c r="AC324" i="6"/>
  <c r="AB324" i="6"/>
  <c r="AA324" i="6"/>
  <c r="Z324" i="6"/>
  <c r="Y324" i="6"/>
  <c r="X324" i="6"/>
  <c r="W324" i="6"/>
  <c r="V324" i="6"/>
  <c r="U324" i="6"/>
  <c r="T324" i="6"/>
  <c r="S324" i="6"/>
  <c r="R324" i="6"/>
  <c r="Q324" i="6"/>
  <c r="P324" i="6"/>
  <c r="O324" i="6"/>
  <c r="N324" i="6"/>
  <c r="M324" i="6"/>
  <c r="L324" i="6"/>
  <c r="K324" i="6"/>
  <c r="J324" i="6"/>
  <c r="I324" i="6"/>
  <c r="H324" i="6"/>
  <c r="G324" i="6"/>
  <c r="F324" i="6"/>
  <c r="E324" i="6"/>
  <c r="D324" i="6"/>
  <c r="BL323" i="6"/>
  <c r="BK323" i="6"/>
  <c r="BJ323" i="6"/>
  <c r="BI323" i="6"/>
  <c r="BH323" i="6"/>
  <c r="BG323" i="6"/>
  <c r="BF323" i="6"/>
  <c r="BD323" i="6"/>
  <c r="BC323" i="6"/>
  <c r="BB323" i="6"/>
  <c r="BA323" i="6"/>
  <c r="AZ323" i="6"/>
  <c r="AY323" i="6"/>
  <c r="AU323" i="6"/>
  <c r="AT323" i="6"/>
  <c r="AS323" i="6"/>
  <c r="AP323" i="6"/>
  <c r="AO323" i="6"/>
  <c r="AN323" i="6"/>
  <c r="AM323" i="6"/>
  <c r="AL323" i="6"/>
  <c r="AK323" i="6"/>
  <c r="AJ323" i="6"/>
  <c r="AI323" i="6"/>
  <c r="AH323" i="6"/>
  <c r="AG323" i="6"/>
  <c r="AF323" i="6"/>
  <c r="AE323" i="6"/>
  <c r="AC323" i="6"/>
  <c r="AB323" i="6"/>
  <c r="AA323" i="6"/>
  <c r="Z323" i="6"/>
  <c r="Y323" i="6"/>
  <c r="X323" i="6"/>
  <c r="W323" i="6"/>
  <c r="V323" i="6"/>
  <c r="T323" i="6"/>
  <c r="S323" i="6"/>
  <c r="R323" i="6"/>
  <c r="Q323" i="6"/>
  <c r="P323" i="6"/>
  <c r="O323" i="6"/>
  <c r="N323" i="6"/>
  <c r="M323" i="6"/>
  <c r="K323" i="6"/>
  <c r="J323" i="6"/>
  <c r="I323" i="6"/>
  <c r="H323" i="6"/>
  <c r="G323" i="6"/>
  <c r="F323" i="6"/>
  <c r="E323" i="6"/>
  <c r="D323" i="6"/>
  <c r="BE322" i="6"/>
  <c r="AV322" i="6"/>
  <c r="AW322" i="6" s="1"/>
  <c r="AR322" i="6"/>
  <c r="AQ322" i="6"/>
  <c r="AD322" i="6"/>
  <c r="U322" i="6"/>
  <c r="L322" i="6"/>
  <c r="C322" i="6"/>
  <c r="BE321" i="6"/>
  <c r="AV321" i="6"/>
  <c r="AW321" i="6" s="1"/>
  <c r="AR321" i="6"/>
  <c r="AQ321" i="6"/>
  <c r="AD321" i="6"/>
  <c r="U321" i="6"/>
  <c r="L321" i="6"/>
  <c r="C321" i="6"/>
  <c r="BE320" i="6"/>
  <c r="AV320" i="6"/>
  <c r="AW320" i="6" s="1"/>
  <c r="AR320" i="6"/>
  <c r="AQ320" i="6"/>
  <c r="AD320" i="6"/>
  <c r="U320" i="6"/>
  <c r="L320" i="6"/>
  <c r="C320" i="6"/>
  <c r="BE319" i="6"/>
  <c r="AV319" i="6"/>
  <c r="AW319" i="6" s="1"/>
  <c r="AR319" i="6"/>
  <c r="AQ319" i="6"/>
  <c r="AD319" i="6"/>
  <c r="U319" i="6"/>
  <c r="L319" i="6"/>
  <c r="C319" i="6"/>
  <c r="BE318" i="6"/>
  <c r="AV318" i="6"/>
  <c r="AW318" i="6" s="1"/>
  <c r="AR318" i="6"/>
  <c r="AQ318" i="6"/>
  <c r="AD318" i="6"/>
  <c r="U318" i="6"/>
  <c r="L318" i="6"/>
  <c r="C318" i="6"/>
  <c r="BE317" i="6"/>
  <c r="AV317" i="6"/>
  <c r="AW317" i="6" s="1"/>
  <c r="AR317" i="6"/>
  <c r="AQ317" i="6"/>
  <c r="AD317" i="6"/>
  <c r="U317" i="6"/>
  <c r="L317" i="6"/>
  <c r="C317" i="6"/>
  <c r="BE316" i="6"/>
  <c r="AV316" i="6"/>
  <c r="AR316" i="6"/>
  <c r="AQ316" i="6"/>
  <c r="AD316" i="6"/>
  <c r="U316" i="6"/>
  <c r="L316" i="6"/>
  <c r="C316" i="6"/>
  <c r="BE315" i="6"/>
  <c r="AV315" i="6"/>
  <c r="AR315" i="6"/>
  <c r="AQ315" i="6"/>
  <c r="AD315" i="6"/>
  <c r="U315" i="6"/>
  <c r="L315" i="6"/>
  <c r="C315" i="6"/>
  <c r="BE314" i="6"/>
  <c r="AV314" i="6"/>
  <c r="AR314" i="6"/>
  <c r="AQ314" i="6"/>
  <c r="AD314" i="6"/>
  <c r="U314" i="6"/>
  <c r="L314" i="6"/>
  <c r="C314" i="6"/>
  <c r="BE313" i="6"/>
  <c r="AV313" i="6"/>
  <c r="AR313" i="6"/>
  <c r="AQ313" i="6"/>
  <c r="AD313" i="6"/>
  <c r="U313" i="6"/>
  <c r="L313" i="6"/>
  <c r="C313" i="6"/>
  <c r="BE312" i="6"/>
  <c r="AV312" i="6"/>
  <c r="AR312" i="6"/>
  <c r="AQ312" i="6"/>
  <c r="AD312" i="6"/>
  <c r="U312" i="6"/>
  <c r="L312" i="6"/>
  <c r="C312" i="6"/>
  <c r="BE311" i="6"/>
  <c r="AV311" i="6"/>
  <c r="AR311" i="6"/>
  <c r="AQ311" i="6"/>
  <c r="AD311" i="6"/>
  <c r="U311" i="6"/>
  <c r="L311" i="6"/>
  <c r="C311" i="6"/>
  <c r="BE310" i="6"/>
  <c r="AV310" i="6"/>
  <c r="AR310" i="6"/>
  <c r="AQ310" i="6"/>
  <c r="AD310" i="6"/>
  <c r="U310" i="6"/>
  <c r="L310" i="6"/>
  <c r="C310" i="6"/>
  <c r="BE309" i="6"/>
  <c r="AV309" i="6"/>
  <c r="AR309" i="6"/>
  <c r="AQ309" i="6"/>
  <c r="AD309" i="6"/>
  <c r="U309" i="6"/>
  <c r="L309" i="6"/>
  <c r="C309" i="6"/>
  <c r="BE308" i="6"/>
  <c r="AV308" i="6"/>
  <c r="AR308" i="6"/>
  <c r="AQ308" i="6"/>
  <c r="AD308" i="6"/>
  <c r="U308" i="6"/>
  <c r="L308" i="6"/>
  <c r="C308" i="6"/>
  <c r="BE307" i="6"/>
  <c r="AV307" i="6"/>
  <c r="AR307" i="6"/>
  <c r="AQ307" i="6"/>
  <c r="AD307" i="6"/>
  <c r="U307" i="6"/>
  <c r="L307" i="6"/>
  <c r="C307" i="6"/>
  <c r="BE306" i="6"/>
  <c r="AV306" i="6"/>
  <c r="AR306" i="6"/>
  <c r="AQ306" i="6"/>
  <c r="AD306" i="6"/>
  <c r="U306" i="6"/>
  <c r="L306" i="6"/>
  <c r="C306" i="6"/>
  <c r="BE305" i="6"/>
  <c r="AV305" i="6"/>
  <c r="AR305" i="6"/>
  <c r="AQ305" i="6"/>
  <c r="AD305" i="6"/>
  <c r="U305" i="6"/>
  <c r="L305" i="6"/>
  <c r="C305" i="6"/>
  <c r="BE304" i="6"/>
  <c r="AV304" i="6"/>
  <c r="AR304" i="6"/>
  <c r="AQ304" i="6"/>
  <c r="AD304" i="6"/>
  <c r="U304" i="6"/>
  <c r="L304" i="6"/>
  <c r="C304" i="6"/>
  <c r="BE303" i="6"/>
  <c r="AV303" i="6"/>
  <c r="AR303" i="6"/>
  <c r="AQ303" i="6"/>
  <c r="AD303" i="6"/>
  <c r="U303" i="6"/>
  <c r="L303" i="6"/>
  <c r="C303" i="6"/>
  <c r="BE302" i="6"/>
  <c r="AV302" i="6"/>
  <c r="AR302" i="6"/>
  <c r="AQ302" i="6"/>
  <c r="AD302" i="6"/>
  <c r="U302" i="6"/>
  <c r="L302" i="6"/>
  <c r="C302" i="6"/>
  <c r="BE301" i="6"/>
  <c r="AV301" i="6"/>
  <c r="AR301" i="6"/>
  <c r="AQ301" i="6"/>
  <c r="AD301" i="6"/>
  <c r="U301" i="6"/>
  <c r="L301" i="6"/>
  <c r="C301" i="6"/>
  <c r="BE300" i="6"/>
  <c r="AV300" i="6"/>
  <c r="AR300" i="6"/>
  <c r="AQ300" i="6"/>
  <c r="AD300" i="6"/>
  <c r="U300" i="6"/>
  <c r="L300" i="6"/>
  <c r="C300" i="6"/>
  <c r="BE299" i="6"/>
  <c r="AV299" i="6"/>
  <c r="AR299" i="6"/>
  <c r="AQ299" i="6"/>
  <c r="AD299" i="6"/>
  <c r="U299" i="6"/>
  <c r="L299" i="6"/>
  <c r="C299" i="6"/>
  <c r="BE298" i="6"/>
  <c r="AV298" i="6"/>
  <c r="AR298" i="6"/>
  <c r="AQ298" i="6"/>
  <c r="AD298" i="6"/>
  <c r="U298" i="6"/>
  <c r="L298" i="6"/>
  <c r="C298" i="6"/>
  <c r="BE297" i="6"/>
  <c r="AV297" i="6"/>
  <c r="AR297" i="6"/>
  <c r="AQ297" i="6"/>
  <c r="AD297" i="6"/>
  <c r="U297" i="6"/>
  <c r="L297" i="6"/>
  <c r="C297" i="6"/>
  <c r="BE296" i="6"/>
  <c r="AV296" i="6"/>
  <c r="AR296" i="6"/>
  <c r="AQ296" i="6"/>
  <c r="AD296" i="6"/>
  <c r="U296" i="6"/>
  <c r="L296" i="6"/>
  <c r="C296" i="6"/>
  <c r="BE295" i="6"/>
  <c r="AV295" i="6"/>
  <c r="AR295" i="6"/>
  <c r="AQ295" i="6"/>
  <c r="AD295" i="6"/>
  <c r="U295" i="6"/>
  <c r="L295" i="6"/>
  <c r="C295" i="6"/>
  <c r="BE294" i="6"/>
  <c r="AV294" i="6"/>
  <c r="AR294" i="6"/>
  <c r="AQ294" i="6"/>
  <c r="AD294" i="6"/>
  <c r="U294" i="6"/>
  <c r="L294" i="6"/>
  <c r="C294" i="6"/>
  <c r="BE293" i="6"/>
  <c r="AV293" i="6"/>
  <c r="AV324" i="6" s="1"/>
  <c r="AR293" i="6"/>
  <c r="AR325" i="6" s="1"/>
  <c r="AQ293" i="6"/>
  <c r="AQ324" i="6" s="1"/>
  <c r="AD293" i="6"/>
  <c r="AD325" i="6" s="1"/>
  <c r="U293" i="6"/>
  <c r="U323" i="6" s="1"/>
  <c r="L293" i="6"/>
  <c r="L323" i="6" s="1"/>
  <c r="C293" i="6"/>
  <c r="C325" i="6" s="1"/>
  <c r="BL292" i="6"/>
  <c r="BK292" i="6"/>
  <c r="BJ292" i="6"/>
  <c r="BI292" i="6"/>
  <c r="BH292" i="6"/>
  <c r="BG292" i="6"/>
  <c r="BF292" i="6"/>
  <c r="BD292" i="6"/>
  <c r="AS292" i="6"/>
  <c r="AN292" i="6"/>
  <c r="BL291" i="6"/>
  <c r="BK291" i="6"/>
  <c r="BJ291" i="6"/>
  <c r="BI291" i="6"/>
  <c r="BH291" i="6"/>
  <c r="BG291" i="6"/>
  <c r="BF291" i="6"/>
  <c r="BD291" i="6"/>
  <c r="BC291" i="6"/>
  <c r="BB291" i="6"/>
  <c r="BA291" i="6"/>
  <c r="AZ291" i="6"/>
  <c r="AY291" i="6"/>
  <c r="AV291" i="6"/>
  <c r="AU291" i="6"/>
  <c r="AT291" i="6"/>
  <c r="AS291" i="6"/>
  <c r="AP291" i="6"/>
  <c r="AO291" i="6"/>
  <c r="AN291" i="6"/>
  <c r="AM291" i="6"/>
  <c r="AL291" i="6"/>
  <c r="AK291" i="6"/>
  <c r="AJ291" i="6"/>
  <c r="AI291" i="6"/>
  <c r="AH291" i="6"/>
  <c r="AG291" i="6"/>
  <c r="AF291" i="6"/>
  <c r="AE291" i="6"/>
  <c r="AC291" i="6"/>
  <c r="AB291" i="6"/>
  <c r="AA291" i="6"/>
  <c r="Z291" i="6"/>
  <c r="Y291" i="6"/>
  <c r="X291" i="6"/>
  <c r="W291" i="6"/>
  <c r="V291" i="6"/>
  <c r="T291" i="6"/>
  <c r="S291" i="6"/>
  <c r="R291" i="6"/>
  <c r="Q291" i="6"/>
  <c r="P291" i="6"/>
  <c r="O291" i="6"/>
  <c r="N291" i="6"/>
  <c r="M291" i="6"/>
  <c r="K291" i="6"/>
  <c r="J291" i="6"/>
  <c r="I291" i="6"/>
  <c r="H291" i="6"/>
  <c r="G291" i="6"/>
  <c r="F291" i="6"/>
  <c r="E291" i="6"/>
  <c r="D291" i="6"/>
  <c r="C291" i="6"/>
  <c r="BL290" i="6"/>
  <c r="BK290" i="6"/>
  <c r="BJ290" i="6"/>
  <c r="BI290" i="6"/>
  <c r="BH290" i="6"/>
  <c r="BG290" i="6"/>
  <c r="BF290" i="6"/>
  <c r="BD290" i="6"/>
  <c r="BC290" i="6"/>
  <c r="BB290" i="6"/>
  <c r="BA290" i="6"/>
  <c r="AZ290" i="6"/>
  <c r="AY290" i="6"/>
  <c r="AU290" i="6"/>
  <c r="AT290" i="6"/>
  <c r="AS290" i="6"/>
  <c r="AP290" i="6"/>
  <c r="AO290" i="6"/>
  <c r="AN290" i="6"/>
  <c r="AM290" i="6"/>
  <c r="AL290" i="6"/>
  <c r="AK290" i="6"/>
  <c r="AJ290" i="6"/>
  <c r="AI290" i="6"/>
  <c r="AH290" i="6"/>
  <c r="AG290" i="6"/>
  <c r="AF290" i="6"/>
  <c r="AE290" i="6"/>
  <c r="AC290" i="6"/>
  <c r="AB290" i="6"/>
  <c r="AA290" i="6"/>
  <c r="Z290" i="6"/>
  <c r="Y290" i="6"/>
  <c r="X290" i="6"/>
  <c r="W290" i="6"/>
  <c r="V290" i="6"/>
  <c r="T290" i="6"/>
  <c r="S290" i="6"/>
  <c r="R290" i="6"/>
  <c r="Q290" i="6"/>
  <c r="P290" i="6"/>
  <c r="O290" i="6"/>
  <c r="N290" i="6"/>
  <c r="M290" i="6"/>
  <c r="K290" i="6"/>
  <c r="J290" i="6"/>
  <c r="I290" i="6"/>
  <c r="H290" i="6"/>
  <c r="G290" i="6"/>
  <c r="F290" i="6"/>
  <c r="E290" i="6"/>
  <c r="D290" i="6"/>
  <c r="BL289" i="6"/>
  <c r="BK289" i="6"/>
  <c r="BJ289" i="6"/>
  <c r="BI289" i="6"/>
  <c r="BH289" i="6"/>
  <c r="BG289" i="6"/>
  <c r="BF289" i="6"/>
  <c r="BD289" i="6"/>
  <c r="BC289" i="6"/>
  <c r="BB289" i="6"/>
  <c r="BA289" i="6"/>
  <c r="AZ289" i="6"/>
  <c r="AY289" i="6"/>
  <c r="AU289" i="6"/>
  <c r="AT289" i="6"/>
  <c r="AS289" i="6"/>
  <c r="AQ289" i="6"/>
  <c r="AP289" i="6"/>
  <c r="AO289" i="6"/>
  <c r="AN289" i="6"/>
  <c r="AM289" i="6"/>
  <c r="AL289" i="6"/>
  <c r="AK289" i="6"/>
  <c r="AJ289" i="6"/>
  <c r="AI289" i="6"/>
  <c r="AH289" i="6"/>
  <c r="AG289" i="6"/>
  <c r="AF289" i="6"/>
  <c r="AE289" i="6"/>
  <c r="AD289" i="6"/>
  <c r="AC289" i="6"/>
  <c r="AB289" i="6"/>
  <c r="AA289" i="6"/>
  <c r="Z289" i="6"/>
  <c r="Y289" i="6"/>
  <c r="X289" i="6"/>
  <c r="W289" i="6"/>
  <c r="V289" i="6"/>
  <c r="T289" i="6"/>
  <c r="S289" i="6"/>
  <c r="R289" i="6"/>
  <c r="Q289" i="6"/>
  <c r="P289" i="6"/>
  <c r="O289" i="6"/>
  <c r="N289" i="6"/>
  <c r="M289" i="6"/>
  <c r="K289" i="6"/>
  <c r="J289" i="6"/>
  <c r="I289" i="6"/>
  <c r="H289" i="6"/>
  <c r="G289" i="6"/>
  <c r="F289" i="6"/>
  <c r="E289" i="6"/>
  <c r="D289" i="6"/>
  <c r="BE288" i="6"/>
  <c r="AV288" i="6"/>
  <c r="AW288" i="6" s="1"/>
  <c r="AX288" i="6" s="1"/>
  <c r="AR288" i="6"/>
  <c r="AQ288" i="6"/>
  <c r="AD288" i="6"/>
  <c r="U288" i="6"/>
  <c r="L288" i="6"/>
  <c r="C288" i="6"/>
  <c r="BE287" i="6"/>
  <c r="AV287" i="6"/>
  <c r="AW287" i="6" s="1"/>
  <c r="AX287" i="6" s="1"/>
  <c r="AR287" i="6"/>
  <c r="AQ287" i="6"/>
  <c r="AD287" i="6"/>
  <c r="U287" i="6"/>
  <c r="L287" i="6"/>
  <c r="C287" i="6"/>
  <c r="BE286" i="6"/>
  <c r="AV286" i="6"/>
  <c r="AW286" i="6" s="1"/>
  <c r="AX286" i="6" s="1"/>
  <c r="AR286" i="6"/>
  <c r="AQ286" i="6"/>
  <c r="AD286" i="6"/>
  <c r="U286" i="6"/>
  <c r="L286" i="6"/>
  <c r="C286" i="6"/>
  <c r="BE285" i="6"/>
  <c r="AV285" i="6"/>
  <c r="AW285" i="6" s="1"/>
  <c r="AR285" i="6"/>
  <c r="AX285" i="6" s="1"/>
  <c r="AQ285" i="6"/>
  <c r="AD285" i="6"/>
  <c r="U285" i="6"/>
  <c r="L285" i="6"/>
  <c r="C285" i="6"/>
  <c r="BE284" i="6"/>
  <c r="AV284" i="6"/>
  <c r="AW284" i="6" s="1"/>
  <c r="AR284" i="6"/>
  <c r="AQ284" i="6"/>
  <c r="AD284" i="6"/>
  <c r="U284" i="6"/>
  <c r="L284" i="6"/>
  <c r="C284" i="6"/>
  <c r="BE283" i="6"/>
  <c r="AV283" i="6"/>
  <c r="AW283" i="6" s="1"/>
  <c r="AR283" i="6"/>
  <c r="AX283" i="6" s="1"/>
  <c r="AQ283" i="6"/>
  <c r="AD283" i="6"/>
  <c r="U283" i="6"/>
  <c r="L283" i="6"/>
  <c r="C283" i="6"/>
  <c r="BE282" i="6"/>
  <c r="AV282" i="6"/>
  <c r="AW282" i="6" s="1"/>
  <c r="AR282" i="6"/>
  <c r="AX282" i="6" s="1"/>
  <c r="AQ282" i="6"/>
  <c r="AD282" i="6"/>
  <c r="U282" i="6"/>
  <c r="L282" i="6"/>
  <c r="C282" i="6"/>
  <c r="BE281" i="6"/>
  <c r="AV281" i="6"/>
  <c r="AW281" i="6" s="1"/>
  <c r="AR281" i="6"/>
  <c r="AX281" i="6" s="1"/>
  <c r="AQ281" i="6"/>
  <c r="AD281" i="6"/>
  <c r="U281" i="6"/>
  <c r="L281" i="6"/>
  <c r="C281" i="6"/>
  <c r="BE280" i="6"/>
  <c r="AV280" i="6"/>
  <c r="AW280" i="6" s="1"/>
  <c r="AR280" i="6"/>
  <c r="AQ280" i="6"/>
  <c r="AD280" i="6"/>
  <c r="U280" i="6"/>
  <c r="L280" i="6"/>
  <c r="C280" i="6"/>
  <c r="BE279" i="6"/>
  <c r="AV279" i="6"/>
  <c r="AW279" i="6" s="1"/>
  <c r="AR279" i="6"/>
  <c r="AX279" i="6" s="1"/>
  <c r="AQ279" i="6"/>
  <c r="AD279" i="6"/>
  <c r="U279" i="6"/>
  <c r="L279" i="6"/>
  <c r="C279" i="6"/>
  <c r="BE278" i="6"/>
  <c r="AV278" i="6"/>
  <c r="AW278" i="6" s="1"/>
  <c r="AR278" i="6"/>
  <c r="AX278" i="6" s="1"/>
  <c r="AQ278" i="6"/>
  <c r="AD278" i="6"/>
  <c r="U278" i="6"/>
  <c r="L278" i="6"/>
  <c r="C278" i="6"/>
  <c r="BE277" i="6"/>
  <c r="AV277" i="6"/>
  <c r="AW277" i="6" s="1"/>
  <c r="AR277" i="6"/>
  <c r="AX277" i="6" s="1"/>
  <c r="AQ277" i="6"/>
  <c r="AD277" i="6"/>
  <c r="U277" i="6"/>
  <c r="L277" i="6"/>
  <c r="C277" i="6"/>
  <c r="BE276" i="6"/>
  <c r="AV276" i="6"/>
  <c r="AW276" i="6" s="1"/>
  <c r="AR276" i="6"/>
  <c r="AQ276" i="6"/>
  <c r="AD276" i="6"/>
  <c r="U276" i="6"/>
  <c r="L276" i="6"/>
  <c r="C276" i="6"/>
  <c r="BE275" i="6"/>
  <c r="AV275" i="6"/>
  <c r="AW275" i="6" s="1"/>
  <c r="AR275" i="6"/>
  <c r="AX275" i="6" s="1"/>
  <c r="AQ275" i="6"/>
  <c r="AD275" i="6"/>
  <c r="U275" i="6"/>
  <c r="L275" i="6"/>
  <c r="C275" i="6"/>
  <c r="BE274" i="6"/>
  <c r="AV274" i="6"/>
  <c r="AW274" i="6" s="1"/>
  <c r="AR274" i="6"/>
  <c r="AX274" i="6" s="1"/>
  <c r="AQ274" i="6"/>
  <c r="AD274" i="6"/>
  <c r="U274" i="6"/>
  <c r="L274" i="6"/>
  <c r="C274" i="6"/>
  <c r="BE273" i="6"/>
  <c r="AV273" i="6"/>
  <c r="AW273" i="6" s="1"/>
  <c r="AR273" i="6"/>
  <c r="AX273" i="6" s="1"/>
  <c r="AQ273" i="6"/>
  <c r="AD273" i="6"/>
  <c r="U273" i="6"/>
  <c r="L273" i="6"/>
  <c r="C273" i="6"/>
  <c r="BE272" i="6"/>
  <c r="AV272" i="6"/>
  <c r="AW272" i="6" s="1"/>
  <c r="AR272" i="6"/>
  <c r="AQ272" i="6"/>
  <c r="AD272" i="6"/>
  <c r="U272" i="6"/>
  <c r="L272" i="6"/>
  <c r="C272" i="6"/>
  <c r="BE271" i="6"/>
  <c r="AV271" i="6"/>
  <c r="AW271" i="6" s="1"/>
  <c r="AR271" i="6"/>
  <c r="AX271" i="6" s="1"/>
  <c r="AQ271" i="6"/>
  <c r="AD271" i="6"/>
  <c r="U271" i="6"/>
  <c r="L271" i="6"/>
  <c r="C271" i="6"/>
  <c r="BE270" i="6"/>
  <c r="AV270" i="6"/>
  <c r="AR270" i="6"/>
  <c r="AQ270" i="6"/>
  <c r="AD270" i="6"/>
  <c r="U270" i="6"/>
  <c r="L270" i="6"/>
  <c r="C270" i="6"/>
  <c r="BE269" i="6"/>
  <c r="AV269" i="6"/>
  <c r="AR269" i="6"/>
  <c r="AQ269" i="6"/>
  <c r="AD269" i="6"/>
  <c r="U269" i="6"/>
  <c r="L269" i="6"/>
  <c r="C269" i="6"/>
  <c r="BE268" i="6"/>
  <c r="AV268" i="6"/>
  <c r="AR268" i="6"/>
  <c r="AQ268" i="6"/>
  <c r="AD268" i="6"/>
  <c r="U268" i="6"/>
  <c r="L268" i="6"/>
  <c r="C268" i="6"/>
  <c r="BE267" i="6"/>
  <c r="AV267" i="6"/>
  <c r="AR267" i="6"/>
  <c r="AQ267" i="6"/>
  <c r="AD267" i="6"/>
  <c r="U267" i="6"/>
  <c r="L267" i="6"/>
  <c r="C267" i="6"/>
  <c r="BE266" i="6"/>
  <c r="AV266" i="6"/>
  <c r="AR266" i="6"/>
  <c r="AQ266" i="6"/>
  <c r="AD266" i="6"/>
  <c r="U266" i="6"/>
  <c r="L266" i="6"/>
  <c r="C266" i="6"/>
  <c r="BE265" i="6"/>
  <c r="AV265" i="6"/>
  <c r="AR265" i="6"/>
  <c r="AQ265" i="6"/>
  <c r="AD265" i="6"/>
  <c r="U265" i="6"/>
  <c r="L265" i="6"/>
  <c r="C265" i="6"/>
  <c r="BE264" i="6"/>
  <c r="AV264" i="6"/>
  <c r="AR264" i="6"/>
  <c r="AQ264" i="6"/>
  <c r="AD264" i="6"/>
  <c r="U264" i="6"/>
  <c r="L264" i="6"/>
  <c r="C264" i="6"/>
  <c r="BE263" i="6"/>
  <c r="AV263" i="6"/>
  <c r="AR263" i="6"/>
  <c r="AQ263" i="6"/>
  <c r="AD263" i="6"/>
  <c r="U263" i="6"/>
  <c r="L263" i="6"/>
  <c r="C263" i="6"/>
  <c r="BE262" i="6"/>
  <c r="AV262" i="6"/>
  <c r="AR262" i="6"/>
  <c r="AQ262" i="6"/>
  <c r="AD262" i="6"/>
  <c r="U262" i="6"/>
  <c r="L262" i="6"/>
  <c r="C262" i="6"/>
  <c r="BE261" i="6"/>
  <c r="AV261" i="6"/>
  <c r="AR261" i="6"/>
  <c r="AQ261" i="6"/>
  <c r="AD261" i="6"/>
  <c r="U261" i="6"/>
  <c r="L261" i="6"/>
  <c r="C261" i="6"/>
  <c r="BE260" i="6"/>
  <c r="AV260" i="6"/>
  <c r="AR260" i="6"/>
  <c r="AQ260" i="6"/>
  <c r="AD260" i="6"/>
  <c r="U260" i="6"/>
  <c r="L260" i="6"/>
  <c r="C260" i="6"/>
  <c r="BE259" i="6"/>
  <c r="AV259" i="6"/>
  <c r="AR259" i="6"/>
  <c r="AQ259" i="6"/>
  <c r="AD259" i="6"/>
  <c r="U259" i="6"/>
  <c r="L259" i="6"/>
  <c r="C259" i="6"/>
  <c r="BE258" i="6"/>
  <c r="BE291" i="6" s="1"/>
  <c r="AV258" i="6"/>
  <c r="AV290" i="6" s="1"/>
  <c r="AR258" i="6"/>
  <c r="AQ258" i="6"/>
  <c r="AQ291" i="6" s="1"/>
  <c r="AD258" i="6"/>
  <c r="AD291" i="6" s="1"/>
  <c r="U258" i="6"/>
  <c r="L258" i="6"/>
  <c r="L291" i="6" s="1"/>
  <c r="C258" i="6"/>
  <c r="C290" i="6" s="1"/>
  <c r="BL257" i="6"/>
  <c r="BK257" i="6"/>
  <c r="BJ257" i="6"/>
  <c r="BI257" i="6"/>
  <c r="BH257" i="6"/>
  <c r="BG257" i="6"/>
  <c r="BF257" i="6"/>
  <c r="BE257" i="6"/>
  <c r="BD257" i="6"/>
  <c r="AS257" i="6"/>
  <c r="AN257" i="6"/>
  <c r="BL256" i="6"/>
  <c r="BK256" i="6"/>
  <c r="BJ256" i="6"/>
  <c r="BI256" i="6"/>
  <c r="BH256" i="6"/>
  <c r="BG256" i="6"/>
  <c r="BF256" i="6"/>
  <c r="BD256" i="6"/>
  <c r="BC256" i="6"/>
  <c r="BB256" i="6"/>
  <c r="BA256" i="6"/>
  <c r="AZ256" i="6"/>
  <c r="AY256" i="6"/>
  <c r="AU256" i="6"/>
  <c r="AT256" i="6"/>
  <c r="AS256" i="6"/>
  <c r="AP256" i="6"/>
  <c r="AO256" i="6"/>
  <c r="AN256" i="6"/>
  <c r="AM256" i="6"/>
  <c r="AL256" i="6"/>
  <c r="AK256" i="6"/>
  <c r="AJ256" i="6"/>
  <c r="AI256" i="6"/>
  <c r="AH256" i="6"/>
  <c r="AG256" i="6"/>
  <c r="AF256" i="6"/>
  <c r="AE256" i="6"/>
  <c r="AC256" i="6"/>
  <c r="AB256" i="6"/>
  <c r="AA256" i="6"/>
  <c r="Z256" i="6"/>
  <c r="Y256" i="6"/>
  <c r="X256" i="6"/>
  <c r="W256" i="6"/>
  <c r="V256" i="6"/>
  <c r="T256" i="6"/>
  <c r="S256" i="6"/>
  <c r="R256" i="6"/>
  <c r="Q256" i="6"/>
  <c r="P256" i="6"/>
  <c r="O256" i="6"/>
  <c r="N256" i="6"/>
  <c r="M256" i="6"/>
  <c r="K256" i="6"/>
  <c r="J256" i="6"/>
  <c r="I256" i="6"/>
  <c r="H256" i="6"/>
  <c r="G256" i="6"/>
  <c r="F256" i="6"/>
  <c r="E256" i="6"/>
  <c r="D256" i="6"/>
  <c r="BL255" i="6"/>
  <c r="BK255" i="6"/>
  <c r="BJ255" i="6"/>
  <c r="BI255" i="6"/>
  <c r="BH255" i="6"/>
  <c r="BG255" i="6"/>
  <c r="BF255" i="6"/>
  <c r="BE255" i="6"/>
  <c r="BD255" i="6"/>
  <c r="BC255" i="6"/>
  <c r="BB255" i="6"/>
  <c r="BA255" i="6"/>
  <c r="AZ255" i="6"/>
  <c r="AY255" i="6"/>
  <c r="AU255" i="6"/>
  <c r="AT255" i="6"/>
  <c r="AS255" i="6"/>
  <c r="AP255" i="6"/>
  <c r="AO255" i="6"/>
  <c r="AN255" i="6"/>
  <c r="AM255" i="6"/>
  <c r="AL255" i="6"/>
  <c r="AK255" i="6"/>
  <c r="AJ255" i="6"/>
  <c r="AI255" i="6"/>
  <c r="AH255" i="6"/>
  <c r="AG255" i="6"/>
  <c r="AF255" i="6"/>
  <c r="AE255" i="6"/>
  <c r="AC255" i="6"/>
  <c r="AB255" i="6"/>
  <c r="AA255" i="6"/>
  <c r="Z255" i="6"/>
  <c r="Y255" i="6"/>
  <c r="X255" i="6"/>
  <c r="W255" i="6"/>
  <c r="V255" i="6"/>
  <c r="U255" i="6"/>
  <c r="T255" i="6"/>
  <c r="S255" i="6"/>
  <c r="R255" i="6"/>
  <c r="Q255" i="6"/>
  <c r="P255" i="6"/>
  <c r="O255" i="6"/>
  <c r="N255" i="6"/>
  <c r="M255" i="6"/>
  <c r="K255" i="6"/>
  <c r="J255" i="6"/>
  <c r="I255" i="6"/>
  <c r="H255" i="6"/>
  <c r="G255" i="6"/>
  <c r="F255" i="6"/>
  <c r="E255" i="6"/>
  <c r="D255" i="6"/>
  <c r="BL254" i="6"/>
  <c r="BK254" i="6"/>
  <c r="BJ254" i="6"/>
  <c r="BI254" i="6"/>
  <c r="BH254" i="6"/>
  <c r="BG254" i="6"/>
  <c r="BF254" i="6"/>
  <c r="BE254" i="6"/>
  <c r="BD254" i="6"/>
  <c r="BC254" i="6"/>
  <c r="BB254" i="6"/>
  <c r="BA254" i="6"/>
  <c r="AZ254" i="6"/>
  <c r="AY254" i="6"/>
  <c r="AU254" i="6"/>
  <c r="AT254" i="6"/>
  <c r="AS254" i="6"/>
  <c r="AP254" i="6"/>
  <c r="AO254" i="6"/>
  <c r="AN254" i="6"/>
  <c r="AM254" i="6"/>
  <c r="AL254" i="6"/>
  <c r="AK254" i="6"/>
  <c r="AJ254" i="6"/>
  <c r="AI254" i="6"/>
  <c r="AH254" i="6"/>
  <c r="AG254" i="6"/>
  <c r="AF254" i="6"/>
  <c r="AE254" i="6"/>
  <c r="AC254" i="6"/>
  <c r="AB254" i="6"/>
  <c r="AA254" i="6"/>
  <c r="Z254" i="6"/>
  <c r="Y254" i="6"/>
  <c r="X254" i="6"/>
  <c r="W254" i="6"/>
  <c r="V254" i="6"/>
  <c r="T254" i="6"/>
  <c r="S254" i="6"/>
  <c r="R254" i="6"/>
  <c r="Q254" i="6"/>
  <c r="P254" i="6"/>
  <c r="O254" i="6"/>
  <c r="N254" i="6"/>
  <c r="M254" i="6"/>
  <c r="K254" i="6"/>
  <c r="J254" i="6"/>
  <c r="I254" i="6"/>
  <c r="H254" i="6"/>
  <c r="G254" i="6"/>
  <c r="F254" i="6"/>
  <c r="E254" i="6"/>
  <c r="D254" i="6"/>
  <c r="C254" i="6"/>
  <c r="BE253" i="6"/>
  <c r="AW253" i="6"/>
  <c r="AV253" i="6"/>
  <c r="AQ253" i="6"/>
  <c r="AR253" i="6" s="1"/>
  <c r="AD253" i="6"/>
  <c r="U253" i="6"/>
  <c r="L253" i="6"/>
  <c r="C253" i="6"/>
  <c r="BE252" i="6"/>
  <c r="AW252" i="6"/>
  <c r="AV252" i="6"/>
  <c r="AQ252" i="6"/>
  <c r="AR252" i="6" s="1"/>
  <c r="AD252" i="6"/>
  <c r="U252" i="6"/>
  <c r="L252" i="6"/>
  <c r="C252" i="6"/>
  <c r="BE251" i="6"/>
  <c r="AW251" i="6"/>
  <c r="AV251" i="6"/>
  <c r="AQ251" i="6"/>
  <c r="AR251" i="6" s="1"/>
  <c r="AD251" i="6"/>
  <c r="U251" i="6"/>
  <c r="L251" i="6"/>
  <c r="C251" i="6"/>
  <c r="BE250" i="6"/>
  <c r="AW250" i="6"/>
  <c r="AV250" i="6"/>
  <c r="AQ250" i="6"/>
  <c r="AR250" i="6" s="1"/>
  <c r="AD250" i="6"/>
  <c r="U250" i="6"/>
  <c r="L250" i="6"/>
  <c r="C250" i="6"/>
  <c r="BE249" i="6"/>
  <c r="AW249" i="6"/>
  <c r="AV249" i="6"/>
  <c r="AQ249" i="6"/>
  <c r="AR249" i="6" s="1"/>
  <c r="AD249" i="6"/>
  <c r="U249" i="6"/>
  <c r="L249" i="6"/>
  <c r="C249" i="6"/>
  <c r="BE248" i="6"/>
  <c r="AW248" i="6"/>
  <c r="AV248" i="6"/>
  <c r="AQ248" i="6"/>
  <c r="AR248" i="6" s="1"/>
  <c r="AD248" i="6"/>
  <c r="U248" i="6"/>
  <c r="L248" i="6"/>
  <c r="C248" i="6"/>
  <c r="BE247" i="6"/>
  <c r="AW247" i="6"/>
  <c r="AV247" i="6"/>
  <c r="AQ247" i="6"/>
  <c r="AR247" i="6" s="1"/>
  <c r="AD247" i="6"/>
  <c r="U247" i="6"/>
  <c r="L247" i="6"/>
  <c r="C247" i="6"/>
  <c r="BE246" i="6"/>
  <c r="AW246" i="6"/>
  <c r="AV246" i="6"/>
  <c r="AQ246" i="6"/>
  <c r="AR246" i="6" s="1"/>
  <c r="AD246" i="6"/>
  <c r="U246" i="6"/>
  <c r="L246" i="6"/>
  <c r="C246" i="6"/>
  <c r="BE245" i="6"/>
  <c r="AW245" i="6"/>
  <c r="AV245" i="6"/>
  <c r="AQ245" i="6"/>
  <c r="AR245" i="6" s="1"/>
  <c r="AD245" i="6"/>
  <c r="U245" i="6"/>
  <c r="L245" i="6"/>
  <c r="C245" i="6"/>
  <c r="BE244" i="6"/>
  <c r="AW244" i="6"/>
  <c r="AV244" i="6"/>
  <c r="AQ244" i="6"/>
  <c r="AR244" i="6" s="1"/>
  <c r="AD244" i="6"/>
  <c r="U244" i="6"/>
  <c r="L244" i="6"/>
  <c r="C244" i="6"/>
  <c r="BE243" i="6"/>
  <c r="AW243" i="6"/>
  <c r="AV243" i="6"/>
  <c r="AQ243" i="6"/>
  <c r="AR243" i="6" s="1"/>
  <c r="AD243" i="6"/>
  <c r="U243" i="6"/>
  <c r="L243" i="6"/>
  <c r="C243" i="6"/>
  <c r="BE242" i="6"/>
  <c r="AW242" i="6"/>
  <c r="AV242" i="6"/>
  <c r="AQ242" i="6"/>
  <c r="AR242" i="6" s="1"/>
  <c r="AD242" i="6"/>
  <c r="U242" i="6"/>
  <c r="L242" i="6"/>
  <c r="C242" i="6"/>
  <c r="BE241" i="6"/>
  <c r="AW241" i="6"/>
  <c r="AV241" i="6"/>
  <c r="AQ241" i="6"/>
  <c r="AR241" i="6" s="1"/>
  <c r="AD241" i="6"/>
  <c r="U241" i="6"/>
  <c r="L241" i="6"/>
  <c r="C241" i="6"/>
  <c r="BE240" i="6"/>
  <c r="AW240" i="6"/>
  <c r="AV240" i="6"/>
  <c r="AQ240" i="6"/>
  <c r="AR240" i="6" s="1"/>
  <c r="AD240" i="6"/>
  <c r="U240" i="6"/>
  <c r="L240" i="6"/>
  <c r="C240" i="6"/>
  <c r="BE239" i="6"/>
  <c r="AW239" i="6"/>
  <c r="AV239" i="6"/>
  <c r="AQ239" i="6"/>
  <c r="AR239" i="6" s="1"/>
  <c r="AD239" i="6"/>
  <c r="U239" i="6"/>
  <c r="L239" i="6"/>
  <c r="C239" i="6"/>
  <c r="BE238" i="6"/>
  <c r="AW238" i="6"/>
  <c r="AV238" i="6"/>
  <c r="AQ238" i="6"/>
  <c r="AR238" i="6" s="1"/>
  <c r="AD238" i="6"/>
  <c r="U238" i="6"/>
  <c r="L238" i="6"/>
  <c r="C238" i="6"/>
  <c r="BE237" i="6"/>
  <c r="AW237" i="6"/>
  <c r="AV237" i="6"/>
  <c r="AQ237" i="6"/>
  <c r="AR237" i="6" s="1"/>
  <c r="AD237" i="6"/>
  <c r="U237" i="6"/>
  <c r="L237" i="6"/>
  <c r="C237" i="6"/>
  <c r="BE236" i="6"/>
  <c r="AW236" i="6"/>
  <c r="AV236" i="6"/>
  <c r="AQ236" i="6"/>
  <c r="AR236" i="6" s="1"/>
  <c r="AD236" i="6"/>
  <c r="U236" i="6"/>
  <c r="L236" i="6"/>
  <c r="C236" i="6"/>
  <c r="BE235" i="6"/>
  <c r="AW235" i="6"/>
  <c r="AV235" i="6"/>
  <c r="AQ235" i="6"/>
  <c r="AR235" i="6" s="1"/>
  <c r="AD235" i="6"/>
  <c r="U235" i="6"/>
  <c r="L235" i="6"/>
  <c r="C235" i="6"/>
  <c r="BE234" i="6"/>
  <c r="AW234" i="6"/>
  <c r="AV234" i="6"/>
  <c r="AQ234" i="6"/>
  <c r="AR234" i="6" s="1"/>
  <c r="AD234" i="6"/>
  <c r="U234" i="6"/>
  <c r="L234" i="6"/>
  <c r="C234" i="6"/>
  <c r="BE233" i="6"/>
  <c r="AW233" i="6"/>
  <c r="AV233" i="6"/>
  <c r="AQ233" i="6"/>
  <c r="AR233" i="6" s="1"/>
  <c r="AD233" i="6"/>
  <c r="U233" i="6"/>
  <c r="L233" i="6"/>
  <c r="C233" i="6"/>
  <c r="BE232" i="6"/>
  <c r="AW232" i="6"/>
  <c r="AV232" i="6"/>
  <c r="AQ232" i="6"/>
  <c r="AR232" i="6" s="1"/>
  <c r="AD232" i="6"/>
  <c r="U232" i="6"/>
  <c r="L232" i="6"/>
  <c r="C232" i="6"/>
  <c r="BE231" i="6"/>
  <c r="AW231" i="6"/>
  <c r="AV231" i="6"/>
  <c r="AQ231" i="6"/>
  <c r="AR231" i="6" s="1"/>
  <c r="AD231" i="6"/>
  <c r="U231" i="6"/>
  <c r="L231" i="6"/>
  <c r="C231" i="6"/>
  <c r="BE230" i="6"/>
  <c r="AW230" i="6"/>
  <c r="AV230" i="6"/>
  <c r="AQ230" i="6"/>
  <c r="AR230" i="6" s="1"/>
  <c r="AD230" i="6"/>
  <c r="U230" i="6"/>
  <c r="L230" i="6"/>
  <c r="C230" i="6"/>
  <c r="BE229" i="6"/>
  <c r="AW229" i="6"/>
  <c r="AV229" i="6"/>
  <c r="AQ229" i="6"/>
  <c r="AR229" i="6" s="1"/>
  <c r="AD229" i="6"/>
  <c r="U229" i="6"/>
  <c r="L229" i="6"/>
  <c r="C229" i="6"/>
  <c r="BE228" i="6"/>
  <c r="AW228" i="6"/>
  <c r="AV228" i="6"/>
  <c r="AQ228" i="6"/>
  <c r="AR228" i="6" s="1"/>
  <c r="AD228" i="6"/>
  <c r="U228" i="6"/>
  <c r="L228" i="6"/>
  <c r="C228" i="6"/>
  <c r="BE227" i="6"/>
  <c r="AW227" i="6"/>
  <c r="AV227" i="6"/>
  <c r="AQ227" i="6"/>
  <c r="AR227" i="6" s="1"/>
  <c r="AD227" i="6"/>
  <c r="U227" i="6"/>
  <c r="L227" i="6"/>
  <c r="C227" i="6"/>
  <c r="BE226" i="6"/>
  <c r="AW226" i="6"/>
  <c r="AV226" i="6"/>
  <c r="AQ226" i="6"/>
  <c r="AR226" i="6" s="1"/>
  <c r="AD226" i="6"/>
  <c r="U226" i="6"/>
  <c r="L226" i="6"/>
  <c r="C226" i="6"/>
  <c r="BE225" i="6"/>
  <c r="AW225" i="6"/>
  <c r="AV225" i="6"/>
  <c r="AQ225" i="6"/>
  <c r="AR225" i="6" s="1"/>
  <c r="AD225" i="6"/>
  <c r="U225" i="6"/>
  <c r="L225" i="6"/>
  <c r="C225" i="6"/>
  <c r="BE224" i="6"/>
  <c r="AW224" i="6"/>
  <c r="AV224" i="6"/>
  <c r="AQ224" i="6"/>
  <c r="AR224" i="6" s="1"/>
  <c r="AD224" i="6"/>
  <c r="U224" i="6"/>
  <c r="L224" i="6"/>
  <c r="C224" i="6"/>
  <c r="BE223" i="6"/>
  <c r="BE256" i="6" s="1"/>
  <c r="AW223" i="6"/>
  <c r="AV223" i="6"/>
  <c r="AQ223" i="6"/>
  <c r="AQ255" i="6" s="1"/>
  <c r="AD223" i="6"/>
  <c r="U223" i="6"/>
  <c r="U256" i="6" s="1"/>
  <c r="L223" i="6"/>
  <c r="L254" i="6" s="1"/>
  <c r="C223" i="6"/>
  <c r="C256" i="6" s="1"/>
  <c r="BL222" i="6"/>
  <c r="BK222" i="6"/>
  <c r="BJ222" i="6"/>
  <c r="BI222" i="6"/>
  <c r="BH222" i="6"/>
  <c r="BG222" i="6"/>
  <c r="BF222" i="6"/>
  <c r="BD222" i="6"/>
  <c r="AS222" i="6"/>
  <c r="AN222" i="6"/>
  <c r="BL221" i="6"/>
  <c r="BK221" i="6"/>
  <c r="BJ221" i="6"/>
  <c r="BI221" i="6"/>
  <c r="BH221" i="6"/>
  <c r="BG221" i="6"/>
  <c r="BF221" i="6"/>
  <c r="BD221" i="6"/>
  <c r="BC221" i="6"/>
  <c r="BB221" i="6"/>
  <c r="BA221" i="6"/>
  <c r="AZ221" i="6"/>
  <c r="AY221" i="6"/>
  <c r="AU221" i="6"/>
  <c r="AT221" i="6"/>
  <c r="AS221" i="6"/>
  <c r="AP221" i="6"/>
  <c r="AO221" i="6"/>
  <c r="AN221" i="6"/>
  <c r="AM221" i="6"/>
  <c r="AL221" i="6"/>
  <c r="AK221" i="6"/>
  <c r="AJ221" i="6"/>
  <c r="AI221" i="6"/>
  <c r="AH221" i="6"/>
  <c r="AG221" i="6"/>
  <c r="AF221" i="6"/>
  <c r="AE221" i="6"/>
  <c r="AC221" i="6"/>
  <c r="AB221" i="6"/>
  <c r="AA221" i="6"/>
  <c r="Z221" i="6"/>
  <c r="Y221" i="6"/>
  <c r="X221" i="6"/>
  <c r="W221" i="6"/>
  <c r="V221" i="6"/>
  <c r="U221" i="6"/>
  <c r="T221" i="6"/>
  <c r="S221" i="6"/>
  <c r="R221" i="6"/>
  <c r="Q221" i="6"/>
  <c r="P221" i="6"/>
  <c r="O221" i="6"/>
  <c r="N221" i="6"/>
  <c r="M221" i="6"/>
  <c r="K221" i="6"/>
  <c r="J221" i="6"/>
  <c r="I221" i="6"/>
  <c r="H221" i="6"/>
  <c r="G221" i="6"/>
  <c r="F221" i="6"/>
  <c r="E221" i="6"/>
  <c r="D221" i="6"/>
  <c r="BL220" i="6"/>
  <c r="BK220" i="6"/>
  <c r="BJ220" i="6"/>
  <c r="BI220" i="6"/>
  <c r="BH220" i="6"/>
  <c r="BG220" i="6"/>
  <c r="BF220" i="6"/>
  <c r="BD220" i="6"/>
  <c r="BC220" i="6"/>
  <c r="BB220" i="6"/>
  <c r="BA220" i="6"/>
  <c r="AZ220" i="6"/>
  <c r="AY220" i="6"/>
  <c r="AU220" i="6"/>
  <c r="AT220" i="6"/>
  <c r="AS220" i="6"/>
  <c r="AP220" i="6"/>
  <c r="AO220" i="6"/>
  <c r="AN220" i="6"/>
  <c r="AM220" i="6"/>
  <c r="AL220" i="6"/>
  <c r="AK220" i="6"/>
  <c r="AJ220" i="6"/>
  <c r="AI220" i="6"/>
  <c r="AH220" i="6"/>
  <c r="AG220" i="6"/>
  <c r="AF220" i="6"/>
  <c r="AE220" i="6"/>
  <c r="AC220" i="6"/>
  <c r="AB220" i="6"/>
  <c r="AA220" i="6"/>
  <c r="Z220" i="6"/>
  <c r="Y220" i="6"/>
  <c r="X220" i="6"/>
  <c r="W220" i="6"/>
  <c r="V220" i="6"/>
  <c r="T220" i="6"/>
  <c r="S220" i="6"/>
  <c r="R220" i="6"/>
  <c r="Q220" i="6"/>
  <c r="P220" i="6"/>
  <c r="O220" i="6"/>
  <c r="N220" i="6"/>
  <c r="M220" i="6"/>
  <c r="K220" i="6"/>
  <c r="J220" i="6"/>
  <c r="I220" i="6"/>
  <c r="H220" i="6"/>
  <c r="G220" i="6"/>
  <c r="F220" i="6"/>
  <c r="E220" i="6"/>
  <c r="D220" i="6"/>
  <c r="BL219" i="6"/>
  <c r="BK219" i="6"/>
  <c r="BJ219" i="6"/>
  <c r="BI219" i="6"/>
  <c r="BH219" i="6"/>
  <c r="BG219" i="6"/>
  <c r="BF219" i="6"/>
  <c r="BD219" i="6"/>
  <c r="BC219" i="6"/>
  <c r="BB219" i="6"/>
  <c r="BA219" i="6"/>
  <c r="AZ219" i="6"/>
  <c r="AY219" i="6"/>
  <c r="AU219" i="6"/>
  <c r="AT219" i="6"/>
  <c r="AS219" i="6"/>
  <c r="AP219" i="6"/>
  <c r="AO219" i="6"/>
  <c r="AN219" i="6"/>
  <c r="AM219" i="6"/>
  <c r="AL219" i="6"/>
  <c r="AK219" i="6"/>
  <c r="AJ219" i="6"/>
  <c r="AI219" i="6"/>
  <c r="AH219" i="6"/>
  <c r="AG219" i="6"/>
  <c r="AF219" i="6"/>
  <c r="AE219" i="6"/>
  <c r="AC219" i="6"/>
  <c r="AB219" i="6"/>
  <c r="AA219" i="6"/>
  <c r="Z219" i="6"/>
  <c r="Y219" i="6"/>
  <c r="X219" i="6"/>
  <c r="W219" i="6"/>
  <c r="V219" i="6"/>
  <c r="T219" i="6"/>
  <c r="S219" i="6"/>
  <c r="R219" i="6"/>
  <c r="Q219" i="6"/>
  <c r="P219" i="6"/>
  <c r="O219" i="6"/>
  <c r="N219" i="6"/>
  <c r="M219" i="6"/>
  <c r="K219" i="6"/>
  <c r="J219" i="6"/>
  <c r="I219" i="6"/>
  <c r="H219" i="6"/>
  <c r="G219" i="6"/>
  <c r="F219" i="6"/>
  <c r="E219" i="6"/>
  <c r="D219" i="6"/>
  <c r="BE218" i="6"/>
  <c r="AW218" i="6"/>
  <c r="AV218" i="6"/>
  <c r="AQ218" i="6"/>
  <c r="AR218" i="6" s="1"/>
  <c r="AX218" i="6" s="1"/>
  <c r="AD218" i="6"/>
  <c r="U218" i="6"/>
  <c r="L218" i="6"/>
  <c r="C218" i="6"/>
  <c r="BE217" i="6"/>
  <c r="AV217" i="6"/>
  <c r="AW217" i="6" s="1"/>
  <c r="AQ217" i="6"/>
  <c r="AR217" i="6" s="1"/>
  <c r="AD217" i="6"/>
  <c r="U217" i="6"/>
  <c r="L217" i="6"/>
  <c r="C217" i="6"/>
  <c r="BE216" i="6"/>
  <c r="AW216" i="6"/>
  <c r="AV216" i="6"/>
  <c r="AX216" i="6" s="1"/>
  <c r="AQ216" i="6"/>
  <c r="AR216" i="6" s="1"/>
  <c r="AD216" i="6"/>
  <c r="U216" i="6"/>
  <c r="L216" i="6"/>
  <c r="C216" i="6"/>
  <c r="BE215" i="6"/>
  <c r="AW215" i="6"/>
  <c r="AV215" i="6"/>
  <c r="AQ215" i="6"/>
  <c r="AR215" i="6" s="1"/>
  <c r="AX215" i="6" s="1"/>
  <c r="AD215" i="6"/>
  <c r="U215" i="6"/>
  <c r="L215" i="6"/>
  <c r="C215" i="6"/>
  <c r="BE214" i="6"/>
  <c r="AV214" i="6"/>
  <c r="AW214" i="6" s="1"/>
  <c r="AX214" i="6" s="1"/>
  <c r="AQ214" i="6"/>
  <c r="AR214" i="6" s="1"/>
  <c r="AD214" i="6"/>
  <c r="U214" i="6"/>
  <c r="U220" i="6" s="1"/>
  <c r="L214" i="6"/>
  <c r="C214" i="6"/>
  <c r="BE213" i="6"/>
  <c r="AW213" i="6"/>
  <c r="AX213" i="6" s="1"/>
  <c r="AV213" i="6"/>
  <c r="AQ213" i="6"/>
  <c r="AR213" i="6" s="1"/>
  <c r="AD213" i="6"/>
  <c r="U213" i="6"/>
  <c r="L213" i="6"/>
  <c r="C213" i="6"/>
  <c r="BE212" i="6"/>
  <c r="AV212" i="6"/>
  <c r="AQ212" i="6"/>
  <c r="AR212" i="6" s="1"/>
  <c r="AD212" i="6"/>
  <c r="U212" i="6"/>
  <c r="L212" i="6"/>
  <c r="C212" i="6"/>
  <c r="BE211" i="6"/>
  <c r="AV211" i="6"/>
  <c r="AQ211" i="6"/>
  <c r="AR211" i="6" s="1"/>
  <c r="AD211" i="6"/>
  <c r="U211" i="6"/>
  <c r="L211" i="6"/>
  <c r="C211" i="6"/>
  <c r="BE210" i="6"/>
  <c r="AV210" i="6"/>
  <c r="AQ210" i="6"/>
  <c r="AR210" i="6" s="1"/>
  <c r="AD210" i="6"/>
  <c r="U210" i="6"/>
  <c r="L210" i="6"/>
  <c r="C210" i="6"/>
  <c r="BE209" i="6"/>
  <c r="AV209" i="6"/>
  <c r="AQ209" i="6"/>
  <c r="AR209" i="6" s="1"/>
  <c r="AD209" i="6"/>
  <c r="U209" i="6"/>
  <c r="L209" i="6"/>
  <c r="C209" i="6"/>
  <c r="BE208" i="6"/>
  <c r="AV208" i="6"/>
  <c r="AQ208" i="6"/>
  <c r="AR208" i="6" s="1"/>
  <c r="AD208" i="6"/>
  <c r="U208" i="6"/>
  <c r="L208" i="6"/>
  <c r="C208" i="6"/>
  <c r="BE207" i="6"/>
  <c r="AV207" i="6"/>
  <c r="AQ207" i="6"/>
  <c r="AR207" i="6" s="1"/>
  <c r="AD207" i="6"/>
  <c r="U207" i="6"/>
  <c r="L207" i="6"/>
  <c r="C207" i="6"/>
  <c r="BE206" i="6"/>
  <c r="AV206" i="6"/>
  <c r="AQ206" i="6"/>
  <c r="AR206" i="6" s="1"/>
  <c r="AD206" i="6"/>
  <c r="U206" i="6"/>
  <c r="L206" i="6"/>
  <c r="C206" i="6"/>
  <c r="BE205" i="6"/>
  <c r="AV205" i="6"/>
  <c r="AQ205" i="6"/>
  <c r="AR205" i="6" s="1"/>
  <c r="AD205" i="6"/>
  <c r="U205" i="6"/>
  <c r="L205" i="6"/>
  <c r="C205" i="6"/>
  <c r="BE204" i="6"/>
  <c r="AV204" i="6"/>
  <c r="AQ204" i="6"/>
  <c r="AR204" i="6" s="1"/>
  <c r="AD204" i="6"/>
  <c r="U204" i="6"/>
  <c r="L204" i="6"/>
  <c r="C204" i="6"/>
  <c r="BE203" i="6"/>
  <c r="AV203" i="6"/>
  <c r="AQ203" i="6"/>
  <c r="AR203" i="6" s="1"/>
  <c r="AD203" i="6"/>
  <c r="U203" i="6"/>
  <c r="L203" i="6"/>
  <c r="C203" i="6"/>
  <c r="BE202" i="6"/>
  <c r="AV202" i="6"/>
  <c r="AQ202" i="6"/>
  <c r="AR202" i="6" s="1"/>
  <c r="AD202" i="6"/>
  <c r="U202" i="6"/>
  <c r="L202" i="6"/>
  <c r="C202" i="6"/>
  <c r="BE201" i="6"/>
  <c r="AV201" i="6"/>
  <c r="AQ201" i="6"/>
  <c r="AR201" i="6" s="1"/>
  <c r="AD201" i="6"/>
  <c r="U201" i="6"/>
  <c r="L201" i="6"/>
  <c r="C201" i="6"/>
  <c r="BE200" i="6"/>
  <c r="AV200" i="6"/>
  <c r="AQ200" i="6"/>
  <c r="AR200" i="6" s="1"/>
  <c r="AD200" i="6"/>
  <c r="U200" i="6"/>
  <c r="L200" i="6"/>
  <c r="C200" i="6"/>
  <c r="BE199" i="6"/>
  <c r="AV199" i="6"/>
  <c r="AQ199" i="6"/>
  <c r="AR199" i="6" s="1"/>
  <c r="AD199" i="6"/>
  <c r="U199" i="6"/>
  <c r="L199" i="6"/>
  <c r="C199" i="6"/>
  <c r="BE198" i="6"/>
  <c r="AV198" i="6"/>
  <c r="AQ198" i="6"/>
  <c r="AR198" i="6" s="1"/>
  <c r="AD198" i="6"/>
  <c r="U198" i="6"/>
  <c r="L198" i="6"/>
  <c r="C198" i="6"/>
  <c r="BE197" i="6"/>
  <c r="AV197" i="6"/>
  <c r="AQ197" i="6"/>
  <c r="AR197" i="6" s="1"/>
  <c r="AD197" i="6"/>
  <c r="U197" i="6"/>
  <c r="L197" i="6"/>
  <c r="C197" i="6"/>
  <c r="BE196" i="6"/>
  <c r="AV196" i="6"/>
  <c r="AQ196" i="6"/>
  <c r="AR196" i="6" s="1"/>
  <c r="AD196" i="6"/>
  <c r="U196" i="6"/>
  <c r="L196" i="6"/>
  <c r="C196" i="6"/>
  <c r="BE195" i="6"/>
  <c r="AV195" i="6"/>
  <c r="AQ195" i="6"/>
  <c r="AR195" i="6" s="1"/>
  <c r="AD195" i="6"/>
  <c r="U195" i="6"/>
  <c r="L195" i="6"/>
  <c r="C195" i="6"/>
  <c r="BE194" i="6"/>
  <c r="AV194" i="6"/>
  <c r="AQ194" i="6"/>
  <c r="AR194" i="6" s="1"/>
  <c r="AD194" i="6"/>
  <c r="U194" i="6"/>
  <c r="L194" i="6"/>
  <c r="C194" i="6"/>
  <c r="BE193" i="6"/>
  <c r="AV193" i="6"/>
  <c r="AQ193" i="6"/>
  <c r="AR193" i="6" s="1"/>
  <c r="AD193" i="6"/>
  <c r="U193" i="6"/>
  <c r="L193" i="6"/>
  <c r="C193" i="6"/>
  <c r="BE192" i="6"/>
  <c r="AV192" i="6"/>
  <c r="AQ192" i="6"/>
  <c r="AR192" i="6" s="1"/>
  <c r="AD192" i="6"/>
  <c r="U192" i="6"/>
  <c r="L192" i="6"/>
  <c r="C192" i="6"/>
  <c r="BE191" i="6"/>
  <c r="AV191" i="6"/>
  <c r="AQ191" i="6"/>
  <c r="AR191" i="6" s="1"/>
  <c r="AD191" i="6"/>
  <c r="U191" i="6"/>
  <c r="L191" i="6"/>
  <c r="C191" i="6"/>
  <c r="BE190" i="6"/>
  <c r="AV190" i="6"/>
  <c r="AQ190" i="6"/>
  <c r="AR190" i="6" s="1"/>
  <c r="AD190" i="6"/>
  <c r="U190" i="6"/>
  <c r="L190" i="6"/>
  <c r="C190" i="6"/>
  <c r="BE189" i="6"/>
  <c r="BE221" i="6" s="1"/>
  <c r="AV189" i="6"/>
  <c r="AQ189" i="6"/>
  <c r="AQ221" i="6" s="1"/>
  <c r="AD189" i="6"/>
  <c r="AD219" i="6" s="1"/>
  <c r="U189" i="6"/>
  <c r="U219" i="6" s="1"/>
  <c r="L189" i="6"/>
  <c r="L220" i="6" s="1"/>
  <c r="C189" i="6"/>
  <c r="BL188" i="6"/>
  <c r="BK188" i="6"/>
  <c r="BJ188" i="6"/>
  <c r="BI188" i="6"/>
  <c r="BH188" i="6"/>
  <c r="BG188" i="6"/>
  <c r="BF188" i="6"/>
  <c r="BD188" i="6"/>
  <c r="AS188" i="6"/>
  <c r="AN188" i="6"/>
  <c r="BL187" i="6"/>
  <c r="BK187" i="6"/>
  <c r="BJ187" i="6"/>
  <c r="BI187" i="6"/>
  <c r="BH187" i="6"/>
  <c r="BG187" i="6"/>
  <c r="BF187" i="6"/>
  <c r="BD187" i="6"/>
  <c r="BC187" i="6"/>
  <c r="BB187" i="6"/>
  <c r="BA187" i="6"/>
  <c r="AZ187" i="6"/>
  <c r="AY187" i="6"/>
  <c r="AU187" i="6"/>
  <c r="AT187" i="6"/>
  <c r="AS187" i="6"/>
  <c r="AQ187" i="6"/>
  <c r="AP187" i="6"/>
  <c r="AO187" i="6"/>
  <c r="AN187" i="6"/>
  <c r="AM187" i="6"/>
  <c r="AL187" i="6"/>
  <c r="AK187" i="6"/>
  <c r="AJ187" i="6"/>
  <c r="AI187" i="6"/>
  <c r="AH187" i="6"/>
  <c r="AG187" i="6"/>
  <c r="AF187" i="6"/>
  <c r="AE187" i="6"/>
  <c r="AC187" i="6"/>
  <c r="AB187" i="6"/>
  <c r="AA187" i="6"/>
  <c r="Z187" i="6"/>
  <c r="Y187" i="6"/>
  <c r="X187" i="6"/>
  <c r="W187" i="6"/>
  <c r="V187" i="6"/>
  <c r="T187" i="6"/>
  <c r="S187" i="6"/>
  <c r="R187" i="6"/>
  <c r="Q187" i="6"/>
  <c r="P187" i="6"/>
  <c r="O187" i="6"/>
  <c r="N187" i="6"/>
  <c r="M187" i="6"/>
  <c r="L187" i="6"/>
  <c r="K187" i="6"/>
  <c r="J187" i="6"/>
  <c r="I187" i="6"/>
  <c r="H187" i="6"/>
  <c r="G187" i="6"/>
  <c r="F187" i="6"/>
  <c r="E187" i="6"/>
  <c r="D187" i="6"/>
  <c r="BL186" i="6"/>
  <c r="BK186" i="6"/>
  <c r="BJ186" i="6"/>
  <c r="BI186" i="6"/>
  <c r="BH186" i="6"/>
  <c r="BG186" i="6"/>
  <c r="BF186" i="6"/>
  <c r="BD186" i="6"/>
  <c r="BC186" i="6"/>
  <c r="BB186" i="6"/>
  <c r="BA186" i="6"/>
  <c r="AZ186" i="6"/>
  <c r="AY186" i="6"/>
  <c r="AU186" i="6"/>
  <c r="AT186" i="6"/>
  <c r="AS186" i="6"/>
  <c r="AP186" i="6"/>
  <c r="AO186" i="6"/>
  <c r="AN186" i="6"/>
  <c r="AM186" i="6"/>
  <c r="AL186" i="6"/>
  <c r="AK186" i="6"/>
  <c r="AJ186" i="6"/>
  <c r="AI186" i="6"/>
  <c r="AH186" i="6"/>
  <c r="AG186" i="6"/>
  <c r="AF186" i="6"/>
  <c r="AE186" i="6"/>
  <c r="AC186" i="6"/>
  <c r="AB186" i="6"/>
  <c r="AA186" i="6"/>
  <c r="Z186" i="6"/>
  <c r="Y186" i="6"/>
  <c r="X186" i="6"/>
  <c r="W186" i="6"/>
  <c r="V186" i="6"/>
  <c r="T186" i="6"/>
  <c r="S186" i="6"/>
  <c r="R186" i="6"/>
  <c r="Q186" i="6"/>
  <c r="P186" i="6"/>
  <c r="O186" i="6"/>
  <c r="N186" i="6"/>
  <c r="M186" i="6"/>
  <c r="K186" i="6"/>
  <c r="J186" i="6"/>
  <c r="I186" i="6"/>
  <c r="H186" i="6"/>
  <c r="G186" i="6"/>
  <c r="F186" i="6"/>
  <c r="E186" i="6"/>
  <c r="D186" i="6"/>
  <c r="BL185" i="6"/>
  <c r="BK185" i="6"/>
  <c r="BJ185" i="6"/>
  <c r="BI185" i="6"/>
  <c r="BH185" i="6"/>
  <c r="BG185" i="6"/>
  <c r="BF185" i="6"/>
  <c r="BD185" i="6"/>
  <c r="BC185" i="6"/>
  <c r="BB185" i="6"/>
  <c r="BA185" i="6"/>
  <c r="AZ185" i="6"/>
  <c r="AY185" i="6"/>
  <c r="AU185" i="6"/>
  <c r="AT185" i="6"/>
  <c r="AS185" i="6"/>
  <c r="AQ185" i="6"/>
  <c r="AP185" i="6"/>
  <c r="AO185" i="6"/>
  <c r="AN185" i="6"/>
  <c r="AM185" i="6"/>
  <c r="AL185" i="6"/>
  <c r="AK185" i="6"/>
  <c r="AJ185" i="6"/>
  <c r="AI185" i="6"/>
  <c r="AH185" i="6"/>
  <c r="AG185" i="6"/>
  <c r="AF185" i="6"/>
  <c r="AE185" i="6"/>
  <c r="AC185" i="6"/>
  <c r="AB185" i="6"/>
  <c r="AA185" i="6"/>
  <c r="Z185" i="6"/>
  <c r="Y185" i="6"/>
  <c r="X185" i="6"/>
  <c r="W185" i="6"/>
  <c r="V185" i="6"/>
  <c r="T185" i="6"/>
  <c r="S185" i="6"/>
  <c r="R185" i="6"/>
  <c r="Q185" i="6"/>
  <c r="P185" i="6"/>
  <c r="O185" i="6"/>
  <c r="N185" i="6"/>
  <c r="M185" i="6"/>
  <c r="K185" i="6"/>
  <c r="J185" i="6"/>
  <c r="I185" i="6"/>
  <c r="H185" i="6"/>
  <c r="G185" i="6"/>
  <c r="F185" i="6"/>
  <c r="E185" i="6"/>
  <c r="D185" i="6"/>
  <c r="BE184" i="6"/>
  <c r="AV184" i="6"/>
  <c r="AR184" i="6"/>
  <c r="AQ184" i="6"/>
  <c r="AD184" i="6"/>
  <c r="U184" i="6"/>
  <c r="L184" i="6"/>
  <c r="C184" i="6"/>
  <c r="BE183" i="6"/>
  <c r="AV183" i="6"/>
  <c r="AR183" i="6"/>
  <c r="AQ183" i="6"/>
  <c r="AD183" i="6"/>
  <c r="U183" i="6"/>
  <c r="L183" i="6"/>
  <c r="C183" i="6"/>
  <c r="BE182" i="6"/>
  <c r="AV182" i="6"/>
  <c r="AR182" i="6"/>
  <c r="AQ182" i="6"/>
  <c r="AD182" i="6"/>
  <c r="U182" i="6"/>
  <c r="L182" i="6"/>
  <c r="C182" i="6"/>
  <c r="BE181" i="6"/>
  <c r="AV181" i="6"/>
  <c r="AR181" i="6"/>
  <c r="AQ181" i="6"/>
  <c r="AD181" i="6"/>
  <c r="U181" i="6"/>
  <c r="L181" i="6"/>
  <c r="C181" i="6"/>
  <c r="BE180" i="6"/>
  <c r="AV180" i="6"/>
  <c r="AR180" i="6"/>
  <c r="AQ180" i="6"/>
  <c r="AD180" i="6"/>
  <c r="U180" i="6"/>
  <c r="L180" i="6"/>
  <c r="C180" i="6"/>
  <c r="BE179" i="6"/>
  <c r="AV179" i="6"/>
  <c r="AR179" i="6"/>
  <c r="AQ179" i="6"/>
  <c r="AD179" i="6"/>
  <c r="U179" i="6"/>
  <c r="L179" i="6"/>
  <c r="C179" i="6"/>
  <c r="BE178" i="6"/>
  <c r="AV178" i="6"/>
  <c r="AR178" i="6"/>
  <c r="AQ178" i="6"/>
  <c r="AD178" i="6"/>
  <c r="U178" i="6"/>
  <c r="L178" i="6"/>
  <c r="C178" i="6"/>
  <c r="BE177" i="6"/>
  <c r="AV177" i="6"/>
  <c r="AR177" i="6"/>
  <c r="AQ177" i="6"/>
  <c r="AD177" i="6"/>
  <c r="U177" i="6"/>
  <c r="L177" i="6"/>
  <c r="C177" i="6"/>
  <c r="BE176" i="6"/>
  <c r="AV176" i="6"/>
  <c r="AR176" i="6"/>
  <c r="AQ176" i="6"/>
  <c r="AD176" i="6"/>
  <c r="U176" i="6"/>
  <c r="L176" i="6"/>
  <c r="C176" i="6"/>
  <c r="BE175" i="6"/>
  <c r="AV175" i="6"/>
  <c r="AR175" i="6"/>
  <c r="AQ175" i="6"/>
  <c r="AD175" i="6"/>
  <c r="U175" i="6"/>
  <c r="L175" i="6"/>
  <c r="C175" i="6"/>
  <c r="BE174" i="6"/>
  <c r="AV174" i="6"/>
  <c r="AR174" i="6"/>
  <c r="AQ174" i="6"/>
  <c r="AD174" i="6"/>
  <c r="U174" i="6"/>
  <c r="L174" i="6"/>
  <c r="C174" i="6"/>
  <c r="BE173" i="6"/>
  <c r="AV173" i="6"/>
  <c r="AR173" i="6"/>
  <c r="AQ173" i="6"/>
  <c r="AD173" i="6"/>
  <c r="U173" i="6"/>
  <c r="L173" i="6"/>
  <c r="C173" i="6"/>
  <c r="BE172" i="6"/>
  <c r="AV172" i="6"/>
  <c r="AR172" i="6"/>
  <c r="AQ172" i="6"/>
  <c r="AD172" i="6"/>
  <c r="U172" i="6"/>
  <c r="L172" i="6"/>
  <c r="C172" i="6"/>
  <c r="BE171" i="6"/>
  <c r="AV171" i="6"/>
  <c r="AR171" i="6"/>
  <c r="AQ171" i="6"/>
  <c r="AD171" i="6"/>
  <c r="U171" i="6"/>
  <c r="L171" i="6"/>
  <c r="C171" i="6"/>
  <c r="BE170" i="6"/>
  <c r="AV170" i="6"/>
  <c r="AR170" i="6"/>
  <c r="AQ170" i="6"/>
  <c r="AD170" i="6"/>
  <c r="U170" i="6"/>
  <c r="L170" i="6"/>
  <c r="C170" i="6"/>
  <c r="BE169" i="6"/>
  <c r="AV169" i="6"/>
  <c r="AR169" i="6"/>
  <c r="AQ169" i="6"/>
  <c r="AD169" i="6"/>
  <c r="U169" i="6"/>
  <c r="L169" i="6"/>
  <c r="C169" i="6"/>
  <c r="BE168" i="6"/>
  <c r="AV168" i="6"/>
  <c r="AR168" i="6"/>
  <c r="AQ168" i="6"/>
  <c r="AD168" i="6"/>
  <c r="U168" i="6"/>
  <c r="L168" i="6"/>
  <c r="C168" i="6"/>
  <c r="BE167" i="6"/>
  <c r="AV167" i="6"/>
  <c r="AR167" i="6"/>
  <c r="AQ167" i="6"/>
  <c r="AD167" i="6"/>
  <c r="U167" i="6"/>
  <c r="L167" i="6"/>
  <c r="C167" i="6"/>
  <c r="BE166" i="6"/>
  <c r="AV166" i="6"/>
  <c r="AR166" i="6"/>
  <c r="AQ166" i="6"/>
  <c r="AD166" i="6"/>
  <c r="U166" i="6"/>
  <c r="L166" i="6"/>
  <c r="C166" i="6"/>
  <c r="BE165" i="6"/>
  <c r="AV165" i="6"/>
  <c r="AR165" i="6"/>
  <c r="AQ165" i="6"/>
  <c r="AD165" i="6"/>
  <c r="U165" i="6"/>
  <c r="L165" i="6"/>
  <c r="C165" i="6"/>
  <c r="BE164" i="6"/>
  <c r="AV164" i="6"/>
  <c r="AR164" i="6"/>
  <c r="AQ164" i="6"/>
  <c r="AD164" i="6"/>
  <c r="U164" i="6"/>
  <c r="L164" i="6"/>
  <c r="C164" i="6"/>
  <c r="BE163" i="6"/>
  <c r="AV163" i="6"/>
  <c r="AR163" i="6"/>
  <c r="AQ163" i="6"/>
  <c r="AD163" i="6"/>
  <c r="U163" i="6"/>
  <c r="L163" i="6"/>
  <c r="C163" i="6"/>
  <c r="BE162" i="6"/>
  <c r="AV162" i="6"/>
  <c r="AR162" i="6"/>
  <c r="AQ162" i="6"/>
  <c r="AD162" i="6"/>
  <c r="U162" i="6"/>
  <c r="L162" i="6"/>
  <c r="C162" i="6"/>
  <c r="BE161" i="6"/>
  <c r="AV161" i="6"/>
  <c r="AR161" i="6"/>
  <c r="AQ161" i="6"/>
  <c r="AD161" i="6"/>
  <c r="U161" i="6"/>
  <c r="L161" i="6"/>
  <c r="C161" i="6"/>
  <c r="BE160" i="6"/>
  <c r="AV160" i="6"/>
  <c r="AR160" i="6"/>
  <c r="AQ160" i="6"/>
  <c r="AD160" i="6"/>
  <c r="U160" i="6"/>
  <c r="L160" i="6"/>
  <c r="C160" i="6"/>
  <c r="BE159" i="6"/>
  <c r="AV159" i="6"/>
  <c r="AR159" i="6"/>
  <c r="AQ159" i="6"/>
  <c r="AD159" i="6"/>
  <c r="U159" i="6"/>
  <c r="L159" i="6"/>
  <c r="C159" i="6"/>
  <c r="BE158" i="6"/>
  <c r="AV158" i="6"/>
  <c r="AR158" i="6"/>
  <c r="AQ158" i="6"/>
  <c r="AD158" i="6"/>
  <c r="U158" i="6"/>
  <c r="L158" i="6"/>
  <c r="C158" i="6"/>
  <c r="BE157" i="6"/>
  <c r="AV157" i="6"/>
  <c r="AR157" i="6"/>
  <c r="AQ157" i="6"/>
  <c r="AD157" i="6"/>
  <c r="U157" i="6"/>
  <c r="L157" i="6"/>
  <c r="C157" i="6"/>
  <c r="BE156" i="6"/>
  <c r="AV156" i="6"/>
  <c r="AR156" i="6"/>
  <c r="AQ156" i="6"/>
  <c r="AD156" i="6"/>
  <c r="U156" i="6"/>
  <c r="L156" i="6"/>
  <c r="C156" i="6"/>
  <c r="BE155" i="6"/>
  <c r="AV155" i="6"/>
  <c r="AR155" i="6"/>
  <c r="AQ155" i="6"/>
  <c r="AD155" i="6"/>
  <c r="U155" i="6"/>
  <c r="L155" i="6"/>
  <c r="C155" i="6"/>
  <c r="BE154" i="6"/>
  <c r="BE187" i="6" s="1"/>
  <c r="AV154" i="6"/>
  <c r="AV187" i="6" s="1"/>
  <c r="AR154" i="6"/>
  <c r="AQ154" i="6"/>
  <c r="AQ186" i="6" s="1"/>
  <c r="AD154" i="6"/>
  <c r="AD187" i="6" s="1"/>
  <c r="U154" i="6"/>
  <c r="L154" i="6"/>
  <c r="L186" i="6" s="1"/>
  <c r="C154" i="6"/>
  <c r="C187" i="6" s="1"/>
  <c r="BL153" i="6"/>
  <c r="BK153" i="6"/>
  <c r="BJ153" i="6"/>
  <c r="BI153" i="6"/>
  <c r="BH153" i="6"/>
  <c r="BG153" i="6"/>
  <c r="BF153" i="6"/>
  <c r="BE153" i="6"/>
  <c r="BD153" i="6"/>
  <c r="AS153" i="6"/>
  <c r="AN153" i="6"/>
  <c r="BL152" i="6"/>
  <c r="BK152" i="6"/>
  <c r="BJ152" i="6"/>
  <c r="BI152" i="6"/>
  <c r="BH152" i="6"/>
  <c r="BG152" i="6"/>
  <c r="BF152" i="6"/>
  <c r="BD152" i="6"/>
  <c r="BC152" i="6"/>
  <c r="BB152" i="6"/>
  <c r="BA152" i="6"/>
  <c r="AZ152" i="6"/>
  <c r="AY152" i="6"/>
  <c r="AU152" i="6"/>
  <c r="AT152" i="6"/>
  <c r="AS152" i="6"/>
  <c r="AP152" i="6"/>
  <c r="AO152" i="6"/>
  <c r="AN152" i="6"/>
  <c r="AM152" i="6"/>
  <c r="AL152" i="6"/>
  <c r="AK152" i="6"/>
  <c r="AJ152" i="6"/>
  <c r="AI152" i="6"/>
  <c r="AH152" i="6"/>
  <c r="AG152" i="6"/>
  <c r="AF152" i="6"/>
  <c r="AE152" i="6"/>
  <c r="AD152" i="6"/>
  <c r="AC152" i="6"/>
  <c r="AB152" i="6"/>
  <c r="AA152" i="6"/>
  <c r="Z152" i="6"/>
  <c r="Y152" i="6"/>
  <c r="X152" i="6"/>
  <c r="W152" i="6"/>
  <c r="V152" i="6"/>
  <c r="T152" i="6"/>
  <c r="S152" i="6"/>
  <c r="R152" i="6"/>
  <c r="Q152" i="6"/>
  <c r="P152" i="6"/>
  <c r="O152" i="6"/>
  <c r="N152" i="6"/>
  <c r="M152" i="6"/>
  <c r="K152" i="6"/>
  <c r="J152" i="6"/>
  <c r="I152" i="6"/>
  <c r="H152" i="6"/>
  <c r="G152" i="6"/>
  <c r="F152" i="6"/>
  <c r="E152" i="6"/>
  <c r="D152" i="6"/>
  <c r="C152" i="6"/>
  <c r="BL151" i="6"/>
  <c r="BK151" i="6"/>
  <c r="BJ151" i="6"/>
  <c r="BI151" i="6"/>
  <c r="BH151" i="6"/>
  <c r="BG151" i="6"/>
  <c r="BF151" i="6"/>
  <c r="BD151" i="6"/>
  <c r="BC151" i="6"/>
  <c r="BB151" i="6"/>
  <c r="BA151" i="6"/>
  <c r="AZ151" i="6"/>
  <c r="AY151" i="6"/>
  <c r="AU151" i="6"/>
  <c r="AT151" i="6"/>
  <c r="AS151" i="6"/>
  <c r="AP151" i="6"/>
  <c r="AO151" i="6"/>
  <c r="AN151" i="6"/>
  <c r="AM151" i="6"/>
  <c r="AL151" i="6"/>
  <c r="AK151" i="6"/>
  <c r="AJ151" i="6"/>
  <c r="AI151" i="6"/>
  <c r="AH151" i="6"/>
  <c r="AG151" i="6"/>
  <c r="AF151" i="6"/>
  <c r="AE151" i="6"/>
  <c r="AC151" i="6"/>
  <c r="AB151" i="6"/>
  <c r="AA151" i="6"/>
  <c r="Z151" i="6"/>
  <c r="Y151" i="6"/>
  <c r="X151" i="6"/>
  <c r="W151" i="6"/>
  <c r="V151" i="6"/>
  <c r="T151" i="6"/>
  <c r="S151" i="6"/>
  <c r="R151" i="6"/>
  <c r="Q151" i="6"/>
  <c r="P151" i="6"/>
  <c r="O151" i="6"/>
  <c r="N151" i="6"/>
  <c r="M151" i="6"/>
  <c r="K151" i="6"/>
  <c r="J151" i="6"/>
  <c r="I151" i="6"/>
  <c r="H151" i="6"/>
  <c r="G151" i="6"/>
  <c r="F151" i="6"/>
  <c r="E151" i="6"/>
  <c r="D151" i="6"/>
  <c r="BL150" i="6"/>
  <c r="BK150" i="6"/>
  <c r="BJ150" i="6"/>
  <c r="BI150" i="6"/>
  <c r="BH150" i="6"/>
  <c r="BG150" i="6"/>
  <c r="BF150" i="6"/>
  <c r="BE150" i="6"/>
  <c r="BD150" i="6"/>
  <c r="BC150" i="6"/>
  <c r="BB150" i="6"/>
  <c r="BA150" i="6"/>
  <c r="AZ150" i="6"/>
  <c r="AY150" i="6"/>
  <c r="AU150" i="6"/>
  <c r="AT150" i="6"/>
  <c r="AS150" i="6"/>
  <c r="AP150" i="6"/>
  <c r="AO150" i="6"/>
  <c r="AN150" i="6"/>
  <c r="AM150" i="6"/>
  <c r="AL150" i="6"/>
  <c r="AK150" i="6"/>
  <c r="AJ150" i="6"/>
  <c r="AI150" i="6"/>
  <c r="AH150" i="6"/>
  <c r="AG150" i="6"/>
  <c r="AF150" i="6"/>
  <c r="AE150" i="6"/>
  <c r="AC150" i="6"/>
  <c r="AB150" i="6"/>
  <c r="AA150" i="6"/>
  <c r="Z150" i="6"/>
  <c r="Y150" i="6"/>
  <c r="X150" i="6"/>
  <c r="W150" i="6"/>
  <c r="V150" i="6"/>
  <c r="T150" i="6"/>
  <c r="S150" i="6"/>
  <c r="R150" i="6"/>
  <c r="Q150" i="6"/>
  <c r="P150" i="6"/>
  <c r="O150" i="6"/>
  <c r="N150" i="6"/>
  <c r="M150" i="6"/>
  <c r="K150" i="6"/>
  <c r="J150" i="6"/>
  <c r="I150" i="6"/>
  <c r="H150" i="6"/>
  <c r="G150" i="6"/>
  <c r="F150" i="6"/>
  <c r="E150" i="6"/>
  <c r="D150" i="6"/>
  <c r="C150" i="6"/>
  <c r="BE149" i="6"/>
  <c r="AW149" i="6"/>
  <c r="AV149" i="6"/>
  <c r="AR149" i="6"/>
  <c r="AQ149" i="6"/>
  <c r="AD149" i="6"/>
  <c r="U149" i="6"/>
  <c r="L149" i="6"/>
  <c r="C149" i="6"/>
  <c r="BE148" i="6"/>
  <c r="AW148" i="6"/>
  <c r="AV148" i="6"/>
  <c r="AR148" i="6"/>
  <c r="AQ148" i="6"/>
  <c r="AD148" i="6"/>
  <c r="U148" i="6"/>
  <c r="L148" i="6"/>
  <c r="C148" i="6"/>
  <c r="BE147" i="6"/>
  <c r="AW147" i="6"/>
  <c r="AV147" i="6"/>
  <c r="AR147" i="6"/>
  <c r="AX147" i="6" s="1"/>
  <c r="AQ147" i="6"/>
  <c r="AD147" i="6"/>
  <c r="U147" i="6"/>
  <c r="L147" i="6"/>
  <c r="C147" i="6"/>
  <c r="BE146" i="6"/>
  <c r="AW146" i="6"/>
  <c r="AV146" i="6"/>
  <c r="AQ146" i="6"/>
  <c r="AR146" i="6" s="1"/>
  <c r="AX146" i="6" s="1"/>
  <c r="AD146" i="6"/>
  <c r="U146" i="6"/>
  <c r="L146" i="6"/>
  <c r="C146" i="6"/>
  <c r="BE145" i="6"/>
  <c r="AW145" i="6"/>
  <c r="AV145" i="6"/>
  <c r="AQ145" i="6"/>
  <c r="AR145" i="6" s="1"/>
  <c r="AX145" i="6" s="1"/>
  <c r="AD145" i="6"/>
  <c r="U145" i="6"/>
  <c r="L145" i="6"/>
  <c r="C145" i="6"/>
  <c r="BE144" i="6"/>
  <c r="AW144" i="6"/>
  <c r="AV144" i="6"/>
  <c r="AQ144" i="6"/>
  <c r="AR144" i="6" s="1"/>
  <c r="AX144" i="6" s="1"/>
  <c r="AD144" i="6"/>
  <c r="U144" i="6"/>
  <c r="L144" i="6"/>
  <c r="C144" i="6"/>
  <c r="BE143" i="6"/>
  <c r="AW143" i="6"/>
  <c r="AV143" i="6"/>
  <c r="AR143" i="6"/>
  <c r="AX143" i="6" s="1"/>
  <c r="AQ143" i="6"/>
  <c r="AD143" i="6"/>
  <c r="U143" i="6"/>
  <c r="L143" i="6"/>
  <c r="C143" i="6"/>
  <c r="BE142" i="6"/>
  <c r="AW142" i="6"/>
  <c r="AV142" i="6"/>
  <c r="AQ142" i="6"/>
  <c r="AR142" i="6" s="1"/>
  <c r="AX142" i="6" s="1"/>
  <c r="AD142" i="6"/>
  <c r="U142" i="6"/>
  <c r="L142" i="6"/>
  <c r="C142" i="6"/>
  <c r="BE141" i="6"/>
  <c r="AW141" i="6"/>
  <c r="AV141" i="6"/>
  <c r="AQ141" i="6"/>
  <c r="AR141" i="6" s="1"/>
  <c r="AX141" i="6" s="1"/>
  <c r="AD141" i="6"/>
  <c r="U141" i="6"/>
  <c r="L141" i="6"/>
  <c r="C141" i="6"/>
  <c r="BE140" i="6"/>
  <c r="AW140" i="6"/>
  <c r="AV140" i="6"/>
  <c r="AR140" i="6"/>
  <c r="AX140" i="6" s="1"/>
  <c r="AQ140" i="6"/>
  <c r="AD140" i="6"/>
  <c r="U140" i="6"/>
  <c r="L140" i="6"/>
  <c r="C140" i="6"/>
  <c r="BE139" i="6"/>
  <c r="AW139" i="6"/>
  <c r="AV139" i="6"/>
  <c r="AQ139" i="6"/>
  <c r="AR139" i="6" s="1"/>
  <c r="AX139" i="6" s="1"/>
  <c r="AD139" i="6"/>
  <c r="U139" i="6"/>
  <c r="L139" i="6"/>
  <c r="C139" i="6"/>
  <c r="BE138" i="6"/>
  <c r="AW138" i="6"/>
  <c r="AV138" i="6"/>
  <c r="AQ138" i="6"/>
  <c r="AR138" i="6" s="1"/>
  <c r="AX138" i="6" s="1"/>
  <c r="AD138" i="6"/>
  <c r="U138" i="6"/>
  <c r="L138" i="6"/>
  <c r="C138" i="6"/>
  <c r="BE137" i="6"/>
  <c r="AW137" i="6"/>
  <c r="AV137" i="6"/>
  <c r="AR137" i="6"/>
  <c r="AQ137" i="6"/>
  <c r="AD137" i="6"/>
  <c r="U137" i="6"/>
  <c r="L137" i="6"/>
  <c r="C137" i="6"/>
  <c r="BE136" i="6"/>
  <c r="AW136" i="6"/>
  <c r="AV136" i="6"/>
  <c r="AR136" i="6"/>
  <c r="AQ136" i="6"/>
  <c r="AD136" i="6"/>
  <c r="U136" i="6"/>
  <c r="L136" i="6"/>
  <c r="C136" i="6"/>
  <c r="BE135" i="6"/>
  <c r="AW135" i="6"/>
  <c r="AV135" i="6"/>
  <c r="AR135" i="6"/>
  <c r="AX135" i="6" s="1"/>
  <c r="AQ135" i="6"/>
  <c r="AD135" i="6"/>
  <c r="U135" i="6"/>
  <c r="L135" i="6"/>
  <c r="C135" i="6"/>
  <c r="BE134" i="6"/>
  <c r="AW134" i="6"/>
  <c r="AV134" i="6"/>
  <c r="AQ134" i="6"/>
  <c r="AR134" i="6" s="1"/>
  <c r="AX134" i="6" s="1"/>
  <c r="AD134" i="6"/>
  <c r="U134" i="6"/>
  <c r="L134" i="6"/>
  <c r="C134" i="6"/>
  <c r="BE133" i="6"/>
  <c r="AW133" i="6"/>
  <c r="AV133" i="6"/>
  <c r="AQ133" i="6"/>
  <c r="AR133" i="6" s="1"/>
  <c r="AX133" i="6" s="1"/>
  <c r="AD133" i="6"/>
  <c r="U133" i="6"/>
  <c r="L133" i="6"/>
  <c r="C133" i="6"/>
  <c r="BE132" i="6"/>
  <c r="AW132" i="6"/>
  <c r="AV132" i="6"/>
  <c r="AQ132" i="6"/>
  <c r="AR132" i="6" s="1"/>
  <c r="AX132" i="6" s="1"/>
  <c r="AD132" i="6"/>
  <c r="U132" i="6"/>
  <c r="L132" i="6"/>
  <c r="C132" i="6"/>
  <c r="BE131" i="6"/>
  <c r="AW131" i="6"/>
  <c r="AV131" i="6"/>
  <c r="AR131" i="6"/>
  <c r="AQ131" i="6"/>
  <c r="AD131" i="6"/>
  <c r="U131" i="6"/>
  <c r="L131" i="6"/>
  <c r="C131" i="6"/>
  <c r="BE130" i="6"/>
  <c r="AW130" i="6"/>
  <c r="AV130" i="6"/>
  <c r="AQ130" i="6"/>
  <c r="AR130" i="6" s="1"/>
  <c r="AD130" i="6"/>
  <c r="U130" i="6"/>
  <c r="L130" i="6"/>
  <c r="C130" i="6"/>
  <c r="BE129" i="6"/>
  <c r="AW129" i="6"/>
  <c r="AV129" i="6"/>
  <c r="AQ129" i="6"/>
  <c r="AR129" i="6" s="1"/>
  <c r="AD129" i="6"/>
  <c r="U129" i="6"/>
  <c r="L129" i="6"/>
  <c r="C129" i="6"/>
  <c r="BE128" i="6"/>
  <c r="AW128" i="6"/>
  <c r="AV128" i="6"/>
  <c r="AR128" i="6"/>
  <c r="AQ128" i="6"/>
  <c r="AD128" i="6"/>
  <c r="U128" i="6"/>
  <c r="L128" i="6"/>
  <c r="C128" i="6"/>
  <c r="BE127" i="6"/>
  <c r="AW127" i="6"/>
  <c r="AV127" i="6"/>
  <c r="AQ127" i="6"/>
  <c r="AR127" i="6" s="1"/>
  <c r="AD127" i="6"/>
  <c r="U127" i="6"/>
  <c r="L127" i="6"/>
  <c r="C127" i="6"/>
  <c r="BE126" i="6"/>
  <c r="AW126" i="6"/>
  <c r="AV126" i="6"/>
  <c r="AQ126" i="6"/>
  <c r="AR126" i="6" s="1"/>
  <c r="AD126" i="6"/>
  <c r="U126" i="6"/>
  <c r="L126" i="6"/>
  <c r="C126" i="6"/>
  <c r="BE125" i="6"/>
  <c r="AW125" i="6"/>
  <c r="AV125" i="6"/>
  <c r="AR125" i="6"/>
  <c r="AQ125" i="6"/>
  <c r="AD125" i="6"/>
  <c r="U125" i="6"/>
  <c r="L125" i="6"/>
  <c r="C125" i="6"/>
  <c r="BE124" i="6"/>
  <c r="AV124" i="6"/>
  <c r="AR124" i="6"/>
  <c r="AQ124" i="6"/>
  <c r="AD124" i="6"/>
  <c r="U124" i="6"/>
  <c r="L124" i="6"/>
  <c r="C124" i="6"/>
  <c r="BE123" i="6"/>
  <c r="AV123" i="6"/>
  <c r="AR123" i="6"/>
  <c r="AQ123" i="6"/>
  <c r="AD123" i="6"/>
  <c r="U123" i="6"/>
  <c r="L123" i="6"/>
  <c r="C123" i="6"/>
  <c r="BE122" i="6"/>
  <c r="AV122" i="6"/>
  <c r="AQ122" i="6"/>
  <c r="AR122" i="6" s="1"/>
  <c r="AD122" i="6"/>
  <c r="U122" i="6"/>
  <c r="L122" i="6"/>
  <c r="C122" i="6"/>
  <c r="BE121" i="6"/>
  <c r="AW121" i="6"/>
  <c r="AV121" i="6"/>
  <c r="AQ121" i="6"/>
  <c r="AR121" i="6" s="1"/>
  <c r="AD121" i="6"/>
  <c r="U121" i="6"/>
  <c r="L121" i="6"/>
  <c r="C121" i="6"/>
  <c r="BE120" i="6"/>
  <c r="BE152" i="6" s="1"/>
  <c r="AV120" i="6"/>
  <c r="AQ120" i="6"/>
  <c r="AD120" i="6"/>
  <c r="AD150" i="6" s="1"/>
  <c r="U120" i="6"/>
  <c r="L120" i="6"/>
  <c r="C120" i="6"/>
  <c r="C151" i="6" s="1"/>
  <c r="BL119" i="6"/>
  <c r="BK119" i="6"/>
  <c r="BJ119" i="6"/>
  <c r="BI119" i="6"/>
  <c r="BH119" i="6"/>
  <c r="BG119" i="6"/>
  <c r="BF119" i="6"/>
  <c r="BE119" i="6"/>
  <c r="BD119" i="6"/>
  <c r="AS119" i="6"/>
  <c r="AN119" i="6"/>
  <c r="BL118" i="6"/>
  <c r="BK118" i="6"/>
  <c r="BJ118" i="6"/>
  <c r="BI118" i="6"/>
  <c r="BH118" i="6"/>
  <c r="BG118" i="6"/>
  <c r="BF118" i="6"/>
  <c r="BD118" i="6"/>
  <c r="BC118" i="6"/>
  <c r="BB118" i="6"/>
  <c r="BA118" i="6"/>
  <c r="AZ118" i="6"/>
  <c r="AY118" i="6"/>
  <c r="AU118" i="6"/>
  <c r="AT118" i="6"/>
  <c r="AS118" i="6"/>
  <c r="AQ118" i="6"/>
  <c r="AP118" i="6"/>
  <c r="AO118" i="6"/>
  <c r="AN118" i="6"/>
  <c r="AM118" i="6"/>
  <c r="AL118" i="6"/>
  <c r="AK118" i="6"/>
  <c r="AJ118" i="6"/>
  <c r="AI118" i="6"/>
  <c r="AH118" i="6"/>
  <c r="AG118" i="6"/>
  <c r="AF118" i="6"/>
  <c r="AE118" i="6"/>
  <c r="AC118" i="6"/>
  <c r="AB118" i="6"/>
  <c r="AA118" i="6"/>
  <c r="Z118" i="6"/>
  <c r="Y118" i="6"/>
  <c r="X118" i="6"/>
  <c r="W118" i="6"/>
  <c r="V118" i="6"/>
  <c r="T118" i="6"/>
  <c r="S118" i="6"/>
  <c r="R118" i="6"/>
  <c r="Q118" i="6"/>
  <c r="P118" i="6"/>
  <c r="O118" i="6"/>
  <c r="N118" i="6"/>
  <c r="M118" i="6"/>
  <c r="K118" i="6"/>
  <c r="J118" i="6"/>
  <c r="I118" i="6"/>
  <c r="H118" i="6"/>
  <c r="G118" i="6"/>
  <c r="F118" i="6"/>
  <c r="E118" i="6"/>
  <c r="D118" i="6"/>
  <c r="BL117" i="6"/>
  <c r="BK117" i="6"/>
  <c r="BJ117" i="6"/>
  <c r="BI117" i="6"/>
  <c r="BH117" i="6"/>
  <c r="BG117" i="6"/>
  <c r="BF117" i="6"/>
  <c r="BD117" i="6"/>
  <c r="BC117" i="6"/>
  <c r="BB117" i="6"/>
  <c r="BA117" i="6"/>
  <c r="AZ117" i="6"/>
  <c r="AY117" i="6"/>
  <c r="AU117" i="6"/>
  <c r="AT117" i="6"/>
  <c r="AS117" i="6"/>
  <c r="AP117" i="6"/>
  <c r="AO117" i="6"/>
  <c r="AN117" i="6"/>
  <c r="AM117" i="6"/>
  <c r="AL117" i="6"/>
  <c r="AK117" i="6"/>
  <c r="AJ117" i="6"/>
  <c r="AI117" i="6"/>
  <c r="AH117" i="6"/>
  <c r="AG117" i="6"/>
  <c r="AF117" i="6"/>
  <c r="AE117" i="6"/>
  <c r="AC117" i="6"/>
  <c r="AB117" i="6"/>
  <c r="AA117" i="6"/>
  <c r="Z117" i="6"/>
  <c r="Y117" i="6"/>
  <c r="X117" i="6"/>
  <c r="W117" i="6"/>
  <c r="V117" i="6"/>
  <c r="T117" i="6"/>
  <c r="S117" i="6"/>
  <c r="R117" i="6"/>
  <c r="Q117" i="6"/>
  <c r="P117" i="6"/>
  <c r="O117" i="6"/>
  <c r="N117" i="6"/>
  <c r="M117" i="6"/>
  <c r="K117" i="6"/>
  <c r="J117" i="6"/>
  <c r="I117" i="6"/>
  <c r="H117" i="6"/>
  <c r="G117" i="6"/>
  <c r="F117" i="6"/>
  <c r="E117" i="6"/>
  <c r="D117" i="6"/>
  <c r="BL116" i="6"/>
  <c r="BK116" i="6"/>
  <c r="BJ116" i="6"/>
  <c r="BI116" i="6"/>
  <c r="BH116" i="6"/>
  <c r="BG116" i="6"/>
  <c r="BF116" i="6"/>
  <c r="BE116" i="6"/>
  <c r="BD116" i="6"/>
  <c r="BC116" i="6"/>
  <c r="BB116" i="6"/>
  <c r="BA116" i="6"/>
  <c r="AZ116" i="6"/>
  <c r="AY116" i="6"/>
  <c r="AV116" i="6"/>
  <c r="AU116" i="6"/>
  <c r="AT116" i="6"/>
  <c r="AS116" i="6"/>
  <c r="AP116" i="6"/>
  <c r="AO116" i="6"/>
  <c r="AN116" i="6"/>
  <c r="AM116" i="6"/>
  <c r="AL116" i="6"/>
  <c r="AK116" i="6"/>
  <c r="AJ116" i="6"/>
  <c r="AI116" i="6"/>
  <c r="AH116" i="6"/>
  <c r="AG116" i="6"/>
  <c r="AF116" i="6"/>
  <c r="AE116" i="6"/>
  <c r="AC116" i="6"/>
  <c r="AB116" i="6"/>
  <c r="AA116" i="6"/>
  <c r="Z116" i="6"/>
  <c r="Y116" i="6"/>
  <c r="X116" i="6"/>
  <c r="W116" i="6"/>
  <c r="V116" i="6"/>
  <c r="T116" i="6"/>
  <c r="S116" i="6"/>
  <c r="R116" i="6"/>
  <c r="Q116" i="6"/>
  <c r="P116" i="6"/>
  <c r="O116" i="6"/>
  <c r="N116" i="6"/>
  <c r="M116" i="6"/>
  <c r="K116" i="6"/>
  <c r="J116" i="6"/>
  <c r="I116" i="6"/>
  <c r="H116" i="6"/>
  <c r="G116" i="6"/>
  <c r="F116" i="6"/>
  <c r="E116" i="6"/>
  <c r="D116" i="6"/>
  <c r="BE115" i="6"/>
  <c r="AW115" i="6"/>
  <c r="AV115" i="6"/>
  <c r="AQ115" i="6"/>
  <c r="AR115" i="6" s="1"/>
  <c r="AX115" i="6" s="1"/>
  <c r="AD115" i="6"/>
  <c r="U115" i="6"/>
  <c r="L115" i="6"/>
  <c r="C115" i="6"/>
  <c r="BE114" i="6"/>
  <c r="AW114" i="6"/>
  <c r="AV114" i="6"/>
  <c r="AQ114" i="6"/>
  <c r="AR114" i="6" s="1"/>
  <c r="AX114" i="6" s="1"/>
  <c r="AD114" i="6"/>
  <c r="U114" i="6"/>
  <c r="L114" i="6"/>
  <c r="C114" i="6"/>
  <c r="BE113" i="6"/>
  <c r="AW113" i="6"/>
  <c r="AV113" i="6"/>
  <c r="AQ113" i="6"/>
  <c r="AR113" i="6" s="1"/>
  <c r="AX113" i="6" s="1"/>
  <c r="AD113" i="6"/>
  <c r="U113" i="6"/>
  <c r="L113" i="6"/>
  <c r="C113" i="6"/>
  <c r="BE112" i="6"/>
  <c r="AW112" i="6"/>
  <c r="AV112" i="6"/>
  <c r="AQ112" i="6"/>
  <c r="AR112" i="6" s="1"/>
  <c r="AX112" i="6" s="1"/>
  <c r="AD112" i="6"/>
  <c r="U112" i="6"/>
  <c r="L112" i="6"/>
  <c r="C112" i="6"/>
  <c r="BE111" i="6"/>
  <c r="AW111" i="6"/>
  <c r="AV111" i="6"/>
  <c r="AQ111" i="6"/>
  <c r="AR111" i="6" s="1"/>
  <c r="AX111" i="6" s="1"/>
  <c r="AD111" i="6"/>
  <c r="U111" i="6"/>
  <c r="L111" i="6"/>
  <c r="C111" i="6"/>
  <c r="BE110" i="6"/>
  <c r="AW110" i="6"/>
  <c r="AV110" i="6"/>
  <c r="AQ110" i="6"/>
  <c r="AR110" i="6" s="1"/>
  <c r="AX110" i="6" s="1"/>
  <c r="AD110" i="6"/>
  <c r="U110" i="6"/>
  <c r="L110" i="6"/>
  <c r="C110" i="6"/>
  <c r="BE109" i="6"/>
  <c r="AW109" i="6"/>
  <c r="AV109" i="6"/>
  <c r="AQ109" i="6"/>
  <c r="AR109" i="6" s="1"/>
  <c r="AX109" i="6" s="1"/>
  <c r="AD109" i="6"/>
  <c r="U109" i="6"/>
  <c r="L109" i="6"/>
  <c r="C109" i="6"/>
  <c r="BE108" i="6"/>
  <c r="AW108" i="6"/>
  <c r="AV108" i="6"/>
  <c r="AQ108" i="6"/>
  <c r="AR108" i="6" s="1"/>
  <c r="AX108" i="6" s="1"/>
  <c r="AD108" i="6"/>
  <c r="U108" i="6"/>
  <c r="L108" i="6"/>
  <c r="C108" i="6"/>
  <c r="BE107" i="6"/>
  <c r="AW107" i="6"/>
  <c r="AV107" i="6"/>
  <c r="AQ107" i="6"/>
  <c r="AR107" i="6" s="1"/>
  <c r="AX107" i="6" s="1"/>
  <c r="AD107" i="6"/>
  <c r="U107" i="6"/>
  <c r="L107" i="6"/>
  <c r="C107" i="6"/>
  <c r="BE106" i="6"/>
  <c r="AW106" i="6"/>
  <c r="AV106" i="6"/>
  <c r="AQ106" i="6"/>
  <c r="AR106" i="6" s="1"/>
  <c r="AX106" i="6" s="1"/>
  <c r="AD106" i="6"/>
  <c r="U106" i="6"/>
  <c r="L106" i="6"/>
  <c r="C106" i="6"/>
  <c r="BE105" i="6"/>
  <c r="AW105" i="6"/>
  <c r="AV105" i="6"/>
  <c r="AQ105" i="6"/>
  <c r="AR105" i="6" s="1"/>
  <c r="AX105" i="6" s="1"/>
  <c r="AD105" i="6"/>
  <c r="U105" i="6"/>
  <c r="L105" i="6"/>
  <c r="C105" i="6"/>
  <c r="BE104" i="6"/>
  <c r="AW104" i="6"/>
  <c r="AV104" i="6"/>
  <c r="AQ104" i="6"/>
  <c r="AR104" i="6" s="1"/>
  <c r="AX104" i="6" s="1"/>
  <c r="AD104" i="6"/>
  <c r="U104" i="6"/>
  <c r="L104" i="6"/>
  <c r="C104" i="6"/>
  <c r="BE103" i="6"/>
  <c r="AW103" i="6"/>
  <c r="AV103" i="6"/>
  <c r="AQ103" i="6"/>
  <c r="AR103" i="6" s="1"/>
  <c r="AX103" i="6" s="1"/>
  <c r="AD103" i="6"/>
  <c r="U103" i="6"/>
  <c r="L103" i="6"/>
  <c r="C103" i="6"/>
  <c r="BE102" i="6"/>
  <c r="AW102" i="6"/>
  <c r="AV102" i="6"/>
  <c r="AQ102" i="6"/>
  <c r="AR102" i="6" s="1"/>
  <c r="AX102" i="6" s="1"/>
  <c r="AD102" i="6"/>
  <c r="U102" i="6"/>
  <c r="L102" i="6"/>
  <c r="C102" i="6"/>
  <c r="BE101" i="6"/>
  <c r="AW101" i="6"/>
  <c r="AV101" i="6"/>
  <c r="AQ101" i="6"/>
  <c r="AR101" i="6" s="1"/>
  <c r="AX101" i="6" s="1"/>
  <c r="AD101" i="6"/>
  <c r="U101" i="6"/>
  <c r="L101" i="6"/>
  <c r="C101" i="6"/>
  <c r="BE100" i="6"/>
  <c r="AW100" i="6"/>
  <c r="AV100" i="6"/>
  <c r="AQ100" i="6"/>
  <c r="AR100" i="6" s="1"/>
  <c r="AX100" i="6" s="1"/>
  <c r="AD100" i="6"/>
  <c r="U100" i="6"/>
  <c r="L100" i="6"/>
  <c r="C100" i="6"/>
  <c r="BE99" i="6"/>
  <c r="AW99" i="6"/>
  <c r="AV99" i="6"/>
  <c r="AQ99" i="6"/>
  <c r="AR99" i="6" s="1"/>
  <c r="AX99" i="6" s="1"/>
  <c r="AD99" i="6"/>
  <c r="U99" i="6"/>
  <c r="L99" i="6"/>
  <c r="C99" i="6"/>
  <c r="BE98" i="6"/>
  <c r="AW98" i="6"/>
  <c r="AV98" i="6"/>
  <c r="AQ98" i="6"/>
  <c r="AR98" i="6" s="1"/>
  <c r="AX98" i="6" s="1"/>
  <c r="AD98" i="6"/>
  <c r="U98" i="6"/>
  <c r="L98" i="6"/>
  <c r="C98" i="6"/>
  <c r="BE97" i="6"/>
  <c r="AW97" i="6"/>
  <c r="AV97" i="6"/>
  <c r="AQ97" i="6"/>
  <c r="AR97" i="6" s="1"/>
  <c r="AX97" i="6" s="1"/>
  <c r="AD97" i="6"/>
  <c r="U97" i="6"/>
  <c r="L97" i="6"/>
  <c r="C97" i="6"/>
  <c r="BE96" i="6"/>
  <c r="AW96" i="6"/>
  <c r="AV96" i="6"/>
  <c r="AQ96" i="6"/>
  <c r="AR96" i="6" s="1"/>
  <c r="AX96" i="6" s="1"/>
  <c r="AD96" i="6"/>
  <c r="U96" i="6"/>
  <c r="L96" i="6"/>
  <c r="C96" i="6"/>
  <c r="BE95" i="6"/>
  <c r="AW95" i="6"/>
  <c r="AV95" i="6"/>
  <c r="AQ95" i="6"/>
  <c r="AR95" i="6" s="1"/>
  <c r="AX95" i="6" s="1"/>
  <c r="AD95" i="6"/>
  <c r="U95" i="6"/>
  <c r="L95" i="6"/>
  <c r="C95" i="6"/>
  <c r="BE94" i="6"/>
  <c r="AW94" i="6"/>
  <c r="AV94" i="6"/>
  <c r="AQ94" i="6"/>
  <c r="AR94" i="6" s="1"/>
  <c r="AX94" i="6" s="1"/>
  <c r="AD94" i="6"/>
  <c r="U94" i="6"/>
  <c r="L94" i="6"/>
  <c r="C94" i="6"/>
  <c r="BE93" i="6"/>
  <c r="AW93" i="6"/>
  <c r="AV93" i="6"/>
  <c r="AQ93" i="6"/>
  <c r="AR93" i="6" s="1"/>
  <c r="AX93" i="6" s="1"/>
  <c r="AD93" i="6"/>
  <c r="U93" i="6"/>
  <c r="L93" i="6"/>
  <c r="C93" i="6"/>
  <c r="BE92" i="6"/>
  <c r="AW92" i="6"/>
  <c r="AV92" i="6"/>
  <c r="AQ92" i="6"/>
  <c r="AR92" i="6" s="1"/>
  <c r="AX92" i="6" s="1"/>
  <c r="AD92" i="6"/>
  <c r="U92" i="6"/>
  <c r="L92" i="6"/>
  <c r="C92" i="6"/>
  <c r="BE91" i="6"/>
  <c r="AW91" i="6"/>
  <c r="AV91" i="6"/>
  <c r="AQ91" i="6"/>
  <c r="AR91" i="6" s="1"/>
  <c r="AX91" i="6" s="1"/>
  <c r="AD91" i="6"/>
  <c r="U91" i="6"/>
  <c r="L91" i="6"/>
  <c r="C91" i="6"/>
  <c r="BE90" i="6"/>
  <c r="AW90" i="6"/>
  <c r="AV90" i="6"/>
  <c r="AQ90" i="6"/>
  <c r="AR90" i="6" s="1"/>
  <c r="AX90" i="6" s="1"/>
  <c r="AD90" i="6"/>
  <c r="U90" i="6"/>
  <c r="L90" i="6"/>
  <c r="C90" i="6"/>
  <c r="BE89" i="6"/>
  <c r="AW89" i="6"/>
  <c r="AV89" i="6"/>
  <c r="AQ89" i="6"/>
  <c r="AR89" i="6" s="1"/>
  <c r="AD89" i="6"/>
  <c r="U89" i="6"/>
  <c r="L89" i="6"/>
  <c r="C89" i="6"/>
  <c r="BE88" i="6"/>
  <c r="AW88" i="6"/>
  <c r="AV88" i="6"/>
  <c r="AQ88" i="6"/>
  <c r="AR88" i="6" s="1"/>
  <c r="AD88" i="6"/>
  <c r="U88" i="6"/>
  <c r="L88" i="6"/>
  <c r="C88" i="6"/>
  <c r="BE87" i="6"/>
  <c r="AW87" i="6"/>
  <c r="AV87" i="6"/>
  <c r="AQ87" i="6"/>
  <c r="AR87" i="6" s="1"/>
  <c r="AD87" i="6"/>
  <c r="U87" i="6"/>
  <c r="L87" i="6"/>
  <c r="C87" i="6"/>
  <c r="BE86" i="6"/>
  <c r="AW86" i="6"/>
  <c r="AV86" i="6"/>
  <c r="AQ86" i="6"/>
  <c r="AR86" i="6" s="1"/>
  <c r="AD86" i="6"/>
  <c r="U86" i="6"/>
  <c r="L86" i="6"/>
  <c r="C86" i="6"/>
  <c r="BE85" i="6"/>
  <c r="BE118" i="6" s="1"/>
  <c r="AW85" i="6"/>
  <c r="AW118" i="6" s="1"/>
  <c r="AV85" i="6"/>
  <c r="AV118" i="6" s="1"/>
  <c r="AQ85" i="6"/>
  <c r="AQ116" i="6" s="1"/>
  <c r="AD85" i="6"/>
  <c r="U85" i="6"/>
  <c r="U118" i="6" s="1"/>
  <c r="L85" i="6"/>
  <c r="L118" i="6" s="1"/>
  <c r="C85" i="6"/>
  <c r="C118" i="6" s="1"/>
  <c r="BL84" i="6"/>
  <c r="BK84" i="6"/>
  <c r="BJ84" i="6"/>
  <c r="BI84" i="6"/>
  <c r="BH84" i="6"/>
  <c r="BG84" i="6"/>
  <c r="BF84" i="6"/>
  <c r="BD84" i="6"/>
  <c r="AS84" i="6"/>
  <c r="AN84" i="6"/>
  <c r="BL83" i="6"/>
  <c r="BK83" i="6"/>
  <c r="BJ83" i="6"/>
  <c r="BI83" i="6"/>
  <c r="BH83" i="6"/>
  <c r="BG83" i="6"/>
  <c r="BF83" i="6"/>
  <c r="BD83" i="6"/>
  <c r="BC83" i="6"/>
  <c r="BB83" i="6"/>
  <c r="BA83" i="6"/>
  <c r="AZ83" i="6"/>
  <c r="AY83" i="6"/>
  <c r="AU83" i="6"/>
  <c r="AT83" i="6"/>
  <c r="AS83" i="6"/>
  <c r="AP83" i="6"/>
  <c r="AO83" i="6"/>
  <c r="AN83" i="6"/>
  <c r="AM83" i="6"/>
  <c r="AL83" i="6"/>
  <c r="AK83" i="6"/>
  <c r="AJ83" i="6"/>
  <c r="AI83" i="6"/>
  <c r="AH83" i="6"/>
  <c r="AG83" i="6"/>
  <c r="AF83" i="6"/>
  <c r="AE83" i="6"/>
  <c r="AC83" i="6"/>
  <c r="AB83" i="6"/>
  <c r="AA83" i="6"/>
  <c r="Z83" i="6"/>
  <c r="Y83" i="6"/>
  <c r="X83" i="6"/>
  <c r="W83" i="6"/>
  <c r="V83" i="6"/>
  <c r="U83" i="6"/>
  <c r="T83" i="6"/>
  <c r="S83" i="6"/>
  <c r="R83" i="6"/>
  <c r="Q83" i="6"/>
  <c r="P83" i="6"/>
  <c r="O83" i="6"/>
  <c r="N83" i="6"/>
  <c r="M83" i="6"/>
  <c r="K83" i="6"/>
  <c r="J83" i="6"/>
  <c r="I83" i="6"/>
  <c r="H83" i="6"/>
  <c r="G83" i="6"/>
  <c r="F83" i="6"/>
  <c r="E83" i="6"/>
  <c r="D83" i="6"/>
  <c r="BL82" i="6"/>
  <c r="BK82" i="6"/>
  <c r="BJ82" i="6"/>
  <c r="BI82" i="6"/>
  <c r="BH82" i="6"/>
  <c r="BG82" i="6"/>
  <c r="BF82" i="6"/>
  <c r="BD82" i="6"/>
  <c r="BC82" i="6"/>
  <c r="BB82" i="6"/>
  <c r="BA82" i="6"/>
  <c r="AZ82" i="6"/>
  <c r="AY82" i="6"/>
  <c r="AV82" i="6"/>
  <c r="AU82" i="6"/>
  <c r="AT82" i="6"/>
  <c r="AS82" i="6"/>
  <c r="AP82" i="6"/>
  <c r="AO82" i="6"/>
  <c r="AN82" i="6"/>
  <c r="AM82" i="6"/>
  <c r="AL82" i="6"/>
  <c r="AK82" i="6"/>
  <c r="AJ82" i="6"/>
  <c r="AI82" i="6"/>
  <c r="AH82" i="6"/>
  <c r="AG82" i="6"/>
  <c r="AF82" i="6"/>
  <c r="AE82" i="6"/>
  <c r="AC82" i="6"/>
  <c r="AB82" i="6"/>
  <c r="AA82" i="6"/>
  <c r="Z82" i="6"/>
  <c r="Y82" i="6"/>
  <c r="X82" i="6"/>
  <c r="W82" i="6"/>
  <c r="V82" i="6"/>
  <c r="T82" i="6"/>
  <c r="S82" i="6"/>
  <c r="R82" i="6"/>
  <c r="Q82" i="6"/>
  <c r="P82" i="6"/>
  <c r="O82" i="6"/>
  <c r="N82" i="6"/>
  <c r="M82" i="6"/>
  <c r="L82" i="6"/>
  <c r="K82" i="6"/>
  <c r="J82" i="6"/>
  <c r="I82" i="6"/>
  <c r="H82" i="6"/>
  <c r="G82" i="6"/>
  <c r="F82" i="6"/>
  <c r="E82" i="6"/>
  <c r="D82" i="6"/>
  <c r="BL81" i="6"/>
  <c r="BK81" i="6"/>
  <c r="BJ81" i="6"/>
  <c r="BI81" i="6"/>
  <c r="BH81" i="6"/>
  <c r="BG81" i="6"/>
  <c r="BF81" i="6"/>
  <c r="BD81" i="6"/>
  <c r="BC81" i="6"/>
  <c r="BB81" i="6"/>
  <c r="BA81" i="6"/>
  <c r="AZ81" i="6"/>
  <c r="AY81" i="6"/>
  <c r="AV81" i="6"/>
  <c r="AU81" i="6"/>
  <c r="AT81" i="6"/>
  <c r="AS81" i="6"/>
  <c r="AP81" i="6"/>
  <c r="AO81" i="6"/>
  <c r="AN81" i="6"/>
  <c r="AM81" i="6"/>
  <c r="AL81" i="6"/>
  <c r="AK81" i="6"/>
  <c r="AJ81" i="6"/>
  <c r="AI81" i="6"/>
  <c r="AH81" i="6"/>
  <c r="AG81" i="6"/>
  <c r="AF81" i="6"/>
  <c r="AE81" i="6"/>
  <c r="AC81" i="6"/>
  <c r="AB81" i="6"/>
  <c r="AA81" i="6"/>
  <c r="Z81" i="6"/>
  <c r="Y81" i="6"/>
  <c r="X81" i="6"/>
  <c r="W81" i="6"/>
  <c r="V81" i="6"/>
  <c r="T81" i="6"/>
  <c r="S81" i="6"/>
  <c r="R81" i="6"/>
  <c r="Q81" i="6"/>
  <c r="P81" i="6"/>
  <c r="O81" i="6"/>
  <c r="N81" i="6"/>
  <c r="M81" i="6"/>
  <c r="L81" i="6"/>
  <c r="K81" i="6"/>
  <c r="J81" i="6"/>
  <c r="I81" i="6"/>
  <c r="H81" i="6"/>
  <c r="G81" i="6"/>
  <c r="F81" i="6"/>
  <c r="E81" i="6"/>
  <c r="D81" i="6"/>
  <c r="BE80" i="6"/>
  <c r="AX80" i="6"/>
  <c r="AW80" i="6"/>
  <c r="AV80" i="6"/>
  <c r="AR80" i="6"/>
  <c r="AQ80" i="6"/>
  <c r="AD80" i="6"/>
  <c r="U80" i="6"/>
  <c r="L80" i="6"/>
  <c r="C80" i="6"/>
  <c r="BE79" i="6"/>
  <c r="AX79" i="6"/>
  <c r="AW79" i="6"/>
  <c r="AV79" i="6"/>
  <c r="AR79" i="6"/>
  <c r="AQ79" i="6"/>
  <c r="AD79" i="6"/>
  <c r="U79" i="6"/>
  <c r="L79" i="6"/>
  <c r="C79" i="6"/>
  <c r="BE78" i="6"/>
  <c r="AW78" i="6"/>
  <c r="AX78" i="6" s="1"/>
  <c r="AV78" i="6"/>
  <c r="AR78" i="6"/>
  <c r="AQ78" i="6"/>
  <c r="AD78" i="6"/>
  <c r="U78" i="6"/>
  <c r="L78" i="6"/>
  <c r="C78" i="6"/>
  <c r="BE77" i="6"/>
  <c r="AX77" i="6"/>
  <c r="AW77" i="6"/>
  <c r="AV77" i="6"/>
  <c r="AR77" i="6"/>
  <c r="AQ77" i="6"/>
  <c r="AD77" i="6"/>
  <c r="U77" i="6"/>
  <c r="L77" i="6"/>
  <c r="C77" i="6"/>
  <c r="BE76" i="6"/>
  <c r="AW76" i="6"/>
  <c r="AX76" i="6" s="1"/>
  <c r="AV76" i="6"/>
  <c r="AR76" i="6"/>
  <c r="AQ76" i="6"/>
  <c r="AD76" i="6"/>
  <c r="U76" i="6"/>
  <c r="L76" i="6"/>
  <c r="C76" i="6"/>
  <c r="BE75" i="6"/>
  <c r="AX75" i="6"/>
  <c r="AW75" i="6"/>
  <c r="AV75" i="6"/>
  <c r="AR75" i="6"/>
  <c r="AQ75" i="6"/>
  <c r="AD75" i="6"/>
  <c r="U75" i="6"/>
  <c r="L75" i="6"/>
  <c r="C75" i="6"/>
  <c r="BE74" i="6"/>
  <c r="AW74" i="6"/>
  <c r="AX74" i="6" s="1"/>
  <c r="AV74" i="6"/>
  <c r="AR74" i="6"/>
  <c r="AQ74" i="6"/>
  <c r="AD74" i="6"/>
  <c r="U74" i="6"/>
  <c r="L74" i="6"/>
  <c r="C74" i="6"/>
  <c r="BE73" i="6"/>
  <c r="AX73" i="6"/>
  <c r="AW73" i="6"/>
  <c r="AV73" i="6"/>
  <c r="AR73" i="6"/>
  <c r="AQ73" i="6"/>
  <c r="AD73" i="6"/>
  <c r="U73" i="6"/>
  <c r="L73" i="6"/>
  <c r="C73" i="6"/>
  <c r="BE72" i="6"/>
  <c r="AW72" i="6"/>
  <c r="AX72" i="6" s="1"/>
  <c r="AV72" i="6"/>
  <c r="AR72" i="6"/>
  <c r="AQ72" i="6"/>
  <c r="AD72" i="6"/>
  <c r="U72" i="6"/>
  <c r="L72" i="6"/>
  <c r="C72" i="6"/>
  <c r="BE71" i="6"/>
  <c r="AX71" i="6"/>
  <c r="AW71" i="6"/>
  <c r="AV71" i="6"/>
  <c r="AR71" i="6"/>
  <c r="AQ71" i="6"/>
  <c r="AD71" i="6"/>
  <c r="U71" i="6"/>
  <c r="L71" i="6"/>
  <c r="C71" i="6"/>
  <c r="BE70" i="6"/>
  <c r="AW70" i="6"/>
  <c r="AX70" i="6" s="1"/>
  <c r="AV70" i="6"/>
  <c r="AR70" i="6"/>
  <c r="AQ70" i="6"/>
  <c r="AD70" i="6"/>
  <c r="U70" i="6"/>
  <c r="L70" i="6"/>
  <c r="C70" i="6"/>
  <c r="BE69" i="6"/>
  <c r="AX69" i="6"/>
  <c r="AW69" i="6"/>
  <c r="AV69" i="6"/>
  <c r="AR69" i="6"/>
  <c r="AQ69" i="6"/>
  <c r="AD69" i="6"/>
  <c r="U69" i="6"/>
  <c r="L69" i="6"/>
  <c r="C69" i="6"/>
  <c r="BE68" i="6"/>
  <c r="AW68" i="6"/>
  <c r="AX68" i="6" s="1"/>
  <c r="AV68" i="6"/>
  <c r="AR68" i="6"/>
  <c r="AQ68" i="6"/>
  <c r="AD68" i="6"/>
  <c r="U68" i="6"/>
  <c r="L68" i="6"/>
  <c r="C68" i="6"/>
  <c r="BE67" i="6"/>
  <c r="AX67" i="6"/>
  <c r="AW67" i="6"/>
  <c r="AV67" i="6"/>
  <c r="AR67" i="6"/>
  <c r="AQ67" i="6"/>
  <c r="AD67" i="6"/>
  <c r="U67" i="6"/>
  <c r="L67" i="6"/>
  <c r="C67" i="6"/>
  <c r="BE66" i="6"/>
  <c r="AW66" i="6"/>
  <c r="AX66" i="6" s="1"/>
  <c r="AV66" i="6"/>
  <c r="AR66" i="6"/>
  <c r="AQ66" i="6"/>
  <c r="AD66" i="6"/>
  <c r="U66" i="6"/>
  <c r="L66" i="6"/>
  <c r="C66" i="6"/>
  <c r="BE65" i="6"/>
  <c r="AX65" i="6"/>
  <c r="AW65" i="6"/>
  <c r="AV65" i="6"/>
  <c r="AR65" i="6"/>
  <c r="AQ65" i="6"/>
  <c r="AD65" i="6"/>
  <c r="U65" i="6"/>
  <c r="L65" i="6"/>
  <c r="C65" i="6"/>
  <c r="BE64" i="6"/>
  <c r="AW64" i="6"/>
  <c r="AX64" i="6" s="1"/>
  <c r="AV64" i="6"/>
  <c r="AR64" i="6"/>
  <c r="AQ64" i="6"/>
  <c r="AD64" i="6"/>
  <c r="U64" i="6"/>
  <c r="L64" i="6"/>
  <c r="C64" i="6"/>
  <c r="BE63" i="6"/>
  <c r="AX63" i="6"/>
  <c r="AW63" i="6"/>
  <c r="AV63" i="6"/>
  <c r="AR63" i="6"/>
  <c r="AQ63" i="6"/>
  <c r="AD63" i="6"/>
  <c r="U63" i="6"/>
  <c r="L63" i="6"/>
  <c r="C63" i="6"/>
  <c r="BE62" i="6"/>
  <c r="AW62" i="6"/>
  <c r="AX62" i="6" s="1"/>
  <c r="AV62" i="6"/>
  <c r="AR62" i="6"/>
  <c r="AQ62" i="6"/>
  <c r="AD62" i="6"/>
  <c r="U62" i="6"/>
  <c r="L62" i="6"/>
  <c r="C62" i="6"/>
  <c r="BE61" i="6"/>
  <c r="AX61" i="6"/>
  <c r="AW61" i="6"/>
  <c r="AV61" i="6"/>
  <c r="AR61" i="6"/>
  <c r="AQ61" i="6"/>
  <c r="AD61" i="6"/>
  <c r="U61" i="6"/>
  <c r="L61" i="6"/>
  <c r="C61" i="6"/>
  <c r="BE60" i="6"/>
  <c r="AW60" i="6"/>
  <c r="AX60" i="6" s="1"/>
  <c r="AV60" i="6"/>
  <c r="AR60" i="6"/>
  <c r="AQ60" i="6"/>
  <c r="AD60" i="6"/>
  <c r="U60" i="6"/>
  <c r="L60" i="6"/>
  <c r="C60" i="6"/>
  <c r="BE59" i="6"/>
  <c r="AX59" i="6"/>
  <c r="AW59" i="6"/>
  <c r="AV59" i="6"/>
  <c r="AR59" i="6"/>
  <c r="AQ59" i="6"/>
  <c r="AD59" i="6"/>
  <c r="U59" i="6"/>
  <c r="L59" i="6"/>
  <c r="C59" i="6"/>
  <c r="BE58" i="6"/>
  <c r="AW58" i="6"/>
  <c r="AX58" i="6" s="1"/>
  <c r="AV58" i="6"/>
  <c r="AR58" i="6"/>
  <c r="AQ58" i="6"/>
  <c r="AD58" i="6"/>
  <c r="U58" i="6"/>
  <c r="L58" i="6"/>
  <c r="C58" i="6"/>
  <c r="BE57" i="6"/>
  <c r="AX57" i="6"/>
  <c r="AW57" i="6"/>
  <c r="AV57" i="6"/>
  <c r="AR57" i="6"/>
  <c r="AQ57" i="6"/>
  <c r="AD57" i="6"/>
  <c r="U57" i="6"/>
  <c r="L57" i="6"/>
  <c r="C57" i="6"/>
  <c r="BE56" i="6"/>
  <c r="AW56" i="6"/>
  <c r="AX56" i="6" s="1"/>
  <c r="AV56" i="6"/>
  <c r="AR56" i="6"/>
  <c r="AQ56" i="6"/>
  <c r="AD56" i="6"/>
  <c r="U56" i="6"/>
  <c r="L56" i="6"/>
  <c r="C56" i="6"/>
  <c r="BE55" i="6"/>
  <c r="AX55" i="6"/>
  <c r="AW55" i="6"/>
  <c r="AV55" i="6"/>
  <c r="AR55" i="6"/>
  <c r="AQ55" i="6"/>
  <c r="AD55" i="6"/>
  <c r="U55" i="6"/>
  <c r="L55" i="6"/>
  <c r="C55" i="6"/>
  <c r="BE54" i="6"/>
  <c r="AW54" i="6"/>
  <c r="AX54" i="6" s="1"/>
  <c r="AV54" i="6"/>
  <c r="AR54" i="6"/>
  <c r="AQ54" i="6"/>
  <c r="AD54" i="6"/>
  <c r="U54" i="6"/>
  <c r="L54" i="6"/>
  <c r="C54" i="6"/>
  <c r="BE53" i="6"/>
  <c r="BE83" i="6" s="1"/>
  <c r="AX53" i="6"/>
  <c r="AW53" i="6"/>
  <c r="AV53" i="6"/>
  <c r="AR53" i="6"/>
  <c r="AQ53" i="6"/>
  <c r="AD53" i="6"/>
  <c r="U53" i="6"/>
  <c r="L53" i="6"/>
  <c r="C53" i="6"/>
  <c r="BE52" i="6"/>
  <c r="AW52" i="6"/>
  <c r="AV52" i="6"/>
  <c r="AV83" i="6" s="1"/>
  <c r="AR52" i="6"/>
  <c r="AR83" i="6" s="1"/>
  <c r="AQ52" i="6"/>
  <c r="AQ83" i="6" s="1"/>
  <c r="AD52" i="6"/>
  <c r="AD83" i="6" s="1"/>
  <c r="U52" i="6"/>
  <c r="U82" i="6" s="1"/>
  <c r="L52" i="6"/>
  <c r="L83" i="6" s="1"/>
  <c r="C52" i="6"/>
  <c r="BL51" i="6"/>
  <c r="BL10" i="6" s="1"/>
  <c r="BK51" i="6"/>
  <c r="BJ51" i="6"/>
  <c r="BI51" i="6"/>
  <c r="BH51" i="6"/>
  <c r="BH11" i="6" s="1"/>
  <c r="BG51" i="6"/>
  <c r="BF51" i="6"/>
  <c r="BD51" i="6"/>
  <c r="AS51" i="6"/>
  <c r="AS12" i="6" s="1"/>
  <c r="AN51" i="6"/>
  <c r="BL50" i="6"/>
  <c r="BK50" i="6"/>
  <c r="BJ50" i="6"/>
  <c r="BJ11" i="6" s="1"/>
  <c r="BI50" i="6"/>
  <c r="BH50" i="6"/>
  <c r="BG50" i="6"/>
  <c r="BG10" i="6" s="1"/>
  <c r="BF50" i="6"/>
  <c r="BD50" i="6"/>
  <c r="BC50" i="6"/>
  <c r="BB50" i="6"/>
  <c r="BA50" i="6"/>
  <c r="AZ50" i="6"/>
  <c r="AY50" i="6"/>
  <c r="AU50" i="6"/>
  <c r="AU10" i="6" s="1"/>
  <c r="AT50" i="6"/>
  <c r="AS50" i="6"/>
  <c r="AP50" i="6"/>
  <c r="AO50" i="6"/>
  <c r="AN50" i="6"/>
  <c r="AM50" i="6"/>
  <c r="AL50" i="6"/>
  <c r="AL10" i="6" s="1"/>
  <c r="AK50" i="6"/>
  <c r="AJ50" i="6"/>
  <c r="AI50" i="6"/>
  <c r="AH50" i="6"/>
  <c r="AG50" i="6"/>
  <c r="AF50" i="6"/>
  <c r="AE50" i="6"/>
  <c r="AC50" i="6"/>
  <c r="AB50" i="6"/>
  <c r="AA50" i="6"/>
  <c r="Z50" i="6"/>
  <c r="Y50" i="6"/>
  <c r="X50" i="6"/>
  <c r="W50" i="6"/>
  <c r="V50" i="6"/>
  <c r="T50" i="6"/>
  <c r="S50" i="6"/>
  <c r="R50" i="6"/>
  <c r="Q50" i="6"/>
  <c r="P50" i="6"/>
  <c r="O50" i="6"/>
  <c r="N50" i="6"/>
  <c r="M50" i="6"/>
  <c r="K50" i="6"/>
  <c r="K10" i="6" s="1"/>
  <c r="J50" i="6"/>
  <c r="I50" i="6"/>
  <c r="H50" i="6"/>
  <c r="G50" i="6"/>
  <c r="F50" i="6"/>
  <c r="E50" i="6"/>
  <c r="D50" i="6"/>
  <c r="BL49" i="6"/>
  <c r="BK49" i="6"/>
  <c r="BJ49" i="6"/>
  <c r="BI49" i="6"/>
  <c r="BH49" i="6"/>
  <c r="BG49" i="6"/>
  <c r="BF49" i="6"/>
  <c r="BD49" i="6"/>
  <c r="BC49" i="6"/>
  <c r="BB49" i="6"/>
  <c r="BA49" i="6"/>
  <c r="AZ49" i="6"/>
  <c r="AY49" i="6"/>
  <c r="AU49" i="6"/>
  <c r="AT49" i="6"/>
  <c r="AS49" i="6"/>
  <c r="AP49" i="6"/>
  <c r="AO49" i="6"/>
  <c r="AN49" i="6"/>
  <c r="AM49" i="6"/>
  <c r="AL49" i="6"/>
  <c r="AK49" i="6"/>
  <c r="AJ49" i="6"/>
  <c r="AI49" i="6"/>
  <c r="AH49" i="6"/>
  <c r="AG49" i="6"/>
  <c r="AF49" i="6"/>
  <c r="AE49" i="6"/>
  <c r="AC49" i="6"/>
  <c r="AB49" i="6"/>
  <c r="AA49" i="6"/>
  <c r="Z49" i="6"/>
  <c r="Y49" i="6"/>
  <c r="Y10" i="6" s="1"/>
  <c r="X49" i="6"/>
  <c r="W49" i="6"/>
  <c r="V49" i="6"/>
  <c r="T49" i="6"/>
  <c r="S49" i="6"/>
  <c r="R49" i="6"/>
  <c r="Q49" i="6"/>
  <c r="P49" i="6"/>
  <c r="O49" i="6"/>
  <c r="N49" i="6"/>
  <c r="M49" i="6"/>
  <c r="K49" i="6"/>
  <c r="J49" i="6"/>
  <c r="I49" i="6"/>
  <c r="H49" i="6"/>
  <c r="G49" i="6"/>
  <c r="F49" i="6"/>
  <c r="E49" i="6"/>
  <c r="D49" i="6"/>
  <c r="BL48" i="6"/>
  <c r="BK48" i="6"/>
  <c r="BJ48" i="6"/>
  <c r="BI48" i="6"/>
  <c r="BH48" i="6"/>
  <c r="BG48" i="6"/>
  <c r="BF48" i="6"/>
  <c r="BD48" i="6"/>
  <c r="BC48" i="6"/>
  <c r="BB48" i="6"/>
  <c r="BA48" i="6"/>
  <c r="AZ48" i="6"/>
  <c r="AY48" i="6"/>
  <c r="AY10" i="6" s="1"/>
  <c r="AU48" i="6"/>
  <c r="AT48" i="6"/>
  <c r="AS48" i="6"/>
  <c r="AP48" i="6"/>
  <c r="AO48" i="6"/>
  <c r="AN48" i="6"/>
  <c r="AM48" i="6"/>
  <c r="AL48" i="6"/>
  <c r="AK48" i="6"/>
  <c r="AJ48" i="6"/>
  <c r="AI48" i="6"/>
  <c r="AH48" i="6"/>
  <c r="AG48" i="6"/>
  <c r="AF48" i="6"/>
  <c r="AE48" i="6"/>
  <c r="AC48" i="6"/>
  <c r="AB48" i="6"/>
  <c r="AA48" i="6"/>
  <c r="Z48" i="6"/>
  <c r="Y48" i="6"/>
  <c r="X48" i="6"/>
  <c r="W48" i="6"/>
  <c r="V48" i="6"/>
  <c r="T48" i="6"/>
  <c r="S48" i="6"/>
  <c r="R48" i="6"/>
  <c r="Q48" i="6"/>
  <c r="P48" i="6"/>
  <c r="O48" i="6"/>
  <c r="N48" i="6"/>
  <c r="M48" i="6"/>
  <c r="K48" i="6"/>
  <c r="J48" i="6"/>
  <c r="I48" i="6"/>
  <c r="H48" i="6"/>
  <c r="G48" i="6"/>
  <c r="F48" i="6"/>
  <c r="E48" i="6"/>
  <c r="D48" i="6"/>
  <c r="BE47" i="6"/>
  <c r="AV47" i="6"/>
  <c r="AR47" i="6"/>
  <c r="AQ47" i="6"/>
  <c r="AD47" i="6"/>
  <c r="U47" i="6"/>
  <c r="L47" i="6"/>
  <c r="C47" i="6"/>
  <c r="BE46" i="6"/>
  <c r="AV46" i="6"/>
  <c r="AR46" i="6"/>
  <c r="AQ46" i="6"/>
  <c r="AD46" i="6"/>
  <c r="U46" i="6"/>
  <c r="L46" i="6"/>
  <c r="C46" i="6"/>
  <c r="BE45" i="6"/>
  <c r="AV45" i="6"/>
  <c r="AR45" i="6"/>
  <c r="AQ45" i="6"/>
  <c r="AD45" i="6"/>
  <c r="U45" i="6"/>
  <c r="L45" i="6"/>
  <c r="C45" i="6"/>
  <c r="BE44" i="6"/>
  <c r="AV44" i="6"/>
  <c r="AR44" i="6"/>
  <c r="AQ44" i="6"/>
  <c r="AD44" i="6"/>
  <c r="U44" i="6"/>
  <c r="L44" i="6"/>
  <c r="C44" i="6"/>
  <c r="BE43" i="6"/>
  <c r="AV43" i="6"/>
  <c r="AR43" i="6"/>
  <c r="AQ43" i="6"/>
  <c r="AD43" i="6"/>
  <c r="U43" i="6"/>
  <c r="L43" i="6"/>
  <c r="C43" i="6"/>
  <c r="BE42" i="6"/>
  <c r="AV42" i="6"/>
  <c r="AR42" i="6"/>
  <c r="AQ42" i="6"/>
  <c r="AD42" i="6"/>
  <c r="U42" i="6"/>
  <c r="L42" i="6"/>
  <c r="C42" i="6"/>
  <c r="BE41" i="6"/>
  <c r="AV41" i="6"/>
  <c r="AR41" i="6"/>
  <c r="AQ41" i="6"/>
  <c r="AD41" i="6"/>
  <c r="U41" i="6"/>
  <c r="L41" i="6"/>
  <c r="C41" i="6"/>
  <c r="BE40" i="6"/>
  <c r="AV40" i="6"/>
  <c r="AR40" i="6"/>
  <c r="AQ40" i="6"/>
  <c r="AD40" i="6"/>
  <c r="U40" i="6"/>
  <c r="L40" i="6"/>
  <c r="C40" i="6"/>
  <c r="BE39" i="6"/>
  <c r="AV39" i="6"/>
  <c r="AR39" i="6"/>
  <c r="AQ39" i="6"/>
  <c r="AD39" i="6"/>
  <c r="U39" i="6"/>
  <c r="L39" i="6"/>
  <c r="C39" i="6"/>
  <c r="BE38" i="6"/>
  <c r="AV38" i="6"/>
  <c r="AR38" i="6"/>
  <c r="AQ38" i="6"/>
  <c r="AD38" i="6"/>
  <c r="U38" i="6"/>
  <c r="L38" i="6"/>
  <c r="C38" i="6"/>
  <c r="BE37" i="6"/>
  <c r="AV37" i="6"/>
  <c r="AR37" i="6"/>
  <c r="AQ37" i="6"/>
  <c r="AD37" i="6"/>
  <c r="U37" i="6"/>
  <c r="L37" i="6"/>
  <c r="C37" i="6"/>
  <c r="BE36" i="6"/>
  <c r="AV36" i="6"/>
  <c r="AR36" i="6"/>
  <c r="AQ36" i="6"/>
  <c r="AD36" i="6"/>
  <c r="U36" i="6"/>
  <c r="L36" i="6"/>
  <c r="C36" i="6"/>
  <c r="BE35" i="6"/>
  <c r="AV35" i="6"/>
  <c r="AR35" i="6"/>
  <c r="AQ35" i="6"/>
  <c r="AD35" i="6"/>
  <c r="U35" i="6"/>
  <c r="L35" i="6"/>
  <c r="C35" i="6"/>
  <c r="BE34" i="6"/>
  <c r="AV34" i="6"/>
  <c r="AQ34" i="6"/>
  <c r="AR34" i="6" s="1"/>
  <c r="AD34" i="6"/>
  <c r="U34" i="6"/>
  <c r="L34" i="6"/>
  <c r="C34" i="6"/>
  <c r="BE33" i="6"/>
  <c r="AV33" i="6"/>
  <c r="AR33" i="6"/>
  <c r="AQ33" i="6"/>
  <c r="AD33" i="6"/>
  <c r="U33" i="6"/>
  <c r="L33" i="6"/>
  <c r="C33" i="6"/>
  <c r="BE32" i="6"/>
  <c r="AV32" i="6"/>
  <c r="AR32" i="6"/>
  <c r="AQ32" i="6"/>
  <c r="AD32" i="6"/>
  <c r="U32" i="6"/>
  <c r="L32" i="6"/>
  <c r="C32" i="6"/>
  <c r="BE31" i="6"/>
  <c r="AV31" i="6"/>
  <c r="AR31" i="6"/>
  <c r="AQ31" i="6"/>
  <c r="AD31" i="6"/>
  <c r="U31" i="6"/>
  <c r="L31" i="6"/>
  <c r="C31" i="6"/>
  <c r="BE30" i="6"/>
  <c r="AV30" i="6"/>
  <c r="AQ30" i="6"/>
  <c r="AR30" i="6" s="1"/>
  <c r="AD30" i="6"/>
  <c r="U30" i="6"/>
  <c r="L30" i="6"/>
  <c r="C30" i="6"/>
  <c r="BE29" i="6"/>
  <c r="AV29" i="6"/>
  <c r="AR29" i="6"/>
  <c r="AQ29" i="6"/>
  <c r="AD29" i="6"/>
  <c r="U29" i="6"/>
  <c r="L29" i="6"/>
  <c r="C29" i="6"/>
  <c r="BE28" i="6"/>
  <c r="AV28" i="6"/>
  <c r="AR28" i="6"/>
  <c r="AQ28" i="6"/>
  <c r="AD28" i="6"/>
  <c r="U28" i="6"/>
  <c r="L28" i="6"/>
  <c r="C28" i="6"/>
  <c r="BE27" i="6"/>
  <c r="AV27" i="6"/>
  <c r="AR27" i="6"/>
  <c r="AQ27" i="6"/>
  <c r="AD27" i="6"/>
  <c r="U27" i="6"/>
  <c r="L27" i="6"/>
  <c r="C27" i="6"/>
  <c r="BE26" i="6"/>
  <c r="AV26" i="6"/>
  <c r="AQ26" i="6"/>
  <c r="AR26" i="6" s="1"/>
  <c r="AD26" i="6"/>
  <c r="U26" i="6"/>
  <c r="L26" i="6"/>
  <c r="C26" i="6"/>
  <c r="BE25" i="6"/>
  <c r="AV25" i="6"/>
  <c r="AR25" i="6"/>
  <c r="AQ25" i="6"/>
  <c r="AD25" i="6"/>
  <c r="U25" i="6"/>
  <c r="L25" i="6"/>
  <c r="C25" i="6"/>
  <c r="BE24" i="6"/>
  <c r="AV24" i="6"/>
  <c r="AR24" i="6"/>
  <c r="AQ24" i="6"/>
  <c r="AD24" i="6"/>
  <c r="U24" i="6"/>
  <c r="L24" i="6"/>
  <c r="C24" i="6"/>
  <c r="BE23" i="6"/>
  <c r="AV23" i="6"/>
  <c r="AR23" i="6"/>
  <c r="AQ23" i="6"/>
  <c r="AD23" i="6"/>
  <c r="U23" i="6"/>
  <c r="L23" i="6"/>
  <c r="C23" i="6"/>
  <c r="BE22" i="6"/>
  <c r="AV22" i="6"/>
  <c r="AR22" i="6"/>
  <c r="AQ22" i="6"/>
  <c r="AD22" i="6"/>
  <c r="U22" i="6"/>
  <c r="L22" i="6"/>
  <c r="C22" i="6"/>
  <c r="BE21" i="6"/>
  <c r="AV21" i="6"/>
  <c r="AQ21" i="6"/>
  <c r="AR21" i="6" s="1"/>
  <c r="AD21" i="6"/>
  <c r="U21" i="6"/>
  <c r="L21" i="6"/>
  <c r="C21" i="6"/>
  <c r="BE20" i="6"/>
  <c r="AV20" i="6"/>
  <c r="AR20" i="6"/>
  <c r="AQ20" i="6"/>
  <c r="AD20" i="6"/>
  <c r="U20" i="6"/>
  <c r="L20" i="6"/>
  <c r="C20" i="6"/>
  <c r="BE19" i="6"/>
  <c r="AV19" i="6"/>
  <c r="AR19" i="6"/>
  <c r="AQ19" i="6"/>
  <c r="AD19" i="6"/>
  <c r="U19" i="6"/>
  <c r="L19" i="6"/>
  <c r="C19" i="6"/>
  <c r="B19" i="6"/>
  <c r="A19" i="6" s="1"/>
  <c r="BE18" i="6"/>
  <c r="AV18" i="6"/>
  <c r="AQ18" i="6"/>
  <c r="AR18" i="6" s="1"/>
  <c r="AD18" i="6"/>
  <c r="U18" i="6"/>
  <c r="L18" i="6"/>
  <c r="C18" i="6"/>
  <c r="B18" i="6"/>
  <c r="A18" i="6"/>
  <c r="BE17" i="6"/>
  <c r="AV17" i="6"/>
  <c r="AQ17" i="6"/>
  <c r="AD17" i="6"/>
  <c r="AD49" i="6" s="1"/>
  <c r="U17" i="6"/>
  <c r="L17" i="6"/>
  <c r="C17" i="6"/>
  <c r="C50" i="6" s="1"/>
  <c r="A17" i="6"/>
  <c r="BK12" i="6"/>
  <c r="BJ12" i="6"/>
  <c r="BH12" i="6"/>
  <c r="BG12" i="6"/>
  <c r="BF12" i="6"/>
  <c r="BD12" i="6"/>
  <c r="AN12" i="6"/>
  <c r="BL11" i="6"/>
  <c r="BK11" i="6"/>
  <c r="BI11" i="6"/>
  <c r="BG11" i="6"/>
  <c r="BF11" i="6"/>
  <c r="BD11" i="6"/>
  <c r="AS11" i="6"/>
  <c r="AN11" i="6"/>
  <c r="BK10" i="6"/>
  <c r="BJ10" i="6"/>
  <c r="BI10" i="6"/>
  <c r="BH10" i="6"/>
  <c r="BF10" i="6"/>
  <c r="BD10" i="6"/>
  <c r="BC10" i="6"/>
  <c r="BB10" i="6"/>
  <c r="BA10" i="6"/>
  <c r="AZ10" i="6"/>
  <c r="AT10" i="6"/>
  <c r="AS10" i="6"/>
  <c r="AP10" i="6"/>
  <c r="AO10" i="6"/>
  <c r="AN10" i="6"/>
  <c r="AM10" i="6"/>
  <c r="AK10" i="6"/>
  <c r="AJ10" i="6"/>
  <c r="AH10" i="6"/>
  <c r="AG10" i="6"/>
  <c r="AF10" i="6"/>
  <c r="AE10" i="6"/>
  <c r="AC10" i="6"/>
  <c r="AB10" i="6"/>
  <c r="AA10" i="6"/>
  <c r="Z10" i="6"/>
  <c r="X10" i="6"/>
  <c r="V10" i="6"/>
  <c r="T10" i="6"/>
  <c r="S10" i="6"/>
  <c r="R10" i="6"/>
  <c r="Q10" i="6"/>
  <c r="P10" i="6"/>
  <c r="O10" i="6"/>
  <c r="N10" i="6"/>
  <c r="M10" i="6"/>
  <c r="J10" i="6"/>
  <c r="I10" i="6"/>
  <c r="H10" i="6"/>
  <c r="G10" i="6"/>
  <c r="F10" i="6"/>
  <c r="E10" i="6"/>
  <c r="D10" i="6"/>
  <c r="BL9" i="6"/>
  <c r="BK9" i="6"/>
  <c r="BJ9" i="6"/>
  <c r="BH9" i="6"/>
  <c r="BG9" i="6"/>
  <c r="BF9" i="6"/>
  <c r="BD9" i="6"/>
  <c r="BC9" i="6"/>
  <c r="BB9" i="6"/>
  <c r="BA9" i="6"/>
  <c r="AZ9" i="6"/>
  <c r="AY9" i="6"/>
  <c r="AU9" i="6"/>
  <c r="AT9" i="6"/>
  <c r="AS9" i="6"/>
  <c r="AP9" i="6"/>
  <c r="AO9" i="6"/>
  <c r="AN9" i="6"/>
  <c r="AM9" i="6"/>
  <c r="AL9" i="6"/>
  <c r="AK9" i="6"/>
  <c r="AJ9" i="6"/>
  <c r="AI9" i="6"/>
  <c r="AH9" i="6"/>
  <c r="AG9" i="6"/>
  <c r="AF9" i="6"/>
  <c r="AE9" i="6"/>
  <c r="AC9" i="6"/>
  <c r="AB9" i="6"/>
  <c r="AA9" i="6"/>
  <c r="Z9" i="6"/>
  <c r="Y9" i="6"/>
  <c r="X9" i="6"/>
  <c r="W9" i="6"/>
  <c r="V9" i="6"/>
  <c r="T9" i="6"/>
  <c r="S9" i="6"/>
  <c r="R9" i="6"/>
  <c r="Q9" i="6"/>
  <c r="P9" i="6"/>
  <c r="O9" i="6"/>
  <c r="N9" i="6"/>
  <c r="M9" i="6"/>
  <c r="K9" i="6"/>
  <c r="J9" i="6"/>
  <c r="I9" i="6"/>
  <c r="H9" i="6"/>
  <c r="G9" i="6"/>
  <c r="F9" i="6"/>
  <c r="E9" i="6"/>
  <c r="D9" i="6"/>
  <c r="BL8" i="6"/>
  <c r="BK8" i="6"/>
  <c r="BJ8" i="6"/>
  <c r="BI8" i="6"/>
  <c r="BH8" i="6"/>
  <c r="BG8" i="6"/>
  <c r="BF8" i="6"/>
  <c r="BD8" i="6"/>
  <c r="BC8" i="6"/>
  <c r="BB8" i="6"/>
  <c r="BA8" i="6"/>
  <c r="AZ8" i="6"/>
  <c r="AY8" i="6"/>
  <c r="AU8" i="6"/>
  <c r="AT8" i="6"/>
  <c r="AS8" i="6"/>
  <c r="AP8" i="6"/>
  <c r="AO8" i="6"/>
  <c r="AN8" i="6"/>
  <c r="AM8" i="6"/>
  <c r="AL8" i="6"/>
  <c r="AK8" i="6"/>
  <c r="AJ8" i="6"/>
  <c r="AI8" i="6"/>
  <c r="AH8" i="6"/>
  <c r="AG8" i="6"/>
  <c r="AF8" i="6"/>
  <c r="AE8" i="6"/>
  <c r="AC8" i="6"/>
  <c r="AB8" i="6"/>
  <c r="AA8" i="6"/>
  <c r="Z8" i="6"/>
  <c r="Y8" i="6"/>
  <c r="X8" i="6"/>
  <c r="W8" i="6"/>
  <c r="V8" i="6"/>
  <c r="T8" i="6"/>
  <c r="S8" i="6"/>
  <c r="R8" i="6"/>
  <c r="Q8" i="6"/>
  <c r="P8" i="6"/>
  <c r="O8" i="6"/>
  <c r="N8" i="6"/>
  <c r="M8" i="6"/>
  <c r="K8" i="6"/>
  <c r="J8" i="6"/>
  <c r="I8" i="6"/>
  <c r="H8" i="6"/>
  <c r="G8" i="6"/>
  <c r="F8" i="6"/>
  <c r="E8" i="6"/>
  <c r="D8" i="6"/>
  <c r="BL430" i="5"/>
  <c r="BK430" i="5"/>
  <c r="BJ430" i="5"/>
  <c r="BI430" i="5"/>
  <c r="BH430" i="5"/>
  <c r="BG430" i="5"/>
  <c r="BF430" i="5"/>
  <c r="BD430" i="5"/>
  <c r="AS430" i="5"/>
  <c r="AN430" i="5"/>
  <c r="BL429" i="5"/>
  <c r="BK429" i="5"/>
  <c r="BJ429" i="5"/>
  <c r="BI429" i="5"/>
  <c r="BH429" i="5"/>
  <c r="BG429" i="5"/>
  <c r="BF429" i="5"/>
  <c r="BD429" i="5"/>
  <c r="BC429" i="5"/>
  <c r="BB429" i="5"/>
  <c r="BA429" i="5"/>
  <c r="AZ429" i="5"/>
  <c r="AY429" i="5"/>
  <c r="AU429" i="5"/>
  <c r="AT429" i="5"/>
  <c r="AS429" i="5"/>
  <c r="AP429" i="5"/>
  <c r="AO429" i="5"/>
  <c r="AN429" i="5"/>
  <c r="AM429" i="5"/>
  <c r="AL429" i="5"/>
  <c r="AK429" i="5"/>
  <c r="AJ429" i="5"/>
  <c r="AI429" i="5"/>
  <c r="AH429" i="5"/>
  <c r="AG429" i="5"/>
  <c r="AF429" i="5"/>
  <c r="AE429" i="5"/>
  <c r="AC429" i="5"/>
  <c r="AB429" i="5"/>
  <c r="AA429" i="5"/>
  <c r="Z429" i="5"/>
  <c r="Y429" i="5"/>
  <c r="X429" i="5"/>
  <c r="W429" i="5"/>
  <c r="V429" i="5"/>
  <c r="T429" i="5"/>
  <c r="S429" i="5"/>
  <c r="R429" i="5"/>
  <c r="Q429" i="5"/>
  <c r="P429" i="5"/>
  <c r="O429" i="5"/>
  <c r="N429" i="5"/>
  <c r="M429" i="5"/>
  <c r="K429" i="5"/>
  <c r="J429" i="5"/>
  <c r="I429" i="5"/>
  <c r="H429" i="5"/>
  <c r="G429" i="5"/>
  <c r="F429" i="5"/>
  <c r="E429" i="5"/>
  <c r="D429" i="5"/>
  <c r="BL428" i="5"/>
  <c r="BK428" i="5"/>
  <c r="BJ428" i="5"/>
  <c r="BI428" i="5"/>
  <c r="BH428" i="5"/>
  <c r="BG428" i="5"/>
  <c r="BF428" i="5"/>
  <c r="BD428" i="5"/>
  <c r="BC428" i="5"/>
  <c r="BB428" i="5"/>
  <c r="BA428" i="5"/>
  <c r="AZ428" i="5"/>
  <c r="AY428" i="5"/>
  <c r="AU428" i="5"/>
  <c r="AT428" i="5"/>
  <c r="AS428" i="5"/>
  <c r="AP428" i="5"/>
  <c r="AO428" i="5"/>
  <c r="AN428" i="5"/>
  <c r="AM428" i="5"/>
  <c r="AL428" i="5"/>
  <c r="AK428" i="5"/>
  <c r="AJ428" i="5"/>
  <c r="AI428" i="5"/>
  <c r="AH428" i="5"/>
  <c r="AG428" i="5"/>
  <c r="AF428" i="5"/>
  <c r="AE428" i="5"/>
  <c r="AC428" i="5"/>
  <c r="AB428" i="5"/>
  <c r="AA428" i="5"/>
  <c r="Z428" i="5"/>
  <c r="Y428" i="5"/>
  <c r="X428" i="5"/>
  <c r="W428" i="5"/>
  <c r="V428" i="5"/>
  <c r="T428" i="5"/>
  <c r="S428" i="5"/>
  <c r="R428" i="5"/>
  <c r="Q428" i="5"/>
  <c r="P428" i="5"/>
  <c r="O428" i="5"/>
  <c r="N428" i="5"/>
  <c r="M428" i="5"/>
  <c r="K428" i="5"/>
  <c r="J428" i="5"/>
  <c r="I428" i="5"/>
  <c r="H428" i="5"/>
  <c r="G428" i="5"/>
  <c r="F428" i="5"/>
  <c r="E428" i="5"/>
  <c r="D428" i="5"/>
  <c r="BL427" i="5"/>
  <c r="BK427" i="5"/>
  <c r="BJ427" i="5"/>
  <c r="BI427" i="5"/>
  <c r="BH427" i="5"/>
  <c r="BG427" i="5"/>
  <c r="BF427" i="5"/>
  <c r="BD427" i="5"/>
  <c r="BC427" i="5"/>
  <c r="BB427" i="5"/>
  <c r="BA427" i="5"/>
  <c r="AZ427" i="5"/>
  <c r="AY427" i="5"/>
  <c r="AU427" i="5"/>
  <c r="AT427" i="5"/>
  <c r="AS427" i="5"/>
  <c r="AR427" i="5"/>
  <c r="AP427" i="5"/>
  <c r="AO427" i="5"/>
  <c r="AN427" i="5"/>
  <c r="AM427" i="5"/>
  <c r="AL427" i="5"/>
  <c r="AK427" i="5"/>
  <c r="AJ427" i="5"/>
  <c r="AI427" i="5"/>
  <c r="AH427" i="5"/>
  <c r="AG427" i="5"/>
  <c r="AF427" i="5"/>
  <c r="AE427" i="5"/>
  <c r="AC427" i="5"/>
  <c r="AB427" i="5"/>
  <c r="AA427" i="5"/>
  <c r="Z427" i="5"/>
  <c r="Y427" i="5"/>
  <c r="X427" i="5"/>
  <c r="W427" i="5"/>
  <c r="V427" i="5"/>
  <c r="T427" i="5"/>
  <c r="S427" i="5"/>
  <c r="R427" i="5"/>
  <c r="Q427" i="5"/>
  <c r="P427" i="5"/>
  <c r="O427" i="5"/>
  <c r="N427" i="5"/>
  <c r="M427" i="5"/>
  <c r="K427" i="5"/>
  <c r="J427" i="5"/>
  <c r="I427" i="5"/>
  <c r="H427" i="5"/>
  <c r="G427" i="5"/>
  <c r="F427" i="5"/>
  <c r="E427" i="5"/>
  <c r="D427" i="5"/>
  <c r="BE426" i="5"/>
  <c r="AW426" i="5"/>
  <c r="AV426" i="5"/>
  <c r="AX426" i="5" s="1"/>
  <c r="AR426" i="5"/>
  <c r="AQ426" i="5"/>
  <c r="AD426" i="5"/>
  <c r="U426" i="5"/>
  <c r="L426" i="5"/>
  <c r="C426" i="5"/>
  <c r="BE425" i="5"/>
  <c r="AW425" i="5"/>
  <c r="AV425" i="5"/>
  <c r="AX425" i="5" s="1"/>
  <c r="AR425" i="5"/>
  <c r="AQ425" i="5"/>
  <c r="AD425" i="5"/>
  <c r="U425" i="5"/>
  <c r="L425" i="5"/>
  <c r="C425" i="5"/>
  <c r="BE424" i="5"/>
  <c r="AW424" i="5"/>
  <c r="AV424" i="5"/>
  <c r="AX424" i="5" s="1"/>
  <c r="AR424" i="5"/>
  <c r="AQ424" i="5"/>
  <c r="AD424" i="5"/>
  <c r="U424" i="5"/>
  <c r="L424" i="5"/>
  <c r="C424" i="5"/>
  <c r="BE423" i="5"/>
  <c r="AW423" i="5"/>
  <c r="AV423" i="5"/>
  <c r="AX423" i="5" s="1"/>
  <c r="AR423" i="5"/>
  <c r="AQ423" i="5"/>
  <c r="AD423" i="5"/>
  <c r="U423" i="5"/>
  <c r="L423" i="5"/>
  <c r="C423" i="5"/>
  <c r="BE422" i="5"/>
  <c r="AW422" i="5"/>
  <c r="AV422" i="5"/>
  <c r="AX422" i="5" s="1"/>
  <c r="AR422" i="5"/>
  <c r="AQ422" i="5"/>
  <c r="AD422" i="5"/>
  <c r="U422" i="5"/>
  <c r="L422" i="5"/>
  <c r="C422" i="5"/>
  <c r="BE421" i="5"/>
  <c r="AW421" i="5"/>
  <c r="AV421" i="5"/>
  <c r="AX421" i="5" s="1"/>
  <c r="AR421" i="5"/>
  <c r="AQ421" i="5"/>
  <c r="AD421" i="5"/>
  <c r="U421" i="5"/>
  <c r="L421" i="5"/>
  <c r="C421" i="5"/>
  <c r="BE420" i="5"/>
  <c r="AW420" i="5"/>
  <c r="AV420" i="5"/>
  <c r="AX420" i="5" s="1"/>
  <c r="AR420" i="5"/>
  <c r="AQ420" i="5"/>
  <c r="AD420" i="5"/>
  <c r="U420" i="5"/>
  <c r="L420" i="5"/>
  <c r="C420" i="5"/>
  <c r="BE419" i="5"/>
  <c r="AW419" i="5"/>
  <c r="AV419" i="5"/>
  <c r="AX419" i="5" s="1"/>
  <c r="AR419" i="5"/>
  <c r="AQ419" i="5"/>
  <c r="AD419" i="5"/>
  <c r="U419" i="5"/>
  <c r="L419" i="5"/>
  <c r="C419" i="5"/>
  <c r="BE418" i="5"/>
  <c r="AW418" i="5"/>
  <c r="AV418" i="5"/>
  <c r="AX418" i="5" s="1"/>
  <c r="AR418" i="5"/>
  <c r="AQ418" i="5"/>
  <c r="AD418" i="5"/>
  <c r="U418" i="5"/>
  <c r="L418" i="5"/>
  <c r="C418" i="5"/>
  <c r="BE417" i="5"/>
  <c r="AW417" i="5"/>
  <c r="AV417" i="5"/>
  <c r="AX417" i="5" s="1"/>
  <c r="AR417" i="5"/>
  <c r="AQ417" i="5"/>
  <c r="AD417" i="5"/>
  <c r="U417" i="5"/>
  <c r="L417" i="5"/>
  <c r="C417" i="5"/>
  <c r="BE416" i="5"/>
  <c r="AW416" i="5"/>
  <c r="AV416" i="5"/>
  <c r="AX416" i="5" s="1"/>
  <c r="AR416" i="5"/>
  <c r="AQ416" i="5"/>
  <c r="AD416" i="5"/>
  <c r="U416" i="5"/>
  <c r="L416" i="5"/>
  <c r="C416" i="5"/>
  <c r="BE415" i="5"/>
  <c r="AW415" i="5"/>
  <c r="AV415" i="5"/>
  <c r="AX415" i="5" s="1"/>
  <c r="AR415" i="5"/>
  <c r="AQ415" i="5"/>
  <c r="AD415" i="5"/>
  <c r="U415" i="5"/>
  <c r="L415" i="5"/>
  <c r="C415" i="5"/>
  <c r="BE414" i="5"/>
  <c r="AW414" i="5"/>
  <c r="AV414" i="5"/>
  <c r="AX414" i="5" s="1"/>
  <c r="AR414" i="5"/>
  <c r="AQ414" i="5"/>
  <c r="AD414" i="5"/>
  <c r="U414" i="5"/>
  <c r="L414" i="5"/>
  <c r="C414" i="5"/>
  <c r="BE413" i="5"/>
  <c r="AW413" i="5"/>
  <c r="AV413" i="5"/>
  <c r="AX413" i="5" s="1"/>
  <c r="AR413" i="5"/>
  <c r="AQ413" i="5"/>
  <c r="AD413" i="5"/>
  <c r="U413" i="5"/>
  <c r="L413" i="5"/>
  <c r="C413" i="5"/>
  <c r="BE412" i="5"/>
  <c r="AW412" i="5"/>
  <c r="AV412" i="5"/>
  <c r="AX412" i="5" s="1"/>
  <c r="AR412" i="5"/>
  <c r="AQ412" i="5"/>
  <c r="AD412" i="5"/>
  <c r="U412" i="5"/>
  <c r="L412" i="5"/>
  <c r="C412" i="5"/>
  <c r="BE411" i="5"/>
  <c r="AW411" i="5"/>
  <c r="AV411" i="5"/>
  <c r="AX411" i="5" s="1"/>
  <c r="AR411" i="5"/>
  <c r="AQ411" i="5"/>
  <c r="AD411" i="5"/>
  <c r="U411" i="5"/>
  <c r="L411" i="5"/>
  <c r="C411" i="5"/>
  <c r="BE410" i="5"/>
  <c r="AW410" i="5"/>
  <c r="AV410" i="5"/>
  <c r="AX410" i="5" s="1"/>
  <c r="AR410" i="5"/>
  <c r="AQ410" i="5"/>
  <c r="AD410" i="5"/>
  <c r="U410" i="5"/>
  <c r="L410" i="5"/>
  <c r="C410" i="5"/>
  <c r="BE409" i="5"/>
  <c r="AW409" i="5"/>
  <c r="AV409" i="5"/>
  <c r="AX409" i="5" s="1"/>
  <c r="AR409" i="5"/>
  <c r="AQ409" i="5"/>
  <c r="AD409" i="5"/>
  <c r="U409" i="5"/>
  <c r="L409" i="5"/>
  <c r="C409" i="5"/>
  <c r="BE408" i="5"/>
  <c r="AW408" i="5"/>
  <c r="AV408" i="5"/>
  <c r="AX408" i="5" s="1"/>
  <c r="AR408" i="5"/>
  <c r="AQ408" i="5"/>
  <c r="AD408" i="5"/>
  <c r="U408" i="5"/>
  <c r="L408" i="5"/>
  <c r="C408" i="5"/>
  <c r="BE407" i="5"/>
  <c r="AW407" i="5"/>
  <c r="AV407" i="5"/>
  <c r="AX407" i="5" s="1"/>
  <c r="AR407" i="5"/>
  <c r="AQ407" i="5"/>
  <c r="AD407" i="5"/>
  <c r="U407" i="5"/>
  <c r="L407" i="5"/>
  <c r="C407" i="5"/>
  <c r="BE406" i="5"/>
  <c r="AW406" i="5"/>
  <c r="AV406" i="5"/>
  <c r="AX406" i="5" s="1"/>
  <c r="AR406" i="5"/>
  <c r="AQ406" i="5"/>
  <c r="AD406" i="5"/>
  <c r="U406" i="5"/>
  <c r="L406" i="5"/>
  <c r="C406" i="5"/>
  <c r="BE405" i="5"/>
  <c r="AW405" i="5"/>
  <c r="AV405" i="5"/>
  <c r="AX405" i="5" s="1"/>
  <c r="AR405" i="5"/>
  <c r="AQ405" i="5"/>
  <c r="AD405" i="5"/>
  <c r="U405" i="5"/>
  <c r="L405" i="5"/>
  <c r="C405" i="5"/>
  <c r="BE404" i="5"/>
  <c r="AW404" i="5"/>
  <c r="AV404" i="5"/>
  <c r="AX404" i="5" s="1"/>
  <c r="AR404" i="5"/>
  <c r="AQ404" i="5"/>
  <c r="AD404" i="5"/>
  <c r="U404" i="5"/>
  <c r="L404" i="5"/>
  <c r="C404" i="5"/>
  <c r="BE403" i="5"/>
  <c r="AW403" i="5"/>
  <c r="AV403" i="5"/>
  <c r="AX403" i="5" s="1"/>
  <c r="AR403" i="5"/>
  <c r="AQ403" i="5"/>
  <c r="AD403" i="5"/>
  <c r="U403" i="5"/>
  <c r="L403" i="5"/>
  <c r="C403" i="5"/>
  <c r="BE402" i="5"/>
  <c r="AW402" i="5"/>
  <c r="AV402" i="5"/>
  <c r="AX402" i="5" s="1"/>
  <c r="AR402" i="5"/>
  <c r="AQ402" i="5"/>
  <c r="AD402" i="5"/>
  <c r="U402" i="5"/>
  <c r="L402" i="5"/>
  <c r="C402" i="5"/>
  <c r="BE401" i="5"/>
  <c r="AW401" i="5"/>
  <c r="AV401" i="5"/>
  <c r="AX401" i="5" s="1"/>
  <c r="AR401" i="5"/>
  <c r="AQ401" i="5"/>
  <c r="AD401" i="5"/>
  <c r="U401" i="5"/>
  <c r="L401" i="5"/>
  <c r="C401" i="5"/>
  <c r="BE400" i="5"/>
  <c r="AW400" i="5"/>
  <c r="AV400" i="5"/>
  <c r="AX400" i="5" s="1"/>
  <c r="AR400" i="5"/>
  <c r="AQ400" i="5"/>
  <c r="AD400" i="5"/>
  <c r="U400" i="5"/>
  <c r="L400" i="5"/>
  <c r="C400" i="5"/>
  <c r="BE399" i="5"/>
  <c r="AW399" i="5"/>
  <c r="AV399" i="5"/>
  <c r="AX399" i="5" s="1"/>
  <c r="AR399" i="5"/>
  <c r="AQ399" i="5"/>
  <c r="AD399" i="5"/>
  <c r="U399" i="5"/>
  <c r="L399" i="5"/>
  <c r="C399" i="5"/>
  <c r="BE398" i="5"/>
  <c r="AW398" i="5"/>
  <c r="AV398" i="5"/>
  <c r="AX398" i="5" s="1"/>
  <c r="AR398" i="5"/>
  <c r="AQ398" i="5"/>
  <c r="AD398" i="5"/>
  <c r="U398" i="5"/>
  <c r="L398" i="5"/>
  <c r="C398" i="5"/>
  <c r="BE397" i="5"/>
  <c r="AW397" i="5"/>
  <c r="AV397" i="5"/>
  <c r="AX397" i="5" s="1"/>
  <c r="AR397" i="5"/>
  <c r="AQ397" i="5"/>
  <c r="AD397" i="5"/>
  <c r="U397" i="5"/>
  <c r="L397" i="5"/>
  <c r="C397" i="5"/>
  <c r="BE396" i="5"/>
  <c r="BE429" i="5" s="1"/>
  <c r="AW396" i="5"/>
  <c r="AW429" i="5" s="1"/>
  <c r="AV396" i="5"/>
  <c r="AV429" i="5" s="1"/>
  <c r="AR396" i="5"/>
  <c r="AR429" i="5" s="1"/>
  <c r="AQ396" i="5"/>
  <c r="AQ427" i="5" s="1"/>
  <c r="AD396" i="5"/>
  <c r="U396" i="5"/>
  <c r="U429" i="5" s="1"/>
  <c r="L396" i="5"/>
  <c r="L429" i="5" s="1"/>
  <c r="C396" i="5"/>
  <c r="C429" i="5" s="1"/>
  <c r="BL395" i="5"/>
  <c r="BK395" i="5"/>
  <c r="BJ395" i="5"/>
  <c r="BI395" i="5"/>
  <c r="BH395" i="5"/>
  <c r="BG395" i="5"/>
  <c r="BF395" i="5"/>
  <c r="BD395" i="5"/>
  <c r="AS395" i="5"/>
  <c r="AN395" i="5"/>
  <c r="BL394" i="5"/>
  <c r="BK394" i="5"/>
  <c r="BJ394" i="5"/>
  <c r="BI394" i="5"/>
  <c r="BH394" i="5"/>
  <c r="BG394" i="5"/>
  <c r="BF394" i="5"/>
  <c r="BD394" i="5"/>
  <c r="BC394" i="5"/>
  <c r="BB394" i="5"/>
  <c r="BA394" i="5"/>
  <c r="AZ394" i="5"/>
  <c r="AY394" i="5"/>
  <c r="AU394" i="5"/>
  <c r="AT394" i="5"/>
  <c r="AS394" i="5"/>
  <c r="AP394" i="5"/>
  <c r="AO394" i="5"/>
  <c r="AN394" i="5"/>
  <c r="AM394" i="5"/>
  <c r="AL394" i="5"/>
  <c r="AK394" i="5"/>
  <c r="AJ394" i="5"/>
  <c r="AI394" i="5"/>
  <c r="AH394" i="5"/>
  <c r="AG394" i="5"/>
  <c r="AF394" i="5"/>
  <c r="AE394" i="5"/>
  <c r="AC394" i="5"/>
  <c r="AB394" i="5"/>
  <c r="AA394" i="5"/>
  <c r="Z394" i="5"/>
  <c r="Y394" i="5"/>
  <c r="X394" i="5"/>
  <c r="W394" i="5"/>
  <c r="V394" i="5"/>
  <c r="U394" i="5"/>
  <c r="T394" i="5"/>
  <c r="S394" i="5"/>
  <c r="R394" i="5"/>
  <c r="Q394" i="5"/>
  <c r="P394" i="5"/>
  <c r="O394" i="5"/>
  <c r="N394" i="5"/>
  <c r="M394" i="5"/>
  <c r="K394" i="5"/>
  <c r="J394" i="5"/>
  <c r="I394" i="5"/>
  <c r="H394" i="5"/>
  <c r="G394" i="5"/>
  <c r="F394" i="5"/>
  <c r="E394" i="5"/>
  <c r="D394" i="5"/>
  <c r="BL393" i="5"/>
  <c r="BK393" i="5"/>
  <c r="BJ393" i="5"/>
  <c r="BI393" i="5"/>
  <c r="BH393" i="5"/>
  <c r="BG393" i="5"/>
  <c r="BF393" i="5"/>
  <c r="BD393" i="5"/>
  <c r="BC393" i="5"/>
  <c r="BB393" i="5"/>
  <c r="BA393" i="5"/>
  <c r="AZ393" i="5"/>
  <c r="AY393" i="5"/>
  <c r="AU393" i="5"/>
  <c r="AT393" i="5"/>
  <c r="AS393" i="5"/>
  <c r="AP393" i="5"/>
  <c r="AO393" i="5"/>
  <c r="AN393" i="5"/>
  <c r="AM393" i="5"/>
  <c r="AL393" i="5"/>
  <c r="AK393" i="5"/>
  <c r="AJ393" i="5"/>
  <c r="AI393" i="5"/>
  <c r="AH393" i="5"/>
  <c r="AG393" i="5"/>
  <c r="AF393" i="5"/>
  <c r="AE393" i="5"/>
  <c r="AC393" i="5"/>
  <c r="AB393" i="5"/>
  <c r="AA393" i="5"/>
  <c r="Z393" i="5"/>
  <c r="Y393" i="5"/>
  <c r="X393" i="5"/>
  <c r="W393" i="5"/>
  <c r="V393" i="5"/>
  <c r="U393" i="5"/>
  <c r="T393" i="5"/>
  <c r="S393" i="5"/>
  <c r="R393" i="5"/>
  <c r="Q393" i="5"/>
  <c r="P393" i="5"/>
  <c r="O393" i="5"/>
  <c r="N393" i="5"/>
  <c r="M393" i="5"/>
  <c r="K393" i="5"/>
  <c r="J393" i="5"/>
  <c r="I393" i="5"/>
  <c r="H393" i="5"/>
  <c r="G393" i="5"/>
  <c r="F393" i="5"/>
  <c r="E393" i="5"/>
  <c r="D393" i="5"/>
  <c r="BL392" i="5"/>
  <c r="BK392" i="5"/>
  <c r="BJ392" i="5"/>
  <c r="BI392" i="5"/>
  <c r="BH392" i="5"/>
  <c r="BG392" i="5"/>
  <c r="BF392" i="5"/>
  <c r="BD392" i="5"/>
  <c r="BC392" i="5"/>
  <c r="BB392" i="5"/>
  <c r="BA392" i="5"/>
  <c r="AZ392" i="5"/>
  <c r="AY392" i="5"/>
  <c r="AU392" i="5"/>
  <c r="AT392" i="5"/>
  <c r="AS392" i="5"/>
  <c r="AP392" i="5"/>
  <c r="AO392" i="5"/>
  <c r="AN392" i="5"/>
  <c r="AM392" i="5"/>
  <c r="AL392" i="5"/>
  <c r="AK392" i="5"/>
  <c r="AJ392" i="5"/>
  <c r="AI392" i="5"/>
  <c r="AH392" i="5"/>
  <c r="AG392" i="5"/>
  <c r="AF392" i="5"/>
  <c r="AE392" i="5"/>
  <c r="AC392" i="5"/>
  <c r="AB392" i="5"/>
  <c r="AA392" i="5"/>
  <c r="Z392" i="5"/>
  <c r="Y392" i="5"/>
  <c r="X392" i="5"/>
  <c r="W392" i="5"/>
  <c r="V392" i="5"/>
  <c r="T392" i="5"/>
  <c r="S392" i="5"/>
  <c r="R392" i="5"/>
  <c r="Q392" i="5"/>
  <c r="P392" i="5"/>
  <c r="O392" i="5"/>
  <c r="N392" i="5"/>
  <c r="M392" i="5"/>
  <c r="K392" i="5"/>
  <c r="J392" i="5"/>
  <c r="I392" i="5"/>
  <c r="H392" i="5"/>
  <c r="G392" i="5"/>
  <c r="F392" i="5"/>
  <c r="E392" i="5"/>
  <c r="D392" i="5"/>
  <c r="C392" i="5"/>
  <c r="BE391" i="5"/>
  <c r="AV391" i="5"/>
  <c r="AW391" i="5" s="1"/>
  <c r="AX391" i="5" s="1"/>
  <c r="AR391" i="5"/>
  <c r="AQ391" i="5"/>
  <c r="AD391" i="5"/>
  <c r="U391" i="5"/>
  <c r="L391" i="5"/>
  <c r="C391" i="5"/>
  <c r="BE390" i="5"/>
  <c r="AV390" i="5"/>
  <c r="AW390" i="5" s="1"/>
  <c r="AX390" i="5" s="1"/>
  <c r="AR390" i="5"/>
  <c r="AQ390" i="5"/>
  <c r="AD390" i="5"/>
  <c r="U390" i="5"/>
  <c r="L390" i="5"/>
  <c r="C390" i="5"/>
  <c r="BE389" i="5"/>
  <c r="AV389" i="5"/>
  <c r="AW389" i="5" s="1"/>
  <c r="AX389" i="5" s="1"/>
  <c r="AR389" i="5"/>
  <c r="AQ389" i="5"/>
  <c r="AD389" i="5"/>
  <c r="U389" i="5"/>
  <c r="L389" i="5"/>
  <c r="C389" i="5"/>
  <c r="BE388" i="5"/>
  <c r="AV388" i="5"/>
  <c r="AW388" i="5" s="1"/>
  <c r="AX388" i="5" s="1"/>
  <c r="AR388" i="5"/>
  <c r="AQ388" i="5"/>
  <c r="AD388" i="5"/>
  <c r="U388" i="5"/>
  <c r="L388" i="5"/>
  <c r="C388" i="5"/>
  <c r="BE387" i="5"/>
  <c r="AV387" i="5"/>
  <c r="AW387" i="5" s="1"/>
  <c r="AX387" i="5" s="1"/>
  <c r="AR387" i="5"/>
  <c r="AQ387" i="5"/>
  <c r="AD387" i="5"/>
  <c r="U387" i="5"/>
  <c r="L387" i="5"/>
  <c r="C387" i="5"/>
  <c r="BE386" i="5"/>
  <c r="AV386" i="5"/>
  <c r="AW386" i="5" s="1"/>
  <c r="AX386" i="5" s="1"/>
  <c r="AR386" i="5"/>
  <c r="AQ386" i="5"/>
  <c r="AD386" i="5"/>
  <c r="U386" i="5"/>
  <c r="L386" i="5"/>
  <c r="C386" i="5"/>
  <c r="BE385" i="5"/>
  <c r="AV385" i="5"/>
  <c r="AW385" i="5" s="1"/>
  <c r="AX385" i="5" s="1"/>
  <c r="AR385" i="5"/>
  <c r="AQ385" i="5"/>
  <c r="AD385" i="5"/>
  <c r="U385" i="5"/>
  <c r="L385" i="5"/>
  <c r="C385" i="5"/>
  <c r="C393" i="5" s="1"/>
  <c r="BE384" i="5"/>
  <c r="AV384" i="5"/>
  <c r="AW384" i="5" s="1"/>
  <c r="AX384" i="5" s="1"/>
  <c r="AR384" i="5"/>
  <c r="AD384" i="5"/>
  <c r="U384" i="5"/>
  <c r="L384" i="5"/>
  <c r="C384" i="5"/>
  <c r="BE383" i="5"/>
  <c r="AW383" i="5"/>
  <c r="AV383" i="5"/>
  <c r="AQ383" i="5"/>
  <c r="AR383" i="5" s="1"/>
  <c r="AX383" i="5" s="1"/>
  <c r="AD383" i="5"/>
  <c r="U383" i="5"/>
  <c r="L383" i="5"/>
  <c r="C383" i="5"/>
  <c r="BE382" i="5"/>
  <c r="AW382" i="5"/>
  <c r="AV382" i="5"/>
  <c r="AQ382" i="5"/>
  <c r="AR382" i="5" s="1"/>
  <c r="AD382" i="5"/>
  <c r="U382" i="5"/>
  <c r="L382" i="5"/>
  <c r="C382" i="5"/>
  <c r="BE381" i="5"/>
  <c r="AW381" i="5"/>
  <c r="AV381" i="5"/>
  <c r="AQ381" i="5"/>
  <c r="AR381" i="5" s="1"/>
  <c r="AD381" i="5"/>
  <c r="U381" i="5"/>
  <c r="L381" i="5"/>
  <c r="C381" i="5"/>
  <c r="BE380" i="5"/>
  <c r="AW380" i="5"/>
  <c r="AV380" i="5"/>
  <c r="AQ380" i="5"/>
  <c r="AR380" i="5" s="1"/>
  <c r="AD380" i="5"/>
  <c r="U380" i="5"/>
  <c r="L380" i="5"/>
  <c r="C380" i="5"/>
  <c r="BE379" i="5"/>
  <c r="AW379" i="5"/>
  <c r="AV379" i="5"/>
  <c r="AQ379" i="5"/>
  <c r="AR379" i="5" s="1"/>
  <c r="AD379" i="5"/>
  <c r="U379" i="5"/>
  <c r="L379" i="5"/>
  <c r="C379" i="5"/>
  <c r="BE378" i="5"/>
  <c r="AW378" i="5"/>
  <c r="AV378" i="5"/>
  <c r="AX378" i="5" s="1"/>
  <c r="AQ378" i="5"/>
  <c r="AR378" i="5" s="1"/>
  <c r="AD378" i="5"/>
  <c r="U378" i="5"/>
  <c r="L378" i="5"/>
  <c r="C378" i="5"/>
  <c r="BE377" i="5"/>
  <c r="AW377" i="5"/>
  <c r="AV377" i="5"/>
  <c r="AQ377" i="5"/>
  <c r="AR377" i="5" s="1"/>
  <c r="AD377" i="5"/>
  <c r="U377" i="5"/>
  <c r="L377" i="5"/>
  <c r="C377" i="5"/>
  <c r="BE376" i="5"/>
  <c r="AW376" i="5"/>
  <c r="AV376" i="5"/>
  <c r="AQ376" i="5"/>
  <c r="AR376" i="5" s="1"/>
  <c r="AD376" i="5"/>
  <c r="U376" i="5"/>
  <c r="L376" i="5"/>
  <c r="C376" i="5"/>
  <c r="BE375" i="5"/>
  <c r="BE394" i="5" s="1"/>
  <c r="AW375" i="5"/>
  <c r="AV375" i="5"/>
  <c r="AX375" i="5" s="1"/>
  <c r="AQ375" i="5"/>
  <c r="AR375" i="5" s="1"/>
  <c r="AD375" i="5"/>
  <c r="U375" i="5"/>
  <c r="L375" i="5"/>
  <c r="C375" i="5"/>
  <c r="BE374" i="5"/>
  <c r="AW374" i="5"/>
  <c r="AV374" i="5"/>
  <c r="AX374" i="5" s="1"/>
  <c r="AR374" i="5"/>
  <c r="AD374" i="5"/>
  <c r="U374" i="5"/>
  <c r="L374" i="5"/>
  <c r="C374" i="5"/>
  <c r="BE373" i="5"/>
  <c r="AX373" i="5"/>
  <c r="AV373" i="5"/>
  <c r="AW373" i="5" s="1"/>
  <c r="AQ373" i="5"/>
  <c r="AR373" i="5" s="1"/>
  <c r="AD373" i="5"/>
  <c r="U373" i="5"/>
  <c r="L373" i="5"/>
  <c r="C373" i="5"/>
  <c r="BE372" i="5"/>
  <c r="AV372" i="5"/>
  <c r="AQ372" i="5"/>
  <c r="AR372" i="5" s="1"/>
  <c r="AD372" i="5"/>
  <c r="U372" i="5"/>
  <c r="L372" i="5"/>
  <c r="C372" i="5"/>
  <c r="BE371" i="5"/>
  <c r="AV371" i="5"/>
  <c r="AW371" i="5" s="1"/>
  <c r="AQ371" i="5"/>
  <c r="AR371" i="5" s="1"/>
  <c r="AD371" i="5"/>
  <c r="U371" i="5"/>
  <c r="L371" i="5"/>
  <c r="C371" i="5"/>
  <c r="BE370" i="5"/>
  <c r="AX370" i="5"/>
  <c r="AV370" i="5"/>
  <c r="AW370" i="5" s="1"/>
  <c r="AQ370" i="5"/>
  <c r="AR370" i="5" s="1"/>
  <c r="AD370" i="5"/>
  <c r="U370" i="5"/>
  <c r="L370" i="5"/>
  <c r="C370" i="5"/>
  <c r="BE369" i="5"/>
  <c r="AV369" i="5"/>
  <c r="AQ369" i="5"/>
  <c r="AR369" i="5" s="1"/>
  <c r="AD369" i="5"/>
  <c r="U369" i="5"/>
  <c r="L369" i="5"/>
  <c r="C369" i="5"/>
  <c r="BE368" i="5"/>
  <c r="AV368" i="5"/>
  <c r="AW368" i="5" s="1"/>
  <c r="AQ368" i="5"/>
  <c r="AR368" i="5" s="1"/>
  <c r="AD368" i="5"/>
  <c r="U368" i="5"/>
  <c r="L368" i="5"/>
  <c r="C368" i="5"/>
  <c r="BE367" i="5"/>
  <c r="AX367" i="5"/>
  <c r="AV367" i="5"/>
  <c r="AW367" i="5" s="1"/>
  <c r="AQ367" i="5"/>
  <c r="AR367" i="5" s="1"/>
  <c r="AD367" i="5"/>
  <c r="U367" i="5"/>
  <c r="L367" i="5"/>
  <c r="C367" i="5"/>
  <c r="BE366" i="5"/>
  <c r="AV366" i="5"/>
  <c r="AQ366" i="5"/>
  <c r="AR366" i="5" s="1"/>
  <c r="AD366" i="5"/>
  <c r="U366" i="5"/>
  <c r="L366" i="5"/>
  <c r="C366" i="5"/>
  <c r="BE365" i="5"/>
  <c r="AV365" i="5"/>
  <c r="AW365" i="5" s="1"/>
  <c r="AQ365" i="5"/>
  <c r="AR365" i="5" s="1"/>
  <c r="AD365" i="5"/>
  <c r="U365" i="5"/>
  <c r="L365" i="5"/>
  <c r="C365" i="5"/>
  <c r="BE364" i="5"/>
  <c r="AX364" i="5"/>
  <c r="AV364" i="5"/>
  <c r="AW364" i="5" s="1"/>
  <c r="AQ364" i="5"/>
  <c r="AR364" i="5" s="1"/>
  <c r="AD364" i="5"/>
  <c r="U364" i="5"/>
  <c r="L364" i="5"/>
  <c r="C364" i="5"/>
  <c r="BE363" i="5"/>
  <c r="AV363" i="5"/>
  <c r="AQ363" i="5"/>
  <c r="AR363" i="5" s="1"/>
  <c r="AD363" i="5"/>
  <c r="U363" i="5"/>
  <c r="L363" i="5"/>
  <c r="C363" i="5"/>
  <c r="BE362" i="5"/>
  <c r="AV362" i="5"/>
  <c r="AQ362" i="5"/>
  <c r="AR362" i="5" s="1"/>
  <c r="AD362" i="5"/>
  <c r="AD394" i="5" s="1"/>
  <c r="U362" i="5"/>
  <c r="U392" i="5" s="1"/>
  <c r="L362" i="5"/>
  <c r="L392" i="5" s="1"/>
  <c r="C362" i="5"/>
  <c r="C394" i="5" s="1"/>
  <c r="BL361" i="5"/>
  <c r="BK361" i="5"/>
  <c r="BJ361" i="5"/>
  <c r="BI361" i="5"/>
  <c r="BH361" i="5"/>
  <c r="BG361" i="5"/>
  <c r="BF361" i="5"/>
  <c r="BD361" i="5"/>
  <c r="AS361" i="5"/>
  <c r="AN361" i="5"/>
  <c r="BL360" i="5"/>
  <c r="BK360" i="5"/>
  <c r="BJ360" i="5"/>
  <c r="BI360" i="5"/>
  <c r="BH360" i="5"/>
  <c r="BG360" i="5"/>
  <c r="BF360" i="5"/>
  <c r="BE360" i="5"/>
  <c r="BD360" i="5"/>
  <c r="BC360" i="5"/>
  <c r="BB360" i="5"/>
  <c r="BA360" i="5"/>
  <c r="AZ360" i="5"/>
  <c r="AY360" i="5"/>
  <c r="AV360" i="5"/>
  <c r="AU360" i="5"/>
  <c r="AT360" i="5"/>
  <c r="AS360" i="5"/>
  <c r="AP360" i="5"/>
  <c r="AO360" i="5"/>
  <c r="AN360" i="5"/>
  <c r="AM360" i="5"/>
  <c r="AL360" i="5"/>
  <c r="AK360" i="5"/>
  <c r="AJ360" i="5"/>
  <c r="AI360" i="5"/>
  <c r="AH360" i="5"/>
  <c r="AG360" i="5"/>
  <c r="AF360" i="5"/>
  <c r="AE360" i="5"/>
  <c r="AC360" i="5"/>
  <c r="AB360" i="5"/>
  <c r="AA360" i="5"/>
  <c r="Z360" i="5"/>
  <c r="Y360" i="5"/>
  <c r="X360" i="5"/>
  <c r="W360" i="5"/>
  <c r="V360" i="5"/>
  <c r="U360" i="5"/>
  <c r="T360" i="5"/>
  <c r="S360" i="5"/>
  <c r="R360" i="5"/>
  <c r="Q360" i="5"/>
  <c r="P360" i="5"/>
  <c r="O360" i="5"/>
  <c r="N360" i="5"/>
  <c r="M360" i="5"/>
  <c r="L360" i="5"/>
  <c r="K360" i="5"/>
  <c r="J360" i="5"/>
  <c r="I360" i="5"/>
  <c r="H360" i="5"/>
  <c r="G360" i="5"/>
  <c r="F360" i="5"/>
  <c r="E360" i="5"/>
  <c r="D360" i="5"/>
  <c r="BL359" i="5"/>
  <c r="BK359" i="5"/>
  <c r="BJ359" i="5"/>
  <c r="BI359" i="5"/>
  <c r="BH359" i="5"/>
  <c r="BG359" i="5"/>
  <c r="BF359" i="5"/>
  <c r="BD359" i="5"/>
  <c r="BC359" i="5"/>
  <c r="BB359" i="5"/>
  <c r="BA359" i="5"/>
  <c r="AZ359" i="5"/>
  <c r="AY359" i="5"/>
  <c r="AU359" i="5"/>
  <c r="AT359" i="5"/>
  <c r="AS359" i="5"/>
  <c r="AP359" i="5"/>
  <c r="AO359" i="5"/>
  <c r="AN359" i="5"/>
  <c r="AM359" i="5"/>
  <c r="AL359" i="5"/>
  <c r="AK359" i="5"/>
  <c r="AJ359" i="5"/>
  <c r="AI359" i="5"/>
  <c r="AH359" i="5"/>
  <c r="AG359" i="5"/>
  <c r="AF359" i="5"/>
  <c r="AE359" i="5"/>
  <c r="AC359" i="5"/>
  <c r="AB359" i="5"/>
  <c r="AA359" i="5"/>
  <c r="Z359" i="5"/>
  <c r="Y359" i="5"/>
  <c r="X359" i="5"/>
  <c r="W359" i="5"/>
  <c r="V359" i="5"/>
  <c r="T359" i="5"/>
  <c r="S359" i="5"/>
  <c r="R359" i="5"/>
  <c r="Q359" i="5"/>
  <c r="P359" i="5"/>
  <c r="O359" i="5"/>
  <c r="N359" i="5"/>
  <c r="M359" i="5"/>
  <c r="K359" i="5"/>
  <c r="J359" i="5"/>
  <c r="I359" i="5"/>
  <c r="H359" i="5"/>
  <c r="G359" i="5"/>
  <c r="F359" i="5"/>
  <c r="E359" i="5"/>
  <c r="D359" i="5"/>
  <c r="BL358" i="5"/>
  <c r="BK358" i="5"/>
  <c r="BJ358" i="5"/>
  <c r="BI358" i="5"/>
  <c r="BH358" i="5"/>
  <c r="BG358" i="5"/>
  <c r="BF358" i="5"/>
  <c r="BD358" i="5"/>
  <c r="BC358" i="5"/>
  <c r="BB358" i="5"/>
  <c r="BA358" i="5"/>
  <c r="AZ358" i="5"/>
  <c r="AY358" i="5"/>
  <c r="AU358" i="5"/>
  <c r="AT358" i="5"/>
  <c r="AS358" i="5"/>
  <c r="AP358" i="5"/>
  <c r="AO358" i="5"/>
  <c r="AN358" i="5"/>
  <c r="AM358" i="5"/>
  <c r="AL358" i="5"/>
  <c r="AK358" i="5"/>
  <c r="AJ358" i="5"/>
  <c r="AI358" i="5"/>
  <c r="AH358" i="5"/>
  <c r="AG358" i="5"/>
  <c r="AF358" i="5"/>
  <c r="AE358" i="5"/>
  <c r="AC358" i="5"/>
  <c r="AB358" i="5"/>
  <c r="AA358" i="5"/>
  <c r="Z358" i="5"/>
  <c r="Y358" i="5"/>
  <c r="X358" i="5"/>
  <c r="W358" i="5"/>
  <c r="V358" i="5"/>
  <c r="T358" i="5"/>
  <c r="S358" i="5"/>
  <c r="R358" i="5"/>
  <c r="Q358" i="5"/>
  <c r="P358" i="5"/>
  <c r="O358" i="5"/>
  <c r="N358" i="5"/>
  <c r="M358" i="5"/>
  <c r="K358" i="5"/>
  <c r="J358" i="5"/>
  <c r="I358" i="5"/>
  <c r="H358" i="5"/>
  <c r="G358" i="5"/>
  <c r="F358" i="5"/>
  <c r="E358" i="5"/>
  <c r="D358" i="5"/>
  <c r="BE357" i="5"/>
  <c r="AX357" i="5"/>
  <c r="AV357" i="5"/>
  <c r="AW357" i="5" s="1"/>
  <c r="AR357" i="5"/>
  <c r="AQ357" i="5"/>
  <c r="AD357" i="5"/>
  <c r="U357" i="5"/>
  <c r="L357" i="5"/>
  <c r="C357" i="5"/>
  <c r="BE356" i="5"/>
  <c r="AV356" i="5"/>
  <c r="AW356" i="5" s="1"/>
  <c r="AX356" i="5" s="1"/>
  <c r="AR356" i="5"/>
  <c r="AQ356" i="5"/>
  <c r="AD356" i="5"/>
  <c r="U356" i="5"/>
  <c r="L356" i="5"/>
  <c r="C356" i="5"/>
  <c r="BE355" i="5"/>
  <c r="AV355" i="5"/>
  <c r="AW355" i="5" s="1"/>
  <c r="AX355" i="5" s="1"/>
  <c r="AR355" i="5"/>
  <c r="AQ355" i="5"/>
  <c r="AD355" i="5"/>
  <c r="U355" i="5"/>
  <c r="L355" i="5"/>
  <c r="C355" i="5"/>
  <c r="BE354" i="5"/>
  <c r="AX354" i="5"/>
  <c r="AV354" i="5"/>
  <c r="AW354" i="5" s="1"/>
  <c r="AR354" i="5"/>
  <c r="AQ354" i="5"/>
  <c r="AD354" i="5"/>
  <c r="U354" i="5"/>
  <c r="L354" i="5"/>
  <c r="C354" i="5"/>
  <c r="BE353" i="5"/>
  <c r="AX353" i="5"/>
  <c r="AV353" i="5"/>
  <c r="AW353" i="5" s="1"/>
  <c r="AR353" i="5"/>
  <c r="AQ353" i="5"/>
  <c r="AD353" i="5"/>
  <c r="U353" i="5"/>
  <c r="L353" i="5"/>
  <c r="C353" i="5"/>
  <c r="BE352" i="5"/>
  <c r="AV352" i="5"/>
  <c r="AW352" i="5" s="1"/>
  <c r="AX352" i="5" s="1"/>
  <c r="AR352" i="5"/>
  <c r="AQ352" i="5"/>
  <c r="AD352" i="5"/>
  <c r="U352" i="5"/>
  <c r="L352" i="5"/>
  <c r="C352" i="5"/>
  <c r="BE351" i="5"/>
  <c r="AX351" i="5"/>
  <c r="AV351" i="5"/>
  <c r="AW351" i="5" s="1"/>
  <c r="AR351" i="5"/>
  <c r="AQ351" i="5"/>
  <c r="AD351" i="5"/>
  <c r="U351" i="5"/>
  <c r="L351" i="5"/>
  <c r="C351" i="5"/>
  <c r="BE350" i="5"/>
  <c r="AV350" i="5"/>
  <c r="AW350" i="5" s="1"/>
  <c r="AX350" i="5" s="1"/>
  <c r="AR350" i="5"/>
  <c r="AQ350" i="5"/>
  <c r="AD350" i="5"/>
  <c r="U350" i="5"/>
  <c r="L350" i="5"/>
  <c r="C350" i="5"/>
  <c r="BE349" i="5"/>
  <c r="AV349" i="5"/>
  <c r="AW349" i="5" s="1"/>
  <c r="AX349" i="5" s="1"/>
  <c r="AR349" i="5"/>
  <c r="AQ349" i="5"/>
  <c r="AD349" i="5"/>
  <c r="U349" i="5"/>
  <c r="L349" i="5"/>
  <c r="C349" i="5"/>
  <c r="BE348" i="5"/>
  <c r="AX348" i="5"/>
  <c r="AV348" i="5"/>
  <c r="AW348" i="5" s="1"/>
  <c r="AR348" i="5"/>
  <c r="AQ348" i="5"/>
  <c r="AD348" i="5"/>
  <c r="U348" i="5"/>
  <c r="L348" i="5"/>
  <c r="C348" i="5"/>
  <c r="BE347" i="5"/>
  <c r="AX347" i="5"/>
  <c r="AV347" i="5"/>
  <c r="AW347" i="5" s="1"/>
  <c r="AR347" i="5"/>
  <c r="AQ347" i="5"/>
  <c r="AD347" i="5"/>
  <c r="U347" i="5"/>
  <c r="L347" i="5"/>
  <c r="C347" i="5"/>
  <c r="BE346" i="5"/>
  <c r="AV346" i="5"/>
  <c r="AW346" i="5" s="1"/>
  <c r="AX346" i="5" s="1"/>
  <c r="AR346" i="5"/>
  <c r="AQ346" i="5"/>
  <c r="AD346" i="5"/>
  <c r="U346" i="5"/>
  <c r="L346" i="5"/>
  <c r="C346" i="5"/>
  <c r="BE345" i="5"/>
  <c r="AX345" i="5"/>
  <c r="AV345" i="5"/>
  <c r="AW345" i="5" s="1"/>
  <c r="AR345" i="5"/>
  <c r="AQ345" i="5"/>
  <c r="AD345" i="5"/>
  <c r="U345" i="5"/>
  <c r="L345" i="5"/>
  <c r="C345" i="5"/>
  <c r="BE344" i="5"/>
  <c r="AV344" i="5"/>
  <c r="AW344" i="5" s="1"/>
  <c r="AX344" i="5" s="1"/>
  <c r="AR344" i="5"/>
  <c r="AQ344" i="5"/>
  <c r="AD344" i="5"/>
  <c r="U344" i="5"/>
  <c r="L344" i="5"/>
  <c r="C344" i="5"/>
  <c r="BE343" i="5"/>
  <c r="AV343" i="5"/>
  <c r="AW343" i="5" s="1"/>
  <c r="AX343" i="5" s="1"/>
  <c r="AR343" i="5"/>
  <c r="AQ343" i="5"/>
  <c r="AD343" i="5"/>
  <c r="U343" i="5"/>
  <c r="L343" i="5"/>
  <c r="C343" i="5"/>
  <c r="BE342" i="5"/>
  <c r="AX342" i="5"/>
  <c r="AV342" i="5"/>
  <c r="AW342" i="5" s="1"/>
  <c r="AR342" i="5"/>
  <c r="AQ342" i="5"/>
  <c r="AD342" i="5"/>
  <c r="U342" i="5"/>
  <c r="L342" i="5"/>
  <c r="C342" i="5"/>
  <c r="BE341" i="5"/>
  <c r="AX341" i="5"/>
  <c r="AV341" i="5"/>
  <c r="AW341" i="5" s="1"/>
  <c r="AR341" i="5"/>
  <c r="AQ341" i="5"/>
  <c r="AD341" i="5"/>
  <c r="U341" i="5"/>
  <c r="L341" i="5"/>
  <c r="C341" i="5"/>
  <c r="BE340" i="5"/>
  <c r="AV340" i="5"/>
  <c r="AW340" i="5" s="1"/>
  <c r="AX340" i="5" s="1"/>
  <c r="AR340" i="5"/>
  <c r="AQ340" i="5"/>
  <c r="AD340" i="5"/>
  <c r="U340" i="5"/>
  <c r="L340" i="5"/>
  <c r="C340" i="5"/>
  <c r="BE339" i="5"/>
  <c r="AX339" i="5"/>
  <c r="AV339" i="5"/>
  <c r="AW339" i="5" s="1"/>
  <c r="AR339" i="5"/>
  <c r="AQ339" i="5"/>
  <c r="AD339" i="5"/>
  <c r="U339" i="5"/>
  <c r="L339" i="5"/>
  <c r="C339" i="5"/>
  <c r="BE338" i="5"/>
  <c r="AV338" i="5"/>
  <c r="AW338" i="5" s="1"/>
  <c r="AX338" i="5" s="1"/>
  <c r="AR338" i="5"/>
  <c r="AQ338" i="5"/>
  <c r="AD338" i="5"/>
  <c r="U338" i="5"/>
  <c r="L338" i="5"/>
  <c r="C338" i="5"/>
  <c r="BE337" i="5"/>
  <c r="AV337" i="5"/>
  <c r="AW337" i="5" s="1"/>
  <c r="AX337" i="5" s="1"/>
  <c r="AR337" i="5"/>
  <c r="AQ337" i="5"/>
  <c r="AD337" i="5"/>
  <c r="U337" i="5"/>
  <c r="L337" i="5"/>
  <c r="C337" i="5"/>
  <c r="BE336" i="5"/>
  <c r="AX336" i="5"/>
  <c r="AV336" i="5"/>
  <c r="AW336" i="5" s="1"/>
  <c r="AR336" i="5"/>
  <c r="AQ336" i="5"/>
  <c r="AD336" i="5"/>
  <c r="U336" i="5"/>
  <c r="L336" i="5"/>
  <c r="C336" i="5"/>
  <c r="BE335" i="5"/>
  <c r="AX335" i="5"/>
  <c r="AV335" i="5"/>
  <c r="AW335" i="5" s="1"/>
  <c r="AR335" i="5"/>
  <c r="AQ335" i="5"/>
  <c r="AD335" i="5"/>
  <c r="U335" i="5"/>
  <c r="L335" i="5"/>
  <c r="C335" i="5"/>
  <c r="BE334" i="5"/>
  <c r="AV334" i="5"/>
  <c r="AW334" i="5" s="1"/>
  <c r="AX334" i="5" s="1"/>
  <c r="AR334" i="5"/>
  <c r="AQ334" i="5"/>
  <c r="AD334" i="5"/>
  <c r="U334" i="5"/>
  <c r="L334" i="5"/>
  <c r="C334" i="5"/>
  <c r="BE333" i="5"/>
  <c r="AX333" i="5"/>
  <c r="AV333" i="5"/>
  <c r="AW333" i="5" s="1"/>
  <c r="AR333" i="5"/>
  <c r="AQ333" i="5"/>
  <c r="AD333" i="5"/>
  <c r="U333" i="5"/>
  <c r="L333" i="5"/>
  <c r="C333" i="5"/>
  <c r="BE332" i="5"/>
  <c r="AV332" i="5"/>
  <c r="AW332" i="5" s="1"/>
  <c r="AX332" i="5" s="1"/>
  <c r="AR332" i="5"/>
  <c r="AQ332" i="5"/>
  <c r="AD332" i="5"/>
  <c r="U332" i="5"/>
  <c r="L332" i="5"/>
  <c r="C332" i="5"/>
  <c r="BE331" i="5"/>
  <c r="AV331" i="5"/>
  <c r="AW331" i="5" s="1"/>
  <c r="AX331" i="5" s="1"/>
  <c r="AR331" i="5"/>
  <c r="AQ331" i="5"/>
  <c r="AD331" i="5"/>
  <c r="U331" i="5"/>
  <c r="L331" i="5"/>
  <c r="C331" i="5"/>
  <c r="BE330" i="5"/>
  <c r="AX330" i="5"/>
  <c r="AV330" i="5"/>
  <c r="AW330" i="5" s="1"/>
  <c r="AR330" i="5"/>
  <c r="AQ330" i="5"/>
  <c r="AD330" i="5"/>
  <c r="U330" i="5"/>
  <c r="L330" i="5"/>
  <c r="C330" i="5"/>
  <c r="BE329" i="5"/>
  <c r="AX329" i="5"/>
  <c r="AV329" i="5"/>
  <c r="AW329" i="5" s="1"/>
  <c r="AR329" i="5"/>
  <c r="AQ329" i="5"/>
  <c r="AD329" i="5"/>
  <c r="U329" i="5"/>
  <c r="L329" i="5"/>
  <c r="C329" i="5"/>
  <c r="BE328" i="5"/>
  <c r="AV328" i="5"/>
  <c r="AW328" i="5" s="1"/>
  <c r="AX328" i="5" s="1"/>
  <c r="AR328" i="5"/>
  <c r="AQ328" i="5"/>
  <c r="AD328" i="5"/>
  <c r="U328" i="5"/>
  <c r="L328" i="5"/>
  <c r="C328" i="5"/>
  <c r="BE327" i="5"/>
  <c r="BE361" i="5" s="1"/>
  <c r="AV327" i="5"/>
  <c r="AV359" i="5" s="1"/>
  <c r="AR327" i="5"/>
  <c r="AR360" i="5" s="1"/>
  <c r="AQ327" i="5"/>
  <c r="AQ360" i="5" s="1"/>
  <c r="AD327" i="5"/>
  <c r="AD358" i="5" s="1"/>
  <c r="U327" i="5"/>
  <c r="U359" i="5" s="1"/>
  <c r="L327" i="5"/>
  <c r="C327" i="5"/>
  <c r="C358" i="5" s="1"/>
  <c r="BL326" i="5"/>
  <c r="BK326" i="5"/>
  <c r="BJ326" i="5"/>
  <c r="BI326" i="5"/>
  <c r="BH326" i="5"/>
  <c r="BG326" i="5"/>
  <c r="BF326" i="5"/>
  <c r="BD326" i="5"/>
  <c r="AS326" i="5"/>
  <c r="AN326" i="5"/>
  <c r="BL325" i="5"/>
  <c r="BK325" i="5"/>
  <c r="BJ325" i="5"/>
  <c r="BI325" i="5"/>
  <c r="BH325" i="5"/>
  <c r="BG325" i="5"/>
  <c r="BF325" i="5"/>
  <c r="BE325" i="5"/>
  <c r="BD325" i="5"/>
  <c r="BC325" i="5"/>
  <c r="BB325" i="5"/>
  <c r="BA325" i="5"/>
  <c r="AZ325" i="5"/>
  <c r="AY325" i="5"/>
  <c r="AU325" i="5"/>
  <c r="AT325" i="5"/>
  <c r="AS325" i="5"/>
  <c r="AP325" i="5"/>
  <c r="AO325" i="5"/>
  <c r="AN325" i="5"/>
  <c r="AM325" i="5"/>
  <c r="AL325" i="5"/>
  <c r="AK325" i="5"/>
  <c r="AJ325" i="5"/>
  <c r="AI325" i="5"/>
  <c r="AH325" i="5"/>
  <c r="AG325" i="5"/>
  <c r="AF325" i="5"/>
  <c r="AE325" i="5"/>
  <c r="AC325" i="5"/>
  <c r="AB325" i="5"/>
  <c r="AA325" i="5"/>
  <c r="Z325" i="5"/>
  <c r="Y325" i="5"/>
  <c r="X325" i="5"/>
  <c r="W325" i="5"/>
  <c r="V325" i="5"/>
  <c r="T325" i="5"/>
  <c r="S325" i="5"/>
  <c r="R325" i="5"/>
  <c r="Q325" i="5"/>
  <c r="P325" i="5"/>
  <c r="O325" i="5"/>
  <c r="N325" i="5"/>
  <c r="M325" i="5"/>
  <c r="K325" i="5"/>
  <c r="J325" i="5"/>
  <c r="I325" i="5"/>
  <c r="H325" i="5"/>
  <c r="G325" i="5"/>
  <c r="F325" i="5"/>
  <c r="E325" i="5"/>
  <c r="D325" i="5"/>
  <c r="C325" i="5"/>
  <c r="BL324" i="5"/>
  <c r="BK324" i="5"/>
  <c r="BJ324" i="5"/>
  <c r="BI324" i="5"/>
  <c r="BH324" i="5"/>
  <c r="BG324" i="5"/>
  <c r="BF324" i="5"/>
  <c r="BE324" i="5"/>
  <c r="BD324" i="5"/>
  <c r="BC324" i="5"/>
  <c r="BB324" i="5"/>
  <c r="BA324" i="5"/>
  <c r="AZ324" i="5"/>
  <c r="AY324" i="5"/>
  <c r="AU324" i="5"/>
  <c r="AT324" i="5"/>
  <c r="AS324" i="5"/>
  <c r="AP324" i="5"/>
  <c r="AO324" i="5"/>
  <c r="AN324" i="5"/>
  <c r="AM324" i="5"/>
  <c r="AL324" i="5"/>
  <c r="AK324" i="5"/>
  <c r="AJ324" i="5"/>
  <c r="AI324" i="5"/>
  <c r="AH324" i="5"/>
  <c r="AG324" i="5"/>
  <c r="AF324" i="5"/>
  <c r="AE324" i="5"/>
  <c r="AC324" i="5"/>
  <c r="AB324" i="5"/>
  <c r="AA324" i="5"/>
  <c r="Z324" i="5"/>
  <c r="Y324" i="5"/>
  <c r="X324" i="5"/>
  <c r="W324" i="5"/>
  <c r="V324" i="5"/>
  <c r="U324" i="5"/>
  <c r="T324" i="5"/>
  <c r="S324" i="5"/>
  <c r="R324" i="5"/>
  <c r="Q324" i="5"/>
  <c r="P324" i="5"/>
  <c r="O324" i="5"/>
  <c r="N324" i="5"/>
  <c r="M324" i="5"/>
  <c r="K324" i="5"/>
  <c r="J324" i="5"/>
  <c r="I324" i="5"/>
  <c r="H324" i="5"/>
  <c r="G324" i="5"/>
  <c r="F324" i="5"/>
  <c r="E324" i="5"/>
  <c r="D324" i="5"/>
  <c r="BL323" i="5"/>
  <c r="BK323" i="5"/>
  <c r="BJ323" i="5"/>
  <c r="BI323" i="5"/>
  <c r="BH323" i="5"/>
  <c r="BG323" i="5"/>
  <c r="BF323" i="5"/>
  <c r="BE323" i="5"/>
  <c r="BD323" i="5"/>
  <c r="BC323" i="5"/>
  <c r="BB323" i="5"/>
  <c r="BA323" i="5"/>
  <c r="AZ323" i="5"/>
  <c r="AY323" i="5"/>
  <c r="AU323" i="5"/>
  <c r="AT323" i="5"/>
  <c r="AS323" i="5"/>
  <c r="AP323" i="5"/>
  <c r="AO323" i="5"/>
  <c r="AN323" i="5"/>
  <c r="AM323" i="5"/>
  <c r="AL323" i="5"/>
  <c r="AK323" i="5"/>
  <c r="AJ323" i="5"/>
  <c r="AI323" i="5"/>
  <c r="AH323" i="5"/>
  <c r="AG323" i="5"/>
  <c r="AF323" i="5"/>
  <c r="AE323" i="5"/>
  <c r="AD323" i="5"/>
  <c r="AC323" i="5"/>
  <c r="AB323" i="5"/>
  <c r="AA323" i="5"/>
  <c r="Z323" i="5"/>
  <c r="Y323" i="5"/>
  <c r="X323" i="5"/>
  <c r="W323" i="5"/>
  <c r="V323" i="5"/>
  <c r="T323" i="5"/>
  <c r="S323" i="5"/>
  <c r="R323" i="5"/>
  <c r="Q323" i="5"/>
  <c r="P323" i="5"/>
  <c r="O323" i="5"/>
  <c r="N323" i="5"/>
  <c r="M323" i="5"/>
  <c r="K323" i="5"/>
  <c r="J323" i="5"/>
  <c r="I323" i="5"/>
  <c r="H323" i="5"/>
  <c r="G323" i="5"/>
  <c r="F323" i="5"/>
  <c r="E323" i="5"/>
  <c r="D323" i="5"/>
  <c r="C323" i="5"/>
  <c r="BE322" i="5"/>
  <c r="AV322" i="5"/>
  <c r="AW322" i="5" s="1"/>
  <c r="AQ322" i="5"/>
  <c r="AR322" i="5" s="1"/>
  <c r="AX322" i="5" s="1"/>
  <c r="AD322" i="5"/>
  <c r="U322" i="5"/>
  <c r="L322" i="5"/>
  <c r="C322" i="5"/>
  <c r="BE321" i="5"/>
  <c r="AX321" i="5"/>
  <c r="AV321" i="5"/>
  <c r="AW321" i="5" s="1"/>
  <c r="AQ321" i="5"/>
  <c r="AR321" i="5" s="1"/>
  <c r="AD321" i="5"/>
  <c r="U321" i="5"/>
  <c r="L321" i="5"/>
  <c r="C321" i="5"/>
  <c r="BE320" i="5"/>
  <c r="AX320" i="5"/>
  <c r="AV320" i="5"/>
  <c r="AW320" i="5" s="1"/>
  <c r="AQ320" i="5"/>
  <c r="AR320" i="5" s="1"/>
  <c r="AD320" i="5"/>
  <c r="U320" i="5"/>
  <c r="L320" i="5"/>
  <c r="C320" i="5"/>
  <c r="BE319" i="5"/>
  <c r="AX319" i="5"/>
  <c r="AV319" i="5"/>
  <c r="AW319" i="5" s="1"/>
  <c r="AQ319" i="5"/>
  <c r="AR319" i="5" s="1"/>
  <c r="AD319" i="5"/>
  <c r="U319" i="5"/>
  <c r="L319" i="5"/>
  <c r="C319" i="5"/>
  <c r="BE318" i="5"/>
  <c r="AV318" i="5"/>
  <c r="AW318" i="5" s="1"/>
  <c r="AQ318" i="5"/>
  <c r="AR318" i="5" s="1"/>
  <c r="AX318" i="5" s="1"/>
  <c r="AD318" i="5"/>
  <c r="U318" i="5"/>
  <c r="L318" i="5"/>
  <c r="C318" i="5"/>
  <c r="BE317" i="5"/>
  <c r="AX317" i="5"/>
  <c r="AV317" i="5"/>
  <c r="AW317" i="5" s="1"/>
  <c r="AQ317" i="5"/>
  <c r="AR317" i="5" s="1"/>
  <c r="AD317" i="5"/>
  <c r="U317" i="5"/>
  <c r="L317" i="5"/>
  <c r="C317" i="5"/>
  <c r="BE316" i="5"/>
  <c r="AX316" i="5"/>
  <c r="AV316" i="5"/>
  <c r="AW316" i="5" s="1"/>
  <c r="AQ316" i="5"/>
  <c r="AR316" i="5" s="1"/>
  <c r="AD316" i="5"/>
  <c r="U316" i="5"/>
  <c r="L316" i="5"/>
  <c r="C316" i="5"/>
  <c r="BE315" i="5"/>
  <c r="AX315" i="5"/>
  <c r="AV315" i="5"/>
  <c r="AW315" i="5" s="1"/>
  <c r="AQ315" i="5"/>
  <c r="AR315" i="5" s="1"/>
  <c r="AD315" i="5"/>
  <c r="U315" i="5"/>
  <c r="L315" i="5"/>
  <c r="C315" i="5"/>
  <c r="BE314" i="5"/>
  <c r="AV314" i="5"/>
  <c r="AW314" i="5" s="1"/>
  <c r="AQ314" i="5"/>
  <c r="AR314" i="5" s="1"/>
  <c r="AX314" i="5" s="1"/>
  <c r="AD314" i="5"/>
  <c r="U314" i="5"/>
  <c r="L314" i="5"/>
  <c r="C314" i="5"/>
  <c r="BE313" i="5"/>
  <c r="AX313" i="5"/>
  <c r="AV313" i="5"/>
  <c r="AW313" i="5" s="1"/>
  <c r="AQ313" i="5"/>
  <c r="AR313" i="5" s="1"/>
  <c r="AD313" i="5"/>
  <c r="U313" i="5"/>
  <c r="L313" i="5"/>
  <c r="C313" i="5"/>
  <c r="BE312" i="5"/>
  <c r="AX312" i="5"/>
  <c r="AV312" i="5"/>
  <c r="AW312" i="5" s="1"/>
  <c r="AQ312" i="5"/>
  <c r="AR312" i="5" s="1"/>
  <c r="AD312" i="5"/>
  <c r="U312" i="5"/>
  <c r="L312" i="5"/>
  <c r="C312" i="5"/>
  <c r="BE311" i="5"/>
  <c r="AX311" i="5"/>
  <c r="AV311" i="5"/>
  <c r="AW311" i="5" s="1"/>
  <c r="AQ311" i="5"/>
  <c r="AR311" i="5" s="1"/>
  <c r="AD311" i="5"/>
  <c r="U311" i="5"/>
  <c r="L311" i="5"/>
  <c r="C311" i="5"/>
  <c r="BE310" i="5"/>
  <c r="AV310" i="5"/>
  <c r="AW310" i="5" s="1"/>
  <c r="AQ310" i="5"/>
  <c r="AR310" i="5" s="1"/>
  <c r="AX310" i="5" s="1"/>
  <c r="AD310" i="5"/>
  <c r="U310" i="5"/>
  <c r="L310" i="5"/>
  <c r="C310" i="5"/>
  <c r="BE309" i="5"/>
  <c r="AX309" i="5"/>
  <c r="AV309" i="5"/>
  <c r="AW309" i="5" s="1"/>
  <c r="AQ309" i="5"/>
  <c r="AR309" i="5" s="1"/>
  <c r="AD309" i="5"/>
  <c r="U309" i="5"/>
  <c r="L309" i="5"/>
  <c r="C309" i="5"/>
  <c r="BE308" i="5"/>
  <c r="AX308" i="5"/>
  <c r="AV308" i="5"/>
  <c r="AW308" i="5" s="1"/>
  <c r="AQ308" i="5"/>
  <c r="AR308" i="5" s="1"/>
  <c r="AD308" i="5"/>
  <c r="U308" i="5"/>
  <c r="L308" i="5"/>
  <c r="C308" i="5"/>
  <c r="BE307" i="5"/>
  <c r="AX307" i="5"/>
  <c r="AV307" i="5"/>
  <c r="AW307" i="5" s="1"/>
  <c r="AQ307" i="5"/>
  <c r="AR307" i="5" s="1"/>
  <c r="AD307" i="5"/>
  <c r="U307" i="5"/>
  <c r="L307" i="5"/>
  <c r="C307" i="5"/>
  <c r="BE306" i="5"/>
  <c r="AV306" i="5"/>
  <c r="AW306" i="5" s="1"/>
  <c r="AQ306" i="5"/>
  <c r="AR306" i="5" s="1"/>
  <c r="AX306" i="5" s="1"/>
  <c r="AD306" i="5"/>
  <c r="U306" i="5"/>
  <c r="L306" i="5"/>
  <c r="C306" i="5"/>
  <c r="BE305" i="5"/>
  <c r="AX305" i="5"/>
  <c r="AV305" i="5"/>
  <c r="AW305" i="5" s="1"/>
  <c r="AQ305" i="5"/>
  <c r="AR305" i="5" s="1"/>
  <c r="AD305" i="5"/>
  <c r="U305" i="5"/>
  <c r="L305" i="5"/>
  <c r="C305" i="5"/>
  <c r="BE304" i="5"/>
  <c r="AX304" i="5"/>
  <c r="AV304" i="5"/>
  <c r="AW304" i="5" s="1"/>
  <c r="AQ304" i="5"/>
  <c r="AR304" i="5" s="1"/>
  <c r="AD304" i="5"/>
  <c r="U304" i="5"/>
  <c r="L304" i="5"/>
  <c r="C304" i="5"/>
  <c r="BE303" i="5"/>
  <c r="AX303" i="5"/>
  <c r="AV303" i="5"/>
  <c r="AW303" i="5" s="1"/>
  <c r="AQ303" i="5"/>
  <c r="AR303" i="5" s="1"/>
  <c r="AD303" i="5"/>
  <c r="U303" i="5"/>
  <c r="L303" i="5"/>
  <c r="C303" i="5"/>
  <c r="BE302" i="5"/>
  <c r="AV302" i="5"/>
  <c r="AW302" i="5" s="1"/>
  <c r="AQ302" i="5"/>
  <c r="AR302" i="5" s="1"/>
  <c r="AX302" i="5" s="1"/>
  <c r="AD302" i="5"/>
  <c r="U302" i="5"/>
  <c r="L302" i="5"/>
  <c r="C302" i="5"/>
  <c r="BE301" i="5"/>
  <c r="AX301" i="5"/>
  <c r="AV301" i="5"/>
  <c r="AW301" i="5" s="1"/>
  <c r="AQ301" i="5"/>
  <c r="AR301" i="5" s="1"/>
  <c r="AD301" i="5"/>
  <c r="U301" i="5"/>
  <c r="L301" i="5"/>
  <c r="C301" i="5"/>
  <c r="BE300" i="5"/>
  <c r="AX300" i="5"/>
  <c r="AV300" i="5"/>
  <c r="AW300" i="5" s="1"/>
  <c r="AQ300" i="5"/>
  <c r="AR300" i="5" s="1"/>
  <c r="AD300" i="5"/>
  <c r="U300" i="5"/>
  <c r="L300" i="5"/>
  <c r="C300" i="5"/>
  <c r="BE299" i="5"/>
  <c r="AX299" i="5"/>
  <c r="AV299" i="5"/>
  <c r="AW299" i="5" s="1"/>
  <c r="AQ299" i="5"/>
  <c r="AR299" i="5" s="1"/>
  <c r="AD299" i="5"/>
  <c r="U299" i="5"/>
  <c r="L299" i="5"/>
  <c r="C299" i="5"/>
  <c r="BE298" i="5"/>
  <c r="AV298" i="5"/>
  <c r="AW298" i="5" s="1"/>
  <c r="AQ298" i="5"/>
  <c r="AR298" i="5" s="1"/>
  <c r="AX298" i="5" s="1"/>
  <c r="AD298" i="5"/>
  <c r="U298" i="5"/>
  <c r="L298" i="5"/>
  <c r="C298" i="5"/>
  <c r="BE297" i="5"/>
  <c r="AX297" i="5"/>
  <c r="AV297" i="5"/>
  <c r="AW297" i="5" s="1"/>
  <c r="AQ297" i="5"/>
  <c r="AR297" i="5" s="1"/>
  <c r="AD297" i="5"/>
  <c r="U297" i="5"/>
  <c r="L297" i="5"/>
  <c r="C297" i="5"/>
  <c r="BE296" i="5"/>
  <c r="AX296" i="5"/>
  <c r="AV296" i="5"/>
  <c r="AW296" i="5" s="1"/>
  <c r="AQ296" i="5"/>
  <c r="AR296" i="5" s="1"/>
  <c r="AD296" i="5"/>
  <c r="U296" i="5"/>
  <c r="L296" i="5"/>
  <c r="C296" i="5"/>
  <c r="BE295" i="5"/>
  <c r="AX295" i="5"/>
  <c r="AV295" i="5"/>
  <c r="AW295" i="5" s="1"/>
  <c r="AQ295" i="5"/>
  <c r="AR295" i="5" s="1"/>
  <c r="AD295" i="5"/>
  <c r="U295" i="5"/>
  <c r="L295" i="5"/>
  <c r="C295" i="5"/>
  <c r="BE294" i="5"/>
  <c r="AV294" i="5"/>
  <c r="AW294" i="5" s="1"/>
  <c r="AQ294" i="5"/>
  <c r="AR294" i="5" s="1"/>
  <c r="AX294" i="5" s="1"/>
  <c r="AD294" i="5"/>
  <c r="U294" i="5"/>
  <c r="L294" i="5"/>
  <c r="C294" i="5"/>
  <c r="BE293" i="5"/>
  <c r="BE326" i="5" s="1"/>
  <c r="AV293" i="5"/>
  <c r="AQ293" i="5"/>
  <c r="AQ324" i="5" s="1"/>
  <c r="AD293" i="5"/>
  <c r="AD324" i="5" s="1"/>
  <c r="U293" i="5"/>
  <c r="U325" i="5" s="1"/>
  <c r="L293" i="5"/>
  <c r="C293" i="5"/>
  <c r="C324" i="5" s="1"/>
  <c r="BL292" i="5"/>
  <c r="BK292" i="5"/>
  <c r="BJ292" i="5"/>
  <c r="BI292" i="5"/>
  <c r="BH292" i="5"/>
  <c r="BG292" i="5"/>
  <c r="BF292" i="5"/>
  <c r="BD292" i="5"/>
  <c r="AS292" i="5"/>
  <c r="AN292" i="5"/>
  <c r="BL291" i="5"/>
  <c r="BK291" i="5"/>
  <c r="BJ291" i="5"/>
  <c r="BI291" i="5"/>
  <c r="BH291" i="5"/>
  <c r="BG291" i="5"/>
  <c r="BF291" i="5"/>
  <c r="BD291" i="5"/>
  <c r="BC291" i="5"/>
  <c r="BB291" i="5"/>
  <c r="BA291" i="5"/>
  <c r="AZ291" i="5"/>
  <c r="AY291" i="5"/>
  <c r="AU291" i="5"/>
  <c r="AT291" i="5"/>
  <c r="AS291" i="5"/>
  <c r="AP291" i="5"/>
  <c r="AO291" i="5"/>
  <c r="AN291" i="5"/>
  <c r="AM291" i="5"/>
  <c r="AL291" i="5"/>
  <c r="AK291" i="5"/>
  <c r="AJ291" i="5"/>
  <c r="AI291" i="5"/>
  <c r="AH291" i="5"/>
  <c r="AG291" i="5"/>
  <c r="AF291" i="5"/>
  <c r="AE291" i="5"/>
  <c r="AC291" i="5"/>
  <c r="AB291" i="5"/>
  <c r="AA291" i="5"/>
  <c r="Z291" i="5"/>
  <c r="Y291" i="5"/>
  <c r="X291" i="5"/>
  <c r="W291" i="5"/>
  <c r="V291" i="5"/>
  <c r="T291" i="5"/>
  <c r="S291" i="5"/>
  <c r="R291" i="5"/>
  <c r="Q291" i="5"/>
  <c r="P291" i="5"/>
  <c r="O291" i="5"/>
  <c r="N291" i="5"/>
  <c r="M291" i="5"/>
  <c r="K291" i="5"/>
  <c r="J291" i="5"/>
  <c r="I291" i="5"/>
  <c r="H291" i="5"/>
  <c r="G291" i="5"/>
  <c r="F291" i="5"/>
  <c r="E291" i="5"/>
  <c r="D291" i="5"/>
  <c r="BL290" i="5"/>
  <c r="BK290" i="5"/>
  <c r="BJ290" i="5"/>
  <c r="BI290" i="5"/>
  <c r="BH290" i="5"/>
  <c r="BG290" i="5"/>
  <c r="BF290" i="5"/>
  <c r="BD290" i="5"/>
  <c r="AZ290" i="5"/>
  <c r="AY290" i="5"/>
  <c r="AU290" i="5"/>
  <c r="AT290" i="5"/>
  <c r="AS290" i="5"/>
  <c r="AP290" i="5"/>
  <c r="AO290" i="5"/>
  <c r="AN290" i="5"/>
  <c r="AM290" i="5"/>
  <c r="AL290" i="5"/>
  <c r="AK290" i="5"/>
  <c r="AJ290" i="5"/>
  <c r="AI290" i="5"/>
  <c r="AH290" i="5"/>
  <c r="AG290" i="5"/>
  <c r="AF290" i="5"/>
  <c r="AE290" i="5"/>
  <c r="AC290" i="5"/>
  <c r="AB290" i="5"/>
  <c r="AA290" i="5"/>
  <c r="Z290" i="5"/>
  <c r="Y290" i="5"/>
  <c r="X290" i="5"/>
  <c r="W290" i="5"/>
  <c r="V290" i="5"/>
  <c r="T290" i="5"/>
  <c r="S290" i="5"/>
  <c r="R290" i="5"/>
  <c r="Q290" i="5"/>
  <c r="P290" i="5"/>
  <c r="O290" i="5"/>
  <c r="N290" i="5"/>
  <c r="M290" i="5"/>
  <c r="K290" i="5"/>
  <c r="J290" i="5"/>
  <c r="I290" i="5"/>
  <c r="H290" i="5"/>
  <c r="G290" i="5"/>
  <c r="F290" i="5"/>
  <c r="E290" i="5"/>
  <c r="D290" i="5"/>
  <c r="BL289" i="5"/>
  <c r="BK289" i="5"/>
  <c r="BJ289" i="5"/>
  <c r="BI289" i="5"/>
  <c r="BH289" i="5"/>
  <c r="BG289" i="5"/>
  <c r="BF289" i="5"/>
  <c r="BD289" i="5"/>
  <c r="AZ289" i="5"/>
  <c r="AY289" i="5"/>
  <c r="AU289" i="5"/>
  <c r="AT289" i="5"/>
  <c r="AS289" i="5"/>
  <c r="AP289" i="5"/>
  <c r="AO289" i="5"/>
  <c r="AN289" i="5"/>
  <c r="AM289" i="5"/>
  <c r="AL289" i="5"/>
  <c r="AK289" i="5"/>
  <c r="AJ289" i="5"/>
  <c r="AI289" i="5"/>
  <c r="AH289" i="5"/>
  <c r="AG289" i="5"/>
  <c r="AF289" i="5"/>
  <c r="AE289" i="5"/>
  <c r="AC289" i="5"/>
  <c r="AB289" i="5"/>
  <c r="AA289" i="5"/>
  <c r="Z289" i="5"/>
  <c r="Y289" i="5"/>
  <c r="X289" i="5"/>
  <c r="W289" i="5"/>
  <c r="V289" i="5"/>
  <c r="T289" i="5"/>
  <c r="S289" i="5"/>
  <c r="R289" i="5"/>
  <c r="Q289" i="5"/>
  <c r="P289" i="5"/>
  <c r="O289" i="5"/>
  <c r="N289" i="5"/>
  <c r="M289" i="5"/>
  <c r="K289" i="5"/>
  <c r="J289" i="5"/>
  <c r="I289" i="5"/>
  <c r="H289" i="5"/>
  <c r="G289" i="5"/>
  <c r="F289" i="5"/>
  <c r="E289" i="5"/>
  <c r="D289" i="5"/>
  <c r="BE288" i="5"/>
  <c r="AW288" i="5"/>
  <c r="AV288" i="5"/>
  <c r="AR288" i="5"/>
  <c r="AQ288" i="5"/>
  <c r="AD288" i="5"/>
  <c r="U288" i="5"/>
  <c r="L288" i="5"/>
  <c r="C288" i="5"/>
  <c r="BE287" i="5"/>
  <c r="AV287" i="5"/>
  <c r="AR287" i="5"/>
  <c r="AQ287" i="5"/>
  <c r="AD287" i="5"/>
  <c r="U287" i="5"/>
  <c r="L287" i="5"/>
  <c r="C287" i="5"/>
  <c r="BE286" i="5"/>
  <c r="AW286" i="5"/>
  <c r="AV286" i="5"/>
  <c r="AR286" i="5"/>
  <c r="AQ286" i="5"/>
  <c r="AD286" i="5"/>
  <c r="U286" i="5"/>
  <c r="L286" i="5"/>
  <c r="C286" i="5"/>
  <c r="BE285" i="5"/>
  <c r="AW285" i="5"/>
  <c r="AV285" i="5"/>
  <c r="AR285" i="5"/>
  <c r="AQ285" i="5"/>
  <c r="AD285" i="5"/>
  <c r="U285" i="5"/>
  <c r="L285" i="5"/>
  <c r="C285" i="5"/>
  <c r="BE284" i="5"/>
  <c r="AV284" i="5"/>
  <c r="AR284" i="5"/>
  <c r="AQ284" i="5"/>
  <c r="AD284" i="5"/>
  <c r="U284" i="5"/>
  <c r="L284" i="5"/>
  <c r="C284" i="5"/>
  <c r="BE283" i="5"/>
  <c r="AW283" i="5"/>
  <c r="AV283" i="5"/>
  <c r="AR283" i="5"/>
  <c r="AX283" i="5" s="1"/>
  <c r="AQ283" i="5"/>
  <c r="AD283" i="5"/>
  <c r="U283" i="5"/>
  <c r="L283" i="5"/>
  <c r="C283" i="5"/>
  <c r="BE282" i="5"/>
  <c r="AW282" i="5"/>
  <c r="AV282" i="5"/>
  <c r="AQ282" i="5"/>
  <c r="AR282" i="5" s="1"/>
  <c r="AD282" i="5"/>
  <c r="U282" i="5"/>
  <c r="L282" i="5"/>
  <c r="C282" i="5"/>
  <c r="BE281" i="5"/>
  <c r="AV281" i="5"/>
  <c r="AR281" i="5"/>
  <c r="AQ281" i="5"/>
  <c r="AD281" i="5"/>
  <c r="U281" i="5"/>
  <c r="L281" i="5"/>
  <c r="C281" i="5"/>
  <c r="BE280" i="5"/>
  <c r="AW280" i="5"/>
  <c r="AV280" i="5"/>
  <c r="AR280" i="5"/>
  <c r="AX280" i="5" s="1"/>
  <c r="AQ280" i="5"/>
  <c r="AD280" i="5"/>
  <c r="U280" i="5"/>
  <c r="L280" i="5"/>
  <c r="C280" i="5"/>
  <c r="BE279" i="5"/>
  <c r="AW279" i="5"/>
  <c r="AV279" i="5"/>
  <c r="AX279" i="5" s="1"/>
  <c r="AQ279" i="5"/>
  <c r="AR279" i="5" s="1"/>
  <c r="AD279" i="5"/>
  <c r="U279" i="5"/>
  <c r="L279" i="5"/>
  <c r="L289" i="5" s="1"/>
  <c r="C279" i="5"/>
  <c r="BE278" i="5"/>
  <c r="AV278" i="5"/>
  <c r="AR278" i="5"/>
  <c r="AQ278" i="5"/>
  <c r="AD278" i="5"/>
  <c r="U278" i="5"/>
  <c r="L278" i="5"/>
  <c r="C278" i="5"/>
  <c r="BE277" i="5"/>
  <c r="AV277" i="5"/>
  <c r="AR277" i="5"/>
  <c r="AQ277" i="5"/>
  <c r="AD277" i="5"/>
  <c r="U277" i="5"/>
  <c r="L277" i="5"/>
  <c r="C277" i="5"/>
  <c r="BE276" i="5"/>
  <c r="AW276" i="5"/>
  <c r="AV276" i="5"/>
  <c r="AQ276" i="5"/>
  <c r="AR276" i="5" s="1"/>
  <c r="AX276" i="5" s="1"/>
  <c r="AD276" i="5"/>
  <c r="U276" i="5"/>
  <c r="L276" i="5"/>
  <c r="C276" i="5"/>
  <c r="BE275" i="5"/>
  <c r="AV275" i="5"/>
  <c r="AW275" i="5" s="1"/>
  <c r="AQ275" i="5"/>
  <c r="AR275" i="5" s="1"/>
  <c r="AX275" i="5" s="1"/>
  <c r="AD275" i="5"/>
  <c r="U275" i="5"/>
  <c r="L275" i="5"/>
  <c r="C275" i="5"/>
  <c r="BE274" i="5"/>
  <c r="AV274" i="5"/>
  <c r="AW274" i="5" s="1"/>
  <c r="AQ274" i="5"/>
  <c r="AR274" i="5" s="1"/>
  <c r="AX274" i="5" s="1"/>
  <c r="AD274" i="5"/>
  <c r="U274" i="5"/>
  <c r="L274" i="5"/>
  <c r="C274" i="5"/>
  <c r="BE273" i="5"/>
  <c r="AV273" i="5"/>
  <c r="AW273" i="5" s="1"/>
  <c r="AQ273" i="5"/>
  <c r="AR273" i="5" s="1"/>
  <c r="AX273" i="5" s="1"/>
  <c r="AD273" i="5"/>
  <c r="U273" i="5"/>
  <c r="L273" i="5"/>
  <c r="C273" i="5"/>
  <c r="BE272" i="5"/>
  <c r="AV272" i="5"/>
  <c r="AW272" i="5" s="1"/>
  <c r="AQ272" i="5"/>
  <c r="AR272" i="5" s="1"/>
  <c r="AX272" i="5" s="1"/>
  <c r="AD272" i="5"/>
  <c r="U272" i="5"/>
  <c r="L272" i="5"/>
  <c r="C272" i="5"/>
  <c r="BE271" i="5"/>
  <c r="AV271" i="5"/>
  <c r="AW271" i="5" s="1"/>
  <c r="AQ271" i="5"/>
  <c r="AR271" i="5" s="1"/>
  <c r="AD271" i="5"/>
  <c r="U271" i="5"/>
  <c r="L271" i="5"/>
  <c r="C271" i="5"/>
  <c r="BE270" i="5"/>
  <c r="AV270" i="5"/>
  <c r="AW270" i="5" s="1"/>
  <c r="AQ270" i="5"/>
  <c r="AR270" i="5" s="1"/>
  <c r="AD270" i="5"/>
  <c r="U270" i="5"/>
  <c r="L270" i="5"/>
  <c r="C270" i="5"/>
  <c r="BE269" i="5"/>
  <c r="AV269" i="5"/>
  <c r="AW269" i="5" s="1"/>
  <c r="AQ269" i="5"/>
  <c r="AR269" i="5" s="1"/>
  <c r="AD269" i="5"/>
  <c r="U269" i="5"/>
  <c r="L269" i="5"/>
  <c r="C269" i="5"/>
  <c r="BE268" i="5"/>
  <c r="AV268" i="5"/>
  <c r="AW268" i="5" s="1"/>
  <c r="AQ268" i="5"/>
  <c r="AR268" i="5" s="1"/>
  <c r="AD268" i="5"/>
  <c r="U268" i="5"/>
  <c r="L268" i="5"/>
  <c r="C268" i="5"/>
  <c r="BE267" i="5"/>
  <c r="AV267" i="5"/>
  <c r="AW267" i="5" s="1"/>
  <c r="AQ267" i="5"/>
  <c r="AR267" i="5" s="1"/>
  <c r="AD267" i="5"/>
  <c r="U267" i="5"/>
  <c r="L267" i="5"/>
  <c r="C267" i="5"/>
  <c r="BE266" i="5"/>
  <c r="AV266" i="5"/>
  <c r="AW266" i="5" s="1"/>
  <c r="AQ266" i="5"/>
  <c r="AR266" i="5" s="1"/>
  <c r="AX266" i="5" s="1"/>
  <c r="AD266" i="5"/>
  <c r="U266" i="5"/>
  <c r="L266" i="5"/>
  <c r="C266" i="5"/>
  <c r="BE265" i="5"/>
  <c r="AV265" i="5"/>
  <c r="AW265" i="5" s="1"/>
  <c r="AQ265" i="5"/>
  <c r="AR265" i="5" s="1"/>
  <c r="AX265" i="5" s="1"/>
  <c r="AD265" i="5"/>
  <c r="U265" i="5"/>
  <c r="L265" i="5"/>
  <c r="C265" i="5"/>
  <c r="BE264" i="5"/>
  <c r="AV264" i="5"/>
  <c r="AW264" i="5" s="1"/>
  <c r="AQ264" i="5"/>
  <c r="AR264" i="5" s="1"/>
  <c r="AX264" i="5" s="1"/>
  <c r="AD264" i="5"/>
  <c r="U264" i="5"/>
  <c r="L264" i="5"/>
  <c r="C264" i="5"/>
  <c r="BE263" i="5"/>
  <c r="AV263" i="5"/>
  <c r="AW263" i="5" s="1"/>
  <c r="AQ263" i="5"/>
  <c r="AR263" i="5" s="1"/>
  <c r="AX263" i="5" s="1"/>
  <c r="AD263" i="5"/>
  <c r="U263" i="5"/>
  <c r="L263" i="5"/>
  <c r="C263" i="5"/>
  <c r="BE262" i="5"/>
  <c r="AV262" i="5"/>
  <c r="AW262" i="5" s="1"/>
  <c r="AQ262" i="5"/>
  <c r="AR262" i="5" s="1"/>
  <c r="AX262" i="5" s="1"/>
  <c r="AD262" i="5"/>
  <c r="U262" i="5"/>
  <c r="L262" i="5"/>
  <c r="C262" i="5"/>
  <c r="BE261" i="5"/>
  <c r="AV261" i="5"/>
  <c r="AW261" i="5" s="1"/>
  <c r="AQ261" i="5"/>
  <c r="AR261" i="5" s="1"/>
  <c r="AX261" i="5" s="1"/>
  <c r="AD261" i="5"/>
  <c r="U261" i="5"/>
  <c r="L261" i="5"/>
  <c r="C261" i="5"/>
  <c r="BE260" i="5"/>
  <c r="AV260" i="5"/>
  <c r="AW260" i="5" s="1"/>
  <c r="AQ260" i="5"/>
  <c r="AR260" i="5" s="1"/>
  <c r="AX260" i="5" s="1"/>
  <c r="AD260" i="5"/>
  <c r="U260" i="5"/>
  <c r="L260" i="5"/>
  <c r="C260" i="5"/>
  <c r="BE259" i="5"/>
  <c r="AV259" i="5"/>
  <c r="AW259" i="5" s="1"/>
  <c r="AQ259" i="5"/>
  <c r="AR259" i="5" s="1"/>
  <c r="AD259" i="5"/>
  <c r="U259" i="5"/>
  <c r="L259" i="5"/>
  <c r="C259" i="5"/>
  <c r="BE258" i="5"/>
  <c r="AV258" i="5"/>
  <c r="AQ258" i="5"/>
  <c r="AQ290" i="5" s="1"/>
  <c r="AD258" i="5"/>
  <c r="U258" i="5"/>
  <c r="L258" i="5"/>
  <c r="C258" i="5"/>
  <c r="BL257" i="5"/>
  <c r="BK257" i="5"/>
  <c r="BJ257" i="5"/>
  <c r="BI257" i="5"/>
  <c r="BH257" i="5"/>
  <c r="BG257" i="5"/>
  <c r="BF257" i="5"/>
  <c r="BD257" i="5"/>
  <c r="AS257" i="5"/>
  <c r="AN257" i="5"/>
  <c r="BL256" i="5"/>
  <c r="BK256" i="5"/>
  <c r="BJ256" i="5"/>
  <c r="BI256" i="5"/>
  <c r="BH256" i="5"/>
  <c r="BG256" i="5"/>
  <c r="BF256" i="5"/>
  <c r="BE256" i="5"/>
  <c r="BD256" i="5"/>
  <c r="BC256" i="5"/>
  <c r="BB256" i="5"/>
  <c r="BA256" i="5"/>
  <c r="AZ256" i="5"/>
  <c r="AY256" i="5"/>
  <c r="AU256" i="5"/>
  <c r="AT256" i="5"/>
  <c r="AS256" i="5"/>
  <c r="AP256" i="5"/>
  <c r="AO256" i="5"/>
  <c r="AN256" i="5"/>
  <c r="AM256" i="5"/>
  <c r="AL256" i="5"/>
  <c r="AK256" i="5"/>
  <c r="AJ256" i="5"/>
  <c r="AI256" i="5"/>
  <c r="AH256" i="5"/>
  <c r="AG256" i="5"/>
  <c r="AF256" i="5"/>
  <c r="AE256" i="5"/>
  <c r="AD256" i="5"/>
  <c r="AC256" i="5"/>
  <c r="AB256" i="5"/>
  <c r="AA256" i="5"/>
  <c r="Z256" i="5"/>
  <c r="Y256" i="5"/>
  <c r="X256" i="5"/>
  <c r="W256" i="5"/>
  <c r="V256" i="5"/>
  <c r="T256" i="5"/>
  <c r="S256" i="5"/>
  <c r="R256" i="5"/>
  <c r="Q256" i="5"/>
  <c r="P256" i="5"/>
  <c r="O256" i="5"/>
  <c r="N256" i="5"/>
  <c r="M256" i="5"/>
  <c r="K256" i="5"/>
  <c r="J256" i="5"/>
  <c r="I256" i="5"/>
  <c r="H256" i="5"/>
  <c r="G256" i="5"/>
  <c r="F256" i="5"/>
  <c r="E256" i="5"/>
  <c r="D256" i="5"/>
  <c r="C256" i="5"/>
  <c r="BL255" i="5"/>
  <c r="BK255" i="5"/>
  <c r="BJ255" i="5"/>
  <c r="BI255" i="5"/>
  <c r="BH255" i="5"/>
  <c r="BG255" i="5"/>
  <c r="BF255" i="5"/>
  <c r="BD255" i="5"/>
  <c r="BC255" i="5"/>
  <c r="BB255" i="5"/>
  <c r="BA255" i="5"/>
  <c r="AZ255" i="5"/>
  <c r="AY255" i="5"/>
  <c r="AU255" i="5"/>
  <c r="AT255" i="5"/>
  <c r="AS255" i="5"/>
  <c r="AP255" i="5"/>
  <c r="AO255" i="5"/>
  <c r="AN255" i="5"/>
  <c r="AM255" i="5"/>
  <c r="AL255" i="5"/>
  <c r="AK255" i="5"/>
  <c r="AJ255" i="5"/>
  <c r="AI255" i="5"/>
  <c r="AH255" i="5"/>
  <c r="AG255" i="5"/>
  <c r="AF255" i="5"/>
  <c r="AE255" i="5"/>
  <c r="AC255" i="5"/>
  <c r="AB255" i="5"/>
  <c r="AA255" i="5"/>
  <c r="Z255" i="5"/>
  <c r="Y255" i="5"/>
  <c r="X255" i="5"/>
  <c r="W255" i="5"/>
  <c r="V255" i="5"/>
  <c r="T255" i="5"/>
  <c r="S255" i="5"/>
  <c r="R255" i="5"/>
  <c r="Q255" i="5"/>
  <c r="P255" i="5"/>
  <c r="O255" i="5"/>
  <c r="N255" i="5"/>
  <c r="M255" i="5"/>
  <c r="K255" i="5"/>
  <c r="J255" i="5"/>
  <c r="I255" i="5"/>
  <c r="H255" i="5"/>
  <c r="G255" i="5"/>
  <c r="F255" i="5"/>
  <c r="E255" i="5"/>
  <c r="D255" i="5"/>
  <c r="BL254" i="5"/>
  <c r="BK254" i="5"/>
  <c r="BJ254" i="5"/>
  <c r="BI254" i="5"/>
  <c r="BH254" i="5"/>
  <c r="BG254" i="5"/>
  <c r="BF254" i="5"/>
  <c r="BD254" i="5"/>
  <c r="BC254" i="5"/>
  <c r="BB254" i="5"/>
  <c r="BA254" i="5"/>
  <c r="AZ254" i="5"/>
  <c r="AY254" i="5"/>
  <c r="AV254" i="5"/>
  <c r="AU254" i="5"/>
  <c r="AT254" i="5"/>
  <c r="AS254" i="5"/>
  <c r="AQ254" i="5"/>
  <c r="AP254" i="5"/>
  <c r="AO254" i="5"/>
  <c r="AN254" i="5"/>
  <c r="AM254" i="5"/>
  <c r="AL254" i="5"/>
  <c r="AK254" i="5"/>
  <c r="AJ254" i="5"/>
  <c r="AI254" i="5"/>
  <c r="AH254" i="5"/>
  <c r="AG254" i="5"/>
  <c r="AF254" i="5"/>
  <c r="AE254" i="5"/>
  <c r="AD254" i="5"/>
  <c r="AC254" i="5"/>
  <c r="AB254" i="5"/>
  <c r="AA254" i="5"/>
  <c r="Z254" i="5"/>
  <c r="Y254" i="5"/>
  <c r="X254" i="5"/>
  <c r="W254" i="5"/>
  <c r="V254" i="5"/>
  <c r="T254" i="5"/>
  <c r="S254" i="5"/>
  <c r="R254" i="5"/>
  <c r="Q254" i="5"/>
  <c r="P254" i="5"/>
  <c r="O254" i="5"/>
  <c r="N254" i="5"/>
  <c r="M254" i="5"/>
  <c r="K254" i="5"/>
  <c r="J254" i="5"/>
  <c r="I254" i="5"/>
  <c r="H254" i="5"/>
  <c r="G254" i="5"/>
  <c r="F254" i="5"/>
  <c r="E254" i="5"/>
  <c r="D254" i="5"/>
  <c r="BE253" i="5"/>
  <c r="AW253" i="5"/>
  <c r="AV253" i="5"/>
  <c r="AR253" i="5"/>
  <c r="AX253" i="5" s="1"/>
  <c r="AQ253" i="5"/>
  <c r="AD253" i="5"/>
  <c r="U253" i="5"/>
  <c r="L253" i="5"/>
  <c r="C253" i="5"/>
  <c r="BE252" i="5"/>
  <c r="AX252" i="5"/>
  <c r="AW252" i="5"/>
  <c r="AV252" i="5"/>
  <c r="AR252" i="5"/>
  <c r="AQ252" i="5"/>
  <c r="AD252" i="5"/>
  <c r="U252" i="5"/>
  <c r="L252" i="5"/>
  <c r="C252" i="5"/>
  <c r="BE251" i="5"/>
  <c r="AW251" i="5"/>
  <c r="AV251" i="5"/>
  <c r="AR251" i="5"/>
  <c r="AX251" i="5" s="1"/>
  <c r="AQ251" i="5"/>
  <c r="AD251" i="5"/>
  <c r="U251" i="5"/>
  <c r="L251" i="5"/>
  <c r="C251" i="5"/>
  <c r="BE250" i="5"/>
  <c r="AW250" i="5"/>
  <c r="AV250" i="5"/>
  <c r="AR250" i="5"/>
  <c r="AX250" i="5" s="1"/>
  <c r="AQ250" i="5"/>
  <c r="AD250" i="5"/>
  <c r="U250" i="5"/>
  <c r="L250" i="5"/>
  <c r="C250" i="5"/>
  <c r="BE249" i="5"/>
  <c r="AW249" i="5"/>
  <c r="AV249" i="5"/>
  <c r="AR249" i="5"/>
  <c r="AX249" i="5" s="1"/>
  <c r="AQ249" i="5"/>
  <c r="AD249" i="5"/>
  <c r="U249" i="5"/>
  <c r="L249" i="5"/>
  <c r="C249" i="5"/>
  <c r="BE248" i="5"/>
  <c r="AW248" i="5"/>
  <c r="AV248" i="5"/>
  <c r="AR248" i="5"/>
  <c r="AX248" i="5" s="1"/>
  <c r="AQ248" i="5"/>
  <c r="AD248" i="5"/>
  <c r="U248" i="5"/>
  <c r="L248" i="5"/>
  <c r="C248" i="5"/>
  <c r="BE247" i="5"/>
  <c r="AW247" i="5"/>
  <c r="AV247" i="5"/>
  <c r="AR247" i="5"/>
  <c r="AX247" i="5" s="1"/>
  <c r="AQ247" i="5"/>
  <c r="AD247" i="5"/>
  <c r="U247" i="5"/>
  <c r="L247" i="5"/>
  <c r="C247" i="5"/>
  <c r="BE246" i="5"/>
  <c r="AX246" i="5"/>
  <c r="AW246" i="5"/>
  <c r="AV246" i="5"/>
  <c r="AR246" i="5"/>
  <c r="AQ246" i="5"/>
  <c r="AD246" i="5"/>
  <c r="U246" i="5"/>
  <c r="L246" i="5"/>
  <c r="C246" i="5"/>
  <c r="BE245" i="5"/>
  <c r="AW245" i="5"/>
  <c r="AV245" i="5"/>
  <c r="AR245" i="5"/>
  <c r="AX245" i="5" s="1"/>
  <c r="AQ245" i="5"/>
  <c r="AD245" i="5"/>
  <c r="U245" i="5"/>
  <c r="L245" i="5"/>
  <c r="C245" i="5"/>
  <c r="BE244" i="5"/>
  <c r="AW244" i="5"/>
  <c r="AV244" i="5"/>
  <c r="AR244" i="5"/>
  <c r="AX244" i="5" s="1"/>
  <c r="AQ244" i="5"/>
  <c r="AD244" i="5"/>
  <c r="U244" i="5"/>
  <c r="L244" i="5"/>
  <c r="C244" i="5"/>
  <c r="BE243" i="5"/>
  <c r="AW243" i="5"/>
  <c r="AV243" i="5"/>
  <c r="AR243" i="5"/>
  <c r="AX243" i="5" s="1"/>
  <c r="AQ243" i="5"/>
  <c r="AD243" i="5"/>
  <c r="U243" i="5"/>
  <c r="L243" i="5"/>
  <c r="C243" i="5"/>
  <c r="BE242" i="5"/>
  <c r="AW242" i="5"/>
  <c r="AV242" i="5"/>
  <c r="AR242" i="5"/>
  <c r="AX242" i="5" s="1"/>
  <c r="AQ242" i="5"/>
  <c r="AD242" i="5"/>
  <c r="U242" i="5"/>
  <c r="L242" i="5"/>
  <c r="C242" i="5"/>
  <c r="BE241" i="5"/>
  <c r="AW241" i="5"/>
  <c r="AV241" i="5"/>
  <c r="AR241" i="5"/>
  <c r="AX241" i="5" s="1"/>
  <c r="AQ241" i="5"/>
  <c r="AD241" i="5"/>
  <c r="U241" i="5"/>
  <c r="L241" i="5"/>
  <c r="C241" i="5"/>
  <c r="BE240" i="5"/>
  <c r="AX240" i="5"/>
  <c r="AW240" i="5"/>
  <c r="AV240" i="5"/>
  <c r="AR240" i="5"/>
  <c r="AQ240" i="5"/>
  <c r="AD240" i="5"/>
  <c r="U240" i="5"/>
  <c r="L240" i="5"/>
  <c r="C240" i="5"/>
  <c r="BE239" i="5"/>
  <c r="AW239" i="5"/>
  <c r="AV239" i="5"/>
  <c r="AR239" i="5"/>
  <c r="AX239" i="5" s="1"/>
  <c r="AQ239" i="5"/>
  <c r="AD239" i="5"/>
  <c r="U239" i="5"/>
  <c r="L239" i="5"/>
  <c r="C239" i="5"/>
  <c r="BE238" i="5"/>
  <c r="AW238" i="5"/>
  <c r="AV238" i="5"/>
  <c r="AR238" i="5"/>
  <c r="AX238" i="5" s="1"/>
  <c r="AQ238" i="5"/>
  <c r="AD238" i="5"/>
  <c r="U238" i="5"/>
  <c r="L238" i="5"/>
  <c r="C238" i="5"/>
  <c r="BE237" i="5"/>
  <c r="AW237" i="5"/>
  <c r="AV237" i="5"/>
  <c r="AR237" i="5"/>
  <c r="AX237" i="5" s="1"/>
  <c r="AQ237" i="5"/>
  <c r="AD237" i="5"/>
  <c r="U237" i="5"/>
  <c r="L237" i="5"/>
  <c r="C237" i="5"/>
  <c r="BE236" i="5"/>
  <c r="AW236" i="5"/>
  <c r="AV236" i="5"/>
  <c r="AR236" i="5"/>
  <c r="AX236" i="5" s="1"/>
  <c r="AQ236" i="5"/>
  <c r="AD236" i="5"/>
  <c r="U236" i="5"/>
  <c r="L236" i="5"/>
  <c r="C236" i="5"/>
  <c r="BE235" i="5"/>
  <c r="AW235" i="5"/>
  <c r="AV235" i="5"/>
  <c r="AR235" i="5"/>
  <c r="AX235" i="5" s="1"/>
  <c r="AQ235" i="5"/>
  <c r="AD235" i="5"/>
  <c r="U235" i="5"/>
  <c r="L235" i="5"/>
  <c r="C235" i="5"/>
  <c r="BE234" i="5"/>
  <c r="AX234" i="5"/>
  <c r="AW234" i="5"/>
  <c r="AV234" i="5"/>
  <c r="AR234" i="5"/>
  <c r="AQ234" i="5"/>
  <c r="AD234" i="5"/>
  <c r="U234" i="5"/>
  <c r="L234" i="5"/>
  <c r="C234" i="5"/>
  <c r="BE233" i="5"/>
  <c r="AW233" i="5"/>
  <c r="AV233" i="5"/>
  <c r="AR233" i="5"/>
  <c r="AX233" i="5" s="1"/>
  <c r="AQ233" i="5"/>
  <c r="AD233" i="5"/>
  <c r="U233" i="5"/>
  <c r="L233" i="5"/>
  <c r="C233" i="5"/>
  <c r="BE232" i="5"/>
  <c r="AW232" i="5"/>
  <c r="AV232" i="5"/>
  <c r="AR232" i="5"/>
  <c r="AQ232" i="5"/>
  <c r="AD232" i="5"/>
  <c r="U232" i="5"/>
  <c r="L232" i="5"/>
  <c r="C232" i="5"/>
  <c r="BE231" i="5"/>
  <c r="AW231" i="5"/>
  <c r="AV231" i="5"/>
  <c r="AR231" i="5"/>
  <c r="AX231" i="5" s="1"/>
  <c r="AQ231" i="5"/>
  <c r="AD231" i="5"/>
  <c r="U231" i="5"/>
  <c r="L231" i="5"/>
  <c r="C231" i="5"/>
  <c r="BE230" i="5"/>
  <c r="AW230" i="5"/>
  <c r="AV230" i="5"/>
  <c r="AR230" i="5"/>
  <c r="AX230" i="5" s="1"/>
  <c r="AQ230" i="5"/>
  <c r="AD230" i="5"/>
  <c r="U230" i="5"/>
  <c r="L230" i="5"/>
  <c r="C230" i="5"/>
  <c r="BE229" i="5"/>
  <c r="AW229" i="5"/>
  <c r="AV229" i="5"/>
  <c r="AR229" i="5"/>
  <c r="AX229" i="5" s="1"/>
  <c r="AQ229" i="5"/>
  <c r="AD229" i="5"/>
  <c r="U229" i="5"/>
  <c r="L229" i="5"/>
  <c r="C229" i="5"/>
  <c r="BE228" i="5"/>
  <c r="AX228" i="5"/>
  <c r="AW228" i="5"/>
  <c r="AV228" i="5"/>
  <c r="AR228" i="5"/>
  <c r="AQ228" i="5"/>
  <c r="AD228" i="5"/>
  <c r="U228" i="5"/>
  <c r="L228" i="5"/>
  <c r="C228" i="5"/>
  <c r="BE227" i="5"/>
  <c r="AW227" i="5"/>
  <c r="AV227" i="5"/>
  <c r="AR227" i="5"/>
  <c r="AX227" i="5" s="1"/>
  <c r="AQ227" i="5"/>
  <c r="AD227" i="5"/>
  <c r="U227" i="5"/>
  <c r="L227" i="5"/>
  <c r="C227" i="5"/>
  <c r="BE226" i="5"/>
  <c r="AW226" i="5"/>
  <c r="AV226" i="5"/>
  <c r="AR226" i="5"/>
  <c r="AQ226" i="5"/>
  <c r="AD226" i="5"/>
  <c r="U226" i="5"/>
  <c r="L226" i="5"/>
  <c r="C226" i="5"/>
  <c r="BE225" i="5"/>
  <c r="AW225" i="5"/>
  <c r="AV225" i="5"/>
  <c r="AR225" i="5"/>
  <c r="AX225" i="5" s="1"/>
  <c r="AQ225" i="5"/>
  <c r="AD225" i="5"/>
  <c r="U225" i="5"/>
  <c r="L225" i="5"/>
  <c r="C225" i="5"/>
  <c r="BE224" i="5"/>
  <c r="AW224" i="5"/>
  <c r="AV224" i="5"/>
  <c r="AR224" i="5"/>
  <c r="AX224" i="5" s="1"/>
  <c r="AQ224" i="5"/>
  <c r="AD224" i="5"/>
  <c r="U224" i="5"/>
  <c r="L224" i="5"/>
  <c r="C224" i="5"/>
  <c r="BE223" i="5"/>
  <c r="BE254" i="5" s="1"/>
  <c r="AW223" i="5"/>
  <c r="AV223" i="5"/>
  <c r="AV256" i="5" s="1"/>
  <c r="AR223" i="5"/>
  <c r="AQ223" i="5"/>
  <c r="AQ255" i="5" s="1"/>
  <c r="AD223" i="5"/>
  <c r="AD255" i="5" s="1"/>
  <c r="U223" i="5"/>
  <c r="L223" i="5"/>
  <c r="C223" i="5"/>
  <c r="C255" i="5" s="1"/>
  <c r="BL222" i="5"/>
  <c r="BK222" i="5"/>
  <c r="BJ222" i="5"/>
  <c r="BI222" i="5"/>
  <c r="BH222" i="5"/>
  <c r="BG222" i="5"/>
  <c r="BF222" i="5"/>
  <c r="BD222" i="5"/>
  <c r="AS222" i="5"/>
  <c r="AN222" i="5"/>
  <c r="BL221" i="5"/>
  <c r="BK221" i="5"/>
  <c r="BJ221" i="5"/>
  <c r="BI221" i="5"/>
  <c r="BH221" i="5"/>
  <c r="BG221" i="5"/>
  <c r="BF221" i="5"/>
  <c r="BD221" i="5"/>
  <c r="BC221" i="5"/>
  <c r="BB221" i="5"/>
  <c r="BA221" i="5"/>
  <c r="AZ221" i="5"/>
  <c r="AY221" i="5"/>
  <c r="AU221" i="5"/>
  <c r="AT221" i="5"/>
  <c r="AS221" i="5"/>
  <c r="AQ221" i="5"/>
  <c r="AP221" i="5"/>
  <c r="AO221" i="5"/>
  <c r="AN221" i="5"/>
  <c r="AM221" i="5"/>
  <c r="AL221" i="5"/>
  <c r="AK221" i="5"/>
  <c r="AJ221" i="5"/>
  <c r="AI221" i="5"/>
  <c r="AH221" i="5"/>
  <c r="AG221" i="5"/>
  <c r="AF221" i="5"/>
  <c r="AE221" i="5"/>
  <c r="AC221" i="5"/>
  <c r="AB221" i="5"/>
  <c r="AA221" i="5"/>
  <c r="Z221" i="5"/>
  <c r="Y221" i="5"/>
  <c r="X221" i="5"/>
  <c r="W221" i="5"/>
  <c r="V221" i="5"/>
  <c r="T221" i="5"/>
  <c r="S221" i="5"/>
  <c r="R221" i="5"/>
  <c r="Q221" i="5"/>
  <c r="P221" i="5"/>
  <c r="O221" i="5"/>
  <c r="N221" i="5"/>
  <c r="M221" i="5"/>
  <c r="K221" i="5"/>
  <c r="J221" i="5"/>
  <c r="I221" i="5"/>
  <c r="H221" i="5"/>
  <c r="G221" i="5"/>
  <c r="F221" i="5"/>
  <c r="E221" i="5"/>
  <c r="D221" i="5"/>
  <c r="BL220" i="5"/>
  <c r="BK220" i="5"/>
  <c r="BJ220" i="5"/>
  <c r="BI220" i="5"/>
  <c r="BH220" i="5"/>
  <c r="BG220" i="5"/>
  <c r="BF220" i="5"/>
  <c r="BD220" i="5"/>
  <c r="BC220" i="5"/>
  <c r="BB220" i="5"/>
  <c r="BA220" i="5"/>
  <c r="AZ220" i="5"/>
  <c r="AY220" i="5"/>
  <c r="AU220" i="5"/>
  <c r="AT220" i="5"/>
  <c r="AS220" i="5"/>
  <c r="AP220" i="5"/>
  <c r="AO220" i="5"/>
  <c r="AN220" i="5"/>
  <c r="AM220" i="5"/>
  <c r="AL220" i="5"/>
  <c r="AK220" i="5"/>
  <c r="AJ220" i="5"/>
  <c r="AI220" i="5"/>
  <c r="AH220" i="5"/>
  <c r="AG220" i="5"/>
  <c r="AF220" i="5"/>
  <c r="AE220" i="5"/>
  <c r="AC220" i="5"/>
  <c r="AB220" i="5"/>
  <c r="AA220" i="5"/>
  <c r="Z220" i="5"/>
  <c r="Y220" i="5"/>
  <c r="X220" i="5"/>
  <c r="W220" i="5"/>
  <c r="V220" i="5"/>
  <c r="U220" i="5"/>
  <c r="T220" i="5"/>
  <c r="S220" i="5"/>
  <c r="R220" i="5"/>
  <c r="Q220" i="5"/>
  <c r="P220" i="5"/>
  <c r="O220" i="5"/>
  <c r="N220" i="5"/>
  <c r="M220" i="5"/>
  <c r="K220" i="5"/>
  <c r="J220" i="5"/>
  <c r="I220" i="5"/>
  <c r="H220" i="5"/>
  <c r="G220" i="5"/>
  <c r="F220" i="5"/>
  <c r="E220" i="5"/>
  <c r="D220" i="5"/>
  <c r="BL219" i="5"/>
  <c r="BK219" i="5"/>
  <c r="BJ219" i="5"/>
  <c r="BI219" i="5"/>
  <c r="BH219" i="5"/>
  <c r="BG219" i="5"/>
  <c r="BF219" i="5"/>
  <c r="BD219" i="5"/>
  <c r="BC219" i="5"/>
  <c r="BB219" i="5"/>
  <c r="BA219" i="5"/>
  <c r="AZ219" i="5"/>
  <c r="AY219" i="5"/>
  <c r="AU219" i="5"/>
  <c r="AT219" i="5"/>
  <c r="AS219" i="5"/>
  <c r="AQ219" i="5"/>
  <c r="AP219" i="5"/>
  <c r="AO219" i="5"/>
  <c r="AN219" i="5"/>
  <c r="AM219" i="5"/>
  <c r="AL219" i="5"/>
  <c r="AK219" i="5"/>
  <c r="AJ219" i="5"/>
  <c r="AI219" i="5"/>
  <c r="AH219" i="5"/>
  <c r="AG219" i="5"/>
  <c r="AF219" i="5"/>
  <c r="AE219" i="5"/>
  <c r="AD219" i="5"/>
  <c r="AC219" i="5"/>
  <c r="AB219" i="5"/>
  <c r="AA219" i="5"/>
  <c r="Z219" i="5"/>
  <c r="Y219" i="5"/>
  <c r="X219" i="5"/>
  <c r="W219" i="5"/>
  <c r="V219" i="5"/>
  <c r="T219" i="5"/>
  <c r="S219" i="5"/>
  <c r="R219" i="5"/>
  <c r="Q219" i="5"/>
  <c r="P219" i="5"/>
  <c r="O219" i="5"/>
  <c r="N219" i="5"/>
  <c r="M219" i="5"/>
  <c r="K219" i="5"/>
  <c r="J219" i="5"/>
  <c r="I219" i="5"/>
  <c r="H219" i="5"/>
  <c r="G219" i="5"/>
  <c r="F219" i="5"/>
  <c r="E219" i="5"/>
  <c r="D219" i="5"/>
  <c r="BE218" i="5"/>
  <c r="AV218" i="5"/>
  <c r="AR218" i="5"/>
  <c r="AQ218" i="5"/>
  <c r="AD218" i="5"/>
  <c r="U218" i="5"/>
  <c r="L218" i="5"/>
  <c r="C218" i="5"/>
  <c r="BE217" i="5"/>
  <c r="AV217" i="5"/>
  <c r="AR217" i="5"/>
  <c r="AQ217" i="5"/>
  <c r="AD217" i="5"/>
  <c r="U217" i="5"/>
  <c r="L217" i="5"/>
  <c r="C217" i="5"/>
  <c r="BE216" i="5"/>
  <c r="AW216" i="5"/>
  <c r="AV216" i="5"/>
  <c r="AR216" i="5"/>
  <c r="AQ216" i="5"/>
  <c r="AD216" i="5"/>
  <c r="U216" i="5"/>
  <c r="L216" i="5"/>
  <c r="C216" i="5"/>
  <c r="BE215" i="5"/>
  <c r="AW215" i="5"/>
  <c r="AV215" i="5"/>
  <c r="AR215" i="5"/>
  <c r="AQ215" i="5"/>
  <c r="AD215" i="5"/>
  <c r="U215" i="5"/>
  <c r="L215" i="5"/>
  <c r="C215" i="5"/>
  <c r="BE214" i="5"/>
  <c r="AW214" i="5"/>
  <c r="AV214" i="5"/>
  <c r="AR214" i="5"/>
  <c r="AQ214" i="5"/>
  <c r="AD214" i="5"/>
  <c r="U214" i="5"/>
  <c r="L214" i="5"/>
  <c r="C214" i="5"/>
  <c r="BE213" i="5"/>
  <c r="AV213" i="5"/>
  <c r="AR213" i="5"/>
  <c r="AQ213" i="5"/>
  <c r="AD213" i="5"/>
  <c r="U213" i="5"/>
  <c r="L213" i="5"/>
  <c r="C213" i="5"/>
  <c r="BE212" i="5"/>
  <c r="AV212" i="5"/>
  <c r="AR212" i="5"/>
  <c r="AQ212" i="5"/>
  <c r="AD212" i="5"/>
  <c r="U212" i="5"/>
  <c r="L212" i="5"/>
  <c r="C212" i="5"/>
  <c r="BE211" i="5"/>
  <c r="AV211" i="5"/>
  <c r="AR211" i="5"/>
  <c r="AQ211" i="5"/>
  <c r="AD211" i="5"/>
  <c r="U211" i="5"/>
  <c r="L211" i="5"/>
  <c r="C211" i="5"/>
  <c r="BE210" i="5"/>
  <c r="AW210" i="5"/>
  <c r="AV210" i="5"/>
  <c r="AR210" i="5"/>
  <c r="AQ210" i="5"/>
  <c r="AD210" i="5"/>
  <c r="U210" i="5"/>
  <c r="L210" i="5"/>
  <c r="C210" i="5"/>
  <c r="BE209" i="5"/>
  <c r="AW209" i="5"/>
  <c r="AV209" i="5"/>
  <c r="AR209" i="5"/>
  <c r="AQ209" i="5"/>
  <c r="AD209" i="5"/>
  <c r="U209" i="5"/>
  <c r="L209" i="5"/>
  <c r="C209" i="5"/>
  <c r="BE208" i="5"/>
  <c r="AW208" i="5"/>
  <c r="AV208" i="5"/>
  <c r="AR208" i="5"/>
  <c r="AQ208" i="5"/>
  <c r="AD208" i="5"/>
  <c r="U208" i="5"/>
  <c r="L208" i="5"/>
  <c r="C208" i="5"/>
  <c r="BE207" i="5"/>
  <c r="AV207" i="5"/>
  <c r="AR207" i="5"/>
  <c r="AQ207" i="5"/>
  <c r="AD207" i="5"/>
  <c r="U207" i="5"/>
  <c r="L207" i="5"/>
  <c r="C207" i="5"/>
  <c r="BE206" i="5"/>
  <c r="AV206" i="5"/>
  <c r="AR206" i="5"/>
  <c r="AQ206" i="5"/>
  <c r="AD206" i="5"/>
  <c r="U206" i="5"/>
  <c r="L206" i="5"/>
  <c r="C206" i="5"/>
  <c r="BE205" i="5"/>
  <c r="AV205" i="5"/>
  <c r="AR205" i="5"/>
  <c r="AQ205" i="5"/>
  <c r="AD205" i="5"/>
  <c r="U205" i="5"/>
  <c r="L205" i="5"/>
  <c r="C205" i="5"/>
  <c r="BE204" i="5"/>
  <c r="AW204" i="5"/>
  <c r="AV204" i="5"/>
  <c r="AR204" i="5"/>
  <c r="AQ204" i="5"/>
  <c r="AD204" i="5"/>
  <c r="U204" i="5"/>
  <c r="L204" i="5"/>
  <c r="C204" i="5"/>
  <c r="BE203" i="5"/>
  <c r="AW203" i="5"/>
  <c r="AV203" i="5"/>
  <c r="AR203" i="5"/>
  <c r="AQ203" i="5"/>
  <c r="AD203" i="5"/>
  <c r="U203" i="5"/>
  <c r="L203" i="5"/>
  <c r="C203" i="5"/>
  <c r="BE202" i="5"/>
  <c r="AW202" i="5"/>
  <c r="AV202" i="5"/>
  <c r="AR202" i="5"/>
  <c r="AQ202" i="5"/>
  <c r="AD202" i="5"/>
  <c r="U202" i="5"/>
  <c r="L202" i="5"/>
  <c r="C202" i="5"/>
  <c r="BE201" i="5"/>
  <c r="AV201" i="5"/>
  <c r="AR201" i="5"/>
  <c r="AQ201" i="5"/>
  <c r="AD201" i="5"/>
  <c r="U201" i="5"/>
  <c r="L201" i="5"/>
  <c r="C201" i="5"/>
  <c r="BE200" i="5"/>
  <c r="AV200" i="5"/>
  <c r="AR200" i="5"/>
  <c r="AQ200" i="5"/>
  <c r="AD200" i="5"/>
  <c r="U200" i="5"/>
  <c r="L200" i="5"/>
  <c r="C200" i="5"/>
  <c r="BE199" i="5"/>
  <c r="AV199" i="5"/>
  <c r="AR199" i="5"/>
  <c r="AQ199" i="5"/>
  <c r="AD199" i="5"/>
  <c r="U199" i="5"/>
  <c r="L199" i="5"/>
  <c r="C199" i="5"/>
  <c r="BE198" i="5"/>
  <c r="AW198" i="5"/>
  <c r="AV198" i="5"/>
  <c r="AR198" i="5"/>
  <c r="AQ198" i="5"/>
  <c r="AD198" i="5"/>
  <c r="U198" i="5"/>
  <c r="L198" i="5"/>
  <c r="C198" i="5"/>
  <c r="BE197" i="5"/>
  <c r="AW197" i="5"/>
  <c r="AV197" i="5"/>
  <c r="AR197" i="5"/>
  <c r="AQ197" i="5"/>
  <c r="AD197" i="5"/>
  <c r="U197" i="5"/>
  <c r="L197" i="5"/>
  <c r="C197" i="5"/>
  <c r="BE196" i="5"/>
  <c r="AW196" i="5"/>
  <c r="AV196" i="5"/>
  <c r="AR196" i="5"/>
  <c r="AQ196" i="5"/>
  <c r="AD196" i="5"/>
  <c r="U196" i="5"/>
  <c r="L196" i="5"/>
  <c r="C196" i="5"/>
  <c r="BE195" i="5"/>
  <c r="AV195" i="5"/>
  <c r="AR195" i="5"/>
  <c r="AQ195" i="5"/>
  <c r="AD195" i="5"/>
  <c r="U195" i="5"/>
  <c r="L195" i="5"/>
  <c r="C195" i="5"/>
  <c r="BE194" i="5"/>
  <c r="AV194" i="5"/>
  <c r="AR194" i="5"/>
  <c r="AQ194" i="5"/>
  <c r="AD194" i="5"/>
  <c r="U194" i="5"/>
  <c r="L194" i="5"/>
  <c r="C194" i="5"/>
  <c r="BE193" i="5"/>
  <c r="AV193" i="5"/>
  <c r="AR193" i="5"/>
  <c r="AQ193" i="5"/>
  <c r="AD193" i="5"/>
  <c r="U193" i="5"/>
  <c r="L193" i="5"/>
  <c r="C193" i="5"/>
  <c r="BE192" i="5"/>
  <c r="AW192" i="5"/>
  <c r="AV192" i="5"/>
  <c r="AR192" i="5"/>
  <c r="AQ192" i="5"/>
  <c r="AD192" i="5"/>
  <c r="U192" i="5"/>
  <c r="L192" i="5"/>
  <c r="C192" i="5"/>
  <c r="BE191" i="5"/>
  <c r="AW191" i="5"/>
  <c r="AV191" i="5"/>
  <c r="AR191" i="5"/>
  <c r="AQ191" i="5"/>
  <c r="AD191" i="5"/>
  <c r="U191" i="5"/>
  <c r="L191" i="5"/>
  <c r="C191" i="5"/>
  <c r="BE190" i="5"/>
  <c r="AW190" i="5"/>
  <c r="AV190" i="5"/>
  <c r="AR190" i="5"/>
  <c r="AQ190" i="5"/>
  <c r="AD190" i="5"/>
  <c r="U190" i="5"/>
  <c r="L190" i="5"/>
  <c r="C190" i="5"/>
  <c r="C219" i="5" s="1"/>
  <c r="BE189" i="5"/>
  <c r="BE222" i="5" s="1"/>
  <c r="AV189" i="5"/>
  <c r="AR189" i="5"/>
  <c r="AQ189" i="5"/>
  <c r="AQ220" i="5" s="1"/>
  <c r="AD189" i="5"/>
  <c r="AD221" i="5" s="1"/>
  <c r="U189" i="5"/>
  <c r="L189" i="5"/>
  <c r="C189" i="5"/>
  <c r="C221" i="5" s="1"/>
  <c r="BL188" i="5"/>
  <c r="BK188" i="5"/>
  <c r="BJ188" i="5"/>
  <c r="BI188" i="5"/>
  <c r="BH188" i="5"/>
  <c r="BG188" i="5"/>
  <c r="BF188" i="5"/>
  <c r="BD188" i="5"/>
  <c r="AS188" i="5"/>
  <c r="AN188" i="5"/>
  <c r="BL187" i="5"/>
  <c r="BK187" i="5"/>
  <c r="BJ187" i="5"/>
  <c r="BI187" i="5"/>
  <c r="BH187" i="5"/>
  <c r="BG187" i="5"/>
  <c r="BF187" i="5"/>
  <c r="BD187" i="5"/>
  <c r="BC187" i="5"/>
  <c r="BB187" i="5"/>
  <c r="BA187" i="5"/>
  <c r="AZ187" i="5"/>
  <c r="AY187" i="5"/>
  <c r="AV187" i="5"/>
  <c r="AU187" i="5"/>
  <c r="AT187" i="5"/>
  <c r="AS187" i="5"/>
  <c r="AP187" i="5"/>
  <c r="AO187" i="5"/>
  <c r="AN187" i="5"/>
  <c r="AM187" i="5"/>
  <c r="AL187" i="5"/>
  <c r="AK187" i="5"/>
  <c r="AJ187" i="5"/>
  <c r="AI187" i="5"/>
  <c r="AH187" i="5"/>
  <c r="AG187" i="5"/>
  <c r="AF187" i="5"/>
  <c r="AE187" i="5"/>
  <c r="AD187" i="5"/>
  <c r="AC187" i="5"/>
  <c r="AB187" i="5"/>
  <c r="AA187" i="5"/>
  <c r="Z187" i="5"/>
  <c r="Y187" i="5"/>
  <c r="X187" i="5"/>
  <c r="W187" i="5"/>
  <c r="V187" i="5"/>
  <c r="T187" i="5"/>
  <c r="S187" i="5"/>
  <c r="R187" i="5"/>
  <c r="Q187" i="5"/>
  <c r="P187" i="5"/>
  <c r="O187" i="5"/>
  <c r="N187" i="5"/>
  <c r="M187" i="5"/>
  <c r="K187" i="5"/>
  <c r="J187" i="5"/>
  <c r="I187" i="5"/>
  <c r="H187" i="5"/>
  <c r="G187" i="5"/>
  <c r="F187" i="5"/>
  <c r="E187" i="5"/>
  <c r="D187" i="5"/>
  <c r="BL186" i="5"/>
  <c r="BK186" i="5"/>
  <c r="BJ186" i="5"/>
  <c r="BI186" i="5"/>
  <c r="BH186" i="5"/>
  <c r="BG186" i="5"/>
  <c r="BF186" i="5"/>
  <c r="BD186" i="5"/>
  <c r="BC186" i="5"/>
  <c r="BB186" i="5"/>
  <c r="BA186" i="5"/>
  <c r="AZ186" i="5"/>
  <c r="AY186" i="5"/>
  <c r="AU186" i="5"/>
  <c r="AT186" i="5"/>
  <c r="AS186" i="5"/>
  <c r="AP186" i="5"/>
  <c r="AO186" i="5"/>
  <c r="AN186" i="5"/>
  <c r="AM186" i="5"/>
  <c r="AL186" i="5"/>
  <c r="AK186" i="5"/>
  <c r="AJ186" i="5"/>
  <c r="AI186" i="5"/>
  <c r="AH186" i="5"/>
  <c r="AG186" i="5"/>
  <c r="AF186" i="5"/>
  <c r="AE186" i="5"/>
  <c r="AD186" i="5"/>
  <c r="AC186" i="5"/>
  <c r="AB186" i="5"/>
  <c r="AA186" i="5"/>
  <c r="Z186" i="5"/>
  <c r="Y186" i="5"/>
  <c r="X186" i="5"/>
  <c r="W186" i="5"/>
  <c r="V186" i="5"/>
  <c r="T186" i="5"/>
  <c r="S186" i="5"/>
  <c r="R186" i="5"/>
  <c r="Q186" i="5"/>
  <c r="P186" i="5"/>
  <c r="O186" i="5"/>
  <c r="N186" i="5"/>
  <c r="M186" i="5"/>
  <c r="K186" i="5"/>
  <c r="J186" i="5"/>
  <c r="I186" i="5"/>
  <c r="H186" i="5"/>
  <c r="G186" i="5"/>
  <c r="F186" i="5"/>
  <c r="E186" i="5"/>
  <c r="D186" i="5"/>
  <c r="BL185" i="5"/>
  <c r="BK185" i="5"/>
  <c r="BJ185" i="5"/>
  <c r="BI185" i="5"/>
  <c r="BH185" i="5"/>
  <c r="BG185" i="5"/>
  <c r="BF185" i="5"/>
  <c r="BD185" i="5"/>
  <c r="BC185" i="5"/>
  <c r="BB185" i="5"/>
  <c r="BA185" i="5"/>
  <c r="AZ185" i="5"/>
  <c r="AY185" i="5"/>
  <c r="AV185" i="5"/>
  <c r="AU185" i="5"/>
  <c r="AT185" i="5"/>
  <c r="AS185" i="5"/>
  <c r="AQ185" i="5"/>
  <c r="AP185" i="5"/>
  <c r="AO185" i="5"/>
  <c r="AN185" i="5"/>
  <c r="AM185" i="5"/>
  <c r="AL185" i="5"/>
  <c r="AK185" i="5"/>
  <c r="AJ185" i="5"/>
  <c r="AI185" i="5"/>
  <c r="AH185" i="5"/>
  <c r="AG185" i="5"/>
  <c r="AF185" i="5"/>
  <c r="AE185" i="5"/>
  <c r="AC185" i="5"/>
  <c r="AB185" i="5"/>
  <c r="AA185" i="5"/>
  <c r="Z185" i="5"/>
  <c r="Y185" i="5"/>
  <c r="X185" i="5"/>
  <c r="W185" i="5"/>
  <c r="V185" i="5"/>
  <c r="T185" i="5"/>
  <c r="S185" i="5"/>
  <c r="R185" i="5"/>
  <c r="Q185" i="5"/>
  <c r="P185" i="5"/>
  <c r="O185" i="5"/>
  <c r="N185" i="5"/>
  <c r="M185" i="5"/>
  <c r="K185" i="5"/>
  <c r="J185" i="5"/>
  <c r="I185" i="5"/>
  <c r="H185" i="5"/>
  <c r="G185" i="5"/>
  <c r="F185" i="5"/>
  <c r="E185" i="5"/>
  <c r="D185" i="5"/>
  <c r="BE184" i="5"/>
  <c r="AW184" i="5"/>
  <c r="AV184" i="5"/>
  <c r="AQ184" i="5"/>
  <c r="AR184" i="5" s="1"/>
  <c r="AX184" i="5" s="1"/>
  <c r="AD184" i="5"/>
  <c r="U184" i="5"/>
  <c r="L184" i="5"/>
  <c r="C184" i="5"/>
  <c r="BE183" i="5"/>
  <c r="AW183" i="5"/>
  <c r="AV183" i="5"/>
  <c r="AQ183" i="5"/>
  <c r="AR183" i="5" s="1"/>
  <c r="AX183" i="5" s="1"/>
  <c r="AD183" i="5"/>
  <c r="U183" i="5"/>
  <c r="L183" i="5"/>
  <c r="C183" i="5"/>
  <c r="BE182" i="5"/>
  <c r="AW182" i="5"/>
  <c r="AV182" i="5"/>
  <c r="AQ182" i="5"/>
  <c r="AR182" i="5" s="1"/>
  <c r="AX182" i="5" s="1"/>
  <c r="AD182" i="5"/>
  <c r="U182" i="5"/>
  <c r="L182" i="5"/>
  <c r="C182" i="5"/>
  <c r="BE181" i="5"/>
  <c r="AW181" i="5"/>
  <c r="AV181" i="5"/>
  <c r="AQ181" i="5"/>
  <c r="AR181" i="5" s="1"/>
  <c r="AX181" i="5" s="1"/>
  <c r="AD181" i="5"/>
  <c r="U181" i="5"/>
  <c r="L181" i="5"/>
  <c r="C181" i="5"/>
  <c r="BE180" i="5"/>
  <c r="AW180" i="5"/>
  <c r="AV180" i="5"/>
  <c r="AQ180" i="5"/>
  <c r="AR180" i="5" s="1"/>
  <c r="AX180" i="5" s="1"/>
  <c r="AD180" i="5"/>
  <c r="U180" i="5"/>
  <c r="L180" i="5"/>
  <c r="C180" i="5"/>
  <c r="BE179" i="5"/>
  <c r="AW179" i="5"/>
  <c r="AV179" i="5"/>
  <c r="AQ179" i="5"/>
  <c r="AR179" i="5" s="1"/>
  <c r="AX179" i="5" s="1"/>
  <c r="AD179" i="5"/>
  <c r="U179" i="5"/>
  <c r="L179" i="5"/>
  <c r="C179" i="5"/>
  <c r="BE178" i="5"/>
  <c r="AW178" i="5"/>
  <c r="AV178" i="5"/>
  <c r="AQ178" i="5"/>
  <c r="AR178" i="5" s="1"/>
  <c r="AX178" i="5" s="1"/>
  <c r="AD178" i="5"/>
  <c r="U178" i="5"/>
  <c r="L178" i="5"/>
  <c r="C178" i="5"/>
  <c r="BE177" i="5"/>
  <c r="AW177" i="5"/>
  <c r="AV177" i="5"/>
  <c r="AQ177" i="5"/>
  <c r="AR177" i="5" s="1"/>
  <c r="AX177" i="5" s="1"/>
  <c r="AD177" i="5"/>
  <c r="U177" i="5"/>
  <c r="L177" i="5"/>
  <c r="C177" i="5"/>
  <c r="BE176" i="5"/>
  <c r="AW176" i="5"/>
  <c r="AV176" i="5"/>
  <c r="AQ176" i="5"/>
  <c r="AR176" i="5" s="1"/>
  <c r="AX176" i="5" s="1"/>
  <c r="AD176" i="5"/>
  <c r="U176" i="5"/>
  <c r="L176" i="5"/>
  <c r="C176" i="5"/>
  <c r="BE175" i="5"/>
  <c r="AW175" i="5"/>
  <c r="AV175" i="5"/>
  <c r="AQ175" i="5"/>
  <c r="AR175" i="5" s="1"/>
  <c r="AX175" i="5" s="1"/>
  <c r="AD175" i="5"/>
  <c r="U175" i="5"/>
  <c r="L175" i="5"/>
  <c r="C175" i="5"/>
  <c r="BE174" i="5"/>
  <c r="AW174" i="5"/>
  <c r="AV174" i="5"/>
  <c r="AQ174" i="5"/>
  <c r="AR174" i="5" s="1"/>
  <c r="AX174" i="5" s="1"/>
  <c r="AD174" i="5"/>
  <c r="U174" i="5"/>
  <c r="L174" i="5"/>
  <c r="C174" i="5"/>
  <c r="BE173" i="5"/>
  <c r="AW173" i="5"/>
  <c r="AV173" i="5"/>
  <c r="AQ173" i="5"/>
  <c r="AR173" i="5" s="1"/>
  <c r="AX173" i="5" s="1"/>
  <c r="AD173" i="5"/>
  <c r="U173" i="5"/>
  <c r="L173" i="5"/>
  <c r="C173" i="5"/>
  <c r="BE172" i="5"/>
  <c r="AW172" i="5"/>
  <c r="AV172" i="5"/>
  <c r="AQ172" i="5"/>
  <c r="AR172" i="5" s="1"/>
  <c r="AX172" i="5" s="1"/>
  <c r="AD172" i="5"/>
  <c r="U172" i="5"/>
  <c r="L172" i="5"/>
  <c r="C172" i="5"/>
  <c r="BE171" i="5"/>
  <c r="AW171" i="5"/>
  <c r="AV171" i="5"/>
  <c r="AQ171" i="5"/>
  <c r="AR171" i="5" s="1"/>
  <c r="AX171" i="5" s="1"/>
  <c r="AD171" i="5"/>
  <c r="U171" i="5"/>
  <c r="L171" i="5"/>
  <c r="C171" i="5"/>
  <c r="BE170" i="5"/>
  <c r="AW170" i="5"/>
  <c r="AV170" i="5"/>
  <c r="AQ170" i="5"/>
  <c r="AR170" i="5" s="1"/>
  <c r="AX170" i="5" s="1"/>
  <c r="AD170" i="5"/>
  <c r="U170" i="5"/>
  <c r="L170" i="5"/>
  <c r="C170" i="5"/>
  <c r="BE169" i="5"/>
  <c r="AW169" i="5"/>
  <c r="AV169" i="5"/>
  <c r="AQ169" i="5"/>
  <c r="AR169" i="5" s="1"/>
  <c r="AX169" i="5" s="1"/>
  <c r="AD169" i="5"/>
  <c r="U169" i="5"/>
  <c r="L169" i="5"/>
  <c r="C169" i="5"/>
  <c r="BE168" i="5"/>
  <c r="AW168" i="5"/>
  <c r="AV168" i="5"/>
  <c r="AQ168" i="5"/>
  <c r="AR168" i="5" s="1"/>
  <c r="AX168" i="5" s="1"/>
  <c r="AD168" i="5"/>
  <c r="U168" i="5"/>
  <c r="L168" i="5"/>
  <c r="C168" i="5"/>
  <c r="BE167" i="5"/>
  <c r="AW167" i="5"/>
  <c r="AV167" i="5"/>
  <c r="AQ167" i="5"/>
  <c r="AR167" i="5" s="1"/>
  <c r="AX167" i="5" s="1"/>
  <c r="AD167" i="5"/>
  <c r="U167" i="5"/>
  <c r="L167" i="5"/>
  <c r="C167" i="5"/>
  <c r="BE166" i="5"/>
  <c r="AW166" i="5"/>
  <c r="AV166" i="5"/>
  <c r="AQ166" i="5"/>
  <c r="AR166" i="5" s="1"/>
  <c r="AX166" i="5" s="1"/>
  <c r="AD166" i="5"/>
  <c r="U166" i="5"/>
  <c r="L166" i="5"/>
  <c r="C166" i="5"/>
  <c r="BE165" i="5"/>
  <c r="AW165" i="5"/>
  <c r="AV165" i="5"/>
  <c r="AQ165" i="5"/>
  <c r="AR165" i="5" s="1"/>
  <c r="AX165" i="5" s="1"/>
  <c r="AD165" i="5"/>
  <c r="U165" i="5"/>
  <c r="L165" i="5"/>
  <c r="C165" i="5"/>
  <c r="BE164" i="5"/>
  <c r="AW164" i="5"/>
  <c r="AV164" i="5"/>
  <c r="AQ164" i="5"/>
  <c r="AR164" i="5" s="1"/>
  <c r="AX164" i="5" s="1"/>
  <c r="AD164" i="5"/>
  <c r="U164" i="5"/>
  <c r="L164" i="5"/>
  <c r="C164" i="5"/>
  <c r="BE163" i="5"/>
  <c r="AW163" i="5"/>
  <c r="AV163" i="5"/>
  <c r="AQ163" i="5"/>
  <c r="AR163" i="5" s="1"/>
  <c r="AX163" i="5" s="1"/>
  <c r="AD163" i="5"/>
  <c r="U163" i="5"/>
  <c r="L163" i="5"/>
  <c r="C163" i="5"/>
  <c r="BE162" i="5"/>
  <c r="AW162" i="5"/>
  <c r="AV162" i="5"/>
  <c r="AQ162" i="5"/>
  <c r="AR162" i="5" s="1"/>
  <c r="AX162" i="5" s="1"/>
  <c r="AD162" i="5"/>
  <c r="U162" i="5"/>
  <c r="L162" i="5"/>
  <c r="C162" i="5"/>
  <c r="BE161" i="5"/>
  <c r="AW161" i="5"/>
  <c r="AV161" i="5"/>
  <c r="AQ161" i="5"/>
  <c r="AR161" i="5" s="1"/>
  <c r="AX161" i="5" s="1"/>
  <c r="AD161" i="5"/>
  <c r="U161" i="5"/>
  <c r="L161" i="5"/>
  <c r="C161" i="5"/>
  <c r="BE160" i="5"/>
  <c r="AW160" i="5"/>
  <c r="AV160" i="5"/>
  <c r="AQ160" i="5"/>
  <c r="AR160" i="5" s="1"/>
  <c r="AX160" i="5" s="1"/>
  <c r="AD160" i="5"/>
  <c r="U160" i="5"/>
  <c r="L160" i="5"/>
  <c r="C160" i="5"/>
  <c r="BE159" i="5"/>
  <c r="AW159" i="5"/>
  <c r="AV159" i="5"/>
  <c r="AQ159" i="5"/>
  <c r="AR159" i="5" s="1"/>
  <c r="AX159" i="5" s="1"/>
  <c r="AD159" i="5"/>
  <c r="U159" i="5"/>
  <c r="L159" i="5"/>
  <c r="C159" i="5"/>
  <c r="BE158" i="5"/>
  <c r="AW158" i="5"/>
  <c r="AV158" i="5"/>
  <c r="AQ158" i="5"/>
  <c r="AR158" i="5" s="1"/>
  <c r="AX158" i="5" s="1"/>
  <c r="AD158" i="5"/>
  <c r="U158" i="5"/>
  <c r="L158" i="5"/>
  <c r="C158" i="5"/>
  <c r="BE157" i="5"/>
  <c r="AW157" i="5"/>
  <c r="AV157" i="5"/>
  <c r="AQ157" i="5"/>
  <c r="AR157" i="5" s="1"/>
  <c r="AX157" i="5" s="1"/>
  <c r="AD157" i="5"/>
  <c r="U157" i="5"/>
  <c r="L157" i="5"/>
  <c r="C157" i="5"/>
  <c r="BE156" i="5"/>
  <c r="AW156" i="5"/>
  <c r="AV156" i="5"/>
  <c r="AQ156" i="5"/>
  <c r="AR156" i="5" s="1"/>
  <c r="AX156" i="5" s="1"/>
  <c r="AD156" i="5"/>
  <c r="U156" i="5"/>
  <c r="L156" i="5"/>
  <c r="C156" i="5"/>
  <c r="BE155" i="5"/>
  <c r="AW155" i="5"/>
  <c r="AV155" i="5"/>
  <c r="AQ155" i="5"/>
  <c r="AR155" i="5" s="1"/>
  <c r="AX155" i="5" s="1"/>
  <c r="AD155" i="5"/>
  <c r="U155" i="5"/>
  <c r="L155" i="5"/>
  <c r="C155" i="5"/>
  <c r="BE154" i="5"/>
  <c r="BE187" i="5" s="1"/>
  <c r="AW154" i="5"/>
  <c r="AW185" i="5" s="1"/>
  <c r="AV154" i="5"/>
  <c r="AV186" i="5" s="1"/>
  <c r="AQ154" i="5"/>
  <c r="AR154" i="5" s="1"/>
  <c r="AD154" i="5"/>
  <c r="AD185" i="5" s="1"/>
  <c r="U154" i="5"/>
  <c r="U187" i="5" s="1"/>
  <c r="L154" i="5"/>
  <c r="L187" i="5" s="1"/>
  <c r="C154" i="5"/>
  <c r="C187" i="5" s="1"/>
  <c r="BL153" i="5"/>
  <c r="BK153" i="5"/>
  <c r="BJ153" i="5"/>
  <c r="BI153" i="5"/>
  <c r="BH153" i="5"/>
  <c r="BG153" i="5"/>
  <c r="BF153" i="5"/>
  <c r="BE153" i="5"/>
  <c r="BD153" i="5"/>
  <c r="AS153" i="5"/>
  <c r="AN153" i="5"/>
  <c r="BL152" i="5"/>
  <c r="BK152" i="5"/>
  <c r="BJ152" i="5"/>
  <c r="BI152" i="5"/>
  <c r="BH152" i="5"/>
  <c r="BG152" i="5"/>
  <c r="BF152" i="5"/>
  <c r="BD152" i="5"/>
  <c r="BC152" i="5"/>
  <c r="BB152" i="5"/>
  <c r="BA152" i="5"/>
  <c r="AZ152" i="5"/>
  <c r="AY152" i="5"/>
  <c r="AU152" i="5"/>
  <c r="AT152" i="5"/>
  <c r="AS152" i="5"/>
  <c r="AQ152" i="5"/>
  <c r="AP152" i="5"/>
  <c r="AO152" i="5"/>
  <c r="AN152" i="5"/>
  <c r="AM152" i="5"/>
  <c r="AL152" i="5"/>
  <c r="AK152" i="5"/>
  <c r="AJ152" i="5"/>
  <c r="AI152" i="5"/>
  <c r="AH152" i="5"/>
  <c r="AG152" i="5"/>
  <c r="AF152" i="5"/>
  <c r="AE152" i="5"/>
  <c r="AD152" i="5"/>
  <c r="AC152" i="5"/>
  <c r="AB152" i="5"/>
  <c r="AA152" i="5"/>
  <c r="Z152" i="5"/>
  <c r="Y152" i="5"/>
  <c r="X152" i="5"/>
  <c r="W152" i="5"/>
  <c r="V152" i="5"/>
  <c r="T152" i="5"/>
  <c r="S152" i="5"/>
  <c r="R152" i="5"/>
  <c r="Q152" i="5"/>
  <c r="P152" i="5"/>
  <c r="O152" i="5"/>
  <c r="N152" i="5"/>
  <c r="M152" i="5"/>
  <c r="K152" i="5"/>
  <c r="J152" i="5"/>
  <c r="I152" i="5"/>
  <c r="H152" i="5"/>
  <c r="G152" i="5"/>
  <c r="F152" i="5"/>
  <c r="E152" i="5"/>
  <c r="D152" i="5"/>
  <c r="BL151" i="5"/>
  <c r="BK151" i="5"/>
  <c r="BJ151" i="5"/>
  <c r="BI151" i="5"/>
  <c r="BH151" i="5"/>
  <c r="BG151" i="5"/>
  <c r="BF151" i="5"/>
  <c r="BD151" i="5"/>
  <c r="BC151" i="5"/>
  <c r="BB151" i="5"/>
  <c r="BA151" i="5"/>
  <c r="AZ151" i="5"/>
  <c r="AY151" i="5"/>
  <c r="AU151" i="5"/>
  <c r="AT151" i="5"/>
  <c r="AS151" i="5"/>
  <c r="AP151" i="5"/>
  <c r="AO151" i="5"/>
  <c r="AN151" i="5"/>
  <c r="AM151" i="5"/>
  <c r="AL151" i="5"/>
  <c r="AK151" i="5"/>
  <c r="AJ151" i="5"/>
  <c r="AI151" i="5"/>
  <c r="AH151" i="5"/>
  <c r="AG151" i="5"/>
  <c r="AF151" i="5"/>
  <c r="AE151" i="5"/>
  <c r="AC151" i="5"/>
  <c r="AB151" i="5"/>
  <c r="AA151" i="5"/>
  <c r="Z151" i="5"/>
  <c r="Y151" i="5"/>
  <c r="X151" i="5"/>
  <c r="W151" i="5"/>
  <c r="V151" i="5"/>
  <c r="T151" i="5"/>
  <c r="S151" i="5"/>
  <c r="R151" i="5"/>
  <c r="Q151" i="5"/>
  <c r="P151" i="5"/>
  <c r="O151" i="5"/>
  <c r="N151" i="5"/>
  <c r="M151" i="5"/>
  <c r="K151" i="5"/>
  <c r="J151" i="5"/>
  <c r="I151" i="5"/>
  <c r="H151" i="5"/>
  <c r="G151" i="5"/>
  <c r="F151" i="5"/>
  <c r="E151" i="5"/>
  <c r="D151" i="5"/>
  <c r="BL150" i="5"/>
  <c r="BK150" i="5"/>
  <c r="BJ150" i="5"/>
  <c r="BI150" i="5"/>
  <c r="BH150" i="5"/>
  <c r="BG150" i="5"/>
  <c r="BF150" i="5"/>
  <c r="BD150" i="5"/>
  <c r="BC150" i="5"/>
  <c r="BB150" i="5"/>
  <c r="BA150" i="5"/>
  <c r="AZ150" i="5"/>
  <c r="AY150" i="5"/>
  <c r="AV150" i="5"/>
  <c r="AU150" i="5"/>
  <c r="AT150" i="5"/>
  <c r="AS150" i="5"/>
  <c r="AQ150" i="5"/>
  <c r="AP150" i="5"/>
  <c r="AO150" i="5"/>
  <c r="AN150" i="5"/>
  <c r="AM150" i="5"/>
  <c r="AL150" i="5"/>
  <c r="AK150" i="5"/>
  <c r="AJ150" i="5"/>
  <c r="AI150" i="5"/>
  <c r="AH150" i="5"/>
  <c r="AG150" i="5"/>
  <c r="AF150" i="5"/>
  <c r="AE150" i="5"/>
  <c r="AC150" i="5"/>
  <c r="AB150" i="5"/>
  <c r="AA150" i="5"/>
  <c r="Z150" i="5"/>
  <c r="Y150" i="5"/>
  <c r="X150" i="5"/>
  <c r="W150" i="5"/>
  <c r="V150" i="5"/>
  <c r="T150" i="5"/>
  <c r="S150" i="5"/>
  <c r="R150" i="5"/>
  <c r="Q150" i="5"/>
  <c r="P150" i="5"/>
  <c r="O150" i="5"/>
  <c r="N150" i="5"/>
  <c r="M150" i="5"/>
  <c r="L150" i="5"/>
  <c r="K150" i="5"/>
  <c r="J150" i="5"/>
  <c r="J8" i="5" s="1"/>
  <c r="I150" i="5"/>
  <c r="H150" i="5"/>
  <c r="G150" i="5"/>
  <c r="F150" i="5"/>
  <c r="E150" i="5"/>
  <c r="D150" i="5"/>
  <c r="BE149" i="5"/>
  <c r="AW149" i="5"/>
  <c r="AV149" i="5"/>
  <c r="AX149" i="5" s="1"/>
  <c r="AR149" i="5"/>
  <c r="AQ149" i="5"/>
  <c r="AD149" i="5"/>
  <c r="U149" i="5"/>
  <c r="L149" i="5"/>
  <c r="C149" i="5"/>
  <c r="BE148" i="5"/>
  <c r="AW148" i="5"/>
  <c r="AV148" i="5"/>
  <c r="AX148" i="5" s="1"/>
  <c r="AR148" i="5"/>
  <c r="AQ148" i="5"/>
  <c r="AD148" i="5"/>
  <c r="U148" i="5"/>
  <c r="L148" i="5"/>
  <c r="C148" i="5"/>
  <c r="BE147" i="5"/>
  <c r="AW147" i="5"/>
  <c r="AV147" i="5"/>
  <c r="AR147" i="5"/>
  <c r="AQ147" i="5"/>
  <c r="AD147" i="5"/>
  <c r="U147" i="5"/>
  <c r="L147" i="5"/>
  <c r="C147" i="5"/>
  <c r="BE146" i="5"/>
  <c r="AW146" i="5"/>
  <c r="AV146" i="5"/>
  <c r="AX146" i="5" s="1"/>
  <c r="AR146" i="5"/>
  <c r="AQ146" i="5"/>
  <c r="AD146" i="5"/>
  <c r="U146" i="5"/>
  <c r="L146" i="5"/>
  <c r="C146" i="5"/>
  <c r="BE145" i="5"/>
  <c r="AW145" i="5"/>
  <c r="AV145" i="5"/>
  <c r="AX145" i="5" s="1"/>
  <c r="AR145" i="5"/>
  <c r="AQ145" i="5"/>
  <c r="AD145" i="5"/>
  <c r="U145" i="5"/>
  <c r="L145" i="5"/>
  <c r="C145" i="5"/>
  <c r="BE144" i="5"/>
  <c r="AW144" i="5"/>
  <c r="AV144" i="5"/>
  <c r="AX144" i="5" s="1"/>
  <c r="AR144" i="5"/>
  <c r="AQ144" i="5"/>
  <c r="AD144" i="5"/>
  <c r="U144" i="5"/>
  <c r="L144" i="5"/>
  <c r="C144" i="5"/>
  <c r="BE143" i="5"/>
  <c r="AW143" i="5"/>
  <c r="AV143" i="5"/>
  <c r="AR143" i="5"/>
  <c r="AQ143" i="5"/>
  <c r="AD143" i="5"/>
  <c r="U143" i="5"/>
  <c r="L143" i="5"/>
  <c r="C143" i="5"/>
  <c r="BE142" i="5"/>
  <c r="AW142" i="5"/>
  <c r="AV142" i="5"/>
  <c r="AX142" i="5" s="1"/>
  <c r="AR142" i="5"/>
  <c r="AQ142" i="5"/>
  <c r="AD142" i="5"/>
  <c r="U142" i="5"/>
  <c r="L142" i="5"/>
  <c r="C142" i="5"/>
  <c r="BE141" i="5"/>
  <c r="AW141" i="5"/>
  <c r="AV141" i="5"/>
  <c r="AX141" i="5" s="1"/>
  <c r="AR141" i="5"/>
  <c r="AQ141" i="5"/>
  <c r="AD141" i="5"/>
  <c r="U141" i="5"/>
  <c r="L141" i="5"/>
  <c r="C141" i="5"/>
  <c r="BE140" i="5"/>
  <c r="AW140" i="5"/>
  <c r="AV140" i="5"/>
  <c r="AX140" i="5" s="1"/>
  <c r="AR140" i="5"/>
  <c r="AQ140" i="5"/>
  <c r="AD140" i="5"/>
  <c r="U140" i="5"/>
  <c r="L140" i="5"/>
  <c r="C140" i="5"/>
  <c r="BE139" i="5"/>
  <c r="AW139" i="5"/>
  <c r="AV139" i="5"/>
  <c r="AR139" i="5"/>
  <c r="AQ139" i="5"/>
  <c r="AD139" i="5"/>
  <c r="U139" i="5"/>
  <c r="L139" i="5"/>
  <c r="C139" i="5"/>
  <c r="BE138" i="5"/>
  <c r="AW138" i="5"/>
  <c r="AV138" i="5"/>
  <c r="AX138" i="5" s="1"/>
  <c r="AR138" i="5"/>
  <c r="AQ138" i="5"/>
  <c r="AD138" i="5"/>
  <c r="U138" i="5"/>
  <c r="L138" i="5"/>
  <c r="C138" i="5"/>
  <c r="BE137" i="5"/>
  <c r="AW137" i="5"/>
  <c r="AV137" i="5"/>
  <c r="AX137" i="5" s="1"/>
  <c r="AR137" i="5"/>
  <c r="AQ137" i="5"/>
  <c r="AD137" i="5"/>
  <c r="U137" i="5"/>
  <c r="L137" i="5"/>
  <c r="C137" i="5"/>
  <c r="BE136" i="5"/>
  <c r="AW136" i="5"/>
  <c r="AV136" i="5"/>
  <c r="AR136" i="5"/>
  <c r="AQ136" i="5"/>
  <c r="AD136" i="5"/>
  <c r="U136" i="5"/>
  <c r="L136" i="5"/>
  <c r="C136" i="5"/>
  <c r="BE135" i="5"/>
  <c r="AW135" i="5"/>
  <c r="AV135" i="5"/>
  <c r="AR135" i="5"/>
  <c r="AQ135" i="5"/>
  <c r="AD135" i="5"/>
  <c r="U135" i="5"/>
  <c r="L135" i="5"/>
  <c r="C135" i="5"/>
  <c r="BE134" i="5"/>
  <c r="AW134" i="5"/>
  <c r="AV134" i="5"/>
  <c r="AX134" i="5" s="1"/>
  <c r="AR134" i="5"/>
  <c r="AQ134" i="5"/>
  <c r="AD134" i="5"/>
  <c r="U134" i="5"/>
  <c r="L134" i="5"/>
  <c r="C134" i="5"/>
  <c r="BE133" i="5"/>
  <c r="AW133" i="5"/>
  <c r="AV133" i="5"/>
  <c r="AX133" i="5" s="1"/>
  <c r="AR133" i="5"/>
  <c r="AQ133" i="5"/>
  <c r="AD133" i="5"/>
  <c r="U133" i="5"/>
  <c r="L133" i="5"/>
  <c r="C133" i="5"/>
  <c r="BE132" i="5"/>
  <c r="AW132" i="5"/>
  <c r="AV132" i="5"/>
  <c r="AR132" i="5"/>
  <c r="AQ132" i="5"/>
  <c r="AD132" i="5"/>
  <c r="U132" i="5"/>
  <c r="L132" i="5"/>
  <c r="C132" i="5"/>
  <c r="BE131" i="5"/>
  <c r="AW131" i="5"/>
  <c r="AV131" i="5"/>
  <c r="AR131" i="5"/>
  <c r="AQ131" i="5"/>
  <c r="AD131" i="5"/>
  <c r="U131" i="5"/>
  <c r="L131" i="5"/>
  <c r="C131" i="5"/>
  <c r="BE130" i="5"/>
  <c r="AW130" i="5"/>
  <c r="AV130" i="5"/>
  <c r="AX130" i="5" s="1"/>
  <c r="AR130" i="5"/>
  <c r="AQ130" i="5"/>
  <c r="AD130" i="5"/>
  <c r="U130" i="5"/>
  <c r="L130" i="5"/>
  <c r="C130" i="5"/>
  <c r="BE129" i="5"/>
  <c r="AW129" i="5"/>
  <c r="AV129" i="5"/>
  <c r="AX129" i="5" s="1"/>
  <c r="AR129" i="5"/>
  <c r="AQ129" i="5"/>
  <c r="AD129" i="5"/>
  <c r="U129" i="5"/>
  <c r="L129" i="5"/>
  <c r="C129" i="5"/>
  <c r="BE128" i="5"/>
  <c r="AW128" i="5"/>
  <c r="AV128" i="5"/>
  <c r="AR128" i="5"/>
  <c r="AQ128" i="5"/>
  <c r="AD128" i="5"/>
  <c r="U128" i="5"/>
  <c r="L128" i="5"/>
  <c r="C128" i="5"/>
  <c r="BE127" i="5"/>
  <c r="AW127" i="5"/>
  <c r="AV127" i="5"/>
  <c r="AR127" i="5"/>
  <c r="AQ127" i="5"/>
  <c r="AD127" i="5"/>
  <c r="U127" i="5"/>
  <c r="L127" i="5"/>
  <c r="C127" i="5"/>
  <c r="BE126" i="5"/>
  <c r="AW126" i="5"/>
  <c r="AV126" i="5"/>
  <c r="AX126" i="5" s="1"/>
  <c r="AR126" i="5"/>
  <c r="AQ126" i="5"/>
  <c r="AD126" i="5"/>
  <c r="U126" i="5"/>
  <c r="L126" i="5"/>
  <c r="C126" i="5"/>
  <c r="BE125" i="5"/>
  <c r="AW125" i="5"/>
  <c r="AV125" i="5"/>
  <c r="AX125" i="5" s="1"/>
  <c r="AR125" i="5"/>
  <c r="AQ125" i="5"/>
  <c r="AD125" i="5"/>
  <c r="U125" i="5"/>
  <c r="L125" i="5"/>
  <c r="C125" i="5"/>
  <c r="BE124" i="5"/>
  <c r="AW124" i="5"/>
  <c r="AV124" i="5"/>
  <c r="AR124" i="5"/>
  <c r="AQ124" i="5"/>
  <c r="AD124" i="5"/>
  <c r="U124" i="5"/>
  <c r="L124" i="5"/>
  <c r="C124" i="5"/>
  <c r="BE123" i="5"/>
  <c r="AW123" i="5"/>
  <c r="AV123" i="5"/>
  <c r="AR123" i="5"/>
  <c r="AQ123" i="5"/>
  <c r="AD123" i="5"/>
  <c r="U123" i="5"/>
  <c r="L123" i="5"/>
  <c r="C123" i="5"/>
  <c r="BE122" i="5"/>
  <c r="AW122" i="5"/>
  <c r="AV122" i="5"/>
  <c r="AX122" i="5" s="1"/>
  <c r="AR122" i="5"/>
  <c r="AQ122" i="5"/>
  <c r="AD122" i="5"/>
  <c r="U122" i="5"/>
  <c r="L122" i="5"/>
  <c r="C122" i="5"/>
  <c r="BE121" i="5"/>
  <c r="AW121" i="5"/>
  <c r="AV121" i="5"/>
  <c r="AX121" i="5" s="1"/>
  <c r="AR121" i="5"/>
  <c r="AQ121" i="5"/>
  <c r="AD121" i="5"/>
  <c r="U121" i="5"/>
  <c r="L121" i="5"/>
  <c r="C121" i="5"/>
  <c r="BE120" i="5"/>
  <c r="BE150" i="5" s="1"/>
  <c r="AW120" i="5"/>
  <c r="AV120" i="5"/>
  <c r="AV152" i="5" s="1"/>
  <c r="AR120" i="5"/>
  <c r="AR151" i="5" s="1"/>
  <c r="AQ120" i="5"/>
  <c r="AQ151" i="5" s="1"/>
  <c r="AD120" i="5"/>
  <c r="AD151" i="5" s="1"/>
  <c r="U120" i="5"/>
  <c r="U150" i="5" s="1"/>
  <c r="L120" i="5"/>
  <c r="L152" i="5" s="1"/>
  <c r="C120" i="5"/>
  <c r="C152" i="5" s="1"/>
  <c r="BL119" i="5"/>
  <c r="BK119" i="5"/>
  <c r="BJ119" i="5"/>
  <c r="BI119" i="5"/>
  <c r="BH119" i="5"/>
  <c r="BG119" i="5"/>
  <c r="BF119" i="5"/>
  <c r="BE119" i="5"/>
  <c r="BD119" i="5"/>
  <c r="AS119" i="5"/>
  <c r="AN119" i="5"/>
  <c r="BL118" i="5"/>
  <c r="BK118" i="5"/>
  <c r="BJ118" i="5"/>
  <c r="BI118" i="5"/>
  <c r="BH118" i="5"/>
  <c r="BG118" i="5"/>
  <c r="BF118" i="5"/>
  <c r="BE118" i="5"/>
  <c r="BD118" i="5"/>
  <c r="BC118" i="5"/>
  <c r="BB118" i="5"/>
  <c r="BA118" i="5"/>
  <c r="AZ118" i="5"/>
  <c r="AY118" i="5"/>
  <c r="AU118" i="5"/>
  <c r="AT118" i="5"/>
  <c r="AS118" i="5"/>
  <c r="AQ118" i="5"/>
  <c r="AP118" i="5"/>
  <c r="AO118" i="5"/>
  <c r="AN118" i="5"/>
  <c r="AM118" i="5"/>
  <c r="AL118" i="5"/>
  <c r="AK118" i="5"/>
  <c r="AJ118" i="5"/>
  <c r="AI118" i="5"/>
  <c r="AH118" i="5"/>
  <c r="AG118" i="5"/>
  <c r="AF118" i="5"/>
  <c r="AE118" i="5"/>
  <c r="AD118" i="5"/>
  <c r="AC118" i="5"/>
  <c r="AB118" i="5"/>
  <c r="AA118" i="5"/>
  <c r="Z118" i="5"/>
  <c r="Y118" i="5"/>
  <c r="X118" i="5"/>
  <c r="W118" i="5"/>
  <c r="V118" i="5"/>
  <c r="T118" i="5"/>
  <c r="S118" i="5"/>
  <c r="R118" i="5"/>
  <c r="Q118" i="5"/>
  <c r="P118" i="5"/>
  <c r="O118" i="5"/>
  <c r="N118" i="5"/>
  <c r="M118" i="5"/>
  <c r="M8" i="5" s="1"/>
  <c r="K118" i="5"/>
  <c r="J118" i="5"/>
  <c r="I118" i="5"/>
  <c r="H118" i="5"/>
  <c r="G118" i="5"/>
  <c r="F118" i="5"/>
  <c r="E118" i="5"/>
  <c r="D118" i="5"/>
  <c r="BL117" i="5"/>
  <c r="BK117" i="5"/>
  <c r="BJ117" i="5"/>
  <c r="BI117" i="5"/>
  <c r="BH117" i="5"/>
  <c r="BG117" i="5"/>
  <c r="BF117" i="5"/>
  <c r="BE117" i="5"/>
  <c r="BD117" i="5"/>
  <c r="BC117" i="5"/>
  <c r="BB117" i="5"/>
  <c r="BA117" i="5"/>
  <c r="AZ117" i="5"/>
  <c r="AY117" i="5"/>
  <c r="AU117" i="5"/>
  <c r="AT117" i="5"/>
  <c r="AS117" i="5"/>
  <c r="AP117" i="5"/>
  <c r="AO117" i="5"/>
  <c r="AN117" i="5"/>
  <c r="AM117" i="5"/>
  <c r="AL117" i="5"/>
  <c r="AK117" i="5"/>
  <c r="AJ117" i="5"/>
  <c r="AI117" i="5"/>
  <c r="AH117" i="5"/>
  <c r="AH8" i="5" s="1"/>
  <c r="AG117" i="5"/>
  <c r="AF117" i="5"/>
  <c r="AE117" i="5"/>
  <c r="AC117" i="5"/>
  <c r="AB117" i="5"/>
  <c r="AA117" i="5"/>
  <c r="Z117" i="5"/>
  <c r="Y117" i="5"/>
  <c r="X117" i="5"/>
  <c r="W117" i="5"/>
  <c r="V117" i="5"/>
  <c r="T117" i="5"/>
  <c r="T10" i="5" s="1"/>
  <c r="S117" i="5"/>
  <c r="R117" i="5"/>
  <c r="Q117" i="5"/>
  <c r="P117" i="5"/>
  <c r="O117" i="5"/>
  <c r="N117" i="5"/>
  <c r="M117" i="5"/>
  <c r="K117" i="5"/>
  <c r="J117" i="5"/>
  <c r="I117" i="5"/>
  <c r="H117" i="5"/>
  <c r="G117" i="5"/>
  <c r="F117" i="5"/>
  <c r="E117" i="5"/>
  <c r="D117" i="5"/>
  <c r="BL116" i="5"/>
  <c r="BK116" i="5"/>
  <c r="BJ116" i="5"/>
  <c r="BI116" i="5"/>
  <c r="BH116" i="5"/>
  <c r="BG116" i="5"/>
  <c r="BF116" i="5"/>
  <c r="BD116" i="5"/>
  <c r="BC116" i="5"/>
  <c r="BB116" i="5"/>
  <c r="BA116" i="5"/>
  <c r="AZ116" i="5"/>
  <c r="AY116" i="5"/>
  <c r="AU116" i="5"/>
  <c r="AT116" i="5"/>
  <c r="AS116" i="5"/>
  <c r="AQ116" i="5"/>
  <c r="AP116" i="5"/>
  <c r="AO116" i="5"/>
  <c r="AO10" i="5" s="1"/>
  <c r="AN116" i="5"/>
  <c r="AM116" i="5"/>
  <c r="AL116" i="5"/>
  <c r="AK116" i="5"/>
  <c r="AJ116" i="5"/>
  <c r="AI116" i="5"/>
  <c r="AH116" i="5"/>
  <c r="AG116" i="5"/>
  <c r="AF116" i="5"/>
  <c r="AE116" i="5"/>
  <c r="AD116" i="5"/>
  <c r="AC116" i="5"/>
  <c r="AC10" i="5" s="1"/>
  <c r="AB116" i="5"/>
  <c r="AA116" i="5"/>
  <c r="Z116" i="5"/>
  <c r="Y116" i="5"/>
  <c r="X116" i="5"/>
  <c r="W116" i="5"/>
  <c r="V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BE115" i="5"/>
  <c r="AW115" i="5"/>
  <c r="AV115" i="5"/>
  <c r="AR115" i="5"/>
  <c r="AQ115" i="5"/>
  <c r="AD115" i="5"/>
  <c r="U115" i="5"/>
  <c r="L115" i="5"/>
  <c r="C115" i="5"/>
  <c r="BE114" i="5"/>
  <c r="AW114" i="5"/>
  <c r="AV114" i="5"/>
  <c r="AR114" i="5"/>
  <c r="AQ114" i="5"/>
  <c r="AD114" i="5"/>
  <c r="U114" i="5"/>
  <c r="L114" i="5"/>
  <c r="C114" i="5"/>
  <c r="BE113" i="5"/>
  <c r="AW113" i="5"/>
  <c r="AV113" i="5"/>
  <c r="AX113" i="5" s="1"/>
  <c r="AR113" i="5"/>
  <c r="AQ113" i="5"/>
  <c r="AD113" i="5"/>
  <c r="U113" i="5"/>
  <c r="L113" i="5"/>
  <c r="C113" i="5"/>
  <c r="BE112" i="5"/>
  <c r="AW112" i="5"/>
  <c r="AV112" i="5"/>
  <c r="AR112" i="5"/>
  <c r="AQ112" i="5"/>
  <c r="AD112" i="5"/>
  <c r="U112" i="5"/>
  <c r="L112" i="5"/>
  <c r="C112" i="5"/>
  <c r="BE111" i="5"/>
  <c r="AW111" i="5"/>
  <c r="AV111" i="5"/>
  <c r="AR111" i="5"/>
  <c r="AQ111" i="5"/>
  <c r="AD111" i="5"/>
  <c r="U111" i="5"/>
  <c r="L111" i="5"/>
  <c r="C111" i="5"/>
  <c r="BE110" i="5"/>
  <c r="AW110" i="5"/>
  <c r="AV110" i="5"/>
  <c r="AR110" i="5"/>
  <c r="AQ110" i="5"/>
  <c r="AD110" i="5"/>
  <c r="U110" i="5"/>
  <c r="L110" i="5"/>
  <c r="C110" i="5"/>
  <c r="BE109" i="5"/>
  <c r="AW109" i="5"/>
  <c r="AV109" i="5"/>
  <c r="AR109" i="5"/>
  <c r="AQ109" i="5"/>
  <c r="AD109" i="5"/>
  <c r="U109" i="5"/>
  <c r="L109" i="5"/>
  <c r="C109" i="5"/>
  <c r="BE108" i="5"/>
  <c r="AW108" i="5"/>
  <c r="AV108" i="5"/>
  <c r="AR108" i="5"/>
  <c r="AQ108" i="5"/>
  <c r="AD108" i="5"/>
  <c r="U108" i="5"/>
  <c r="L108" i="5"/>
  <c r="C108" i="5"/>
  <c r="BE107" i="5"/>
  <c r="AW107" i="5"/>
  <c r="AV107" i="5"/>
  <c r="AX107" i="5" s="1"/>
  <c r="AR107" i="5"/>
  <c r="AQ107" i="5"/>
  <c r="AD107" i="5"/>
  <c r="U107" i="5"/>
  <c r="L107" i="5"/>
  <c r="C107" i="5"/>
  <c r="BE106" i="5"/>
  <c r="AW106" i="5"/>
  <c r="AV106" i="5"/>
  <c r="AR106" i="5"/>
  <c r="AQ106" i="5"/>
  <c r="AD106" i="5"/>
  <c r="U106" i="5"/>
  <c r="L106" i="5"/>
  <c r="C106" i="5"/>
  <c r="BE105" i="5"/>
  <c r="AW105" i="5"/>
  <c r="AV105" i="5"/>
  <c r="AR105" i="5"/>
  <c r="AQ105" i="5"/>
  <c r="AD105" i="5"/>
  <c r="U105" i="5"/>
  <c r="L105" i="5"/>
  <c r="C105" i="5"/>
  <c r="BE104" i="5"/>
  <c r="AW104" i="5"/>
  <c r="AV104" i="5"/>
  <c r="AR104" i="5"/>
  <c r="AQ104" i="5"/>
  <c r="AD104" i="5"/>
  <c r="U104" i="5"/>
  <c r="L104" i="5"/>
  <c r="C104" i="5"/>
  <c r="BE103" i="5"/>
  <c r="AW103" i="5"/>
  <c r="AV103" i="5"/>
  <c r="AR103" i="5"/>
  <c r="AQ103" i="5"/>
  <c r="AD103" i="5"/>
  <c r="U103" i="5"/>
  <c r="L103" i="5"/>
  <c r="C103" i="5"/>
  <c r="BE102" i="5"/>
  <c r="AW102" i="5"/>
  <c r="AV102" i="5"/>
  <c r="AR102" i="5"/>
  <c r="AQ102" i="5"/>
  <c r="AD102" i="5"/>
  <c r="U102" i="5"/>
  <c r="L102" i="5"/>
  <c r="C102" i="5"/>
  <c r="BE101" i="5"/>
  <c r="AW101" i="5"/>
  <c r="AV101" i="5"/>
  <c r="AX101" i="5" s="1"/>
  <c r="AR101" i="5"/>
  <c r="AQ101" i="5"/>
  <c r="AD101" i="5"/>
  <c r="U101" i="5"/>
  <c r="L101" i="5"/>
  <c r="C101" i="5"/>
  <c r="BE100" i="5"/>
  <c r="AW100" i="5"/>
  <c r="AV100" i="5"/>
  <c r="AR100" i="5"/>
  <c r="AQ100" i="5"/>
  <c r="AD100" i="5"/>
  <c r="U100" i="5"/>
  <c r="L100" i="5"/>
  <c r="C100" i="5"/>
  <c r="BE99" i="5"/>
  <c r="AW99" i="5"/>
  <c r="AV99" i="5"/>
  <c r="AR99" i="5"/>
  <c r="AQ99" i="5"/>
  <c r="AD99" i="5"/>
  <c r="U99" i="5"/>
  <c r="L99" i="5"/>
  <c r="C99" i="5"/>
  <c r="BE98" i="5"/>
  <c r="AW98" i="5"/>
  <c r="AV98" i="5"/>
  <c r="AR98" i="5"/>
  <c r="AQ98" i="5"/>
  <c r="AD98" i="5"/>
  <c r="U98" i="5"/>
  <c r="L98" i="5"/>
  <c r="C98" i="5"/>
  <c r="BE97" i="5"/>
  <c r="AW97" i="5"/>
  <c r="AV97" i="5"/>
  <c r="AR97" i="5"/>
  <c r="AQ97" i="5"/>
  <c r="AD97" i="5"/>
  <c r="U97" i="5"/>
  <c r="L97" i="5"/>
  <c r="C97" i="5"/>
  <c r="BE96" i="5"/>
  <c r="AW96" i="5"/>
  <c r="AV96" i="5"/>
  <c r="AR96" i="5"/>
  <c r="AQ96" i="5"/>
  <c r="AD96" i="5"/>
  <c r="U96" i="5"/>
  <c r="L96" i="5"/>
  <c r="C96" i="5"/>
  <c r="BE95" i="5"/>
  <c r="AW95" i="5"/>
  <c r="AV95" i="5"/>
  <c r="AX95" i="5" s="1"/>
  <c r="AR95" i="5"/>
  <c r="AQ95" i="5"/>
  <c r="AD95" i="5"/>
  <c r="U95" i="5"/>
  <c r="L95" i="5"/>
  <c r="C95" i="5"/>
  <c r="BE94" i="5"/>
  <c r="AW94" i="5"/>
  <c r="AV94" i="5"/>
  <c r="AR94" i="5"/>
  <c r="AQ94" i="5"/>
  <c r="AD94" i="5"/>
  <c r="U94" i="5"/>
  <c r="L94" i="5"/>
  <c r="C94" i="5"/>
  <c r="BE93" i="5"/>
  <c r="AW93" i="5"/>
  <c r="AV93" i="5"/>
  <c r="AR93" i="5"/>
  <c r="AQ93" i="5"/>
  <c r="AD93" i="5"/>
  <c r="U93" i="5"/>
  <c r="L93" i="5"/>
  <c r="C93" i="5"/>
  <c r="BE92" i="5"/>
  <c r="AW92" i="5"/>
  <c r="AV92" i="5"/>
  <c r="AR92" i="5"/>
  <c r="AQ92" i="5"/>
  <c r="AD92" i="5"/>
  <c r="U92" i="5"/>
  <c r="L92" i="5"/>
  <c r="C92" i="5"/>
  <c r="BE91" i="5"/>
  <c r="AW91" i="5"/>
  <c r="AV91" i="5"/>
  <c r="AR91" i="5"/>
  <c r="AQ91" i="5"/>
  <c r="AD91" i="5"/>
  <c r="U91" i="5"/>
  <c r="L91" i="5"/>
  <c r="C91" i="5"/>
  <c r="BE90" i="5"/>
  <c r="AW90" i="5"/>
  <c r="AV90" i="5"/>
  <c r="AR90" i="5"/>
  <c r="AQ90" i="5"/>
  <c r="AD90" i="5"/>
  <c r="U90" i="5"/>
  <c r="L90" i="5"/>
  <c r="C90" i="5"/>
  <c r="BE89" i="5"/>
  <c r="AV89" i="5"/>
  <c r="AR89" i="5"/>
  <c r="AQ89" i="5"/>
  <c r="AD89" i="5"/>
  <c r="U89" i="5"/>
  <c r="L89" i="5"/>
  <c r="C89" i="5"/>
  <c r="BE88" i="5"/>
  <c r="AW88" i="5"/>
  <c r="AV88" i="5"/>
  <c r="AR88" i="5"/>
  <c r="AQ88" i="5"/>
  <c r="AD88" i="5"/>
  <c r="U88" i="5"/>
  <c r="L88" i="5"/>
  <c r="C88" i="5"/>
  <c r="BE87" i="5"/>
  <c r="AW87" i="5"/>
  <c r="AV87" i="5"/>
  <c r="AR87" i="5"/>
  <c r="AQ87" i="5"/>
  <c r="AD87" i="5"/>
  <c r="U87" i="5"/>
  <c r="L87" i="5"/>
  <c r="C87" i="5"/>
  <c r="BE86" i="5"/>
  <c r="AW86" i="5"/>
  <c r="AV86" i="5"/>
  <c r="AR86" i="5"/>
  <c r="AQ86" i="5"/>
  <c r="AD86" i="5"/>
  <c r="U86" i="5"/>
  <c r="L86" i="5"/>
  <c r="C86" i="5"/>
  <c r="BE85" i="5"/>
  <c r="BE116" i="5" s="1"/>
  <c r="AV85" i="5"/>
  <c r="AV116" i="5" s="1"/>
  <c r="AR85" i="5"/>
  <c r="AR118" i="5" s="1"/>
  <c r="AQ85" i="5"/>
  <c r="AQ117" i="5" s="1"/>
  <c r="AD85" i="5"/>
  <c r="AD117" i="5" s="1"/>
  <c r="U85" i="5"/>
  <c r="U118" i="5" s="1"/>
  <c r="L85" i="5"/>
  <c r="L117" i="5" s="1"/>
  <c r="C85" i="5"/>
  <c r="BL84" i="5"/>
  <c r="BK84" i="5"/>
  <c r="BJ84" i="5"/>
  <c r="BI84" i="5"/>
  <c r="BH84" i="5"/>
  <c r="BG84" i="5"/>
  <c r="BF84" i="5"/>
  <c r="BD84" i="5"/>
  <c r="AS84" i="5"/>
  <c r="AN84" i="5"/>
  <c r="BL83" i="5"/>
  <c r="BK83" i="5"/>
  <c r="BJ83" i="5"/>
  <c r="BI83" i="5"/>
  <c r="BH83" i="5"/>
  <c r="BG83" i="5"/>
  <c r="BF83" i="5"/>
  <c r="BD83" i="5"/>
  <c r="BC83" i="5"/>
  <c r="BB83" i="5"/>
  <c r="BA83" i="5"/>
  <c r="AZ83" i="5"/>
  <c r="AY83" i="5"/>
  <c r="AU83" i="5"/>
  <c r="AT83" i="5"/>
  <c r="AS83" i="5"/>
  <c r="AP83" i="5"/>
  <c r="AO83" i="5"/>
  <c r="AN83" i="5"/>
  <c r="AM83" i="5"/>
  <c r="AL83" i="5"/>
  <c r="AK83" i="5"/>
  <c r="AK9" i="5" s="1"/>
  <c r="AJ83" i="5"/>
  <c r="AI83" i="5"/>
  <c r="AH83" i="5"/>
  <c r="AG83" i="5"/>
  <c r="AF83" i="5"/>
  <c r="AE83" i="5"/>
  <c r="AC83" i="5"/>
  <c r="AB83" i="5"/>
  <c r="AA83" i="5"/>
  <c r="Z83" i="5"/>
  <c r="Y83" i="5"/>
  <c r="X83" i="5"/>
  <c r="W83" i="5"/>
  <c r="V83" i="5"/>
  <c r="T83" i="5"/>
  <c r="S83" i="5"/>
  <c r="R83" i="5"/>
  <c r="Q83" i="5"/>
  <c r="P83" i="5"/>
  <c r="P9" i="5" s="1"/>
  <c r="O83" i="5"/>
  <c r="N83" i="5"/>
  <c r="M83" i="5"/>
  <c r="L83" i="5"/>
  <c r="K83" i="5"/>
  <c r="J83" i="5"/>
  <c r="I83" i="5"/>
  <c r="H83" i="5"/>
  <c r="G83" i="5"/>
  <c r="F83" i="5"/>
  <c r="E83" i="5"/>
  <c r="D83" i="5"/>
  <c r="D9" i="5" s="1"/>
  <c r="BL82" i="5"/>
  <c r="BK82" i="5"/>
  <c r="BJ82" i="5"/>
  <c r="BI82" i="5"/>
  <c r="BH82" i="5"/>
  <c r="BG82" i="5"/>
  <c r="BF82" i="5"/>
  <c r="BF11" i="5" s="1"/>
  <c r="BD82" i="5"/>
  <c r="BC82" i="5"/>
  <c r="BB82" i="5"/>
  <c r="BA82" i="5"/>
  <c r="AZ82" i="5"/>
  <c r="AY82" i="5"/>
  <c r="AU82" i="5"/>
  <c r="AT82" i="5"/>
  <c r="AS82" i="5"/>
  <c r="AP82" i="5"/>
  <c r="AO82" i="5"/>
  <c r="AN82" i="5"/>
  <c r="AM82" i="5"/>
  <c r="AL82" i="5"/>
  <c r="AK82" i="5"/>
  <c r="AJ82" i="5"/>
  <c r="AI82" i="5"/>
  <c r="AH82" i="5"/>
  <c r="AG82" i="5"/>
  <c r="AF82" i="5"/>
  <c r="AE82" i="5"/>
  <c r="AE9" i="5" s="1"/>
  <c r="AC82" i="5"/>
  <c r="AB82" i="5"/>
  <c r="AA82" i="5"/>
  <c r="Z82" i="5"/>
  <c r="Y82" i="5"/>
  <c r="X82" i="5"/>
  <c r="W82" i="5"/>
  <c r="V82" i="5"/>
  <c r="T82" i="5"/>
  <c r="S82" i="5"/>
  <c r="R82" i="5"/>
  <c r="R10" i="5" s="1"/>
  <c r="Q82" i="5"/>
  <c r="P82" i="5"/>
  <c r="O82" i="5"/>
  <c r="N82" i="5"/>
  <c r="M82" i="5"/>
  <c r="K82" i="5"/>
  <c r="J82" i="5"/>
  <c r="I82" i="5"/>
  <c r="H82" i="5"/>
  <c r="H10" i="5" s="1"/>
  <c r="G82" i="5"/>
  <c r="F82" i="5"/>
  <c r="E82" i="5"/>
  <c r="D82" i="5"/>
  <c r="BL81" i="5"/>
  <c r="BK81" i="5"/>
  <c r="BJ81" i="5"/>
  <c r="BI81" i="5"/>
  <c r="BH81" i="5"/>
  <c r="BG81" i="5"/>
  <c r="BF81" i="5"/>
  <c r="BD81" i="5"/>
  <c r="BC81" i="5"/>
  <c r="BB81" i="5"/>
  <c r="BA81" i="5"/>
  <c r="AZ81" i="5"/>
  <c r="AY81" i="5"/>
  <c r="AU81" i="5"/>
  <c r="AT81" i="5"/>
  <c r="AS81" i="5"/>
  <c r="AP81" i="5"/>
  <c r="AO81" i="5"/>
  <c r="AN81" i="5"/>
  <c r="AN11" i="5" s="1"/>
  <c r="AM81" i="5"/>
  <c r="AL81" i="5"/>
  <c r="AK81" i="5"/>
  <c r="AJ81" i="5"/>
  <c r="AI81" i="5"/>
  <c r="AH81" i="5"/>
  <c r="AG81" i="5"/>
  <c r="AF81" i="5"/>
  <c r="AE81" i="5"/>
  <c r="AC81" i="5"/>
  <c r="AB81" i="5"/>
  <c r="AA81" i="5"/>
  <c r="AA10" i="5" s="1"/>
  <c r="Z81" i="5"/>
  <c r="Y81" i="5"/>
  <c r="X81" i="5"/>
  <c r="W81" i="5"/>
  <c r="V81" i="5"/>
  <c r="T81" i="5"/>
  <c r="S81" i="5"/>
  <c r="R81" i="5"/>
  <c r="Q81" i="5"/>
  <c r="P81" i="5"/>
  <c r="O81" i="5"/>
  <c r="O10" i="5" s="1"/>
  <c r="N81" i="5"/>
  <c r="M81" i="5"/>
  <c r="L81" i="5"/>
  <c r="K81" i="5"/>
  <c r="J81" i="5"/>
  <c r="I81" i="5"/>
  <c r="H81" i="5"/>
  <c r="G81" i="5"/>
  <c r="F81" i="5"/>
  <c r="E81" i="5"/>
  <c r="D81" i="5"/>
  <c r="C81" i="5"/>
  <c r="BE80" i="5"/>
  <c r="AW80" i="5"/>
  <c r="AV80" i="5"/>
  <c r="AQ80" i="5"/>
  <c r="AR80" i="5" s="1"/>
  <c r="AD80" i="5"/>
  <c r="U80" i="5"/>
  <c r="L80" i="5"/>
  <c r="C80" i="5"/>
  <c r="A80" i="5"/>
  <c r="BE79" i="5"/>
  <c r="AV79" i="5"/>
  <c r="AQ79" i="5"/>
  <c r="AR79" i="5" s="1"/>
  <c r="AD79" i="5"/>
  <c r="U79" i="5"/>
  <c r="L79" i="5"/>
  <c r="C79" i="5"/>
  <c r="BE78" i="5"/>
  <c r="AV78" i="5"/>
  <c r="AQ78" i="5"/>
  <c r="AR78" i="5" s="1"/>
  <c r="AD78" i="5"/>
  <c r="U78" i="5"/>
  <c r="L78" i="5"/>
  <c r="C78" i="5"/>
  <c r="BE77" i="5"/>
  <c r="AV77" i="5"/>
  <c r="AQ77" i="5"/>
  <c r="AR77" i="5" s="1"/>
  <c r="AD77" i="5"/>
  <c r="U77" i="5"/>
  <c r="L77" i="5"/>
  <c r="C77" i="5"/>
  <c r="BE76" i="5"/>
  <c r="AV76" i="5"/>
  <c r="AQ76" i="5"/>
  <c r="AR76" i="5" s="1"/>
  <c r="AD76" i="5"/>
  <c r="U76" i="5"/>
  <c r="L76" i="5"/>
  <c r="C76" i="5"/>
  <c r="BE75" i="5"/>
  <c r="AV75" i="5"/>
  <c r="AQ75" i="5"/>
  <c r="AR75" i="5" s="1"/>
  <c r="AD75" i="5"/>
  <c r="U75" i="5"/>
  <c r="L75" i="5"/>
  <c r="C75" i="5"/>
  <c r="BE74" i="5"/>
  <c r="AV74" i="5"/>
  <c r="AQ74" i="5"/>
  <c r="AR74" i="5" s="1"/>
  <c r="AD74" i="5"/>
  <c r="U74" i="5"/>
  <c r="L74" i="5"/>
  <c r="C74" i="5"/>
  <c r="BE73" i="5"/>
  <c r="AV73" i="5"/>
  <c r="AQ73" i="5"/>
  <c r="AR73" i="5" s="1"/>
  <c r="AD73" i="5"/>
  <c r="U73" i="5"/>
  <c r="L73" i="5"/>
  <c r="C73" i="5"/>
  <c r="BE72" i="5"/>
  <c r="AV72" i="5"/>
  <c r="AQ72" i="5"/>
  <c r="AR72" i="5" s="1"/>
  <c r="AD72" i="5"/>
  <c r="U72" i="5"/>
  <c r="L72" i="5"/>
  <c r="C72" i="5"/>
  <c r="BE71" i="5"/>
  <c r="AV71" i="5"/>
  <c r="AQ71" i="5"/>
  <c r="AR71" i="5" s="1"/>
  <c r="AD71" i="5"/>
  <c r="U71" i="5"/>
  <c r="L71" i="5"/>
  <c r="C71" i="5"/>
  <c r="BE70" i="5"/>
  <c r="AV70" i="5"/>
  <c r="AQ70" i="5"/>
  <c r="AR70" i="5" s="1"/>
  <c r="AD70" i="5"/>
  <c r="U70" i="5"/>
  <c r="L70" i="5"/>
  <c r="C70" i="5"/>
  <c r="BE69" i="5"/>
  <c r="AV69" i="5"/>
  <c r="AQ69" i="5"/>
  <c r="AR69" i="5" s="1"/>
  <c r="AD69" i="5"/>
  <c r="U69" i="5"/>
  <c r="L69" i="5"/>
  <c r="C69" i="5"/>
  <c r="BE68" i="5"/>
  <c r="AV68" i="5"/>
  <c r="AQ68" i="5"/>
  <c r="AR68" i="5" s="1"/>
  <c r="AD68" i="5"/>
  <c r="U68" i="5"/>
  <c r="L68" i="5"/>
  <c r="C68" i="5"/>
  <c r="BE67" i="5"/>
  <c r="AV67" i="5"/>
  <c r="AQ67" i="5"/>
  <c r="AR67" i="5" s="1"/>
  <c r="AD67" i="5"/>
  <c r="U67" i="5"/>
  <c r="L67" i="5"/>
  <c r="C67" i="5"/>
  <c r="BE66" i="5"/>
  <c r="AV66" i="5"/>
  <c r="AQ66" i="5"/>
  <c r="AR66" i="5" s="1"/>
  <c r="AD66" i="5"/>
  <c r="U66" i="5"/>
  <c r="L66" i="5"/>
  <c r="C66" i="5"/>
  <c r="BE65" i="5"/>
  <c r="AV65" i="5"/>
  <c r="AQ65" i="5"/>
  <c r="AR65" i="5" s="1"/>
  <c r="AD65" i="5"/>
  <c r="U65" i="5"/>
  <c r="L65" i="5"/>
  <c r="C65" i="5"/>
  <c r="BE64" i="5"/>
  <c r="AV64" i="5"/>
  <c r="AQ64" i="5"/>
  <c r="AR64" i="5" s="1"/>
  <c r="AD64" i="5"/>
  <c r="U64" i="5"/>
  <c r="L64" i="5"/>
  <c r="C64" i="5"/>
  <c r="BE63" i="5"/>
  <c r="AV63" i="5"/>
  <c r="AQ63" i="5"/>
  <c r="AR63" i="5" s="1"/>
  <c r="AD63" i="5"/>
  <c r="U63" i="5"/>
  <c r="L63" i="5"/>
  <c r="C63" i="5"/>
  <c r="BE62" i="5"/>
  <c r="AV62" i="5"/>
  <c r="AQ62" i="5"/>
  <c r="AR62" i="5" s="1"/>
  <c r="AD62" i="5"/>
  <c r="U62" i="5"/>
  <c r="L62" i="5"/>
  <c r="C62" i="5"/>
  <c r="BE61" i="5"/>
  <c r="AV61" i="5"/>
  <c r="AQ61" i="5"/>
  <c r="AR61" i="5" s="1"/>
  <c r="AD61" i="5"/>
  <c r="U61" i="5"/>
  <c r="L61" i="5"/>
  <c r="C61" i="5"/>
  <c r="BE60" i="5"/>
  <c r="AV60" i="5"/>
  <c r="AQ60" i="5"/>
  <c r="AR60" i="5" s="1"/>
  <c r="AD60" i="5"/>
  <c r="U60" i="5"/>
  <c r="L60" i="5"/>
  <c r="C60" i="5"/>
  <c r="BE59" i="5"/>
  <c r="AV59" i="5"/>
  <c r="AQ59" i="5"/>
  <c r="AR59" i="5" s="1"/>
  <c r="AD59" i="5"/>
  <c r="U59" i="5"/>
  <c r="L59" i="5"/>
  <c r="C59" i="5"/>
  <c r="BE58" i="5"/>
  <c r="AV58" i="5"/>
  <c r="AQ58" i="5"/>
  <c r="AR58" i="5" s="1"/>
  <c r="AD58" i="5"/>
  <c r="U58" i="5"/>
  <c r="L58" i="5"/>
  <c r="C58" i="5"/>
  <c r="BE57" i="5"/>
  <c r="AV57" i="5"/>
  <c r="AQ57" i="5"/>
  <c r="AR57" i="5" s="1"/>
  <c r="AD57" i="5"/>
  <c r="U57" i="5"/>
  <c r="L57" i="5"/>
  <c r="C57" i="5"/>
  <c r="BE56" i="5"/>
  <c r="AV56" i="5"/>
  <c r="AQ56" i="5"/>
  <c r="AR56" i="5" s="1"/>
  <c r="AD56" i="5"/>
  <c r="U56" i="5"/>
  <c r="L56" i="5"/>
  <c r="C56" i="5"/>
  <c r="BE55" i="5"/>
  <c r="AV55" i="5"/>
  <c r="AQ55" i="5"/>
  <c r="AR55" i="5" s="1"/>
  <c r="AD55" i="5"/>
  <c r="U55" i="5"/>
  <c r="L55" i="5"/>
  <c r="C55" i="5"/>
  <c r="BE54" i="5"/>
  <c r="AV54" i="5"/>
  <c r="AQ54" i="5"/>
  <c r="AR54" i="5" s="1"/>
  <c r="AD54" i="5"/>
  <c r="U54" i="5"/>
  <c r="L54" i="5"/>
  <c r="C54" i="5"/>
  <c r="BE53" i="5"/>
  <c r="BE81" i="5" s="1"/>
  <c r="AV53" i="5"/>
  <c r="AQ53" i="5"/>
  <c r="AR53" i="5" s="1"/>
  <c r="AD53" i="5"/>
  <c r="U53" i="5"/>
  <c r="L53" i="5"/>
  <c r="C53" i="5"/>
  <c r="BE52" i="5"/>
  <c r="AV52" i="5"/>
  <c r="AQ52" i="5"/>
  <c r="AD52" i="5"/>
  <c r="AD81" i="5" s="1"/>
  <c r="U52" i="5"/>
  <c r="L52" i="5"/>
  <c r="L82" i="5" s="1"/>
  <c r="C52" i="5"/>
  <c r="BL51" i="5"/>
  <c r="BK51" i="5"/>
  <c r="BJ51" i="5"/>
  <c r="BI51" i="5"/>
  <c r="BH51" i="5"/>
  <c r="BG51" i="5"/>
  <c r="BG10" i="5" s="1"/>
  <c r="BF51" i="5"/>
  <c r="BD51" i="5"/>
  <c r="AS51" i="5"/>
  <c r="AN51" i="5"/>
  <c r="AN12" i="5" s="1"/>
  <c r="BL50" i="5"/>
  <c r="BL10" i="5" s="1"/>
  <c r="BK50" i="5"/>
  <c r="BJ50" i="5"/>
  <c r="BI50" i="5"/>
  <c r="BH50" i="5"/>
  <c r="BG50" i="5"/>
  <c r="BF50" i="5"/>
  <c r="BF12" i="5" s="1"/>
  <c r="BD50" i="5"/>
  <c r="BC50" i="5"/>
  <c r="BB50" i="5"/>
  <c r="BA50" i="5"/>
  <c r="BA9" i="5" s="1"/>
  <c r="AZ50" i="5"/>
  <c r="AZ10" i="5" s="1"/>
  <c r="AY50" i="5"/>
  <c r="AU50" i="5"/>
  <c r="AT50" i="5"/>
  <c r="AS50" i="5"/>
  <c r="AP50" i="5"/>
  <c r="AP8" i="5" s="1"/>
  <c r="AO50" i="5"/>
  <c r="AN50" i="5"/>
  <c r="AM50" i="5"/>
  <c r="AL50" i="5"/>
  <c r="AK50" i="5"/>
  <c r="AJ50" i="5"/>
  <c r="AI50" i="5"/>
  <c r="AI9" i="5" s="1"/>
  <c r="AH50" i="5"/>
  <c r="AH9" i="5" s="1"/>
  <c r="AG50" i="5"/>
  <c r="AF50" i="5"/>
  <c r="AE50" i="5"/>
  <c r="AD50" i="5"/>
  <c r="AC50" i="5"/>
  <c r="AB50" i="5"/>
  <c r="AA50" i="5"/>
  <c r="Z50" i="5"/>
  <c r="Y50" i="5"/>
  <c r="X50" i="5"/>
  <c r="W50" i="5"/>
  <c r="W9" i="5" s="1"/>
  <c r="V50" i="5"/>
  <c r="T50" i="5"/>
  <c r="S50" i="5"/>
  <c r="R50" i="5"/>
  <c r="Q50" i="5"/>
  <c r="P50" i="5"/>
  <c r="O50" i="5"/>
  <c r="N50" i="5"/>
  <c r="M50" i="5"/>
  <c r="K50" i="5"/>
  <c r="J50" i="5"/>
  <c r="I50" i="5"/>
  <c r="H50" i="5"/>
  <c r="G50" i="5"/>
  <c r="F50" i="5"/>
  <c r="E50" i="5"/>
  <c r="D50" i="5"/>
  <c r="BL49" i="5"/>
  <c r="BK49" i="5"/>
  <c r="BJ49" i="5"/>
  <c r="BI49" i="5"/>
  <c r="BI8" i="5" s="1"/>
  <c r="BH49" i="5"/>
  <c r="BG49" i="5"/>
  <c r="BF49" i="5"/>
  <c r="BD49" i="5"/>
  <c r="BC49" i="5"/>
  <c r="BB49" i="5"/>
  <c r="BA49" i="5"/>
  <c r="AZ49" i="5"/>
  <c r="AY49" i="5"/>
  <c r="AU49" i="5"/>
  <c r="AU10" i="5" s="1"/>
  <c r="AT49" i="5"/>
  <c r="AS49" i="5"/>
  <c r="AQ49" i="5"/>
  <c r="AP49" i="5"/>
  <c r="AO49" i="5"/>
  <c r="AN49" i="5"/>
  <c r="AM49" i="5"/>
  <c r="AL49" i="5"/>
  <c r="AK49" i="5"/>
  <c r="AJ49" i="5"/>
  <c r="AI49" i="5"/>
  <c r="AI10" i="5" s="1"/>
  <c r="AH49" i="5"/>
  <c r="AG49" i="5"/>
  <c r="AF49" i="5"/>
  <c r="AE49" i="5"/>
  <c r="AC49" i="5"/>
  <c r="AB49" i="5"/>
  <c r="AA49" i="5"/>
  <c r="Z49" i="5"/>
  <c r="Y49" i="5"/>
  <c r="X49" i="5"/>
  <c r="X8" i="5" s="1"/>
  <c r="W49" i="5"/>
  <c r="W10" i="5" s="1"/>
  <c r="V49" i="5"/>
  <c r="T49" i="5"/>
  <c r="S49" i="5"/>
  <c r="R49" i="5"/>
  <c r="R8" i="5" s="1"/>
  <c r="Q49" i="5"/>
  <c r="P49" i="5"/>
  <c r="O49" i="5"/>
  <c r="N49" i="5"/>
  <c r="M49" i="5"/>
  <c r="K49" i="5"/>
  <c r="K9" i="5" s="1"/>
  <c r="J49" i="5"/>
  <c r="I49" i="5"/>
  <c r="H49" i="5"/>
  <c r="G49" i="5"/>
  <c r="F49" i="5"/>
  <c r="F8" i="5" s="1"/>
  <c r="E49" i="5"/>
  <c r="D49" i="5"/>
  <c r="BL48" i="5"/>
  <c r="BK48" i="5"/>
  <c r="BK10" i="5" s="1"/>
  <c r="BJ48" i="5"/>
  <c r="BJ10" i="5" s="1"/>
  <c r="BI48" i="5"/>
  <c r="BH48" i="5"/>
  <c r="BH8" i="5" s="1"/>
  <c r="BG48" i="5"/>
  <c r="BF48" i="5"/>
  <c r="BD48" i="5"/>
  <c r="BD10" i="5" s="1"/>
  <c r="BC48" i="5"/>
  <c r="BC10" i="5" s="1"/>
  <c r="BB48" i="5"/>
  <c r="BA48" i="5"/>
  <c r="AZ48" i="5"/>
  <c r="AY48" i="5"/>
  <c r="AY10" i="5" s="1"/>
  <c r="AU48" i="5"/>
  <c r="AT48" i="5"/>
  <c r="AS48" i="5"/>
  <c r="AQ48" i="5"/>
  <c r="AP48" i="5"/>
  <c r="AO48" i="5"/>
  <c r="AN48" i="5"/>
  <c r="AM48" i="5"/>
  <c r="AM10" i="5" s="1"/>
  <c r="AL48" i="5"/>
  <c r="AL10" i="5" s="1"/>
  <c r="AK48" i="5"/>
  <c r="AJ48" i="5"/>
  <c r="AJ8" i="5" s="1"/>
  <c r="AI48" i="5"/>
  <c r="AH48" i="5"/>
  <c r="AG48" i="5"/>
  <c r="AF48" i="5"/>
  <c r="AF10" i="5" s="1"/>
  <c r="AE48" i="5"/>
  <c r="AE10" i="5" s="1"/>
  <c r="AC48" i="5"/>
  <c r="AB48" i="5"/>
  <c r="AA48" i="5"/>
  <c r="Z48" i="5"/>
  <c r="Z10" i="5" s="1"/>
  <c r="Y48" i="5"/>
  <c r="Y9" i="5" s="1"/>
  <c r="X48" i="5"/>
  <c r="W48" i="5"/>
  <c r="V48" i="5"/>
  <c r="V9" i="5" s="1"/>
  <c r="T48" i="5"/>
  <c r="S48" i="5"/>
  <c r="R48" i="5"/>
  <c r="Q48" i="5"/>
  <c r="P48" i="5"/>
  <c r="O48" i="5"/>
  <c r="N48" i="5"/>
  <c r="N10" i="5" s="1"/>
  <c r="M48" i="5"/>
  <c r="M9" i="5" s="1"/>
  <c r="K48" i="5"/>
  <c r="J48" i="5"/>
  <c r="J9" i="5" s="1"/>
  <c r="I48" i="5"/>
  <c r="H48" i="5"/>
  <c r="G48" i="5"/>
  <c r="F48" i="5"/>
  <c r="E48" i="5"/>
  <c r="D48" i="5"/>
  <c r="BE47" i="5"/>
  <c r="AW47" i="5"/>
  <c r="AV47" i="5"/>
  <c r="AR47" i="5"/>
  <c r="AX47" i="5" s="1"/>
  <c r="AQ47" i="5"/>
  <c r="AD47" i="5"/>
  <c r="U47" i="5"/>
  <c r="L47" i="5"/>
  <c r="C47" i="5"/>
  <c r="BE46" i="5"/>
  <c r="AW46" i="5"/>
  <c r="AV46" i="5"/>
  <c r="AR46" i="5"/>
  <c r="AX46" i="5" s="1"/>
  <c r="AQ46" i="5"/>
  <c r="AD46" i="5"/>
  <c r="U46" i="5"/>
  <c r="L46" i="5"/>
  <c r="C46" i="5"/>
  <c r="BE45" i="5"/>
  <c r="AW45" i="5"/>
  <c r="AV45" i="5"/>
  <c r="AR45" i="5"/>
  <c r="AX45" i="5" s="1"/>
  <c r="AQ45" i="5"/>
  <c r="AD45" i="5"/>
  <c r="U45" i="5"/>
  <c r="L45" i="5"/>
  <c r="C45" i="5"/>
  <c r="BE44" i="5"/>
  <c r="AW44" i="5"/>
  <c r="AV44" i="5"/>
  <c r="AR44" i="5"/>
  <c r="AX44" i="5" s="1"/>
  <c r="AQ44" i="5"/>
  <c r="AD44" i="5"/>
  <c r="U44" i="5"/>
  <c r="L44" i="5"/>
  <c r="C44" i="5"/>
  <c r="BE43" i="5"/>
  <c r="AV43" i="5"/>
  <c r="AR43" i="5"/>
  <c r="AQ43" i="5"/>
  <c r="AD43" i="5"/>
  <c r="U43" i="5"/>
  <c r="L43" i="5"/>
  <c r="C43" i="5"/>
  <c r="BE42" i="5"/>
  <c r="AV42" i="5"/>
  <c r="AR42" i="5"/>
  <c r="AQ42" i="5"/>
  <c r="AD42" i="5"/>
  <c r="U42" i="5"/>
  <c r="L42" i="5"/>
  <c r="C42" i="5"/>
  <c r="BE41" i="5"/>
  <c r="AV41" i="5"/>
  <c r="AR41" i="5"/>
  <c r="AQ41" i="5"/>
  <c r="AD41" i="5"/>
  <c r="U41" i="5"/>
  <c r="L41" i="5"/>
  <c r="C41" i="5"/>
  <c r="BE40" i="5"/>
  <c r="AV40" i="5"/>
  <c r="AR40" i="5"/>
  <c r="AQ40" i="5"/>
  <c r="AD40" i="5"/>
  <c r="U40" i="5"/>
  <c r="L40" i="5"/>
  <c r="C40" i="5"/>
  <c r="BE39" i="5"/>
  <c r="AV39" i="5"/>
  <c r="AR39" i="5"/>
  <c r="AQ39" i="5"/>
  <c r="AD39" i="5"/>
  <c r="U39" i="5"/>
  <c r="L39" i="5"/>
  <c r="C39" i="5"/>
  <c r="BE38" i="5"/>
  <c r="AV38" i="5"/>
  <c r="AR38" i="5"/>
  <c r="AQ38" i="5"/>
  <c r="AD38" i="5"/>
  <c r="U38" i="5"/>
  <c r="L38" i="5"/>
  <c r="C38" i="5"/>
  <c r="BE37" i="5"/>
  <c r="AV37" i="5"/>
  <c r="AR37" i="5"/>
  <c r="AQ37" i="5"/>
  <c r="AD37" i="5"/>
  <c r="U37" i="5"/>
  <c r="L37" i="5"/>
  <c r="C37" i="5"/>
  <c r="BE36" i="5"/>
  <c r="AV36" i="5"/>
  <c r="AR36" i="5"/>
  <c r="AQ36" i="5"/>
  <c r="AD36" i="5"/>
  <c r="U36" i="5"/>
  <c r="L36" i="5"/>
  <c r="C36" i="5"/>
  <c r="BE35" i="5"/>
  <c r="AV35" i="5"/>
  <c r="AR35" i="5"/>
  <c r="AQ35" i="5"/>
  <c r="AD35" i="5"/>
  <c r="U35" i="5"/>
  <c r="L35" i="5"/>
  <c r="C35" i="5"/>
  <c r="BE34" i="5"/>
  <c r="AV34" i="5"/>
  <c r="AR34" i="5"/>
  <c r="AQ34" i="5"/>
  <c r="AD34" i="5"/>
  <c r="U34" i="5"/>
  <c r="L34" i="5"/>
  <c r="C34" i="5"/>
  <c r="BE33" i="5"/>
  <c r="AV33" i="5"/>
  <c r="AR33" i="5"/>
  <c r="AQ33" i="5"/>
  <c r="AD33" i="5"/>
  <c r="U33" i="5"/>
  <c r="L33" i="5"/>
  <c r="C33" i="5"/>
  <c r="BE32" i="5"/>
  <c r="AV32" i="5"/>
  <c r="AR32" i="5"/>
  <c r="AQ32" i="5"/>
  <c r="AD32" i="5"/>
  <c r="U32" i="5"/>
  <c r="L32" i="5"/>
  <c r="C32" i="5"/>
  <c r="BE31" i="5"/>
  <c r="AV31" i="5"/>
  <c r="AR31" i="5"/>
  <c r="AQ31" i="5"/>
  <c r="AD31" i="5"/>
  <c r="U31" i="5"/>
  <c r="L31" i="5"/>
  <c r="C31" i="5"/>
  <c r="BE30" i="5"/>
  <c r="AV30" i="5"/>
  <c r="AR30" i="5"/>
  <c r="AQ30" i="5"/>
  <c r="AD30" i="5"/>
  <c r="U30" i="5"/>
  <c r="L30" i="5"/>
  <c r="C30" i="5"/>
  <c r="BE29" i="5"/>
  <c r="AV29" i="5"/>
  <c r="AR29" i="5"/>
  <c r="AQ29" i="5"/>
  <c r="AD29" i="5"/>
  <c r="U29" i="5"/>
  <c r="L29" i="5"/>
  <c r="C29" i="5"/>
  <c r="BE28" i="5"/>
  <c r="AV28" i="5"/>
  <c r="AR28" i="5"/>
  <c r="AQ28" i="5"/>
  <c r="AD28" i="5"/>
  <c r="U28" i="5"/>
  <c r="L28" i="5"/>
  <c r="C28" i="5"/>
  <c r="BE27" i="5"/>
  <c r="AV27" i="5"/>
  <c r="AR27" i="5"/>
  <c r="AQ27" i="5"/>
  <c r="AD27" i="5"/>
  <c r="U27" i="5"/>
  <c r="L27" i="5"/>
  <c r="C27" i="5"/>
  <c r="BE26" i="5"/>
  <c r="AV26" i="5"/>
  <c r="AR26" i="5"/>
  <c r="AQ26" i="5"/>
  <c r="AD26" i="5"/>
  <c r="U26" i="5"/>
  <c r="L26" i="5"/>
  <c r="C26" i="5"/>
  <c r="BE25" i="5"/>
  <c r="AV25" i="5"/>
  <c r="AR25" i="5"/>
  <c r="AQ25" i="5"/>
  <c r="AD25" i="5"/>
  <c r="U25" i="5"/>
  <c r="L25" i="5"/>
  <c r="C25" i="5"/>
  <c r="BE24" i="5"/>
  <c r="AV24" i="5"/>
  <c r="AR24" i="5"/>
  <c r="AQ24" i="5"/>
  <c r="AD24" i="5"/>
  <c r="U24" i="5"/>
  <c r="L24" i="5"/>
  <c r="C24" i="5"/>
  <c r="BE23" i="5"/>
  <c r="AV23" i="5"/>
  <c r="AR23" i="5"/>
  <c r="AQ23" i="5"/>
  <c r="AD23" i="5"/>
  <c r="U23" i="5"/>
  <c r="L23" i="5"/>
  <c r="C23" i="5"/>
  <c r="BE22" i="5"/>
  <c r="AV22" i="5"/>
  <c r="AR22" i="5"/>
  <c r="AQ22" i="5"/>
  <c r="AD22" i="5"/>
  <c r="U22" i="5"/>
  <c r="L22" i="5"/>
  <c r="C22" i="5"/>
  <c r="BE21" i="5"/>
  <c r="AV21" i="5"/>
  <c r="AR21" i="5"/>
  <c r="AQ21" i="5"/>
  <c r="AD21" i="5"/>
  <c r="U21" i="5"/>
  <c r="L21" i="5"/>
  <c r="C21" i="5"/>
  <c r="BE20" i="5"/>
  <c r="AV20" i="5"/>
  <c r="AR20" i="5"/>
  <c r="AQ20" i="5"/>
  <c r="AD20" i="5"/>
  <c r="U20" i="5"/>
  <c r="L20" i="5"/>
  <c r="C20" i="5"/>
  <c r="BE19" i="5"/>
  <c r="AV19" i="5"/>
  <c r="AR19" i="5"/>
  <c r="AQ19" i="5"/>
  <c r="AD19" i="5"/>
  <c r="U19" i="5"/>
  <c r="L19" i="5"/>
  <c r="C19" i="5"/>
  <c r="BE18" i="5"/>
  <c r="AV18" i="5"/>
  <c r="AR18" i="5"/>
  <c r="AQ18" i="5"/>
  <c r="AD18" i="5"/>
  <c r="U18" i="5"/>
  <c r="L18" i="5"/>
  <c r="C18" i="5"/>
  <c r="B18" i="5"/>
  <c r="B19" i="5" s="1"/>
  <c r="BE17" i="5"/>
  <c r="BE49" i="5" s="1"/>
  <c r="AV17" i="5"/>
  <c r="AR17" i="5"/>
  <c r="AQ17" i="5"/>
  <c r="AQ50" i="5" s="1"/>
  <c r="AD17" i="5"/>
  <c r="AD48" i="5" s="1"/>
  <c r="U17" i="5"/>
  <c r="U49" i="5" s="1"/>
  <c r="L17" i="5"/>
  <c r="C17" i="5"/>
  <c r="C49" i="5" s="1"/>
  <c r="A17" i="5"/>
  <c r="BK12" i="5"/>
  <c r="BJ12" i="5"/>
  <c r="BH12" i="5"/>
  <c r="BG12" i="5"/>
  <c r="BD12" i="5"/>
  <c r="AS12" i="5"/>
  <c r="BJ11" i="5"/>
  <c r="BG11" i="5"/>
  <c r="AS11" i="5"/>
  <c r="BF10" i="5"/>
  <c r="BB10" i="5"/>
  <c r="BA10" i="5"/>
  <c r="AT10" i="5"/>
  <c r="AS10" i="5"/>
  <c r="AP10" i="5"/>
  <c r="AK10" i="5"/>
  <c r="AH10" i="5"/>
  <c r="AG10" i="5"/>
  <c r="AB10" i="5"/>
  <c r="Y10" i="5"/>
  <c r="V10" i="5"/>
  <c r="S10" i="5"/>
  <c r="Q10" i="5"/>
  <c r="P10" i="5"/>
  <c r="J10" i="5"/>
  <c r="I10" i="5"/>
  <c r="G10" i="5"/>
  <c r="F10" i="5"/>
  <c r="E10" i="5"/>
  <c r="D10" i="5"/>
  <c r="BK9" i="5"/>
  <c r="BJ9" i="5"/>
  <c r="BH9" i="5"/>
  <c r="BG9" i="5"/>
  <c r="BD9" i="5"/>
  <c r="BC9" i="5"/>
  <c r="BB9" i="5"/>
  <c r="AY9" i="5"/>
  <c r="AU9" i="5"/>
  <c r="AT9" i="5"/>
  <c r="AS9" i="5"/>
  <c r="AP9" i="5"/>
  <c r="AM9" i="5"/>
  <c r="AL9" i="5"/>
  <c r="AJ9" i="5"/>
  <c r="AG9" i="5"/>
  <c r="AF9" i="5"/>
  <c r="AB9" i="5"/>
  <c r="X9" i="5"/>
  <c r="S9" i="5"/>
  <c r="Q9" i="5"/>
  <c r="I9" i="5"/>
  <c r="H9" i="5"/>
  <c r="G9" i="5"/>
  <c r="F9" i="5"/>
  <c r="E9" i="5"/>
  <c r="BL8" i="5"/>
  <c r="BJ8" i="5"/>
  <c r="BG8" i="5"/>
  <c r="BD8" i="5"/>
  <c r="BB8" i="5"/>
  <c r="BA8" i="5"/>
  <c r="AZ8" i="5"/>
  <c r="AU8" i="5"/>
  <c r="AT8" i="5"/>
  <c r="AS8" i="5"/>
  <c r="AL8" i="5"/>
  <c r="AK8" i="5"/>
  <c r="AG8" i="5"/>
  <c r="AF8" i="5"/>
  <c r="AB8" i="5"/>
  <c r="Z8" i="5"/>
  <c r="Y8" i="5"/>
  <c r="V8" i="5"/>
  <c r="S8" i="5"/>
  <c r="Q8" i="5"/>
  <c r="P8" i="5"/>
  <c r="N8" i="5"/>
  <c r="I8" i="5"/>
  <c r="H8" i="5"/>
  <c r="G8" i="5"/>
  <c r="E8" i="5"/>
  <c r="D8" i="5"/>
  <c r="BL430" i="4"/>
  <c r="BK430" i="4"/>
  <c r="BJ430" i="4"/>
  <c r="BI430" i="4"/>
  <c r="BH430" i="4"/>
  <c r="BG430" i="4"/>
  <c r="BF430" i="4"/>
  <c r="BD430" i="4"/>
  <c r="AS430" i="4"/>
  <c r="AN430" i="4"/>
  <c r="BL429" i="4"/>
  <c r="BK429" i="4"/>
  <c r="BJ429" i="4"/>
  <c r="BI429" i="4"/>
  <c r="BH429" i="4"/>
  <c r="BG429" i="4"/>
  <c r="BF429" i="4"/>
  <c r="BD429" i="4"/>
  <c r="BC429" i="4"/>
  <c r="BB429" i="4"/>
  <c r="BA429" i="4"/>
  <c r="AZ429" i="4"/>
  <c r="AY429" i="4"/>
  <c r="AU429" i="4"/>
  <c r="AT429" i="4"/>
  <c r="AS429" i="4"/>
  <c r="AQ429" i="4"/>
  <c r="AP429" i="4"/>
  <c r="AO429" i="4"/>
  <c r="AN429" i="4"/>
  <c r="AM429" i="4"/>
  <c r="AL429" i="4"/>
  <c r="AK429" i="4"/>
  <c r="AJ429" i="4"/>
  <c r="AI429" i="4"/>
  <c r="AH429" i="4"/>
  <c r="AG429" i="4"/>
  <c r="AF429" i="4"/>
  <c r="AE429" i="4"/>
  <c r="AC429" i="4"/>
  <c r="AB429" i="4"/>
  <c r="AA429" i="4"/>
  <c r="Z429" i="4"/>
  <c r="Y429" i="4"/>
  <c r="X429" i="4"/>
  <c r="W429" i="4"/>
  <c r="V429" i="4"/>
  <c r="T429" i="4"/>
  <c r="S429" i="4"/>
  <c r="R429" i="4"/>
  <c r="Q429" i="4"/>
  <c r="P429" i="4"/>
  <c r="O429" i="4"/>
  <c r="N429" i="4"/>
  <c r="M429" i="4"/>
  <c r="K429" i="4"/>
  <c r="J429" i="4"/>
  <c r="I429" i="4"/>
  <c r="H429" i="4"/>
  <c r="G429" i="4"/>
  <c r="F429" i="4"/>
  <c r="E429" i="4"/>
  <c r="D429" i="4"/>
  <c r="BL428" i="4"/>
  <c r="BK428" i="4"/>
  <c r="BJ428" i="4"/>
  <c r="BI428" i="4"/>
  <c r="BH428" i="4"/>
  <c r="BG428" i="4"/>
  <c r="BF428" i="4"/>
  <c r="BE428" i="4"/>
  <c r="BD428" i="4"/>
  <c r="BC428" i="4"/>
  <c r="BB428" i="4"/>
  <c r="BA428" i="4"/>
  <c r="AZ428" i="4"/>
  <c r="AY428" i="4"/>
  <c r="AU428" i="4"/>
  <c r="AT428" i="4"/>
  <c r="AS428" i="4"/>
  <c r="AP428" i="4"/>
  <c r="AO428" i="4"/>
  <c r="AN428" i="4"/>
  <c r="AM428" i="4"/>
  <c r="AL428" i="4"/>
  <c r="AK428" i="4"/>
  <c r="AJ428" i="4"/>
  <c r="AI428" i="4"/>
  <c r="AH428" i="4"/>
  <c r="AG428" i="4"/>
  <c r="AF428" i="4"/>
  <c r="AE428" i="4"/>
  <c r="AC428" i="4"/>
  <c r="AB428" i="4"/>
  <c r="AA428" i="4"/>
  <c r="Z428" i="4"/>
  <c r="Y428" i="4"/>
  <c r="X428" i="4"/>
  <c r="W428" i="4"/>
  <c r="V428" i="4"/>
  <c r="U428" i="4"/>
  <c r="T428" i="4"/>
  <c r="S428" i="4"/>
  <c r="R428" i="4"/>
  <c r="Q428" i="4"/>
  <c r="P428" i="4"/>
  <c r="O428" i="4"/>
  <c r="N428" i="4"/>
  <c r="M428" i="4"/>
  <c r="K428" i="4"/>
  <c r="J428" i="4"/>
  <c r="I428" i="4"/>
  <c r="H428" i="4"/>
  <c r="G428" i="4"/>
  <c r="F428" i="4"/>
  <c r="E428" i="4"/>
  <c r="D428" i="4"/>
  <c r="BL427" i="4"/>
  <c r="BK427" i="4"/>
  <c r="BJ427" i="4"/>
  <c r="BI427" i="4"/>
  <c r="BH427" i="4"/>
  <c r="BG427" i="4"/>
  <c r="BF427" i="4"/>
  <c r="BD427" i="4"/>
  <c r="BC427" i="4"/>
  <c r="BB427" i="4"/>
  <c r="BA427" i="4"/>
  <c r="AZ427" i="4"/>
  <c r="AY427" i="4"/>
  <c r="AU427" i="4"/>
  <c r="AT427" i="4"/>
  <c r="AS427" i="4"/>
  <c r="AP427" i="4"/>
  <c r="AO427" i="4"/>
  <c r="AN427" i="4"/>
  <c r="AM427" i="4"/>
  <c r="AL427" i="4"/>
  <c r="AK427" i="4"/>
  <c r="AJ427" i="4"/>
  <c r="AI427" i="4"/>
  <c r="AH427" i="4"/>
  <c r="AG427" i="4"/>
  <c r="AF427" i="4"/>
  <c r="AE427" i="4"/>
  <c r="AC427" i="4"/>
  <c r="AB427" i="4"/>
  <c r="AA427" i="4"/>
  <c r="Z427" i="4"/>
  <c r="Y427" i="4"/>
  <c r="X427" i="4"/>
  <c r="W427" i="4"/>
  <c r="V427" i="4"/>
  <c r="T427" i="4"/>
  <c r="S427" i="4"/>
  <c r="R427" i="4"/>
  <c r="Q427" i="4"/>
  <c r="P427" i="4"/>
  <c r="O427" i="4"/>
  <c r="N427" i="4"/>
  <c r="M427" i="4"/>
  <c r="K427" i="4"/>
  <c r="J427" i="4"/>
  <c r="I427" i="4"/>
  <c r="H427" i="4"/>
  <c r="G427" i="4"/>
  <c r="F427" i="4"/>
  <c r="E427" i="4"/>
  <c r="D427" i="4"/>
  <c r="BE426" i="4"/>
  <c r="AV426" i="4"/>
  <c r="AR426" i="4"/>
  <c r="AQ426" i="4"/>
  <c r="AD426" i="4"/>
  <c r="U426" i="4"/>
  <c r="L426" i="4"/>
  <c r="C426" i="4"/>
  <c r="BE425" i="4"/>
  <c r="AV425" i="4"/>
  <c r="AR425" i="4"/>
  <c r="AQ425" i="4"/>
  <c r="AD425" i="4"/>
  <c r="U425" i="4"/>
  <c r="L425" i="4"/>
  <c r="C425" i="4"/>
  <c r="BE424" i="4"/>
  <c r="AV424" i="4"/>
  <c r="AR424" i="4"/>
  <c r="AQ424" i="4"/>
  <c r="AD424" i="4"/>
  <c r="U424" i="4"/>
  <c r="L424" i="4"/>
  <c r="C424" i="4"/>
  <c r="BE423" i="4"/>
  <c r="AV423" i="4"/>
  <c r="AR423" i="4"/>
  <c r="AQ423" i="4"/>
  <c r="AD423" i="4"/>
  <c r="U423" i="4"/>
  <c r="L423" i="4"/>
  <c r="C423" i="4"/>
  <c r="BE422" i="4"/>
  <c r="AV422" i="4"/>
  <c r="AR422" i="4"/>
  <c r="AQ422" i="4"/>
  <c r="AD422" i="4"/>
  <c r="U422" i="4"/>
  <c r="L422" i="4"/>
  <c r="C422" i="4"/>
  <c r="BE421" i="4"/>
  <c r="AV421" i="4"/>
  <c r="AR421" i="4"/>
  <c r="AQ421" i="4"/>
  <c r="AD421" i="4"/>
  <c r="U421" i="4"/>
  <c r="L421" i="4"/>
  <c r="C421" i="4"/>
  <c r="BE420" i="4"/>
  <c r="AV420" i="4"/>
  <c r="AR420" i="4"/>
  <c r="AQ420" i="4"/>
  <c r="AD420" i="4"/>
  <c r="U420" i="4"/>
  <c r="L420" i="4"/>
  <c r="C420" i="4"/>
  <c r="BE419" i="4"/>
  <c r="AV419" i="4"/>
  <c r="AR419" i="4"/>
  <c r="AQ419" i="4"/>
  <c r="AD419" i="4"/>
  <c r="U419" i="4"/>
  <c r="L419" i="4"/>
  <c r="C419" i="4"/>
  <c r="BE418" i="4"/>
  <c r="AV418" i="4"/>
  <c r="AR418" i="4"/>
  <c r="AQ418" i="4"/>
  <c r="AD418" i="4"/>
  <c r="U418" i="4"/>
  <c r="L418" i="4"/>
  <c r="C418" i="4"/>
  <c r="BE417" i="4"/>
  <c r="AV417" i="4"/>
  <c r="AR417" i="4"/>
  <c r="AQ417" i="4"/>
  <c r="AD417" i="4"/>
  <c r="U417" i="4"/>
  <c r="L417" i="4"/>
  <c r="C417" i="4"/>
  <c r="BE416" i="4"/>
  <c r="AV416" i="4"/>
  <c r="AR416" i="4"/>
  <c r="AQ416" i="4"/>
  <c r="AD416" i="4"/>
  <c r="U416" i="4"/>
  <c r="L416" i="4"/>
  <c r="C416" i="4"/>
  <c r="BE415" i="4"/>
  <c r="AV415" i="4"/>
  <c r="AR415" i="4"/>
  <c r="AQ415" i="4"/>
  <c r="AD415" i="4"/>
  <c r="U415" i="4"/>
  <c r="L415" i="4"/>
  <c r="C415" i="4"/>
  <c r="BE414" i="4"/>
  <c r="AV414" i="4"/>
  <c r="AR414" i="4"/>
  <c r="AQ414" i="4"/>
  <c r="AD414" i="4"/>
  <c r="U414" i="4"/>
  <c r="L414" i="4"/>
  <c r="C414" i="4"/>
  <c r="BE413" i="4"/>
  <c r="AV413" i="4"/>
  <c r="AR413" i="4"/>
  <c r="AQ413" i="4"/>
  <c r="AD413" i="4"/>
  <c r="U413" i="4"/>
  <c r="L413" i="4"/>
  <c r="C413" i="4"/>
  <c r="BE412" i="4"/>
  <c r="AV412" i="4"/>
  <c r="AR412" i="4"/>
  <c r="AQ412" i="4"/>
  <c r="AD412" i="4"/>
  <c r="U412" i="4"/>
  <c r="L412" i="4"/>
  <c r="C412" i="4"/>
  <c r="BE411" i="4"/>
  <c r="AV411" i="4"/>
  <c r="AR411" i="4"/>
  <c r="AQ411" i="4"/>
  <c r="AD411" i="4"/>
  <c r="U411" i="4"/>
  <c r="L411" i="4"/>
  <c r="C411" i="4"/>
  <c r="BE410" i="4"/>
  <c r="AV410" i="4"/>
  <c r="AR410" i="4"/>
  <c r="AQ410" i="4"/>
  <c r="AD410" i="4"/>
  <c r="U410" i="4"/>
  <c r="L410" i="4"/>
  <c r="C410" i="4"/>
  <c r="BE409" i="4"/>
  <c r="AV409" i="4"/>
  <c r="AR409" i="4"/>
  <c r="AQ409" i="4"/>
  <c r="AD409" i="4"/>
  <c r="U409" i="4"/>
  <c r="L409" i="4"/>
  <c r="C409" i="4"/>
  <c r="BE408" i="4"/>
  <c r="AV408" i="4"/>
  <c r="AR408" i="4"/>
  <c r="AQ408" i="4"/>
  <c r="AD408" i="4"/>
  <c r="U408" i="4"/>
  <c r="L408" i="4"/>
  <c r="C408" i="4"/>
  <c r="BE407" i="4"/>
  <c r="AV407" i="4"/>
  <c r="AR407" i="4"/>
  <c r="AQ407" i="4"/>
  <c r="AD407" i="4"/>
  <c r="U407" i="4"/>
  <c r="L407" i="4"/>
  <c r="C407" i="4"/>
  <c r="BE406" i="4"/>
  <c r="AV406" i="4"/>
  <c r="AR406" i="4"/>
  <c r="AQ406" i="4"/>
  <c r="AD406" i="4"/>
  <c r="U406" i="4"/>
  <c r="L406" i="4"/>
  <c r="C406" i="4"/>
  <c r="BE405" i="4"/>
  <c r="AV405" i="4"/>
  <c r="AR405" i="4"/>
  <c r="AQ405" i="4"/>
  <c r="AD405" i="4"/>
  <c r="U405" i="4"/>
  <c r="L405" i="4"/>
  <c r="C405" i="4"/>
  <c r="BE404" i="4"/>
  <c r="AV404" i="4"/>
  <c r="AR404" i="4"/>
  <c r="AQ404" i="4"/>
  <c r="AD404" i="4"/>
  <c r="U404" i="4"/>
  <c r="L404" i="4"/>
  <c r="C404" i="4"/>
  <c r="BE403" i="4"/>
  <c r="AV403" i="4"/>
  <c r="AR403" i="4"/>
  <c r="AQ403" i="4"/>
  <c r="AD403" i="4"/>
  <c r="U403" i="4"/>
  <c r="L403" i="4"/>
  <c r="C403" i="4"/>
  <c r="BE402" i="4"/>
  <c r="AV402" i="4"/>
  <c r="AR402" i="4"/>
  <c r="AQ402" i="4"/>
  <c r="AD402" i="4"/>
  <c r="U402" i="4"/>
  <c r="L402" i="4"/>
  <c r="C402" i="4"/>
  <c r="BE401" i="4"/>
  <c r="AV401" i="4"/>
  <c r="AR401" i="4"/>
  <c r="AQ401" i="4"/>
  <c r="AD401" i="4"/>
  <c r="U401" i="4"/>
  <c r="L401" i="4"/>
  <c r="C401" i="4"/>
  <c r="BE400" i="4"/>
  <c r="AV400" i="4"/>
  <c r="AR400" i="4"/>
  <c r="AQ400" i="4"/>
  <c r="AD400" i="4"/>
  <c r="U400" i="4"/>
  <c r="L400" i="4"/>
  <c r="C400" i="4"/>
  <c r="BE399" i="4"/>
  <c r="AV399" i="4"/>
  <c r="AR399" i="4"/>
  <c r="AQ399" i="4"/>
  <c r="AD399" i="4"/>
  <c r="U399" i="4"/>
  <c r="L399" i="4"/>
  <c r="C399" i="4"/>
  <c r="BE398" i="4"/>
  <c r="AV398" i="4"/>
  <c r="AR398" i="4"/>
  <c r="AR427" i="4" s="1"/>
  <c r="AQ398" i="4"/>
  <c r="AD398" i="4"/>
  <c r="U398" i="4"/>
  <c r="L398" i="4"/>
  <c r="C398" i="4"/>
  <c r="BE397" i="4"/>
  <c r="AV397" i="4"/>
  <c r="AR397" i="4"/>
  <c r="AQ397" i="4"/>
  <c r="AD397" i="4"/>
  <c r="U397" i="4"/>
  <c r="L397" i="4"/>
  <c r="C397" i="4"/>
  <c r="BE396" i="4"/>
  <c r="BE429" i="4" s="1"/>
  <c r="AV396" i="4"/>
  <c r="AR396" i="4"/>
  <c r="AQ396" i="4"/>
  <c r="AQ427" i="4" s="1"/>
  <c r="AD396" i="4"/>
  <c r="AD427" i="4" s="1"/>
  <c r="U396" i="4"/>
  <c r="U429" i="4" s="1"/>
  <c r="L396" i="4"/>
  <c r="L429" i="4" s="1"/>
  <c r="C396" i="4"/>
  <c r="C429" i="4" s="1"/>
  <c r="BL395" i="4"/>
  <c r="BK395" i="4"/>
  <c r="BJ395" i="4"/>
  <c r="BI395" i="4"/>
  <c r="BH395" i="4"/>
  <c r="BG395" i="4"/>
  <c r="BF395" i="4"/>
  <c r="BD395" i="4"/>
  <c r="AS395" i="4"/>
  <c r="AN395" i="4"/>
  <c r="BL394" i="4"/>
  <c r="BK394" i="4"/>
  <c r="BJ394" i="4"/>
  <c r="BI394" i="4"/>
  <c r="BH394" i="4"/>
  <c r="BG394" i="4"/>
  <c r="BF394" i="4"/>
  <c r="BE394" i="4"/>
  <c r="BD394" i="4"/>
  <c r="BC394" i="4"/>
  <c r="BB394" i="4"/>
  <c r="BA394" i="4"/>
  <c r="AZ394" i="4"/>
  <c r="AY394" i="4"/>
  <c r="AU394" i="4"/>
  <c r="AT394" i="4"/>
  <c r="AS394" i="4"/>
  <c r="AP394" i="4"/>
  <c r="AO394" i="4"/>
  <c r="AN394" i="4"/>
  <c r="AM394" i="4"/>
  <c r="AL394" i="4"/>
  <c r="AK394" i="4"/>
  <c r="AJ394" i="4"/>
  <c r="AI394" i="4"/>
  <c r="AH394" i="4"/>
  <c r="AG394" i="4"/>
  <c r="AF394" i="4"/>
  <c r="AE394" i="4"/>
  <c r="AC394" i="4"/>
  <c r="AB394" i="4"/>
  <c r="AA394" i="4"/>
  <c r="Z394" i="4"/>
  <c r="Y394" i="4"/>
  <c r="X394" i="4"/>
  <c r="W394" i="4"/>
  <c r="V394" i="4"/>
  <c r="U394" i="4"/>
  <c r="T394" i="4"/>
  <c r="S394" i="4"/>
  <c r="R394" i="4"/>
  <c r="Q394" i="4"/>
  <c r="P394" i="4"/>
  <c r="O394" i="4"/>
  <c r="N394" i="4"/>
  <c r="M394" i="4"/>
  <c r="K394" i="4"/>
  <c r="J394" i="4"/>
  <c r="I394" i="4"/>
  <c r="H394" i="4"/>
  <c r="G394" i="4"/>
  <c r="F394" i="4"/>
  <c r="E394" i="4"/>
  <c r="D394" i="4"/>
  <c r="BL393" i="4"/>
  <c r="BK393" i="4"/>
  <c r="BJ393" i="4"/>
  <c r="BI393" i="4"/>
  <c r="BH393" i="4"/>
  <c r="BG393" i="4"/>
  <c r="BF393" i="4"/>
  <c r="BD393" i="4"/>
  <c r="BC393" i="4"/>
  <c r="BB393" i="4"/>
  <c r="BA393" i="4"/>
  <c r="AZ393" i="4"/>
  <c r="AY393" i="4"/>
  <c r="AU393" i="4"/>
  <c r="AT393" i="4"/>
  <c r="AS393" i="4"/>
  <c r="AP393" i="4"/>
  <c r="AO393" i="4"/>
  <c r="AN393" i="4"/>
  <c r="AM393" i="4"/>
  <c r="AL393" i="4"/>
  <c r="AK393" i="4"/>
  <c r="AJ393" i="4"/>
  <c r="AI393" i="4"/>
  <c r="AH393" i="4"/>
  <c r="AG393" i="4"/>
  <c r="AF393" i="4"/>
  <c r="AE393" i="4"/>
  <c r="AC393" i="4"/>
  <c r="AB393" i="4"/>
  <c r="AA393" i="4"/>
  <c r="Z393" i="4"/>
  <c r="Y393" i="4"/>
  <c r="X393" i="4"/>
  <c r="W393" i="4"/>
  <c r="V393" i="4"/>
  <c r="U393" i="4"/>
  <c r="T393" i="4"/>
  <c r="S393" i="4"/>
  <c r="R393" i="4"/>
  <c r="Q393" i="4"/>
  <c r="P393" i="4"/>
  <c r="O393" i="4"/>
  <c r="N393" i="4"/>
  <c r="M393" i="4"/>
  <c r="K393" i="4"/>
  <c r="J393" i="4"/>
  <c r="I393" i="4"/>
  <c r="H393" i="4"/>
  <c r="G393" i="4"/>
  <c r="F393" i="4"/>
  <c r="E393" i="4"/>
  <c r="D393" i="4"/>
  <c r="BL392" i="4"/>
  <c r="BK392" i="4"/>
  <c r="BJ392" i="4"/>
  <c r="BI392" i="4"/>
  <c r="BH392" i="4"/>
  <c r="BG392" i="4"/>
  <c r="BF392" i="4"/>
  <c r="BD392" i="4"/>
  <c r="BC392" i="4"/>
  <c r="BB392" i="4"/>
  <c r="BA392" i="4"/>
  <c r="AZ392" i="4"/>
  <c r="AY392" i="4"/>
  <c r="AU392" i="4"/>
  <c r="AT392" i="4"/>
  <c r="AS392" i="4"/>
  <c r="AP392" i="4"/>
  <c r="AO392" i="4"/>
  <c r="AN392" i="4"/>
  <c r="AM392" i="4"/>
  <c r="AL392" i="4"/>
  <c r="AK392" i="4"/>
  <c r="AJ392" i="4"/>
  <c r="AI392" i="4"/>
  <c r="AH392" i="4"/>
  <c r="AG392" i="4"/>
  <c r="AF392" i="4"/>
  <c r="AE392" i="4"/>
  <c r="AC392" i="4"/>
  <c r="AB392" i="4"/>
  <c r="AA392" i="4"/>
  <c r="Z392" i="4"/>
  <c r="Y392" i="4"/>
  <c r="X392" i="4"/>
  <c r="W392" i="4"/>
  <c r="V392" i="4"/>
  <c r="T392" i="4"/>
  <c r="S392" i="4"/>
  <c r="R392" i="4"/>
  <c r="Q392" i="4"/>
  <c r="P392" i="4"/>
  <c r="O392" i="4"/>
  <c r="N392" i="4"/>
  <c r="M392" i="4"/>
  <c r="K392" i="4"/>
  <c r="J392" i="4"/>
  <c r="I392" i="4"/>
  <c r="H392" i="4"/>
  <c r="G392" i="4"/>
  <c r="F392" i="4"/>
  <c r="E392" i="4"/>
  <c r="D392" i="4"/>
  <c r="C392" i="4"/>
  <c r="BE391" i="4"/>
  <c r="AX391" i="4"/>
  <c r="AV391" i="4"/>
  <c r="AW391" i="4" s="1"/>
  <c r="AQ391" i="4"/>
  <c r="AR391" i="4" s="1"/>
  <c r="AD391" i="4"/>
  <c r="U391" i="4"/>
  <c r="L391" i="4"/>
  <c r="C391" i="4"/>
  <c r="BE390" i="4"/>
  <c r="AV390" i="4"/>
  <c r="AW390" i="4" s="1"/>
  <c r="AQ390" i="4"/>
  <c r="AR390" i="4" s="1"/>
  <c r="AX390" i="4" s="1"/>
  <c r="AD390" i="4"/>
  <c r="U390" i="4"/>
  <c r="L390" i="4"/>
  <c r="C390" i="4"/>
  <c r="BE389" i="4"/>
  <c r="AV389" i="4"/>
  <c r="AW389" i="4" s="1"/>
  <c r="AQ389" i="4"/>
  <c r="AR389" i="4" s="1"/>
  <c r="AD389" i="4"/>
  <c r="U389" i="4"/>
  <c r="L389" i="4"/>
  <c r="C389" i="4"/>
  <c r="BE388" i="4"/>
  <c r="AX388" i="4"/>
  <c r="AV388" i="4"/>
  <c r="AW388" i="4" s="1"/>
  <c r="AQ388" i="4"/>
  <c r="AR388" i="4" s="1"/>
  <c r="AD388" i="4"/>
  <c r="U388" i="4"/>
  <c r="L388" i="4"/>
  <c r="C388" i="4"/>
  <c r="BE387" i="4"/>
  <c r="AV387" i="4"/>
  <c r="AW387" i="4" s="1"/>
  <c r="AQ387" i="4"/>
  <c r="AR387" i="4" s="1"/>
  <c r="AD387" i="4"/>
  <c r="U387" i="4"/>
  <c r="L387" i="4"/>
  <c r="C387" i="4"/>
  <c r="BE386" i="4"/>
  <c r="AX386" i="4"/>
  <c r="AV386" i="4"/>
  <c r="AW386" i="4" s="1"/>
  <c r="AQ386" i="4"/>
  <c r="AR386" i="4" s="1"/>
  <c r="AD386" i="4"/>
  <c r="U386" i="4"/>
  <c r="L386" i="4"/>
  <c r="C386" i="4"/>
  <c r="BE385" i="4"/>
  <c r="AX385" i="4"/>
  <c r="AV385" i="4"/>
  <c r="AW385" i="4" s="1"/>
  <c r="AQ385" i="4"/>
  <c r="AR385" i="4" s="1"/>
  <c r="AD385" i="4"/>
  <c r="U385" i="4"/>
  <c r="L385" i="4"/>
  <c r="C385" i="4"/>
  <c r="BE384" i="4"/>
  <c r="AV384" i="4"/>
  <c r="AW384" i="4" s="1"/>
  <c r="AQ384" i="4"/>
  <c r="AR384" i="4" s="1"/>
  <c r="AD384" i="4"/>
  <c r="U384" i="4"/>
  <c r="L384" i="4"/>
  <c r="C384" i="4"/>
  <c r="BE383" i="4"/>
  <c r="AV383" i="4"/>
  <c r="AW383" i="4" s="1"/>
  <c r="AQ383" i="4"/>
  <c r="AR383" i="4" s="1"/>
  <c r="AX383" i="4" s="1"/>
  <c r="AD383" i="4"/>
  <c r="U383" i="4"/>
  <c r="L383" i="4"/>
  <c r="C383" i="4"/>
  <c r="BE382" i="4"/>
  <c r="AX382" i="4"/>
  <c r="AV382" i="4"/>
  <c r="AW382" i="4" s="1"/>
  <c r="AQ382" i="4"/>
  <c r="AR382" i="4" s="1"/>
  <c r="AD382" i="4"/>
  <c r="U382" i="4"/>
  <c r="L382" i="4"/>
  <c r="C382" i="4"/>
  <c r="BE381" i="4"/>
  <c r="AV381" i="4"/>
  <c r="AW381" i="4" s="1"/>
  <c r="AQ381" i="4"/>
  <c r="AR381" i="4" s="1"/>
  <c r="AD381" i="4"/>
  <c r="U381" i="4"/>
  <c r="L381" i="4"/>
  <c r="C381" i="4"/>
  <c r="BE380" i="4"/>
  <c r="AX380" i="4"/>
  <c r="AV380" i="4"/>
  <c r="AW380" i="4" s="1"/>
  <c r="AQ380" i="4"/>
  <c r="AR380" i="4" s="1"/>
  <c r="AD380" i="4"/>
  <c r="U380" i="4"/>
  <c r="L380" i="4"/>
  <c r="C380" i="4"/>
  <c r="BE379" i="4"/>
  <c r="AX379" i="4"/>
  <c r="AV379" i="4"/>
  <c r="AW379" i="4" s="1"/>
  <c r="AQ379" i="4"/>
  <c r="AR379" i="4" s="1"/>
  <c r="AD379" i="4"/>
  <c r="U379" i="4"/>
  <c r="L379" i="4"/>
  <c r="C379" i="4"/>
  <c r="BE378" i="4"/>
  <c r="AV378" i="4"/>
  <c r="AW378" i="4" s="1"/>
  <c r="AQ378" i="4"/>
  <c r="AR378" i="4" s="1"/>
  <c r="AD378" i="4"/>
  <c r="U378" i="4"/>
  <c r="L378" i="4"/>
  <c r="C378" i="4"/>
  <c r="BE377" i="4"/>
  <c r="AV377" i="4"/>
  <c r="AW377" i="4" s="1"/>
  <c r="AQ377" i="4"/>
  <c r="AR377" i="4" s="1"/>
  <c r="AD377" i="4"/>
  <c r="U377" i="4"/>
  <c r="L377" i="4"/>
  <c r="C377" i="4"/>
  <c r="BE376" i="4"/>
  <c r="AX376" i="4"/>
  <c r="AV376" i="4"/>
  <c r="AW376" i="4" s="1"/>
  <c r="AQ376" i="4"/>
  <c r="AR376" i="4" s="1"/>
  <c r="AD376" i="4"/>
  <c r="U376" i="4"/>
  <c r="L376" i="4"/>
  <c r="C376" i="4"/>
  <c r="BE375" i="4"/>
  <c r="AV375" i="4"/>
  <c r="AW375" i="4" s="1"/>
  <c r="AQ375" i="4"/>
  <c r="AR375" i="4" s="1"/>
  <c r="AD375" i="4"/>
  <c r="U375" i="4"/>
  <c r="L375" i="4"/>
  <c r="C375" i="4"/>
  <c r="BE374" i="4"/>
  <c r="AX374" i="4"/>
  <c r="AV374" i="4"/>
  <c r="AW374" i="4" s="1"/>
  <c r="AQ374" i="4"/>
  <c r="AR374" i="4" s="1"/>
  <c r="AD374" i="4"/>
  <c r="U374" i="4"/>
  <c r="L374" i="4"/>
  <c r="C374" i="4"/>
  <c r="BE373" i="4"/>
  <c r="AX373" i="4"/>
  <c r="AV373" i="4"/>
  <c r="AW373" i="4" s="1"/>
  <c r="AQ373" i="4"/>
  <c r="AR373" i="4" s="1"/>
  <c r="AD373" i="4"/>
  <c r="U373" i="4"/>
  <c r="L373" i="4"/>
  <c r="C373" i="4"/>
  <c r="BE372" i="4"/>
  <c r="AV372" i="4"/>
  <c r="AW372" i="4" s="1"/>
  <c r="AQ372" i="4"/>
  <c r="AR372" i="4" s="1"/>
  <c r="AD372" i="4"/>
  <c r="U372" i="4"/>
  <c r="L372" i="4"/>
  <c r="C372" i="4"/>
  <c r="BE371" i="4"/>
  <c r="AV371" i="4"/>
  <c r="AW371" i="4" s="1"/>
  <c r="AQ371" i="4"/>
  <c r="AR371" i="4" s="1"/>
  <c r="AD371" i="4"/>
  <c r="U371" i="4"/>
  <c r="L371" i="4"/>
  <c r="C371" i="4"/>
  <c r="BE370" i="4"/>
  <c r="AX370" i="4"/>
  <c r="AV370" i="4"/>
  <c r="AW370" i="4" s="1"/>
  <c r="AQ370" i="4"/>
  <c r="AR370" i="4" s="1"/>
  <c r="AD370" i="4"/>
  <c r="U370" i="4"/>
  <c r="L370" i="4"/>
  <c r="C370" i="4"/>
  <c r="BE369" i="4"/>
  <c r="AV369" i="4"/>
  <c r="AW369" i="4" s="1"/>
  <c r="AQ369" i="4"/>
  <c r="AR369" i="4" s="1"/>
  <c r="AD369" i="4"/>
  <c r="U369" i="4"/>
  <c r="L369" i="4"/>
  <c r="C369" i="4"/>
  <c r="BE368" i="4"/>
  <c r="AX368" i="4"/>
  <c r="AV368" i="4"/>
  <c r="AW368" i="4" s="1"/>
  <c r="AQ368" i="4"/>
  <c r="AR368" i="4" s="1"/>
  <c r="AD368" i="4"/>
  <c r="U368" i="4"/>
  <c r="L368" i="4"/>
  <c r="C368" i="4"/>
  <c r="BE367" i="4"/>
  <c r="AX367" i="4"/>
  <c r="AV367" i="4"/>
  <c r="AW367" i="4" s="1"/>
  <c r="AQ367" i="4"/>
  <c r="AR367" i="4" s="1"/>
  <c r="AD367" i="4"/>
  <c r="U367" i="4"/>
  <c r="L367" i="4"/>
  <c r="C367" i="4"/>
  <c r="BE366" i="4"/>
  <c r="AV366" i="4"/>
  <c r="AW366" i="4" s="1"/>
  <c r="AQ366" i="4"/>
  <c r="AR366" i="4" s="1"/>
  <c r="AD366" i="4"/>
  <c r="U366" i="4"/>
  <c r="L366" i="4"/>
  <c r="C366" i="4"/>
  <c r="BE365" i="4"/>
  <c r="AV365" i="4"/>
  <c r="AW365" i="4" s="1"/>
  <c r="AQ365" i="4"/>
  <c r="AR365" i="4" s="1"/>
  <c r="AD365" i="4"/>
  <c r="U365" i="4"/>
  <c r="L365" i="4"/>
  <c r="C365" i="4"/>
  <c r="BE364" i="4"/>
  <c r="AX364" i="4"/>
  <c r="AV364" i="4"/>
  <c r="AW364" i="4" s="1"/>
  <c r="AQ364" i="4"/>
  <c r="AR364" i="4" s="1"/>
  <c r="AD364" i="4"/>
  <c r="U364" i="4"/>
  <c r="L364" i="4"/>
  <c r="C364" i="4"/>
  <c r="BE363" i="4"/>
  <c r="AV363" i="4"/>
  <c r="AW363" i="4" s="1"/>
  <c r="AQ363" i="4"/>
  <c r="AR363" i="4" s="1"/>
  <c r="AD363" i="4"/>
  <c r="U363" i="4"/>
  <c r="L363" i="4"/>
  <c r="C363" i="4"/>
  <c r="BE362" i="4"/>
  <c r="BE395" i="4" s="1"/>
  <c r="AV362" i="4"/>
  <c r="AV394" i="4" s="1"/>
  <c r="AQ362" i="4"/>
  <c r="AQ394" i="4" s="1"/>
  <c r="AD362" i="4"/>
  <c r="AD394" i="4" s="1"/>
  <c r="U362" i="4"/>
  <c r="U392" i="4" s="1"/>
  <c r="L362" i="4"/>
  <c r="L394" i="4" s="1"/>
  <c r="C362" i="4"/>
  <c r="C394" i="4" s="1"/>
  <c r="BL361" i="4"/>
  <c r="BK361" i="4"/>
  <c r="BJ361" i="4"/>
  <c r="BI361" i="4"/>
  <c r="BH361" i="4"/>
  <c r="BG361" i="4"/>
  <c r="BF361" i="4"/>
  <c r="BD361" i="4"/>
  <c r="AS361" i="4"/>
  <c r="AN361" i="4"/>
  <c r="BL360" i="4"/>
  <c r="BK360" i="4"/>
  <c r="BJ360" i="4"/>
  <c r="BI360" i="4"/>
  <c r="BH360" i="4"/>
  <c r="BG360" i="4"/>
  <c r="BF360" i="4"/>
  <c r="BD360" i="4"/>
  <c r="BC360" i="4"/>
  <c r="BB360" i="4"/>
  <c r="BA360" i="4"/>
  <c r="AZ360" i="4"/>
  <c r="AY360" i="4"/>
  <c r="AU360" i="4"/>
  <c r="AT360" i="4"/>
  <c r="AS360" i="4"/>
  <c r="AP360" i="4"/>
  <c r="AO360" i="4"/>
  <c r="AN360" i="4"/>
  <c r="AM360" i="4"/>
  <c r="AL360" i="4"/>
  <c r="AK360" i="4"/>
  <c r="AJ360" i="4"/>
  <c r="AI360" i="4"/>
  <c r="AH360" i="4"/>
  <c r="AG360" i="4"/>
  <c r="AF360" i="4"/>
  <c r="AE360" i="4"/>
  <c r="AC360" i="4"/>
  <c r="AB360" i="4"/>
  <c r="AA360" i="4"/>
  <c r="Z360" i="4"/>
  <c r="Y360" i="4"/>
  <c r="X360" i="4"/>
  <c r="W360" i="4"/>
  <c r="V360" i="4"/>
  <c r="T360" i="4"/>
  <c r="S360" i="4"/>
  <c r="R360" i="4"/>
  <c r="Q360" i="4"/>
  <c r="P360" i="4"/>
  <c r="O360" i="4"/>
  <c r="N360" i="4"/>
  <c r="M360" i="4"/>
  <c r="K360" i="4"/>
  <c r="J360" i="4"/>
  <c r="I360" i="4"/>
  <c r="H360" i="4"/>
  <c r="G360" i="4"/>
  <c r="F360" i="4"/>
  <c r="E360" i="4"/>
  <c r="D360" i="4"/>
  <c r="C360" i="4"/>
  <c r="BL359" i="4"/>
  <c r="BK359" i="4"/>
  <c r="BJ359" i="4"/>
  <c r="BI359" i="4"/>
  <c r="BH359" i="4"/>
  <c r="BG359" i="4"/>
  <c r="BF359" i="4"/>
  <c r="BD359" i="4"/>
  <c r="BC359" i="4"/>
  <c r="BB359" i="4"/>
  <c r="BA359" i="4"/>
  <c r="AZ359" i="4"/>
  <c r="AY359" i="4"/>
  <c r="AU359" i="4"/>
  <c r="AT359" i="4"/>
  <c r="AS359" i="4"/>
  <c r="AP359" i="4"/>
  <c r="AO359" i="4"/>
  <c r="AN359" i="4"/>
  <c r="AM359" i="4"/>
  <c r="AL359" i="4"/>
  <c r="AK359" i="4"/>
  <c r="AJ359" i="4"/>
  <c r="AI359" i="4"/>
  <c r="AH359" i="4"/>
  <c r="AG359" i="4"/>
  <c r="AF359" i="4"/>
  <c r="AE359" i="4"/>
  <c r="AC359" i="4"/>
  <c r="AB359" i="4"/>
  <c r="AA359" i="4"/>
  <c r="Z359" i="4"/>
  <c r="Y359" i="4"/>
  <c r="X359" i="4"/>
  <c r="W359" i="4"/>
  <c r="V359" i="4"/>
  <c r="T359" i="4"/>
  <c r="S359" i="4"/>
  <c r="R359" i="4"/>
  <c r="Q359" i="4"/>
  <c r="P359" i="4"/>
  <c r="O359" i="4"/>
  <c r="N359" i="4"/>
  <c r="M359" i="4"/>
  <c r="K359" i="4"/>
  <c r="J359" i="4"/>
  <c r="I359" i="4"/>
  <c r="H359" i="4"/>
  <c r="G359" i="4"/>
  <c r="F359" i="4"/>
  <c r="E359" i="4"/>
  <c r="D359" i="4"/>
  <c r="BL358" i="4"/>
  <c r="BK358" i="4"/>
  <c r="BJ358" i="4"/>
  <c r="BI358" i="4"/>
  <c r="BH358" i="4"/>
  <c r="BG358" i="4"/>
  <c r="BF358" i="4"/>
  <c r="BD358" i="4"/>
  <c r="BC358" i="4"/>
  <c r="BB358" i="4"/>
  <c r="BA358" i="4"/>
  <c r="AZ358" i="4"/>
  <c r="AY358" i="4"/>
  <c r="AU358" i="4"/>
  <c r="AT358" i="4"/>
  <c r="AS358" i="4"/>
  <c r="AP358" i="4"/>
  <c r="AO358" i="4"/>
  <c r="AN358" i="4"/>
  <c r="AM358" i="4"/>
  <c r="AL358" i="4"/>
  <c r="AK358" i="4"/>
  <c r="AJ358" i="4"/>
  <c r="AI358" i="4"/>
  <c r="AH358" i="4"/>
  <c r="AG358" i="4"/>
  <c r="AF358" i="4"/>
  <c r="AE358" i="4"/>
  <c r="AD358" i="4"/>
  <c r="AC358" i="4"/>
  <c r="AB358" i="4"/>
  <c r="AA358" i="4"/>
  <c r="Z358" i="4"/>
  <c r="Y358" i="4"/>
  <c r="X358" i="4"/>
  <c r="W358" i="4"/>
  <c r="V358" i="4"/>
  <c r="T358" i="4"/>
  <c r="S358" i="4"/>
  <c r="R358" i="4"/>
  <c r="Q358" i="4"/>
  <c r="P358" i="4"/>
  <c r="O358" i="4"/>
  <c r="N358" i="4"/>
  <c r="M358" i="4"/>
  <c r="K358" i="4"/>
  <c r="J358" i="4"/>
  <c r="I358" i="4"/>
  <c r="H358" i="4"/>
  <c r="G358" i="4"/>
  <c r="F358" i="4"/>
  <c r="E358" i="4"/>
  <c r="D358" i="4"/>
  <c r="BE357" i="4"/>
  <c r="AV357" i="4"/>
  <c r="AQ357" i="4"/>
  <c r="AR357" i="4" s="1"/>
  <c r="AD357" i="4"/>
  <c r="U357" i="4"/>
  <c r="L357" i="4"/>
  <c r="C357" i="4"/>
  <c r="BE356" i="4"/>
  <c r="AV356" i="4"/>
  <c r="AQ356" i="4"/>
  <c r="AR356" i="4" s="1"/>
  <c r="AD356" i="4"/>
  <c r="U356" i="4"/>
  <c r="L356" i="4"/>
  <c r="C356" i="4"/>
  <c r="BE355" i="4"/>
  <c r="AV355" i="4"/>
  <c r="AQ355" i="4"/>
  <c r="AR355" i="4" s="1"/>
  <c r="AD355" i="4"/>
  <c r="U355" i="4"/>
  <c r="L355" i="4"/>
  <c r="C355" i="4"/>
  <c r="BE354" i="4"/>
  <c r="AV354" i="4"/>
  <c r="AQ354" i="4"/>
  <c r="AR354" i="4" s="1"/>
  <c r="AD354" i="4"/>
  <c r="U354" i="4"/>
  <c r="L354" i="4"/>
  <c r="C354" i="4"/>
  <c r="BE353" i="4"/>
  <c r="AV353" i="4"/>
  <c r="AQ353" i="4"/>
  <c r="AR353" i="4" s="1"/>
  <c r="AD353" i="4"/>
  <c r="U353" i="4"/>
  <c r="L353" i="4"/>
  <c r="C353" i="4"/>
  <c r="BE352" i="4"/>
  <c r="AV352" i="4"/>
  <c r="AQ352" i="4"/>
  <c r="AR352" i="4" s="1"/>
  <c r="AD352" i="4"/>
  <c r="U352" i="4"/>
  <c r="L352" i="4"/>
  <c r="C352" i="4"/>
  <c r="BE351" i="4"/>
  <c r="AV351" i="4"/>
  <c r="AQ351" i="4"/>
  <c r="AR351" i="4" s="1"/>
  <c r="AD351" i="4"/>
  <c r="U351" i="4"/>
  <c r="L351" i="4"/>
  <c r="C351" i="4"/>
  <c r="BE350" i="4"/>
  <c r="AV350" i="4"/>
  <c r="AQ350" i="4"/>
  <c r="AR350" i="4" s="1"/>
  <c r="AD350" i="4"/>
  <c r="U350" i="4"/>
  <c r="L350" i="4"/>
  <c r="C350" i="4"/>
  <c r="BE349" i="4"/>
  <c r="AV349" i="4"/>
  <c r="AQ349" i="4"/>
  <c r="AR349" i="4" s="1"/>
  <c r="AD349" i="4"/>
  <c r="U349" i="4"/>
  <c r="L349" i="4"/>
  <c r="C349" i="4"/>
  <c r="BE348" i="4"/>
  <c r="AV348" i="4"/>
  <c r="AQ348" i="4"/>
  <c r="AR348" i="4" s="1"/>
  <c r="AD348" i="4"/>
  <c r="U348" i="4"/>
  <c r="L348" i="4"/>
  <c r="C348" i="4"/>
  <c r="BE347" i="4"/>
  <c r="AV347" i="4"/>
  <c r="AQ347" i="4"/>
  <c r="AR347" i="4" s="1"/>
  <c r="AD347" i="4"/>
  <c r="U347" i="4"/>
  <c r="L347" i="4"/>
  <c r="C347" i="4"/>
  <c r="BE346" i="4"/>
  <c r="AV346" i="4"/>
  <c r="AQ346" i="4"/>
  <c r="AR346" i="4" s="1"/>
  <c r="AD346" i="4"/>
  <c r="U346" i="4"/>
  <c r="L346" i="4"/>
  <c r="C346" i="4"/>
  <c r="BE345" i="4"/>
  <c r="AV345" i="4"/>
  <c r="AQ345" i="4"/>
  <c r="AR345" i="4" s="1"/>
  <c r="AD345" i="4"/>
  <c r="U345" i="4"/>
  <c r="L345" i="4"/>
  <c r="C345" i="4"/>
  <c r="BE344" i="4"/>
  <c r="AV344" i="4"/>
  <c r="AQ344" i="4"/>
  <c r="AR344" i="4" s="1"/>
  <c r="AD344" i="4"/>
  <c r="U344" i="4"/>
  <c r="L344" i="4"/>
  <c r="C344" i="4"/>
  <c r="BE343" i="4"/>
  <c r="AV343" i="4"/>
  <c r="AQ343" i="4"/>
  <c r="AR343" i="4" s="1"/>
  <c r="AD343" i="4"/>
  <c r="U343" i="4"/>
  <c r="L343" i="4"/>
  <c r="C343" i="4"/>
  <c r="BE342" i="4"/>
  <c r="AV342" i="4"/>
  <c r="AQ342" i="4"/>
  <c r="AR342" i="4" s="1"/>
  <c r="AD342" i="4"/>
  <c r="U342" i="4"/>
  <c r="L342" i="4"/>
  <c r="C342" i="4"/>
  <c r="BE341" i="4"/>
  <c r="AV341" i="4"/>
  <c r="AQ341" i="4"/>
  <c r="AR341" i="4" s="1"/>
  <c r="AD341" i="4"/>
  <c r="U341" i="4"/>
  <c r="L341" i="4"/>
  <c r="C341" i="4"/>
  <c r="BE340" i="4"/>
  <c r="AV340" i="4"/>
  <c r="AQ340" i="4"/>
  <c r="AR340" i="4" s="1"/>
  <c r="AD340" i="4"/>
  <c r="U340" i="4"/>
  <c r="L340" i="4"/>
  <c r="C340" i="4"/>
  <c r="BE339" i="4"/>
  <c r="AV339" i="4"/>
  <c r="AQ339" i="4"/>
  <c r="AR339" i="4" s="1"/>
  <c r="AD339" i="4"/>
  <c r="U339" i="4"/>
  <c r="L339" i="4"/>
  <c r="C339" i="4"/>
  <c r="BE338" i="4"/>
  <c r="AV338" i="4"/>
  <c r="AQ338" i="4"/>
  <c r="AR338" i="4" s="1"/>
  <c r="AD338" i="4"/>
  <c r="U338" i="4"/>
  <c r="L338" i="4"/>
  <c r="C338" i="4"/>
  <c r="BE337" i="4"/>
  <c r="AV337" i="4"/>
  <c r="AQ337" i="4"/>
  <c r="AR337" i="4" s="1"/>
  <c r="AD337" i="4"/>
  <c r="U337" i="4"/>
  <c r="L337" i="4"/>
  <c r="C337" i="4"/>
  <c r="BE336" i="4"/>
  <c r="AV336" i="4"/>
  <c r="AQ336" i="4"/>
  <c r="AR336" i="4" s="1"/>
  <c r="AD336" i="4"/>
  <c r="U336" i="4"/>
  <c r="L336" i="4"/>
  <c r="C336" i="4"/>
  <c r="BE335" i="4"/>
  <c r="AV335" i="4"/>
  <c r="AQ335" i="4"/>
  <c r="AR335" i="4" s="1"/>
  <c r="AD335" i="4"/>
  <c r="U335" i="4"/>
  <c r="L335" i="4"/>
  <c r="C335" i="4"/>
  <c r="BE334" i="4"/>
  <c r="AV334" i="4"/>
  <c r="AQ334" i="4"/>
  <c r="AR334" i="4" s="1"/>
  <c r="AD334" i="4"/>
  <c r="U334" i="4"/>
  <c r="L334" i="4"/>
  <c r="C334" i="4"/>
  <c r="BE333" i="4"/>
  <c r="AV333" i="4"/>
  <c r="AQ333" i="4"/>
  <c r="AR333" i="4" s="1"/>
  <c r="AD333" i="4"/>
  <c r="U333" i="4"/>
  <c r="L333" i="4"/>
  <c r="C333" i="4"/>
  <c r="BE332" i="4"/>
  <c r="AV332" i="4"/>
  <c r="AQ332" i="4"/>
  <c r="AR332" i="4" s="1"/>
  <c r="AD332" i="4"/>
  <c r="U332" i="4"/>
  <c r="L332" i="4"/>
  <c r="C332" i="4"/>
  <c r="BE331" i="4"/>
  <c r="AV331" i="4"/>
  <c r="AQ331" i="4"/>
  <c r="AR331" i="4" s="1"/>
  <c r="AD331" i="4"/>
  <c r="U331" i="4"/>
  <c r="L331" i="4"/>
  <c r="C331" i="4"/>
  <c r="BE330" i="4"/>
  <c r="AV330" i="4"/>
  <c r="AQ330" i="4"/>
  <c r="AR330" i="4" s="1"/>
  <c r="AD330" i="4"/>
  <c r="U330" i="4"/>
  <c r="L330" i="4"/>
  <c r="C330" i="4"/>
  <c r="BE329" i="4"/>
  <c r="AV329" i="4"/>
  <c r="AQ329" i="4"/>
  <c r="AR329" i="4" s="1"/>
  <c r="AD329" i="4"/>
  <c r="U329" i="4"/>
  <c r="L329" i="4"/>
  <c r="C329" i="4"/>
  <c r="BE328" i="4"/>
  <c r="BE358" i="4" s="1"/>
  <c r="AV328" i="4"/>
  <c r="AV360" i="4" s="1"/>
  <c r="AQ328" i="4"/>
  <c r="AR328" i="4" s="1"/>
  <c r="AD328" i="4"/>
  <c r="U328" i="4"/>
  <c r="L328" i="4"/>
  <c r="C328" i="4"/>
  <c r="BE327" i="4"/>
  <c r="AV327" i="4"/>
  <c r="AV359" i="4" s="1"/>
  <c r="AQ327" i="4"/>
  <c r="AQ359" i="4" s="1"/>
  <c r="AD327" i="4"/>
  <c r="AD359" i="4" s="1"/>
  <c r="U327" i="4"/>
  <c r="U360" i="4" s="1"/>
  <c r="L327" i="4"/>
  <c r="L358" i="4" s="1"/>
  <c r="C327" i="4"/>
  <c r="C359" i="4" s="1"/>
  <c r="BL326" i="4"/>
  <c r="BK326" i="4"/>
  <c r="BJ326" i="4"/>
  <c r="BI326" i="4"/>
  <c r="BH326" i="4"/>
  <c r="BG326" i="4"/>
  <c r="BF326" i="4"/>
  <c r="BD326" i="4"/>
  <c r="AS326" i="4"/>
  <c r="AN326" i="4"/>
  <c r="BL325" i="4"/>
  <c r="BK325" i="4"/>
  <c r="BJ325" i="4"/>
  <c r="BI325" i="4"/>
  <c r="BH325" i="4"/>
  <c r="BG325" i="4"/>
  <c r="BF325" i="4"/>
  <c r="BD325" i="4"/>
  <c r="BC325" i="4"/>
  <c r="BB325" i="4"/>
  <c r="BA325" i="4"/>
  <c r="AZ325" i="4"/>
  <c r="AY325" i="4"/>
  <c r="AU325" i="4"/>
  <c r="AT325" i="4"/>
  <c r="AS325" i="4"/>
  <c r="AP325" i="4"/>
  <c r="AO325" i="4"/>
  <c r="AN325" i="4"/>
  <c r="AM325" i="4"/>
  <c r="AL325" i="4"/>
  <c r="AK325" i="4"/>
  <c r="AJ325" i="4"/>
  <c r="AI325" i="4"/>
  <c r="AH325" i="4"/>
  <c r="AG325" i="4"/>
  <c r="AF325" i="4"/>
  <c r="AE325" i="4"/>
  <c r="AC325" i="4"/>
  <c r="AB325" i="4"/>
  <c r="AA325" i="4"/>
  <c r="Z325" i="4"/>
  <c r="Y325" i="4"/>
  <c r="X325" i="4"/>
  <c r="W325" i="4"/>
  <c r="V325" i="4"/>
  <c r="T325" i="4"/>
  <c r="S325" i="4"/>
  <c r="R325" i="4"/>
  <c r="Q325" i="4"/>
  <c r="P325" i="4"/>
  <c r="O325" i="4"/>
  <c r="N325" i="4"/>
  <c r="M325" i="4"/>
  <c r="K325" i="4"/>
  <c r="J325" i="4"/>
  <c r="I325" i="4"/>
  <c r="H325" i="4"/>
  <c r="G325" i="4"/>
  <c r="F325" i="4"/>
  <c r="E325" i="4"/>
  <c r="D325" i="4"/>
  <c r="BL324" i="4"/>
  <c r="BK324" i="4"/>
  <c r="BJ324" i="4"/>
  <c r="BI324" i="4"/>
  <c r="BH324" i="4"/>
  <c r="BG324" i="4"/>
  <c r="BF324" i="4"/>
  <c r="BD324" i="4"/>
  <c r="BC324" i="4"/>
  <c r="BB324" i="4"/>
  <c r="BA324" i="4"/>
  <c r="AZ324" i="4"/>
  <c r="AY324" i="4"/>
  <c r="AU324" i="4"/>
  <c r="AT324" i="4"/>
  <c r="AS324" i="4"/>
  <c r="AP324" i="4"/>
  <c r="AO324" i="4"/>
  <c r="AN324" i="4"/>
  <c r="AM324" i="4"/>
  <c r="AL324" i="4"/>
  <c r="AK324" i="4"/>
  <c r="AJ324" i="4"/>
  <c r="AI324" i="4"/>
  <c r="AH324" i="4"/>
  <c r="AG324" i="4"/>
  <c r="AF324" i="4"/>
  <c r="AE324" i="4"/>
  <c r="AC324" i="4"/>
  <c r="AB324" i="4"/>
  <c r="AA324" i="4"/>
  <c r="Z324" i="4"/>
  <c r="Y324" i="4"/>
  <c r="X324" i="4"/>
  <c r="W324" i="4"/>
  <c r="V324" i="4"/>
  <c r="T324" i="4"/>
  <c r="S324" i="4"/>
  <c r="R324" i="4"/>
  <c r="Q324" i="4"/>
  <c r="P324" i="4"/>
  <c r="O324" i="4"/>
  <c r="N324" i="4"/>
  <c r="M324" i="4"/>
  <c r="K324" i="4"/>
  <c r="J324" i="4"/>
  <c r="I324" i="4"/>
  <c r="H324" i="4"/>
  <c r="G324" i="4"/>
  <c r="F324" i="4"/>
  <c r="E324" i="4"/>
  <c r="D324" i="4"/>
  <c r="BL323" i="4"/>
  <c r="BK323" i="4"/>
  <c r="BJ323" i="4"/>
  <c r="BI323" i="4"/>
  <c r="BH323" i="4"/>
  <c r="BG323" i="4"/>
  <c r="BF323" i="4"/>
  <c r="BD323" i="4"/>
  <c r="BC323" i="4"/>
  <c r="BB323" i="4"/>
  <c r="BA323" i="4"/>
  <c r="AZ323" i="4"/>
  <c r="AY323" i="4"/>
  <c r="AU323" i="4"/>
  <c r="AT323" i="4"/>
  <c r="AS323" i="4"/>
  <c r="AP323" i="4"/>
  <c r="AO323" i="4"/>
  <c r="AN323" i="4"/>
  <c r="AM323" i="4"/>
  <c r="AL323" i="4"/>
  <c r="AK323" i="4"/>
  <c r="AJ323" i="4"/>
  <c r="AI323" i="4"/>
  <c r="AH323" i="4"/>
  <c r="AG323" i="4"/>
  <c r="AF323" i="4"/>
  <c r="AE323" i="4"/>
  <c r="AC323" i="4"/>
  <c r="AB323" i="4"/>
  <c r="AA323" i="4"/>
  <c r="Z323" i="4"/>
  <c r="Y323" i="4"/>
  <c r="X323" i="4"/>
  <c r="W323" i="4"/>
  <c r="V323" i="4"/>
  <c r="T323" i="4"/>
  <c r="S323" i="4"/>
  <c r="R323" i="4"/>
  <c r="Q323" i="4"/>
  <c r="P323" i="4"/>
  <c r="O323" i="4"/>
  <c r="N323" i="4"/>
  <c r="M323" i="4"/>
  <c r="K323" i="4"/>
  <c r="J323" i="4"/>
  <c r="I323" i="4"/>
  <c r="H323" i="4"/>
  <c r="G323" i="4"/>
  <c r="F323" i="4"/>
  <c r="E323" i="4"/>
  <c r="D323" i="4"/>
  <c r="BE322" i="4"/>
  <c r="AW322" i="4"/>
  <c r="AV322" i="4"/>
  <c r="AQ322" i="4"/>
  <c r="AR322" i="4" s="1"/>
  <c r="AX322" i="4" s="1"/>
  <c r="AD322" i="4"/>
  <c r="U322" i="4"/>
  <c r="L322" i="4"/>
  <c r="C322" i="4"/>
  <c r="BE321" i="4"/>
  <c r="AW321" i="4"/>
  <c r="AV321" i="4"/>
  <c r="AX321" i="4" s="1"/>
  <c r="AR321" i="4"/>
  <c r="AQ321" i="4"/>
  <c r="AD321" i="4"/>
  <c r="U321" i="4"/>
  <c r="L321" i="4"/>
  <c r="C321" i="4"/>
  <c r="BE320" i="4"/>
  <c r="AV320" i="4"/>
  <c r="AR320" i="4"/>
  <c r="AQ320" i="4"/>
  <c r="AD320" i="4"/>
  <c r="U320" i="4"/>
  <c r="L320" i="4"/>
  <c r="C320" i="4"/>
  <c r="BE319" i="4"/>
  <c r="AV319" i="4"/>
  <c r="AR319" i="4"/>
  <c r="AQ319" i="4"/>
  <c r="AD319" i="4"/>
  <c r="U319" i="4"/>
  <c r="L319" i="4"/>
  <c r="C319" i="4"/>
  <c r="BE318" i="4"/>
  <c r="AV318" i="4"/>
  <c r="AW318" i="4" s="1"/>
  <c r="AQ318" i="4"/>
  <c r="AR318" i="4" s="1"/>
  <c r="AD318" i="4"/>
  <c r="U318" i="4"/>
  <c r="L318" i="4"/>
  <c r="C318" i="4"/>
  <c r="BE317" i="4"/>
  <c r="AW317" i="4"/>
  <c r="AV317" i="4"/>
  <c r="AQ317" i="4"/>
  <c r="AR317" i="4" s="1"/>
  <c r="AX317" i="4" s="1"/>
  <c r="AD317" i="4"/>
  <c r="U317" i="4"/>
  <c r="L317" i="4"/>
  <c r="C317" i="4"/>
  <c r="BE316" i="4"/>
  <c r="AV316" i="4"/>
  <c r="AW316" i="4" s="1"/>
  <c r="AQ316" i="4"/>
  <c r="AR316" i="4" s="1"/>
  <c r="AD316" i="4"/>
  <c r="U316" i="4"/>
  <c r="L316" i="4"/>
  <c r="C316" i="4"/>
  <c r="BE315" i="4"/>
  <c r="AW315" i="4"/>
  <c r="AX315" i="4" s="1"/>
  <c r="AV315" i="4"/>
  <c r="AR315" i="4"/>
  <c r="AQ315" i="4"/>
  <c r="AD315" i="4"/>
  <c r="U315" i="4"/>
  <c r="L315" i="4"/>
  <c r="C315" i="4"/>
  <c r="BE314" i="4"/>
  <c r="AV314" i="4"/>
  <c r="AQ314" i="4"/>
  <c r="AR314" i="4" s="1"/>
  <c r="AD314" i="4"/>
  <c r="U314" i="4"/>
  <c r="L314" i="4"/>
  <c r="C314" i="4"/>
  <c r="C325" i="4" s="1"/>
  <c r="BE313" i="4"/>
  <c r="AV313" i="4"/>
  <c r="AR313" i="4"/>
  <c r="AQ313" i="4"/>
  <c r="AD313" i="4"/>
  <c r="U313" i="4"/>
  <c r="L313" i="4"/>
  <c r="C313" i="4"/>
  <c r="BE312" i="4"/>
  <c r="AV312" i="4"/>
  <c r="AW312" i="4" s="1"/>
  <c r="AQ312" i="4"/>
  <c r="AR312" i="4" s="1"/>
  <c r="AX312" i="4" s="1"/>
  <c r="AD312" i="4"/>
  <c r="U312" i="4"/>
  <c r="L312" i="4"/>
  <c r="C312" i="4"/>
  <c r="BE311" i="4"/>
  <c r="AW311" i="4"/>
  <c r="AV311" i="4"/>
  <c r="AQ311" i="4"/>
  <c r="AR311" i="4" s="1"/>
  <c r="AX311" i="4" s="1"/>
  <c r="AD311" i="4"/>
  <c r="U311" i="4"/>
  <c r="L311" i="4"/>
  <c r="C311" i="4"/>
  <c r="BE310" i="4"/>
  <c r="AW310" i="4"/>
  <c r="AV310" i="4"/>
  <c r="AQ310" i="4"/>
  <c r="AR310" i="4" s="1"/>
  <c r="AX310" i="4" s="1"/>
  <c r="AD310" i="4"/>
  <c r="U310" i="4"/>
  <c r="U324" i="4" s="1"/>
  <c r="L310" i="4"/>
  <c r="C310" i="4"/>
  <c r="BE309" i="4"/>
  <c r="AW309" i="4"/>
  <c r="AV309" i="4"/>
  <c r="AX309" i="4" s="1"/>
  <c r="AR309" i="4"/>
  <c r="AQ309" i="4"/>
  <c r="AD309" i="4"/>
  <c r="U309" i="4"/>
  <c r="L309" i="4"/>
  <c r="C309" i="4"/>
  <c r="BE308" i="4"/>
  <c r="AW308" i="4"/>
  <c r="AV308" i="4"/>
  <c r="AX308" i="4" s="1"/>
  <c r="AR308" i="4"/>
  <c r="AQ308" i="4"/>
  <c r="AD308" i="4"/>
  <c r="U308" i="4"/>
  <c r="L308" i="4"/>
  <c r="C308" i="4"/>
  <c r="BE307" i="4"/>
  <c r="AW307" i="4"/>
  <c r="AV307" i="4"/>
  <c r="AX307" i="4" s="1"/>
  <c r="AR307" i="4"/>
  <c r="AQ307" i="4"/>
  <c r="AD307" i="4"/>
  <c r="U307" i="4"/>
  <c r="L307" i="4"/>
  <c r="C307" i="4"/>
  <c r="BE306" i="4"/>
  <c r="AW306" i="4"/>
  <c r="AV306" i="4"/>
  <c r="AX306" i="4" s="1"/>
  <c r="AR306" i="4"/>
  <c r="AQ306" i="4"/>
  <c r="AD306" i="4"/>
  <c r="U306" i="4"/>
  <c r="L306" i="4"/>
  <c r="C306" i="4"/>
  <c r="BE305" i="4"/>
  <c r="AW305" i="4"/>
  <c r="AV305" i="4"/>
  <c r="AX305" i="4" s="1"/>
  <c r="AR305" i="4"/>
  <c r="AQ305" i="4"/>
  <c r="AD305" i="4"/>
  <c r="U305" i="4"/>
  <c r="L305" i="4"/>
  <c r="C305" i="4"/>
  <c r="BE304" i="4"/>
  <c r="AW304" i="4"/>
  <c r="AV304" i="4"/>
  <c r="AX304" i="4" s="1"/>
  <c r="AR304" i="4"/>
  <c r="AQ304" i="4"/>
  <c r="AD304" i="4"/>
  <c r="U304" i="4"/>
  <c r="L304" i="4"/>
  <c r="C304" i="4"/>
  <c r="BE303" i="4"/>
  <c r="AW303" i="4"/>
  <c r="AV303" i="4"/>
  <c r="AX303" i="4" s="1"/>
  <c r="AR303" i="4"/>
  <c r="AQ303" i="4"/>
  <c r="AD303" i="4"/>
  <c r="U303" i="4"/>
  <c r="L303" i="4"/>
  <c r="C303" i="4"/>
  <c r="BE302" i="4"/>
  <c r="AW302" i="4"/>
  <c r="AV302" i="4"/>
  <c r="AX302" i="4" s="1"/>
  <c r="AR302" i="4"/>
  <c r="AQ302" i="4"/>
  <c r="AD302" i="4"/>
  <c r="U302" i="4"/>
  <c r="L302" i="4"/>
  <c r="C302" i="4"/>
  <c r="BE301" i="4"/>
  <c r="AW301" i="4"/>
  <c r="AV301" i="4"/>
  <c r="AX301" i="4" s="1"/>
  <c r="AR301" i="4"/>
  <c r="AQ301" i="4"/>
  <c r="AD301" i="4"/>
  <c r="U301" i="4"/>
  <c r="L301" i="4"/>
  <c r="C301" i="4"/>
  <c r="BE300" i="4"/>
  <c r="AW300" i="4"/>
  <c r="AV300" i="4"/>
  <c r="AX300" i="4" s="1"/>
  <c r="AR300" i="4"/>
  <c r="AQ300" i="4"/>
  <c r="AD300" i="4"/>
  <c r="U300" i="4"/>
  <c r="L300" i="4"/>
  <c r="C300" i="4"/>
  <c r="BE299" i="4"/>
  <c r="AW299" i="4"/>
  <c r="AV299" i="4"/>
  <c r="AX299" i="4" s="1"/>
  <c r="AR299" i="4"/>
  <c r="AQ299" i="4"/>
  <c r="AD299" i="4"/>
  <c r="U299" i="4"/>
  <c r="L299" i="4"/>
  <c r="C299" i="4"/>
  <c r="BE298" i="4"/>
  <c r="AW298" i="4"/>
  <c r="AV298" i="4"/>
  <c r="AX298" i="4" s="1"/>
  <c r="AR298" i="4"/>
  <c r="AQ298" i="4"/>
  <c r="AD298" i="4"/>
  <c r="U298" i="4"/>
  <c r="L298" i="4"/>
  <c r="C298" i="4"/>
  <c r="BE297" i="4"/>
  <c r="AW297" i="4"/>
  <c r="AV297" i="4"/>
  <c r="AX297" i="4" s="1"/>
  <c r="AR297" i="4"/>
  <c r="AQ297" i="4"/>
  <c r="AD297" i="4"/>
  <c r="U297" i="4"/>
  <c r="L297" i="4"/>
  <c r="C297" i="4"/>
  <c r="BE296" i="4"/>
  <c r="AW296" i="4"/>
  <c r="AV296" i="4"/>
  <c r="AX296" i="4" s="1"/>
  <c r="AR296" i="4"/>
  <c r="AQ296" i="4"/>
  <c r="AD296" i="4"/>
  <c r="U296" i="4"/>
  <c r="L296" i="4"/>
  <c r="C296" i="4"/>
  <c r="BE295" i="4"/>
  <c r="AW295" i="4"/>
  <c r="AV295" i="4"/>
  <c r="AX295" i="4" s="1"/>
  <c r="AR295" i="4"/>
  <c r="AQ295" i="4"/>
  <c r="AD295" i="4"/>
  <c r="U295" i="4"/>
  <c r="L295" i="4"/>
  <c r="C295" i="4"/>
  <c r="BE294" i="4"/>
  <c r="AW294" i="4"/>
  <c r="AV294" i="4"/>
  <c r="AX294" i="4" s="1"/>
  <c r="AR294" i="4"/>
  <c r="AQ294" i="4"/>
  <c r="AD294" i="4"/>
  <c r="U294" i="4"/>
  <c r="L294" i="4"/>
  <c r="C294" i="4"/>
  <c r="BE293" i="4"/>
  <c r="BE324" i="4" s="1"/>
  <c r="AW293" i="4"/>
  <c r="AV293" i="4"/>
  <c r="AX293" i="4" s="1"/>
  <c r="AR293" i="4"/>
  <c r="AQ293" i="4"/>
  <c r="AQ324" i="4" s="1"/>
  <c r="AD293" i="4"/>
  <c r="U293" i="4"/>
  <c r="U323" i="4" s="1"/>
  <c r="L293" i="4"/>
  <c r="L323" i="4" s="1"/>
  <c r="C293" i="4"/>
  <c r="BL292" i="4"/>
  <c r="BK292" i="4"/>
  <c r="BJ292" i="4"/>
  <c r="BI292" i="4"/>
  <c r="BH292" i="4"/>
  <c r="BG292" i="4"/>
  <c r="BF292" i="4"/>
  <c r="BE292" i="4"/>
  <c r="BD292" i="4"/>
  <c r="AS292" i="4"/>
  <c r="AN292" i="4"/>
  <c r="BL291" i="4"/>
  <c r="BK291" i="4"/>
  <c r="BJ291" i="4"/>
  <c r="BI291" i="4"/>
  <c r="BH291" i="4"/>
  <c r="BG291" i="4"/>
  <c r="BF291" i="4"/>
  <c r="BD291" i="4"/>
  <c r="BC291" i="4"/>
  <c r="BB291" i="4"/>
  <c r="BA291" i="4"/>
  <c r="AZ291" i="4"/>
  <c r="AY291" i="4"/>
  <c r="AU291" i="4"/>
  <c r="AT291" i="4"/>
  <c r="AS291" i="4"/>
  <c r="AQ291" i="4"/>
  <c r="AP291" i="4"/>
  <c r="AO291" i="4"/>
  <c r="AN291" i="4"/>
  <c r="AM291" i="4"/>
  <c r="AL291" i="4"/>
  <c r="AK291" i="4"/>
  <c r="AJ291" i="4"/>
  <c r="AI291" i="4"/>
  <c r="AH291" i="4"/>
  <c r="AG291" i="4"/>
  <c r="AF291" i="4"/>
  <c r="AE291" i="4"/>
  <c r="AC291" i="4"/>
  <c r="AB291" i="4"/>
  <c r="AA291" i="4"/>
  <c r="Z291" i="4"/>
  <c r="Y291" i="4"/>
  <c r="X291" i="4"/>
  <c r="W291" i="4"/>
  <c r="V291" i="4"/>
  <c r="T291" i="4"/>
  <c r="S291" i="4"/>
  <c r="R291" i="4"/>
  <c r="Q291" i="4"/>
  <c r="P291" i="4"/>
  <c r="O291" i="4"/>
  <c r="N291" i="4"/>
  <c r="M291" i="4"/>
  <c r="L291" i="4"/>
  <c r="K291" i="4"/>
  <c r="J291" i="4"/>
  <c r="I291" i="4"/>
  <c r="H291" i="4"/>
  <c r="G291" i="4"/>
  <c r="F291" i="4"/>
  <c r="E291" i="4"/>
  <c r="D291" i="4"/>
  <c r="BL290" i="4"/>
  <c r="BK290" i="4"/>
  <c r="BJ290" i="4"/>
  <c r="BI290" i="4"/>
  <c r="BH290" i="4"/>
  <c r="BG290" i="4"/>
  <c r="BF290" i="4"/>
  <c r="BE290" i="4"/>
  <c r="BD290" i="4"/>
  <c r="BC290" i="4"/>
  <c r="BB290" i="4"/>
  <c r="BA290" i="4"/>
  <c r="AZ290" i="4"/>
  <c r="AY290" i="4"/>
  <c r="AU290" i="4"/>
  <c r="AT290" i="4"/>
  <c r="AS290" i="4"/>
  <c r="AP290" i="4"/>
  <c r="AO290" i="4"/>
  <c r="AN290" i="4"/>
  <c r="AM290" i="4"/>
  <c r="AL290" i="4"/>
  <c r="AK290" i="4"/>
  <c r="AJ290" i="4"/>
  <c r="AI290" i="4"/>
  <c r="AH290" i="4"/>
  <c r="AG290" i="4"/>
  <c r="AF290" i="4"/>
  <c r="AE290" i="4"/>
  <c r="AC290" i="4"/>
  <c r="AB290" i="4"/>
  <c r="AA290" i="4"/>
  <c r="Z290" i="4"/>
  <c r="Y290" i="4"/>
  <c r="X290" i="4"/>
  <c r="W290" i="4"/>
  <c r="V290" i="4"/>
  <c r="U290" i="4"/>
  <c r="T290" i="4"/>
  <c r="S290" i="4"/>
  <c r="R290" i="4"/>
  <c r="Q290" i="4"/>
  <c r="P290" i="4"/>
  <c r="O290" i="4"/>
  <c r="N290" i="4"/>
  <c r="M290" i="4"/>
  <c r="K290" i="4"/>
  <c r="J290" i="4"/>
  <c r="I290" i="4"/>
  <c r="H290" i="4"/>
  <c r="G290" i="4"/>
  <c r="F290" i="4"/>
  <c r="E290" i="4"/>
  <c r="D290" i="4"/>
  <c r="BL289" i="4"/>
  <c r="BK289" i="4"/>
  <c r="BJ289" i="4"/>
  <c r="BI289" i="4"/>
  <c r="BH289" i="4"/>
  <c r="BG289" i="4"/>
  <c r="BF289" i="4"/>
  <c r="BD289" i="4"/>
  <c r="BC289" i="4"/>
  <c r="BB289" i="4"/>
  <c r="BA289" i="4"/>
  <c r="AZ289" i="4"/>
  <c r="AY289" i="4"/>
  <c r="AU289" i="4"/>
  <c r="AT289" i="4"/>
  <c r="AS289" i="4"/>
  <c r="AP289" i="4"/>
  <c r="AO289" i="4"/>
  <c r="AN289" i="4"/>
  <c r="AM289" i="4"/>
  <c r="AL289" i="4"/>
  <c r="AK289" i="4"/>
  <c r="AJ289" i="4"/>
  <c r="AI289" i="4"/>
  <c r="AH289" i="4"/>
  <c r="AG289" i="4"/>
  <c r="AF289" i="4"/>
  <c r="AE289" i="4"/>
  <c r="AC289" i="4"/>
  <c r="AB289" i="4"/>
  <c r="AA289" i="4"/>
  <c r="Z289" i="4"/>
  <c r="Y289" i="4"/>
  <c r="X289" i="4"/>
  <c r="W289" i="4"/>
  <c r="V289" i="4"/>
  <c r="T289" i="4"/>
  <c r="S289" i="4"/>
  <c r="R289" i="4"/>
  <c r="Q289" i="4"/>
  <c r="P289" i="4"/>
  <c r="O289" i="4"/>
  <c r="N289" i="4"/>
  <c r="M289" i="4"/>
  <c r="L289" i="4"/>
  <c r="K289" i="4"/>
  <c r="J289" i="4"/>
  <c r="I289" i="4"/>
  <c r="H289" i="4"/>
  <c r="G289" i="4"/>
  <c r="F289" i="4"/>
  <c r="E289" i="4"/>
  <c r="D289" i="4"/>
  <c r="BE288" i="4"/>
  <c r="AV288" i="4"/>
  <c r="AR288" i="4"/>
  <c r="AQ288" i="4"/>
  <c r="AD288" i="4"/>
  <c r="U288" i="4"/>
  <c r="L288" i="4"/>
  <c r="C288" i="4"/>
  <c r="BE287" i="4"/>
  <c r="AV287" i="4"/>
  <c r="AR287" i="4"/>
  <c r="AQ287" i="4"/>
  <c r="AD287" i="4"/>
  <c r="U287" i="4"/>
  <c r="L287" i="4"/>
  <c r="C287" i="4"/>
  <c r="BE286" i="4"/>
  <c r="AV286" i="4"/>
  <c r="AR286" i="4"/>
  <c r="AQ286" i="4"/>
  <c r="AD286" i="4"/>
  <c r="U286" i="4"/>
  <c r="L286" i="4"/>
  <c r="C286" i="4"/>
  <c r="BE285" i="4"/>
  <c r="AV285" i="4"/>
  <c r="AR285" i="4"/>
  <c r="AQ285" i="4"/>
  <c r="AD285" i="4"/>
  <c r="U285" i="4"/>
  <c r="L285" i="4"/>
  <c r="C285" i="4"/>
  <c r="BE284" i="4"/>
  <c r="AV284" i="4"/>
  <c r="AR284" i="4"/>
  <c r="AQ284" i="4"/>
  <c r="AD284" i="4"/>
  <c r="U284" i="4"/>
  <c r="L284" i="4"/>
  <c r="C284" i="4"/>
  <c r="BE283" i="4"/>
  <c r="AV283" i="4"/>
  <c r="AR283" i="4"/>
  <c r="AQ283" i="4"/>
  <c r="AD283" i="4"/>
  <c r="U283" i="4"/>
  <c r="L283" i="4"/>
  <c r="C283" i="4"/>
  <c r="BE282" i="4"/>
  <c r="AV282" i="4"/>
  <c r="AR282" i="4"/>
  <c r="AQ282" i="4"/>
  <c r="AD282" i="4"/>
  <c r="U282" i="4"/>
  <c r="L282" i="4"/>
  <c r="C282" i="4"/>
  <c r="BE281" i="4"/>
  <c r="AV281" i="4"/>
  <c r="AR281" i="4"/>
  <c r="AQ281" i="4"/>
  <c r="AD281" i="4"/>
  <c r="U281" i="4"/>
  <c r="L281" i="4"/>
  <c r="C281" i="4"/>
  <c r="BE280" i="4"/>
  <c r="AV280" i="4"/>
  <c r="AR280" i="4"/>
  <c r="AQ280" i="4"/>
  <c r="AD280" i="4"/>
  <c r="U280" i="4"/>
  <c r="L280" i="4"/>
  <c r="C280" i="4"/>
  <c r="BE279" i="4"/>
  <c r="AV279" i="4"/>
  <c r="AR279" i="4"/>
  <c r="AQ279" i="4"/>
  <c r="AD279" i="4"/>
  <c r="U279" i="4"/>
  <c r="L279" i="4"/>
  <c r="C279" i="4"/>
  <c r="BE278" i="4"/>
  <c r="AV278" i="4"/>
  <c r="AR278" i="4"/>
  <c r="AQ278" i="4"/>
  <c r="AD278" i="4"/>
  <c r="U278" i="4"/>
  <c r="L278" i="4"/>
  <c r="C278" i="4"/>
  <c r="BE277" i="4"/>
  <c r="AV277" i="4"/>
  <c r="AR277" i="4"/>
  <c r="AQ277" i="4"/>
  <c r="AD277" i="4"/>
  <c r="U277" i="4"/>
  <c r="L277" i="4"/>
  <c r="C277" i="4"/>
  <c r="BE276" i="4"/>
  <c r="AV276" i="4"/>
  <c r="AR276" i="4"/>
  <c r="AQ276" i="4"/>
  <c r="AD276" i="4"/>
  <c r="U276" i="4"/>
  <c r="L276" i="4"/>
  <c r="C276" i="4"/>
  <c r="BE275" i="4"/>
  <c r="AV275" i="4"/>
  <c r="AR275" i="4"/>
  <c r="AQ275" i="4"/>
  <c r="AD275" i="4"/>
  <c r="U275" i="4"/>
  <c r="L275" i="4"/>
  <c r="C275" i="4"/>
  <c r="BE274" i="4"/>
  <c r="AV274" i="4"/>
  <c r="AR274" i="4"/>
  <c r="AQ274" i="4"/>
  <c r="AD274" i="4"/>
  <c r="U274" i="4"/>
  <c r="L274" i="4"/>
  <c r="C274" i="4"/>
  <c r="BE273" i="4"/>
  <c r="AV273" i="4"/>
  <c r="AR273" i="4"/>
  <c r="AQ273" i="4"/>
  <c r="AD273" i="4"/>
  <c r="U273" i="4"/>
  <c r="L273" i="4"/>
  <c r="C273" i="4"/>
  <c r="BE272" i="4"/>
  <c r="AV272" i="4"/>
  <c r="AR272" i="4"/>
  <c r="AQ272" i="4"/>
  <c r="AD272" i="4"/>
  <c r="U272" i="4"/>
  <c r="L272" i="4"/>
  <c r="C272" i="4"/>
  <c r="BE271" i="4"/>
  <c r="AV271" i="4"/>
  <c r="AR271" i="4"/>
  <c r="AQ271" i="4"/>
  <c r="AD271" i="4"/>
  <c r="U271" i="4"/>
  <c r="L271" i="4"/>
  <c r="C271" i="4"/>
  <c r="BE270" i="4"/>
  <c r="AV270" i="4"/>
  <c r="AR270" i="4"/>
  <c r="AQ270" i="4"/>
  <c r="AD270" i="4"/>
  <c r="U270" i="4"/>
  <c r="L270" i="4"/>
  <c r="C270" i="4"/>
  <c r="BE269" i="4"/>
  <c r="AV269" i="4"/>
  <c r="AR269" i="4"/>
  <c r="AQ269" i="4"/>
  <c r="AD269" i="4"/>
  <c r="U269" i="4"/>
  <c r="L269" i="4"/>
  <c r="C269" i="4"/>
  <c r="BE268" i="4"/>
  <c r="AV268" i="4"/>
  <c r="AR268" i="4"/>
  <c r="AQ268" i="4"/>
  <c r="AD268" i="4"/>
  <c r="U268" i="4"/>
  <c r="L268" i="4"/>
  <c r="C268" i="4"/>
  <c r="BE267" i="4"/>
  <c r="AV267" i="4"/>
  <c r="AR267" i="4"/>
  <c r="AQ267" i="4"/>
  <c r="AD267" i="4"/>
  <c r="U267" i="4"/>
  <c r="L267" i="4"/>
  <c r="C267" i="4"/>
  <c r="BE266" i="4"/>
  <c r="AV266" i="4"/>
  <c r="AR266" i="4"/>
  <c r="AQ266" i="4"/>
  <c r="AD266" i="4"/>
  <c r="U266" i="4"/>
  <c r="L266" i="4"/>
  <c r="C266" i="4"/>
  <c r="BE265" i="4"/>
  <c r="AV265" i="4"/>
  <c r="AR265" i="4"/>
  <c r="AQ265" i="4"/>
  <c r="AD265" i="4"/>
  <c r="U265" i="4"/>
  <c r="L265" i="4"/>
  <c r="C265" i="4"/>
  <c r="BE264" i="4"/>
  <c r="AV264" i="4"/>
  <c r="AR264" i="4"/>
  <c r="AQ264" i="4"/>
  <c r="AD264" i="4"/>
  <c r="U264" i="4"/>
  <c r="L264" i="4"/>
  <c r="C264" i="4"/>
  <c r="BE263" i="4"/>
  <c r="AV263" i="4"/>
  <c r="AR263" i="4"/>
  <c r="AQ263" i="4"/>
  <c r="AD263" i="4"/>
  <c r="U263" i="4"/>
  <c r="L263" i="4"/>
  <c r="C263" i="4"/>
  <c r="BE262" i="4"/>
  <c r="AV262" i="4"/>
  <c r="AR262" i="4"/>
  <c r="AQ262" i="4"/>
  <c r="AD262" i="4"/>
  <c r="U262" i="4"/>
  <c r="L262" i="4"/>
  <c r="C262" i="4"/>
  <c r="BE261" i="4"/>
  <c r="AV261" i="4"/>
  <c r="AR261" i="4"/>
  <c r="AQ261" i="4"/>
  <c r="AD261" i="4"/>
  <c r="U261" i="4"/>
  <c r="L261" i="4"/>
  <c r="C261" i="4"/>
  <c r="BE260" i="4"/>
  <c r="AV260" i="4"/>
  <c r="AR260" i="4"/>
  <c r="AQ260" i="4"/>
  <c r="AD260" i="4"/>
  <c r="U260" i="4"/>
  <c r="L260" i="4"/>
  <c r="C260" i="4"/>
  <c r="BE259" i="4"/>
  <c r="AV259" i="4"/>
  <c r="AR259" i="4"/>
  <c r="AQ259" i="4"/>
  <c r="AD259" i="4"/>
  <c r="U259" i="4"/>
  <c r="L259" i="4"/>
  <c r="C259" i="4"/>
  <c r="BE258" i="4"/>
  <c r="BE291" i="4" s="1"/>
  <c r="AV258" i="4"/>
  <c r="AR258" i="4"/>
  <c r="AR289" i="4" s="1"/>
  <c r="AQ258" i="4"/>
  <c r="AQ289" i="4" s="1"/>
  <c r="AD258" i="4"/>
  <c r="AD290" i="4" s="1"/>
  <c r="U258" i="4"/>
  <c r="U291" i="4" s="1"/>
  <c r="L258" i="4"/>
  <c r="L290" i="4" s="1"/>
  <c r="C258" i="4"/>
  <c r="C291" i="4" s="1"/>
  <c r="BL257" i="4"/>
  <c r="BK257" i="4"/>
  <c r="BJ257" i="4"/>
  <c r="BI257" i="4"/>
  <c r="BH257" i="4"/>
  <c r="BG257" i="4"/>
  <c r="BF257" i="4"/>
  <c r="BD257" i="4"/>
  <c r="AS257" i="4"/>
  <c r="AN257" i="4"/>
  <c r="BL256" i="4"/>
  <c r="BK256" i="4"/>
  <c r="BJ256" i="4"/>
  <c r="BI256" i="4"/>
  <c r="BH256" i="4"/>
  <c r="BG256" i="4"/>
  <c r="BF256" i="4"/>
  <c r="BD256" i="4"/>
  <c r="BC256" i="4"/>
  <c r="BB256" i="4"/>
  <c r="BA256" i="4"/>
  <c r="AZ256" i="4"/>
  <c r="AY256" i="4"/>
  <c r="AV256" i="4"/>
  <c r="AU256" i="4"/>
  <c r="AT256" i="4"/>
  <c r="AS256" i="4"/>
  <c r="AP256" i="4"/>
  <c r="AO256" i="4"/>
  <c r="AN256" i="4"/>
  <c r="AM256" i="4"/>
  <c r="AL256" i="4"/>
  <c r="AK256" i="4"/>
  <c r="AJ256" i="4"/>
  <c r="AI256" i="4"/>
  <c r="AH256" i="4"/>
  <c r="AG256" i="4"/>
  <c r="AF256" i="4"/>
  <c r="AE256" i="4"/>
  <c r="AD256" i="4"/>
  <c r="AC256" i="4"/>
  <c r="AB256" i="4"/>
  <c r="AA256" i="4"/>
  <c r="Z256" i="4"/>
  <c r="Y256" i="4"/>
  <c r="X256" i="4"/>
  <c r="W256" i="4"/>
  <c r="V256" i="4"/>
  <c r="T256" i="4"/>
  <c r="S256" i="4"/>
  <c r="R256" i="4"/>
  <c r="Q256" i="4"/>
  <c r="P256" i="4"/>
  <c r="O256" i="4"/>
  <c r="N256" i="4"/>
  <c r="M256" i="4"/>
  <c r="L256" i="4"/>
  <c r="K256" i="4"/>
  <c r="J256" i="4"/>
  <c r="I256" i="4"/>
  <c r="H256" i="4"/>
  <c r="G256" i="4"/>
  <c r="F256" i="4"/>
  <c r="E256" i="4"/>
  <c r="D256" i="4"/>
  <c r="BL255" i="4"/>
  <c r="BK255" i="4"/>
  <c r="BJ255" i="4"/>
  <c r="BI255" i="4"/>
  <c r="BH255" i="4"/>
  <c r="BG255" i="4"/>
  <c r="BF255" i="4"/>
  <c r="BD255" i="4"/>
  <c r="BC255" i="4"/>
  <c r="BB255" i="4"/>
  <c r="BA255" i="4"/>
  <c r="AZ255" i="4"/>
  <c r="AY255" i="4"/>
  <c r="AU255" i="4"/>
  <c r="AT255" i="4"/>
  <c r="AS255" i="4"/>
  <c r="AP255" i="4"/>
  <c r="AO255" i="4"/>
  <c r="AN255" i="4"/>
  <c r="AM255" i="4"/>
  <c r="AL255" i="4"/>
  <c r="AK255" i="4"/>
  <c r="AJ255" i="4"/>
  <c r="AI255" i="4"/>
  <c r="AH255" i="4"/>
  <c r="AG255" i="4"/>
  <c r="AF255" i="4"/>
  <c r="AE255" i="4"/>
  <c r="AC255" i="4"/>
  <c r="AB255" i="4"/>
  <c r="AA255" i="4"/>
  <c r="Z255" i="4"/>
  <c r="Y255" i="4"/>
  <c r="X255" i="4"/>
  <c r="W255" i="4"/>
  <c r="V255" i="4"/>
  <c r="T255" i="4"/>
  <c r="S255" i="4"/>
  <c r="R255" i="4"/>
  <c r="Q255" i="4"/>
  <c r="P255" i="4"/>
  <c r="O255" i="4"/>
  <c r="N255" i="4"/>
  <c r="M255" i="4"/>
  <c r="K255" i="4"/>
  <c r="J255" i="4"/>
  <c r="I255" i="4"/>
  <c r="H255" i="4"/>
  <c r="G255" i="4"/>
  <c r="F255" i="4"/>
  <c r="E255" i="4"/>
  <c r="D255" i="4"/>
  <c r="BL254" i="4"/>
  <c r="BK254" i="4"/>
  <c r="BJ254" i="4"/>
  <c r="BI254" i="4"/>
  <c r="BH254" i="4"/>
  <c r="BG254" i="4"/>
  <c r="BF254" i="4"/>
  <c r="BE254" i="4"/>
  <c r="BD254" i="4"/>
  <c r="BC254" i="4"/>
  <c r="BB254" i="4"/>
  <c r="BA254" i="4"/>
  <c r="AZ254" i="4"/>
  <c r="AY254" i="4"/>
  <c r="AU254" i="4"/>
  <c r="AT254" i="4"/>
  <c r="AS254" i="4"/>
  <c r="AP254" i="4"/>
  <c r="AO254" i="4"/>
  <c r="AN254" i="4"/>
  <c r="AM254" i="4"/>
  <c r="AL254" i="4"/>
  <c r="AK254" i="4"/>
  <c r="AJ254" i="4"/>
  <c r="AI254" i="4"/>
  <c r="AH254" i="4"/>
  <c r="AG254" i="4"/>
  <c r="AF254" i="4"/>
  <c r="AE254" i="4"/>
  <c r="AC254" i="4"/>
  <c r="AB254" i="4"/>
  <c r="AA254" i="4"/>
  <c r="Z254" i="4"/>
  <c r="Y254" i="4"/>
  <c r="X254" i="4"/>
  <c r="W254" i="4"/>
  <c r="V254" i="4"/>
  <c r="U254" i="4"/>
  <c r="T254" i="4"/>
  <c r="S254" i="4"/>
  <c r="R254" i="4"/>
  <c r="Q254" i="4"/>
  <c r="P254" i="4"/>
  <c r="O254" i="4"/>
  <c r="N254" i="4"/>
  <c r="M254" i="4"/>
  <c r="K254" i="4"/>
  <c r="J254" i="4"/>
  <c r="I254" i="4"/>
  <c r="H254" i="4"/>
  <c r="G254" i="4"/>
  <c r="F254" i="4"/>
  <c r="E254" i="4"/>
  <c r="D254" i="4"/>
  <c r="BE253" i="4"/>
  <c r="AV253" i="4"/>
  <c r="AR253" i="4"/>
  <c r="AQ253" i="4"/>
  <c r="AD253" i="4"/>
  <c r="U253" i="4"/>
  <c r="L253" i="4"/>
  <c r="C253" i="4"/>
  <c r="BE252" i="4"/>
  <c r="AV252" i="4"/>
  <c r="AR252" i="4"/>
  <c r="AQ252" i="4"/>
  <c r="AD252" i="4"/>
  <c r="U252" i="4"/>
  <c r="L252" i="4"/>
  <c r="C252" i="4"/>
  <c r="BE251" i="4"/>
  <c r="AV251" i="4"/>
  <c r="AR251" i="4"/>
  <c r="AQ251" i="4"/>
  <c r="AD251" i="4"/>
  <c r="U251" i="4"/>
  <c r="L251" i="4"/>
  <c r="C251" i="4"/>
  <c r="BE250" i="4"/>
  <c r="AV250" i="4"/>
  <c r="AR250" i="4"/>
  <c r="AQ250" i="4"/>
  <c r="AD250" i="4"/>
  <c r="U250" i="4"/>
  <c r="L250" i="4"/>
  <c r="C250" i="4"/>
  <c r="BE249" i="4"/>
  <c r="AV249" i="4"/>
  <c r="AR249" i="4"/>
  <c r="AQ249" i="4"/>
  <c r="AD249" i="4"/>
  <c r="U249" i="4"/>
  <c r="L249" i="4"/>
  <c r="C249" i="4"/>
  <c r="BE248" i="4"/>
  <c r="AV248" i="4"/>
  <c r="AQ248" i="4"/>
  <c r="AR248" i="4" s="1"/>
  <c r="AD248" i="4"/>
  <c r="U248" i="4"/>
  <c r="L248" i="4"/>
  <c r="C248" i="4"/>
  <c r="BE247" i="4"/>
  <c r="AV247" i="4"/>
  <c r="AR247" i="4"/>
  <c r="AQ247" i="4"/>
  <c r="AD247" i="4"/>
  <c r="U247" i="4"/>
  <c r="L247" i="4"/>
  <c r="C247" i="4"/>
  <c r="BE246" i="4"/>
  <c r="AV246" i="4"/>
  <c r="AQ246" i="4"/>
  <c r="AR246" i="4" s="1"/>
  <c r="AD246" i="4"/>
  <c r="U246" i="4"/>
  <c r="L246" i="4"/>
  <c r="C246" i="4"/>
  <c r="BE245" i="4"/>
  <c r="AV245" i="4"/>
  <c r="AR245" i="4"/>
  <c r="AQ245" i="4"/>
  <c r="AD245" i="4"/>
  <c r="U245" i="4"/>
  <c r="L245" i="4"/>
  <c r="C245" i="4"/>
  <c r="BE244" i="4"/>
  <c r="AV244" i="4"/>
  <c r="AQ244" i="4"/>
  <c r="AR244" i="4" s="1"/>
  <c r="AD244" i="4"/>
  <c r="U244" i="4"/>
  <c r="L244" i="4"/>
  <c r="C244" i="4"/>
  <c r="BE243" i="4"/>
  <c r="AV243" i="4"/>
  <c r="AR243" i="4"/>
  <c r="AQ243" i="4"/>
  <c r="AD243" i="4"/>
  <c r="U243" i="4"/>
  <c r="L243" i="4"/>
  <c r="C243" i="4"/>
  <c r="BE242" i="4"/>
  <c r="AV242" i="4"/>
  <c r="AQ242" i="4"/>
  <c r="AR242" i="4" s="1"/>
  <c r="AD242" i="4"/>
  <c r="U242" i="4"/>
  <c r="L242" i="4"/>
  <c r="C242" i="4"/>
  <c r="BE241" i="4"/>
  <c r="AV241" i="4"/>
  <c r="AR241" i="4"/>
  <c r="AQ241" i="4"/>
  <c r="AD241" i="4"/>
  <c r="U241" i="4"/>
  <c r="L241" i="4"/>
  <c r="C241" i="4"/>
  <c r="BE240" i="4"/>
  <c r="AV240" i="4"/>
  <c r="AQ240" i="4"/>
  <c r="AR240" i="4" s="1"/>
  <c r="AD240" i="4"/>
  <c r="U240" i="4"/>
  <c r="L240" i="4"/>
  <c r="C240" i="4"/>
  <c r="BE239" i="4"/>
  <c r="AV239" i="4"/>
  <c r="AR239" i="4"/>
  <c r="AQ239" i="4"/>
  <c r="AD239" i="4"/>
  <c r="U239" i="4"/>
  <c r="L239" i="4"/>
  <c r="C239" i="4"/>
  <c r="BE238" i="4"/>
  <c r="AV238" i="4"/>
  <c r="AQ238" i="4"/>
  <c r="AR238" i="4" s="1"/>
  <c r="AD238" i="4"/>
  <c r="U238" i="4"/>
  <c r="L238" i="4"/>
  <c r="C238" i="4"/>
  <c r="BE237" i="4"/>
  <c r="AV237" i="4"/>
  <c r="AR237" i="4"/>
  <c r="AQ237" i="4"/>
  <c r="AD237" i="4"/>
  <c r="U237" i="4"/>
  <c r="L237" i="4"/>
  <c r="C237" i="4"/>
  <c r="BE236" i="4"/>
  <c r="AV236" i="4"/>
  <c r="AQ236" i="4"/>
  <c r="AR236" i="4" s="1"/>
  <c r="AD236" i="4"/>
  <c r="U236" i="4"/>
  <c r="L236" i="4"/>
  <c r="C236" i="4"/>
  <c r="BE235" i="4"/>
  <c r="AV235" i="4"/>
  <c r="AR235" i="4"/>
  <c r="AQ235" i="4"/>
  <c r="AD235" i="4"/>
  <c r="U235" i="4"/>
  <c r="L235" i="4"/>
  <c r="C235" i="4"/>
  <c r="BE234" i="4"/>
  <c r="AV234" i="4"/>
  <c r="AQ234" i="4"/>
  <c r="AR234" i="4" s="1"/>
  <c r="AD234" i="4"/>
  <c r="U234" i="4"/>
  <c r="L234" i="4"/>
  <c r="C234" i="4"/>
  <c r="BE233" i="4"/>
  <c r="AV233" i="4"/>
  <c r="AR233" i="4"/>
  <c r="AQ233" i="4"/>
  <c r="AD233" i="4"/>
  <c r="U233" i="4"/>
  <c r="L233" i="4"/>
  <c r="C233" i="4"/>
  <c r="BE232" i="4"/>
  <c r="AV232" i="4"/>
  <c r="AQ232" i="4"/>
  <c r="AR232" i="4" s="1"/>
  <c r="AD232" i="4"/>
  <c r="U232" i="4"/>
  <c r="L232" i="4"/>
  <c r="C232" i="4"/>
  <c r="BE231" i="4"/>
  <c r="AV231" i="4"/>
  <c r="AR231" i="4"/>
  <c r="AQ231" i="4"/>
  <c r="AD231" i="4"/>
  <c r="U231" i="4"/>
  <c r="L231" i="4"/>
  <c r="C231" i="4"/>
  <c r="BE230" i="4"/>
  <c r="AV230" i="4"/>
  <c r="AQ230" i="4"/>
  <c r="AR230" i="4" s="1"/>
  <c r="AD230" i="4"/>
  <c r="U230" i="4"/>
  <c r="L230" i="4"/>
  <c r="C230" i="4"/>
  <c r="BE229" i="4"/>
  <c r="AV229" i="4"/>
  <c r="AR229" i="4"/>
  <c r="AQ229" i="4"/>
  <c r="AD229" i="4"/>
  <c r="U229" i="4"/>
  <c r="L229" i="4"/>
  <c r="C229" i="4"/>
  <c r="BE228" i="4"/>
  <c r="AV228" i="4"/>
  <c r="AQ228" i="4"/>
  <c r="AR228" i="4" s="1"/>
  <c r="AD228" i="4"/>
  <c r="U228" i="4"/>
  <c r="L228" i="4"/>
  <c r="C228" i="4"/>
  <c r="BE227" i="4"/>
  <c r="AV227" i="4"/>
  <c r="AR227" i="4"/>
  <c r="AQ227" i="4"/>
  <c r="AD227" i="4"/>
  <c r="U227" i="4"/>
  <c r="L227" i="4"/>
  <c r="C227" i="4"/>
  <c r="BE226" i="4"/>
  <c r="AV226" i="4"/>
  <c r="AQ226" i="4"/>
  <c r="AR226" i="4" s="1"/>
  <c r="AD226" i="4"/>
  <c r="U226" i="4"/>
  <c r="L226" i="4"/>
  <c r="C226" i="4"/>
  <c r="BE225" i="4"/>
  <c r="AV225" i="4"/>
  <c r="AR225" i="4"/>
  <c r="AQ225" i="4"/>
  <c r="AD225" i="4"/>
  <c r="U225" i="4"/>
  <c r="L225" i="4"/>
  <c r="C225" i="4"/>
  <c r="BE224" i="4"/>
  <c r="AV224" i="4"/>
  <c r="AQ224" i="4"/>
  <c r="AR224" i="4" s="1"/>
  <c r="AD224" i="4"/>
  <c r="U224" i="4"/>
  <c r="L224" i="4"/>
  <c r="C224" i="4"/>
  <c r="BE223" i="4"/>
  <c r="BE256" i="4" s="1"/>
  <c r="AV223" i="4"/>
  <c r="AR223" i="4"/>
  <c r="AQ223" i="4"/>
  <c r="AD223" i="4"/>
  <c r="AD255" i="4" s="1"/>
  <c r="U223" i="4"/>
  <c r="U256" i="4" s="1"/>
  <c r="L223" i="4"/>
  <c r="L254" i="4" s="1"/>
  <c r="C223" i="4"/>
  <c r="C256" i="4" s="1"/>
  <c r="BL222" i="4"/>
  <c r="BK222" i="4"/>
  <c r="BJ222" i="4"/>
  <c r="BI222" i="4"/>
  <c r="BH222" i="4"/>
  <c r="BG222" i="4"/>
  <c r="BF222" i="4"/>
  <c r="BD222" i="4"/>
  <c r="AS222" i="4"/>
  <c r="AN222" i="4"/>
  <c r="BL221" i="4"/>
  <c r="BK221" i="4"/>
  <c r="BJ221" i="4"/>
  <c r="BI221" i="4"/>
  <c r="BH221" i="4"/>
  <c r="BG221" i="4"/>
  <c r="BF221" i="4"/>
  <c r="BD221" i="4"/>
  <c r="BC221" i="4"/>
  <c r="BB221" i="4"/>
  <c r="BA221" i="4"/>
  <c r="AZ221" i="4"/>
  <c r="AY221" i="4"/>
  <c r="AU221" i="4"/>
  <c r="AT221" i="4"/>
  <c r="AS221" i="4"/>
  <c r="AP221" i="4"/>
  <c r="AO221" i="4"/>
  <c r="AN221" i="4"/>
  <c r="AM221" i="4"/>
  <c r="AL221" i="4"/>
  <c r="AK221" i="4"/>
  <c r="AJ221" i="4"/>
  <c r="AI221" i="4"/>
  <c r="AH221" i="4"/>
  <c r="AG221" i="4"/>
  <c r="AF221" i="4"/>
  <c r="AE221" i="4"/>
  <c r="AC221" i="4"/>
  <c r="AB221" i="4"/>
  <c r="AA221" i="4"/>
  <c r="Z221" i="4"/>
  <c r="Y221" i="4"/>
  <c r="X221" i="4"/>
  <c r="W221" i="4"/>
  <c r="V221" i="4"/>
  <c r="T221" i="4"/>
  <c r="S221" i="4"/>
  <c r="R221" i="4"/>
  <c r="Q221" i="4"/>
  <c r="P221" i="4"/>
  <c r="O221" i="4"/>
  <c r="N221" i="4"/>
  <c r="M221" i="4"/>
  <c r="K221" i="4"/>
  <c r="J221" i="4"/>
  <c r="I221" i="4"/>
  <c r="H221" i="4"/>
  <c r="G221" i="4"/>
  <c r="F221" i="4"/>
  <c r="E221" i="4"/>
  <c r="D221" i="4"/>
  <c r="BL220" i="4"/>
  <c r="BK220" i="4"/>
  <c r="BJ220" i="4"/>
  <c r="BI220" i="4"/>
  <c r="BH220" i="4"/>
  <c r="BG220" i="4"/>
  <c r="BF220" i="4"/>
  <c r="BD220" i="4"/>
  <c r="BC220" i="4"/>
  <c r="BB220" i="4"/>
  <c r="BA220" i="4"/>
  <c r="AZ220" i="4"/>
  <c r="AY220" i="4"/>
  <c r="AU220" i="4"/>
  <c r="AT220" i="4"/>
  <c r="AS220" i="4"/>
  <c r="AP220" i="4"/>
  <c r="AO220" i="4"/>
  <c r="AN220" i="4"/>
  <c r="AM220" i="4"/>
  <c r="AL220" i="4"/>
  <c r="AK220" i="4"/>
  <c r="AJ220" i="4"/>
  <c r="AI220" i="4"/>
  <c r="AH220" i="4"/>
  <c r="AG220" i="4"/>
  <c r="AF220" i="4"/>
  <c r="AE220" i="4"/>
  <c r="AC220" i="4"/>
  <c r="AB220" i="4"/>
  <c r="AA220" i="4"/>
  <c r="Z220" i="4"/>
  <c r="Y220" i="4"/>
  <c r="X220" i="4"/>
  <c r="W220" i="4"/>
  <c r="V220" i="4"/>
  <c r="T220" i="4"/>
  <c r="S220" i="4"/>
  <c r="R220" i="4"/>
  <c r="Q220" i="4"/>
  <c r="P220" i="4"/>
  <c r="O220" i="4"/>
  <c r="N220" i="4"/>
  <c r="M220" i="4"/>
  <c r="L220" i="4"/>
  <c r="K220" i="4"/>
  <c r="J220" i="4"/>
  <c r="I220" i="4"/>
  <c r="H220" i="4"/>
  <c r="G220" i="4"/>
  <c r="F220" i="4"/>
  <c r="E220" i="4"/>
  <c r="D220" i="4"/>
  <c r="BL219" i="4"/>
  <c r="BK219" i="4"/>
  <c r="BJ219" i="4"/>
  <c r="BI219" i="4"/>
  <c r="BH219" i="4"/>
  <c r="BG219" i="4"/>
  <c r="BF219" i="4"/>
  <c r="BD219" i="4"/>
  <c r="BC219" i="4"/>
  <c r="BB219" i="4"/>
  <c r="BA219" i="4"/>
  <c r="AZ219" i="4"/>
  <c r="AY219" i="4"/>
  <c r="AU219" i="4"/>
  <c r="AT219" i="4"/>
  <c r="AS219" i="4"/>
  <c r="AP219" i="4"/>
  <c r="AO219" i="4"/>
  <c r="AN219" i="4"/>
  <c r="AM219" i="4"/>
  <c r="AL219" i="4"/>
  <c r="AK219" i="4"/>
  <c r="AJ219" i="4"/>
  <c r="AI219" i="4"/>
  <c r="AH219" i="4"/>
  <c r="AG219" i="4"/>
  <c r="AF219" i="4"/>
  <c r="AE219" i="4"/>
  <c r="AC219" i="4"/>
  <c r="AB219" i="4"/>
  <c r="AA219" i="4"/>
  <c r="Z219" i="4"/>
  <c r="Y219" i="4"/>
  <c r="X219" i="4"/>
  <c r="W219" i="4"/>
  <c r="V219" i="4"/>
  <c r="T219" i="4"/>
  <c r="S219" i="4"/>
  <c r="R219" i="4"/>
  <c r="Q219" i="4"/>
  <c r="P219" i="4"/>
  <c r="O219" i="4"/>
  <c r="N219" i="4"/>
  <c r="M219" i="4"/>
  <c r="K219" i="4"/>
  <c r="J219" i="4"/>
  <c r="I219" i="4"/>
  <c r="H219" i="4"/>
  <c r="G219" i="4"/>
  <c r="F219" i="4"/>
  <c r="E219" i="4"/>
  <c r="D219" i="4"/>
  <c r="C219" i="4"/>
  <c r="BE218" i="4"/>
  <c r="AV218" i="4"/>
  <c r="AW218" i="4" s="1"/>
  <c r="AR218" i="4"/>
  <c r="AX218" i="4" s="1"/>
  <c r="AQ218" i="4"/>
  <c r="AD218" i="4"/>
  <c r="U218" i="4"/>
  <c r="L218" i="4"/>
  <c r="C218" i="4"/>
  <c r="BE217" i="4"/>
  <c r="AV217" i="4"/>
  <c r="AW217" i="4" s="1"/>
  <c r="AQ217" i="4"/>
  <c r="AR217" i="4" s="1"/>
  <c r="AX217" i="4" s="1"/>
  <c r="AD217" i="4"/>
  <c r="U217" i="4"/>
  <c r="L217" i="4"/>
  <c r="C217" i="4"/>
  <c r="BE216" i="4"/>
  <c r="AV216" i="4"/>
  <c r="AW216" i="4" s="1"/>
  <c r="AQ216" i="4"/>
  <c r="AR216" i="4" s="1"/>
  <c r="AX216" i="4" s="1"/>
  <c r="AD216" i="4"/>
  <c r="U216" i="4"/>
  <c r="L216" i="4"/>
  <c r="C216" i="4"/>
  <c r="BE215" i="4"/>
  <c r="AV215" i="4"/>
  <c r="AW215" i="4" s="1"/>
  <c r="AR215" i="4"/>
  <c r="AX215" i="4" s="1"/>
  <c r="AQ215" i="4"/>
  <c r="AD215" i="4"/>
  <c r="U215" i="4"/>
  <c r="L215" i="4"/>
  <c r="C215" i="4"/>
  <c r="BE214" i="4"/>
  <c r="AV214" i="4"/>
  <c r="AW214" i="4" s="1"/>
  <c r="AQ214" i="4"/>
  <c r="AR214" i="4" s="1"/>
  <c r="AX214" i="4" s="1"/>
  <c r="AD214" i="4"/>
  <c r="U214" i="4"/>
  <c r="L214" i="4"/>
  <c r="C214" i="4"/>
  <c r="BE213" i="4"/>
  <c r="AV213" i="4"/>
  <c r="AW213" i="4" s="1"/>
  <c r="AQ213" i="4"/>
  <c r="AR213" i="4" s="1"/>
  <c r="AX213" i="4" s="1"/>
  <c r="AD213" i="4"/>
  <c r="U213" i="4"/>
  <c r="L213" i="4"/>
  <c r="C213" i="4"/>
  <c r="BE212" i="4"/>
  <c r="AV212" i="4"/>
  <c r="AW212" i="4" s="1"/>
  <c r="AR212" i="4"/>
  <c r="AX212" i="4" s="1"/>
  <c r="AQ212" i="4"/>
  <c r="AD212" i="4"/>
  <c r="U212" i="4"/>
  <c r="L212" i="4"/>
  <c r="C212" i="4"/>
  <c r="BE211" i="4"/>
  <c r="AV211" i="4"/>
  <c r="AW211" i="4" s="1"/>
  <c r="AQ211" i="4"/>
  <c r="AR211" i="4" s="1"/>
  <c r="AX211" i="4" s="1"/>
  <c r="AD211" i="4"/>
  <c r="U211" i="4"/>
  <c r="L211" i="4"/>
  <c r="C211" i="4"/>
  <c r="BE210" i="4"/>
  <c r="AV210" i="4"/>
  <c r="AW210" i="4" s="1"/>
  <c r="AQ210" i="4"/>
  <c r="AR210" i="4" s="1"/>
  <c r="AX210" i="4" s="1"/>
  <c r="AD210" i="4"/>
  <c r="U210" i="4"/>
  <c r="L210" i="4"/>
  <c r="C210" i="4"/>
  <c r="BE209" i="4"/>
  <c r="AV209" i="4"/>
  <c r="AW209" i="4" s="1"/>
  <c r="AR209" i="4"/>
  <c r="AX209" i="4" s="1"/>
  <c r="AQ209" i="4"/>
  <c r="AD209" i="4"/>
  <c r="U209" i="4"/>
  <c r="L209" i="4"/>
  <c r="C209" i="4"/>
  <c r="BE208" i="4"/>
  <c r="AV208" i="4"/>
  <c r="AW208" i="4" s="1"/>
  <c r="AQ208" i="4"/>
  <c r="AR208" i="4" s="1"/>
  <c r="AX208" i="4" s="1"/>
  <c r="AD208" i="4"/>
  <c r="U208" i="4"/>
  <c r="L208" i="4"/>
  <c r="C208" i="4"/>
  <c r="BE207" i="4"/>
  <c r="AV207" i="4"/>
  <c r="AW207" i="4" s="1"/>
  <c r="AQ207" i="4"/>
  <c r="AR207" i="4" s="1"/>
  <c r="AX207" i="4" s="1"/>
  <c r="AD207" i="4"/>
  <c r="U207" i="4"/>
  <c r="L207" i="4"/>
  <c r="C207" i="4"/>
  <c r="BE206" i="4"/>
  <c r="AV206" i="4"/>
  <c r="AR206" i="4"/>
  <c r="AQ206" i="4"/>
  <c r="AD206" i="4"/>
  <c r="U206" i="4"/>
  <c r="L206" i="4"/>
  <c r="C206" i="4"/>
  <c r="BE205" i="4"/>
  <c r="AV205" i="4"/>
  <c r="AQ205" i="4"/>
  <c r="AR205" i="4" s="1"/>
  <c r="AD205" i="4"/>
  <c r="U205" i="4"/>
  <c r="L205" i="4"/>
  <c r="C205" i="4"/>
  <c r="BE204" i="4"/>
  <c r="AV204" i="4"/>
  <c r="AQ204" i="4"/>
  <c r="AR204" i="4" s="1"/>
  <c r="AD204" i="4"/>
  <c r="U204" i="4"/>
  <c r="L204" i="4"/>
  <c r="C204" i="4"/>
  <c r="BE203" i="4"/>
  <c r="AV203" i="4"/>
  <c r="AR203" i="4"/>
  <c r="AQ203" i="4"/>
  <c r="AD203" i="4"/>
  <c r="U203" i="4"/>
  <c r="L203" i="4"/>
  <c r="C203" i="4"/>
  <c r="BE202" i="4"/>
  <c r="AV202" i="4"/>
  <c r="AQ202" i="4"/>
  <c r="AR202" i="4" s="1"/>
  <c r="AD202" i="4"/>
  <c r="U202" i="4"/>
  <c r="L202" i="4"/>
  <c r="C202" i="4"/>
  <c r="BE201" i="4"/>
  <c r="AV201" i="4"/>
  <c r="AQ201" i="4"/>
  <c r="AR201" i="4" s="1"/>
  <c r="AD201" i="4"/>
  <c r="U201" i="4"/>
  <c r="L201" i="4"/>
  <c r="C201" i="4"/>
  <c r="BE200" i="4"/>
  <c r="AV200" i="4"/>
  <c r="AR200" i="4"/>
  <c r="AQ200" i="4"/>
  <c r="AD200" i="4"/>
  <c r="U200" i="4"/>
  <c r="L200" i="4"/>
  <c r="C200" i="4"/>
  <c r="BE199" i="4"/>
  <c r="AV199" i="4"/>
  <c r="AQ199" i="4"/>
  <c r="AR199" i="4" s="1"/>
  <c r="AD199" i="4"/>
  <c r="U199" i="4"/>
  <c r="L199" i="4"/>
  <c r="C199" i="4"/>
  <c r="BE198" i="4"/>
  <c r="AV198" i="4"/>
  <c r="AQ198" i="4"/>
  <c r="AR198" i="4" s="1"/>
  <c r="AD198" i="4"/>
  <c r="U198" i="4"/>
  <c r="L198" i="4"/>
  <c r="C198" i="4"/>
  <c r="BE197" i="4"/>
  <c r="AV197" i="4"/>
  <c r="AR197" i="4"/>
  <c r="AQ197" i="4"/>
  <c r="AD197" i="4"/>
  <c r="U197" i="4"/>
  <c r="L197" i="4"/>
  <c r="C197" i="4"/>
  <c r="BE196" i="4"/>
  <c r="AV196" i="4"/>
  <c r="AQ196" i="4"/>
  <c r="AR196" i="4" s="1"/>
  <c r="AD196" i="4"/>
  <c r="U196" i="4"/>
  <c r="L196" i="4"/>
  <c r="C196" i="4"/>
  <c r="BE195" i="4"/>
  <c r="AV195" i="4"/>
  <c r="AQ195" i="4"/>
  <c r="AR195" i="4" s="1"/>
  <c r="AD195" i="4"/>
  <c r="U195" i="4"/>
  <c r="L195" i="4"/>
  <c r="C195" i="4"/>
  <c r="BE194" i="4"/>
  <c r="AV194" i="4"/>
  <c r="AR194" i="4"/>
  <c r="AQ194" i="4"/>
  <c r="AD194" i="4"/>
  <c r="U194" i="4"/>
  <c r="L194" i="4"/>
  <c r="C194" i="4"/>
  <c r="BE193" i="4"/>
  <c r="AV193" i="4"/>
  <c r="AQ193" i="4"/>
  <c r="AR193" i="4" s="1"/>
  <c r="AD193" i="4"/>
  <c r="U193" i="4"/>
  <c r="L193" i="4"/>
  <c r="C193" i="4"/>
  <c r="BE192" i="4"/>
  <c r="AV192" i="4"/>
  <c r="AQ192" i="4"/>
  <c r="AR192" i="4" s="1"/>
  <c r="AD192" i="4"/>
  <c r="U192" i="4"/>
  <c r="L192" i="4"/>
  <c r="C192" i="4"/>
  <c r="BE191" i="4"/>
  <c r="AV191" i="4"/>
  <c r="AR191" i="4"/>
  <c r="AQ191" i="4"/>
  <c r="AD191" i="4"/>
  <c r="U191" i="4"/>
  <c r="L191" i="4"/>
  <c r="C191" i="4"/>
  <c r="BE190" i="4"/>
  <c r="AV190" i="4"/>
  <c r="AQ190" i="4"/>
  <c r="AR190" i="4" s="1"/>
  <c r="AD190" i="4"/>
  <c r="U190" i="4"/>
  <c r="L190" i="4"/>
  <c r="C190" i="4"/>
  <c r="BE189" i="4"/>
  <c r="AV189" i="4"/>
  <c r="AV220" i="4" s="1"/>
  <c r="AQ189" i="4"/>
  <c r="AD189" i="4"/>
  <c r="U189" i="4"/>
  <c r="L189" i="4"/>
  <c r="L221" i="4" s="1"/>
  <c r="C189" i="4"/>
  <c r="C220" i="4" s="1"/>
  <c r="BL188" i="4"/>
  <c r="BK188" i="4"/>
  <c r="BJ188" i="4"/>
  <c r="BI188" i="4"/>
  <c r="BH188" i="4"/>
  <c r="BG188" i="4"/>
  <c r="BF188" i="4"/>
  <c r="BD188" i="4"/>
  <c r="AS188" i="4"/>
  <c r="AN188" i="4"/>
  <c r="BL187" i="4"/>
  <c r="BK187" i="4"/>
  <c r="BJ187" i="4"/>
  <c r="BI187" i="4"/>
  <c r="BH187" i="4"/>
  <c r="BG187" i="4"/>
  <c r="BF187" i="4"/>
  <c r="BD187" i="4"/>
  <c r="BC187" i="4"/>
  <c r="BB187" i="4"/>
  <c r="BA187" i="4"/>
  <c r="AZ187" i="4"/>
  <c r="AY187" i="4"/>
  <c r="AV187" i="4"/>
  <c r="AU187" i="4"/>
  <c r="AT187" i="4"/>
  <c r="AS187" i="4"/>
  <c r="AP187" i="4"/>
  <c r="AO187" i="4"/>
  <c r="AN187" i="4"/>
  <c r="AM187" i="4"/>
  <c r="AL187" i="4"/>
  <c r="AK187" i="4"/>
  <c r="AJ187" i="4"/>
  <c r="AI187" i="4"/>
  <c r="AH187" i="4"/>
  <c r="AG187" i="4"/>
  <c r="AF187" i="4"/>
  <c r="AE187" i="4"/>
  <c r="AC187" i="4"/>
  <c r="AB187" i="4"/>
  <c r="AA187" i="4"/>
  <c r="Z187" i="4"/>
  <c r="Y187" i="4"/>
  <c r="X187" i="4"/>
  <c r="W187" i="4"/>
  <c r="V187" i="4"/>
  <c r="T187" i="4"/>
  <c r="S187" i="4"/>
  <c r="R187" i="4"/>
  <c r="Q187" i="4"/>
  <c r="P187" i="4"/>
  <c r="O187" i="4"/>
  <c r="N187" i="4"/>
  <c r="M187" i="4"/>
  <c r="K187" i="4"/>
  <c r="J187" i="4"/>
  <c r="I187" i="4"/>
  <c r="H187" i="4"/>
  <c r="G187" i="4"/>
  <c r="F187" i="4"/>
  <c r="E187" i="4"/>
  <c r="D187" i="4"/>
  <c r="BL186" i="4"/>
  <c r="BK186" i="4"/>
  <c r="BJ186" i="4"/>
  <c r="BI186" i="4"/>
  <c r="BH186" i="4"/>
  <c r="BG186" i="4"/>
  <c r="BF186" i="4"/>
  <c r="BD186" i="4"/>
  <c r="BC186" i="4"/>
  <c r="BB186" i="4"/>
  <c r="BA186" i="4"/>
  <c r="AZ186" i="4"/>
  <c r="AY186" i="4"/>
  <c r="AW186" i="4"/>
  <c r="AU186" i="4"/>
  <c r="AT186" i="4"/>
  <c r="AS186" i="4"/>
  <c r="AP186" i="4"/>
  <c r="AO186" i="4"/>
  <c r="AN186" i="4"/>
  <c r="AM186" i="4"/>
  <c r="AL186" i="4"/>
  <c r="AK186" i="4"/>
  <c r="AJ186" i="4"/>
  <c r="AI186" i="4"/>
  <c r="AH186" i="4"/>
  <c r="AG186" i="4"/>
  <c r="AF186" i="4"/>
  <c r="AE186" i="4"/>
  <c r="AD186" i="4"/>
  <c r="AC186" i="4"/>
  <c r="AB186" i="4"/>
  <c r="AA186" i="4"/>
  <c r="Z186" i="4"/>
  <c r="Y186" i="4"/>
  <c r="X186" i="4"/>
  <c r="W186" i="4"/>
  <c r="V186" i="4"/>
  <c r="T186" i="4"/>
  <c r="S186" i="4"/>
  <c r="R186" i="4"/>
  <c r="Q186" i="4"/>
  <c r="P186" i="4"/>
  <c r="O186" i="4"/>
  <c r="N186" i="4"/>
  <c r="M186" i="4"/>
  <c r="L186" i="4"/>
  <c r="K186" i="4"/>
  <c r="J186" i="4"/>
  <c r="I186" i="4"/>
  <c r="H186" i="4"/>
  <c r="G186" i="4"/>
  <c r="F186" i="4"/>
  <c r="E186" i="4"/>
  <c r="D186" i="4"/>
  <c r="BL185" i="4"/>
  <c r="BK185" i="4"/>
  <c r="BJ185" i="4"/>
  <c r="BI185" i="4"/>
  <c r="BH185" i="4"/>
  <c r="BG185" i="4"/>
  <c r="BF185" i="4"/>
  <c r="BD185" i="4"/>
  <c r="BC185" i="4"/>
  <c r="BB185" i="4"/>
  <c r="BA185" i="4"/>
  <c r="AZ185" i="4"/>
  <c r="AY185" i="4"/>
  <c r="AW185" i="4"/>
  <c r="AU185" i="4"/>
  <c r="AT185" i="4"/>
  <c r="AS185" i="4"/>
  <c r="AQ185" i="4"/>
  <c r="AP185" i="4"/>
  <c r="AO185" i="4"/>
  <c r="AN185" i="4"/>
  <c r="AM185" i="4"/>
  <c r="AL185" i="4"/>
  <c r="AK185" i="4"/>
  <c r="AJ185" i="4"/>
  <c r="AI185" i="4"/>
  <c r="AH185" i="4"/>
  <c r="AG185" i="4"/>
  <c r="AF185" i="4"/>
  <c r="AE185" i="4"/>
  <c r="AC185" i="4"/>
  <c r="AB185" i="4"/>
  <c r="AA185" i="4"/>
  <c r="Z185" i="4"/>
  <c r="Y185" i="4"/>
  <c r="X185" i="4"/>
  <c r="W185" i="4"/>
  <c r="V185" i="4"/>
  <c r="T185" i="4"/>
  <c r="S185" i="4"/>
  <c r="R185" i="4"/>
  <c r="Q185" i="4"/>
  <c r="P185" i="4"/>
  <c r="O185" i="4"/>
  <c r="N185" i="4"/>
  <c r="M185" i="4"/>
  <c r="K185" i="4"/>
  <c r="J185" i="4"/>
  <c r="I185" i="4"/>
  <c r="H185" i="4"/>
  <c r="G185" i="4"/>
  <c r="F185" i="4"/>
  <c r="E185" i="4"/>
  <c r="D185" i="4"/>
  <c r="C185" i="4"/>
  <c r="BE184" i="4"/>
  <c r="AW184" i="4"/>
  <c r="AV184" i="4"/>
  <c r="AQ184" i="4"/>
  <c r="AR184" i="4" s="1"/>
  <c r="AX184" i="4" s="1"/>
  <c r="AD184" i="4"/>
  <c r="U184" i="4"/>
  <c r="L184" i="4"/>
  <c r="C184" i="4"/>
  <c r="BE183" i="4"/>
  <c r="AW183" i="4"/>
  <c r="AV183" i="4"/>
  <c r="AQ183" i="4"/>
  <c r="AR183" i="4" s="1"/>
  <c r="AX183" i="4" s="1"/>
  <c r="AD183" i="4"/>
  <c r="U183" i="4"/>
  <c r="L183" i="4"/>
  <c r="C183" i="4"/>
  <c r="BE182" i="4"/>
  <c r="AW182" i="4"/>
  <c r="AV182" i="4"/>
  <c r="AQ182" i="4"/>
  <c r="AR182" i="4" s="1"/>
  <c r="AX182" i="4" s="1"/>
  <c r="AD182" i="4"/>
  <c r="U182" i="4"/>
  <c r="L182" i="4"/>
  <c r="C182" i="4"/>
  <c r="BE181" i="4"/>
  <c r="AW181" i="4"/>
  <c r="AV181" i="4"/>
  <c r="AQ181" i="4"/>
  <c r="AR181" i="4" s="1"/>
  <c r="AX181" i="4" s="1"/>
  <c r="AD181" i="4"/>
  <c r="U181" i="4"/>
  <c r="L181" i="4"/>
  <c r="C181" i="4"/>
  <c r="BE180" i="4"/>
  <c r="AW180" i="4"/>
  <c r="AV180" i="4"/>
  <c r="AQ180" i="4"/>
  <c r="AR180" i="4" s="1"/>
  <c r="AX180" i="4" s="1"/>
  <c r="AD180" i="4"/>
  <c r="U180" i="4"/>
  <c r="L180" i="4"/>
  <c r="C180" i="4"/>
  <c r="BE179" i="4"/>
  <c r="AW179" i="4"/>
  <c r="AV179" i="4"/>
  <c r="AQ179" i="4"/>
  <c r="AR179" i="4" s="1"/>
  <c r="AX179" i="4" s="1"/>
  <c r="AD179" i="4"/>
  <c r="U179" i="4"/>
  <c r="L179" i="4"/>
  <c r="C179" i="4"/>
  <c r="BE178" i="4"/>
  <c r="AW178" i="4"/>
  <c r="AV178" i="4"/>
  <c r="AQ178" i="4"/>
  <c r="AR178" i="4" s="1"/>
  <c r="AX178" i="4" s="1"/>
  <c r="AD178" i="4"/>
  <c r="U178" i="4"/>
  <c r="L178" i="4"/>
  <c r="C178" i="4"/>
  <c r="BE177" i="4"/>
  <c r="AW177" i="4"/>
  <c r="AV177" i="4"/>
  <c r="AQ177" i="4"/>
  <c r="AR177" i="4" s="1"/>
  <c r="AX177" i="4" s="1"/>
  <c r="AD177" i="4"/>
  <c r="U177" i="4"/>
  <c r="L177" i="4"/>
  <c r="C177" i="4"/>
  <c r="BE176" i="4"/>
  <c r="AW176" i="4"/>
  <c r="AV176" i="4"/>
  <c r="AQ176" i="4"/>
  <c r="AR176" i="4" s="1"/>
  <c r="AX176" i="4" s="1"/>
  <c r="AD176" i="4"/>
  <c r="U176" i="4"/>
  <c r="L176" i="4"/>
  <c r="C176" i="4"/>
  <c r="BE175" i="4"/>
  <c r="AW175" i="4"/>
  <c r="AV175" i="4"/>
  <c r="AQ175" i="4"/>
  <c r="AR175" i="4" s="1"/>
  <c r="AX175" i="4" s="1"/>
  <c r="AD175" i="4"/>
  <c r="U175" i="4"/>
  <c r="L175" i="4"/>
  <c r="C175" i="4"/>
  <c r="BE174" i="4"/>
  <c r="AW174" i="4"/>
  <c r="AV174" i="4"/>
  <c r="AQ174" i="4"/>
  <c r="AR174" i="4" s="1"/>
  <c r="AX174" i="4" s="1"/>
  <c r="AD174" i="4"/>
  <c r="U174" i="4"/>
  <c r="L174" i="4"/>
  <c r="C174" i="4"/>
  <c r="BE173" i="4"/>
  <c r="AW173" i="4"/>
  <c r="AV173" i="4"/>
  <c r="AQ173" i="4"/>
  <c r="AR173" i="4" s="1"/>
  <c r="AX173" i="4" s="1"/>
  <c r="AD173" i="4"/>
  <c r="U173" i="4"/>
  <c r="L173" i="4"/>
  <c r="C173" i="4"/>
  <c r="BE172" i="4"/>
  <c r="AW172" i="4"/>
  <c r="AV172" i="4"/>
  <c r="AQ172" i="4"/>
  <c r="AR172" i="4" s="1"/>
  <c r="AX172" i="4" s="1"/>
  <c r="AD172" i="4"/>
  <c r="U172" i="4"/>
  <c r="L172" i="4"/>
  <c r="C172" i="4"/>
  <c r="BE171" i="4"/>
  <c r="AW171" i="4"/>
  <c r="AV171" i="4"/>
  <c r="AQ171" i="4"/>
  <c r="AR171" i="4" s="1"/>
  <c r="AX171" i="4" s="1"/>
  <c r="AD171" i="4"/>
  <c r="U171" i="4"/>
  <c r="L171" i="4"/>
  <c r="C171" i="4"/>
  <c r="BE170" i="4"/>
  <c r="AW170" i="4"/>
  <c r="AV170" i="4"/>
  <c r="AQ170" i="4"/>
  <c r="AR170" i="4" s="1"/>
  <c r="AX170" i="4" s="1"/>
  <c r="AD170" i="4"/>
  <c r="U170" i="4"/>
  <c r="L170" i="4"/>
  <c r="C170" i="4"/>
  <c r="BE169" i="4"/>
  <c r="AW169" i="4"/>
  <c r="AV169" i="4"/>
  <c r="AQ169" i="4"/>
  <c r="AR169" i="4" s="1"/>
  <c r="AX169" i="4" s="1"/>
  <c r="AD169" i="4"/>
  <c r="U169" i="4"/>
  <c r="L169" i="4"/>
  <c r="C169" i="4"/>
  <c r="BE168" i="4"/>
  <c r="AW168" i="4"/>
  <c r="AV168" i="4"/>
  <c r="AQ168" i="4"/>
  <c r="AR168" i="4" s="1"/>
  <c r="AX168" i="4" s="1"/>
  <c r="AD168" i="4"/>
  <c r="U168" i="4"/>
  <c r="L168" i="4"/>
  <c r="C168" i="4"/>
  <c r="BE167" i="4"/>
  <c r="AW167" i="4"/>
  <c r="AV167" i="4"/>
  <c r="AQ167" i="4"/>
  <c r="AR167" i="4" s="1"/>
  <c r="AX167" i="4" s="1"/>
  <c r="AD167" i="4"/>
  <c r="U167" i="4"/>
  <c r="L167" i="4"/>
  <c r="C167" i="4"/>
  <c r="BE166" i="4"/>
  <c r="AW166" i="4"/>
  <c r="AV166" i="4"/>
  <c r="AQ166" i="4"/>
  <c r="AR166" i="4" s="1"/>
  <c r="AX166" i="4" s="1"/>
  <c r="AD166" i="4"/>
  <c r="U166" i="4"/>
  <c r="L166" i="4"/>
  <c r="C166" i="4"/>
  <c r="BE165" i="4"/>
  <c r="AW165" i="4"/>
  <c r="AV165" i="4"/>
  <c r="AQ165" i="4"/>
  <c r="AR165" i="4" s="1"/>
  <c r="AX165" i="4" s="1"/>
  <c r="AD165" i="4"/>
  <c r="U165" i="4"/>
  <c r="L165" i="4"/>
  <c r="C165" i="4"/>
  <c r="BE164" i="4"/>
  <c r="AW164" i="4"/>
  <c r="AV164" i="4"/>
  <c r="AQ164" i="4"/>
  <c r="AR164" i="4" s="1"/>
  <c r="AX164" i="4" s="1"/>
  <c r="AD164" i="4"/>
  <c r="U164" i="4"/>
  <c r="L164" i="4"/>
  <c r="C164" i="4"/>
  <c r="BE163" i="4"/>
  <c r="AW163" i="4"/>
  <c r="AV163" i="4"/>
  <c r="AQ163" i="4"/>
  <c r="AR163" i="4" s="1"/>
  <c r="AX163" i="4" s="1"/>
  <c r="AD163" i="4"/>
  <c r="U163" i="4"/>
  <c r="L163" i="4"/>
  <c r="C163" i="4"/>
  <c r="BE162" i="4"/>
  <c r="AW162" i="4"/>
  <c r="AV162" i="4"/>
  <c r="AQ162" i="4"/>
  <c r="AR162" i="4" s="1"/>
  <c r="AX162" i="4" s="1"/>
  <c r="AD162" i="4"/>
  <c r="U162" i="4"/>
  <c r="L162" i="4"/>
  <c r="C162" i="4"/>
  <c r="BE161" i="4"/>
  <c r="AW161" i="4"/>
  <c r="AV161" i="4"/>
  <c r="AQ161" i="4"/>
  <c r="AR161" i="4" s="1"/>
  <c r="AX161" i="4" s="1"/>
  <c r="AD161" i="4"/>
  <c r="U161" i="4"/>
  <c r="L161" i="4"/>
  <c r="C161" i="4"/>
  <c r="BE160" i="4"/>
  <c r="AW160" i="4"/>
  <c r="AV160" i="4"/>
  <c r="AQ160" i="4"/>
  <c r="AR160" i="4" s="1"/>
  <c r="AX160" i="4" s="1"/>
  <c r="AD160" i="4"/>
  <c r="U160" i="4"/>
  <c r="L160" i="4"/>
  <c r="C160" i="4"/>
  <c r="BE159" i="4"/>
  <c r="AW159" i="4"/>
  <c r="AV159" i="4"/>
  <c r="AQ159" i="4"/>
  <c r="AR159" i="4" s="1"/>
  <c r="AX159" i="4" s="1"/>
  <c r="AD159" i="4"/>
  <c r="U159" i="4"/>
  <c r="L159" i="4"/>
  <c r="C159" i="4"/>
  <c r="BE158" i="4"/>
  <c r="AW158" i="4"/>
  <c r="AV158" i="4"/>
  <c r="AQ158" i="4"/>
  <c r="AR158" i="4" s="1"/>
  <c r="AX158" i="4" s="1"/>
  <c r="AD158" i="4"/>
  <c r="U158" i="4"/>
  <c r="L158" i="4"/>
  <c r="C158" i="4"/>
  <c r="BE157" i="4"/>
  <c r="AW157" i="4"/>
  <c r="AV157" i="4"/>
  <c r="AQ157" i="4"/>
  <c r="AR157" i="4" s="1"/>
  <c r="AX157" i="4" s="1"/>
  <c r="AD157" i="4"/>
  <c r="U157" i="4"/>
  <c r="L157" i="4"/>
  <c r="C157" i="4"/>
  <c r="BE156" i="4"/>
  <c r="AW156" i="4"/>
  <c r="AV156" i="4"/>
  <c r="AQ156" i="4"/>
  <c r="AR156" i="4" s="1"/>
  <c r="AX156" i="4" s="1"/>
  <c r="AD156" i="4"/>
  <c r="U156" i="4"/>
  <c r="L156" i="4"/>
  <c r="C156" i="4"/>
  <c r="BE155" i="4"/>
  <c r="AW155" i="4"/>
  <c r="AV155" i="4"/>
  <c r="AQ155" i="4"/>
  <c r="AR155" i="4" s="1"/>
  <c r="AX155" i="4" s="1"/>
  <c r="AD155" i="4"/>
  <c r="U155" i="4"/>
  <c r="L155" i="4"/>
  <c r="C155" i="4"/>
  <c r="BE154" i="4"/>
  <c r="BE187" i="4" s="1"/>
  <c r="AW154" i="4"/>
  <c r="AW187" i="4" s="1"/>
  <c r="AV154" i="4"/>
  <c r="AV186" i="4" s="1"/>
  <c r="AQ154" i="4"/>
  <c r="AR154" i="4" s="1"/>
  <c r="AD154" i="4"/>
  <c r="AD187" i="4" s="1"/>
  <c r="U154" i="4"/>
  <c r="L154" i="4"/>
  <c r="L187" i="4" s="1"/>
  <c r="C154" i="4"/>
  <c r="C186" i="4" s="1"/>
  <c r="BL153" i="4"/>
  <c r="BK153" i="4"/>
  <c r="BJ153" i="4"/>
  <c r="BI153" i="4"/>
  <c r="BH153" i="4"/>
  <c r="BG153" i="4"/>
  <c r="BF153" i="4"/>
  <c r="BE153" i="4"/>
  <c r="BD153" i="4"/>
  <c r="AS153" i="4"/>
  <c r="AN153" i="4"/>
  <c r="BL152" i="4"/>
  <c r="BK152" i="4"/>
  <c r="BJ152" i="4"/>
  <c r="BI152" i="4"/>
  <c r="BH152" i="4"/>
  <c r="BG152" i="4"/>
  <c r="BF152" i="4"/>
  <c r="BD152" i="4"/>
  <c r="BC152" i="4"/>
  <c r="BB152" i="4"/>
  <c r="BA152" i="4"/>
  <c r="AZ152" i="4"/>
  <c r="AY152" i="4"/>
  <c r="AU152" i="4"/>
  <c r="AT152" i="4"/>
  <c r="AS152" i="4"/>
  <c r="AP152" i="4"/>
  <c r="AO152" i="4"/>
  <c r="AN152" i="4"/>
  <c r="AM152" i="4"/>
  <c r="AL152" i="4"/>
  <c r="AK152" i="4"/>
  <c r="AJ152" i="4"/>
  <c r="AI152" i="4"/>
  <c r="AH152" i="4"/>
  <c r="AG152" i="4"/>
  <c r="AF152" i="4"/>
  <c r="AE152" i="4"/>
  <c r="AC152" i="4"/>
  <c r="AB152" i="4"/>
  <c r="AA152" i="4"/>
  <c r="Z152" i="4"/>
  <c r="Y152" i="4"/>
  <c r="X152" i="4"/>
  <c r="W152" i="4"/>
  <c r="V152" i="4"/>
  <c r="T152" i="4"/>
  <c r="S152" i="4"/>
  <c r="R152" i="4"/>
  <c r="Q152" i="4"/>
  <c r="P152" i="4"/>
  <c r="O152" i="4"/>
  <c r="N152" i="4"/>
  <c r="M152" i="4"/>
  <c r="K152" i="4"/>
  <c r="J152" i="4"/>
  <c r="I152" i="4"/>
  <c r="H152" i="4"/>
  <c r="G152" i="4"/>
  <c r="F152" i="4"/>
  <c r="E152" i="4"/>
  <c r="D152" i="4"/>
  <c r="BL151" i="4"/>
  <c r="BK151" i="4"/>
  <c r="BJ151" i="4"/>
  <c r="BI151" i="4"/>
  <c r="BH151" i="4"/>
  <c r="BG151" i="4"/>
  <c r="BF151" i="4"/>
  <c r="BD151" i="4"/>
  <c r="BC151" i="4"/>
  <c r="BB151" i="4"/>
  <c r="BA151" i="4"/>
  <c r="AZ151" i="4"/>
  <c r="AY151" i="4"/>
  <c r="AU151" i="4"/>
  <c r="AT151" i="4"/>
  <c r="AS151" i="4"/>
  <c r="AP151" i="4"/>
  <c r="AO151" i="4"/>
  <c r="AN151" i="4"/>
  <c r="AM151" i="4"/>
  <c r="AL151" i="4"/>
  <c r="AK151" i="4"/>
  <c r="AJ151" i="4"/>
  <c r="AI151" i="4"/>
  <c r="AH151" i="4"/>
  <c r="AG151" i="4"/>
  <c r="AF151" i="4"/>
  <c r="AE151" i="4"/>
  <c r="AC151" i="4"/>
  <c r="AB151" i="4"/>
  <c r="AA151" i="4"/>
  <c r="Z151" i="4"/>
  <c r="Y151" i="4"/>
  <c r="X151" i="4"/>
  <c r="W151" i="4"/>
  <c r="V151" i="4"/>
  <c r="T151" i="4"/>
  <c r="S151" i="4"/>
  <c r="R151" i="4"/>
  <c r="Q151" i="4"/>
  <c r="P151" i="4"/>
  <c r="O151" i="4"/>
  <c r="N151" i="4"/>
  <c r="M151" i="4"/>
  <c r="K151" i="4"/>
  <c r="J151" i="4"/>
  <c r="I151" i="4"/>
  <c r="H151" i="4"/>
  <c r="G151" i="4"/>
  <c r="F151" i="4"/>
  <c r="E151" i="4"/>
  <c r="D151" i="4"/>
  <c r="BL150" i="4"/>
  <c r="BK150" i="4"/>
  <c r="BJ150" i="4"/>
  <c r="BI150" i="4"/>
  <c r="BH150" i="4"/>
  <c r="BG150" i="4"/>
  <c r="BF150" i="4"/>
  <c r="BD150" i="4"/>
  <c r="BC150" i="4"/>
  <c r="BB150" i="4"/>
  <c r="BA150" i="4"/>
  <c r="AZ150" i="4"/>
  <c r="AY150" i="4"/>
  <c r="AU150" i="4"/>
  <c r="AT150" i="4"/>
  <c r="AS150" i="4"/>
  <c r="AQ150" i="4"/>
  <c r="AP150" i="4"/>
  <c r="AO150" i="4"/>
  <c r="AN150" i="4"/>
  <c r="AM150" i="4"/>
  <c r="AL150" i="4"/>
  <c r="AK150" i="4"/>
  <c r="AJ150" i="4"/>
  <c r="AI150" i="4"/>
  <c r="AH150" i="4"/>
  <c r="AG150" i="4"/>
  <c r="AF150" i="4"/>
  <c r="AE150" i="4"/>
  <c r="AD150" i="4"/>
  <c r="AC150" i="4"/>
  <c r="AB150" i="4"/>
  <c r="AA150" i="4"/>
  <c r="Z150" i="4"/>
  <c r="Y150" i="4"/>
  <c r="X150" i="4"/>
  <c r="W150" i="4"/>
  <c r="V150" i="4"/>
  <c r="T150" i="4"/>
  <c r="S150" i="4"/>
  <c r="R150" i="4"/>
  <c r="Q150" i="4"/>
  <c r="P150" i="4"/>
  <c r="O150" i="4"/>
  <c r="N150" i="4"/>
  <c r="M150" i="4"/>
  <c r="K150" i="4"/>
  <c r="J150" i="4"/>
  <c r="I150" i="4"/>
  <c r="H150" i="4"/>
  <c r="G150" i="4"/>
  <c r="F150" i="4"/>
  <c r="E150" i="4"/>
  <c r="D150" i="4"/>
  <c r="BE149" i="4"/>
  <c r="AW149" i="4"/>
  <c r="AV149" i="4"/>
  <c r="AQ149" i="4"/>
  <c r="AR149" i="4" s="1"/>
  <c r="AX149" i="4" s="1"/>
  <c r="AD149" i="4"/>
  <c r="U149" i="4"/>
  <c r="L149" i="4"/>
  <c r="C149" i="4"/>
  <c r="BE148" i="4"/>
  <c r="AW148" i="4"/>
  <c r="AV148" i="4"/>
  <c r="AQ148" i="4"/>
  <c r="AR148" i="4" s="1"/>
  <c r="AX148" i="4" s="1"/>
  <c r="AD148" i="4"/>
  <c r="U148" i="4"/>
  <c r="L148" i="4"/>
  <c r="C148" i="4"/>
  <c r="BE147" i="4"/>
  <c r="AW147" i="4"/>
  <c r="AV147" i="4"/>
  <c r="AQ147" i="4"/>
  <c r="AR147" i="4" s="1"/>
  <c r="AD147" i="4"/>
  <c r="U147" i="4"/>
  <c r="L147" i="4"/>
  <c r="C147" i="4"/>
  <c r="BE146" i="4"/>
  <c r="AW146" i="4"/>
  <c r="AV146" i="4"/>
  <c r="AQ146" i="4"/>
  <c r="AR146" i="4" s="1"/>
  <c r="AX146" i="4" s="1"/>
  <c r="AD146" i="4"/>
  <c r="U146" i="4"/>
  <c r="L146" i="4"/>
  <c r="C146" i="4"/>
  <c r="BE145" i="4"/>
  <c r="AW145" i="4"/>
  <c r="AV145" i="4"/>
  <c r="AQ145" i="4"/>
  <c r="AR145" i="4" s="1"/>
  <c r="AX145" i="4" s="1"/>
  <c r="AD145" i="4"/>
  <c r="U145" i="4"/>
  <c r="L145" i="4"/>
  <c r="C145" i="4"/>
  <c r="BE144" i="4"/>
  <c r="AW144" i="4"/>
  <c r="AV144" i="4"/>
  <c r="AQ144" i="4"/>
  <c r="AR144" i="4" s="1"/>
  <c r="AD144" i="4"/>
  <c r="U144" i="4"/>
  <c r="L144" i="4"/>
  <c r="C144" i="4"/>
  <c r="BE143" i="4"/>
  <c r="AW143" i="4"/>
  <c r="AV143" i="4"/>
  <c r="AQ143" i="4"/>
  <c r="AR143" i="4" s="1"/>
  <c r="AX143" i="4" s="1"/>
  <c r="AD143" i="4"/>
  <c r="U143" i="4"/>
  <c r="L143" i="4"/>
  <c r="C143" i="4"/>
  <c r="BE142" i="4"/>
  <c r="AW142" i="4"/>
  <c r="AV142" i="4"/>
  <c r="AQ142" i="4"/>
  <c r="AR142" i="4" s="1"/>
  <c r="AX142" i="4" s="1"/>
  <c r="AD142" i="4"/>
  <c r="U142" i="4"/>
  <c r="L142" i="4"/>
  <c r="C142" i="4"/>
  <c r="BE141" i="4"/>
  <c r="AW141" i="4"/>
  <c r="AV141" i="4"/>
  <c r="AQ141" i="4"/>
  <c r="AR141" i="4" s="1"/>
  <c r="AD141" i="4"/>
  <c r="U141" i="4"/>
  <c r="L141" i="4"/>
  <c r="C141" i="4"/>
  <c r="BE140" i="4"/>
  <c r="AW140" i="4"/>
  <c r="AV140" i="4"/>
  <c r="AQ140" i="4"/>
  <c r="AR140" i="4" s="1"/>
  <c r="AX140" i="4" s="1"/>
  <c r="AD140" i="4"/>
  <c r="U140" i="4"/>
  <c r="L140" i="4"/>
  <c r="C140" i="4"/>
  <c r="BE139" i="4"/>
  <c r="AW139" i="4"/>
  <c r="AV139" i="4"/>
  <c r="AQ139" i="4"/>
  <c r="AR139" i="4" s="1"/>
  <c r="AX139" i="4" s="1"/>
  <c r="AD139" i="4"/>
  <c r="U139" i="4"/>
  <c r="L139" i="4"/>
  <c r="C139" i="4"/>
  <c r="BE138" i="4"/>
  <c r="AW138" i="4"/>
  <c r="AV138" i="4"/>
  <c r="AX138" i="4" s="1"/>
  <c r="AQ138" i="4"/>
  <c r="AR138" i="4" s="1"/>
  <c r="AD138" i="4"/>
  <c r="U138" i="4"/>
  <c r="L138" i="4"/>
  <c r="C138" i="4"/>
  <c r="BE137" i="4"/>
  <c r="AW137" i="4"/>
  <c r="AV137" i="4"/>
  <c r="AQ137" i="4"/>
  <c r="AR137" i="4" s="1"/>
  <c r="AD137" i="4"/>
  <c r="U137" i="4"/>
  <c r="L137" i="4"/>
  <c r="C137" i="4"/>
  <c r="BE136" i="4"/>
  <c r="AW136" i="4"/>
  <c r="AV136" i="4"/>
  <c r="AQ136" i="4"/>
  <c r="AR136" i="4" s="1"/>
  <c r="AD136" i="4"/>
  <c r="U136" i="4"/>
  <c r="L136" i="4"/>
  <c r="C136" i="4"/>
  <c r="BE135" i="4"/>
  <c r="AW135" i="4"/>
  <c r="AV135" i="4"/>
  <c r="AX135" i="4" s="1"/>
  <c r="AQ135" i="4"/>
  <c r="AR135" i="4" s="1"/>
  <c r="AD135" i="4"/>
  <c r="U135" i="4"/>
  <c r="L135" i="4"/>
  <c r="C135" i="4"/>
  <c r="BE134" i="4"/>
  <c r="AW134" i="4"/>
  <c r="AV134" i="4"/>
  <c r="AQ134" i="4"/>
  <c r="AR134" i="4" s="1"/>
  <c r="AD134" i="4"/>
  <c r="U134" i="4"/>
  <c r="L134" i="4"/>
  <c r="C134" i="4"/>
  <c r="BE133" i="4"/>
  <c r="AW133" i="4"/>
  <c r="AV133" i="4"/>
  <c r="AQ133" i="4"/>
  <c r="AR133" i="4" s="1"/>
  <c r="AD133" i="4"/>
  <c r="U133" i="4"/>
  <c r="L133" i="4"/>
  <c r="C133" i="4"/>
  <c r="BE132" i="4"/>
  <c r="AW132" i="4"/>
  <c r="AV132" i="4"/>
  <c r="AX132" i="4" s="1"/>
  <c r="AQ132" i="4"/>
  <c r="AR132" i="4" s="1"/>
  <c r="AD132" i="4"/>
  <c r="U132" i="4"/>
  <c r="L132" i="4"/>
  <c r="C132" i="4"/>
  <c r="BE131" i="4"/>
  <c r="AW131" i="4"/>
  <c r="AV131" i="4"/>
  <c r="AQ131" i="4"/>
  <c r="AR131" i="4" s="1"/>
  <c r="AD131" i="4"/>
  <c r="U131" i="4"/>
  <c r="L131" i="4"/>
  <c r="C131" i="4"/>
  <c r="BE130" i="4"/>
  <c r="AW130" i="4"/>
  <c r="AV130" i="4"/>
  <c r="AQ130" i="4"/>
  <c r="AR130" i="4" s="1"/>
  <c r="AD130" i="4"/>
  <c r="U130" i="4"/>
  <c r="L130" i="4"/>
  <c r="C130" i="4"/>
  <c r="BE129" i="4"/>
  <c r="AW129" i="4"/>
  <c r="AV129" i="4"/>
  <c r="AX129" i="4" s="1"/>
  <c r="AQ129" i="4"/>
  <c r="AR129" i="4" s="1"/>
  <c r="AD129" i="4"/>
  <c r="U129" i="4"/>
  <c r="L129" i="4"/>
  <c r="C129" i="4"/>
  <c r="BE128" i="4"/>
  <c r="AW128" i="4"/>
  <c r="AV128" i="4"/>
  <c r="AQ128" i="4"/>
  <c r="AR128" i="4" s="1"/>
  <c r="AD128" i="4"/>
  <c r="U128" i="4"/>
  <c r="L128" i="4"/>
  <c r="C128" i="4"/>
  <c r="BE127" i="4"/>
  <c r="AW127" i="4"/>
  <c r="AV127" i="4"/>
  <c r="AQ127" i="4"/>
  <c r="AR127" i="4" s="1"/>
  <c r="AD127" i="4"/>
  <c r="U127" i="4"/>
  <c r="L127" i="4"/>
  <c r="C127" i="4"/>
  <c r="BE126" i="4"/>
  <c r="AV126" i="4"/>
  <c r="AQ126" i="4"/>
  <c r="AR126" i="4" s="1"/>
  <c r="AD126" i="4"/>
  <c r="U126" i="4"/>
  <c r="L126" i="4"/>
  <c r="C126" i="4"/>
  <c r="BE125" i="4"/>
  <c r="AV125" i="4"/>
  <c r="AQ125" i="4"/>
  <c r="AR125" i="4" s="1"/>
  <c r="AD125" i="4"/>
  <c r="U125" i="4"/>
  <c r="L125" i="4"/>
  <c r="C125" i="4"/>
  <c r="BE124" i="4"/>
  <c r="AV124" i="4"/>
  <c r="AQ124" i="4"/>
  <c r="AR124" i="4" s="1"/>
  <c r="AD124" i="4"/>
  <c r="U124" i="4"/>
  <c r="L124" i="4"/>
  <c r="C124" i="4"/>
  <c r="BE123" i="4"/>
  <c r="AV123" i="4"/>
  <c r="AQ123" i="4"/>
  <c r="AR123" i="4" s="1"/>
  <c r="AD123" i="4"/>
  <c r="U123" i="4"/>
  <c r="L123" i="4"/>
  <c r="C123" i="4"/>
  <c r="BE122" i="4"/>
  <c r="AV122" i="4"/>
  <c r="AQ122" i="4"/>
  <c r="AR122" i="4" s="1"/>
  <c r="AD122" i="4"/>
  <c r="U122" i="4"/>
  <c r="L122" i="4"/>
  <c r="C122" i="4"/>
  <c r="BE121" i="4"/>
  <c r="AV121" i="4"/>
  <c r="AQ121" i="4"/>
  <c r="AR121" i="4" s="1"/>
  <c r="AD121" i="4"/>
  <c r="U121" i="4"/>
  <c r="L121" i="4"/>
  <c r="L150" i="4" s="1"/>
  <c r="C121" i="4"/>
  <c r="BE120" i="4"/>
  <c r="BE150" i="4" s="1"/>
  <c r="AV120" i="4"/>
  <c r="AQ120" i="4"/>
  <c r="AR120" i="4" s="1"/>
  <c r="AD120" i="4"/>
  <c r="AD152" i="4" s="1"/>
  <c r="U120" i="4"/>
  <c r="U150" i="4" s="1"/>
  <c r="L120" i="4"/>
  <c r="C120" i="4"/>
  <c r="BL119" i="4"/>
  <c r="BK119" i="4"/>
  <c r="BJ119" i="4"/>
  <c r="BI119" i="4"/>
  <c r="BH119" i="4"/>
  <c r="BG119" i="4"/>
  <c r="BF119" i="4"/>
  <c r="BD119" i="4"/>
  <c r="AS119" i="4"/>
  <c r="AN119" i="4"/>
  <c r="BL118" i="4"/>
  <c r="BK118" i="4"/>
  <c r="BJ118" i="4"/>
  <c r="BI118" i="4"/>
  <c r="BH118" i="4"/>
  <c r="BG118" i="4"/>
  <c r="BF118" i="4"/>
  <c r="BD118" i="4"/>
  <c r="BC118" i="4"/>
  <c r="BB118" i="4"/>
  <c r="BA118" i="4"/>
  <c r="AZ118" i="4"/>
  <c r="AY118" i="4"/>
  <c r="AU118" i="4"/>
  <c r="AT118" i="4"/>
  <c r="AS118" i="4"/>
  <c r="AP118" i="4"/>
  <c r="AO118" i="4"/>
  <c r="AN118" i="4"/>
  <c r="AM118" i="4"/>
  <c r="AL118" i="4"/>
  <c r="AK118" i="4"/>
  <c r="AJ118" i="4"/>
  <c r="AI118" i="4"/>
  <c r="AH118" i="4"/>
  <c r="AG118" i="4"/>
  <c r="AF118" i="4"/>
  <c r="AE118" i="4"/>
  <c r="AC118" i="4"/>
  <c r="AB118" i="4"/>
  <c r="AA118" i="4"/>
  <c r="Z118" i="4"/>
  <c r="Y118" i="4"/>
  <c r="X118" i="4"/>
  <c r="W118" i="4"/>
  <c r="V118" i="4"/>
  <c r="T118" i="4"/>
  <c r="S118" i="4"/>
  <c r="R118" i="4"/>
  <c r="Q118" i="4"/>
  <c r="P118" i="4"/>
  <c r="O118" i="4"/>
  <c r="N118" i="4"/>
  <c r="M118" i="4"/>
  <c r="K118" i="4"/>
  <c r="J118" i="4"/>
  <c r="I118" i="4"/>
  <c r="H118" i="4"/>
  <c r="G118" i="4"/>
  <c r="F118" i="4"/>
  <c r="E118" i="4"/>
  <c r="D118" i="4"/>
  <c r="C118" i="4"/>
  <c r="BL117" i="4"/>
  <c r="BK117" i="4"/>
  <c r="BJ117" i="4"/>
  <c r="BI117" i="4"/>
  <c r="BH117" i="4"/>
  <c r="BG117" i="4"/>
  <c r="BF117" i="4"/>
  <c r="BD117" i="4"/>
  <c r="BC117" i="4"/>
  <c r="BB117" i="4"/>
  <c r="BA117" i="4"/>
  <c r="AZ117" i="4"/>
  <c r="AY117" i="4"/>
  <c r="AU117" i="4"/>
  <c r="AT117" i="4"/>
  <c r="AS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K117" i="4"/>
  <c r="J117" i="4"/>
  <c r="I117" i="4"/>
  <c r="H117" i="4"/>
  <c r="G117" i="4"/>
  <c r="F117" i="4"/>
  <c r="E117" i="4"/>
  <c r="D117" i="4"/>
  <c r="C117" i="4"/>
  <c r="BL116" i="4"/>
  <c r="BK116" i="4"/>
  <c r="BJ116" i="4"/>
  <c r="BI116" i="4"/>
  <c r="BH116" i="4"/>
  <c r="BG116" i="4"/>
  <c r="BF116" i="4"/>
  <c r="BD116" i="4"/>
  <c r="BC116" i="4"/>
  <c r="BB116" i="4"/>
  <c r="BA116" i="4"/>
  <c r="AZ116" i="4"/>
  <c r="AY116" i="4"/>
  <c r="AU116" i="4"/>
  <c r="AT116" i="4"/>
  <c r="AS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C116" i="4"/>
  <c r="AB116" i="4"/>
  <c r="AA116" i="4"/>
  <c r="Z116" i="4"/>
  <c r="Y116" i="4"/>
  <c r="X116" i="4"/>
  <c r="W116" i="4"/>
  <c r="V116" i="4"/>
  <c r="T116" i="4"/>
  <c r="S116" i="4"/>
  <c r="R116" i="4"/>
  <c r="Q116" i="4"/>
  <c r="P116" i="4"/>
  <c r="O116" i="4"/>
  <c r="N116" i="4"/>
  <c r="M116" i="4"/>
  <c r="K116" i="4"/>
  <c r="J116" i="4"/>
  <c r="I116" i="4"/>
  <c r="H116" i="4"/>
  <c r="G116" i="4"/>
  <c r="F116" i="4"/>
  <c r="E116" i="4"/>
  <c r="D116" i="4"/>
  <c r="C116" i="4"/>
  <c r="BE115" i="4"/>
  <c r="AV115" i="4"/>
  <c r="AR115" i="4"/>
  <c r="AQ115" i="4"/>
  <c r="AD115" i="4"/>
  <c r="U115" i="4"/>
  <c r="L115" i="4"/>
  <c r="BE114" i="4"/>
  <c r="AV114" i="4"/>
  <c r="AQ114" i="4"/>
  <c r="AR114" i="4" s="1"/>
  <c r="AD114" i="4"/>
  <c r="U114" i="4"/>
  <c r="L114" i="4"/>
  <c r="BE113" i="4"/>
  <c r="AV113" i="4"/>
  <c r="AQ113" i="4"/>
  <c r="AR113" i="4" s="1"/>
  <c r="AD113" i="4"/>
  <c r="U113" i="4"/>
  <c r="L113" i="4"/>
  <c r="BE112" i="4"/>
  <c r="AV112" i="4"/>
  <c r="AW112" i="4" s="1"/>
  <c r="AX112" i="4" s="1"/>
  <c r="AQ112" i="4"/>
  <c r="AR112" i="4" s="1"/>
  <c r="AD112" i="4"/>
  <c r="U112" i="4"/>
  <c r="L112" i="4"/>
  <c r="BE111" i="4"/>
  <c r="AW111" i="4"/>
  <c r="AV111" i="4"/>
  <c r="AQ111" i="4"/>
  <c r="AR111" i="4" s="1"/>
  <c r="AX111" i="4" s="1"/>
  <c r="AD111" i="4"/>
  <c r="U111" i="4"/>
  <c r="L111" i="4"/>
  <c r="BE110" i="4"/>
  <c r="AV110" i="4"/>
  <c r="AW110" i="4" s="1"/>
  <c r="AQ110" i="4"/>
  <c r="AR110" i="4" s="1"/>
  <c r="AD110" i="4"/>
  <c r="U110" i="4"/>
  <c r="L110" i="4"/>
  <c r="BE109" i="4"/>
  <c r="AV109" i="4"/>
  <c r="AR109" i="4"/>
  <c r="AQ109" i="4"/>
  <c r="AD109" i="4"/>
  <c r="U109" i="4"/>
  <c r="L109" i="4"/>
  <c r="BE108" i="4"/>
  <c r="AV108" i="4"/>
  <c r="AQ108" i="4"/>
  <c r="AR108" i="4" s="1"/>
  <c r="AD108" i="4"/>
  <c r="U108" i="4"/>
  <c r="L108" i="4"/>
  <c r="BE107" i="4"/>
  <c r="AV107" i="4"/>
  <c r="AQ107" i="4"/>
  <c r="AR107" i="4" s="1"/>
  <c r="AD107" i="4"/>
  <c r="U107" i="4"/>
  <c r="L107" i="4"/>
  <c r="BE106" i="4"/>
  <c r="AW106" i="4"/>
  <c r="AV106" i="4"/>
  <c r="AQ106" i="4"/>
  <c r="AR106" i="4" s="1"/>
  <c r="AX106" i="4" s="1"/>
  <c r="AD106" i="4"/>
  <c r="U106" i="4"/>
  <c r="L106" i="4"/>
  <c r="BE105" i="4"/>
  <c r="AW105" i="4"/>
  <c r="AV105" i="4"/>
  <c r="AQ105" i="4"/>
  <c r="AR105" i="4" s="1"/>
  <c r="AX105" i="4" s="1"/>
  <c r="AD105" i="4"/>
  <c r="U105" i="4"/>
  <c r="L105" i="4"/>
  <c r="BE104" i="4"/>
  <c r="AV104" i="4"/>
  <c r="AW104" i="4" s="1"/>
  <c r="AX104" i="4" s="1"/>
  <c r="AR104" i="4"/>
  <c r="AQ104" i="4"/>
  <c r="AD104" i="4"/>
  <c r="U104" i="4"/>
  <c r="L104" i="4"/>
  <c r="BE103" i="4"/>
  <c r="AV103" i="4"/>
  <c r="AR103" i="4"/>
  <c r="AQ103" i="4"/>
  <c r="AD103" i="4"/>
  <c r="U103" i="4"/>
  <c r="L103" i="4"/>
  <c r="BE102" i="4"/>
  <c r="AW102" i="4"/>
  <c r="AV102" i="4"/>
  <c r="AQ102" i="4"/>
  <c r="AR102" i="4" s="1"/>
  <c r="AD102" i="4"/>
  <c r="U102" i="4"/>
  <c r="L102" i="4"/>
  <c r="BE101" i="4"/>
  <c r="AV101" i="4"/>
  <c r="AR101" i="4"/>
  <c r="AQ101" i="4"/>
  <c r="AD101" i="4"/>
  <c r="U101" i="4"/>
  <c r="L101" i="4"/>
  <c r="BE100" i="4"/>
  <c r="AV100" i="4"/>
  <c r="AW100" i="4" s="1"/>
  <c r="AQ100" i="4"/>
  <c r="AR100" i="4" s="1"/>
  <c r="AX100" i="4" s="1"/>
  <c r="AD100" i="4"/>
  <c r="U100" i="4"/>
  <c r="L100" i="4"/>
  <c r="BE99" i="4"/>
  <c r="AW99" i="4"/>
  <c r="AV99" i="4"/>
  <c r="AQ99" i="4"/>
  <c r="AR99" i="4" s="1"/>
  <c r="AX99" i="4" s="1"/>
  <c r="AD99" i="4"/>
  <c r="U99" i="4"/>
  <c r="L99" i="4"/>
  <c r="BE98" i="4"/>
  <c r="AX98" i="4"/>
  <c r="AW98" i="4"/>
  <c r="AV98" i="4"/>
  <c r="AQ98" i="4"/>
  <c r="AR98" i="4" s="1"/>
  <c r="AD98" i="4"/>
  <c r="U98" i="4"/>
  <c r="L98" i="4"/>
  <c r="BE97" i="4"/>
  <c r="AW97" i="4"/>
  <c r="AV97" i="4"/>
  <c r="AR97" i="4"/>
  <c r="AQ97" i="4"/>
  <c r="AD97" i="4"/>
  <c r="U97" i="4"/>
  <c r="L97" i="4"/>
  <c r="BE96" i="4"/>
  <c r="AV96" i="4"/>
  <c r="AQ96" i="4"/>
  <c r="AR96" i="4" s="1"/>
  <c r="AD96" i="4"/>
  <c r="U96" i="4"/>
  <c r="L96" i="4"/>
  <c r="BE95" i="4"/>
  <c r="AV95" i="4"/>
  <c r="AR95" i="4"/>
  <c r="AQ95" i="4"/>
  <c r="AD95" i="4"/>
  <c r="U95" i="4"/>
  <c r="L95" i="4"/>
  <c r="BE94" i="4"/>
  <c r="AW94" i="4"/>
  <c r="AV94" i="4"/>
  <c r="AQ94" i="4"/>
  <c r="AR94" i="4" s="1"/>
  <c r="AX94" i="4" s="1"/>
  <c r="AD94" i="4"/>
  <c r="U94" i="4"/>
  <c r="L94" i="4"/>
  <c r="BE93" i="4"/>
  <c r="AW93" i="4"/>
  <c r="AX93" i="4" s="1"/>
  <c r="AV93" i="4"/>
  <c r="AQ93" i="4"/>
  <c r="AR93" i="4" s="1"/>
  <c r="AD93" i="4"/>
  <c r="U93" i="4"/>
  <c r="L93" i="4"/>
  <c r="BE92" i="4"/>
  <c r="AV92" i="4"/>
  <c r="AR92" i="4"/>
  <c r="AQ92" i="4"/>
  <c r="AD92" i="4"/>
  <c r="U92" i="4"/>
  <c r="L92" i="4"/>
  <c r="BE91" i="4"/>
  <c r="AW91" i="4"/>
  <c r="AV91" i="4"/>
  <c r="AQ91" i="4"/>
  <c r="AR91" i="4" s="1"/>
  <c r="AX91" i="4" s="1"/>
  <c r="AD91" i="4"/>
  <c r="U91" i="4"/>
  <c r="L91" i="4"/>
  <c r="BE90" i="4"/>
  <c r="AV90" i="4"/>
  <c r="AR90" i="4"/>
  <c r="AQ90" i="4"/>
  <c r="AD90" i="4"/>
  <c r="U90" i="4"/>
  <c r="L90" i="4"/>
  <c r="BE89" i="4"/>
  <c r="AV89" i="4"/>
  <c r="AR89" i="4"/>
  <c r="AQ89" i="4"/>
  <c r="AD89" i="4"/>
  <c r="U89" i="4"/>
  <c r="L89" i="4"/>
  <c r="BE88" i="4"/>
  <c r="AV88" i="4"/>
  <c r="AW88" i="4" s="1"/>
  <c r="AX88" i="4" s="1"/>
  <c r="AR88" i="4"/>
  <c r="AQ88" i="4"/>
  <c r="AD88" i="4"/>
  <c r="U88" i="4"/>
  <c r="L88" i="4"/>
  <c r="BE87" i="4"/>
  <c r="AW87" i="4"/>
  <c r="AV87" i="4"/>
  <c r="AQ87" i="4"/>
  <c r="AD87" i="4"/>
  <c r="U87" i="4"/>
  <c r="L87" i="4"/>
  <c r="BE86" i="4"/>
  <c r="AX86" i="4"/>
  <c r="AW86" i="4"/>
  <c r="AV86" i="4"/>
  <c r="AQ86" i="4"/>
  <c r="AR86" i="4" s="1"/>
  <c r="AD86" i="4"/>
  <c r="AD116" i="4" s="1"/>
  <c r="U86" i="4"/>
  <c r="L86" i="4"/>
  <c r="BE85" i="4"/>
  <c r="AV85" i="4"/>
  <c r="AR85" i="4"/>
  <c r="AQ85" i="4"/>
  <c r="AD85" i="4"/>
  <c r="U85" i="4"/>
  <c r="L85" i="4"/>
  <c r="BL84" i="4"/>
  <c r="BK84" i="4"/>
  <c r="BJ84" i="4"/>
  <c r="BI84" i="4"/>
  <c r="BH84" i="4"/>
  <c r="BG84" i="4"/>
  <c r="BF84" i="4"/>
  <c r="BD84" i="4"/>
  <c r="AS84" i="4"/>
  <c r="AN84" i="4"/>
  <c r="BL83" i="4"/>
  <c r="BK83" i="4"/>
  <c r="BJ83" i="4"/>
  <c r="BI83" i="4"/>
  <c r="BH83" i="4"/>
  <c r="BG83" i="4"/>
  <c r="BF83" i="4"/>
  <c r="BD83" i="4"/>
  <c r="BC83" i="4"/>
  <c r="BB83" i="4"/>
  <c r="BA83" i="4"/>
  <c r="AZ83" i="4"/>
  <c r="AY83" i="4"/>
  <c r="AU83" i="4"/>
  <c r="AT83" i="4"/>
  <c r="AS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C83" i="4"/>
  <c r="AB83" i="4"/>
  <c r="AA83" i="4"/>
  <c r="Z83" i="4"/>
  <c r="Y83" i="4"/>
  <c r="X83" i="4"/>
  <c r="W83" i="4"/>
  <c r="V83" i="4"/>
  <c r="T83" i="4"/>
  <c r="S83" i="4"/>
  <c r="R83" i="4"/>
  <c r="Q83" i="4"/>
  <c r="P83" i="4"/>
  <c r="O83" i="4"/>
  <c r="N83" i="4"/>
  <c r="M83" i="4"/>
  <c r="K83" i="4"/>
  <c r="J83" i="4"/>
  <c r="I83" i="4"/>
  <c r="H83" i="4"/>
  <c r="G83" i="4"/>
  <c r="F83" i="4"/>
  <c r="E83" i="4"/>
  <c r="D83" i="4"/>
  <c r="BL82" i="4"/>
  <c r="BK82" i="4"/>
  <c r="BJ82" i="4"/>
  <c r="BI82" i="4"/>
  <c r="BH82" i="4"/>
  <c r="BG82" i="4"/>
  <c r="BF82" i="4"/>
  <c r="BD82" i="4"/>
  <c r="BC82" i="4"/>
  <c r="BB82" i="4"/>
  <c r="BA82" i="4"/>
  <c r="AZ82" i="4"/>
  <c r="AY82" i="4"/>
  <c r="AU82" i="4"/>
  <c r="AT82" i="4"/>
  <c r="AS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C82" i="4"/>
  <c r="AB82" i="4"/>
  <c r="AA82" i="4"/>
  <c r="Z82" i="4"/>
  <c r="Y82" i="4"/>
  <c r="X82" i="4"/>
  <c r="W82" i="4"/>
  <c r="V82" i="4"/>
  <c r="T82" i="4"/>
  <c r="S82" i="4"/>
  <c r="R82" i="4"/>
  <c r="Q82" i="4"/>
  <c r="P82" i="4"/>
  <c r="O82" i="4"/>
  <c r="N82" i="4"/>
  <c r="M82" i="4"/>
  <c r="K82" i="4"/>
  <c r="J82" i="4"/>
  <c r="I82" i="4"/>
  <c r="H82" i="4"/>
  <c r="G82" i="4"/>
  <c r="F82" i="4"/>
  <c r="E82" i="4"/>
  <c r="D82" i="4"/>
  <c r="BL81" i="4"/>
  <c r="BK81" i="4"/>
  <c r="BJ81" i="4"/>
  <c r="BI81" i="4"/>
  <c r="BH81" i="4"/>
  <c r="BG81" i="4"/>
  <c r="BF81" i="4"/>
  <c r="BD81" i="4"/>
  <c r="BC81" i="4"/>
  <c r="BB81" i="4"/>
  <c r="BA81" i="4"/>
  <c r="AZ81" i="4"/>
  <c r="AY81" i="4"/>
  <c r="AU81" i="4"/>
  <c r="AT81" i="4"/>
  <c r="AS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C81" i="4"/>
  <c r="AB81" i="4"/>
  <c r="AA81" i="4"/>
  <c r="Z81" i="4"/>
  <c r="Y81" i="4"/>
  <c r="X81" i="4"/>
  <c r="W81" i="4"/>
  <c r="V81" i="4"/>
  <c r="T81" i="4"/>
  <c r="S81" i="4"/>
  <c r="R81" i="4"/>
  <c r="Q81" i="4"/>
  <c r="P81" i="4"/>
  <c r="O81" i="4"/>
  <c r="N81" i="4"/>
  <c r="M81" i="4"/>
  <c r="K81" i="4"/>
  <c r="J81" i="4"/>
  <c r="I81" i="4"/>
  <c r="H81" i="4"/>
  <c r="G81" i="4"/>
  <c r="F81" i="4"/>
  <c r="E81" i="4"/>
  <c r="D81" i="4"/>
  <c r="BE80" i="4"/>
  <c r="AV80" i="4"/>
  <c r="AQ80" i="4"/>
  <c r="AR80" i="4" s="1"/>
  <c r="AD80" i="4"/>
  <c r="U80" i="4"/>
  <c r="L80" i="4"/>
  <c r="C80" i="4"/>
  <c r="A80" i="4"/>
  <c r="BE79" i="4"/>
  <c r="AV79" i="4"/>
  <c r="AW79" i="4" s="1"/>
  <c r="AR79" i="4"/>
  <c r="AX79" i="4" s="1"/>
  <c r="AQ79" i="4"/>
  <c r="AD79" i="4"/>
  <c r="U79" i="4"/>
  <c r="L79" i="4"/>
  <c r="C79" i="4"/>
  <c r="BE78" i="4"/>
  <c r="AV78" i="4"/>
  <c r="AW78" i="4" s="1"/>
  <c r="AQ78" i="4"/>
  <c r="AR78" i="4" s="1"/>
  <c r="AX78" i="4" s="1"/>
  <c r="AD78" i="4"/>
  <c r="U78" i="4"/>
  <c r="L78" i="4"/>
  <c r="C78" i="4"/>
  <c r="BE77" i="4"/>
  <c r="AV77" i="4"/>
  <c r="AW77" i="4" s="1"/>
  <c r="AQ77" i="4"/>
  <c r="AR77" i="4" s="1"/>
  <c r="AX77" i="4" s="1"/>
  <c r="AD77" i="4"/>
  <c r="U77" i="4"/>
  <c r="L77" i="4"/>
  <c r="C77" i="4"/>
  <c r="BE76" i="4"/>
  <c r="AV76" i="4"/>
  <c r="AR76" i="4"/>
  <c r="AQ76" i="4"/>
  <c r="AD76" i="4"/>
  <c r="U76" i="4"/>
  <c r="L76" i="4"/>
  <c r="C76" i="4"/>
  <c r="BE75" i="4"/>
  <c r="AV75" i="4"/>
  <c r="AW75" i="4" s="1"/>
  <c r="AR75" i="4"/>
  <c r="AQ75" i="4"/>
  <c r="AD75" i="4"/>
  <c r="U75" i="4"/>
  <c r="L75" i="4"/>
  <c r="C75" i="4"/>
  <c r="BE74" i="4"/>
  <c r="AV74" i="4"/>
  <c r="AW74" i="4" s="1"/>
  <c r="AQ74" i="4"/>
  <c r="AR74" i="4" s="1"/>
  <c r="AX74" i="4" s="1"/>
  <c r="AD74" i="4"/>
  <c r="U74" i="4"/>
  <c r="L74" i="4"/>
  <c r="C74" i="4"/>
  <c r="BE73" i="4"/>
  <c r="AV73" i="4"/>
  <c r="AW73" i="4" s="1"/>
  <c r="AQ73" i="4"/>
  <c r="AR73" i="4" s="1"/>
  <c r="AX73" i="4" s="1"/>
  <c r="AD73" i="4"/>
  <c r="U73" i="4"/>
  <c r="L73" i="4"/>
  <c r="C73" i="4"/>
  <c r="BE72" i="4"/>
  <c r="AX72" i="4"/>
  <c r="AV72" i="4"/>
  <c r="AW72" i="4" s="1"/>
  <c r="AR72" i="4"/>
  <c r="AQ72" i="4"/>
  <c r="AD72" i="4"/>
  <c r="U72" i="4"/>
  <c r="L72" i="4"/>
  <c r="C72" i="4"/>
  <c r="BE71" i="4"/>
  <c r="AV71" i="4"/>
  <c r="AR71" i="4"/>
  <c r="AQ71" i="4"/>
  <c r="AD71" i="4"/>
  <c r="U71" i="4"/>
  <c r="L71" i="4"/>
  <c r="C71" i="4"/>
  <c r="BE70" i="4"/>
  <c r="AV70" i="4"/>
  <c r="AW70" i="4" s="1"/>
  <c r="AR70" i="4"/>
  <c r="AQ70" i="4"/>
  <c r="AD70" i="4"/>
  <c r="U70" i="4"/>
  <c r="L70" i="4"/>
  <c r="C70" i="4"/>
  <c r="BE69" i="4"/>
  <c r="AV69" i="4"/>
  <c r="AW69" i="4" s="1"/>
  <c r="AQ69" i="4"/>
  <c r="AR69" i="4" s="1"/>
  <c r="AX69" i="4" s="1"/>
  <c r="AD69" i="4"/>
  <c r="U69" i="4"/>
  <c r="L69" i="4"/>
  <c r="C69" i="4"/>
  <c r="BE68" i="4"/>
  <c r="AV68" i="4"/>
  <c r="AW68" i="4" s="1"/>
  <c r="AQ68" i="4"/>
  <c r="AR68" i="4" s="1"/>
  <c r="AD68" i="4"/>
  <c r="U68" i="4"/>
  <c r="L68" i="4"/>
  <c r="C68" i="4"/>
  <c r="BE67" i="4"/>
  <c r="AV67" i="4"/>
  <c r="AW67" i="4" s="1"/>
  <c r="AR67" i="4"/>
  <c r="AQ67" i="4"/>
  <c r="AD67" i="4"/>
  <c r="U67" i="4"/>
  <c r="L67" i="4"/>
  <c r="C67" i="4"/>
  <c r="BE66" i="4"/>
  <c r="AV66" i="4"/>
  <c r="AW66" i="4" s="1"/>
  <c r="AQ66" i="4"/>
  <c r="AR66" i="4" s="1"/>
  <c r="AX66" i="4" s="1"/>
  <c r="AD66" i="4"/>
  <c r="U66" i="4"/>
  <c r="L66" i="4"/>
  <c r="C66" i="4"/>
  <c r="BE65" i="4"/>
  <c r="AW65" i="4"/>
  <c r="AV65" i="4"/>
  <c r="AQ65" i="4"/>
  <c r="AR65" i="4" s="1"/>
  <c r="AX65" i="4" s="1"/>
  <c r="AD65" i="4"/>
  <c r="U65" i="4"/>
  <c r="L65" i="4"/>
  <c r="C65" i="4"/>
  <c r="BE64" i="4"/>
  <c r="AW64" i="4"/>
  <c r="AV64" i="4"/>
  <c r="AQ64" i="4"/>
  <c r="AR64" i="4" s="1"/>
  <c r="AX64" i="4" s="1"/>
  <c r="AD64" i="4"/>
  <c r="U64" i="4"/>
  <c r="L64" i="4"/>
  <c r="C64" i="4"/>
  <c r="BE63" i="4"/>
  <c r="AX63" i="4"/>
  <c r="AW63" i="4"/>
  <c r="AV63" i="4"/>
  <c r="AQ63" i="4"/>
  <c r="AR63" i="4" s="1"/>
  <c r="AD63" i="4"/>
  <c r="U63" i="4"/>
  <c r="L63" i="4"/>
  <c r="C63" i="4"/>
  <c r="BE62" i="4"/>
  <c r="AW62" i="4"/>
  <c r="AV62" i="4"/>
  <c r="AQ62" i="4"/>
  <c r="AR62" i="4" s="1"/>
  <c r="AX62" i="4" s="1"/>
  <c r="AD62" i="4"/>
  <c r="U62" i="4"/>
  <c r="L62" i="4"/>
  <c r="C62" i="4"/>
  <c r="BE61" i="4"/>
  <c r="AW61" i="4"/>
  <c r="AV61" i="4"/>
  <c r="AQ61" i="4"/>
  <c r="AR61" i="4" s="1"/>
  <c r="AX61" i="4" s="1"/>
  <c r="AD61" i="4"/>
  <c r="U61" i="4"/>
  <c r="L61" i="4"/>
  <c r="C61" i="4"/>
  <c r="BE60" i="4"/>
  <c r="AW60" i="4"/>
  <c r="AV60" i="4"/>
  <c r="AQ60" i="4"/>
  <c r="AR60" i="4" s="1"/>
  <c r="AX60" i="4" s="1"/>
  <c r="AD60" i="4"/>
  <c r="U60" i="4"/>
  <c r="L60" i="4"/>
  <c r="C60" i="4"/>
  <c r="BE59" i="4"/>
  <c r="AX59" i="4"/>
  <c r="AW59" i="4"/>
  <c r="AV59" i="4"/>
  <c r="AQ59" i="4"/>
  <c r="AR59" i="4" s="1"/>
  <c r="AD59" i="4"/>
  <c r="U59" i="4"/>
  <c r="L59" i="4"/>
  <c r="C59" i="4"/>
  <c r="BE58" i="4"/>
  <c r="AW58" i="4"/>
  <c r="AV58" i="4"/>
  <c r="AQ58" i="4"/>
  <c r="AR58" i="4" s="1"/>
  <c r="AX58" i="4" s="1"/>
  <c r="AD58" i="4"/>
  <c r="U58" i="4"/>
  <c r="L58" i="4"/>
  <c r="C58" i="4"/>
  <c r="BE57" i="4"/>
  <c r="AW57" i="4"/>
  <c r="AV57" i="4"/>
  <c r="AQ57" i="4"/>
  <c r="AR57" i="4" s="1"/>
  <c r="AX57" i="4" s="1"/>
  <c r="AD57" i="4"/>
  <c r="U57" i="4"/>
  <c r="L57" i="4"/>
  <c r="C57" i="4"/>
  <c r="BE56" i="4"/>
  <c r="AW56" i="4"/>
  <c r="AV56" i="4"/>
  <c r="AQ56" i="4"/>
  <c r="AR56" i="4" s="1"/>
  <c r="AX56" i="4" s="1"/>
  <c r="AD56" i="4"/>
  <c r="U56" i="4"/>
  <c r="L56" i="4"/>
  <c r="C56" i="4"/>
  <c r="BE55" i="4"/>
  <c r="AX55" i="4"/>
  <c r="AW55" i="4"/>
  <c r="AV55" i="4"/>
  <c r="AQ55" i="4"/>
  <c r="AR55" i="4" s="1"/>
  <c r="AD55" i="4"/>
  <c r="U55" i="4"/>
  <c r="L55" i="4"/>
  <c r="C55" i="4"/>
  <c r="BE54" i="4"/>
  <c r="AW54" i="4"/>
  <c r="AV54" i="4"/>
  <c r="AQ54" i="4"/>
  <c r="AR54" i="4" s="1"/>
  <c r="AX54" i="4" s="1"/>
  <c r="AD54" i="4"/>
  <c r="U54" i="4"/>
  <c r="L54" i="4"/>
  <c r="C54" i="4"/>
  <c r="BE53" i="4"/>
  <c r="AW53" i="4"/>
  <c r="AV53" i="4"/>
  <c r="AQ53" i="4"/>
  <c r="AR53" i="4" s="1"/>
  <c r="AX53" i="4" s="1"/>
  <c r="AD53" i="4"/>
  <c r="U53" i="4"/>
  <c r="L53" i="4"/>
  <c r="C53" i="4"/>
  <c r="BE52" i="4"/>
  <c r="AW52" i="4"/>
  <c r="AV52" i="4"/>
  <c r="AQ52" i="4"/>
  <c r="AD52" i="4"/>
  <c r="U52" i="4"/>
  <c r="L52" i="4"/>
  <c r="C52" i="4"/>
  <c r="C83" i="4" s="1"/>
  <c r="BL51" i="4"/>
  <c r="BK51" i="4"/>
  <c r="BJ51" i="4"/>
  <c r="BI51" i="4"/>
  <c r="BH51" i="4"/>
  <c r="BG51" i="4"/>
  <c r="BF51" i="4"/>
  <c r="BD51" i="4"/>
  <c r="AS51" i="4"/>
  <c r="AN51" i="4"/>
  <c r="BL50" i="4"/>
  <c r="BK50" i="4"/>
  <c r="BJ50" i="4"/>
  <c r="BI50" i="4"/>
  <c r="BI11" i="4" s="1"/>
  <c r="BH50" i="4"/>
  <c r="BG50" i="4"/>
  <c r="BF50" i="4"/>
  <c r="BD50" i="4"/>
  <c r="BC50" i="4"/>
  <c r="BC10" i="4" s="1"/>
  <c r="BB50" i="4"/>
  <c r="BA50" i="4"/>
  <c r="AZ50" i="4"/>
  <c r="AY50" i="4"/>
  <c r="AU50" i="4"/>
  <c r="AT50" i="4"/>
  <c r="AT9" i="4" s="1"/>
  <c r="AS50" i="4"/>
  <c r="AQ50" i="4"/>
  <c r="AP50" i="4"/>
  <c r="AO50" i="4"/>
  <c r="AN50" i="4"/>
  <c r="AM50" i="4"/>
  <c r="AL50" i="4"/>
  <c r="AK50" i="4"/>
  <c r="AJ50" i="4"/>
  <c r="AI50" i="4"/>
  <c r="AH50" i="4"/>
  <c r="AH9" i="4" s="1"/>
  <c r="AG50" i="4"/>
  <c r="AF50" i="4"/>
  <c r="AE50" i="4"/>
  <c r="AD50" i="4"/>
  <c r="AC50" i="4"/>
  <c r="AB50" i="4"/>
  <c r="AA50" i="4"/>
  <c r="Z50" i="4"/>
  <c r="Y50" i="4"/>
  <c r="X50" i="4"/>
  <c r="W50" i="4"/>
  <c r="V50" i="4"/>
  <c r="V8" i="4" s="1"/>
  <c r="T50" i="4"/>
  <c r="S50" i="4"/>
  <c r="S10" i="4" s="1"/>
  <c r="R50" i="4"/>
  <c r="Q50" i="4"/>
  <c r="P50" i="4"/>
  <c r="O50" i="4"/>
  <c r="N50" i="4"/>
  <c r="M50" i="4"/>
  <c r="K50" i="4"/>
  <c r="J50" i="4"/>
  <c r="I50" i="4"/>
  <c r="H50" i="4"/>
  <c r="H10" i="4" s="1"/>
  <c r="G50" i="4"/>
  <c r="G10" i="4" s="1"/>
  <c r="F50" i="4"/>
  <c r="E50" i="4"/>
  <c r="D50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Y10" i="4" s="1"/>
  <c r="AU49" i="4"/>
  <c r="AT49" i="4"/>
  <c r="AS49" i="4"/>
  <c r="AP49" i="4"/>
  <c r="AO49" i="4"/>
  <c r="AN49" i="4"/>
  <c r="AM49" i="4"/>
  <c r="AM10" i="4" s="1"/>
  <c r="AL49" i="4"/>
  <c r="AK49" i="4"/>
  <c r="AJ49" i="4"/>
  <c r="AI49" i="4"/>
  <c r="AH49" i="4"/>
  <c r="AG49" i="4"/>
  <c r="AG9" i="4" s="1"/>
  <c r="AF49" i="4"/>
  <c r="AF9" i="4" s="1"/>
  <c r="AE49" i="4"/>
  <c r="AC49" i="4"/>
  <c r="AB49" i="4"/>
  <c r="AA49" i="4"/>
  <c r="AA10" i="4" s="1"/>
  <c r="Z49" i="4"/>
  <c r="Y49" i="4"/>
  <c r="X49" i="4"/>
  <c r="W49" i="4"/>
  <c r="V49" i="4"/>
  <c r="U49" i="4"/>
  <c r="T49" i="4"/>
  <c r="S49" i="4"/>
  <c r="R49" i="4"/>
  <c r="Q49" i="4"/>
  <c r="P49" i="4"/>
  <c r="O49" i="4"/>
  <c r="O10" i="4" s="1"/>
  <c r="N49" i="4"/>
  <c r="M49" i="4"/>
  <c r="K49" i="4"/>
  <c r="J49" i="4"/>
  <c r="I49" i="4"/>
  <c r="I9" i="4" s="1"/>
  <c r="H49" i="4"/>
  <c r="G49" i="4"/>
  <c r="F49" i="4"/>
  <c r="E49" i="4"/>
  <c r="D49" i="4"/>
  <c r="BL48" i="4"/>
  <c r="BK48" i="4"/>
  <c r="BJ48" i="4"/>
  <c r="BI48" i="4"/>
  <c r="BH48" i="4"/>
  <c r="BH10" i="4" s="1"/>
  <c r="BG48" i="4"/>
  <c r="BG8" i="4" s="1"/>
  <c r="BF48" i="4"/>
  <c r="BD48" i="4"/>
  <c r="BC48" i="4"/>
  <c r="BB48" i="4"/>
  <c r="BA48" i="4"/>
  <c r="BA9" i="4" s="1"/>
  <c r="AZ48" i="4"/>
  <c r="AY48" i="4"/>
  <c r="AU48" i="4"/>
  <c r="AU8" i="4" s="1"/>
  <c r="AT48" i="4"/>
  <c r="AS48" i="4"/>
  <c r="AP48" i="4"/>
  <c r="AO48" i="4"/>
  <c r="AO9" i="4" s="1"/>
  <c r="AN48" i="4"/>
  <c r="AM48" i="4"/>
  <c r="AL48" i="4"/>
  <c r="AK48" i="4"/>
  <c r="AJ48" i="4"/>
  <c r="AI48" i="4"/>
  <c r="AI8" i="4" s="1"/>
  <c r="AH48" i="4"/>
  <c r="AH10" i="4" s="1"/>
  <c r="AG48" i="4"/>
  <c r="AF48" i="4"/>
  <c r="AE48" i="4"/>
  <c r="AD48" i="4"/>
  <c r="AC48" i="4"/>
  <c r="AC9" i="4" s="1"/>
  <c r="AB48" i="4"/>
  <c r="AA48" i="4"/>
  <c r="Z48" i="4"/>
  <c r="Y48" i="4"/>
  <c r="X48" i="4"/>
  <c r="W48" i="4"/>
  <c r="W8" i="4" s="1"/>
  <c r="V48" i="4"/>
  <c r="V10" i="4" s="1"/>
  <c r="T48" i="4"/>
  <c r="S48" i="4"/>
  <c r="R48" i="4"/>
  <c r="Q48" i="4"/>
  <c r="Q9" i="4" s="1"/>
  <c r="P48" i="4"/>
  <c r="O48" i="4"/>
  <c r="N48" i="4"/>
  <c r="M48" i="4"/>
  <c r="K48" i="4"/>
  <c r="J48" i="4"/>
  <c r="I48" i="4"/>
  <c r="H48" i="4"/>
  <c r="G48" i="4"/>
  <c r="F48" i="4"/>
  <c r="F10" i="4" s="1"/>
  <c r="E48" i="4"/>
  <c r="E9" i="4" s="1"/>
  <c r="D48" i="4"/>
  <c r="BE47" i="4"/>
  <c r="AW47" i="4"/>
  <c r="AV47" i="4"/>
  <c r="AR47" i="4"/>
  <c r="AQ47" i="4"/>
  <c r="AD47" i="4"/>
  <c r="U47" i="4"/>
  <c r="L47" i="4"/>
  <c r="C47" i="4"/>
  <c r="BE46" i="4"/>
  <c r="AV46" i="4"/>
  <c r="AR46" i="4"/>
  <c r="AQ46" i="4"/>
  <c r="AD46" i="4"/>
  <c r="U46" i="4"/>
  <c r="L46" i="4"/>
  <c r="C46" i="4"/>
  <c r="BE45" i="4"/>
  <c r="AW45" i="4"/>
  <c r="AV45" i="4"/>
  <c r="AR45" i="4"/>
  <c r="AQ45" i="4"/>
  <c r="AD45" i="4"/>
  <c r="U45" i="4"/>
  <c r="L45" i="4"/>
  <c r="C45" i="4"/>
  <c r="BE44" i="4"/>
  <c r="AV44" i="4"/>
  <c r="AR44" i="4"/>
  <c r="AQ44" i="4"/>
  <c r="AD44" i="4"/>
  <c r="U44" i="4"/>
  <c r="L44" i="4"/>
  <c r="C44" i="4"/>
  <c r="BE43" i="4"/>
  <c r="AW43" i="4"/>
  <c r="AV43" i="4"/>
  <c r="AR43" i="4"/>
  <c r="AQ43" i="4"/>
  <c r="AD43" i="4"/>
  <c r="U43" i="4"/>
  <c r="L43" i="4"/>
  <c r="C43" i="4"/>
  <c r="BE42" i="4"/>
  <c r="AV42" i="4"/>
  <c r="AR42" i="4"/>
  <c r="AQ42" i="4"/>
  <c r="AD42" i="4"/>
  <c r="U42" i="4"/>
  <c r="L42" i="4"/>
  <c r="C42" i="4"/>
  <c r="BE41" i="4"/>
  <c r="AW41" i="4"/>
  <c r="AV41" i="4"/>
  <c r="AR41" i="4"/>
  <c r="AQ41" i="4"/>
  <c r="AD41" i="4"/>
  <c r="U41" i="4"/>
  <c r="L41" i="4"/>
  <c r="C41" i="4"/>
  <c r="BE40" i="4"/>
  <c r="AV40" i="4"/>
  <c r="AR40" i="4"/>
  <c r="AQ40" i="4"/>
  <c r="AD40" i="4"/>
  <c r="U40" i="4"/>
  <c r="L40" i="4"/>
  <c r="C40" i="4"/>
  <c r="BE39" i="4"/>
  <c r="AW39" i="4"/>
  <c r="AV39" i="4"/>
  <c r="AR39" i="4"/>
  <c r="AQ39" i="4"/>
  <c r="AD39" i="4"/>
  <c r="U39" i="4"/>
  <c r="L39" i="4"/>
  <c r="C39" i="4"/>
  <c r="BE38" i="4"/>
  <c r="AV38" i="4"/>
  <c r="AR38" i="4"/>
  <c r="AQ38" i="4"/>
  <c r="AD38" i="4"/>
  <c r="U38" i="4"/>
  <c r="L38" i="4"/>
  <c r="C38" i="4"/>
  <c r="BE37" i="4"/>
  <c r="AW37" i="4"/>
  <c r="AV37" i="4"/>
  <c r="AR37" i="4"/>
  <c r="AQ37" i="4"/>
  <c r="AD37" i="4"/>
  <c r="U37" i="4"/>
  <c r="L37" i="4"/>
  <c r="C37" i="4"/>
  <c r="BE36" i="4"/>
  <c r="AV36" i="4"/>
  <c r="AR36" i="4"/>
  <c r="AQ36" i="4"/>
  <c r="AD36" i="4"/>
  <c r="U36" i="4"/>
  <c r="L36" i="4"/>
  <c r="C36" i="4"/>
  <c r="BE35" i="4"/>
  <c r="AW35" i="4"/>
  <c r="AV35" i="4"/>
  <c r="AR35" i="4"/>
  <c r="AQ35" i="4"/>
  <c r="AD35" i="4"/>
  <c r="U35" i="4"/>
  <c r="L35" i="4"/>
  <c r="C35" i="4"/>
  <c r="BE34" i="4"/>
  <c r="AV34" i="4"/>
  <c r="AR34" i="4"/>
  <c r="AQ34" i="4"/>
  <c r="AD34" i="4"/>
  <c r="U34" i="4"/>
  <c r="L34" i="4"/>
  <c r="C34" i="4"/>
  <c r="BE33" i="4"/>
  <c r="AW33" i="4"/>
  <c r="AV33" i="4"/>
  <c r="AR33" i="4"/>
  <c r="AQ33" i="4"/>
  <c r="AD33" i="4"/>
  <c r="U33" i="4"/>
  <c r="L33" i="4"/>
  <c r="C33" i="4"/>
  <c r="BE32" i="4"/>
  <c r="AV32" i="4"/>
  <c r="AR32" i="4"/>
  <c r="AQ32" i="4"/>
  <c r="AD32" i="4"/>
  <c r="U32" i="4"/>
  <c r="L32" i="4"/>
  <c r="C32" i="4"/>
  <c r="BE31" i="4"/>
  <c r="AW31" i="4"/>
  <c r="AV31" i="4"/>
  <c r="AR31" i="4"/>
  <c r="AQ31" i="4"/>
  <c r="AD31" i="4"/>
  <c r="U31" i="4"/>
  <c r="L31" i="4"/>
  <c r="C31" i="4"/>
  <c r="BE30" i="4"/>
  <c r="AV30" i="4"/>
  <c r="AR30" i="4"/>
  <c r="AQ30" i="4"/>
  <c r="AD30" i="4"/>
  <c r="U30" i="4"/>
  <c r="L30" i="4"/>
  <c r="C30" i="4"/>
  <c r="BE29" i="4"/>
  <c r="AW29" i="4"/>
  <c r="AV29" i="4"/>
  <c r="AR29" i="4"/>
  <c r="AQ29" i="4"/>
  <c r="AD29" i="4"/>
  <c r="U29" i="4"/>
  <c r="L29" i="4"/>
  <c r="C29" i="4"/>
  <c r="BE28" i="4"/>
  <c r="AV28" i="4"/>
  <c r="AR28" i="4"/>
  <c r="AQ28" i="4"/>
  <c r="AD28" i="4"/>
  <c r="U28" i="4"/>
  <c r="L28" i="4"/>
  <c r="C28" i="4"/>
  <c r="BE27" i="4"/>
  <c r="AW27" i="4"/>
  <c r="AV27" i="4"/>
  <c r="AR27" i="4"/>
  <c r="AQ27" i="4"/>
  <c r="AD27" i="4"/>
  <c r="U27" i="4"/>
  <c r="L27" i="4"/>
  <c r="C27" i="4"/>
  <c r="BE26" i="4"/>
  <c r="AV26" i="4"/>
  <c r="AR26" i="4"/>
  <c r="AQ26" i="4"/>
  <c r="AD26" i="4"/>
  <c r="U26" i="4"/>
  <c r="L26" i="4"/>
  <c r="C26" i="4"/>
  <c r="BE25" i="4"/>
  <c r="AW25" i="4"/>
  <c r="AV25" i="4"/>
  <c r="AR25" i="4"/>
  <c r="AQ25" i="4"/>
  <c r="AD25" i="4"/>
  <c r="U25" i="4"/>
  <c r="L25" i="4"/>
  <c r="C25" i="4"/>
  <c r="BE24" i="4"/>
  <c r="AV24" i="4"/>
  <c r="AR24" i="4"/>
  <c r="AQ24" i="4"/>
  <c r="AD24" i="4"/>
  <c r="U24" i="4"/>
  <c r="L24" i="4"/>
  <c r="C24" i="4"/>
  <c r="BE23" i="4"/>
  <c r="AW23" i="4"/>
  <c r="AV23" i="4"/>
  <c r="AR23" i="4"/>
  <c r="AQ23" i="4"/>
  <c r="AD23" i="4"/>
  <c r="U23" i="4"/>
  <c r="L23" i="4"/>
  <c r="C23" i="4"/>
  <c r="BE22" i="4"/>
  <c r="AV22" i="4"/>
  <c r="AR22" i="4"/>
  <c r="AQ22" i="4"/>
  <c r="AD22" i="4"/>
  <c r="U22" i="4"/>
  <c r="L22" i="4"/>
  <c r="C22" i="4"/>
  <c r="BE21" i="4"/>
  <c r="AW21" i="4"/>
  <c r="AV21" i="4"/>
  <c r="AR21" i="4"/>
  <c r="AQ21" i="4"/>
  <c r="AD21" i="4"/>
  <c r="U21" i="4"/>
  <c r="L21" i="4"/>
  <c r="C21" i="4"/>
  <c r="BE20" i="4"/>
  <c r="AV20" i="4"/>
  <c r="AR20" i="4"/>
  <c r="AQ20" i="4"/>
  <c r="AD20" i="4"/>
  <c r="U20" i="4"/>
  <c r="L20" i="4"/>
  <c r="C20" i="4"/>
  <c r="BE19" i="4"/>
  <c r="AW19" i="4"/>
  <c r="AV19" i="4"/>
  <c r="AR19" i="4"/>
  <c r="AQ19" i="4"/>
  <c r="AD19" i="4"/>
  <c r="U19" i="4"/>
  <c r="L19" i="4"/>
  <c r="C19" i="4"/>
  <c r="BE18" i="4"/>
  <c r="AV18" i="4"/>
  <c r="AV48" i="4" s="1"/>
  <c r="AR18" i="4"/>
  <c r="AR49" i="4" s="1"/>
  <c r="AQ18" i="4"/>
  <c r="AD18" i="4"/>
  <c r="U18" i="4"/>
  <c r="L18" i="4"/>
  <c r="C18" i="4"/>
  <c r="B18" i="4"/>
  <c r="B19" i="4" s="1"/>
  <c r="BE17" i="4"/>
  <c r="AW17" i="4"/>
  <c r="AV17" i="4"/>
  <c r="AV49" i="4" s="1"/>
  <c r="AR17" i="4"/>
  <c r="AR50" i="4" s="1"/>
  <c r="AQ17" i="4"/>
  <c r="AQ49" i="4" s="1"/>
  <c r="AD17" i="4"/>
  <c r="AD49" i="4" s="1"/>
  <c r="U17" i="4"/>
  <c r="U48" i="4" s="1"/>
  <c r="L17" i="4"/>
  <c r="L48" i="4" s="1"/>
  <c r="C17" i="4"/>
  <c r="A17" i="4"/>
  <c r="BI12" i="4"/>
  <c r="BH12" i="4"/>
  <c r="BG12" i="4"/>
  <c r="AS12" i="4"/>
  <c r="AN12" i="4"/>
  <c r="BJ11" i="4"/>
  <c r="BH11" i="4"/>
  <c r="BG11" i="4"/>
  <c r="BF11" i="4"/>
  <c r="AN11" i="4"/>
  <c r="BI10" i="4"/>
  <c r="BG10" i="4"/>
  <c r="BF10" i="4"/>
  <c r="BA10" i="4"/>
  <c r="AT10" i="4"/>
  <c r="AS10" i="4"/>
  <c r="AN10" i="4"/>
  <c r="AK10" i="4"/>
  <c r="AI10" i="4"/>
  <c r="AG10" i="4"/>
  <c r="AF10" i="4"/>
  <c r="AC10" i="4"/>
  <c r="AB10" i="4"/>
  <c r="Y10" i="4"/>
  <c r="W10" i="4"/>
  <c r="T10" i="4"/>
  <c r="Q10" i="4"/>
  <c r="P10" i="4"/>
  <c r="M10" i="4"/>
  <c r="K10" i="4"/>
  <c r="J10" i="4"/>
  <c r="I10" i="4"/>
  <c r="E10" i="4"/>
  <c r="D10" i="4"/>
  <c r="BH9" i="4"/>
  <c r="BG9" i="4"/>
  <c r="BF9" i="4"/>
  <c r="BC9" i="4"/>
  <c r="AU9" i="4"/>
  <c r="AP9" i="4"/>
  <c r="AM9" i="4"/>
  <c r="AK9" i="4"/>
  <c r="AJ9" i="4"/>
  <c r="AI9" i="4"/>
  <c r="AE9" i="4"/>
  <c r="AA9" i="4"/>
  <c r="Y9" i="4"/>
  <c r="X9" i="4"/>
  <c r="W9" i="4"/>
  <c r="S9" i="4"/>
  <c r="R9" i="4"/>
  <c r="O9" i="4"/>
  <c r="M9" i="4"/>
  <c r="K9" i="4"/>
  <c r="J9" i="4"/>
  <c r="G9" i="4"/>
  <c r="F9" i="4"/>
  <c r="BI8" i="4"/>
  <c r="BH8" i="4"/>
  <c r="BD8" i="4"/>
  <c r="BC8" i="4"/>
  <c r="BA8" i="4"/>
  <c r="AY8" i="4"/>
  <c r="AS8" i="4"/>
  <c r="AO8" i="4"/>
  <c r="AM8" i="4"/>
  <c r="AL8" i="4"/>
  <c r="AK8" i="4"/>
  <c r="AJ8" i="4"/>
  <c r="AG8" i="4"/>
  <c r="AF8" i="4"/>
  <c r="AE8" i="4"/>
  <c r="AC8" i="4"/>
  <c r="AA8" i="4"/>
  <c r="Z8" i="4"/>
  <c r="Y8" i="4"/>
  <c r="X8" i="4"/>
  <c r="T8" i="4"/>
  <c r="S8" i="4"/>
  <c r="Q8" i="4"/>
  <c r="O8" i="4"/>
  <c r="N8" i="4"/>
  <c r="M8" i="4"/>
  <c r="K8" i="4"/>
  <c r="J8" i="4"/>
  <c r="I8" i="4"/>
  <c r="G8" i="4"/>
  <c r="F8" i="4"/>
  <c r="E8" i="4"/>
  <c r="BL430" i="3"/>
  <c r="BK430" i="3"/>
  <c r="BJ430" i="3"/>
  <c r="BI430" i="3"/>
  <c r="BH430" i="3"/>
  <c r="BG430" i="3"/>
  <c r="BF430" i="3"/>
  <c r="BE430" i="3"/>
  <c r="BD430" i="3"/>
  <c r="AS430" i="3"/>
  <c r="AN430" i="3"/>
  <c r="BL429" i="3"/>
  <c r="BK429" i="3"/>
  <c r="BJ429" i="3"/>
  <c r="BI429" i="3"/>
  <c r="BH429" i="3"/>
  <c r="BG429" i="3"/>
  <c r="BF429" i="3"/>
  <c r="BE429" i="3"/>
  <c r="BD429" i="3"/>
  <c r="BC429" i="3"/>
  <c r="BB429" i="3"/>
  <c r="BA429" i="3"/>
  <c r="AZ429" i="3"/>
  <c r="AY429" i="3"/>
  <c r="AV429" i="3"/>
  <c r="AU429" i="3"/>
  <c r="AT429" i="3"/>
  <c r="AS429" i="3"/>
  <c r="AQ429" i="3"/>
  <c r="AP429" i="3"/>
  <c r="AO429" i="3"/>
  <c r="AN429" i="3"/>
  <c r="AM429" i="3"/>
  <c r="AL429" i="3"/>
  <c r="AK429" i="3"/>
  <c r="AJ429" i="3"/>
  <c r="AI429" i="3"/>
  <c r="AH429" i="3"/>
  <c r="AG429" i="3"/>
  <c r="AF429" i="3"/>
  <c r="AE429" i="3"/>
  <c r="AD429" i="3"/>
  <c r="AC429" i="3"/>
  <c r="AB429" i="3"/>
  <c r="AA429" i="3"/>
  <c r="Z429" i="3"/>
  <c r="Y429" i="3"/>
  <c r="X429" i="3"/>
  <c r="W429" i="3"/>
  <c r="V429" i="3"/>
  <c r="U429" i="3"/>
  <c r="T429" i="3"/>
  <c r="S429" i="3"/>
  <c r="R429" i="3"/>
  <c r="Q429" i="3"/>
  <c r="P429" i="3"/>
  <c r="O429" i="3"/>
  <c r="N429" i="3"/>
  <c r="M429" i="3"/>
  <c r="K429" i="3"/>
  <c r="J429" i="3"/>
  <c r="I429" i="3"/>
  <c r="H429" i="3"/>
  <c r="G429" i="3"/>
  <c r="F429" i="3"/>
  <c r="E429" i="3"/>
  <c r="D429" i="3"/>
  <c r="BL428" i="3"/>
  <c r="BK428" i="3"/>
  <c r="BJ428" i="3"/>
  <c r="BI428" i="3"/>
  <c r="BH428" i="3"/>
  <c r="BG428" i="3"/>
  <c r="BF428" i="3"/>
  <c r="BE428" i="3"/>
  <c r="BD428" i="3"/>
  <c r="BC428" i="3"/>
  <c r="BB428" i="3"/>
  <c r="BA428" i="3"/>
  <c r="AZ428" i="3"/>
  <c r="AY428" i="3"/>
  <c r="AV428" i="3"/>
  <c r="AU428" i="3"/>
  <c r="AT428" i="3"/>
  <c r="AS428" i="3"/>
  <c r="AQ428" i="3"/>
  <c r="AP428" i="3"/>
  <c r="AO428" i="3"/>
  <c r="AN428" i="3"/>
  <c r="AM428" i="3"/>
  <c r="AL428" i="3"/>
  <c r="AK428" i="3"/>
  <c r="AJ428" i="3"/>
  <c r="AI428" i="3"/>
  <c r="AH428" i="3"/>
  <c r="AG428" i="3"/>
  <c r="AF428" i="3"/>
  <c r="AE428" i="3"/>
  <c r="AD428" i="3"/>
  <c r="AC428" i="3"/>
  <c r="AB428" i="3"/>
  <c r="AA428" i="3"/>
  <c r="Z428" i="3"/>
  <c r="Y428" i="3"/>
  <c r="X428" i="3"/>
  <c r="W428" i="3"/>
  <c r="V428" i="3"/>
  <c r="U428" i="3"/>
  <c r="T428" i="3"/>
  <c r="S428" i="3"/>
  <c r="R428" i="3"/>
  <c r="Q428" i="3"/>
  <c r="P428" i="3"/>
  <c r="O428" i="3"/>
  <c r="N428" i="3"/>
  <c r="M428" i="3"/>
  <c r="K428" i="3"/>
  <c r="J428" i="3"/>
  <c r="I428" i="3"/>
  <c r="H428" i="3"/>
  <c r="G428" i="3"/>
  <c r="F428" i="3"/>
  <c r="E428" i="3"/>
  <c r="D428" i="3"/>
  <c r="BL427" i="3"/>
  <c r="BK427" i="3"/>
  <c r="BJ427" i="3"/>
  <c r="BI427" i="3"/>
  <c r="BH427" i="3"/>
  <c r="BG427" i="3"/>
  <c r="BF427" i="3"/>
  <c r="BE427" i="3"/>
  <c r="BD427" i="3"/>
  <c r="BC427" i="3"/>
  <c r="BB427" i="3"/>
  <c r="BA427" i="3"/>
  <c r="AZ427" i="3"/>
  <c r="AY427" i="3"/>
  <c r="AV427" i="3"/>
  <c r="AQ427" i="3"/>
  <c r="AP427" i="3"/>
  <c r="AO427" i="3"/>
  <c r="AN427" i="3"/>
  <c r="AM427" i="3"/>
  <c r="AL427" i="3"/>
  <c r="AK427" i="3"/>
  <c r="AJ427" i="3"/>
  <c r="AI427" i="3"/>
  <c r="AH427" i="3"/>
  <c r="AG427" i="3"/>
  <c r="AF427" i="3"/>
  <c r="AE427" i="3"/>
  <c r="AD427" i="3"/>
  <c r="AC427" i="3"/>
  <c r="AB427" i="3"/>
  <c r="AA427" i="3"/>
  <c r="Z427" i="3"/>
  <c r="Y427" i="3"/>
  <c r="X427" i="3"/>
  <c r="W427" i="3"/>
  <c r="V427" i="3"/>
  <c r="U427" i="3"/>
  <c r="T427" i="3"/>
  <c r="S427" i="3"/>
  <c r="R427" i="3"/>
  <c r="Q427" i="3"/>
  <c r="P427" i="3"/>
  <c r="O427" i="3"/>
  <c r="N427" i="3"/>
  <c r="M427" i="3"/>
  <c r="K427" i="3"/>
  <c r="J427" i="3"/>
  <c r="I427" i="3"/>
  <c r="H427" i="3"/>
  <c r="G427" i="3"/>
  <c r="F427" i="3"/>
  <c r="E427" i="3"/>
  <c r="D427" i="3"/>
  <c r="BE426" i="3"/>
  <c r="AW426" i="3"/>
  <c r="AV426" i="3"/>
  <c r="AR426" i="3"/>
  <c r="AX426" i="3" s="1"/>
  <c r="AQ426" i="3"/>
  <c r="AD426" i="3"/>
  <c r="U426" i="3"/>
  <c r="L426" i="3"/>
  <c r="C426" i="3"/>
  <c r="BE425" i="3"/>
  <c r="AW425" i="3"/>
  <c r="AV425" i="3"/>
  <c r="AR425" i="3"/>
  <c r="AX425" i="3" s="1"/>
  <c r="AQ425" i="3"/>
  <c r="AD425" i="3"/>
  <c r="U425" i="3"/>
  <c r="L425" i="3"/>
  <c r="C425" i="3"/>
  <c r="BE424" i="3"/>
  <c r="AW424" i="3"/>
  <c r="AV424" i="3"/>
  <c r="AR424" i="3"/>
  <c r="AX424" i="3" s="1"/>
  <c r="AQ424" i="3"/>
  <c r="AD424" i="3"/>
  <c r="U424" i="3"/>
  <c r="L424" i="3"/>
  <c r="C424" i="3"/>
  <c r="BE423" i="3"/>
  <c r="AW423" i="3"/>
  <c r="AV423" i="3"/>
  <c r="AR423" i="3"/>
  <c r="AX423" i="3" s="1"/>
  <c r="AQ423" i="3"/>
  <c r="AD423" i="3"/>
  <c r="U423" i="3"/>
  <c r="L423" i="3"/>
  <c r="C423" i="3"/>
  <c r="BE422" i="3"/>
  <c r="AW422" i="3"/>
  <c r="AV422" i="3"/>
  <c r="AR422" i="3"/>
  <c r="AX422" i="3" s="1"/>
  <c r="AQ422" i="3"/>
  <c r="AD422" i="3"/>
  <c r="U422" i="3"/>
  <c r="L422" i="3"/>
  <c r="C422" i="3"/>
  <c r="BE421" i="3"/>
  <c r="AW421" i="3"/>
  <c r="AV421" i="3"/>
  <c r="AR421" i="3"/>
  <c r="AX421" i="3" s="1"/>
  <c r="AQ421" i="3"/>
  <c r="AD421" i="3"/>
  <c r="U421" i="3"/>
  <c r="L421" i="3"/>
  <c r="C421" i="3"/>
  <c r="BE420" i="3"/>
  <c r="AW420" i="3"/>
  <c r="AV420" i="3"/>
  <c r="AR420" i="3"/>
  <c r="AX420" i="3" s="1"/>
  <c r="AQ420" i="3"/>
  <c r="AD420" i="3"/>
  <c r="U420" i="3"/>
  <c r="L420" i="3"/>
  <c r="C420" i="3"/>
  <c r="BE419" i="3"/>
  <c r="AW419" i="3"/>
  <c r="AV419" i="3"/>
  <c r="AR419" i="3"/>
  <c r="AX419" i="3" s="1"/>
  <c r="AQ419" i="3"/>
  <c r="AD419" i="3"/>
  <c r="U419" i="3"/>
  <c r="L419" i="3"/>
  <c r="C419" i="3"/>
  <c r="BE418" i="3"/>
  <c r="AW418" i="3"/>
  <c r="AV418" i="3"/>
  <c r="AR418" i="3"/>
  <c r="AX418" i="3" s="1"/>
  <c r="AQ418" i="3"/>
  <c r="AD418" i="3"/>
  <c r="U418" i="3"/>
  <c r="L418" i="3"/>
  <c r="C418" i="3"/>
  <c r="BE417" i="3"/>
  <c r="AW417" i="3"/>
  <c r="AV417" i="3"/>
  <c r="AR417" i="3"/>
  <c r="AX417" i="3" s="1"/>
  <c r="AQ417" i="3"/>
  <c r="AD417" i="3"/>
  <c r="U417" i="3"/>
  <c r="L417" i="3"/>
  <c r="C417" i="3"/>
  <c r="BE416" i="3"/>
  <c r="AW416" i="3"/>
  <c r="AV416" i="3"/>
  <c r="AR416" i="3"/>
  <c r="AX416" i="3" s="1"/>
  <c r="AQ416" i="3"/>
  <c r="AD416" i="3"/>
  <c r="U416" i="3"/>
  <c r="L416" i="3"/>
  <c r="C416" i="3"/>
  <c r="BE415" i="3"/>
  <c r="AW415" i="3"/>
  <c r="AV415" i="3"/>
  <c r="AR415" i="3"/>
  <c r="AX415" i="3" s="1"/>
  <c r="AQ415" i="3"/>
  <c r="AD415" i="3"/>
  <c r="U415" i="3"/>
  <c r="L415" i="3"/>
  <c r="C415" i="3"/>
  <c r="BE414" i="3"/>
  <c r="AW414" i="3"/>
  <c r="AV414" i="3"/>
  <c r="AR414" i="3"/>
  <c r="AX414" i="3" s="1"/>
  <c r="AQ414" i="3"/>
  <c r="AD414" i="3"/>
  <c r="U414" i="3"/>
  <c r="L414" i="3"/>
  <c r="C414" i="3"/>
  <c r="BE413" i="3"/>
  <c r="AW413" i="3"/>
  <c r="AV413" i="3"/>
  <c r="AR413" i="3"/>
  <c r="AX413" i="3" s="1"/>
  <c r="AQ413" i="3"/>
  <c r="AD413" i="3"/>
  <c r="U413" i="3"/>
  <c r="L413" i="3"/>
  <c r="C413" i="3"/>
  <c r="BE412" i="3"/>
  <c r="AW412" i="3"/>
  <c r="AV412" i="3"/>
  <c r="AR412" i="3"/>
  <c r="AX412" i="3" s="1"/>
  <c r="AQ412" i="3"/>
  <c r="AD412" i="3"/>
  <c r="U412" i="3"/>
  <c r="L412" i="3"/>
  <c r="C412" i="3"/>
  <c r="BE411" i="3"/>
  <c r="AW411" i="3"/>
  <c r="AV411" i="3"/>
  <c r="AR411" i="3"/>
  <c r="AX411" i="3" s="1"/>
  <c r="AQ411" i="3"/>
  <c r="AD411" i="3"/>
  <c r="U411" i="3"/>
  <c r="L411" i="3"/>
  <c r="C411" i="3"/>
  <c r="BE410" i="3"/>
  <c r="AW410" i="3"/>
  <c r="AV410" i="3"/>
  <c r="AR410" i="3"/>
  <c r="AX410" i="3" s="1"/>
  <c r="AQ410" i="3"/>
  <c r="AD410" i="3"/>
  <c r="U410" i="3"/>
  <c r="L410" i="3"/>
  <c r="C410" i="3"/>
  <c r="BE409" i="3"/>
  <c r="AW409" i="3"/>
  <c r="AV409" i="3"/>
  <c r="AR409" i="3"/>
  <c r="AX409" i="3" s="1"/>
  <c r="AQ409" i="3"/>
  <c r="AD409" i="3"/>
  <c r="U409" i="3"/>
  <c r="L409" i="3"/>
  <c r="C409" i="3"/>
  <c r="BE408" i="3"/>
  <c r="AW408" i="3"/>
  <c r="AV408" i="3"/>
  <c r="AR408" i="3"/>
  <c r="AX408" i="3" s="1"/>
  <c r="AQ408" i="3"/>
  <c r="AD408" i="3"/>
  <c r="U408" i="3"/>
  <c r="L408" i="3"/>
  <c r="C408" i="3"/>
  <c r="BE407" i="3"/>
  <c r="AW407" i="3"/>
  <c r="AV407" i="3"/>
  <c r="AR407" i="3"/>
  <c r="AX407" i="3" s="1"/>
  <c r="AQ407" i="3"/>
  <c r="AD407" i="3"/>
  <c r="U407" i="3"/>
  <c r="L407" i="3"/>
  <c r="C407" i="3"/>
  <c r="BE406" i="3"/>
  <c r="AW406" i="3"/>
  <c r="AV406" i="3"/>
  <c r="AR406" i="3"/>
  <c r="AX406" i="3" s="1"/>
  <c r="AQ406" i="3"/>
  <c r="AD406" i="3"/>
  <c r="U406" i="3"/>
  <c r="L406" i="3"/>
  <c r="C406" i="3"/>
  <c r="BE405" i="3"/>
  <c r="AW405" i="3"/>
  <c r="AV405" i="3"/>
  <c r="AR405" i="3"/>
  <c r="AX405" i="3" s="1"/>
  <c r="AQ405" i="3"/>
  <c r="AD405" i="3"/>
  <c r="U405" i="3"/>
  <c r="L405" i="3"/>
  <c r="C405" i="3"/>
  <c r="BE404" i="3"/>
  <c r="AW404" i="3"/>
  <c r="AV404" i="3"/>
  <c r="AR404" i="3"/>
  <c r="AX404" i="3" s="1"/>
  <c r="AQ404" i="3"/>
  <c r="AD404" i="3"/>
  <c r="U404" i="3"/>
  <c r="L404" i="3"/>
  <c r="C404" i="3"/>
  <c r="BE403" i="3"/>
  <c r="AW403" i="3"/>
  <c r="AV403" i="3"/>
  <c r="AR403" i="3"/>
  <c r="AX403" i="3" s="1"/>
  <c r="AQ403" i="3"/>
  <c r="AD403" i="3"/>
  <c r="U403" i="3"/>
  <c r="L403" i="3"/>
  <c r="C403" i="3"/>
  <c r="BE402" i="3"/>
  <c r="AW402" i="3"/>
  <c r="AV402" i="3"/>
  <c r="AR402" i="3"/>
  <c r="AX402" i="3" s="1"/>
  <c r="AQ402" i="3"/>
  <c r="AD402" i="3"/>
  <c r="U402" i="3"/>
  <c r="L402" i="3"/>
  <c r="C402" i="3"/>
  <c r="BE401" i="3"/>
  <c r="AW401" i="3"/>
  <c r="AV401" i="3"/>
  <c r="AR401" i="3"/>
  <c r="AX401" i="3" s="1"/>
  <c r="AQ401" i="3"/>
  <c r="AD401" i="3"/>
  <c r="U401" i="3"/>
  <c r="L401" i="3"/>
  <c r="C401" i="3"/>
  <c r="BE400" i="3"/>
  <c r="AW400" i="3"/>
  <c r="AV400" i="3"/>
  <c r="AR400" i="3"/>
  <c r="AX400" i="3" s="1"/>
  <c r="AQ400" i="3"/>
  <c r="AD400" i="3"/>
  <c r="U400" i="3"/>
  <c r="L400" i="3"/>
  <c r="C400" i="3"/>
  <c r="BE399" i="3"/>
  <c r="AW399" i="3"/>
  <c r="AV399" i="3"/>
  <c r="AR399" i="3"/>
  <c r="AX399" i="3" s="1"/>
  <c r="AQ399" i="3"/>
  <c r="AD399" i="3"/>
  <c r="U399" i="3"/>
  <c r="L399" i="3"/>
  <c r="C399" i="3"/>
  <c r="BE398" i="3"/>
  <c r="AW398" i="3"/>
  <c r="AV398" i="3"/>
  <c r="AR398" i="3"/>
  <c r="AX398" i="3" s="1"/>
  <c r="AQ398" i="3"/>
  <c r="AD398" i="3"/>
  <c r="U398" i="3"/>
  <c r="L398" i="3"/>
  <c r="C398" i="3"/>
  <c r="BE397" i="3"/>
  <c r="AW397" i="3"/>
  <c r="AV397" i="3"/>
  <c r="AR397" i="3"/>
  <c r="AX397" i="3" s="1"/>
  <c r="AQ397" i="3"/>
  <c r="AD397" i="3"/>
  <c r="U397" i="3"/>
  <c r="L397" i="3"/>
  <c r="C397" i="3"/>
  <c r="BE396" i="3"/>
  <c r="AW396" i="3"/>
  <c r="AW429" i="3" s="1"/>
  <c r="AV396" i="3"/>
  <c r="AR396" i="3"/>
  <c r="AX396" i="3" s="1"/>
  <c r="AQ396" i="3"/>
  <c r="AD396" i="3"/>
  <c r="U396" i="3"/>
  <c r="L396" i="3"/>
  <c r="C396" i="3"/>
  <c r="BL395" i="3"/>
  <c r="BK395" i="3"/>
  <c r="BJ395" i="3"/>
  <c r="BI395" i="3"/>
  <c r="BH395" i="3"/>
  <c r="BG395" i="3"/>
  <c r="BF395" i="3"/>
  <c r="BE395" i="3"/>
  <c r="BD395" i="3"/>
  <c r="AS395" i="3"/>
  <c r="AN395" i="3"/>
  <c r="BL394" i="3"/>
  <c r="BK394" i="3"/>
  <c r="BJ394" i="3"/>
  <c r="BI394" i="3"/>
  <c r="BH394" i="3"/>
  <c r="BG394" i="3"/>
  <c r="BF394" i="3"/>
  <c r="BE394" i="3"/>
  <c r="BD394" i="3"/>
  <c r="BC394" i="3"/>
  <c r="BB394" i="3"/>
  <c r="BA394" i="3"/>
  <c r="AZ394" i="3"/>
  <c r="AY394" i="3"/>
  <c r="AU394" i="3"/>
  <c r="AT394" i="3"/>
  <c r="AS394" i="3"/>
  <c r="AQ394" i="3"/>
  <c r="AP394" i="3"/>
  <c r="AO394" i="3"/>
  <c r="AN394" i="3"/>
  <c r="AM394" i="3"/>
  <c r="AL394" i="3"/>
  <c r="AK394" i="3"/>
  <c r="AJ394" i="3"/>
  <c r="AI394" i="3"/>
  <c r="AH394" i="3"/>
  <c r="AG394" i="3"/>
  <c r="AF394" i="3"/>
  <c r="AE394" i="3"/>
  <c r="AD394" i="3"/>
  <c r="AC394" i="3"/>
  <c r="AB394" i="3"/>
  <c r="AA394" i="3"/>
  <c r="Z394" i="3"/>
  <c r="Y394" i="3"/>
  <c r="X394" i="3"/>
  <c r="W394" i="3"/>
  <c r="V394" i="3"/>
  <c r="U394" i="3"/>
  <c r="T394" i="3"/>
  <c r="S394" i="3"/>
  <c r="R394" i="3"/>
  <c r="Q394" i="3"/>
  <c r="P394" i="3"/>
  <c r="O394" i="3"/>
  <c r="N394" i="3"/>
  <c r="M394" i="3"/>
  <c r="L394" i="3"/>
  <c r="K394" i="3"/>
  <c r="J394" i="3"/>
  <c r="I394" i="3"/>
  <c r="H394" i="3"/>
  <c r="G394" i="3"/>
  <c r="F394" i="3"/>
  <c r="E394" i="3"/>
  <c r="D394" i="3"/>
  <c r="C394" i="3"/>
  <c r="BL393" i="3"/>
  <c r="BK393" i="3"/>
  <c r="BJ393" i="3"/>
  <c r="BI393" i="3"/>
  <c r="BH393" i="3"/>
  <c r="BG393" i="3"/>
  <c r="BF393" i="3"/>
  <c r="BE393" i="3"/>
  <c r="BD393" i="3"/>
  <c r="BC393" i="3"/>
  <c r="BB393" i="3"/>
  <c r="BA393" i="3"/>
  <c r="AZ393" i="3"/>
  <c r="AY393" i="3"/>
  <c r="AU393" i="3"/>
  <c r="AT393" i="3"/>
  <c r="AS393" i="3"/>
  <c r="AQ393" i="3"/>
  <c r="AP393" i="3"/>
  <c r="AO393" i="3"/>
  <c r="AN393" i="3"/>
  <c r="AM393" i="3"/>
  <c r="AL393" i="3"/>
  <c r="AK393" i="3"/>
  <c r="AJ393" i="3"/>
  <c r="AI393" i="3"/>
  <c r="AH393" i="3"/>
  <c r="AG393" i="3"/>
  <c r="AF393" i="3"/>
  <c r="AE393" i="3"/>
  <c r="AD393" i="3"/>
  <c r="AC393" i="3"/>
  <c r="AB393" i="3"/>
  <c r="AA393" i="3"/>
  <c r="Z393" i="3"/>
  <c r="Y393" i="3"/>
  <c r="X393" i="3"/>
  <c r="W393" i="3"/>
  <c r="V393" i="3"/>
  <c r="U393" i="3"/>
  <c r="T393" i="3"/>
  <c r="S393" i="3"/>
  <c r="R393" i="3"/>
  <c r="Q393" i="3"/>
  <c r="P393" i="3"/>
  <c r="O393" i="3"/>
  <c r="N393" i="3"/>
  <c r="M393" i="3"/>
  <c r="L393" i="3"/>
  <c r="K393" i="3"/>
  <c r="J393" i="3"/>
  <c r="I393" i="3"/>
  <c r="H393" i="3"/>
  <c r="G393" i="3"/>
  <c r="F393" i="3"/>
  <c r="E393" i="3"/>
  <c r="D393" i="3"/>
  <c r="C393" i="3"/>
  <c r="BL392" i="3"/>
  <c r="BK392" i="3"/>
  <c r="BJ392" i="3"/>
  <c r="BI392" i="3"/>
  <c r="BH392" i="3"/>
  <c r="BG392" i="3"/>
  <c r="BF392" i="3"/>
  <c r="BE392" i="3"/>
  <c r="BD392" i="3"/>
  <c r="BC392" i="3"/>
  <c r="BB392" i="3"/>
  <c r="BA392" i="3"/>
  <c r="AZ392" i="3"/>
  <c r="AY392" i="3"/>
  <c r="AU392" i="3"/>
  <c r="AT392" i="3"/>
  <c r="AS392" i="3"/>
  <c r="AQ392" i="3"/>
  <c r="AP392" i="3"/>
  <c r="AO392" i="3"/>
  <c r="AN392" i="3"/>
  <c r="AM392" i="3"/>
  <c r="AL392" i="3"/>
  <c r="AK392" i="3"/>
  <c r="AJ392" i="3"/>
  <c r="AI392" i="3"/>
  <c r="AH392" i="3"/>
  <c r="AG392" i="3"/>
  <c r="AF392" i="3"/>
  <c r="AE392" i="3"/>
  <c r="AD392" i="3"/>
  <c r="AC392" i="3"/>
  <c r="AB392" i="3"/>
  <c r="AA392" i="3"/>
  <c r="Z392" i="3"/>
  <c r="Y392" i="3"/>
  <c r="X392" i="3"/>
  <c r="W392" i="3"/>
  <c r="V392" i="3"/>
  <c r="U392" i="3"/>
  <c r="T392" i="3"/>
  <c r="S392" i="3"/>
  <c r="R392" i="3"/>
  <c r="Q392" i="3"/>
  <c r="P392" i="3"/>
  <c r="O392" i="3"/>
  <c r="N392" i="3"/>
  <c r="M392" i="3"/>
  <c r="L392" i="3"/>
  <c r="K392" i="3"/>
  <c r="J392" i="3"/>
  <c r="I392" i="3"/>
  <c r="H392" i="3"/>
  <c r="G392" i="3"/>
  <c r="F392" i="3"/>
  <c r="E392" i="3"/>
  <c r="D392" i="3"/>
  <c r="C392" i="3"/>
  <c r="BE391" i="3"/>
  <c r="AV391" i="3"/>
  <c r="AR391" i="3"/>
  <c r="AQ391" i="3"/>
  <c r="AD391" i="3"/>
  <c r="U391" i="3"/>
  <c r="L391" i="3"/>
  <c r="C391" i="3"/>
  <c r="BE390" i="3"/>
  <c r="AV390" i="3"/>
  <c r="AR390" i="3"/>
  <c r="AQ390" i="3"/>
  <c r="AD390" i="3"/>
  <c r="U390" i="3"/>
  <c r="L390" i="3"/>
  <c r="C390" i="3"/>
  <c r="BE389" i="3"/>
  <c r="AV389" i="3"/>
  <c r="AR389" i="3"/>
  <c r="AQ389" i="3"/>
  <c r="AD389" i="3"/>
  <c r="U389" i="3"/>
  <c r="L389" i="3"/>
  <c r="C389" i="3"/>
  <c r="BE388" i="3"/>
  <c r="AV388" i="3"/>
  <c r="AR388" i="3"/>
  <c r="AQ388" i="3"/>
  <c r="AD388" i="3"/>
  <c r="U388" i="3"/>
  <c r="L388" i="3"/>
  <c r="C388" i="3"/>
  <c r="BE387" i="3"/>
  <c r="AV387" i="3"/>
  <c r="AR387" i="3"/>
  <c r="AQ387" i="3"/>
  <c r="AD387" i="3"/>
  <c r="U387" i="3"/>
  <c r="L387" i="3"/>
  <c r="C387" i="3"/>
  <c r="BE386" i="3"/>
  <c r="AV386" i="3"/>
  <c r="AR386" i="3"/>
  <c r="AQ386" i="3"/>
  <c r="AD386" i="3"/>
  <c r="U386" i="3"/>
  <c r="L386" i="3"/>
  <c r="C386" i="3"/>
  <c r="BE385" i="3"/>
  <c r="AV385" i="3"/>
  <c r="AR385" i="3"/>
  <c r="AQ385" i="3"/>
  <c r="AD385" i="3"/>
  <c r="U385" i="3"/>
  <c r="L385" i="3"/>
  <c r="C385" i="3"/>
  <c r="BE384" i="3"/>
  <c r="AV384" i="3"/>
  <c r="AR384" i="3"/>
  <c r="AQ384" i="3"/>
  <c r="AD384" i="3"/>
  <c r="U384" i="3"/>
  <c r="L384" i="3"/>
  <c r="C384" i="3"/>
  <c r="BE383" i="3"/>
  <c r="AV383" i="3"/>
  <c r="AR383" i="3"/>
  <c r="AQ383" i="3"/>
  <c r="AD383" i="3"/>
  <c r="U383" i="3"/>
  <c r="L383" i="3"/>
  <c r="C383" i="3"/>
  <c r="BE382" i="3"/>
  <c r="AV382" i="3"/>
  <c r="AR382" i="3"/>
  <c r="AQ382" i="3"/>
  <c r="AD382" i="3"/>
  <c r="U382" i="3"/>
  <c r="L382" i="3"/>
  <c r="C382" i="3"/>
  <c r="BE381" i="3"/>
  <c r="AV381" i="3"/>
  <c r="AR381" i="3"/>
  <c r="AQ381" i="3"/>
  <c r="AD381" i="3"/>
  <c r="U381" i="3"/>
  <c r="L381" i="3"/>
  <c r="C381" i="3"/>
  <c r="BE380" i="3"/>
  <c r="AV380" i="3"/>
  <c r="AR380" i="3"/>
  <c r="AQ380" i="3"/>
  <c r="AD380" i="3"/>
  <c r="U380" i="3"/>
  <c r="L380" i="3"/>
  <c r="C380" i="3"/>
  <c r="BE379" i="3"/>
  <c r="AV379" i="3"/>
  <c r="AR379" i="3"/>
  <c r="AQ379" i="3"/>
  <c r="AD379" i="3"/>
  <c r="U379" i="3"/>
  <c r="L379" i="3"/>
  <c r="C379" i="3"/>
  <c r="BE378" i="3"/>
  <c r="AV378" i="3"/>
  <c r="AR378" i="3"/>
  <c r="AQ378" i="3"/>
  <c r="AD378" i="3"/>
  <c r="U378" i="3"/>
  <c r="L378" i="3"/>
  <c r="C378" i="3"/>
  <c r="BE377" i="3"/>
  <c r="AV377" i="3"/>
  <c r="AR377" i="3"/>
  <c r="AQ377" i="3"/>
  <c r="AD377" i="3"/>
  <c r="U377" i="3"/>
  <c r="L377" i="3"/>
  <c r="C377" i="3"/>
  <c r="BE376" i="3"/>
  <c r="AV376" i="3"/>
  <c r="AR376" i="3"/>
  <c r="AQ376" i="3"/>
  <c r="AD376" i="3"/>
  <c r="U376" i="3"/>
  <c r="L376" i="3"/>
  <c r="C376" i="3"/>
  <c r="BE375" i="3"/>
  <c r="AV375" i="3"/>
  <c r="AR375" i="3"/>
  <c r="AQ375" i="3"/>
  <c r="AD375" i="3"/>
  <c r="U375" i="3"/>
  <c r="L375" i="3"/>
  <c r="C375" i="3"/>
  <c r="BE374" i="3"/>
  <c r="AV374" i="3"/>
  <c r="AR374" i="3"/>
  <c r="AQ374" i="3"/>
  <c r="AD374" i="3"/>
  <c r="U374" i="3"/>
  <c r="L374" i="3"/>
  <c r="C374" i="3"/>
  <c r="BE373" i="3"/>
  <c r="AV373" i="3"/>
  <c r="AR373" i="3"/>
  <c r="AQ373" i="3"/>
  <c r="AD373" i="3"/>
  <c r="U373" i="3"/>
  <c r="L373" i="3"/>
  <c r="C373" i="3"/>
  <c r="BE372" i="3"/>
  <c r="AV372" i="3"/>
  <c r="AR372" i="3"/>
  <c r="AQ372" i="3"/>
  <c r="AD372" i="3"/>
  <c r="U372" i="3"/>
  <c r="L372" i="3"/>
  <c r="C372" i="3"/>
  <c r="BE371" i="3"/>
  <c r="AV371" i="3"/>
  <c r="AR371" i="3"/>
  <c r="AQ371" i="3"/>
  <c r="AD371" i="3"/>
  <c r="U371" i="3"/>
  <c r="L371" i="3"/>
  <c r="C371" i="3"/>
  <c r="BE370" i="3"/>
  <c r="AV370" i="3"/>
  <c r="AR370" i="3"/>
  <c r="AQ370" i="3"/>
  <c r="AD370" i="3"/>
  <c r="U370" i="3"/>
  <c r="L370" i="3"/>
  <c r="C370" i="3"/>
  <c r="BE369" i="3"/>
  <c r="AV369" i="3"/>
  <c r="AR369" i="3"/>
  <c r="AQ369" i="3"/>
  <c r="AD369" i="3"/>
  <c r="U369" i="3"/>
  <c r="L369" i="3"/>
  <c r="C369" i="3"/>
  <c r="BE368" i="3"/>
  <c r="AV368" i="3"/>
  <c r="AR368" i="3"/>
  <c r="AQ368" i="3"/>
  <c r="AD368" i="3"/>
  <c r="U368" i="3"/>
  <c r="L368" i="3"/>
  <c r="C368" i="3"/>
  <c r="BE367" i="3"/>
  <c r="AV367" i="3"/>
  <c r="AR367" i="3"/>
  <c r="AQ367" i="3"/>
  <c r="AD367" i="3"/>
  <c r="U367" i="3"/>
  <c r="L367" i="3"/>
  <c r="C367" i="3"/>
  <c r="BE366" i="3"/>
  <c r="AV366" i="3"/>
  <c r="AR366" i="3"/>
  <c r="AQ366" i="3"/>
  <c r="AD366" i="3"/>
  <c r="U366" i="3"/>
  <c r="L366" i="3"/>
  <c r="C366" i="3"/>
  <c r="BE365" i="3"/>
  <c r="AV365" i="3"/>
  <c r="AR365" i="3"/>
  <c r="AQ365" i="3"/>
  <c r="AD365" i="3"/>
  <c r="U365" i="3"/>
  <c r="L365" i="3"/>
  <c r="C365" i="3"/>
  <c r="BE364" i="3"/>
  <c r="AV364" i="3"/>
  <c r="AR364" i="3"/>
  <c r="AQ364" i="3"/>
  <c r="AD364" i="3"/>
  <c r="U364" i="3"/>
  <c r="L364" i="3"/>
  <c r="C364" i="3"/>
  <c r="BE363" i="3"/>
  <c r="AV363" i="3"/>
  <c r="AR363" i="3"/>
  <c r="AQ363" i="3"/>
  <c r="AD363" i="3"/>
  <c r="U363" i="3"/>
  <c r="L363" i="3"/>
  <c r="C363" i="3"/>
  <c r="BE362" i="3"/>
  <c r="AV362" i="3"/>
  <c r="AR362" i="3"/>
  <c r="AQ362" i="3"/>
  <c r="AD362" i="3"/>
  <c r="U362" i="3"/>
  <c r="L362" i="3"/>
  <c r="C362" i="3"/>
  <c r="BL361" i="3"/>
  <c r="BK361" i="3"/>
  <c r="BJ361" i="3"/>
  <c r="BI361" i="3"/>
  <c r="BH361" i="3"/>
  <c r="BG361" i="3"/>
  <c r="BF361" i="3"/>
  <c r="BD361" i="3"/>
  <c r="AS361" i="3"/>
  <c r="AN361" i="3"/>
  <c r="BL360" i="3"/>
  <c r="BK360" i="3"/>
  <c r="BJ360" i="3"/>
  <c r="BI360" i="3"/>
  <c r="BH360" i="3"/>
  <c r="BG360" i="3"/>
  <c r="BF360" i="3"/>
  <c r="BD360" i="3"/>
  <c r="BC360" i="3"/>
  <c r="BB360" i="3"/>
  <c r="BA360" i="3"/>
  <c r="AZ360" i="3"/>
  <c r="AY360" i="3"/>
  <c r="AV360" i="3"/>
  <c r="AU360" i="3"/>
  <c r="AT360" i="3"/>
  <c r="AS360" i="3"/>
  <c r="AP360" i="3"/>
  <c r="AO360" i="3"/>
  <c r="AN360" i="3"/>
  <c r="AM360" i="3"/>
  <c r="AL360" i="3"/>
  <c r="AK360" i="3"/>
  <c r="AJ360" i="3"/>
  <c r="AI360" i="3"/>
  <c r="AH360" i="3"/>
  <c r="AG360" i="3"/>
  <c r="AF360" i="3"/>
  <c r="AE360" i="3"/>
  <c r="AD360" i="3"/>
  <c r="AC360" i="3"/>
  <c r="AB360" i="3"/>
  <c r="AA360" i="3"/>
  <c r="Z360" i="3"/>
  <c r="Y360" i="3"/>
  <c r="X360" i="3"/>
  <c r="W360" i="3"/>
  <c r="V360" i="3"/>
  <c r="T360" i="3"/>
  <c r="S360" i="3"/>
  <c r="R360" i="3"/>
  <c r="Q360" i="3"/>
  <c r="P360" i="3"/>
  <c r="O360" i="3"/>
  <c r="N360" i="3"/>
  <c r="M360" i="3"/>
  <c r="L360" i="3"/>
  <c r="K360" i="3"/>
  <c r="J360" i="3"/>
  <c r="I360" i="3"/>
  <c r="H360" i="3"/>
  <c r="G360" i="3"/>
  <c r="F360" i="3"/>
  <c r="E360" i="3"/>
  <c r="D360" i="3"/>
  <c r="C360" i="3"/>
  <c r="BL359" i="3"/>
  <c r="BK359" i="3"/>
  <c r="BJ359" i="3"/>
  <c r="BI359" i="3"/>
  <c r="BH359" i="3"/>
  <c r="BG359" i="3"/>
  <c r="BF359" i="3"/>
  <c r="BD359" i="3"/>
  <c r="BC359" i="3"/>
  <c r="BB359" i="3"/>
  <c r="BA359" i="3"/>
  <c r="AZ359" i="3"/>
  <c r="AY359" i="3"/>
  <c r="AW359" i="3"/>
  <c r="AU359" i="3"/>
  <c r="AT359" i="3"/>
  <c r="AS359" i="3"/>
  <c r="AP359" i="3"/>
  <c r="AO359" i="3"/>
  <c r="AN359" i="3"/>
  <c r="AM359" i="3"/>
  <c r="AL359" i="3"/>
  <c r="AK359" i="3"/>
  <c r="AJ359" i="3"/>
  <c r="AI359" i="3"/>
  <c r="AH359" i="3"/>
  <c r="AG359" i="3"/>
  <c r="AF359" i="3"/>
  <c r="AE359" i="3"/>
  <c r="AD359" i="3"/>
  <c r="AC359" i="3"/>
  <c r="AB359" i="3"/>
  <c r="AA359" i="3"/>
  <c r="Z359" i="3"/>
  <c r="Y359" i="3"/>
  <c r="X359" i="3"/>
  <c r="W359" i="3"/>
  <c r="V359" i="3"/>
  <c r="T359" i="3"/>
  <c r="S359" i="3"/>
  <c r="R359" i="3"/>
  <c r="Q359" i="3"/>
  <c r="P359" i="3"/>
  <c r="O359" i="3"/>
  <c r="N359" i="3"/>
  <c r="M359" i="3"/>
  <c r="K359" i="3"/>
  <c r="J359" i="3"/>
  <c r="I359" i="3"/>
  <c r="H359" i="3"/>
  <c r="G359" i="3"/>
  <c r="F359" i="3"/>
  <c r="E359" i="3"/>
  <c r="D359" i="3"/>
  <c r="C359" i="3"/>
  <c r="BL358" i="3"/>
  <c r="BK358" i="3"/>
  <c r="BJ358" i="3"/>
  <c r="BI358" i="3"/>
  <c r="BH358" i="3"/>
  <c r="BG358" i="3"/>
  <c r="BF358" i="3"/>
  <c r="BD358" i="3"/>
  <c r="BC358" i="3"/>
  <c r="BB358" i="3"/>
  <c r="BA358" i="3"/>
  <c r="AZ358" i="3"/>
  <c r="AY358" i="3"/>
  <c r="AU358" i="3"/>
  <c r="AT358" i="3"/>
  <c r="AS358" i="3"/>
  <c r="AP358" i="3"/>
  <c r="AO358" i="3"/>
  <c r="AN358" i="3"/>
  <c r="AM358" i="3"/>
  <c r="AL358" i="3"/>
  <c r="AK358" i="3"/>
  <c r="AJ358" i="3"/>
  <c r="AI358" i="3"/>
  <c r="AH358" i="3"/>
  <c r="AG358" i="3"/>
  <c r="AF358" i="3"/>
  <c r="AE358" i="3"/>
  <c r="AD358" i="3"/>
  <c r="AC358" i="3"/>
  <c r="AB358" i="3"/>
  <c r="AA358" i="3"/>
  <c r="Z358" i="3"/>
  <c r="Y358" i="3"/>
  <c r="X358" i="3"/>
  <c r="W358" i="3"/>
  <c r="V358" i="3"/>
  <c r="T358" i="3"/>
  <c r="S358" i="3"/>
  <c r="R358" i="3"/>
  <c r="Q358" i="3"/>
  <c r="P358" i="3"/>
  <c r="O358" i="3"/>
  <c r="N358" i="3"/>
  <c r="M358" i="3"/>
  <c r="K358" i="3"/>
  <c r="J358" i="3"/>
  <c r="I358" i="3"/>
  <c r="H358" i="3"/>
  <c r="G358" i="3"/>
  <c r="F358" i="3"/>
  <c r="E358" i="3"/>
  <c r="D358" i="3"/>
  <c r="C358" i="3"/>
  <c r="BE357" i="3"/>
  <c r="AW357" i="3"/>
  <c r="AV357" i="3"/>
  <c r="AR357" i="3"/>
  <c r="AX357" i="3" s="1"/>
  <c r="AQ357" i="3"/>
  <c r="AD357" i="3"/>
  <c r="U357" i="3"/>
  <c r="L357" i="3"/>
  <c r="C357" i="3"/>
  <c r="BE356" i="3"/>
  <c r="AW356" i="3"/>
  <c r="AV356" i="3"/>
  <c r="AR356" i="3"/>
  <c r="AX356" i="3" s="1"/>
  <c r="AQ356" i="3"/>
  <c r="AD356" i="3"/>
  <c r="U356" i="3"/>
  <c r="L356" i="3"/>
  <c r="C356" i="3"/>
  <c r="BE355" i="3"/>
  <c r="AW355" i="3"/>
  <c r="AV355" i="3"/>
  <c r="AR355" i="3"/>
  <c r="AX355" i="3" s="1"/>
  <c r="AQ355" i="3"/>
  <c r="AD355" i="3"/>
  <c r="U355" i="3"/>
  <c r="L355" i="3"/>
  <c r="C355" i="3"/>
  <c r="BE354" i="3"/>
  <c r="AW354" i="3"/>
  <c r="AV354" i="3"/>
  <c r="AR354" i="3"/>
  <c r="AX354" i="3" s="1"/>
  <c r="AQ354" i="3"/>
  <c r="AD354" i="3"/>
  <c r="U354" i="3"/>
  <c r="L354" i="3"/>
  <c r="C354" i="3"/>
  <c r="BE353" i="3"/>
  <c r="AW353" i="3"/>
  <c r="AV353" i="3"/>
  <c r="AR353" i="3"/>
  <c r="AX353" i="3" s="1"/>
  <c r="AQ353" i="3"/>
  <c r="AD353" i="3"/>
  <c r="U353" i="3"/>
  <c r="L353" i="3"/>
  <c r="C353" i="3"/>
  <c r="BE352" i="3"/>
  <c r="AW352" i="3"/>
  <c r="AV352" i="3"/>
  <c r="AR352" i="3"/>
  <c r="AX352" i="3" s="1"/>
  <c r="AQ352" i="3"/>
  <c r="AD352" i="3"/>
  <c r="U352" i="3"/>
  <c r="L352" i="3"/>
  <c r="C352" i="3"/>
  <c r="BE351" i="3"/>
  <c r="AW351" i="3"/>
  <c r="AV351" i="3"/>
  <c r="AR351" i="3"/>
  <c r="AX351" i="3" s="1"/>
  <c r="AQ351" i="3"/>
  <c r="AD351" i="3"/>
  <c r="U351" i="3"/>
  <c r="L351" i="3"/>
  <c r="C351" i="3"/>
  <c r="BE350" i="3"/>
  <c r="AW350" i="3"/>
  <c r="AV350" i="3"/>
  <c r="AR350" i="3"/>
  <c r="AX350" i="3" s="1"/>
  <c r="AQ350" i="3"/>
  <c r="AD350" i="3"/>
  <c r="U350" i="3"/>
  <c r="L350" i="3"/>
  <c r="C350" i="3"/>
  <c r="BE349" i="3"/>
  <c r="AW349" i="3"/>
  <c r="AV349" i="3"/>
  <c r="AR349" i="3"/>
  <c r="AX349" i="3" s="1"/>
  <c r="AQ349" i="3"/>
  <c r="AD349" i="3"/>
  <c r="U349" i="3"/>
  <c r="L349" i="3"/>
  <c r="C349" i="3"/>
  <c r="BE348" i="3"/>
  <c r="AW348" i="3"/>
  <c r="AV348" i="3"/>
  <c r="AR348" i="3"/>
  <c r="AX348" i="3" s="1"/>
  <c r="AQ348" i="3"/>
  <c r="AD348" i="3"/>
  <c r="U348" i="3"/>
  <c r="L348" i="3"/>
  <c r="C348" i="3"/>
  <c r="BE347" i="3"/>
  <c r="AW347" i="3"/>
  <c r="AV347" i="3"/>
  <c r="AR347" i="3"/>
  <c r="AX347" i="3" s="1"/>
  <c r="AQ347" i="3"/>
  <c r="AD347" i="3"/>
  <c r="U347" i="3"/>
  <c r="L347" i="3"/>
  <c r="C347" i="3"/>
  <c r="BE346" i="3"/>
  <c r="AW346" i="3"/>
  <c r="AV346" i="3"/>
  <c r="AR346" i="3"/>
  <c r="AX346" i="3" s="1"/>
  <c r="AQ346" i="3"/>
  <c r="AD346" i="3"/>
  <c r="U346" i="3"/>
  <c r="L346" i="3"/>
  <c r="C346" i="3"/>
  <c r="BE345" i="3"/>
  <c r="AW345" i="3"/>
  <c r="AV345" i="3"/>
  <c r="AR345" i="3"/>
  <c r="AX345" i="3" s="1"/>
  <c r="AQ345" i="3"/>
  <c r="AD345" i="3"/>
  <c r="U345" i="3"/>
  <c r="L345" i="3"/>
  <c r="C345" i="3"/>
  <c r="BE344" i="3"/>
  <c r="AW344" i="3"/>
  <c r="AV344" i="3"/>
  <c r="AR344" i="3"/>
  <c r="AX344" i="3" s="1"/>
  <c r="AQ344" i="3"/>
  <c r="AD344" i="3"/>
  <c r="U344" i="3"/>
  <c r="L344" i="3"/>
  <c r="C344" i="3"/>
  <c r="BE343" i="3"/>
  <c r="AW343" i="3"/>
  <c r="AV343" i="3"/>
  <c r="AR343" i="3"/>
  <c r="AX343" i="3" s="1"/>
  <c r="AQ343" i="3"/>
  <c r="AD343" i="3"/>
  <c r="U343" i="3"/>
  <c r="L343" i="3"/>
  <c r="C343" i="3"/>
  <c r="BE342" i="3"/>
  <c r="AW342" i="3"/>
  <c r="AV342" i="3"/>
  <c r="AR342" i="3"/>
  <c r="AX342" i="3" s="1"/>
  <c r="AQ342" i="3"/>
  <c r="AD342" i="3"/>
  <c r="U342" i="3"/>
  <c r="L342" i="3"/>
  <c r="C342" i="3"/>
  <c r="BE341" i="3"/>
  <c r="AW341" i="3"/>
  <c r="AV341" i="3"/>
  <c r="AR341" i="3"/>
  <c r="AX341" i="3" s="1"/>
  <c r="AQ341" i="3"/>
  <c r="AD341" i="3"/>
  <c r="U341" i="3"/>
  <c r="L341" i="3"/>
  <c r="C341" i="3"/>
  <c r="BE340" i="3"/>
  <c r="AW340" i="3"/>
  <c r="AV340" i="3"/>
  <c r="AR340" i="3"/>
  <c r="AX340" i="3" s="1"/>
  <c r="AQ340" i="3"/>
  <c r="AD340" i="3"/>
  <c r="U340" i="3"/>
  <c r="L340" i="3"/>
  <c r="C340" i="3"/>
  <c r="BE339" i="3"/>
  <c r="AW339" i="3"/>
  <c r="AV339" i="3"/>
  <c r="AR339" i="3"/>
  <c r="AX339" i="3" s="1"/>
  <c r="AQ339" i="3"/>
  <c r="AD339" i="3"/>
  <c r="U339" i="3"/>
  <c r="L339" i="3"/>
  <c r="C339" i="3"/>
  <c r="BE338" i="3"/>
  <c r="AW338" i="3"/>
  <c r="AV338" i="3"/>
  <c r="AR338" i="3"/>
  <c r="AX338" i="3" s="1"/>
  <c r="AQ338" i="3"/>
  <c r="AD338" i="3"/>
  <c r="U338" i="3"/>
  <c r="L338" i="3"/>
  <c r="C338" i="3"/>
  <c r="BE337" i="3"/>
  <c r="AW337" i="3"/>
  <c r="AV337" i="3"/>
  <c r="AR337" i="3"/>
  <c r="AX337" i="3" s="1"/>
  <c r="AQ337" i="3"/>
  <c r="AD337" i="3"/>
  <c r="U337" i="3"/>
  <c r="L337" i="3"/>
  <c r="C337" i="3"/>
  <c r="BE336" i="3"/>
  <c r="AW336" i="3"/>
  <c r="AV336" i="3"/>
  <c r="AR336" i="3"/>
  <c r="AX336" i="3" s="1"/>
  <c r="AQ336" i="3"/>
  <c r="AD336" i="3"/>
  <c r="U336" i="3"/>
  <c r="L336" i="3"/>
  <c r="C336" i="3"/>
  <c r="BE335" i="3"/>
  <c r="AW335" i="3"/>
  <c r="AV335" i="3"/>
  <c r="AR335" i="3"/>
  <c r="AX335" i="3" s="1"/>
  <c r="AQ335" i="3"/>
  <c r="AD335" i="3"/>
  <c r="U335" i="3"/>
  <c r="L335" i="3"/>
  <c r="C335" i="3"/>
  <c r="BE334" i="3"/>
  <c r="AW334" i="3"/>
  <c r="AV334" i="3"/>
  <c r="AX334" i="3" s="1"/>
  <c r="AR334" i="3"/>
  <c r="AQ334" i="3"/>
  <c r="AD334" i="3"/>
  <c r="U334" i="3"/>
  <c r="L334" i="3"/>
  <c r="C334" i="3"/>
  <c r="BE333" i="3"/>
  <c r="AW333" i="3"/>
  <c r="AV333" i="3"/>
  <c r="AR333" i="3"/>
  <c r="AQ333" i="3"/>
  <c r="AD333" i="3"/>
  <c r="U333" i="3"/>
  <c r="L333" i="3"/>
  <c r="C333" i="3"/>
  <c r="BE332" i="3"/>
  <c r="AW332" i="3"/>
  <c r="AV332" i="3"/>
  <c r="AR332" i="3"/>
  <c r="AQ332" i="3"/>
  <c r="AD332" i="3"/>
  <c r="U332" i="3"/>
  <c r="L332" i="3"/>
  <c r="C332" i="3"/>
  <c r="BE331" i="3"/>
  <c r="AW331" i="3"/>
  <c r="AV331" i="3"/>
  <c r="AR331" i="3"/>
  <c r="AQ331" i="3"/>
  <c r="AD331" i="3"/>
  <c r="U331" i="3"/>
  <c r="L331" i="3"/>
  <c r="C331" i="3"/>
  <c r="BE330" i="3"/>
  <c r="AW330" i="3"/>
  <c r="AV330" i="3"/>
  <c r="AX330" i="3" s="1"/>
  <c r="AR330" i="3"/>
  <c r="AQ330" i="3"/>
  <c r="AD330" i="3"/>
  <c r="U330" i="3"/>
  <c r="L330" i="3"/>
  <c r="C330" i="3"/>
  <c r="BE329" i="3"/>
  <c r="AW329" i="3"/>
  <c r="AV329" i="3"/>
  <c r="AR329" i="3"/>
  <c r="AQ329" i="3"/>
  <c r="AD329" i="3"/>
  <c r="U329" i="3"/>
  <c r="L329" i="3"/>
  <c r="C329" i="3"/>
  <c r="BE328" i="3"/>
  <c r="AW328" i="3"/>
  <c r="AV328" i="3"/>
  <c r="AR328" i="3"/>
  <c r="AQ328" i="3"/>
  <c r="AD328" i="3"/>
  <c r="U328" i="3"/>
  <c r="L328" i="3"/>
  <c r="C328" i="3"/>
  <c r="BE327" i="3"/>
  <c r="BE360" i="3" s="1"/>
  <c r="AW327" i="3"/>
  <c r="AW358" i="3" s="1"/>
  <c r="AV327" i="3"/>
  <c r="AV359" i="3" s="1"/>
  <c r="AR327" i="3"/>
  <c r="AQ327" i="3"/>
  <c r="AQ360" i="3" s="1"/>
  <c r="AD327" i="3"/>
  <c r="U327" i="3"/>
  <c r="U360" i="3" s="1"/>
  <c r="L327" i="3"/>
  <c r="L359" i="3" s="1"/>
  <c r="C327" i="3"/>
  <c r="BL326" i="3"/>
  <c r="BK326" i="3"/>
  <c r="BJ326" i="3"/>
  <c r="BI326" i="3"/>
  <c r="BH326" i="3"/>
  <c r="BG326" i="3"/>
  <c r="BF326" i="3"/>
  <c r="BD326" i="3"/>
  <c r="AS326" i="3"/>
  <c r="AN326" i="3"/>
  <c r="BL325" i="3"/>
  <c r="BK325" i="3"/>
  <c r="BJ325" i="3"/>
  <c r="BI325" i="3"/>
  <c r="BH325" i="3"/>
  <c r="BG325" i="3"/>
  <c r="BF325" i="3"/>
  <c r="BE325" i="3"/>
  <c r="BD325" i="3"/>
  <c r="BC325" i="3"/>
  <c r="BB325" i="3"/>
  <c r="BA325" i="3"/>
  <c r="AZ325" i="3"/>
  <c r="AY325" i="3"/>
  <c r="AU325" i="3"/>
  <c r="AT325" i="3"/>
  <c r="AS325" i="3"/>
  <c r="AP325" i="3"/>
  <c r="AO325" i="3"/>
  <c r="AN325" i="3"/>
  <c r="AM325" i="3"/>
  <c r="AL325" i="3"/>
  <c r="AK325" i="3"/>
  <c r="AJ325" i="3"/>
  <c r="AI325" i="3"/>
  <c r="AH325" i="3"/>
  <c r="AG325" i="3"/>
  <c r="AF325" i="3"/>
  <c r="AE325" i="3"/>
  <c r="AC325" i="3"/>
  <c r="AB325" i="3"/>
  <c r="AA325" i="3"/>
  <c r="Z325" i="3"/>
  <c r="Y325" i="3"/>
  <c r="X325" i="3"/>
  <c r="W325" i="3"/>
  <c r="V325" i="3"/>
  <c r="U325" i="3"/>
  <c r="T325" i="3"/>
  <c r="S325" i="3"/>
  <c r="R325" i="3"/>
  <c r="Q325" i="3"/>
  <c r="P325" i="3"/>
  <c r="O325" i="3"/>
  <c r="N325" i="3"/>
  <c r="M325" i="3"/>
  <c r="K325" i="3"/>
  <c r="J325" i="3"/>
  <c r="I325" i="3"/>
  <c r="H325" i="3"/>
  <c r="G325" i="3"/>
  <c r="F325" i="3"/>
  <c r="E325" i="3"/>
  <c r="D325" i="3"/>
  <c r="BL324" i="3"/>
  <c r="BK324" i="3"/>
  <c r="BJ324" i="3"/>
  <c r="BI324" i="3"/>
  <c r="BH324" i="3"/>
  <c r="BG324" i="3"/>
  <c r="BF324" i="3"/>
  <c r="BD324" i="3"/>
  <c r="BC324" i="3"/>
  <c r="BB324" i="3"/>
  <c r="BA324" i="3"/>
  <c r="AZ324" i="3"/>
  <c r="AY324" i="3"/>
  <c r="AU324" i="3"/>
  <c r="AT324" i="3"/>
  <c r="AS324" i="3"/>
  <c r="AP324" i="3"/>
  <c r="AO324" i="3"/>
  <c r="AN324" i="3"/>
  <c r="AM324" i="3"/>
  <c r="AL324" i="3"/>
  <c r="AK324" i="3"/>
  <c r="AJ324" i="3"/>
  <c r="AI324" i="3"/>
  <c r="AH324" i="3"/>
  <c r="AG324" i="3"/>
  <c r="AF324" i="3"/>
  <c r="AE324" i="3"/>
  <c r="AC324" i="3"/>
  <c r="AB324" i="3"/>
  <c r="AA324" i="3"/>
  <c r="Z324" i="3"/>
  <c r="Y324" i="3"/>
  <c r="X324" i="3"/>
  <c r="W324" i="3"/>
  <c r="V324" i="3"/>
  <c r="T324" i="3"/>
  <c r="S324" i="3"/>
  <c r="R324" i="3"/>
  <c r="Q324" i="3"/>
  <c r="P324" i="3"/>
  <c r="O324" i="3"/>
  <c r="N324" i="3"/>
  <c r="M324" i="3"/>
  <c r="K324" i="3"/>
  <c r="J324" i="3"/>
  <c r="I324" i="3"/>
  <c r="H324" i="3"/>
  <c r="G324" i="3"/>
  <c r="F324" i="3"/>
  <c r="E324" i="3"/>
  <c r="D324" i="3"/>
  <c r="BL323" i="3"/>
  <c r="BK323" i="3"/>
  <c r="BJ323" i="3"/>
  <c r="BI323" i="3"/>
  <c r="BH323" i="3"/>
  <c r="BG323" i="3"/>
  <c r="BF323" i="3"/>
  <c r="BE323" i="3"/>
  <c r="BD323" i="3"/>
  <c r="BC323" i="3"/>
  <c r="BB323" i="3"/>
  <c r="BA323" i="3"/>
  <c r="AZ323" i="3"/>
  <c r="AY323" i="3"/>
  <c r="AU323" i="3"/>
  <c r="AT323" i="3"/>
  <c r="AS323" i="3"/>
  <c r="AP323" i="3"/>
  <c r="AO323" i="3"/>
  <c r="AN323" i="3"/>
  <c r="AM323" i="3"/>
  <c r="AL323" i="3"/>
  <c r="AK323" i="3"/>
  <c r="AJ323" i="3"/>
  <c r="AI323" i="3"/>
  <c r="AH323" i="3"/>
  <c r="AG323" i="3"/>
  <c r="AF323" i="3"/>
  <c r="AE323" i="3"/>
  <c r="AC323" i="3"/>
  <c r="AB323" i="3"/>
  <c r="AA323" i="3"/>
  <c r="Z323" i="3"/>
  <c r="Y323" i="3"/>
  <c r="X323" i="3"/>
  <c r="W323" i="3"/>
  <c r="V323" i="3"/>
  <c r="U323" i="3"/>
  <c r="T323" i="3"/>
  <c r="S323" i="3"/>
  <c r="R323" i="3"/>
  <c r="Q323" i="3"/>
  <c r="P323" i="3"/>
  <c r="O323" i="3"/>
  <c r="N323" i="3"/>
  <c r="M323" i="3"/>
  <c r="L323" i="3"/>
  <c r="K323" i="3"/>
  <c r="J323" i="3"/>
  <c r="I323" i="3"/>
  <c r="H323" i="3"/>
  <c r="G323" i="3"/>
  <c r="F323" i="3"/>
  <c r="E323" i="3"/>
  <c r="D323" i="3"/>
  <c r="BE322" i="3"/>
  <c r="AV322" i="3"/>
  <c r="AW322" i="3" s="1"/>
  <c r="AQ322" i="3"/>
  <c r="AR322" i="3" s="1"/>
  <c r="AX322" i="3" s="1"/>
  <c r="AD322" i="3"/>
  <c r="U322" i="3"/>
  <c r="L322" i="3"/>
  <c r="C322" i="3"/>
  <c r="BE321" i="3"/>
  <c r="AV321" i="3"/>
  <c r="AW321" i="3" s="1"/>
  <c r="AQ321" i="3"/>
  <c r="AR321" i="3" s="1"/>
  <c r="AD321" i="3"/>
  <c r="U321" i="3"/>
  <c r="L321" i="3"/>
  <c r="C321" i="3"/>
  <c r="BE320" i="3"/>
  <c r="AV320" i="3"/>
  <c r="AW320" i="3" s="1"/>
  <c r="AQ320" i="3"/>
  <c r="AR320" i="3" s="1"/>
  <c r="AD320" i="3"/>
  <c r="U320" i="3"/>
  <c r="L320" i="3"/>
  <c r="C320" i="3"/>
  <c r="BE319" i="3"/>
  <c r="AV319" i="3"/>
  <c r="AW319" i="3" s="1"/>
  <c r="AQ319" i="3"/>
  <c r="AR319" i="3" s="1"/>
  <c r="AD319" i="3"/>
  <c r="U319" i="3"/>
  <c r="L319" i="3"/>
  <c r="C319" i="3"/>
  <c r="BE318" i="3"/>
  <c r="AV318" i="3"/>
  <c r="AW318" i="3" s="1"/>
  <c r="AQ318" i="3"/>
  <c r="AR318" i="3" s="1"/>
  <c r="AD318" i="3"/>
  <c r="U318" i="3"/>
  <c r="L318" i="3"/>
  <c r="C318" i="3"/>
  <c r="BE317" i="3"/>
  <c r="AV317" i="3"/>
  <c r="AW317" i="3" s="1"/>
  <c r="AQ317" i="3"/>
  <c r="AR317" i="3" s="1"/>
  <c r="AD317" i="3"/>
  <c r="U317" i="3"/>
  <c r="L317" i="3"/>
  <c r="C317" i="3"/>
  <c r="BE316" i="3"/>
  <c r="AV316" i="3"/>
  <c r="AW316" i="3" s="1"/>
  <c r="AQ316" i="3"/>
  <c r="AR316" i="3" s="1"/>
  <c r="AD316" i="3"/>
  <c r="U316" i="3"/>
  <c r="L316" i="3"/>
  <c r="C316" i="3"/>
  <c r="BE315" i="3"/>
  <c r="AV315" i="3"/>
  <c r="AW315" i="3" s="1"/>
  <c r="AQ315" i="3"/>
  <c r="AR315" i="3" s="1"/>
  <c r="AD315" i="3"/>
  <c r="U315" i="3"/>
  <c r="L315" i="3"/>
  <c r="C315" i="3"/>
  <c r="BE314" i="3"/>
  <c r="AV314" i="3"/>
  <c r="AW314" i="3" s="1"/>
  <c r="AQ314" i="3"/>
  <c r="AR314" i="3" s="1"/>
  <c r="AD314" i="3"/>
  <c r="U314" i="3"/>
  <c r="L314" i="3"/>
  <c r="C314" i="3"/>
  <c r="BE313" i="3"/>
  <c r="AV313" i="3"/>
  <c r="AW313" i="3" s="1"/>
  <c r="AQ313" i="3"/>
  <c r="AR313" i="3" s="1"/>
  <c r="AD313" i="3"/>
  <c r="U313" i="3"/>
  <c r="L313" i="3"/>
  <c r="C313" i="3"/>
  <c r="BE312" i="3"/>
  <c r="AV312" i="3"/>
  <c r="AQ312" i="3"/>
  <c r="AR312" i="3" s="1"/>
  <c r="AD312" i="3"/>
  <c r="U312" i="3"/>
  <c r="L312" i="3"/>
  <c r="C312" i="3"/>
  <c r="BE311" i="3"/>
  <c r="AV311" i="3"/>
  <c r="AW311" i="3" s="1"/>
  <c r="AQ311" i="3"/>
  <c r="AR311" i="3" s="1"/>
  <c r="AD311" i="3"/>
  <c r="U311" i="3"/>
  <c r="L311" i="3"/>
  <c r="C311" i="3"/>
  <c r="BE310" i="3"/>
  <c r="AV310" i="3"/>
  <c r="AW310" i="3" s="1"/>
  <c r="AX310" i="3" s="1"/>
  <c r="AQ310" i="3"/>
  <c r="AR310" i="3" s="1"/>
  <c r="AD310" i="3"/>
  <c r="U310" i="3"/>
  <c r="L310" i="3"/>
  <c r="C310" i="3"/>
  <c r="BE309" i="3"/>
  <c r="AV309" i="3"/>
  <c r="AQ309" i="3"/>
  <c r="AR309" i="3" s="1"/>
  <c r="AD309" i="3"/>
  <c r="U309" i="3"/>
  <c r="L309" i="3"/>
  <c r="C309" i="3"/>
  <c r="BE308" i="3"/>
  <c r="AV308" i="3"/>
  <c r="AQ308" i="3"/>
  <c r="AR308" i="3" s="1"/>
  <c r="AD308" i="3"/>
  <c r="U308" i="3"/>
  <c r="L308" i="3"/>
  <c r="C308" i="3"/>
  <c r="BE307" i="3"/>
  <c r="AV307" i="3"/>
  <c r="AW307" i="3" s="1"/>
  <c r="AX307" i="3" s="1"/>
  <c r="AQ307" i="3"/>
  <c r="AR307" i="3" s="1"/>
  <c r="AD307" i="3"/>
  <c r="U307" i="3"/>
  <c r="L307" i="3"/>
  <c r="C307" i="3"/>
  <c r="BE306" i="3"/>
  <c r="AV306" i="3"/>
  <c r="AQ306" i="3"/>
  <c r="AR306" i="3" s="1"/>
  <c r="AD306" i="3"/>
  <c r="U306" i="3"/>
  <c r="L306" i="3"/>
  <c r="C306" i="3"/>
  <c r="BE305" i="3"/>
  <c r="AV305" i="3"/>
  <c r="AW305" i="3" s="1"/>
  <c r="AQ305" i="3"/>
  <c r="AR305" i="3" s="1"/>
  <c r="AX305" i="3" s="1"/>
  <c r="AD305" i="3"/>
  <c r="U305" i="3"/>
  <c r="L305" i="3"/>
  <c r="C305" i="3"/>
  <c r="BE304" i="3"/>
  <c r="AV304" i="3"/>
  <c r="AW304" i="3" s="1"/>
  <c r="AX304" i="3" s="1"/>
  <c r="AQ304" i="3"/>
  <c r="AR304" i="3" s="1"/>
  <c r="AD304" i="3"/>
  <c r="U304" i="3"/>
  <c r="L304" i="3"/>
  <c r="C304" i="3"/>
  <c r="BE303" i="3"/>
  <c r="AV303" i="3"/>
  <c r="AQ303" i="3"/>
  <c r="AR303" i="3" s="1"/>
  <c r="AD303" i="3"/>
  <c r="U303" i="3"/>
  <c r="L303" i="3"/>
  <c r="C303" i="3"/>
  <c r="BE302" i="3"/>
  <c r="AV302" i="3"/>
  <c r="AQ302" i="3"/>
  <c r="AR302" i="3" s="1"/>
  <c r="AD302" i="3"/>
  <c r="U302" i="3"/>
  <c r="L302" i="3"/>
  <c r="C302" i="3"/>
  <c r="BE301" i="3"/>
  <c r="AV301" i="3"/>
  <c r="AW301" i="3" s="1"/>
  <c r="AQ301" i="3"/>
  <c r="AR301" i="3" s="1"/>
  <c r="AX301" i="3" s="1"/>
  <c r="AD301" i="3"/>
  <c r="U301" i="3"/>
  <c r="L301" i="3"/>
  <c r="C301" i="3"/>
  <c r="BE300" i="3"/>
  <c r="AV300" i="3"/>
  <c r="AQ300" i="3"/>
  <c r="AR300" i="3" s="1"/>
  <c r="AD300" i="3"/>
  <c r="U300" i="3"/>
  <c r="L300" i="3"/>
  <c r="C300" i="3"/>
  <c r="BE299" i="3"/>
  <c r="AV299" i="3"/>
  <c r="AW299" i="3" s="1"/>
  <c r="AQ299" i="3"/>
  <c r="AR299" i="3" s="1"/>
  <c r="AD299" i="3"/>
  <c r="U299" i="3"/>
  <c r="L299" i="3"/>
  <c r="C299" i="3"/>
  <c r="BE298" i="3"/>
  <c r="AX298" i="3"/>
  <c r="AV298" i="3"/>
  <c r="AW298" i="3" s="1"/>
  <c r="AQ298" i="3"/>
  <c r="AR298" i="3" s="1"/>
  <c r="AD298" i="3"/>
  <c r="U298" i="3"/>
  <c r="L298" i="3"/>
  <c r="C298" i="3"/>
  <c r="BE297" i="3"/>
  <c r="AW297" i="3"/>
  <c r="AX297" i="3" s="1"/>
  <c r="AV297" i="3"/>
  <c r="AQ297" i="3"/>
  <c r="AR297" i="3" s="1"/>
  <c r="AD297" i="3"/>
  <c r="U297" i="3"/>
  <c r="L297" i="3"/>
  <c r="C297" i="3"/>
  <c r="BE296" i="3"/>
  <c r="AW296" i="3"/>
  <c r="AV296" i="3"/>
  <c r="AQ296" i="3"/>
  <c r="AR296" i="3" s="1"/>
  <c r="AD296" i="3"/>
  <c r="U296" i="3"/>
  <c r="L296" i="3"/>
  <c r="C296" i="3"/>
  <c r="BE295" i="3"/>
  <c r="AV295" i="3"/>
  <c r="AW295" i="3" s="1"/>
  <c r="AX295" i="3" s="1"/>
  <c r="AQ295" i="3"/>
  <c r="AR295" i="3" s="1"/>
  <c r="AD295" i="3"/>
  <c r="U295" i="3"/>
  <c r="L295" i="3"/>
  <c r="C295" i="3"/>
  <c r="BE294" i="3"/>
  <c r="AV294" i="3"/>
  <c r="AQ294" i="3"/>
  <c r="AR294" i="3" s="1"/>
  <c r="AD294" i="3"/>
  <c r="U294" i="3"/>
  <c r="L294" i="3"/>
  <c r="C294" i="3"/>
  <c r="BE293" i="3"/>
  <c r="BE326" i="3" s="1"/>
  <c r="AV293" i="3"/>
  <c r="AQ293" i="3"/>
  <c r="AD293" i="3"/>
  <c r="U293" i="3"/>
  <c r="U324" i="3" s="1"/>
  <c r="L293" i="3"/>
  <c r="L325" i="3" s="1"/>
  <c r="C293" i="3"/>
  <c r="BL292" i="3"/>
  <c r="BK292" i="3"/>
  <c r="BJ292" i="3"/>
  <c r="BI292" i="3"/>
  <c r="BH292" i="3"/>
  <c r="BG292" i="3"/>
  <c r="BF292" i="3"/>
  <c r="BD292" i="3"/>
  <c r="AS292" i="3"/>
  <c r="AN292" i="3"/>
  <c r="BL291" i="3"/>
  <c r="BK291" i="3"/>
  <c r="BJ291" i="3"/>
  <c r="BI291" i="3"/>
  <c r="BH291" i="3"/>
  <c r="BG291" i="3"/>
  <c r="BF291" i="3"/>
  <c r="BD291" i="3"/>
  <c r="BC291" i="3"/>
  <c r="BB291" i="3"/>
  <c r="BA291" i="3"/>
  <c r="AZ291" i="3"/>
  <c r="AY291" i="3"/>
  <c r="AU291" i="3"/>
  <c r="AT291" i="3"/>
  <c r="AS291" i="3"/>
  <c r="AP291" i="3"/>
  <c r="AO291" i="3"/>
  <c r="AN291" i="3"/>
  <c r="AM291" i="3"/>
  <c r="AL291" i="3"/>
  <c r="AK291" i="3"/>
  <c r="AJ291" i="3"/>
  <c r="AI291" i="3"/>
  <c r="AH291" i="3"/>
  <c r="AG291" i="3"/>
  <c r="AF291" i="3"/>
  <c r="AE291" i="3"/>
  <c r="AC291" i="3"/>
  <c r="AB291" i="3"/>
  <c r="AA291" i="3"/>
  <c r="Z291" i="3"/>
  <c r="Y291" i="3"/>
  <c r="X291" i="3"/>
  <c r="W291" i="3"/>
  <c r="V291" i="3"/>
  <c r="T291" i="3"/>
  <c r="S291" i="3"/>
  <c r="R291" i="3"/>
  <c r="Q291" i="3"/>
  <c r="P291" i="3"/>
  <c r="O291" i="3"/>
  <c r="N291" i="3"/>
  <c r="M291" i="3"/>
  <c r="L291" i="3"/>
  <c r="K291" i="3"/>
  <c r="J291" i="3"/>
  <c r="I291" i="3"/>
  <c r="H291" i="3"/>
  <c r="G291" i="3"/>
  <c r="F291" i="3"/>
  <c r="E291" i="3"/>
  <c r="D291" i="3"/>
  <c r="BL290" i="3"/>
  <c r="BK290" i="3"/>
  <c r="BJ290" i="3"/>
  <c r="BI290" i="3"/>
  <c r="BH290" i="3"/>
  <c r="BG290" i="3"/>
  <c r="BF290" i="3"/>
  <c r="BD290" i="3"/>
  <c r="BC290" i="3"/>
  <c r="BB290" i="3"/>
  <c r="BA290" i="3"/>
  <c r="AZ290" i="3"/>
  <c r="AY290" i="3"/>
  <c r="AU290" i="3"/>
  <c r="AT290" i="3"/>
  <c r="AS290" i="3"/>
  <c r="AP290" i="3"/>
  <c r="AO290" i="3"/>
  <c r="AN290" i="3"/>
  <c r="AM290" i="3"/>
  <c r="AL290" i="3"/>
  <c r="AK290" i="3"/>
  <c r="AJ290" i="3"/>
  <c r="AI290" i="3"/>
  <c r="AH290" i="3"/>
  <c r="AG290" i="3"/>
  <c r="AF290" i="3"/>
  <c r="AE290" i="3"/>
  <c r="AC290" i="3"/>
  <c r="AB290" i="3"/>
  <c r="AA290" i="3"/>
  <c r="Z290" i="3"/>
  <c r="Y290" i="3"/>
  <c r="X290" i="3"/>
  <c r="W290" i="3"/>
  <c r="V290" i="3"/>
  <c r="T290" i="3"/>
  <c r="S290" i="3"/>
  <c r="R290" i="3"/>
  <c r="Q290" i="3"/>
  <c r="P290" i="3"/>
  <c r="O290" i="3"/>
  <c r="N290" i="3"/>
  <c r="M290" i="3"/>
  <c r="K290" i="3"/>
  <c r="J290" i="3"/>
  <c r="I290" i="3"/>
  <c r="H290" i="3"/>
  <c r="G290" i="3"/>
  <c r="F290" i="3"/>
  <c r="E290" i="3"/>
  <c r="D290" i="3"/>
  <c r="BL289" i="3"/>
  <c r="BK289" i="3"/>
  <c r="BJ289" i="3"/>
  <c r="BI289" i="3"/>
  <c r="BH289" i="3"/>
  <c r="BG289" i="3"/>
  <c r="BF289" i="3"/>
  <c r="BD289" i="3"/>
  <c r="BC289" i="3"/>
  <c r="BB289" i="3"/>
  <c r="BA289" i="3"/>
  <c r="AZ289" i="3"/>
  <c r="AY289" i="3"/>
  <c r="AU289" i="3"/>
  <c r="AT289" i="3"/>
  <c r="AS289" i="3"/>
  <c r="AP289" i="3"/>
  <c r="AO289" i="3"/>
  <c r="AN289" i="3"/>
  <c r="AM289" i="3"/>
  <c r="AL289" i="3"/>
  <c r="AK289" i="3"/>
  <c r="AJ289" i="3"/>
  <c r="AI289" i="3"/>
  <c r="AH289" i="3"/>
  <c r="AG289" i="3"/>
  <c r="AF289" i="3"/>
  <c r="AE289" i="3"/>
  <c r="AC289" i="3"/>
  <c r="AB289" i="3"/>
  <c r="AA289" i="3"/>
  <c r="Z289" i="3"/>
  <c r="Y289" i="3"/>
  <c r="X289" i="3"/>
  <c r="W289" i="3"/>
  <c r="V289" i="3"/>
  <c r="T289" i="3"/>
  <c r="S289" i="3"/>
  <c r="R289" i="3"/>
  <c r="Q289" i="3"/>
  <c r="P289" i="3"/>
  <c r="O289" i="3"/>
  <c r="N289" i="3"/>
  <c r="M289" i="3"/>
  <c r="K289" i="3"/>
  <c r="J289" i="3"/>
  <c r="I289" i="3"/>
  <c r="H289" i="3"/>
  <c r="G289" i="3"/>
  <c r="F289" i="3"/>
  <c r="E289" i="3"/>
  <c r="D289" i="3"/>
  <c r="BE288" i="3"/>
  <c r="AW288" i="3"/>
  <c r="AV288" i="3"/>
  <c r="AR288" i="3"/>
  <c r="AX288" i="3" s="1"/>
  <c r="AQ288" i="3"/>
  <c r="AD288" i="3"/>
  <c r="U288" i="3"/>
  <c r="L288" i="3"/>
  <c r="C288" i="3"/>
  <c r="BE287" i="3"/>
  <c r="AX287" i="3"/>
  <c r="AW287" i="3"/>
  <c r="AV287" i="3"/>
  <c r="AR287" i="3"/>
  <c r="AQ287" i="3"/>
  <c r="AD287" i="3"/>
  <c r="U287" i="3"/>
  <c r="L287" i="3"/>
  <c r="C287" i="3"/>
  <c r="BE286" i="3"/>
  <c r="AW286" i="3"/>
  <c r="AX286" i="3" s="1"/>
  <c r="AV286" i="3"/>
  <c r="AR286" i="3"/>
  <c r="AQ286" i="3"/>
  <c r="AD286" i="3"/>
  <c r="U286" i="3"/>
  <c r="L286" i="3"/>
  <c r="C286" i="3"/>
  <c r="BE285" i="3"/>
  <c r="AV285" i="3"/>
  <c r="AR285" i="3"/>
  <c r="AQ285" i="3"/>
  <c r="AD285" i="3"/>
  <c r="U285" i="3"/>
  <c r="L285" i="3"/>
  <c r="C285" i="3"/>
  <c r="BE284" i="3"/>
  <c r="AV284" i="3"/>
  <c r="AR284" i="3"/>
  <c r="AQ284" i="3"/>
  <c r="AD284" i="3"/>
  <c r="U284" i="3"/>
  <c r="L284" i="3"/>
  <c r="C284" i="3"/>
  <c r="BE283" i="3"/>
  <c r="AV283" i="3"/>
  <c r="AW283" i="3" s="1"/>
  <c r="AQ283" i="3"/>
  <c r="AR283" i="3" s="1"/>
  <c r="AX283" i="3" s="1"/>
  <c r="AD283" i="3"/>
  <c r="U283" i="3"/>
  <c r="L283" i="3"/>
  <c r="C283" i="3"/>
  <c r="BE282" i="3"/>
  <c r="AW282" i="3"/>
  <c r="AV282" i="3"/>
  <c r="AQ282" i="3"/>
  <c r="AR282" i="3" s="1"/>
  <c r="AX282" i="3" s="1"/>
  <c r="AD282" i="3"/>
  <c r="U282" i="3"/>
  <c r="L282" i="3"/>
  <c r="C282" i="3"/>
  <c r="BE281" i="3"/>
  <c r="AV281" i="3"/>
  <c r="AW281" i="3" s="1"/>
  <c r="AQ281" i="3"/>
  <c r="AR281" i="3" s="1"/>
  <c r="AX281" i="3" s="1"/>
  <c r="AD281" i="3"/>
  <c r="U281" i="3"/>
  <c r="L281" i="3"/>
  <c r="C281" i="3"/>
  <c r="BE280" i="3"/>
  <c r="AX280" i="3"/>
  <c r="AW280" i="3"/>
  <c r="AV280" i="3"/>
  <c r="AR280" i="3"/>
  <c r="AQ280" i="3"/>
  <c r="AD280" i="3"/>
  <c r="U280" i="3"/>
  <c r="L280" i="3"/>
  <c r="C280" i="3"/>
  <c r="BE279" i="3"/>
  <c r="AV279" i="3"/>
  <c r="AW279" i="3" s="1"/>
  <c r="AX279" i="3" s="1"/>
  <c r="AQ279" i="3"/>
  <c r="AR279" i="3" s="1"/>
  <c r="AD279" i="3"/>
  <c r="U279" i="3"/>
  <c r="L279" i="3"/>
  <c r="C279" i="3"/>
  <c r="BE278" i="3"/>
  <c r="AV278" i="3"/>
  <c r="AR278" i="3"/>
  <c r="AQ278" i="3"/>
  <c r="AD278" i="3"/>
  <c r="U278" i="3"/>
  <c r="L278" i="3"/>
  <c r="C278" i="3"/>
  <c r="BE277" i="3"/>
  <c r="AW277" i="3"/>
  <c r="AV277" i="3"/>
  <c r="AQ277" i="3"/>
  <c r="AR277" i="3" s="1"/>
  <c r="AD277" i="3"/>
  <c r="U277" i="3"/>
  <c r="L277" i="3"/>
  <c r="C277" i="3"/>
  <c r="BE276" i="3"/>
  <c r="AV276" i="3"/>
  <c r="AQ276" i="3"/>
  <c r="AR276" i="3" s="1"/>
  <c r="AD276" i="3"/>
  <c r="U276" i="3"/>
  <c r="L276" i="3"/>
  <c r="C276" i="3"/>
  <c r="BE275" i="3"/>
  <c r="AV275" i="3"/>
  <c r="AW275" i="3" s="1"/>
  <c r="AQ275" i="3"/>
  <c r="AR275" i="3" s="1"/>
  <c r="AX275" i="3" s="1"/>
  <c r="AD275" i="3"/>
  <c r="U275" i="3"/>
  <c r="L275" i="3"/>
  <c r="C275" i="3"/>
  <c r="BE274" i="3"/>
  <c r="AW274" i="3"/>
  <c r="AV274" i="3"/>
  <c r="AQ274" i="3"/>
  <c r="AR274" i="3" s="1"/>
  <c r="AX274" i="3" s="1"/>
  <c r="AD274" i="3"/>
  <c r="U274" i="3"/>
  <c r="L274" i="3"/>
  <c r="C274" i="3"/>
  <c r="BE273" i="3"/>
  <c r="AV273" i="3"/>
  <c r="AQ273" i="3"/>
  <c r="AR273" i="3" s="1"/>
  <c r="AD273" i="3"/>
  <c r="U273" i="3"/>
  <c r="L273" i="3"/>
  <c r="C273" i="3"/>
  <c r="BE272" i="3"/>
  <c r="AV272" i="3"/>
  <c r="AR272" i="3"/>
  <c r="AQ272" i="3"/>
  <c r="AD272" i="3"/>
  <c r="U272" i="3"/>
  <c r="L272" i="3"/>
  <c r="C272" i="3"/>
  <c r="BE271" i="3"/>
  <c r="AV271" i="3"/>
  <c r="AW271" i="3" s="1"/>
  <c r="AQ271" i="3"/>
  <c r="AR271" i="3" s="1"/>
  <c r="AX271" i="3" s="1"/>
  <c r="AD271" i="3"/>
  <c r="U271" i="3"/>
  <c r="L271" i="3"/>
  <c r="C271" i="3"/>
  <c r="BE270" i="3"/>
  <c r="AV270" i="3"/>
  <c r="AW270" i="3" s="1"/>
  <c r="AQ270" i="3"/>
  <c r="AR270" i="3" s="1"/>
  <c r="AX270" i="3" s="1"/>
  <c r="AD270" i="3"/>
  <c r="U270" i="3"/>
  <c r="L270" i="3"/>
  <c r="C270" i="3"/>
  <c r="BE269" i="3"/>
  <c r="AV269" i="3"/>
  <c r="AW269" i="3" s="1"/>
  <c r="AQ269" i="3"/>
  <c r="AR269" i="3" s="1"/>
  <c r="AD269" i="3"/>
  <c r="U269" i="3"/>
  <c r="L269" i="3"/>
  <c r="C269" i="3"/>
  <c r="BE268" i="3"/>
  <c r="AV268" i="3"/>
  <c r="AW268" i="3" s="1"/>
  <c r="AQ268" i="3"/>
  <c r="AR268" i="3" s="1"/>
  <c r="AD268" i="3"/>
  <c r="U268" i="3"/>
  <c r="L268" i="3"/>
  <c r="C268" i="3"/>
  <c r="BE267" i="3"/>
  <c r="AV267" i="3"/>
  <c r="AW267" i="3" s="1"/>
  <c r="AQ267" i="3"/>
  <c r="AR267" i="3" s="1"/>
  <c r="AX267" i="3" s="1"/>
  <c r="AD267" i="3"/>
  <c r="U267" i="3"/>
  <c r="L267" i="3"/>
  <c r="C267" i="3"/>
  <c r="BE266" i="3"/>
  <c r="AV266" i="3"/>
  <c r="AW266" i="3" s="1"/>
  <c r="AQ266" i="3"/>
  <c r="AR266" i="3" s="1"/>
  <c r="AX266" i="3" s="1"/>
  <c r="AD266" i="3"/>
  <c r="U266" i="3"/>
  <c r="L266" i="3"/>
  <c r="C266" i="3"/>
  <c r="BE265" i="3"/>
  <c r="AV265" i="3"/>
  <c r="AW265" i="3" s="1"/>
  <c r="AQ265" i="3"/>
  <c r="AR265" i="3" s="1"/>
  <c r="AD265" i="3"/>
  <c r="U265" i="3"/>
  <c r="L265" i="3"/>
  <c r="C265" i="3"/>
  <c r="BE264" i="3"/>
  <c r="AV264" i="3"/>
  <c r="AW264" i="3" s="1"/>
  <c r="AQ264" i="3"/>
  <c r="AR264" i="3" s="1"/>
  <c r="AD264" i="3"/>
  <c r="U264" i="3"/>
  <c r="L264" i="3"/>
  <c r="C264" i="3"/>
  <c r="BE263" i="3"/>
  <c r="AV263" i="3"/>
  <c r="AW263" i="3" s="1"/>
  <c r="AQ263" i="3"/>
  <c r="AR263" i="3" s="1"/>
  <c r="AX263" i="3" s="1"/>
  <c r="AD263" i="3"/>
  <c r="U263" i="3"/>
  <c r="L263" i="3"/>
  <c r="C263" i="3"/>
  <c r="BE262" i="3"/>
  <c r="AV262" i="3"/>
  <c r="AW262" i="3" s="1"/>
  <c r="AQ262" i="3"/>
  <c r="AR262" i="3" s="1"/>
  <c r="AX262" i="3" s="1"/>
  <c r="AD262" i="3"/>
  <c r="U262" i="3"/>
  <c r="L262" i="3"/>
  <c r="C262" i="3"/>
  <c r="BE261" i="3"/>
  <c r="AV261" i="3"/>
  <c r="AW261" i="3" s="1"/>
  <c r="AQ261" i="3"/>
  <c r="AR261" i="3" s="1"/>
  <c r="AD261" i="3"/>
  <c r="U261" i="3"/>
  <c r="L261" i="3"/>
  <c r="C261" i="3"/>
  <c r="BE260" i="3"/>
  <c r="AV260" i="3"/>
  <c r="AW260" i="3" s="1"/>
  <c r="AQ260" i="3"/>
  <c r="AR260" i="3" s="1"/>
  <c r="AX260" i="3" s="1"/>
  <c r="AD260" i="3"/>
  <c r="U260" i="3"/>
  <c r="L260" i="3"/>
  <c r="C260" i="3"/>
  <c r="BE259" i="3"/>
  <c r="AV259" i="3"/>
  <c r="AW259" i="3" s="1"/>
  <c r="AQ259" i="3"/>
  <c r="AR259" i="3" s="1"/>
  <c r="AX259" i="3" s="1"/>
  <c r="AD259" i="3"/>
  <c r="U259" i="3"/>
  <c r="L259" i="3"/>
  <c r="C259" i="3"/>
  <c r="BE258" i="3"/>
  <c r="AV258" i="3"/>
  <c r="AW258" i="3" s="1"/>
  <c r="AQ258" i="3"/>
  <c r="AD258" i="3"/>
  <c r="U258" i="3"/>
  <c r="L258" i="3"/>
  <c r="C258" i="3"/>
  <c r="BL257" i="3"/>
  <c r="BK257" i="3"/>
  <c r="BJ257" i="3"/>
  <c r="BI257" i="3"/>
  <c r="BH257" i="3"/>
  <c r="BG257" i="3"/>
  <c r="BF257" i="3"/>
  <c r="BD257" i="3"/>
  <c r="AS257" i="3"/>
  <c r="AN257" i="3"/>
  <c r="BL256" i="3"/>
  <c r="BK256" i="3"/>
  <c r="BJ256" i="3"/>
  <c r="BI256" i="3"/>
  <c r="BH256" i="3"/>
  <c r="BG256" i="3"/>
  <c r="BF256" i="3"/>
  <c r="BD256" i="3"/>
  <c r="BC256" i="3"/>
  <c r="BB256" i="3"/>
  <c r="BA256" i="3"/>
  <c r="AZ256" i="3"/>
  <c r="AY256" i="3"/>
  <c r="AU256" i="3"/>
  <c r="AT256" i="3"/>
  <c r="AS256" i="3"/>
  <c r="AP256" i="3"/>
  <c r="AO256" i="3"/>
  <c r="AN256" i="3"/>
  <c r="AM256" i="3"/>
  <c r="AL256" i="3"/>
  <c r="AK256" i="3"/>
  <c r="AJ256" i="3"/>
  <c r="AI256" i="3"/>
  <c r="AH256" i="3"/>
  <c r="AG256" i="3"/>
  <c r="AF256" i="3"/>
  <c r="AE256" i="3"/>
  <c r="AC256" i="3"/>
  <c r="AB256" i="3"/>
  <c r="AA256" i="3"/>
  <c r="Z256" i="3"/>
  <c r="Y256" i="3"/>
  <c r="X256" i="3"/>
  <c r="W256" i="3"/>
  <c r="V256" i="3"/>
  <c r="T256" i="3"/>
  <c r="S256" i="3"/>
  <c r="R256" i="3"/>
  <c r="Q256" i="3"/>
  <c r="P256" i="3"/>
  <c r="O256" i="3"/>
  <c r="N256" i="3"/>
  <c r="M256" i="3"/>
  <c r="K256" i="3"/>
  <c r="J256" i="3"/>
  <c r="I256" i="3"/>
  <c r="H256" i="3"/>
  <c r="G256" i="3"/>
  <c r="F256" i="3"/>
  <c r="E256" i="3"/>
  <c r="D256" i="3"/>
  <c r="BL255" i="3"/>
  <c r="BK255" i="3"/>
  <c r="BJ255" i="3"/>
  <c r="BI255" i="3"/>
  <c r="BH255" i="3"/>
  <c r="BG255" i="3"/>
  <c r="BF255" i="3"/>
  <c r="BE255" i="3"/>
  <c r="BD255" i="3"/>
  <c r="BC255" i="3"/>
  <c r="BB255" i="3"/>
  <c r="BA255" i="3"/>
  <c r="AZ255" i="3"/>
  <c r="AY255" i="3"/>
  <c r="AU255" i="3"/>
  <c r="AT255" i="3"/>
  <c r="AS255" i="3"/>
  <c r="AP255" i="3"/>
  <c r="AO255" i="3"/>
  <c r="AN255" i="3"/>
  <c r="AM255" i="3"/>
  <c r="AL255" i="3"/>
  <c r="AK255" i="3"/>
  <c r="AJ255" i="3"/>
  <c r="AI255" i="3"/>
  <c r="AH255" i="3"/>
  <c r="AG255" i="3"/>
  <c r="AF255" i="3"/>
  <c r="AE255" i="3"/>
  <c r="AC255" i="3"/>
  <c r="AB255" i="3"/>
  <c r="AA255" i="3"/>
  <c r="Z255" i="3"/>
  <c r="Y255" i="3"/>
  <c r="X255" i="3"/>
  <c r="W255" i="3"/>
  <c r="V255" i="3"/>
  <c r="U255" i="3"/>
  <c r="T255" i="3"/>
  <c r="S255" i="3"/>
  <c r="R255" i="3"/>
  <c r="Q255" i="3"/>
  <c r="P255" i="3"/>
  <c r="O255" i="3"/>
  <c r="N255" i="3"/>
  <c r="M255" i="3"/>
  <c r="L255" i="3"/>
  <c r="K255" i="3"/>
  <c r="J255" i="3"/>
  <c r="I255" i="3"/>
  <c r="H255" i="3"/>
  <c r="G255" i="3"/>
  <c r="F255" i="3"/>
  <c r="E255" i="3"/>
  <c r="D255" i="3"/>
  <c r="BL254" i="3"/>
  <c r="BK254" i="3"/>
  <c r="BJ254" i="3"/>
  <c r="BI254" i="3"/>
  <c r="BH254" i="3"/>
  <c r="BG254" i="3"/>
  <c r="BF254" i="3"/>
  <c r="BD254" i="3"/>
  <c r="BC254" i="3"/>
  <c r="BB254" i="3"/>
  <c r="BA254" i="3"/>
  <c r="AZ254" i="3"/>
  <c r="AY254" i="3"/>
  <c r="AU254" i="3"/>
  <c r="AT254" i="3"/>
  <c r="AS254" i="3"/>
  <c r="AP254" i="3"/>
  <c r="AO254" i="3"/>
  <c r="AN254" i="3"/>
  <c r="AM254" i="3"/>
  <c r="AL254" i="3"/>
  <c r="AK254" i="3"/>
  <c r="AJ254" i="3"/>
  <c r="AI254" i="3"/>
  <c r="AH254" i="3"/>
  <c r="AG254" i="3"/>
  <c r="AF254" i="3"/>
  <c r="AE254" i="3"/>
  <c r="AC254" i="3"/>
  <c r="AB254" i="3"/>
  <c r="AA254" i="3"/>
  <c r="Z254" i="3"/>
  <c r="Y254" i="3"/>
  <c r="X254" i="3"/>
  <c r="W254" i="3"/>
  <c r="V254" i="3"/>
  <c r="U254" i="3"/>
  <c r="T254" i="3"/>
  <c r="S254" i="3"/>
  <c r="R254" i="3"/>
  <c r="Q254" i="3"/>
  <c r="P254" i="3"/>
  <c r="O254" i="3"/>
  <c r="N254" i="3"/>
  <c r="M254" i="3"/>
  <c r="K254" i="3"/>
  <c r="J254" i="3"/>
  <c r="I254" i="3"/>
  <c r="H254" i="3"/>
  <c r="G254" i="3"/>
  <c r="F254" i="3"/>
  <c r="E254" i="3"/>
  <c r="D254" i="3"/>
  <c r="C254" i="3"/>
  <c r="BE253" i="3"/>
  <c r="AV253" i="3"/>
  <c r="AR253" i="3"/>
  <c r="AQ253" i="3"/>
  <c r="AD253" i="3"/>
  <c r="U253" i="3"/>
  <c r="L253" i="3"/>
  <c r="C253" i="3"/>
  <c r="BE252" i="3"/>
  <c r="AV252" i="3"/>
  <c r="AQ252" i="3"/>
  <c r="AR252" i="3" s="1"/>
  <c r="AD252" i="3"/>
  <c r="U252" i="3"/>
  <c r="L252" i="3"/>
  <c r="C252" i="3"/>
  <c r="BE251" i="3"/>
  <c r="AV251" i="3"/>
  <c r="AR251" i="3"/>
  <c r="AQ251" i="3"/>
  <c r="AD251" i="3"/>
  <c r="U251" i="3"/>
  <c r="L251" i="3"/>
  <c r="C251" i="3"/>
  <c r="BE250" i="3"/>
  <c r="AV250" i="3"/>
  <c r="AR250" i="3"/>
  <c r="AQ250" i="3"/>
  <c r="AD250" i="3"/>
  <c r="U250" i="3"/>
  <c r="L250" i="3"/>
  <c r="C250" i="3"/>
  <c r="BE249" i="3"/>
  <c r="AV249" i="3"/>
  <c r="AQ249" i="3"/>
  <c r="AR249" i="3" s="1"/>
  <c r="AD249" i="3"/>
  <c r="U249" i="3"/>
  <c r="L249" i="3"/>
  <c r="C249" i="3"/>
  <c r="BE248" i="3"/>
  <c r="AV248" i="3"/>
  <c r="AR248" i="3"/>
  <c r="AQ248" i="3"/>
  <c r="AD248" i="3"/>
  <c r="U248" i="3"/>
  <c r="L248" i="3"/>
  <c r="C248" i="3"/>
  <c r="BE247" i="3"/>
  <c r="AV247" i="3"/>
  <c r="AR247" i="3"/>
  <c r="AQ247" i="3"/>
  <c r="AD247" i="3"/>
  <c r="U247" i="3"/>
  <c r="L247" i="3"/>
  <c r="C247" i="3"/>
  <c r="BE246" i="3"/>
  <c r="AV246" i="3"/>
  <c r="AQ246" i="3"/>
  <c r="AR246" i="3" s="1"/>
  <c r="AD246" i="3"/>
  <c r="U246" i="3"/>
  <c r="L246" i="3"/>
  <c r="C246" i="3"/>
  <c r="BE245" i="3"/>
  <c r="AV245" i="3"/>
  <c r="AR245" i="3"/>
  <c r="AQ245" i="3"/>
  <c r="AD245" i="3"/>
  <c r="U245" i="3"/>
  <c r="L245" i="3"/>
  <c r="C245" i="3"/>
  <c r="BE244" i="3"/>
  <c r="AV244" i="3"/>
  <c r="AR244" i="3"/>
  <c r="AQ244" i="3"/>
  <c r="AD244" i="3"/>
  <c r="U244" i="3"/>
  <c r="L244" i="3"/>
  <c r="C244" i="3"/>
  <c r="BE243" i="3"/>
  <c r="AV243" i="3"/>
  <c r="AQ243" i="3"/>
  <c r="AR243" i="3" s="1"/>
  <c r="AD243" i="3"/>
  <c r="U243" i="3"/>
  <c r="L243" i="3"/>
  <c r="C243" i="3"/>
  <c r="BE242" i="3"/>
  <c r="AV242" i="3"/>
  <c r="AR242" i="3"/>
  <c r="AQ242" i="3"/>
  <c r="AD242" i="3"/>
  <c r="U242" i="3"/>
  <c r="L242" i="3"/>
  <c r="C242" i="3"/>
  <c r="BE241" i="3"/>
  <c r="AV241" i="3"/>
  <c r="AR241" i="3"/>
  <c r="AQ241" i="3"/>
  <c r="AD241" i="3"/>
  <c r="U241" i="3"/>
  <c r="L241" i="3"/>
  <c r="C241" i="3"/>
  <c r="BE240" i="3"/>
  <c r="AV240" i="3"/>
  <c r="AQ240" i="3"/>
  <c r="AR240" i="3" s="1"/>
  <c r="AD240" i="3"/>
  <c r="U240" i="3"/>
  <c r="L240" i="3"/>
  <c r="C240" i="3"/>
  <c r="BE239" i="3"/>
  <c r="AV239" i="3"/>
  <c r="AR239" i="3"/>
  <c r="AQ239" i="3"/>
  <c r="AD239" i="3"/>
  <c r="U239" i="3"/>
  <c r="L239" i="3"/>
  <c r="C239" i="3"/>
  <c r="BE238" i="3"/>
  <c r="AV238" i="3"/>
  <c r="AR238" i="3"/>
  <c r="AQ238" i="3"/>
  <c r="AD238" i="3"/>
  <c r="U238" i="3"/>
  <c r="L238" i="3"/>
  <c r="C238" i="3"/>
  <c r="BE237" i="3"/>
  <c r="AV237" i="3"/>
  <c r="AQ237" i="3"/>
  <c r="AR237" i="3" s="1"/>
  <c r="AD237" i="3"/>
  <c r="U237" i="3"/>
  <c r="L237" i="3"/>
  <c r="C237" i="3"/>
  <c r="BE236" i="3"/>
  <c r="AV236" i="3"/>
  <c r="AR236" i="3"/>
  <c r="AQ236" i="3"/>
  <c r="AD236" i="3"/>
  <c r="U236" i="3"/>
  <c r="L236" i="3"/>
  <c r="C236" i="3"/>
  <c r="BE235" i="3"/>
  <c r="AV235" i="3"/>
  <c r="AR235" i="3"/>
  <c r="AQ235" i="3"/>
  <c r="AD235" i="3"/>
  <c r="U235" i="3"/>
  <c r="L235" i="3"/>
  <c r="C235" i="3"/>
  <c r="BE234" i="3"/>
  <c r="AV234" i="3"/>
  <c r="AQ234" i="3"/>
  <c r="AR234" i="3" s="1"/>
  <c r="AD234" i="3"/>
  <c r="U234" i="3"/>
  <c r="L234" i="3"/>
  <c r="C234" i="3"/>
  <c r="BE233" i="3"/>
  <c r="AV233" i="3"/>
  <c r="AR233" i="3"/>
  <c r="AQ233" i="3"/>
  <c r="AD233" i="3"/>
  <c r="U233" i="3"/>
  <c r="L233" i="3"/>
  <c r="C233" i="3"/>
  <c r="BE232" i="3"/>
  <c r="AV232" i="3"/>
  <c r="AR232" i="3"/>
  <c r="AQ232" i="3"/>
  <c r="AD232" i="3"/>
  <c r="U232" i="3"/>
  <c r="L232" i="3"/>
  <c r="C232" i="3"/>
  <c r="BE231" i="3"/>
  <c r="AV231" i="3"/>
  <c r="AQ231" i="3"/>
  <c r="AR231" i="3" s="1"/>
  <c r="AD231" i="3"/>
  <c r="U231" i="3"/>
  <c r="L231" i="3"/>
  <c r="C231" i="3"/>
  <c r="BE230" i="3"/>
  <c r="AV230" i="3"/>
  <c r="AR230" i="3"/>
  <c r="AQ230" i="3"/>
  <c r="AD230" i="3"/>
  <c r="U230" i="3"/>
  <c r="L230" i="3"/>
  <c r="C230" i="3"/>
  <c r="BE229" i="3"/>
  <c r="AV229" i="3"/>
  <c r="AR229" i="3"/>
  <c r="AQ229" i="3"/>
  <c r="AD229" i="3"/>
  <c r="U229" i="3"/>
  <c r="L229" i="3"/>
  <c r="C229" i="3"/>
  <c r="BE228" i="3"/>
  <c r="AV228" i="3"/>
  <c r="AQ228" i="3"/>
  <c r="AR228" i="3" s="1"/>
  <c r="AD228" i="3"/>
  <c r="U228" i="3"/>
  <c r="L228" i="3"/>
  <c r="C228" i="3"/>
  <c r="BE227" i="3"/>
  <c r="AV227" i="3"/>
  <c r="AR227" i="3"/>
  <c r="AQ227" i="3"/>
  <c r="AD227" i="3"/>
  <c r="U227" i="3"/>
  <c r="L227" i="3"/>
  <c r="C227" i="3"/>
  <c r="BE226" i="3"/>
  <c r="AV226" i="3"/>
  <c r="AR226" i="3"/>
  <c r="AQ226" i="3"/>
  <c r="AD226" i="3"/>
  <c r="U226" i="3"/>
  <c r="L226" i="3"/>
  <c r="C226" i="3"/>
  <c r="BE225" i="3"/>
  <c r="BE254" i="3" s="1"/>
  <c r="AV225" i="3"/>
  <c r="AQ225" i="3"/>
  <c r="AR225" i="3" s="1"/>
  <c r="AD225" i="3"/>
  <c r="U225" i="3"/>
  <c r="L225" i="3"/>
  <c r="C225" i="3"/>
  <c r="BE224" i="3"/>
  <c r="AV224" i="3"/>
  <c r="AR224" i="3"/>
  <c r="AQ224" i="3"/>
  <c r="AD224" i="3"/>
  <c r="U224" i="3"/>
  <c r="L224" i="3"/>
  <c r="C224" i="3"/>
  <c r="BE223" i="3"/>
  <c r="AV223" i="3"/>
  <c r="AR223" i="3"/>
  <c r="AQ223" i="3"/>
  <c r="AD223" i="3"/>
  <c r="AD255" i="3" s="1"/>
  <c r="U223" i="3"/>
  <c r="U256" i="3" s="1"/>
  <c r="L223" i="3"/>
  <c r="L256" i="3" s="1"/>
  <c r="C223" i="3"/>
  <c r="C255" i="3" s="1"/>
  <c r="BL222" i="3"/>
  <c r="BK222" i="3"/>
  <c r="BJ222" i="3"/>
  <c r="BI222" i="3"/>
  <c r="BH222" i="3"/>
  <c r="BG222" i="3"/>
  <c r="BF222" i="3"/>
  <c r="BD222" i="3"/>
  <c r="AS222" i="3"/>
  <c r="AN222" i="3"/>
  <c r="BL221" i="3"/>
  <c r="BK221" i="3"/>
  <c r="BJ221" i="3"/>
  <c r="BI221" i="3"/>
  <c r="BH221" i="3"/>
  <c r="BG221" i="3"/>
  <c r="BF221" i="3"/>
  <c r="BD221" i="3"/>
  <c r="BC221" i="3"/>
  <c r="BB221" i="3"/>
  <c r="BA221" i="3"/>
  <c r="AZ221" i="3"/>
  <c r="AY221" i="3"/>
  <c r="AU221" i="3"/>
  <c r="AT221" i="3"/>
  <c r="AS221" i="3"/>
  <c r="AP221" i="3"/>
  <c r="AO221" i="3"/>
  <c r="AN221" i="3"/>
  <c r="AM221" i="3"/>
  <c r="AL221" i="3"/>
  <c r="AK221" i="3"/>
  <c r="AJ221" i="3"/>
  <c r="AI221" i="3"/>
  <c r="AH221" i="3"/>
  <c r="AG221" i="3"/>
  <c r="AF221" i="3"/>
  <c r="AE221" i="3"/>
  <c r="AC221" i="3"/>
  <c r="AB221" i="3"/>
  <c r="AA221" i="3"/>
  <c r="Z221" i="3"/>
  <c r="Y221" i="3"/>
  <c r="X221" i="3"/>
  <c r="W221" i="3"/>
  <c r="V221" i="3"/>
  <c r="T221" i="3"/>
  <c r="S221" i="3"/>
  <c r="R221" i="3"/>
  <c r="Q221" i="3"/>
  <c r="P221" i="3"/>
  <c r="O221" i="3"/>
  <c r="N221" i="3"/>
  <c r="M221" i="3"/>
  <c r="L221" i="3"/>
  <c r="K221" i="3"/>
  <c r="J221" i="3"/>
  <c r="I221" i="3"/>
  <c r="H221" i="3"/>
  <c r="G221" i="3"/>
  <c r="F221" i="3"/>
  <c r="E221" i="3"/>
  <c r="D221" i="3"/>
  <c r="C221" i="3"/>
  <c r="BL220" i="3"/>
  <c r="BK220" i="3"/>
  <c r="BJ220" i="3"/>
  <c r="BI220" i="3"/>
  <c r="BH220" i="3"/>
  <c r="BG220" i="3"/>
  <c r="BF220" i="3"/>
  <c r="BD220" i="3"/>
  <c r="BC220" i="3"/>
  <c r="BB220" i="3"/>
  <c r="BA220" i="3"/>
  <c r="AZ220" i="3"/>
  <c r="AY220" i="3"/>
  <c r="AU220" i="3"/>
  <c r="AT220" i="3"/>
  <c r="AS220" i="3"/>
  <c r="AP220" i="3"/>
  <c r="AO220" i="3"/>
  <c r="AN220" i="3"/>
  <c r="AM220" i="3"/>
  <c r="AL220" i="3"/>
  <c r="AK220" i="3"/>
  <c r="AJ220" i="3"/>
  <c r="AI220" i="3"/>
  <c r="AH220" i="3"/>
  <c r="AG220" i="3"/>
  <c r="AF220" i="3"/>
  <c r="AE220" i="3"/>
  <c r="AC220" i="3"/>
  <c r="AB220" i="3"/>
  <c r="AA220" i="3"/>
  <c r="Z220" i="3"/>
  <c r="Y220" i="3"/>
  <c r="X220" i="3"/>
  <c r="W220" i="3"/>
  <c r="V220" i="3"/>
  <c r="T220" i="3"/>
  <c r="S220" i="3"/>
  <c r="R220" i="3"/>
  <c r="Q220" i="3"/>
  <c r="P220" i="3"/>
  <c r="O220" i="3"/>
  <c r="N220" i="3"/>
  <c r="M220" i="3"/>
  <c r="L220" i="3"/>
  <c r="K220" i="3"/>
  <c r="J220" i="3"/>
  <c r="I220" i="3"/>
  <c r="H220" i="3"/>
  <c r="G220" i="3"/>
  <c r="F220" i="3"/>
  <c r="E220" i="3"/>
  <c r="D220" i="3"/>
  <c r="BL219" i="3"/>
  <c r="BK219" i="3"/>
  <c r="BJ219" i="3"/>
  <c r="BI219" i="3"/>
  <c r="BH219" i="3"/>
  <c r="BG219" i="3"/>
  <c r="BF219" i="3"/>
  <c r="BD219" i="3"/>
  <c r="BC219" i="3"/>
  <c r="BB219" i="3"/>
  <c r="BA219" i="3"/>
  <c r="AZ219" i="3"/>
  <c r="AY219" i="3"/>
  <c r="AU219" i="3"/>
  <c r="AT219" i="3"/>
  <c r="AS219" i="3"/>
  <c r="AQ219" i="3"/>
  <c r="AP219" i="3"/>
  <c r="AO219" i="3"/>
  <c r="AN219" i="3"/>
  <c r="AM219" i="3"/>
  <c r="AL219" i="3"/>
  <c r="AK219" i="3"/>
  <c r="AJ219" i="3"/>
  <c r="AI219" i="3"/>
  <c r="AH219" i="3"/>
  <c r="AG219" i="3"/>
  <c r="AF219" i="3"/>
  <c r="AE219" i="3"/>
  <c r="AC219" i="3"/>
  <c r="AB219" i="3"/>
  <c r="AA219" i="3"/>
  <c r="Z219" i="3"/>
  <c r="Y219" i="3"/>
  <c r="X219" i="3"/>
  <c r="W219" i="3"/>
  <c r="V219" i="3"/>
  <c r="T219" i="3"/>
  <c r="S219" i="3"/>
  <c r="R219" i="3"/>
  <c r="Q219" i="3"/>
  <c r="P219" i="3"/>
  <c r="O219" i="3"/>
  <c r="N219" i="3"/>
  <c r="M219" i="3"/>
  <c r="K219" i="3"/>
  <c r="J219" i="3"/>
  <c r="I219" i="3"/>
  <c r="H219" i="3"/>
  <c r="G219" i="3"/>
  <c r="F219" i="3"/>
  <c r="E219" i="3"/>
  <c r="D219" i="3"/>
  <c r="C219" i="3"/>
  <c r="BE218" i="3"/>
  <c r="AV218" i="3"/>
  <c r="AW218" i="3" s="1"/>
  <c r="AQ218" i="3"/>
  <c r="AR218" i="3" s="1"/>
  <c r="AX218" i="3" s="1"/>
  <c r="AD218" i="3"/>
  <c r="U218" i="3"/>
  <c r="L218" i="3"/>
  <c r="C218" i="3"/>
  <c r="BE217" i="3"/>
  <c r="AV217" i="3"/>
  <c r="AW217" i="3" s="1"/>
  <c r="AQ217" i="3"/>
  <c r="AR217" i="3" s="1"/>
  <c r="AD217" i="3"/>
  <c r="U217" i="3"/>
  <c r="L217" i="3"/>
  <c r="C217" i="3"/>
  <c r="BE216" i="3"/>
  <c r="AX216" i="3"/>
  <c r="AV216" i="3"/>
  <c r="AW216" i="3" s="1"/>
  <c r="AQ216" i="3"/>
  <c r="AR216" i="3" s="1"/>
  <c r="AD216" i="3"/>
  <c r="U216" i="3"/>
  <c r="L216" i="3"/>
  <c r="C216" i="3"/>
  <c r="BE215" i="3"/>
  <c r="AV215" i="3"/>
  <c r="AW215" i="3" s="1"/>
  <c r="AQ215" i="3"/>
  <c r="AR215" i="3" s="1"/>
  <c r="AX215" i="3" s="1"/>
  <c r="AD215" i="3"/>
  <c r="U215" i="3"/>
  <c r="L215" i="3"/>
  <c r="C215" i="3"/>
  <c r="BE214" i="3"/>
  <c r="AV214" i="3"/>
  <c r="AW214" i="3" s="1"/>
  <c r="AX214" i="3" s="1"/>
  <c r="AQ214" i="3"/>
  <c r="AR214" i="3" s="1"/>
  <c r="AD214" i="3"/>
  <c r="U214" i="3"/>
  <c r="L214" i="3"/>
  <c r="C214" i="3"/>
  <c r="BE213" i="3"/>
  <c r="AX213" i="3"/>
  <c r="AV213" i="3"/>
  <c r="AW213" i="3" s="1"/>
  <c r="AQ213" i="3"/>
  <c r="AR213" i="3" s="1"/>
  <c r="AD213" i="3"/>
  <c r="U213" i="3"/>
  <c r="L213" i="3"/>
  <c r="C213" i="3"/>
  <c r="BE212" i="3"/>
  <c r="AV212" i="3"/>
  <c r="AW212" i="3" s="1"/>
  <c r="AX212" i="3" s="1"/>
  <c r="AQ212" i="3"/>
  <c r="AR212" i="3" s="1"/>
  <c r="AD212" i="3"/>
  <c r="U212" i="3"/>
  <c r="L212" i="3"/>
  <c r="C212" i="3"/>
  <c r="BE211" i="3"/>
  <c r="AV211" i="3"/>
  <c r="AW211" i="3" s="1"/>
  <c r="AQ211" i="3"/>
  <c r="AR211" i="3" s="1"/>
  <c r="AX211" i="3" s="1"/>
  <c r="AD211" i="3"/>
  <c r="U211" i="3"/>
  <c r="L211" i="3"/>
  <c r="C211" i="3"/>
  <c r="BE210" i="3"/>
  <c r="AX210" i="3"/>
  <c r="AV210" i="3"/>
  <c r="AW210" i="3" s="1"/>
  <c r="AQ210" i="3"/>
  <c r="AR210" i="3" s="1"/>
  <c r="AD210" i="3"/>
  <c r="U210" i="3"/>
  <c r="L210" i="3"/>
  <c r="C210" i="3"/>
  <c r="BE209" i="3"/>
  <c r="AV209" i="3"/>
  <c r="AW209" i="3" s="1"/>
  <c r="AQ209" i="3"/>
  <c r="AR209" i="3" s="1"/>
  <c r="AX209" i="3" s="1"/>
  <c r="AD209" i="3"/>
  <c r="U209" i="3"/>
  <c r="L209" i="3"/>
  <c r="C209" i="3"/>
  <c r="BE208" i="3"/>
  <c r="AV208" i="3"/>
  <c r="AW208" i="3" s="1"/>
  <c r="AX208" i="3" s="1"/>
  <c r="AQ208" i="3"/>
  <c r="AR208" i="3" s="1"/>
  <c r="AD208" i="3"/>
  <c r="U208" i="3"/>
  <c r="L208" i="3"/>
  <c r="C208" i="3"/>
  <c r="BE207" i="3"/>
  <c r="AX207" i="3"/>
  <c r="AV207" i="3"/>
  <c r="AW207" i="3" s="1"/>
  <c r="AQ207" i="3"/>
  <c r="AR207" i="3" s="1"/>
  <c r="AD207" i="3"/>
  <c r="U207" i="3"/>
  <c r="L207" i="3"/>
  <c r="C207" i="3"/>
  <c r="BE206" i="3"/>
  <c r="AV206" i="3"/>
  <c r="AW206" i="3" s="1"/>
  <c r="AX206" i="3" s="1"/>
  <c r="AQ206" i="3"/>
  <c r="AR206" i="3" s="1"/>
  <c r="AD206" i="3"/>
  <c r="U206" i="3"/>
  <c r="L206" i="3"/>
  <c r="C206" i="3"/>
  <c r="BE205" i="3"/>
  <c r="AV205" i="3"/>
  <c r="AW205" i="3" s="1"/>
  <c r="AQ205" i="3"/>
  <c r="AR205" i="3" s="1"/>
  <c r="AD205" i="3"/>
  <c r="U205" i="3"/>
  <c r="L205" i="3"/>
  <c r="C205" i="3"/>
  <c r="BE204" i="3"/>
  <c r="AX204" i="3"/>
  <c r="AV204" i="3"/>
  <c r="AW204" i="3" s="1"/>
  <c r="AQ204" i="3"/>
  <c r="AR204" i="3" s="1"/>
  <c r="AD204" i="3"/>
  <c r="U204" i="3"/>
  <c r="L204" i="3"/>
  <c r="C204" i="3"/>
  <c r="BE203" i="3"/>
  <c r="AV203" i="3"/>
  <c r="AW203" i="3" s="1"/>
  <c r="AQ203" i="3"/>
  <c r="AR203" i="3" s="1"/>
  <c r="AD203" i="3"/>
  <c r="U203" i="3"/>
  <c r="L203" i="3"/>
  <c r="C203" i="3"/>
  <c r="BE202" i="3"/>
  <c r="AV202" i="3"/>
  <c r="AW202" i="3" s="1"/>
  <c r="AQ202" i="3"/>
  <c r="AR202" i="3" s="1"/>
  <c r="AD202" i="3"/>
  <c r="U202" i="3"/>
  <c r="L202" i="3"/>
  <c r="C202" i="3"/>
  <c r="BE201" i="3"/>
  <c r="AX201" i="3"/>
  <c r="AV201" i="3"/>
  <c r="AW201" i="3" s="1"/>
  <c r="AQ201" i="3"/>
  <c r="AR201" i="3" s="1"/>
  <c r="AD201" i="3"/>
  <c r="U201" i="3"/>
  <c r="L201" i="3"/>
  <c r="C201" i="3"/>
  <c r="BE200" i="3"/>
  <c r="AV200" i="3"/>
  <c r="AW200" i="3" s="1"/>
  <c r="AQ200" i="3"/>
  <c r="AR200" i="3" s="1"/>
  <c r="AD200" i="3"/>
  <c r="U200" i="3"/>
  <c r="L200" i="3"/>
  <c r="C200" i="3"/>
  <c r="BE199" i="3"/>
  <c r="AV199" i="3"/>
  <c r="AQ199" i="3"/>
  <c r="AR199" i="3" s="1"/>
  <c r="AD199" i="3"/>
  <c r="U199" i="3"/>
  <c r="L199" i="3"/>
  <c r="C199" i="3"/>
  <c r="BE198" i="3"/>
  <c r="AX198" i="3"/>
  <c r="AV198" i="3"/>
  <c r="AW198" i="3" s="1"/>
  <c r="AQ198" i="3"/>
  <c r="AR198" i="3" s="1"/>
  <c r="AD198" i="3"/>
  <c r="U198" i="3"/>
  <c r="U221" i="3" s="1"/>
  <c r="L198" i="3"/>
  <c r="C198" i="3"/>
  <c r="BE197" i="3"/>
  <c r="AV197" i="3"/>
  <c r="AW197" i="3" s="1"/>
  <c r="AQ197" i="3"/>
  <c r="AR197" i="3" s="1"/>
  <c r="AD197" i="3"/>
  <c r="U197" i="3"/>
  <c r="L197" i="3"/>
  <c r="C197" i="3"/>
  <c r="BE196" i="3"/>
  <c r="AV196" i="3"/>
  <c r="AW196" i="3" s="1"/>
  <c r="AQ196" i="3"/>
  <c r="AR196" i="3" s="1"/>
  <c r="AD196" i="3"/>
  <c r="U196" i="3"/>
  <c r="L196" i="3"/>
  <c r="C196" i="3"/>
  <c r="BE195" i="3"/>
  <c r="AX195" i="3"/>
  <c r="AV195" i="3"/>
  <c r="AW195" i="3" s="1"/>
  <c r="AQ195" i="3"/>
  <c r="AR195" i="3" s="1"/>
  <c r="AD195" i="3"/>
  <c r="U195" i="3"/>
  <c r="L195" i="3"/>
  <c r="C195" i="3"/>
  <c r="BE194" i="3"/>
  <c r="AV194" i="3"/>
  <c r="AW194" i="3" s="1"/>
  <c r="AQ194" i="3"/>
  <c r="AR194" i="3" s="1"/>
  <c r="AD194" i="3"/>
  <c r="U194" i="3"/>
  <c r="L194" i="3"/>
  <c r="C194" i="3"/>
  <c r="BE193" i="3"/>
  <c r="AV193" i="3"/>
  <c r="AQ193" i="3"/>
  <c r="AR193" i="3" s="1"/>
  <c r="AD193" i="3"/>
  <c r="U193" i="3"/>
  <c r="L193" i="3"/>
  <c r="C193" i="3"/>
  <c r="BE192" i="3"/>
  <c r="AX192" i="3"/>
  <c r="AV192" i="3"/>
  <c r="AW192" i="3" s="1"/>
  <c r="AQ192" i="3"/>
  <c r="AR192" i="3" s="1"/>
  <c r="AD192" i="3"/>
  <c r="U192" i="3"/>
  <c r="L192" i="3"/>
  <c r="C192" i="3"/>
  <c r="BE191" i="3"/>
  <c r="AV191" i="3"/>
  <c r="AW191" i="3" s="1"/>
  <c r="AQ191" i="3"/>
  <c r="AR191" i="3" s="1"/>
  <c r="AR219" i="3" s="1"/>
  <c r="AD191" i="3"/>
  <c r="U191" i="3"/>
  <c r="L191" i="3"/>
  <c r="C191" i="3"/>
  <c r="BE190" i="3"/>
  <c r="AV190" i="3"/>
  <c r="AW190" i="3" s="1"/>
  <c r="AQ190" i="3"/>
  <c r="AR190" i="3" s="1"/>
  <c r="AD190" i="3"/>
  <c r="U190" i="3"/>
  <c r="L190" i="3"/>
  <c r="C190" i="3"/>
  <c r="BE189" i="3"/>
  <c r="AV189" i="3"/>
  <c r="AQ189" i="3"/>
  <c r="AR189" i="3" s="1"/>
  <c r="AD189" i="3"/>
  <c r="U189" i="3"/>
  <c r="L189" i="3"/>
  <c r="L219" i="3" s="1"/>
  <c r="C189" i="3"/>
  <c r="C220" i="3" s="1"/>
  <c r="BL188" i="3"/>
  <c r="BK188" i="3"/>
  <c r="BJ188" i="3"/>
  <c r="BI188" i="3"/>
  <c r="BH188" i="3"/>
  <c r="BG188" i="3"/>
  <c r="BF188" i="3"/>
  <c r="BD188" i="3"/>
  <c r="AS188" i="3"/>
  <c r="AN188" i="3"/>
  <c r="BL187" i="3"/>
  <c r="BK187" i="3"/>
  <c r="BJ187" i="3"/>
  <c r="BI187" i="3"/>
  <c r="BH187" i="3"/>
  <c r="BG187" i="3"/>
  <c r="BF187" i="3"/>
  <c r="BD187" i="3"/>
  <c r="BC187" i="3"/>
  <c r="BB187" i="3"/>
  <c r="BA187" i="3"/>
  <c r="AZ187" i="3"/>
  <c r="AY187" i="3"/>
  <c r="AV187" i="3"/>
  <c r="AU187" i="3"/>
  <c r="AT187" i="3"/>
  <c r="AS187" i="3"/>
  <c r="AP187" i="3"/>
  <c r="AO187" i="3"/>
  <c r="AN187" i="3"/>
  <c r="AM187" i="3"/>
  <c r="AL187" i="3"/>
  <c r="AK187" i="3"/>
  <c r="AJ187" i="3"/>
  <c r="AI187" i="3"/>
  <c r="AH187" i="3"/>
  <c r="AG187" i="3"/>
  <c r="AF187" i="3"/>
  <c r="AE187" i="3"/>
  <c r="AC187" i="3"/>
  <c r="AB187" i="3"/>
  <c r="AA187" i="3"/>
  <c r="Z187" i="3"/>
  <c r="Y187" i="3"/>
  <c r="X187" i="3"/>
  <c r="W187" i="3"/>
  <c r="V187" i="3"/>
  <c r="T187" i="3"/>
  <c r="S187" i="3"/>
  <c r="R187" i="3"/>
  <c r="Q187" i="3"/>
  <c r="P187" i="3"/>
  <c r="O187" i="3"/>
  <c r="N187" i="3"/>
  <c r="M187" i="3"/>
  <c r="K187" i="3"/>
  <c r="J187" i="3"/>
  <c r="I187" i="3"/>
  <c r="H187" i="3"/>
  <c r="G187" i="3"/>
  <c r="F187" i="3"/>
  <c r="E187" i="3"/>
  <c r="D187" i="3"/>
  <c r="C187" i="3"/>
  <c r="BL186" i="3"/>
  <c r="BK186" i="3"/>
  <c r="BJ186" i="3"/>
  <c r="BI186" i="3"/>
  <c r="BH186" i="3"/>
  <c r="BG186" i="3"/>
  <c r="BF186" i="3"/>
  <c r="BD186" i="3"/>
  <c r="BC186" i="3"/>
  <c r="BB186" i="3"/>
  <c r="BA186" i="3"/>
  <c r="AZ186" i="3"/>
  <c r="AY186" i="3"/>
  <c r="AU186" i="3"/>
  <c r="AT186" i="3"/>
  <c r="AS186" i="3"/>
  <c r="AP186" i="3"/>
  <c r="AO186" i="3"/>
  <c r="AN186" i="3"/>
  <c r="AM186" i="3"/>
  <c r="AL186" i="3"/>
  <c r="AK186" i="3"/>
  <c r="AJ186" i="3"/>
  <c r="AI186" i="3"/>
  <c r="AH186" i="3"/>
  <c r="AG186" i="3"/>
  <c r="AF186" i="3"/>
  <c r="AE186" i="3"/>
  <c r="AC186" i="3"/>
  <c r="AB186" i="3"/>
  <c r="AA186" i="3"/>
  <c r="Z186" i="3"/>
  <c r="Y186" i="3"/>
  <c r="X186" i="3"/>
  <c r="W186" i="3"/>
  <c r="V186" i="3"/>
  <c r="T186" i="3"/>
  <c r="S186" i="3"/>
  <c r="R186" i="3"/>
  <c r="Q186" i="3"/>
  <c r="P186" i="3"/>
  <c r="O186" i="3"/>
  <c r="N186" i="3"/>
  <c r="M186" i="3"/>
  <c r="L186" i="3"/>
  <c r="K186" i="3"/>
  <c r="J186" i="3"/>
  <c r="I186" i="3"/>
  <c r="H186" i="3"/>
  <c r="G186" i="3"/>
  <c r="F186" i="3"/>
  <c r="E186" i="3"/>
  <c r="D186" i="3"/>
  <c r="BL185" i="3"/>
  <c r="BK185" i="3"/>
  <c r="BJ185" i="3"/>
  <c r="BI185" i="3"/>
  <c r="BH185" i="3"/>
  <c r="BG185" i="3"/>
  <c r="BF185" i="3"/>
  <c r="BD185" i="3"/>
  <c r="BC185" i="3"/>
  <c r="BB185" i="3"/>
  <c r="BA185" i="3"/>
  <c r="AZ185" i="3"/>
  <c r="AY185" i="3"/>
  <c r="AU185" i="3"/>
  <c r="AT185" i="3"/>
  <c r="AS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C185" i="3"/>
  <c r="AB185" i="3"/>
  <c r="AA185" i="3"/>
  <c r="Z185" i="3"/>
  <c r="Y185" i="3"/>
  <c r="X185" i="3"/>
  <c r="W185" i="3"/>
  <c r="V185" i="3"/>
  <c r="T185" i="3"/>
  <c r="S185" i="3"/>
  <c r="R185" i="3"/>
  <c r="Q185" i="3"/>
  <c r="P185" i="3"/>
  <c r="O185" i="3"/>
  <c r="N185" i="3"/>
  <c r="M185" i="3"/>
  <c r="K185" i="3"/>
  <c r="J185" i="3"/>
  <c r="I185" i="3"/>
  <c r="H185" i="3"/>
  <c r="G185" i="3"/>
  <c r="F185" i="3"/>
  <c r="E185" i="3"/>
  <c r="D185" i="3"/>
  <c r="BE184" i="3"/>
  <c r="AW184" i="3"/>
  <c r="AX184" i="3" s="1"/>
  <c r="AV184" i="3"/>
  <c r="AQ184" i="3"/>
  <c r="AR184" i="3" s="1"/>
  <c r="AD184" i="3"/>
  <c r="U184" i="3"/>
  <c r="L184" i="3"/>
  <c r="C184" i="3"/>
  <c r="BE183" i="3"/>
  <c r="AW183" i="3"/>
  <c r="AV183" i="3"/>
  <c r="AQ183" i="3"/>
  <c r="AR183" i="3" s="1"/>
  <c r="AX183" i="3" s="1"/>
  <c r="AD183" i="3"/>
  <c r="U183" i="3"/>
  <c r="L183" i="3"/>
  <c r="C183" i="3"/>
  <c r="BE182" i="3"/>
  <c r="AV182" i="3"/>
  <c r="AQ182" i="3"/>
  <c r="AR182" i="3" s="1"/>
  <c r="AD182" i="3"/>
  <c r="U182" i="3"/>
  <c r="L182" i="3"/>
  <c r="C182" i="3"/>
  <c r="BE181" i="3"/>
  <c r="AX181" i="3"/>
  <c r="AW181" i="3"/>
  <c r="AV181" i="3"/>
  <c r="AQ181" i="3"/>
  <c r="AR181" i="3" s="1"/>
  <c r="AD181" i="3"/>
  <c r="U181" i="3"/>
  <c r="L181" i="3"/>
  <c r="C181" i="3"/>
  <c r="BE180" i="3"/>
  <c r="AV180" i="3"/>
  <c r="AW180" i="3" s="1"/>
  <c r="AQ180" i="3"/>
  <c r="AR180" i="3" s="1"/>
  <c r="AX180" i="3" s="1"/>
  <c r="AD180" i="3"/>
  <c r="U180" i="3"/>
  <c r="L180" i="3"/>
  <c r="C180" i="3"/>
  <c r="BE179" i="3"/>
  <c r="AV179" i="3"/>
  <c r="AQ179" i="3"/>
  <c r="AR179" i="3" s="1"/>
  <c r="AD179" i="3"/>
  <c r="U179" i="3"/>
  <c r="L179" i="3"/>
  <c r="C179" i="3"/>
  <c r="BE178" i="3"/>
  <c r="AW178" i="3"/>
  <c r="AX178" i="3" s="1"/>
  <c r="AV178" i="3"/>
  <c r="AQ178" i="3"/>
  <c r="AR178" i="3" s="1"/>
  <c r="AD178" i="3"/>
  <c r="U178" i="3"/>
  <c r="L178" i="3"/>
  <c r="C178" i="3"/>
  <c r="BE177" i="3"/>
  <c r="AV177" i="3"/>
  <c r="AQ177" i="3"/>
  <c r="AR177" i="3" s="1"/>
  <c r="AD177" i="3"/>
  <c r="U177" i="3"/>
  <c r="L177" i="3"/>
  <c r="C177" i="3"/>
  <c r="BE176" i="3"/>
  <c r="AV176" i="3"/>
  <c r="AQ176" i="3"/>
  <c r="AR176" i="3" s="1"/>
  <c r="AD176" i="3"/>
  <c r="U176" i="3"/>
  <c r="L176" i="3"/>
  <c r="C176" i="3"/>
  <c r="BE175" i="3"/>
  <c r="AX175" i="3"/>
  <c r="AW175" i="3"/>
  <c r="AV175" i="3"/>
  <c r="AQ175" i="3"/>
  <c r="AR175" i="3" s="1"/>
  <c r="AD175" i="3"/>
  <c r="U175" i="3"/>
  <c r="L175" i="3"/>
  <c r="C175" i="3"/>
  <c r="BE174" i="3"/>
  <c r="AV174" i="3"/>
  <c r="AQ174" i="3"/>
  <c r="AR174" i="3" s="1"/>
  <c r="AD174" i="3"/>
  <c r="U174" i="3"/>
  <c r="L174" i="3"/>
  <c r="C174" i="3"/>
  <c r="BE173" i="3"/>
  <c r="AV173" i="3"/>
  <c r="AQ173" i="3"/>
  <c r="AR173" i="3" s="1"/>
  <c r="AD173" i="3"/>
  <c r="U173" i="3"/>
  <c r="L173" i="3"/>
  <c r="C173" i="3"/>
  <c r="BE172" i="3"/>
  <c r="AW172" i="3"/>
  <c r="AX172" i="3" s="1"/>
  <c r="AV172" i="3"/>
  <c r="AQ172" i="3"/>
  <c r="AR172" i="3" s="1"/>
  <c r="AD172" i="3"/>
  <c r="U172" i="3"/>
  <c r="L172" i="3"/>
  <c r="C172" i="3"/>
  <c r="BE171" i="3"/>
  <c r="AV171" i="3"/>
  <c r="AQ171" i="3"/>
  <c r="AR171" i="3" s="1"/>
  <c r="AD171" i="3"/>
  <c r="U171" i="3"/>
  <c r="L171" i="3"/>
  <c r="L187" i="3" s="1"/>
  <c r="C171" i="3"/>
  <c r="BE170" i="3"/>
  <c r="BE185" i="3" s="1"/>
  <c r="AV170" i="3"/>
  <c r="AQ170" i="3"/>
  <c r="AR170" i="3" s="1"/>
  <c r="AD170" i="3"/>
  <c r="U170" i="3"/>
  <c r="L170" i="3"/>
  <c r="C170" i="3"/>
  <c r="BE169" i="3"/>
  <c r="AW169" i="3"/>
  <c r="AX169" i="3" s="1"/>
  <c r="AV169" i="3"/>
  <c r="AQ169" i="3"/>
  <c r="AR169" i="3" s="1"/>
  <c r="AD169" i="3"/>
  <c r="U169" i="3"/>
  <c r="L169" i="3"/>
  <c r="C169" i="3"/>
  <c r="BE168" i="3"/>
  <c r="AW168" i="3"/>
  <c r="AV168" i="3"/>
  <c r="AQ168" i="3"/>
  <c r="AR168" i="3" s="1"/>
  <c r="AD168" i="3"/>
  <c r="U168" i="3"/>
  <c r="L168" i="3"/>
  <c r="C168" i="3"/>
  <c r="BE167" i="3"/>
  <c r="AV167" i="3"/>
  <c r="AQ167" i="3"/>
  <c r="AR167" i="3" s="1"/>
  <c r="AD167" i="3"/>
  <c r="U167" i="3"/>
  <c r="L167" i="3"/>
  <c r="C167" i="3"/>
  <c r="BE166" i="3"/>
  <c r="AW166" i="3"/>
  <c r="AV166" i="3"/>
  <c r="AR166" i="3"/>
  <c r="AX166" i="3" s="1"/>
  <c r="AQ166" i="3"/>
  <c r="AD166" i="3"/>
  <c r="U166" i="3"/>
  <c r="L166" i="3"/>
  <c r="C166" i="3"/>
  <c r="BE165" i="3"/>
  <c r="AW165" i="3"/>
  <c r="AV165" i="3"/>
  <c r="AQ165" i="3"/>
  <c r="AR165" i="3" s="1"/>
  <c r="AX165" i="3" s="1"/>
  <c r="AD165" i="3"/>
  <c r="U165" i="3"/>
  <c r="L165" i="3"/>
  <c r="C165" i="3"/>
  <c r="BE164" i="3"/>
  <c r="AW164" i="3"/>
  <c r="AV164" i="3"/>
  <c r="AQ164" i="3"/>
  <c r="AR164" i="3" s="1"/>
  <c r="AX164" i="3" s="1"/>
  <c r="AD164" i="3"/>
  <c r="U164" i="3"/>
  <c r="L164" i="3"/>
  <c r="C164" i="3"/>
  <c r="BE163" i="3"/>
  <c r="AW163" i="3"/>
  <c r="AV163" i="3"/>
  <c r="AR163" i="3"/>
  <c r="AX163" i="3" s="1"/>
  <c r="AQ163" i="3"/>
  <c r="AD163" i="3"/>
  <c r="U163" i="3"/>
  <c r="L163" i="3"/>
  <c r="C163" i="3"/>
  <c r="BE162" i="3"/>
  <c r="AW162" i="3"/>
  <c r="AV162" i="3"/>
  <c r="AQ162" i="3"/>
  <c r="AR162" i="3" s="1"/>
  <c r="AX162" i="3" s="1"/>
  <c r="AD162" i="3"/>
  <c r="U162" i="3"/>
  <c r="L162" i="3"/>
  <c r="C162" i="3"/>
  <c r="BE161" i="3"/>
  <c r="AX161" i="3"/>
  <c r="AW161" i="3"/>
  <c r="AV161" i="3"/>
  <c r="AR161" i="3"/>
  <c r="AQ161" i="3"/>
  <c r="AD161" i="3"/>
  <c r="U161" i="3"/>
  <c r="L161" i="3"/>
  <c r="C161" i="3"/>
  <c r="BE160" i="3"/>
  <c r="AW160" i="3"/>
  <c r="AV160" i="3"/>
  <c r="AR160" i="3"/>
  <c r="AQ160" i="3"/>
  <c r="AD160" i="3"/>
  <c r="U160" i="3"/>
  <c r="L160" i="3"/>
  <c r="C160" i="3"/>
  <c r="BE159" i="3"/>
  <c r="AW159" i="3"/>
  <c r="AV159" i="3"/>
  <c r="AR159" i="3"/>
  <c r="AX159" i="3" s="1"/>
  <c r="AQ159" i="3"/>
  <c r="AD159" i="3"/>
  <c r="U159" i="3"/>
  <c r="L159" i="3"/>
  <c r="C159" i="3"/>
  <c r="BE158" i="3"/>
  <c r="AW158" i="3"/>
  <c r="AV158" i="3"/>
  <c r="AQ158" i="3"/>
  <c r="AR158" i="3" s="1"/>
  <c r="AX158" i="3" s="1"/>
  <c r="AD158" i="3"/>
  <c r="U158" i="3"/>
  <c r="U185" i="3" s="1"/>
  <c r="L158" i="3"/>
  <c r="C158" i="3"/>
  <c r="BE157" i="3"/>
  <c r="AW157" i="3"/>
  <c r="AV157" i="3"/>
  <c r="AR157" i="3"/>
  <c r="AX157" i="3" s="1"/>
  <c r="AQ157" i="3"/>
  <c r="AD157" i="3"/>
  <c r="U157" i="3"/>
  <c r="L157" i="3"/>
  <c r="C157" i="3"/>
  <c r="BE156" i="3"/>
  <c r="AW156" i="3"/>
  <c r="AV156" i="3"/>
  <c r="AQ156" i="3"/>
  <c r="AR156" i="3" s="1"/>
  <c r="AX156" i="3" s="1"/>
  <c r="AD156" i="3"/>
  <c r="U156" i="3"/>
  <c r="L156" i="3"/>
  <c r="C156" i="3"/>
  <c r="BE155" i="3"/>
  <c r="AW155" i="3"/>
  <c r="AX155" i="3" s="1"/>
  <c r="AV155" i="3"/>
  <c r="AR155" i="3"/>
  <c r="AQ155" i="3"/>
  <c r="AD155" i="3"/>
  <c r="U155" i="3"/>
  <c r="L155" i="3"/>
  <c r="C155" i="3"/>
  <c r="BE154" i="3"/>
  <c r="AW154" i="3"/>
  <c r="AV154" i="3"/>
  <c r="AR154" i="3"/>
  <c r="AQ154" i="3"/>
  <c r="AD154" i="3"/>
  <c r="U154" i="3"/>
  <c r="L154" i="3"/>
  <c r="C154" i="3"/>
  <c r="BL153" i="3"/>
  <c r="BK153" i="3"/>
  <c r="BJ153" i="3"/>
  <c r="BI153" i="3"/>
  <c r="BH153" i="3"/>
  <c r="BG153" i="3"/>
  <c r="BF153" i="3"/>
  <c r="BD153" i="3"/>
  <c r="AS153" i="3"/>
  <c r="AN153" i="3"/>
  <c r="BL152" i="3"/>
  <c r="BK152" i="3"/>
  <c r="BJ152" i="3"/>
  <c r="BI152" i="3"/>
  <c r="BH152" i="3"/>
  <c r="BG152" i="3"/>
  <c r="BF152" i="3"/>
  <c r="BD152" i="3"/>
  <c r="BC152" i="3"/>
  <c r="BB152" i="3"/>
  <c r="BA152" i="3"/>
  <c r="AZ152" i="3"/>
  <c r="AY152" i="3"/>
  <c r="AU152" i="3"/>
  <c r="AT152" i="3"/>
  <c r="AS152" i="3"/>
  <c r="AP152" i="3"/>
  <c r="AO152" i="3"/>
  <c r="AN152" i="3"/>
  <c r="AM152" i="3"/>
  <c r="AL152" i="3"/>
  <c r="AK152" i="3"/>
  <c r="AJ152" i="3"/>
  <c r="AI152" i="3"/>
  <c r="AH152" i="3"/>
  <c r="AG152" i="3"/>
  <c r="AF152" i="3"/>
  <c r="AE152" i="3"/>
  <c r="AC152" i="3"/>
  <c r="AB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K152" i="3"/>
  <c r="J152" i="3"/>
  <c r="I152" i="3"/>
  <c r="H152" i="3"/>
  <c r="G152" i="3"/>
  <c r="F152" i="3"/>
  <c r="E152" i="3"/>
  <c r="D152" i="3"/>
  <c r="BL151" i="3"/>
  <c r="BK151" i="3"/>
  <c r="BJ151" i="3"/>
  <c r="BI151" i="3"/>
  <c r="BH151" i="3"/>
  <c r="BG151" i="3"/>
  <c r="BF151" i="3"/>
  <c r="BD151" i="3"/>
  <c r="BC151" i="3"/>
  <c r="BB151" i="3"/>
  <c r="BA151" i="3"/>
  <c r="AZ151" i="3"/>
  <c r="AY151" i="3"/>
  <c r="AV151" i="3"/>
  <c r="AU151" i="3"/>
  <c r="AT151" i="3"/>
  <c r="AS151" i="3"/>
  <c r="AP151" i="3"/>
  <c r="AO151" i="3"/>
  <c r="AN151" i="3"/>
  <c r="AM151" i="3"/>
  <c r="AL151" i="3"/>
  <c r="AK151" i="3"/>
  <c r="AJ151" i="3"/>
  <c r="AI151" i="3"/>
  <c r="AH151" i="3"/>
  <c r="AG151" i="3"/>
  <c r="AF151" i="3"/>
  <c r="AE151" i="3"/>
  <c r="AC151" i="3"/>
  <c r="AB151" i="3"/>
  <c r="AA151" i="3"/>
  <c r="Z151" i="3"/>
  <c r="Y151" i="3"/>
  <c r="X151" i="3"/>
  <c r="W151" i="3"/>
  <c r="V151" i="3"/>
  <c r="T151" i="3"/>
  <c r="S151" i="3"/>
  <c r="R151" i="3"/>
  <c r="Q151" i="3"/>
  <c r="P151" i="3"/>
  <c r="O151" i="3"/>
  <c r="N151" i="3"/>
  <c r="M151" i="3"/>
  <c r="K151" i="3"/>
  <c r="J151" i="3"/>
  <c r="I151" i="3"/>
  <c r="H151" i="3"/>
  <c r="G151" i="3"/>
  <c r="F151" i="3"/>
  <c r="E151" i="3"/>
  <c r="D151" i="3"/>
  <c r="BL150" i="3"/>
  <c r="BK150" i="3"/>
  <c r="BJ150" i="3"/>
  <c r="BI150" i="3"/>
  <c r="BH150" i="3"/>
  <c r="BG150" i="3"/>
  <c r="BF150" i="3"/>
  <c r="BD150" i="3"/>
  <c r="BC150" i="3"/>
  <c r="BB150" i="3"/>
  <c r="BA150" i="3"/>
  <c r="AZ150" i="3"/>
  <c r="AY150" i="3"/>
  <c r="AV150" i="3"/>
  <c r="AU150" i="3"/>
  <c r="AT150" i="3"/>
  <c r="AS150" i="3"/>
  <c r="AQ150" i="3"/>
  <c r="AP150" i="3"/>
  <c r="AO150" i="3"/>
  <c r="AN150" i="3"/>
  <c r="AM150" i="3"/>
  <c r="AL150" i="3"/>
  <c r="AK150" i="3"/>
  <c r="AJ150" i="3"/>
  <c r="AI150" i="3"/>
  <c r="AH150" i="3"/>
  <c r="AG150" i="3"/>
  <c r="AF150" i="3"/>
  <c r="AE150" i="3"/>
  <c r="AD150" i="3"/>
  <c r="AC150" i="3"/>
  <c r="AB150" i="3"/>
  <c r="AA150" i="3"/>
  <c r="Z150" i="3"/>
  <c r="Y150" i="3"/>
  <c r="X150" i="3"/>
  <c r="W150" i="3"/>
  <c r="V150" i="3"/>
  <c r="T150" i="3"/>
  <c r="S150" i="3"/>
  <c r="R150" i="3"/>
  <c r="Q150" i="3"/>
  <c r="P150" i="3"/>
  <c r="O150" i="3"/>
  <c r="N150" i="3"/>
  <c r="M150" i="3"/>
  <c r="K150" i="3"/>
  <c r="J150" i="3"/>
  <c r="I150" i="3"/>
  <c r="H150" i="3"/>
  <c r="G150" i="3"/>
  <c r="F150" i="3"/>
  <c r="E150" i="3"/>
  <c r="D150" i="3"/>
  <c r="BE149" i="3"/>
  <c r="AW149" i="3"/>
  <c r="AX149" i="3" s="1"/>
  <c r="AV149" i="3"/>
  <c r="AQ149" i="3"/>
  <c r="AR149" i="3" s="1"/>
  <c r="AD149" i="3"/>
  <c r="U149" i="3"/>
  <c r="L149" i="3"/>
  <c r="C149" i="3"/>
  <c r="BE148" i="3"/>
  <c r="AW148" i="3"/>
  <c r="AV148" i="3"/>
  <c r="AQ148" i="3"/>
  <c r="AR148" i="3" s="1"/>
  <c r="AX148" i="3" s="1"/>
  <c r="AD148" i="3"/>
  <c r="U148" i="3"/>
  <c r="L148" i="3"/>
  <c r="C148" i="3"/>
  <c r="BE147" i="3"/>
  <c r="AW147" i="3"/>
  <c r="AV147" i="3"/>
  <c r="AQ147" i="3"/>
  <c r="AR147" i="3" s="1"/>
  <c r="AX147" i="3" s="1"/>
  <c r="AD147" i="3"/>
  <c r="U147" i="3"/>
  <c r="L147" i="3"/>
  <c r="C147" i="3"/>
  <c r="BE146" i="3"/>
  <c r="AW146" i="3"/>
  <c r="AV146" i="3"/>
  <c r="AQ146" i="3"/>
  <c r="AR146" i="3" s="1"/>
  <c r="AX146" i="3" s="1"/>
  <c r="AD146" i="3"/>
  <c r="U146" i="3"/>
  <c r="L146" i="3"/>
  <c r="C146" i="3"/>
  <c r="BE145" i="3"/>
  <c r="AX145" i="3"/>
  <c r="AW145" i="3"/>
  <c r="AV145" i="3"/>
  <c r="AQ145" i="3"/>
  <c r="AR145" i="3" s="1"/>
  <c r="AD145" i="3"/>
  <c r="U145" i="3"/>
  <c r="L145" i="3"/>
  <c r="C145" i="3"/>
  <c r="BE144" i="3"/>
  <c r="AX144" i="3"/>
  <c r="AW144" i="3"/>
  <c r="AV144" i="3"/>
  <c r="AQ144" i="3"/>
  <c r="AR144" i="3" s="1"/>
  <c r="AD144" i="3"/>
  <c r="U144" i="3"/>
  <c r="L144" i="3"/>
  <c r="C144" i="3"/>
  <c r="BE143" i="3"/>
  <c r="AW143" i="3"/>
  <c r="AX143" i="3" s="1"/>
  <c r="AV143" i="3"/>
  <c r="AQ143" i="3"/>
  <c r="AR143" i="3" s="1"/>
  <c r="AD143" i="3"/>
  <c r="U143" i="3"/>
  <c r="L143" i="3"/>
  <c r="C143" i="3"/>
  <c r="BE142" i="3"/>
  <c r="AW142" i="3"/>
  <c r="AV142" i="3"/>
  <c r="AQ142" i="3"/>
  <c r="AR142" i="3" s="1"/>
  <c r="AX142" i="3" s="1"/>
  <c r="AD142" i="3"/>
  <c r="U142" i="3"/>
  <c r="L142" i="3"/>
  <c r="C142" i="3"/>
  <c r="BE141" i="3"/>
  <c r="AX141" i="3"/>
  <c r="AW141" i="3"/>
  <c r="AV141" i="3"/>
  <c r="AQ141" i="3"/>
  <c r="AR141" i="3" s="1"/>
  <c r="AD141" i="3"/>
  <c r="U141" i="3"/>
  <c r="L141" i="3"/>
  <c r="C141" i="3"/>
  <c r="BE140" i="3"/>
  <c r="AW140" i="3"/>
  <c r="AV140" i="3"/>
  <c r="AQ140" i="3"/>
  <c r="AR140" i="3" s="1"/>
  <c r="AX140" i="3" s="1"/>
  <c r="AD140" i="3"/>
  <c r="U140" i="3"/>
  <c r="L140" i="3"/>
  <c r="C140" i="3"/>
  <c r="BE139" i="3"/>
  <c r="AX139" i="3"/>
  <c r="AW139" i="3"/>
  <c r="AV139" i="3"/>
  <c r="AQ139" i="3"/>
  <c r="AR139" i="3" s="1"/>
  <c r="AD139" i="3"/>
  <c r="U139" i="3"/>
  <c r="L139" i="3"/>
  <c r="C139" i="3"/>
  <c r="BE138" i="3"/>
  <c r="AX138" i="3"/>
  <c r="AW138" i="3"/>
  <c r="AV138" i="3"/>
  <c r="AQ138" i="3"/>
  <c r="AR138" i="3" s="1"/>
  <c r="AD138" i="3"/>
  <c r="U138" i="3"/>
  <c r="L138" i="3"/>
  <c r="C138" i="3"/>
  <c r="BE137" i="3"/>
  <c r="AX137" i="3"/>
  <c r="AW137" i="3"/>
  <c r="AV137" i="3"/>
  <c r="AQ137" i="3"/>
  <c r="AR137" i="3" s="1"/>
  <c r="AD137" i="3"/>
  <c r="U137" i="3"/>
  <c r="L137" i="3"/>
  <c r="C137" i="3"/>
  <c r="BE136" i="3"/>
  <c r="AW136" i="3"/>
  <c r="AV136" i="3"/>
  <c r="AQ136" i="3"/>
  <c r="AR136" i="3" s="1"/>
  <c r="AD136" i="3"/>
  <c r="U136" i="3"/>
  <c r="L136" i="3"/>
  <c r="C136" i="3"/>
  <c r="BE135" i="3"/>
  <c r="AW135" i="3"/>
  <c r="AV135" i="3"/>
  <c r="AQ135" i="3"/>
  <c r="AR135" i="3" s="1"/>
  <c r="AX135" i="3" s="1"/>
  <c r="AD135" i="3"/>
  <c r="U135" i="3"/>
  <c r="L135" i="3"/>
  <c r="C135" i="3"/>
  <c r="BE134" i="3"/>
  <c r="AW134" i="3"/>
  <c r="AV134" i="3"/>
  <c r="AQ134" i="3"/>
  <c r="AR134" i="3" s="1"/>
  <c r="AX134" i="3" s="1"/>
  <c r="AD134" i="3"/>
  <c r="U134" i="3"/>
  <c r="L134" i="3"/>
  <c r="C134" i="3"/>
  <c r="BE133" i="3"/>
  <c r="AX133" i="3"/>
  <c r="AW133" i="3"/>
  <c r="AV133" i="3"/>
  <c r="AQ133" i="3"/>
  <c r="AR133" i="3" s="1"/>
  <c r="AD133" i="3"/>
  <c r="U133" i="3"/>
  <c r="L133" i="3"/>
  <c r="C133" i="3"/>
  <c r="BE132" i="3"/>
  <c r="AX132" i="3"/>
  <c r="AW132" i="3"/>
  <c r="AV132" i="3"/>
  <c r="AQ132" i="3"/>
  <c r="AR132" i="3" s="1"/>
  <c r="AD132" i="3"/>
  <c r="U132" i="3"/>
  <c r="L132" i="3"/>
  <c r="C132" i="3"/>
  <c r="BE131" i="3"/>
  <c r="AW131" i="3"/>
  <c r="AX131" i="3" s="1"/>
  <c r="AV131" i="3"/>
  <c r="AQ131" i="3"/>
  <c r="AR131" i="3" s="1"/>
  <c r="AD131" i="3"/>
  <c r="U131" i="3"/>
  <c r="L131" i="3"/>
  <c r="C131" i="3"/>
  <c r="BE130" i="3"/>
  <c r="AW130" i="3"/>
  <c r="AV130" i="3"/>
  <c r="AQ130" i="3"/>
  <c r="AR130" i="3" s="1"/>
  <c r="AX130" i="3" s="1"/>
  <c r="AD130" i="3"/>
  <c r="U130" i="3"/>
  <c r="L130" i="3"/>
  <c r="C130" i="3"/>
  <c r="BE129" i="3"/>
  <c r="AX129" i="3"/>
  <c r="AW129" i="3"/>
  <c r="AV129" i="3"/>
  <c r="AQ129" i="3"/>
  <c r="AR129" i="3" s="1"/>
  <c r="AD129" i="3"/>
  <c r="U129" i="3"/>
  <c r="L129" i="3"/>
  <c r="C129" i="3"/>
  <c r="BE128" i="3"/>
  <c r="AW128" i="3"/>
  <c r="AV128" i="3"/>
  <c r="AQ128" i="3"/>
  <c r="AR128" i="3" s="1"/>
  <c r="AX128" i="3" s="1"/>
  <c r="AD128" i="3"/>
  <c r="U128" i="3"/>
  <c r="L128" i="3"/>
  <c r="C128" i="3"/>
  <c r="BE127" i="3"/>
  <c r="AX127" i="3"/>
  <c r="AW127" i="3"/>
  <c r="AV127" i="3"/>
  <c r="AQ127" i="3"/>
  <c r="AR127" i="3" s="1"/>
  <c r="AD127" i="3"/>
  <c r="U127" i="3"/>
  <c r="L127" i="3"/>
  <c r="C127" i="3"/>
  <c r="BE126" i="3"/>
  <c r="AX126" i="3"/>
  <c r="AW126" i="3"/>
  <c r="AV126" i="3"/>
  <c r="AQ126" i="3"/>
  <c r="AR126" i="3" s="1"/>
  <c r="AD126" i="3"/>
  <c r="U126" i="3"/>
  <c r="L126" i="3"/>
  <c r="C126" i="3"/>
  <c r="BE125" i="3"/>
  <c r="AX125" i="3"/>
  <c r="AW125" i="3"/>
  <c r="AV125" i="3"/>
  <c r="AQ125" i="3"/>
  <c r="AR125" i="3" s="1"/>
  <c r="AD125" i="3"/>
  <c r="U125" i="3"/>
  <c r="L125" i="3"/>
  <c r="C125" i="3"/>
  <c r="BE124" i="3"/>
  <c r="AW124" i="3"/>
  <c r="AW150" i="3" s="1"/>
  <c r="AV124" i="3"/>
  <c r="AQ124" i="3"/>
  <c r="AR124" i="3" s="1"/>
  <c r="AD124" i="3"/>
  <c r="U124" i="3"/>
  <c r="L124" i="3"/>
  <c r="C124" i="3"/>
  <c r="BE123" i="3"/>
  <c r="AW123" i="3"/>
  <c r="AV123" i="3"/>
  <c r="AQ123" i="3"/>
  <c r="AR123" i="3" s="1"/>
  <c r="AX123" i="3" s="1"/>
  <c r="AD123" i="3"/>
  <c r="U123" i="3"/>
  <c r="L123" i="3"/>
  <c r="C123" i="3"/>
  <c r="BE122" i="3"/>
  <c r="AW122" i="3"/>
  <c r="AV122" i="3"/>
  <c r="AQ122" i="3"/>
  <c r="AR122" i="3" s="1"/>
  <c r="AX122" i="3" s="1"/>
  <c r="AD122" i="3"/>
  <c r="U122" i="3"/>
  <c r="L122" i="3"/>
  <c r="C122" i="3"/>
  <c r="BE121" i="3"/>
  <c r="AX121" i="3"/>
  <c r="AW121" i="3"/>
  <c r="AV121" i="3"/>
  <c r="AQ121" i="3"/>
  <c r="AR121" i="3" s="1"/>
  <c r="AD121" i="3"/>
  <c r="U121" i="3"/>
  <c r="L121" i="3"/>
  <c r="C121" i="3"/>
  <c r="C151" i="3" s="1"/>
  <c r="BE120" i="3"/>
  <c r="AW120" i="3"/>
  <c r="AV120" i="3"/>
  <c r="AV152" i="3" s="1"/>
  <c r="AQ120" i="3"/>
  <c r="AQ151" i="3" s="1"/>
  <c r="AD120" i="3"/>
  <c r="AD151" i="3" s="1"/>
  <c r="U120" i="3"/>
  <c r="U150" i="3" s="1"/>
  <c r="L120" i="3"/>
  <c r="C120" i="3"/>
  <c r="BL119" i="3"/>
  <c r="BK119" i="3"/>
  <c r="BK8" i="3" s="1"/>
  <c r="BJ119" i="3"/>
  <c r="BI119" i="3"/>
  <c r="BH119" i="3"/>
  <c r="BG119" i="3"/>
  <c r="BF119" i="3"/>
  <c r="BD119" i="3"/>
  <c r="AS119" i="3"/>
  <c r="AN119" i="3"/>
  <c r="BL118" i="3"/>
  <c r="BK118" i="3"/>
  <c r="BJ118" i="3"/>
  <c r="BI118" i="3"/>
  <c r="BI9" i="3" s="1"/>
  <c r="BH118" i="3"/>
  <c r="BG118" i="3"/>
  <c r="BF118" i="3"/>
  <c r="BD118" i="3"/>
  <c r="BC118" i="3"/>
  <c r="BB118" i="3"/>
  <c r="BA118" i="3"/>
  <c r="AZ118" i="3"/>
  <c r="AY118" i="3"/>
  <c r="AU118" i="3"/>
  <c r="AT118" i="3"/>
  <c r="AS118" i="3"/>
  <c r="AP118" i="3"/>
  <c r="AO118" i="3"/>
  <c r="AN118" i="3"/>
  <c r="AM118" i="3"/>
  <c r="AL118" i="3"/>
  <c r="AK118" i="3"/>
  <c r="AJ118" i="3"/>
  <c r="AI118" i="3"/>
  <c r="AH118" i="3"/>
  <c r="AG118" i="3"/>
  <c r="AF118" i="3"/>
  <c r="AE118" i="3"/>
  <c r="AC118" i="3"/>
  <c r="AB118" i="3"/>
  <c r="AA118" i="3"/>
  <c r="Z118" i="3"/>
  <c r="Y118" i="3"/>
  <c r="X118" i="3"/>
  <c r="W118" i="3"/>
  <c r="V118" i="3"/>
  <c r="T118" i="3"/>
  <c r="S118" i="3"/>
  <c r="R118" i="3"/>
  <c r="Q118" i="3"/>
  <c r="P118" i="3"/>
  <c r="O118" i="3"/>
  <c r="N118" i="3"/>
  <c r="M118" i="3"/>
  <c r="K118" i="3"/>
  <c r="J118" i="3"/>
  <c r="I118" i="3"/>
  <c r="H118" i="3"/>
  <c r="G118" i="3"/>
  <c r="F118" i="3"/>
  <c r="E118" i="3"/>
  <c r="D118" i="3"/>
  <c r="C118" i="3"/>
  <c r="BL117" i="3"/>
  <c r="BK117" i="3"/>
  <c r="BJ117" i="3"/>
  <c r="BI117" i="3"/>
  <c r="BH117" i="3"/>
  <c r="BG117" i="3"/>
  <c r="BF117" i="3"/>
  <c r="BD117" i="3"/>
  <c r="BC117" i="3"/>
  <c r="BB117" i="3"/>
  <c r="BA117" i="3"/>
  <c r="AZ117" i="3"/>
  <c r="AY117" i="3"/>
  <c r="AU117" i="3"/>
  <c r="AT117" i="3"/>
  <c r="AS117" i="3"/>
  <c r="AP117" i="3"/>
  <c r="AO117" i="3"/>
  <c r="AN117" i="3"/>
  <c r="AM117" i="3"/>
  <c r="AL117" i="3"/>
  <c r="AK117" i="3"/>
  <c r="AJ117" i="3"/>
  <c r="AI117" i="3"/>
  <c r="AH117" i="3"/>
  <c r="AG117" i="3"/>
  <c r="AF117" i="3"/>
  <c r="AE117" i="3"/>
  <c r="AC117" i="3"/>
  <c r="AB117" i="3"/>
  <c r="AA117" i="3"/>
  <c r="Z117" i="3"/>
  <c r="Y117" i="3"/>
  <c r="X117" i="3"/>
  <c r="W117" i="3"/>
  <c r="V117" i="3"/>
  <c r="T117" i="3"/>
  <c r="S117" i="3"/>
  <c r="R117" i="3"/>
  <c r="Q117" i="3"/>
  <c r="P117" i="3"/>
  <c r="O117" i="3"/>
  <c r="N117" i="3"/>
  <c r="M117" i="3"/>
  <c r="K117" i="3"/>
  <c r="J117" i="3"/>
  <c r="I117" i="3"/>
  <c r="H117" i="3"/>
  <c r="G117" i="3"/>
  <c r="F117" i="3"/>
  <c r="E117" i="3"/>
  <c r="D117" i="3"/>
  <c r="C117" i="3"/>
  <c r="BL116" i="3"/>
  <c r="BK116" i="3"/>
  <c r="BJ116" i="3"/>
  <c r="BI116" i="3"/>
  <c r="BH116" i="3"/>
  <c r="BG116" i="3"/>
  <c r="BF116" i="3"/>
  <c r="BD116" i="3"/>
  <c r="BC116" i="3"/>
  <c r="BB116" i="3"/>
  <c r="BA116" i="3"/>
  <c r="AZ116" i="3"/>
  <c r="AY116" i="3"/>
  <c r="AU116" i="3"/>
  <c r="AT116" i="3"/>
  <c r="AS116" i="3"/>
  <c r="AP116" i="3"/>
  <c r="AO116" i="3"/>
  <c r="AN116" i="3"/>
  <c r="AM116" i="3"/>
  <c r="AL116" i="3"/>
  <c r="AK116" i="3"/>
  <c r="AJ116" i="3"/>
  <c r="AI116" i="3"/>
  <c r="AH116" i="3"/>
  <c r="AG116" i="3"/>
  <c r="AF116" i="3"/>
  <c r="AE116" i="3"/>
  <c r="AC116" i="3"/>
  <c r="AB116" i="3"/>
  <c r="AA116" i="3"/>
  <c r="Z116" i="3"/>
  <c r="Y116" i="3"/>
  <c r="X116" i="3"/>
  <c r="W116" i="3"/>
  <c r="V116" i="3"/>
  <c r="T116" i="3"/>
  <c r="S116" i="3"/>
  <c r="R116" i="3"/>
  <c r="Q116" i="3"/>
  <c r="P116" i="3"/>
  <c r="O116" i="3"/>
  <c r="N116" i="3"/>
  <c r="M116" i="3"/>
  <c r="K116" i="3"/>
  <c r="J116" i="3"/>
  <c r="I116" i="3"/>
  <c r="H116" i="3"/>
  <c r="G116" i="3"/>
  <c r="F116" i="3"/>
  <c r="E116" i="3"/>
  <c r="D116" i="3"/>
  <c r="C116" i="3"/>
  <c r="BE115" i="3"/>
  <c r="AW115" i="3"/>
  <c r="AV115" i="3"/>
  <c r="AR115" i="3"/>
  <c r="AQ115" i="3"/>
  <c r="AD115" i="3"/>
  <c r="U115" i="3"/>
  <c r="L115" i="3"/>
  <c r="BE114" i="3"/>
  <c r="AV114" i="3"/>
  <c r="AR114" i="3"/>
  <c r="AQ114" i="3"/>
  <c r="AD114" i="3"/>
  <c r="U114" i="3"/>
  <c r="L114" i="3"/>
  <c r="BE113" i="3"/>
  <c r="AV113" i="3"/>
  <c r="AW113" i="3" s="1"/>
  <c r="AR113" i="3"/>
  <c r="AQ113" i="3"/>
  <c r="AD113" i="3"/>
  <c r="U113" i="3"/>
  <c r="L113" i="3"/>
  <c r="BE112" i="3"/>
  <c r="AV112" i="3"/>
  <c r="AQ112" i="3"/>
  <c r="AR112" i="3" s="1"/>
  <c r="AD112" i="3"/>
  <c r="U112" i="3"/>
  <c r="L112" i="3"/>
  <c r="BE111" i="3"/>
  <c r="AX111" i="3"/>
  <c r="AV111" i="3"/>
  <c r="AW111" i="3" s="1"/>
  <c r="AR111" i="3"/>
  <c r="AQ111" i="3"/>
  <c r="AD111" i="3"/>
  <c r="U111" i="3"/>
  <c r="L111" i="3"/>
  <c r="BE110" i="3"/>
  <c r="AW110" i="3"/>
  <c r="AV110" i="3"/>
  <c r="AQ110" i="3"/>
  <c r="AR110" i="3" s="1"/>
  <c r="AD110" i="3"/>
  <c r="U110" i="3"/>
  <c r="L110" i="3"/>
  <c r="BE109" i="3"/>
  <c r="AW109" i="3"/>
  <c r="AV109" i="3"/>
  <c r="AX109" i="3" s="1"/>
  <c r="AQ109" i="3"/>
  <c r="AR109" i="3" s="1"/>
  <c r="AD109" i="3"/>
  <c r="U109" i="3"/>
  <c r="L109" i="3"/>
  <c r="BE108" i="3"/>
  <c r="AV108" i="3"/>
  <c r="AR108" i="3"/>
  <c r="AQ108" i="3"/>
  <c r="AD108" i="3"/>
  <c r="U108" i="3"/>
  <c r="L108" i="3"/>
  <c r="BE107" i="3"/>
  <c r="AW107" i="3"/>
  <c r="AV107" i="3"/>
  <c r="AQ107" i="3"/>
  <c r="AR107" i="3" s="1"/>
  <c r="AD107" i="3"/>
  <c r="U107" i="3"/>
  <c r="L107" i="3"/>
  <c r="BE106" i="3"/>
  <c r="AX106" i="3"/>
  <c r="AV106" i="3"/>
  <c r="AW106" i="3" s="1"/>
  <c r="AQ106" i="3"/>
  <c r="AR106" i="3" s="1"/>
  <c r="AD106" i="3"/>
  <c r="U106" i="3"/>
  <c r="L106" i="3"/>
  <c r="BE105" i="3"/>
  <c r="AW105" i="3"/>
  <c r="AV105" i="3"/>
  <c r="AR105" i="3"/>
  <c r="AX105" i="3" s="1"/>
  <c r="AQ105" i="3"/>
  <c r="AD105" i="3"/>
  <c r="U105" i="3"/>
  <c r="L105" i="3"/>
  <c r="BE104" i="3"/>
  <c r="AV104" i="3"/>
  <c r="AQ104" i="3"/>
  <c r="AR104" i="3" s="1"/>
  <c r="AD104" i="3"/>
  <c r="U104" i="3"/>
  <c r="L104" i="3"/>
  <c r="BE103" i="3"/>
  <c r="AW103" i="3"/>
  <c r="AV103" i="3"/>
  <c r="AR103" i="3"/>
  <c r="AQ103" i="3"/>
  <c r="AD103" i="3"/>
  <c r="U103" i="3"/>
  <c r="L103" i="3"/>
  <c r="BE102" i="3"/>
  <c r="AV102" i="3"/>
  <c r="AQ102" i="3"/>
  <c r="AR102" i="3" s="1"/>
  <c r="AD102" i="3"/>
  <c r="U102" i="3"/>
  <c r="L102" i="3"/>
  <c r="BE101" i="3"/>
  <c r="AV101" i="3"/>
  <c r="AW101" i="3" s="1"/>
  <c r="AR101" i="3"/>
  <c r="AQ101" i="3"/>
  <c r="AD101" i="3"/>
  <c r="U101" i="3"/>
  <c r="L101" i="3"/>
  <c r="BE100" i="3"/>
  <c r="AW100" i="3"/>
  <c r="AV100" i="3"/>
  <c r="AQ100" i="3"/>
  <c r="AR100" i="3" s="1"/>
  <c r="AD100" i="3"/>
  <c r="U100" i="3"/>
  <c r="L100" i="3"/>
  <c r="BE99" i="3"/>
  <c r="AX99" i="3"/>
  <c r="AV99" i="3"/>
  <c r="AW99" i="3" s="1"/>
  <c r="AR99" i="3"/>
  <c r="AQ99" i="3"/>
  <c r="AD99" i="3"/>
  <c r="U99" i="3"/>
  <c r="L99" i="3"/>
  <c r="BE98" i="3"/>
  <c r="AW98" i="3"/>
  <c r="AX98" i="3" s="1"/>
  <c r="AV98" i="3"/>
  <c r="AR98" i="3"/>
  <c r="AQ98" i="3"/>
  <c r="AD98" i="3"/>
  <c r="U98" i="3"/>
  <c r="L98" i="3"/>
  <c r="BE97" i="3"/>
  <c r="AV97" i="3"/>
  <c r="AQ97" i="3"/>
  <c r="AR97" i="3" s="1"/>
  <c r="AD97" i="3"/>
  <c r="U97" i="3"/>
  <c r="L97" i="3"/>
  <c r="BE96" i="3"/>
  <c r="AW96" i="3"/>
  <c r="AV96" i="3"/>
  <c r="AR96" i="3"/>
  <c r="AQ96" i="3"/>
  <c r="AD96" i="3"/>
  <c r="U96" i="3"/>
  <c r="L96" i="3"/>
  <c r="BE95" i="3"/>
  <c r="AV95" i="3"/>
  <c r="AR95" i="3"/>
  <c r="AQ95" i="3"/>
  <c r="AD95" i="3"/>
  <c r="U95" i="3"/>
  <c r="L95" i="3"/>
  <c r="BE94" i="3"/>
  <c r="BE117" i="3" s="1"/>
  <c r="AV94" i="3"/>
  <c r="AW94" i="3" s="1"/>
  <c r="AR94" i="3"/>
  <c r="AQ94" i="3"/>
  <c r="AD94" i="3"/>
  <c r="U94" i="3"/>
  <c r="L94" i="3"/>
  <c r="BE93" i="3"/>
  <c r="AW93" i="3"/>
  <c r="AV93" i="3"/>
  <c r="AR93" i="3"/>
  <c r="AX93" i="3" s="1"/>
  <c r="AQ93" i="3"/>
  <c r="AD93" i="3"/>
  <c r="U93" i="3"/>
  <c r="L93" i="3"/>
  <c r="BE92" i="3"/>
  <c r="AX92" i="3"/>
  <c r="AW92" i="3"/>
  <c r="AV92" i="3"/>
  <c r="AQ92" i="3"/>
  <c r="AR92" i="3" s="1"/>
  <c r="AD92" i="3"/>
  <c r="U92" i="3"/>
  <c r="L92" i="3"/>
  <c r="BE91" i="3"/>
  <c r="AW91" i="3"/>
  <c r="AV91" i="3"/>
  <c r="AR91" i="3"/>
  <c r="AQ91" i="3"/>
  <c r="AD91" i="3"/>
  <c r="U91" i="3"/>
  <c r="L91" i="3"/>
  <c r="BE90" i="3"/>
  <c r="AV90" i="3"/>
  <c r="AR90" i="3"/>
  <c r="AQ90" i="3"/>
  <c r="AD90" i="3"/>
  <c r="U90" i="3"/>
  <c r="L90" i="3"/>
  <c r="BE89" i="3"/>
  <c r="AV89" i="3"/>
  <c r="AW89" i="3" s="1"/>
  <c r="AQ89" i="3"/>
  <c r="AR89" i="3" s="1"/>
  <c r="AX89" i="3" s="1"/>
  <c r="AD89" i="3"/>
  <c r="U89" i="3"/>
  <c r="L89" i="3"/>
  <c r="BE88" i="3"/>
  <c r="AW88" i="3"/>
  <c r="AV88" i="3"/>
  <c r="AQ88" i="3"/>
  <c r="AR88" i="3" s="1"/>
  <c r="AX88" i="3" s="1"/>
  <c r="AD88" i="3"/>
  <c r="U88" i="3"/>
  <c r="L88" i="3"/>
  <c r="BE87" i="3"/>
  <c r="AX87" i="3"/>
  <c r="AV87" i="3"/>
  <c r="AW87" i="3" s="1"/>
  <c r="AQ87" i="3"/>
  <c r="AR87" i="3" s="1"/>
  <c r="AD87" i="3"/>
  <c r="U87" i="3"/>
  <c r="U117" i="3" s="1"/>
  <c r="L87" i="3"/>
  <c r="BE86" i="3"/>
  <c r="AX86" i="3"/>
  <c r="AW86" i="3"/>
  <c r="AV86" i="3"/>
  <c r="AR86" i="3"/>
  <c r="AQ86" i="3"/>
  <c r="AD86" i="3"/>
  <c r="U86" i="3"/>
  <c r="L86" i="3"/>
  <c r="BE85" i="3"/>
  <c r="AW85" i="3"/>
  <c r="AV85" i="3"/>
  <c r="AQ85" i="3"/>
  <c r="AD85" i="3"/>
  <c r="U85" i="3"/>
  <c r="L85" i="3"/>
  <c r="BL84" i="3"/>
  <c r="BK84" i="3"/>
  <c r="BJ84" i="3"/>
  <c r="BI84" i="3"/>
  <c r="BH84" i="3"/>
  <c r="BG84" i="3"/>
  <c r="BF84" i="3"/>
  <c r="BD84" i="3"/>
  <c r="AS84" i="3"/>
  <c r="AN84" i="3"/>
  <c r="BL83" i="3"/>
  <c r="BK83" i="3"/>
  <c r="BJ83" i="3"/>
  <c r="BI83" i="3"/>
  <c r="BH83" i="3"/>
  <c r="BG83" i="3"/>
  <c r="BF83" i="3"/>
  <c r="BD83" i="3"/>
  <c r="BC83" i="3"/>
  <c r="BB83" i="3"/>
  <c r="BA83" i="3"/>
  <c r="AZ83" i="3"/>
  <c r="AY83" i="3"/>
  <c r="AU83" i="3"/>
  <c r="AT83" i="3"/>
  <c r="AS83" i="3"/>
  <c r="AP83" i="3"/>
  <c r="AP9" i="3" s="1"/>
  <c r="AO83" i="3"/>
  <c r="AN83" i="3"/>
  <c r="AM83" i="3"/>
  <c r="AL83" i="3"/>
  <c r="AK83" i="3"/>
  <c r="AJ83" i="3"/>
  <c r="AI83" i="3"/>
  <c r="AH83" i="3"/>
  <c r="AG83" i="3"/>
  <c r="AF83" i="3"/>
  <c r="AE83" i="3"/>
  <c r="AC83" i="3"/>
  <c r="AB83" i="3"/>
  <c r="AA83" i="3"/>
  <c r="Z83" i="3"/>
  <c r="Y83" i="3"/>
  <c r="X83" i="3"/>
  <c r="W83" i="3"/>
  <c r="V83" i="3"/>
  <c r="T83" i="3"/>
  <c r="S83" i="3"/>
  <c r="R83" i="3"/>
  <c r="Q83" i="3"/>
  <c r="P83" i="3"/>
  <c r="O83" i="3"/>
  <c r="N83" i="3"/>
  <c r="M83" i="3"/>
  <c r="K83" i="3"/>
  <c r="J83" i="3"/>
  <c r="I83" i="3"/>
  <c r="H83" i="3"/>
  <c r="G83" i="3"/>
  <c r="F83" i="3"/>
  <c r="E83" i="3"/>
  <c r="D83" i="3"/>
  <c r="D10" i="3" s="1"/>
  <c r="BL82" i="3"/>
  <c r="BK82" i="3"/>
  <c r="BJ82" i="3"/>
  <c r="BI82" i="3"/>
  <c r="BH82" i="3"/>
  <c r="BG82" i="3"/>
  <c r="BF82" i="3"/>
  <c r="BD82" i="3"/>
  <c r="BC82" i="3"/>
  <c r="BB82" i="3"/>
  <c r="BA82" i="3"/>
  <c r="AZ82" i="3"/>
  <c r="AZ10" i="3" s="1"/>
  <c r="AY82" i="3"/>
  <c r="AU82" i="3"/>
  <c r="AT82" i="3"/>
  <c r="AS82" i="3"/>
  <c r="AP82" i="3"/>
  <c r="AO82" i="3"/>
  <c r="AN82" i="3"/>
  <c r="AM82" i="3"/>
  <c r="AL82" i="3"/>
  <c r="AK82" i="3"/>
  <c r="AJ82" i="3"/>
  <c r="AI82" i="3"/>
  <c r="AH82" i="3"/>
  <c r="AG82" i="3"/>
  <c r="AF82" i="3"/>
  <c r="AE82" i="3"/>
  <c r="AC82" i="3"/>
  <c r="AB82" i="3"/>
  <c r="AA82" i="3"/>
  <c r="Z82" i="3"/>
  <c r="Y82" i="3"/>
  <c r="X82" i="3"/>
  <c r="W82" i="3"/>
  <c r="V82" i="3"/>
  <c r="T82" i="3"/>
  <c r="S82" i="3"/>
  <c r="R82" i="3"/>
  <c r="Q82" i="3"/>
  <c r="P82" i="3"/>
  <c r="O82" i="3"/>
  <c r="N82" i="3"/>
  <c r="M82" i="3"/>
  <c r="K82" i="3"/>
  <c r="J82" i="3"/>
  <c r="I82" i="3"/>
  <c r="H82" i="3"/>
  <c r="G82" i="3"/>
  <c r="F82" i="3"/>
  <c r="E82" i="3"/>
  <c r="D82" i="3"/>
  <c r="BL81" i="3"/>
  <c r="BK81" i="3"/>
  <c r="BJ81" i="3"/>
  <c r="BI81" i="3"/>
  <c r="BH81" i="3"/>
  <c r="BG81" i="3"/>
  <c r="BF81" i="3"/>
  <c r="BD81" i="3"/>
  <c r="BC81" i="3"/>
  <c r="BB81" i="3"/>
  <c r="BA81" i="3"/>
  <c r="AZ81" i="3"/>
  <c r="AY81" i="3"/>
  <c r="AU81" i="3"/>
  <c r="AT81" i="3"/>
  <c r="AS81" i="3"/>
  <c r="AP81" i="3"/>
  <c r="AO81" i="3"/>
  <c r="AN81" i="3"/>
  <c r="AM81" i="3"/>
  <c r="AL81" i="3"/>
  <c r="AK81" i="3"/>
  <c r="AJ81" i="3"/>
  <c r="AI81" i="3"/>
  <c r="AH81" i="3"/>
  <c r="AG81" i="3"/>
  <c r="AF81" i="3"/>
  <c r="AE81" i="3"/>
  <c r="AC81" i="3"/>
  <c r="AB81" i="3"/>
  <c r="AB8" i="3" s="1"/>
  <c r="AA81" i="3"/>
  <c r="Z81" i="3"/>
  <c r="Y81" i="3"/>
  <c r="X81" i="3"/>
  <c r="W81" i="3"/>
  <c r="V81" i="3"/>
  <c r="T81" i="3"/>
  <c r="S81" i="3"/>
  <c r="R81" i="3"/>
  <c r="Q81" i="3"/>
  <c r="P81" i="3"/>
  <c r="O81" i="3"/>
  <c r="N81" i="3"/>
  <c r="M81" i="3"/>
  <c r="K81" i="3"/>
  <c r="J81" i="3"/>
  <c r="I81" i="3"/>
  <c r="H81" i="3"/>
  <c r="G81" i="3"/>
  <c r="F81" i="3"/>
  <c r="E81" i="3"/>
  <c r="D81" i="3"/>
  <c r="BE80" i="3"/>
  <c r="AV80" i="3"/>
  <c r="AW80" i="3" s="1"/>
  <c r="AR80" i="3"/>
  <c r="AX80" i="3" s="1"/>
  <c r="AQ80" i="3"/>
  <c r="AD80" i="3"/>
  <c r="U80" i="3"/>
  <c r="L80" i="3"/>
  <c r="C80" i="3"/>
  <c r="A80" i="3"/>
  <c r="BE79" i="3"/>
  <c r="AW79" i="3"/>
  <c r="AV79" i="3"/>
  <c r="AX79" i="3" s="1"/>
  <c r="AQ79" i="3"/>
  <c r="AR79" i="3" s="1"/>
  <c r="AD79" i="3"/>
  <c r="U79" i="3"/>
  <c r="L79" i="3"/>
  <c r="C79" i="3"/>
  <c r="BE78" i="3"/>
  <c r="AW78" i="3"/>
  <c r="AV78" i="3"/>
  <c r="AQ78" i="3"/>
  <c r="AR78" i="3" s="1"/>
  <c r="AD78" i="3"/>
  <c r="U78" i="3"/>
  <c r="L78" i="3"/>
  <c r="C78" i="3"/>
  <c r="BE77" i="3"/>
  <c r="AW77" i="3"/>
  <c r="AV77" i="3"/>
  <c r="AX77" i="3" s="1"/>
  <c r="AQ77" i="3"/>
  <c r="AR77" i="3" s="1"/>
  <c r="AD77" i="3"/>
  <c r="U77" i="3"/>
  <c r="L77" i="3"/>
  <c r="C77" i="3"/>
  <c r="BE76" i="3"/>
  <c r="AW76" i="3"/>
  <c r="AV76" i="3"/>
  <c r="AX76" i="3" s="1"/>
  <c r="AQ76" i="3"/>
  <c r="AR76" i="3" s="1"/>
  <c r="AD76" i="3"/>
  <c r="U76" i="3"/>
  <c r="L76" i="3"/>
  <c r="C76" i="3"/>
  <c r="BE75" i="3"/>
  <c r="AW75" i="3"/>
  <c r="AV75" i="3"/>
  <c r="AX75" i="3" s="1"/>
  <c r="AQ75" i="3"/>
  <c r="AR75" i="3" s="1"/>
  <c r="AD75" i="3"/>
  <c r="U75" i="3"/>
  <c r="L75" i="3"/>
  <c r="C75" i="3"/>
  <c r="BE74" i="3"/>
  <c r="AW74" i="3"/>
  <c r="AV74" i="3"/>
  <c r="AQ74" i="3"/>
  <c r="AR74" i="3" s="1"/>
  <c r="AD74" i="3"/>
  <c r="U74" i="3"/>
  <c r="L74" i="3"/>
  <c r="C74" i="3"/>
  <c r="BE73" i="3"/>
  <c r="AW73" i="3"/>
  <c r="AV73" i="3"/>
  <c r="AX73" i="3" s="1"/>
  <c r="AQ73" i="3"/>
  <c r="AR73" i="3" s="1"/>
  <c r="AD73" i="3"/>
  <c r="U73" i="3"/>
  <c r="L73" i="3"/>
  <c r="C73" i="3"/>
  <c r="BE72" i="3"/>
  <c r="AW72" i="3"/>
  <c r="AV72" i="3"/>
  <c r="AQ72" i="3"/>
  <c r="AR72" i="3" s="1"/>
  <c r="AD72" i="3"/>
  <c r="U72" i="3"/>
  <c r="L72" i="3"/>
  <c r="C72" i="3"/>
  <c r="BE71" i="3"/>
  <c r="AW71" i="3"/>
  <c r="AV71" i="3"/>
  <c r="AX71" i="3" s="1"/>
  <c r="AQ71" i="3"/>
  <c r="AR71" i="3" s="1"/>
  <c r="AD71" i="3"/>
  <c r="U71" i="3"/>
  <c r="L71" i="3"/>
  <c r="C71" i="3"/>
  <c r="BE70" i="3"/>
  <c r="AV70" i="3"/>
  <c r="AQ70" i="3"/>
  <c r="AR70" i="3" s="1"/>
  <c r="AD70" i="3"/>
  <c r="U70" i="3"/>
  <c r="L70" i="3"/>
  <c r="C70" i="3"/>
  <c r="BE69" i="3"/>
  <c r="AW69" i="3"/>
  <c r="AV69" i="3"/>
  <c r="AQ69" i="3"/>
  <c r="AR69" i="3" s="1"/>
  <c r="AD69" i="3"/>
  <c r="U69" i="3"/>
  <c r="L69" i="3"/>
  <c r="C69" i="3"/>
  <c r="BE68" i="3"/>
  <c r="AW68" i="3"/>
  <c r="AV68" i="3"/>
  <c r="AQ68" i="3"/>
  <c r="AR68" i="3" s="1"/>
  <c r="AD68" i="3"/>
  <c r="U68" i="3"/>
  <c r="L68" i="3"/>
  <c r="C68" i="3"/>
  <c r="BE67" i="3"/>
  <c r="AV67" i="3"/>
  <c r="AQ67" i="3"/>
  <c r="AR67" i="3" s="1"/>
  <c r="AD67" i="3"/>
  <c r="U67" i="3"/>
  <c r="L67" i="3"/>
  <c r="C67" i="3"/>
  <c r="BE66" i="3"/>
  <c r="AW66" i="3"/>
  <c r="AV66" i="3"/>
  <c r="AQ66" i="3"/>
  <c r="AR66" i="3" s="1"/>
  <c r="AD66" i="3"/>
  <c r="U66" i="3"/>
  <c r="L66" i="3"/>
  <c r="C66" i="3"/>
  <c r="BE65" i="3"/>
  <c r="AV65" i="3"/>
  <c r="AQ65" i="3"/>
  <c r="AR65" i="3" s="1"/>
  <c r="AD65" i="3"/>
  <c r="U65" i="3"/>
  <c r="L65" i="3"/>
  <c r="C65" i="3"/>
  <c r="BE64" i="3"/>
  <c r="AW64" i="3"/>
  <c r="AV64" i="3"/>
  <c r="AQ64" i="3"/>
  <c r="AR64" i="3" s="1"/>
  <c r="AD64" i="3"/>
  <c r="U64" i="3"/>
  <c r="L64" i="3"/>
  <c r="C64" i="3"/>
  <c r="BE63" i="3"/>
  <c r="AW63" i="3"/>
  <c r="AV63" i="3"/>
  <c r="AQ63" i="3"/>
  <c r="AR63" i="3" s="1"/>
  <c r="AD63" i="3"/>
  <c r="AD83" i="3" s="1"/>
  <c r="U63" i="3"/>
  <c r="L63" i="3"/>
  <c r="C63" i="3"/>
  <c r="BE62" i="3"/>
  <c r="AW62" i="3"/>
  <c r="AV62" i="3"/>
  <c r="AQ62" i="3"/>
  <c r="AR62" i="3" s="1"/>
  <c r="AD62" i="3"/>
  <c r="U62" i="3"/>
  <c r="L62" i="3"/>
  <c r="C62" i="3"/>
  <c r="BE61" i="3"/>
  <c r="AV61" i="3"/>
  <c r="AQ61" i="3"/>
  <c r="AR61" i="3" s="1"/>
  <c r="AD61" i="3"/>
  <c r="U61" i="3"/>
  <c r="L61" i="3"/>
  <c r="C61" i="3"/>
  <c r="BE60" i="3"/>
  <c r="AW60" i="3"/>
  <c r="AV60" i="3"/>
  <c r="AQ60" i="3"/>
  <c r="AR60" i="3" s="1"/>
  <c r="AD60" i="3"/>
  <c r="U60" i="3"/>
  <c r="L60" i="3"/>
  <c r="C60" i="3"/>
  <c r="BE59" i="3"/>
  <c r="AV59" i="3"/>
  <c r="AQ59" i="3"/>
  <c r="AR59" i="3" s="1"/>
  <c r="AD59" i="3"/>
  <c r="U59" i="3"/>
  <c r="L59" i="3"/>
  <c r="C59" i="3"/>
  <c r="C82" i="3" s="1"/>
  <c r="BE58" i="3"/>
  <c r="AV58" i="3"/>
  <c r="AQ58" i="3"/>
  <c r="AR58" i="3" s="1"/>
  <c r="AD58" i="3"/>
  <c r="U58" i="3"/>
  <c r="L58" i="3"/>
  <c r="C58" i="3"/>
  <c r="BE57" i="3"/>
  <c r="AW57" i="3"/>
  <c r="AV57" i="3"/>
  <c r="AQ57" i="3"/>
  <c r="AR57" i="3" s="1"/>
  <c r="AD57" i="3"/>
  <c r="U57" i="3"/>
  <c r="L57" i="3"/>
  <c r="C57" i="3"/>
  <c r="BE56" i="3"/>
  <c r="AW56" i="3"/>
  <c r="AV56" i="3"/>
  <c r="AQ56" i="3"/>
  <c r="AR56" i="3" s="1"/>
  <c r="AD56" i="3"/>
  <c r="U56" i="3"/>
  <c r="L56" i="3"/>
  <c r="C56" i="3"/>
  <c r="BE55" i="3"/>
  <c r="AV55" i="3"/>
  <c r="AQ55" i="3"/>
  <c r="AR55" i="3" s="1"/>
  <c r="AD55" i="3"/>
  <c r="U55" i="3"/>
  <c r="L55" i="3"/>
  <c r="C55" i="3"/>
  <c r="BE54" i="3"/>
  <c r="AV54" i="3"/>
  <c r="AQ54" i="3"/>
  <c r="AR54" i="3" s="1"/>
  <c r="AD54" i="3"/>
  <c r="U54" i="3"/>
  <c r="L54" i="3"/>
  <c r="C54" i="3"/>
  <c r="BE53" i="3"/>
  <c r="AV53" i="3"/>
  <c r="AQ53" i="3"/>
  <c r="AR53" i="3" s="1"/>
  <c r="AD53" i="3"/>
  <c r="U53" i="3"/>
  <c r="L53" i="3"/>
  <c r="C53" i="3"/>
  <c r="BE52" i="3"/>
  <c r="AW52" i="3"/>
  <c r="AV52" i="3"/>
  <c r="AQ52" i="3"/>
  <c r="AD52" i="3"/>
  <c r="U52" i="3"/>
  <c r="L52" i="3"/>
  <c r="C52" i="3"/>
  <c r="BL51" i="3"/>
  <c r="BK51" i="3"/>
  <c r="BJ51" i="3"/>
  <c r="BI51" i="3"/>
  <c r="BI11" i="3" s="1"/>
  <c r="BH51" i="3"/>
  <c r="BG51" i="3"/>
  <c r="BF51" i="3"/>
  <c r="BF9" i="3" s="1"/>
  <c r="BD51" i="3"/>
  <c r="AS51" i="3"/>
  <c r="AN51" i="3"/>
  <c r="BL50" i="3"/>
  <c r="BK50" i="3"/>
  <c r="BJ50" i="3"/>
  <c r="BI50" i="3"/>
  <c r="BH50" i="3"/>
  <c r="BH10" i="3" s="1"/>
  <c r="BG50" i="3"/>
  <c r="BF50" i="3"/>
  <c r="BD50" i="3"/>
  <c r="BC50" i="3"/>
  <c r="BB50" i="3"/>
  <c r="BA50" i="3"/>
  <c r="AZ50" i="3"/>
  <c r="AY50" i="3"/>
  <c r="AU50" i="3"/>
  <c r="AT50" i="3"/>
  <c r="AS50" i="3"/>
  <c r="AP50" i="3"/>
  <c r="AO50" i="3"/>
  <c r="AN50" i="3"/>
  <c r="AM50" i="3"/>
  <c r="AL50" i="3"/>
  <c r="AK50" i="3"/>
  <c r="AJ50" i="3"/>
  <c r="AI50" i="3"/>
  <c r="AH50" i="3"/>
  <c r="AG50" i="3"/>
  <c r="AF50" i="3"/>
  <c r="AF10" i="3" s="1"/>
  <c r="AE50" i="3"/>
  <c r="AC50" i="3"/>
  <c r="AB50" i="3"/>
  <c r="AA50" i="3"/>
  <c r="Z50" i="3"/>
  <c r="Y50" i="3"/>
  <c r="X50" i="3"/>
  <c r="W50" i="3"/>
  <c r="V50" i="3"/>
  <c r="T50" i="3"/>
  <c r="S50" i="3"/>
  <c r="S10" i="3" s="1"/>
  <c r="R50" i="3"/>
  <c r="Q50" i="3"/>
  <c r="P50" i="3"/>
  <c r="O50" i="3"/>
  <c r="N50" i="3"/>
  <c r="M50" i="3"/>
  <c r="K50" i="3"/>
  <c r="J50" i="3"/>
  <c r="I50" i="3"/>
  <c r="H50" i="3"/>
  <c r="G50" i="3"/>
  <c r="G10" i="3" s="1"/>
  <c r="F50" i="3"/>
  <c r="E50" i="3"/>
  <c r="D50" i="3"/>
  <c r="BL49" i="3"/>
  <c r="BK49" i="3"/>
  <c r="BJ49" i="3"/>
  <c r="BI49" i="3"/>
  <c r="BH49" i="3"/>
  <c r="BG49" i="3"/>
  <c r="BG10" i="3" s="1"/>
  <c r="BF49" i="3"/>
  <c r="BD49" i="3"/>
  <c r="BC49" i="3"/>
  <c r="BB49" i="3"/>
  <c r="BA49" i="3"/>
  <c r="AZ49" i="3"/>
  <c r="AY49" i="3"/>
  <c r="AU49" i="3"/>
  <c r="AT49" i="3"/>
  <c r="AS49" i="3"/>
  <c r="AP49" i="3"/>
  <c r="AO49" i="3"/>
  <c r="AN49" i="3"/>
  <c r="AM49" i="3"/>
  <c r="AL49" i="3"/>
  <c r="AK49" i="3"/>
  <c r="AJ49" i="3"/>
  <c r="AI49" i="3"/>
  <c r="AH49" i="3"/>
  <c r="AG49" i="3"/>
  <c r="AG10" i="3" s="1"/>
  <c r="AF49" i="3"/>
  <c r="AE49" i="3"/>
  <c r="AC49" i="3"/>
  <c r="AB49" i="3"/>
  <c r="AA49" i="3"/>
  <c r="Z49" i="3"/>
  <c r="Y49" i="3"/>
  <c r="X49" i="3"/>
  <c r="W49" i="3"/>
  <c r="V49" i="3"/>
  <c r="T49" i="3"/>
  <c r="T10" i="3" s="1"/>
  <c r="S49" i="3"/>
  <c r="R49" i="3"/>
  <c r="Q49" i="3"/>
  <c r="P49" i="3"/>
  <c r="O49" i="3"/>
  <c r="N49" i="3"/>
  <c r="M49" i="3"/>
  <c r="K49" i="3"/>
  <c r="J49" i="3"/>
  <c r="I49" i="3"/>
  <c r="H49" i="3"/>
  <c r="G49" i="3"/>
  <c r="F49" i="3"/>
  <c r="E49" i="3"/>
  <c r="D49" i="3"/>
  <c r="BL48" i="3"/>
  <c r="BL12" i="3" s="1"/>
  <c r="BK48" i="3"/>
  <c r="BJ48" i="3"/>
  <c r="BJ10" i="3" s="1"/>
  <c r="BI48" i="3"/>
  <c r="BH48" i="3"/>
  <c r="BG48" i="3"/>
  <c r="BF48" i="3"/>
  <c r="BD48" i="3"/>
  <c r="BC48" i="3"/>
  <c r="BB48" i="3"/>
  <c r="BA48" i="3"/>
  <c r="AZ48" i="3"/>
  <c r="AY48" i="3"/>
  <c r="AU48" i="3"/>
  <c r="AT48" i="3"/>
  <c r="AT10" i="3" s="1"/>
  <c r="AS48" i="3"/>
  <c r="AP48" i="3"/>
  <c r="AO48" i="3"/>
  <c r="AO9" i="3" s="1"/>
  <c r="AN48" i="3"/>
  <c r="AN12" i="3" s="1"/>
  <c r="AM48" i="3"/>
  <c r="AL48" i="3"/>
  <c r="AL10" i="3" s="1"/>
  <c r="AK48" i="3"/>
  <c r="AJ48" i="3"/>
  <c r="AJ10" i="3" s="1"/>
  <c r="AI48" i="3"/>
  <c r="AH48" i="3"/>
  <c r="AG48" i="3"/>
  <c r="AF48" i="3"/>
  <c r="AE48" i="3"/>
  <c r="AC48" i="3"/>
  <c r="AC10" i="3" s="1"/>
  <c r="AB48" i="3"/>
  <c r="AA48" i="3"/>
  <c r="Z48" i="3"/>
  <c r="Z10" i="3" s="1"/>
  <c r="Y48" i="3"/>
  <c r="X48" i="3"/>
  <c r="W48" i="3"/>
  <c r="V48" i="3"/>
  <c r="T48" i="3"/>
  <c r="S48" i="3"/>
  <c r="R48" i="3"/>
  <c r="Q48" i="3"/>
  <c r="Q10" i="3" s="1"/>
  <c r="P48" i="3"/>
  <c r="O48" i="3"/>
  <c r="N48" i="3"/>
  <c r="N10" i="3" s="1"/>
  <c r="M48" i="3"/>
  <c r="K48" i="3"/>
  <c r="J48" i="3"/>
  <c r="I48" i="3"/>
  <c r="H48" i="3"/>
  <c r="G48" i="3"/>
  <c r="F48" i="3"/>
  <c r="E48" i="3"/>
  <c r="E10" i="3" s="1"/>
  <c r="D48" i="3"/>
  <c r="BE47" i="3"/>
  <c r="AV47" i="3"/>
  <c r="AW47" i="3" s="1"/>
  <c r="AQ47" i="3"/>
  <c r="AR47" i="3" s="1"/>
  <c r="AX47" i="3" s="1"/>
  <c r="AD47" i="3"/>
  <c r="U47" i="3"/>
  <c r="L47" i="3"/>
  <c r="C47" i="3"/>
  <c r="BE46" i="3"/>
  <c r="AW46" i="3"/>
  <c r="AX46" i="3" s="1"/>
  <c r="AV46" i="3"/>
  <c r="AR46" i="3"/>
  <c r="AQ46" i="3"/>
  <c r="AD46" i="3"/>
  <c r="U46" i="3"/>
  <c r="L46" i="3"/>
  <c r="C46" i="3"/>
  <c r="BE45" i="3"/>
  <c r="AV45" i="3"/>
  <c r="AQ45" i="3"/>
  <c r="AR45" i="3" s="1"/>
  <c r="AD45" i="3"/>
  <c r="U45" i="3"/>
  <c r="L45" i="3"/>
  <c r="C45" i="3"/>
  <c r="BE44" i="3"/>
  <c r="AV44" i="3"/>
  <c r="AW44" i="3" s="1"/>
  <c r="AX44" i="3" s="1"/>
  <c r="AR44" i="3"/>
  <c r="AQ44" i="3"/>
  <c r="AD44" i="3"/>
  <c r="U44" i="3"/>
  <c r="L44" i="3"/>
  <c r="C44" i="3"/>
  <c r="BE43" i="3"/>
  <c r="AW43" i="3"/>
  <c r="AV43" i="3"/>
  <c r="AQ43" i="3"/>
  <c r="AR43" i="3" s="1"/>
  <c r="AD43" i="3"/>
  <c r="U43" i="3"/>
  <c r="L43" i="3"/>
  <c r="C43" i="3"/>
  <c r="BE42" i="3"/>
  <c r="AV42" i="3"/>
  <c r="AQ42" i="3"/>
  <c r="AR42" i="3" s="1"/>
  <c r="AD42" i="3"/>
  <c r="U42" i="3"/>
  <c r="L42" i="3"/>
  <c r="C42" i="3"/>
  <c r="BE41" i="3"/>
  <c r="AW41" i="3"/>
  <c r="AV41" i="3"/>
  <c r="AR41" i="3"/>
  <c r="AX41" i="3" s="1"/>
  <c r="AQ41" i="3"/>
  <c r="AD41" i="3"/>
  <c r="U41" i="3"/>
  <c r="L41" i="3"/>
  <c r="C41" i="3"/>
  <c r="BE40" i="3"/>
  <c r="AW40" i="3"/>
  <c r="AV40" i="3"/>
  <c r="AQ40" i="3"/>
  <c r="AR40" i="3" s="1"/>
  <c r="AD40" i="3"/>
  <c r="U40" i="3"/>
  <c r="L40" i="3"/>
  <c r="C40" i="3"/>
  <c r="BE39" i="3"/>
  <c r="AV39" i="3"/>
  <c r="AR39" i="3"/>
  <c r="AQ39" i="3"/>
  <c r="AD39" i="3"/>
  <c r="U39" i="3"/>
  <c r="L39" i="3"/>
  <c r="C39" i="3"/>
  <c r="BE38" i="3"/>
  <c r="AV38" i="3"/>
  <c r="AR38" i="3"/>
  <c r="AQ38" i="3"/>
  <c r="AD38" i="3"/>
  <c r="U38" i="3"/>
  <c r="L38" i="3"/>
  <c r="C38" i="3"/>
  <c r="BE37" i="3"/>
  <c r="AV37" i="3"/>
  <c r="AW37" i="3" s="1"/>
  <c r="AQ37" i="3"/>
  <c r="AR37" i="3" s="1"/>
  <c r="AD37" i="3"/>
  <c r="U37" i="3"/>
  <c r="L37" i="3"/>
  <c r="C37" i="3"/>
  <c r="BE36" i="3"/>
  <c r="AW36" i="3"/>
  <c r="AV36" i="3"/>
  <c r="AQ36" i="3"/>
  <c r="AR36" i="3" s="1"/>
  <c r="AX36" i="3" s="1"/>
  <c r="AD36" i="3"/>
  <c r="U36" i="3"/>
  <c r="L36" i="3"/>
  <c r="C36" i="3"/>
  <c r="BE35" i="3"/>
  <c r="AV35" i="3"/>
  <c r="AW35" i="3" s="1"/>
  <c r="AQ35" i="3"/>
  <c r="AR35" i="3" s="1"/>
  <c r="AX35" i="3" s="1"/>
  <c r="AD35" i="3"/>
  <c r="U35" i="3"/>
  <c r="L35" i="3"/>
  <c r="C35" i="3"/>
  <c r="BE34" i="3"/>
  <c r="AW34" i="3"/>
  <c r="AV34" i="3"/>
  <c r="AR34" i="3"/>
  <c r="AX34" i="3" s="1"/>
  <c r="AQ34" i="3"/>
  <c r="AD34" i="3"/>
  <c r="U34" i="3"/>
  <c r="L34" i="3"/>
  <c r="C34" i="3"/>
  <c r="BE33" i="3"/>
  <c r="AV33" i="3"/>
  <c r="AQ33" i="3"/>
  <c r="AR33" i="3" s="1"/>
  <c r="AD33" i="3"/>
  <c r="U33" i="3"/>
  <c r="L33" i="3"/>
  <c r="C33" i="3"/>
  <c r="BE32" i="3"/>
  <c r="AV32" i="3"/>
  <c r="AW32" i="3" s="1"/>
  <c r="AX32" i="3" s="1"/>
  <c r="AR32" i="3"/>
  <c r="AQ32" i="3"/>
  <c r="AD32" i="3"/>
  <c r="U32" i="3"/>
  <c r="L32" i="3"/>
  <c r="C32" i="3"/>
  <c r="BE31" i="3"/>
  <c r="AW31" i="3"/>
  <c r="AV31" i="3"/>
  <c r="AQ31" i="3"/>
  <c r="AR31" i="3" s="1"/>
  <c r="AD31" i="3"/>
  <c r="U31" i="3"/>
  <c r="L31" i="3"/>
  <c r="C31" i="3"/>
  <c r="BE30" i="3"/>
  <c r="AV30" i="3"/>
  <c r="AQ30" i="3"/>
  <c r="AR30" i="3" s="1"/>
  <c r="AD30" i="3"/>
  <c r="U30" i="3"/>
  <c r="L30" i="3"/>
  <c r="C30" i="3"/>
  <c r="BE29" i="3"/>
  <c r="AW29" i="3"/>
  <c r="AV29" i="3"/>
  <c r="AR29" i="3"/>
  <c r="AX29" i="3" s="1"/>
  <c r="AQ29" i="3"/>
  <c r="AD29" i="3"/>
  <c r="U29" i="3"/>
  <c r="L29" i="3"/>
  <c r="C29" i="3"/>
  <c r="BE28" i="3"/>
  <c r="AW28" i="3"/>
  <c r="AV28" i="3"/>
  <c r="AQ28" i="3"/>
  <c r="AD28" i="3"/>
  <c r="U28" i="3"/>
  <c r="L28" i="3"/>
  <c r="C28" i="3"/>
  <c r="BE27" i="3"/>
  <c r="AV27" i="3"/>
  <c r="AR27" i="3"/>
  <c r="AQ27" i="3"/>
  <c r="AD27" i="3"/>
  <c r="U27" i="3"/>
  <c r="L27" i="3"/>
  <c r="C27" i="3"/>
  <c r="BE26" i="3"/>
  <c r="AV26" i="3"/>
  <c r="AR26" i="3"/>
  <c r="AQ26" i="3"/>
  <c r="AD26" i="3"/>
  <c r="U26" i="3"/>
  <c r="L26" i="3"/>
  <c r="C26" i="3"/>
  <c r="BE25" i="3"/>
  <c r="AV25" i="3"/>
  <c r="AW25" i="3" s="1"/>
  <c r="AQ25" i="3"/>
  <c r="AR25" i="3" s="1"/>
  <c r="AX25" i="3" s="1"/>
  <c r="AD25" i="3"/>
  <c r="U25" i="3"/>
  <c r="L25" i="3"/>
  <c r="C25" i="3"/>
  <c r="BE24" i="3"/>
  <c r="AW24" i="3"/>
  <c r="AV24" i="3"/>
  <c r="AQ24" i="3"/>
  <c r="AR24" i="3" s="1"/>
  <c r="AX24" i="3" s="1"/>
  <c r="AD24" i="3"/>
  <c r="U24" i="3"/>
  <c r="L24" i="3"/>
  <c r="C24" i="3"/>
  <c r="BE23" i="3"/>
  <c r="AV23" i="3"/>
  <c r="AW23" i="3" s="1"/>
  <c r="AQ23" i="3"/>
  <c r="AR23" i="3" s="1"/>
  <c r="AX23" i="3" s="1"/>
  <c r="AD23" i="3"/>
  <c r="U23" i="3"/>
  <c r="L23" i="3"/>
  <c r="C23" i="3"/>
  <c r="BE22" i="3"/>
  <c r="AW22" i="3"/>
  <c r="AV22" i="3"/>
  <c r="AR22" i="3"/>
  <c r="AX22" i="3" s="1"/>
  <c r="AQ22" i="3"/>
  <c r="AD22" i="3"/>
  <c r="U22" i="3"/>
  <c r="L22" i="3"/>
  <c r="C22" i="3"/>
  <c r="BE21" i="3"/>
  <c r="AV21" i="3"/>
  <c r="AQ21" i="3"/>
  <c r="AR21" i="3" s="1"/>
  <c r="AD21" i="3"/>
  <c r="U21" i="3"/>
  <c r="L21" i="3"/>
  <c r="C21" i="3"/>
  <c r="BE20" i="3"/>
  <c r="AV20" i="3"/>
  <c r="AW20" i="3" s="1"/>
  <c r="AX20" i="3" s="1"/>
  <c r="AR20" i="3"/>
  <c r="AQ20" i="3"/>
  <c r="AD20" i="3"/>
  <c r="U20" i="3"/>
  <c r="L20" i="3"/>
  <c r="C20" i="3"/>
  <c r="B20" i="3"/>
  <c r="A20" i="3" s="1"/>
  <c r="BE19" i="3"/>
  <c r="AW19" i="3"/>
  <c r="AV19" i="3"/>
  <c r="AQ19" i="3"/>
  <c r="AD19" i="3"/>
  <c r="U19" i="3"/>
  <c r="L19" i="3"/>
  <c r="C19" i="3"/>
  <c r="B19" i="3"/>
  <c r="A19" i="3" s="1"/>
  <c r="BE18" i="3"/>
  <c r="AV18" i="3"/>
  <c r="AQ18" i="3"/>
  <c r="AR18" i="3" s="1"/>
  <c r="AD18" i="3"/>
  <c r="U18" i="3"/>
  <c r="L18" i="3"/>
  <c r="L48" i="3" s="1"/>
  <c r="C18" i="3"/>
  <c r="B18" i="3"/>
  <c r="A18" i="3" s="1"/>
  <c r="BE17" i="3"/>
  <c r="AW17" i="3"/>
  <c r="AV17" i="3"/>
  <c r="AV49" i="3" s="1"/>
  <c r="AR17" i="3"/>
  <c r="AX17" i="3" s="1"/>
  <c r="AQ17" i="3"/>
  <c r="AD17" i="3"/>
  <c r="U17" i="3"/>
  <c r="L17" i="3"/>
  <c r="L49" i="3" s="1"/>
  <c r="C17" i="3"/>
  <c r="C49" i="3" s="1"/>
  <c r="A17" i="3"/>
  <c r="BJ12" i="3"/>
  <c r="BH12" i="3"/>
  <c r="BG12" i="3"/>
  <c r="BF12" i="3"/>
  <c r="BD12" i="3"/>
  <c r="AS12" i="3"/>
  <c r="BL11" i="3"/>
  <c r="BH11" i="3"/>
  <c r="BG11" i="3"/>
  <c r="BD11" i="3"/>
  <c r="AS11" i="3"/>
  <c r="AN11" i="3"/>
  <c r="BL10" i="3"/>
  <c r="BD10" i="3"/>
  <c r="BC10" i="3"/>
  <c r="BB10" i="3"/>
  <c r="BA10" i="3"/>
  <c r="AY10" i="3"/>
  <c r="AU10" i="3"/>
  <c r="AS10" i="3"/>
  <c r="AO10" i="3"/>
  <c r="AN10" i="3"/>
  <c r="AM10" i="3"/>
  <c r="AK10" i="3"/>
  <c r="AI10" i="3"/>
  <c r="AH10" i="3"/>
  <c r="AE10" i="3"/>
  <c r="AB10" i="3"/>
  <c r="AA10" i="3"/>
  <c r="Y10" i="3"/>
  <c r="X10" i="3"/>
  <c r="W10" i="3"/>
  <c r="V10" i="3"/>
  <c r="R10" i="3"/>
  <c r="P10" i="3"/>
  <c r="O10" i="3"/>
  <c r="M10" i="3"/>
  <c r="K10" i="3"/>
  <c r="J10" i="3"/>
  <c r="I10" i="3"/>
  <c r="H10" i="3"/>
  <c r="F10" i="3"/>
  <c r="BL9" i="3"/>
  <c r="BJ9" i="3"/>
  <c r="BH9" i="3"/>
  <c r="BG9" i="3"/>
  <c r="BD9" i="3"/>
  <c r="BC9" i="3"/>
  <c r="BB9" i="3"/>
  <c r="BA9" i="3"/>
  <c r="AZ9" i="3"/>
  <c r="AY9" i="3"/>
  <c r="AU9" i="3"/>
  <c r="AT9" i="3"/>
  <c r="AS9" i="3"/>
  <c r="AN9" i="3"/>
  <c r="AM9" i="3"/>
  <c r="AL9" i="3"/>
  <c r="AK9" i="3"/>
  <c r="AJ9" i="3"/>
  <c r="AI9" i="3"/>
  <c r="AH9" i="3"/>
  <c r="AG9" i="3"/>
  <c r="AE9" i="3"/>
  <c r="AB9" i="3"/>
  <c r="AA9" i="3"/>
  <c r="Z9" i="3"/>
  <c r="Y9" i="3"/>
  <c r="X9" i="3"/>
  <c r="W9" i="3"/>
  <c r="V9" i="3"/>
  <c r="T9" i="3"/>
  <c r="R9" i="3"/>
  <c r="P9" i="3"/>
  <c r="O9" i="3"/>
  <c r="N9" i="3"/>
  <c r="M9" i="3"/>
  <c r="K9" i="3"/>
  <c r="J9" i="3"/>
  <c r="I9" i="3"/>
  <c r="H9" i="3"/>
  <c r="F9" i="3"/>
  <c r="D9" i="3"/>
  <c r="BL8" i="3"/>
  <c r="BJ8" i="3"/>
  <c r="BH8" i="3"/>
  <c r="BG8" i="3"/>
  <c r="BD8" i="3"/>
  <c r="BC8" i="3"/>
  <c r="BB8" i="3"/>
  <c r="BA8" i="3"/>
  <c r="AY8" i="3"/>
  <c r="AU8" i="3"/>
  <c r="AT8" i="3"/>
  <c r="AS8" i="3"/>
  <c r="AP8" i="3"/>
  <c r="AN8" i="3"/>
  <c r="AM8" i="3"/>
  <c r="AL8" i="3"/>
  <c r="AK8" i="3"/>
  <c r="AJ8" i="3"/>
  <c r="AI8" i="3"/>
  <c r="AH8" i="3"/>
  <c r="AG8" i="3"/>
  <c r="AE8" i="3"/>
  <c r="AA8" i="3"/>
  <c r="Z8" i="3"/>
  <c r="Y8" i="3"/>
  <c r="X8" i="3"/>
  <c r="W8" i="3"/>
  <c r="V8" i="3"/>
  <c r="T8" i="3"/>
  <c r="R8" i="3"/>
  <c r="P8" i="3"/>
  <c r="O8" i="3"/>
  <c r="N8" i="3"/>
  <c r="M8" i="3"/>
  <c r="K8" i="3"/>
  <c r="J8" i="3"/>
  <c r="I8" i="3"/>
  <c r="H8" i="3"/>
  <c r="F8" i="3"/>
  <c r="BL430" i="2"/>
  <c r="BK430" i="2"/>
  <c r="BJ430" i="2"/>
  <c r="BI430" i="2"/>
  <c r="BH430" i="2"/>
  <c r="BG430" i="2"/>
  <c r="BF430" i="2"/>
  <c r="BD430" i="2"/>
  <c r="AS430" i="2"/>
  <c r="AN430" i="2"/>
  <c r="BL429" i="2"/>
  <c r="BK429" i="2"/>
  <c r="BJ429" i="2"/>
  <c r="BI429" i="2"/>
  <c r="BH429" i="2"/>
  <c r="BG429" i="2"/>
  <c r="BF429" i="2"/>
  <c r="BD429" i="2"/>
  <c r="BC429" i="2"/>
  <c r="BB429" i="2"/>
  <c r="BA429" i="2"/>
  <c r="AZ429" i="2"/>
  <c r="AY429" i="2"/>
  <c r="AU429" i="2"/>
  <c r="AT429" i="2"/>
  <c r="AS429" i="2"/>
  <c r="AP429" i="2"/>
  <c r="AO429" i="2"/>
  <c r="AN429" i="2"/>
  <c r="AM429" i="2"/>
  <c r="AF429" i="2"/>
  <c r="AE429" i="2"/>
  <c r="W429" i="2"/>
  <c r="V429" i="2"/>
  <c r="N429" i="2"/>
  <c r="M429" i="2"/>
  <c r="E429" i="2"/>
  <c r="D429" i="2"/>
  <c r="BL428" i="2"/>
  <c r="BK428" i="2"/>
  <c r="BJ428" i="2"/>
  <c r="BI428" i="2"/>
  <c r="BH428" i="2"/>
  <c r="BG428" i="2"/>
  <c r="BF428" i="2"/>
  <c r="BD428" i="2"/>
  <c r="BC428" i="2"/>
  <c r="BB428" i="2"/>
  <c r="BA428" i="2"/>
  <c r="AZ428" i="2"/>
  <c r="AY428" i="2"/>
  <c r="AU428" i="2"/>
  <c r="AT428" i="2"/>
  <c r="AS428" i="2"/>
  <c r="AP428" i="2"/>
  <c r="AO428" i="2"/>
  <c r="AN428" i="2"/>
  <c r="AM428" i="2"/>
  <c r="AF428" i="2"/>
  <c r="AE428" i="2"/>
  <c r="W428" i="2"/>
  <c r="V428" i="2"/>
  <c r="N428" i="2"/>
  <c r="M428" i="2"/>
  <c r="E428" i="2"/>
  <c r="D428" i="2"/>
  <c r="BL427" i="2"/>
  <c r="BK427" i="2"/>
  <c r="BJ427" i="2"/>
  <c r="BI427" i="2"/>
  <c r="BH427" i="2"/>
  <c r="BG427" i="2"/>
  <c r="BF427" i="2"/>
  <c r="BD427" i="2"/>
  <c r="BC427" i="2"/>
  <c r="BB427" i="2"/>
  <c r="BA427" i="2"/>
  <c r="AZ427" i="2"/>
  <c r="AY427" i="2"/>
  <c r="AU427" i="2"/>
  <c r="AT427" i="2"/>
  <c r="AS427" i="2"/>
  <c r="AP427" i="2"/>
  <c r="AO427" i="2"/>
  <c r="AN427" i="2"/>
  <c r="AM427" i="2"/>
  <c r="AF427" i="2"/>
  <c r="AE427" i="2"/>
  <c r="W427" i="2"/>
  <c r="V427" i="2"/>
  <c r="N427" i="2"/>
  <c r="M427" i="2"/>
  <c r="E427" i="2"/>
  <c r="D427" i="2"/>
  <c r="BE426" i="2"/>
  <c r="AD426" i="2"/>
  <c r="U426" i="2"/>
  <c r="BE425" i="2"/>
  <c r="AD425" i="2"/>
  <c r="U425" i="2"/>
  <c r="BE424" i="2"/>
  <c r="AD424" i="2"/>
  <c r="U424" i="2"/>
  <c r="BE423" i="2"/>
  <c r="AD423" i="2"/>
  <c r="U423" i="2"/>
  <c r="BE422" i="2"/>
  <c r="AD422" i="2"/>
  <c r="U422" i="2"/>
  <c r="BE421" i="2"/>
  <c r="AD421" i="2"/>
  <c r="U421" i="2"/>
  <c r="BE420" i="2"/>
  <c r="AD420" i="2"/>
  <c r="U420" i="2"/>
  <c r="BE419" i="2"/>
  <c r="AD419" i="2"/>
  <c r="U419" i="2"/>
  <c r="BE418" i="2"/>
  <c r="AD418" i="2"/>
  <c r="U418" i="2"/>
  <c r="BE417" i="2"/>
  <c r="AD417" i="2"/>
  <c r="U417" i="2"/>
  <c r="BE416" i="2"/>
  <c r="AD416" i="2"/>
  <c r="U416" i="2"/>
  <c r="BE415" i="2"/>
  <c r="AD415" i="2"/>
  <c r="U415" i="2"/>
  <c r="BE414" i="2"/>
  <c r="AD414" i="2"/>
  <c r="U414" i="2"/>
  <c r="BE413" i="2"/>
  <c r="AD413" i="2"/>
  <c r="U413" i="2"/>
  <c r="BE412" i="2"/>
  <c r="AD412" i="2"/>
  <c r="U412" i="2"/>
  <c r="BE411" i="2"/>
  <c r="AD411" i="2"/>
  <c r="U411" i="2"/>
  <c r="BE410" i="2"/>
  <c r="AD410" i="2"/>
  <c r="U410" i="2"/>
  <c r="BE409" i="2"/>
  <c r="AD409" i="2"/>
  <c r="U409" i="2"/>
  <c r="BE408" i="2"/>
  <c r="AD408" i="2"/>
  <c r="U408" i="2"/>
  <c r="BE407" i="2"/>
  <c r="AD407" i="2"/>
  <c r="U407" i="2"/>
  <c r="BE406" i="2"/>
  <c r="AD406" i="2"/>
  <c r="U406" i="2"/>
  <c r="BE405" i="2"/>
  <c r="AD405" i="2"/>
  <c r="U405" i="2"/>
  <c r="BE404" i="2"/>
  <c r="AD404" i="2"/>
  <c r="U404" i="2"/>
  <c r="BE403" i="2"/>
  <c r="AD403" i="2"/>
  <c r="U403" i="2"/>
  <c r="BE402" i="2"/>
  <c r="AD402" i="2"/>
  <c r="U402" i="2"/>
  <c r="BE401" i="2"/>
  <c r="AD401" i="2"/>
  <c r="U401" i="2"/>
  <c r="BE400" i="2"/>
  <c r="AD400" i="2"/>
  <c r="U400" i="2"/>
  <c r="BE399" i="2"/>
  <c r="AD399" i="2"/>
  <c r="U399" i="2"/>
  <c r="BE398" i="2"/>
  <c r="AD398" i="2"/>
  <c r="U398" i="2"/>
  <c r="BE397" i="2"/>
  <c r="AD397" i="2"/>
  <c r="U397" i="2"/>
  <c r="BE396" i="2"/>
  <c r="AD396" i="2"/>
  <c r="U396" i="2"/>
  <c r="BL395" i="2"/>
  <c r="BK395" i="2"/>
  <c r="BJ395" i="2"/>
  <c r="BI395" i="2"/>
  <c r="BH395" i="2"/>
  <c r="BG395" i="2"/>
  <c r="BF395" i="2"/>
  <c r="BD395" i="2"/>
  <c r="AS395" i="2"/>
  <c r="AN395" i="2"/>
  <c r="BL394" i="2"/>
  <c r="BK394" i="2"/>
  <c r="BJ394" i="2"/>
  <c r="BI394" i="2"/>
  <c r="BH394" i="2"/>
  <c r="BG394" i="2"/>
  <c r="BF394" i="2"/>
  <c r="BD394" i="2"/>
  <c r="BC394" i="2"/>
  <c r="BB394" i="2"/>
  <c r="BA394" i="2"/>
  <c r="AZ394" i="2"/>
  <c r="AY394" i="2"/>
  <c r="AU394" i="2"/>
  <c r="AT394" i="2"/>
  <c r="AS394" i="2"/>
  <c r="AP394" i="2"/>
  <c r="AO394" i="2"/>
  <c r="AN394" i="2"/>
  <c r="AM394" i="2"/>
  <c r="AF394" i="2"/>
  <c r="AE394" i="2"/>
  <c r="W394" i="2"/>
  <c r="V394" i="2"/>
  <c r="N394" i="2"/>
  <c r="M394" i="2"/>
  <c r="E394" i="2"/>
  <c r="D394" i="2"/>
  <c r="BL393" i="2"/>
  <c r="BK393" i="2"/>
  <c r="BJ393" i="2"/>
  <c r="BI393" i="2"/>
  <c r="BH393" i="2"/>
  <c r="BG393" i="2"/>
  <c r="BF393" i="2"/>
  <c r="BD393" i="2"/>
  <c r="BC393" i="2"/>
  <c r="BB393" i="2"/>
  <c r="BA393" i="2"/>
  <c r="AZ393" i="2"/>
  <c r="AY393" i="2"/>
  <c r="AU393" i="2"/>
  <c r="AT393" i="2"/>
  <c r="AS393" i="2"/>
  <c r="AP393" i="2"/>
  <c r="AO393" i="2"/>
  <c r="AN393" i="2"/>
  <c r="AM393" i="2"/>
  <c r="AF393" i="2"/>
  <c r="AE393" i="2"/>
  <c r="W393" i="2"/>
  <c r="V393" i="2"/>
  <c r="N393" i="2"/>
  <c r="M393" i="2"/>
  <c r="E393" i="2"/>
  <c r="D393" i="2"/>
  <c r="BL392" i="2"/>
  <c r="BK392" i="2"/>
  <c r="BJ392" i="2"/>
  <c r="BI392" i="2"/>
  <c r="BH392" i="2"/>
  <c r="BG392" i="2"/>
  <c r="BF392" i="2"/>
  <c r="BD392" i="2"/>
  <c r="BC392" i="2"/>
  <c r="BB392" i="2"/>
  <c r="BA392" i="2"/>
  <c r="AZ392" i="2"/>
  <c r="AY392" i="2"/>
  <c r="AU392" i="2"/>
  <c r="AT392" i="2"/>
  <c r="AS392" i="2"/>
  <c r="AP392" i="2"/>
  <c r="AO392" i="2"/>
  <c r="AN392" i="2"/>
  <c r="AM392" i="2"/>
  <c r="AF392" i="2"/>
  <c r="AE392" i="2"/>
  <c r="W392" i="2"/>
  <c r="V392" i="2"/>
  <c r="N392" i="2"/>
  <c r="M392" i="2"/>
  <c r="E392" i="2"/>
  <c r="D392" i="2"/>
  <c r="BE391" i="2"/>
  <c r="AD391" i="2"/>
  <c r="U391" i="2"/>
  <c r="BE390" i="2"/>
  <c r="AD390" i="2"/>
  <c r="U390" i="2"/>
  <c r="BE389" i="2"/>
  <c r="AD389" i="2"/>
  <c r="U389" i="2"/>
  <c r="BE388" i="2"/>
  <c r="AD388" i="2"/>
  <c r="U388" i="2"/>
  <c r="BE387" i="2"/>
  <c r="AD387" i="2"/>
  <c r="U387" i="2"/>
  <c r="BE386" i="2"/>
  <c r="AD386" i="2"/>
  <c r="U386" i="2"/>
  <c r="BE385" i="2"/>
  <c r="AD385" i="2"/>
  <c r="U385" i="2"/>
  <c r="BE384" i="2"/>
  <c r="AD384" i="2"/>
  <c r="U384" i="2"/>
  <c r="BE383" i="2"/>
  <c r="AD383" i="2"/>
  <c r="U383" i="2"/>
  <c r="BE382" i="2"/>
  <c r="AD382" i="2"/>
  <c r="U382" i="2"/>
  <c r="BE381" i="2"/>
  <c r="AD381" i="2"/>
  <c r="U381" i="2"/>
  <c r="BE380" i="2"/>
  <c r="AD380" i="2"/>
  <c r="U380" i="2"/>
  <c r="BE379" i="2"/>
  <c r="AD379" i="2"/>
  <c r="U379" i="2"/>
  <c r="BE378" i="2"/>
  <c r="AD378" i="2"/>
  <c r="U378" i="2"/>
  <c r="BE377" i="2"/>
  <c r="AD377" i="2"/>
  <c r="U377" i="2"/>
  <c r="BE376" i="2"/>
  <c r="AD376" i="2"/>
  <c r="U376" i="2"/>
  <c r="BE375" i="2"/>
  <c r="AD375" i="2"/>
  <c r="U375" i="2"/>
  <c r="BE374" i="2"/>
  <c r="AD374" i="2"/>
  <c r="U374" i="2"/>
  <c r="BE373" i="2"/>
  <c r="AD373" i="2"/>
  <c r="U373" i="2"/>
  <c r="BE372" i="2"/>
  <c r="AD372" i="2"/>
  <c r="U372" i="2"/>
  <c r="BE371" i="2"/>
  <c r="AD371" i="2"/>
  <c r="U371" i="2"/>
  <c r="BE370" i="2"/>
  <c r="AD370" i="2"/>
  <c r="U370" i="2"/>
  <c r="BE369" i="2"/>
  <c r="AD369" i="2"/>
  <c r="U369" i="2"/>
  <c r="BE368" i="2"/>
  <c r="AD368" i="2"/>
  <c r="U368" i="2"/>
  <c r="BE367" i="2"/>
  <c r="AD367" i="2"/>
  <c r="U367" i="2"/>
  <c r="BE366" i="2"/>
  <c r="AD366" i="2"/>
  <c r="U366" i="2"/>
  <c r="BE365" i="2"/>
  <c r="AD365" i="2"/>
  <c r="U365" i="2"/>
  <c r="BE364" i="2"/>
  <c r="AD364" i="2"/>
  <c r="U364" i="2"/>
  <c r="BE363" i="2"/>
  <c r="AD363" i="2"/>
  <c r="U363" i="2"/>
  <c r="BE362" i="2"/>
  <c r="AD362" i="2"/>
  <c r="U362" i="2"/>
  <c r="BL361" i="2"/>
  <c r="BK361" i="2"/>
  <c r="BJ361" i="2"/>
  <c r="BI361" i="2"/>
  <c r="BH361" i="2"/>
  <c r="BG361" i="2"/>
  <c r="BF361" i="2"/>
  <c r="BD361" i="2"/>
  <c r="AS361" i="2"/>
  <c r="AN361" i="2"/>
  <c r="BL360" i="2"/>
  <c r="BK360" i="2"/>
  <c r="BJ360" i="2"/>
  <c r="BI360" i="2"/>
  <c r="BH360" i="2"/>
  <c r="BG360" i="2"/>
  <c r="BF360" i="2"/>
  <c r="BD360" i="2"/>
  <c r="BC360" i="2"/>
  <c r="BB360" i="2"/>
  <c r="BA360" i="2"/>
  <c r="AZ360" i="2"/>
  <c r="AY360" i="2"/>
  <c r="AU360" i="2"/>
  <c r="AT360" i="2"/>
  <c r="AS360" i="2"/>
  <c r="AP360" i="2"/>
  <c r="AO360" i="2"/>
  <c r="AN360" i="2"/>
  <c r="AM360" i="2"/>
  <c r="AF360" i="2"/>
  <c r="AE360" i="2"/>
  <c r="W360" i="2"/>
  <c r="V360" i="2"/>
  <c r="N360" i="2"/>
  <c r="M360" i="2"/>
  <c r="E360" i="2"/>
  <c r="D360" i="2"/>
  <c r="BL359" i="2"/>
  <c r="BK359" i="2"/>
  <c r="BJ359" i="2"/>
  <c r="BI359" i="2"/>
  <c r="BH359" i="2"/>
  <c r="BG359" i="2"/>
  <c r="BF359" i="2"/>
  <c r="BD359" i="2"/>
  <c r="BC359" i="2"/>
  <c r="BB359" i="2"/>
  <c r="BA359" i="2"/>
  <c r="AZ359" i="2"/>
  <c r="AY359" i="2"/>
  <c r="AU359" i="2"/>
  <c r="AT359" i="2"/>
  <c r="AS359" i="2"/>
  <c r="AP359" i="2"/>
  <c r="AO359" i="2"/>
  <c r="AN359" i="2"/>
  <c r="AM359" i="2"/>
  <c r="AF359" i="2"/>
  <c r="AE359" i="2"/>
  <c r="W359" i="2"/>
  <c r="V359" i="2"/>
  <c r="N359" i="2"/>
  <c r="M359" i="2"/>
  <c r="E359" i="2"/>
  <c r="D359" i="2"/>
  <c r="BL358" i="2"/>
  <c r="BK358" i="2"/>
  <c r="BJ358" i="2"/>
  <c r="BI358" i="2"/>
  <c r="BH358" i="2"/>
  <c r="BG358" i="2"/>
  <c r="BF358" i="2"/>
  <c r="BD358" i="2"/>
  <c r="BC358" i="2"/>
  <c r="BB358" i="2"/>
  <c r="BA358" i="2"/>
  <c r="AZ358" i="2"/>
  <c r="AY358" i="2"/>
  <c r="AU358" i="2"/>
  <c r="AT358" i="2"/>
  <c r="AS358" i="2"/>
  <c r="AP358" i="2"/>
  <c r="AO358" i="2"/>
  <c r="AN358" i="2"/>
  <c r="AM358" i="2"/>
  <c r="AF358" i="2"/>
  <c r="AE358" i="2"/>
  <c r="W358" i="2"/>
  <c r="V358" i="2"/>
  <c r="N358" i="2"/>
  <c r="M358" i="2"/>
  <c r="E358" i="2"/>
  <c r="D358" i="2"/>
  <c r="BE357" i="2"/>
  <c r="AD357" i="2"/>
  <c r="U357" i="2"/>
  <c r="BE356" i="2"/>
  <c r="AD356" i="2"/>
  <c r="U356" i="2"/>
  <c r="BE355" i="2"/>
  <c r="AD355" i="2"/>
  <c r="U355" i="2"/>
  <c r="BE354" i="2"/>
  <c r="AD354" i="2"/>
  <c r="U354" i="2"/>
  <c r="BE353" i="2"/>
  <c r="AD353" i="2"/>
  <c r="U353" i="2"/>
  <c r="BE352" i="2"/>
  <c r="AD352" i="2"/>
  <c r="U352" i="2"/>
  <c r="BE351" i="2"/>
  <c r="AD351" i="2"/>
  <c r="U351" i="2"/>
  <c r="BE350" i="2"/>
  <c r="AD350" i="2"/>
  <c r="U350" i="2"/>
  <c r="BE349" i="2"/>
  <c r="AD349" i="2"/>
  <c r="U349" i="2"/>
  <c r="BE348" i="2"/>
  <c r="AD348" i="2"/>
  <c r="U348" i="2"/>
  <c r="BE347" i="2"/>
  <c r="AD347" i="2"/>
  <c r="U347" i="2"/>
  <c r="BE346" i="2"/>
  <c r="AD346" i="2"/>
  <c r="U346" i="2"/>
  <c r="BE345" i="2"/>
  <c r="AD345" i="2"/>
  <c r="U345" i="2"/>
  <c r="BE344" i="2"/>
  <c r="AD344" i="2"/>
  <c r="U344" i="2"/>
  <c r="BE343" i="2"/>
  <c r="AD343" i="2"/>
  <c r="U343" i="2"/>
  <c r="BE342" i="2"/>
  <c r="AD342" i="2"/>
  <c r="U342" i="2"/>
  <c r="BE341" i="2"/>
  <c r="AD341" i="2"/>
  <c r="U341" i="2"/>
  <c r="BE340" i="2"/>
  <c r="AD340" i="2"/>
  <c r="U340" i="2"/>
  <c r="BE339" i="2"/>
  <c r="AD339" i="2"/>
  <c r="U339" i="2"/>
  <c r="BE338" i="2"/>
  <c r="AD338" i="2"/>
  <c r="U338" i="2"/>
  <c r="BE337" i="2"/>
  <c r="AD337" i="2"/>
  <c r="U337" i="2"/>
  <c r="BE336" i="2"/>
  <c r="AD336" i="2"/>
  <c r="U336" i="2"/>
  <c r="BE335" i="2"/>
  <c r="AD335" i="2"/>
  <c r="U335" i="2"/>
  <c r="BE334" i="2"/>
  <c r="AD334" i="2"/>
  <c r="U334" i="2"/>
  <c r="BE333" i="2"/>
  <c r="AD333" i="2"/>
  <c r="U333" i="2"/>
  <c r="BE332" i="2"/>
  <c r="AD332" i="2"/>
  <c r="U332" i="2"/>
  <c r="BE331" i="2"/>
  <c r="AD331" i="2"/>
  <c r="U331" i="2"/>
  <c r="BE330" i="2"/>
  <c r="AD330" i="2"/>
  <c r="U330" i="2"/>
  <c r="BE329" i="2"/>
  <c r="AD329" i="2"/>
  <c r="U329" i="2"/>
  <c r="BE328" i="2"/>
  <c r="AD328" i="2"/>
  <c r="U328" i="2"/>
  <c r="BE327" i="2"/>
  <c r="AD327" i="2"/>
  <c r="U327" i="2"/>
  <c r="BL326" i="2"/>
  <c r="BK326" i="2"/>
  <c r="BJ326" i="2"/>
  <c r="BI326" i="2"/>
  <c r="BH326" i="2"/>
  <c r="BG326" i="2"/>
  <c r="BF326" i="2"/>
  <c r="BD326" i="2"/>
  <c r="AS326" i="2"/>
  <c r="AN326" i="2"/>
  <c r="BL325" i="2"/>
  <c r="BK325" i="2"/>
  <c r="BJ325" i="2"/>
  <c r="BI325" i="2"/>
  <c r="BH325" i="2"/>
  <c r="BG325" i="2"/>
  <c r="BF325" i="2"/>
  <c r="BD325" i="2"/>
  <c r="BC325" i="2"/>
  <c r="BB325" i="2"/>
  <c r="BA325" i="2"/>
  <c r="AZ325" i="2"/>
  <c r="AY325" i="2"/>
  <c r="AU325" i="2"/>
  <c r="AT325" i="2"/>
  <c r="AS325" i="2"/>
  <c r="AP325" i="2"/>
  <c r="AO325" i="2"/>
  <c r="AN325" i="2"/>
  <c r="AM325" i="2"/>
  <c r="AF325" i="2"/>
  <c r="AE325" i="2"/>
  <c r="W325" i="2"/>
  <c r="V325" i="2"/>
  <c r="N325" i="2"/>
  <c r="M325" i="2"/>
  <c r="E325" i="2"/>
  <c r="D325" i="2"/>
  <c r="BL324" i="2"/>
  <c r="BK324" i="2"/>
  <c r="BJ324" i="2"/>
  <c r="BI324" i="2"/>
  <c r="BH324" i="2"/>
  <c r="BG324" i="2"/>
  <c r="BF324" i="2"/>
  <c r="BD324" i="2"/>
  <c r="BC324" i="2"/>
  <c r="BB324" i="2"/>
  <c r="BA324" i="2"/>
  <c r="AZ324" i="2"/>
  <c r="AY324" i="2"/>
  <c r="AU324" i="2"/>
  <c r="AT324" i="2"/>
  <c r="AS324" i="2"/>
  <c r="AP324" i="2"/>
  <c r="AO324" i="2"/>
  <c r="AN324" i="2"/>
  <c r="AM324" i="2"/>
  <c r="AF324" i="2"/>
  <c r="AE324" i="2"/>
  <c r="W324" i="2"/>
  <c r="V324" i="2"/>
  <c r="N324" i="2"/>
  <c r="M324" i="2"/>
  <c r="E324" i="2"/>
  <c r="D324" i="2"/>
  <c r="BL323" i="2"/>
  <c r="BK323" i="2"/>
  <c r="BJ323" i="2"/>
  <c r="BI323" i="2"/>
  <c r="BH323" i="2"/>
  <c r="BG323" i="2"/>
  <c r="BF323" i="2"/>
  <c r="BD323" i="2"/>
  <c r="BC323" i="2"/>
  <c r="BB323" i="2"/>
  <c r="BA323" i="2"/>
  <c r="AZ323" i="2"/>
  <c r="AY323" i="2"/>
  <c r="AU323" i="2"/>
  <c r="AT323" i="2"/>
  <c r="AS323" i="2"/>
  <c r="AP323" i="2"/>
  <c r="AO323" i="2"/>
  <c r="AN323" i="2"/>
  <c r="AM323" i="2"/>
  <c r="AF323" i="2"/>
  <c r="AE323" i="2"/>
  <c r="W323" i="2"/>
  <c r="V323" i="2"/>
  <c r="N323" i="2"/>
  <c r="M323" i="2"/>
  <c r="E323" i="2"/>
  <c r="D323" i="2"/>
  <c r="BE322" i="2"/>
  <c r="AD322" i="2"/>
  <c r="U322" i="2"/>
  <c r="BE321" i="2"/>
  <c r="AD321" i="2"/>
  <c r="U321" i="2"/>
  <c r="BE320" i="2"/>
  <c r="AD320" i="2"/>
  <c r="U320" i="2"/>
  <c r="BE319" i="2"/>
  <c r="AD319" i="2"/>
  <c r="U319" i="2"/>
  <c r="BE318" i="2"/>
  <c r="AD318" i="2"/>
  <c r="U318" i="2"/>
  <c r="BE317" i="2"/>
  <c r="AD317" i="2"/>
  <c r="U317" i="2"/>
  <c r="BE316" i="2"/>
  <c r="AD316" i="2"/>
  <c r="U316" i="2"/>
  <c r="BE315" i="2"/>
  <c r="AD315" i="2"/>
  <c r="U315" i="2"/>
  <c r="BE314" i="2"/>
  <c r="AD314" i="2"/>
  <c r="U314" i="2"/>
  <c r="BE313" i="2"/>
  <c r="AD313" i="2"/>
  <c r="U313" i="2"/>
  <c r="BE312" i="2"/>
  <c r="AD312" i="2"/>
  <c r="U312" i="2"/>
  <c r="BE311" i="2"/>
  <c r="AD311" i="2"/>
  <c r="U311" i="2"/>
  <c r="BE310" i="2"/>
  <c r="AD310" i="2"/>
  <c r="U310" i="2"/>
  <c r="BE309" i="2"/>
  <c r="AD309" i="2"/>
  <c r="U309" i="2"/>
  <c r="BE308" i="2"/>
  <c r="AD308" i="2"/>
  <c r="U308" i="2"/>
  <c r="BE307" i="2"/>
  <c r="AD307" i="2"/>
  <c r="U307" i="2"/>
  <c r="BE306" i="2"/>
  <c r="AD306" i="2"/>
  <c r="U306" i="2"/>
  <c r="BE305" i="2"/>
  <c r="AD305" i="2"/>
  <c r="U305" i="2"/>
  <c r="BE304" i="2"/>
  <c r="AD304" i="2"/>
  <c r="U304" i="2"/>
  <c r="BE303" i="2"/>
  <c r="AD303" i="2"/>
  <c r="U303" i="2"/>
  <c r="BE302" i="2"/>
  <c r="AD302" i="2"/>
  <c r="U302" i="2"/>
  <c r="BE301" i="2"/>
  <c r="AD301" i="2"/>
  <c r="U301" i="2"/>
  <c r="BE300" i="2"/>
  <c r="AD300" i="2"/>
  <c r="U300" i="2"/>
  <c r="BE299" i="2"/>
  <c r="AD299" i="2"/>
  <c r="U299" i="2"/>
  <c r="BE298" i="2"/>
  <c r="AD298" i="2"/>
  <c r="U298" i="2"/>
  <c r="BE297" i="2"/>
  <c r="AD297" i="2"/>
  <c r="U297" i="2"/>
  <c r="BE296" i="2"/>
  <c r="AD296" i="2"/>
  <c r="U296" i="2"/>
  <c r="BE295" i="2"/>
  <c r="AD295" i="2"/>
  <c r="U295" i="2"/>
  <c r="BE294" i="2"/>
  <c r="AD294" i="2"/>
  <c r="U294" i="2"/>
  <c r="BE293" i="2"/>
  <c r="AD293" i="2"/>
  <c r="U293" i="2"/>
  <c r="BL292" i="2"/>
  <c r="BK292" i="2"/>
  <c r="BJ292" i="2"/>
  <c r="BI292" i="2"/>
  <c r="BH292" i="2"/>
  <c r="BG292" i="2"/>
  <c r="BF292" i="2"/>
  <c r="BD292" i="2"/>
  <c r="AS292" i="2"/>
  <c r="AN292" i="2"/>
  <c r="BL291" i="2"/>
  <c r="BK291" i="2"/>
  <c r="BJ291" i="2"/>
  <c r="BI291" i="2"/>
  <c r="BH291" i="2"/>
  <c r="BG291" i="2"/>
  <c r="BF291" i="2"/>
  <c r="BD291" i="2"/>
  <c r="BC291" i="2"/>
  <c r="BB291" i="2"/>
  <c r="BA291" i="2"/>
  <c r="AZ291" i="2"/>
  <c r="AY291" i="2"/>
  <c r="AU291" i="2"/>
  <c r="AT291" i="2"/>
  <c r="AS291" i="2"/>
  <c r="AP291" i="2"/>
  <c r="AO291" i="2"/>
  <c r="AN291" i="2"/>
  <c r="AM291" i="2"/>
  <c r="AF291" i="2"/>
  <c r="AE291" i="2"/>
  <c r="W291" i="2"/>
  <c r="V291" i="2"/>
  <c r="N291" i="2"/>
  <c r="M291" i="2"/>
  <c r="E291" i="2"/>
  <c r="D291" i="2"/>
  <c r="BL290" i="2"/>
  <c r="BK290" i="2"/>
  <c r="BJ290" i="2"/>
  <c r="BI290" i="2"/>
  <c r="BH290" i="2"/>
  <c r="BG290" i="2"/>
  <c r="BF290" i="2"/>
  <c r="BD290" i="2"/>
  <c r="BC290" i="2"/>
  <c r="BB290" i="2"/>
  <c r="BA290" i="2"/>
  <c r="AZ290" i="2"/>
  <c r="AY290" i="2"/>
  <c r="AU290" i="2"/>
  <c r="AT290" i="2"/>
  <c r="AS290" i="2"/>
  <c r="AP290" i="2"/>
  <c r="AO290" i="2"/>
  <c r="AN290" i="2"/>
  <c r="AM290" i="2"/>
  <c r="AF290" i="2"/>
  <c r="AE290" i="2"/>
  <c r="W290" i="2"/>
  <c r="V290" i="2"/>
  <c r="V10" i="2" s="1"/>
  <c r="N290" i="2"/>
  <c r="M290" i="2"/>
  <c r="E290" i="2"/>
  <c r="D290" i="2"/>
  <c r="BL289" i="2"/>
  <c r="BK289" i="2"/>
  <c r="BJ289" i="2"/>
  <c r="BI289" i="2"/>
  <c r="BH289" i="2"/>
  <c r="BG289" i="2"/>
  <c r="BF289" i="2"/>
  <c r="BD289" i="2"/>
  <c r="BC289" i="2"/>
  <c r="BB289" i="2"/>
  <c r="BA289" i="2"/>
  <c r="AZ289" i="2"/>
  <c r="AY289" i="2"/>
  <c r="AU289" i="2"/>
  <c r="AT289" i="2"/>
  <c r="AS289" i="2"/>
  <c r="AP289" i="2"/>
  <c r="AO289" i="2"/>
  <c r="AN289" i="2"/>
  <c r="AM289" i="2"/>
  <c r="AF289" i="2"/>
  <c r="AE289" i="2"/>
  <c r="W289" i="2"/>
  <c r="V289" i="2"/>
  <c r="N289" i="2"/>
  <c r="M289" i="2"/>
  <c r="E289" i="2"/>
  <c r="D289" i="2"/>
  <c r="BE288" i="2"/>
  <c r="AD288" i="2"/>
  <c r="U288" i="2"/>
  <c r="BE287" i="2"/>
  <c r="AD287" i="2"/>
  <c r="U287" i="2"/>
  <c r="BE286" i="2"/>
  <c r="AD286" i="2"/>
  <c r="U286" i="2"/>
  <c r="BE285" i="2"/>
  <c r="AD285" i="2"/>
  <c r="U285" i="2"/>
  <c r="BE284" i="2"/>
  <c r="AD284" i="2"/>
  <c r="U284" i="2"/>
  <c r="BE283" i="2"/>
  <c r="AD283" i="2"/>
  <c r="U283" i="2"/>
  <c r="BE282" i="2"/>
  <c r="AD282" i="2"/>
  <c r="U282" i="2"/>
  <c r="BE281" i="2"/>
  <c r="AD281" i="2"/>
  <c r="U281" i="2"/>
  <c r="BE280" i="2"/>
  <c r="AD280" i="2"/>
  <c r="U280" i="2"/>
  <c r="BE279" i="2"/>
  <c r="AD279" i="2"/>
  <c r="U279" i="2"/>
  <c r="BE278" i="2"/>
  <c r="AD278" i="2"/>
  <c r="U278" i="2"/>
  <c r="BE277" i="2"/>
  <c r="AD277" i="2"/>
  <c r="U277" i="2"/>
  <c r="BE276" i="2"/>
  <c r="AD276" i="2"/>
  <c r="U276" i="2"/>
  <c r="BE275" i="2"/>
  <c r="AD275" i="2"/>
  <c r="U275" i="2"/>
  <c r="BE274" i="2"/>
  <c r="AD274" i="2"/>
  <c r="U274" i="2"/>
  <c r="BE273" i="2"/>
  <c r="AD273" i="2"/>
  <c r="U273" i="2"/>
  <c r="BE272" i="2"/>
  <c r="AD272" i="2"/>
  <c r="U272" i="2"/>
  <c r="BE271" i="2"/>
  <c r="AD271" i="2"/>
  <c r="U271" i="2"/>
  <c r="BE270" i="2"/>
  <c r="AD270" i="2"/>
  <c r="U270" i="2"/>
  <c r="BE269" i="2"/>
  <c r="AD269" i="2"/>
  <c r="U269" i="2"/>
  <c r="BE268" i="2"/>
  <c r="AD268" i="2"/>
  <c r="U268" i="2"/>
  <c r="BE267" i="2"/>
  <c r="AD267" i="2"/>
  <c r="U267" i="2"/>
  <c r="BE266" i="2"/>
  <c r="AD266" i="2"/>
  <c r="U266" i="2"/>
  <c r="BE265" i="2"/>
  <c r="AD265" i="2"/>
  <c r="U265" i="2"/>
  <c r="BE264" i="2"/>
  <c r="AD264" i="2"/>
  <c r="U264" i="2"/>
  <c r="BE263" i="2"/>
  <c r="AD263" i="2"/>
  <c r="U263" i="2"/>
  <c r="BE262" i="2"/>
  <c r="AD262" i="2"/>
  <c r="U262" i="2"/>
  <c r="BE261" i="2"/>
  <c r="AD261" i="2"/>
  <c r="U261" i="2"/>
  <c r="BE260" i="2"/>
  <c r="AD260" i="2"/>
  <c r="U260" i="2"/>
  <c r="BE259" i="2"/>
  <c r="AD259" i="2"/>
  <c r="U259" i="2"/>
  <c r="BE258" i="2"/>
  <c r="AD258" i="2"/>
  <c r="U258" i="2"/>
  <c r="BL257" i="2"/>
  <c r="BK257" i="2"/>
  <c r="BJ257" i="2"/>
  <c r="BI257" i="2"/>
  <c r="BH257" i="2"/>
  <c r="BG257" i="2"/>
  <c r="BF257" i="2"/>
  <c r="BD257" i="2"/>
  <c r="AS257" i="2"/>
  <c r="AN257" i="2"/>
  <c r="BL256" i="2"/>
  <c r="BK256" i="2"/>
  <c r="BJ256" i="2"/>
  <c r="BI256" i="2"/>
  <c r="BH256" i="2"/>
  <c r="BG256" i="2"/>
  <c r="BF256" i="2"/>
  <c r="BD256" i="2"/>
  <c r="BC256" i="2"/>
  <c r="BB256" i="2"/>
  <c r="BA256" i="2"/>
  <c r="AZ256" i="2"/>
  <c r="AY256" i="2"/>
  <c r="AU256" i="2"/>
  <c r="AT256" i="2"/>
  <c r="AS256" i="2"/>
  <c r="AP256" i="2"/>
  <c r="AO256" i="2"/>
  <c r="AN256" i="2"/>
  <c r="AM256" i="2"/>
  <c r="AF256" i="2"/>
  <c r="AE256" i="2"/>
  <c r="W256" i="2"/>
  <c r="V256" i="2"/>
  <c r="N256" i="2"/>
  <c r="M256" i="2"/>
  <c r="E256" i="2"/>
  <c r="D256" i="2"/>
  <c r="BL255" i="2"/>
  <c r="BK255" i="2"/>
  <c r="BJ255" i="2"/>
  <c r="BI255" i="2"/>
  <c r="BH255" i="2"/>
  <c r="BG255" i="2"/>
  <c r="BF255" i="2"/>
  <c r="BD255" i="2"/>
  <c r="BC255" i="2"/>
  <c r="BB255" i="2"/>
  <c r="BA255" i="2"/>
  <c r="AZ255" i="2"/>
  <c r="AY255" i="2"/>
  <c r="AU255" i="2"/>
  <c r="AT255" i="2"/>
  <c r="AS255" i="2"/>
  <c r="AP255" i="2"/>
  <c r="AO255" i="2"/>
  <c r="AN255" i="2"/>
  <c r="AM255" i="2"/>
  <c r="AF255" i="2"/>
  <c r="AE255" i="2"/>
  <c r="W255" i="2"/>
  <c r="V255" i="2"/>
  <c r="N255" i="2"/>
  <c r="M255" i="2"/>
  <c r="E255" i="2"/>
  <c r="D255" i="2"/>
  <c r="BL254" i="2"/>
  <c r="BK254" i="2"/>
  <c r="BJ254" i="2"/>
  <c r="BI254" i="2"/>
  <c r="BH254" i="2"/>
  <c r="BG254" i="2"/>
  <c r="BF254" i="2"/>
  <c r="BD254" i="2"/>
  <c r="BC254" i="2"/>
  <c r="BB254" i="2"/>
  <c r="BA254" i="2"/>
  <c r="AZ254" i="2"/>
  <c r="AY254" i="2"/>
  <c r="AU254" i="2"/>
  <c r="AT254" i="2"/>
  <c r="AS254" i="2"/>
  <c r="AP254" i="2"/>
  <c r="AO254" i="2"/>
  <c r="AN254" i="2"/>
  <c r="AM254" i="2"/>
  <c r="AF254" i="2"/>
  <c r="AE254" i="2"/>
  <c r="W254" i="2"/>
  <c r="V254" i="2"/>
  <c r="N254" i="2"/>
  <c r="M254" i="2"/>
  <c r="E254" i="2"/>
  <c r="D254" i="2"/>
  <c r="BE253" i="2"/>
  <c r="AD253" i="2"/>
  <c r="U253" i="2"/>
  <c r="BE252" i="2"/>
  <c r="AD252" i="2"/>
  <c r="U252" i="2"/>
  <c r="BE251" i="2"/>
  <c r="AD251" i="2"/>
  <c r="U251" i="2"/>
  <c r="BE250" i="2"/>
  <c r="AD250" i="2"/>
  <c r="U250" i="2"/>
  <c r="BE249" i="2"/>
  <c r="AD249" i="2"/>
  <c r="U249" i="2"/>
  <c r="BE248" i="2"/>
  <c r="AD248" i="2"/>
  <c r="U248" i="2"/>
  <c r="BE247" i="2"/>
  <c r="AD247" i="2"/>
  <c r="U247" i="2"/>
  <c r="BE246" i="2"/>
  <c r="AD246" i="2"/>
  <c r="U246" i="2"/>
  <c r="BE245" i="2"/>
  <c r="AD245" i="2"/>
  <c r="U245" i="2"/>
  <c r="BE244" i="2"/>
  <c r="AD244" i="2"/>
  <c r="U244" i="2"/>
  <c r="BE243" i="2"/>
  <c r="AD243" i="2"/>
  <c r="U243" i="2"/>
  <c r="BE242" i="2"/>
  <c r="AD242" i="2"/>
  <c r="U242" i="2"/>
  <c r="BE241" i="2"/>
  <c r="AD241" i="2"/>
  <c r="U241" i="2"/>
  <c r="BE240" i="2"/>
  <c r="AD240" i="2"/>
  <c r="U240" i="2"/>
  <c r="BE239" i="2"/>
  <c r="AD239" i="2"/>
  <c r="U239" i="2"/>
  <c r="BE238" i="2"/>
  <c r="AD238" i="2"/>
  <c r="U238" i="2"/>
  <c r="BE237" i="2"/>
  <c r="AD237" i="2"/>
  <c r="U237" i="2"/>
  <c r="BE236" i="2"/>
  <c r="AD236" i="2"/>
  <c r="U236" i="2"/>
  <c r="BE235" i="2"/>
  <c r="AD235" i="2"/>
  <c r="U235" i="2"/>
  <c r="BE234" i="2"/>
  <c r="AD234" i="2"/>
  <c r="U234" i="2"/>
  <c r="BE233" i="2"/>
  <c r="AD233" i="2"/>
  <c r="U233" i="2"/>
  <c r="BE232" i="2"/>
  <c r="AD232" i="2"/>
  <c r="U232" i="2"/>
  <c r="BE231" i="2"/>
  <c r="AD231" i="2"/>
  <c r="U231" i="2"/>
  <c r="BE230" i="2"/>
  <c r="AD230" i="2"/>
  <c r="U230" i="2"/>
  <c r="BE229" i="2"/>
  <c r="AD229" i="2"/>
  <c r="U229" i="2"/>
  <c r="BE228" i="2"/>
  <c r="AD228" i="2"/>
  <c r="U228" i="2"/>
  <c r="BE227" i="2"/>
  <c r="AD227" i="2"/>
  <c r="U227" i="2"/>
  <c r="BE226" i="2"/>
  <c r="AD226" i="2"/>
  <c r="U226" i="2"/>
  <c r="BE225" i="2"/>
  <c r="AD225" i="2"/>
  <c r="U225" i="2"/>
  <c r="BE224" i="2"/>
  <c r="AD224" i="2"/>
  <c r="U224" i="2"/>
  <c r="BE223" i="2"/>
  <c r="AD223" i="2"/>
  <c r="U223" i="2"/>
  <c r="BL222" i="2"/>
  <c r="BK222" i="2"/>
  <c r="BJ222" i="2"/>
  <c r="BI222" i="2"/>
  <c r="BH222" i="2"/>
  <c r="BG222" i="2"/>
  <c r="BF222" i="2"/>
  <c r="BD222" i="2"/>
  <c r="AS222" i="2"/>
  <c r="AN222" i="2"/>
  <c r="BL221" i="2"/>
  <c r="BK221" i="2"/>
  <c r="BJ221" i="2"/>
  <c r="BI221" i="2"/>
  <c r="BH221" i="2"/>
  <c r="BG221" i="2"/>
  <c r="BF221" i="2"/>
  <c r="BD221" i="2"/>
  <c r="BC221" i="2"/>
  <c r="BB221" i="2"/>
  <c r="BA221" i="2"/>
  <c r="AZ221" i="2"/>
  <c r="AY221" i="2"/>
  <c r="AU221" i="2"/>
  <c r="AT221" i="2"/>
  <c r="AS221" i="2"/>
  <c r="AP221" i="2"/>
  <c r="AO221" i="2"/>
  <c r="AN221" i="2"/>
  <c r="AM221" i="2"/>
  <c r="AF221" i="2"/>
  <c r="AE221" i="2"/>
  <c r="W221" i="2"/>
  <c r="V221" i="2"/>
  <c r="N221" i="2"/>
  <c r="M221" i="2"/>
  <c r="E221" i="2"/>
  <c r="D221" i="2"/>
  <c r="BL220" i="2"/>
  <c r="BK220" i="2"/>
  <c r="BJ220" i="2"/>
  <c r="BI220" i="2"/>
  <c r="BH220" i="2"/>
  <c r="BG220" i="2"/>
  <c r="BF220" i="2"/>
  <c r="BD220" i="2"/>
  <c r="BC220" i="2"/>
  <c r="BB220" i="2"/>
  <c r="BA220" i="2"/>
  <c r="AZ220" i="2"/>
  <c r="AY220" i="2"/>
  <c r="AU220" i="2"/>
  <c r="AT220" i="2"/>
  <c r="AS220" i="2"/>
  <c r="AP220" i="2"/>
  <c r="AO220" i="2"/>
  <c r="AN220" i="2"/>
  <c r="AM220" i="2"/>
  <c r="AF220" i="2"/>
  <c r="AE220" i="2"/>
  <c r="W220" i="2"/>
  <c r="V220" i="2"/>
  <c r="N220" i="2"/>
  <c r="M220" i="2"/>
  <c r="E220" i="2"/>
  <c r="D220" i="2"/>
  <c r="BL219" i="2"/>
  <c r="BK219" i="2"/>
  <c r="BJ219" i="2"/>
  <c r="BI219" i="2"/>
  <c r="BH219" i="2"/>
  <c r="BG219" i="2"/>
  <c r="BF219" i="2"/>
  <c r="BD219" i="2"/>
  <c r="BC219" i="2"/>
  <c r="BB219" i="2"/>
  <c r="BA219" i="2"/>
  <c r="AZ219" i="2"/>
  <c r="AY219" i="2"/>
  <c r="AU219" i="2"/>
  <c r="AT219" i="2"/>
  <c r="AS219" i="2"/>
  <c r="AP219" i="2"/>
  <c r="AO219" i="2"/>
  <c r="AN219" i="2"/>
  <c r="AM219" i="2"/>
  <c r="AF219" i="2"/>
  <c r="AE219" i="2"/>
  <c r="W219" i="2"/>
  <c r="V219" i="2"/>
  <c r="N219" i="2"/>
  <c r="M219" i="2"/>
  <c r="E219" i="2"/>
  <c r="D219" i="2"/>
  <c r="BE218" i="2"/>
  <c r="AD218" i="2"/>
  <c r="U218" i="2"/>
  <c r="BE217" i="2"/>
  <c r="AD217" i="2"/>
  <c r="U217" i="2"/>
  <c r="BE216" i="2"/>
  <c r="AD216" i="2"/>
  <c r="U216" i="2"/>
  <c r="BE215" i="2"/>
  <c r="AD215" i="2"/>
  <c r="U215" i="2"/>
  <c r="BE214" i="2"/>
  <c r="AD214" i="2"/>
  <c r="U214" i="2"/>
  <c r="BE213" i="2"/>
  <c r="AD213" i="2"/>
  <c r="U213" i="2"/>
  <c r="BE212" i="2"/>
  <c r="AD212" i="2"/>
  <c r="U212" i="2"/>
  <c r="BE211" i="2"/>
  <c r="AD211" i="2"/>
  <c r="U211" i="2"/>
  <c r="BE210" i="2"/>
  <c r="AD210" i="2"/>
  <c r="U210" i="2"/>
  <c r="BE209" i="2"/>
  <c r="AD209" i="2"/>
  <c r="U209" i="2"/>
  <c r="BE208" i="2"/>
  <c r="AD208" i="2"/>
  <c r="U208" i="2"/>
  <c r="BE207" i="2"/>
  <c r="AD207" i="2"/>
  <c r="U207" i="2"/>
  <c r="BE206" i="2"/>
  <c r="AD206" i="2"/>
  <c r="U206" i="2"/>
  <c r="BE205" i="2"/>
  <c r="AD205" i="2"/>
  <c r="U205" i="2"/>
  <c r="BE204" i="2"/>
  <c r="AD204" i="2"/>
  <c r="U204" i="2"/>
  <c r="BE203" i="2"/>
  <c r="AD203" i="2"/>
  <c r="U203" i="2"/>
  <c r="BE202" i="2"/>
  <c r="AD202" i="2"/>
  <c r="U202" i="2"/>
  <c r="BE201" i="2"/>
  <c r="AD201" i="2"/>
  <c r="U201" i="2"/>
  <c r="BE200" i="2"/>
  <c r="AD200" i="2"/>
  <c r="U200" i="2"/>
  <c r="BE199" i="2"/>
  <c r="AD199" i="2"/>
  <c r="U199" i="2"/>
  <c r="BE198" i="2"/>
  <c r="AD198" i="2"/>
  <c r="U198" i="2"/>
  <c r="BE197" i="2"/>
  <c r="AD197" i="2"/>
  <c r="U197" i="2"/>
  <c r="BE196" i="2"/>
  <c r="AD196" i="2"/>
  <c r="U196" i="2"/>
  <c r="BE195" i="2"/>
  <c r="AD195" i="2"/>
  <c r="U195" i="2"/>
  <c r="BE194" i="2"/>
  <c r="AD194" i="2"/>
  <c r="U194" i="2"/>
  <c r="BE193" i="2"/>
  <c r="AD193" i="2"/>
  <c r="U193" i="2"/>
  <c r="BE192" i="2"/>
  <c r="AD192" i="2"/>
  <c r="U192" i="2"/>
  <c r="BE191" i="2"/>
  <c r="AD191" i="2"/>
  <c r="U191" i="2"/>
  <c r="BE190" i="2"/>
  <c r="AD190" i="2"/>
  <c r="U190" i="2"/>
  <c r="BE189" i="2"/>
  <c r="AD189" i="2"/>
  <c r="U189" i="2"/>
  <c r="BL188" i="2"/>
  <c r="BK188" i="2"/>
  <c r="BJ188" i="2"/>
  <c r="BI188" i="2"/>
  <c r="BH188" i="2"/>
  <c r="BG188" i="2"/>
  <c r="BF188" i="2"/>
  <c r="BD188" i="2"/>
  <c r="AS188" i="2"/>
  <c r="AN188" i="2"/>
  <c r="BL187" i="2"/>
  <c r="BK187" i="2"/>
  <c r="BJ187" i="2"/>
  <c r="BI187" i="2"/>
  <c r="BH187" i="2"/>
  <c r="BG187" i="2"/>
  <c r="BF187" i="2"/>
  <c r="BD187" i="2"/>
  <c r="BC187" i="2"/>
  <c r="BB187" i="2"/>
  <c r="BA187" i="2"/>
  <c r="AZ187" i="2"/>
  <c r="AY187" i="2"/>
  <c r="AU187" i="2"/>
  <c r="AT187" i="2"/>
  <c r="AS187" i="2"/>
  <c r="AP187" i="2"/>
  <c r="AO187" i="2"/>
  <c r="AN187" i="2"/>
  <c r="AM187" i="2"/>
  <c r="AF187" i="2"/>
  <c r="AE187" i="2"/>
  <c r="W187" i="2"/>
  <c r="V187" i="2"/>
  <c r="N187" i="2"/>
  <c r="M187" i="2"/>
  <c r="E187" i="2"/>
  <c r="D187" i="2"/>
  <c r="BL186" i="2"/>
  <c r="BK186" i="2"/>
  <c r="BJ186" i="2"/>
  <c r="BI186" i="2"/>
  <c r="BH186" i="2"/>
  <c r="BG186" i="2"/>
  <c r="BF186" i="2"/>
  <c r="BD186" i="2"/>
  <c r="BC186" i="2"/>
  <c r="BB186" i="2"/>
  <c r="BA186" i="2"/>
  <c r="AZ186" i="2"/>
  <c r="AY186" i="2"/>
  <c r="AU186" i="2"/>
  <c r="AT186" i="2"/>
  <c r="AS186" i="2"/>
  <c r="AP186" i="2"/>
  <c r="AO186" i="2"/>
  <c r="AN186" i="2"/>
  <c r="AM186" i="2"/>
  <c r="AF186" i="2"/>
  <c r="AE186" i="2"/>
  <c r="W186" i="2"/>
  <c r="V186" i="2"/>
  <c r="N186" i="2"/>
  <c r="M186" i="2"/>
  <c r="E186" i="2"/>
  <c r="D186" i="2"/>
  <c r="BL185" i="2"/>
  <c r="BK185" i="2"/>
  <c r="BJ185" i="2"/>
  <c r="BI185" i="2"/>
  <c r="BH185" i="2"/>
  <c r="BG185" i="2"/>
  <c r="BF185" i="2"/>
  <c r="BD185" i="2"/>
  <c r="BC185" i="2"/>
  <c r="BB185" i="2"/>
  <c r="BA185" i="2"/>
  <c r="AZ185" i="2"/>
  <c r="AY185" i="2"/>
  <c r="AU185" i="2"/>
  <c r="AT185" i="2"/>
  <c r="AS185" i="2"/>
  <c r="AP185" i="2"/>
  <c r="AO185" i="2"/>
  <c r="AN185" i="2"/>
  <c r="AM185" i="2"/>
  <c r="AF185" i="2"/>
  <c r="AE185" i="2"/>
  <c r="W185" i="2"/>
  <c r="V185" i="2"/>
  <c r="N185" i="2"/>
  <c r="M185" i="2"/>
  <c r="E185" i="2"/>
  <c r="D185" i="2"/>
  <c r="BE184" i="2"/>
  <c r="AD184" i="2"/>
  <c r="U184" i="2"/>
  <c r="BE183" i="2"/>
  <c r="AD183" i="2"/>
  <c r="U183" i="2"/>
  <c r="BE182" i="2"/>
  <c r="AD182" i="2"/>
  <c r="U182" i="2"/>
  <c r="BE181" i="2"/>
  <c r="AD181" i="2"/>
  <c r="U181" i="2"/>
  <c r="BE180" i="2"/>
  <c r="AD180" i="2"/>
  <c r="U180" i="2"/>
  <c r="BE179" i="2"/>
  <c r="AD179" i="2"/>
  <c r="U179" i="2"/>
  <c r="BE178" i="2"/>
  <c r="AD178" i="2"/>
  <c r="U178" i="2"/>
  <c r="BE177" i="2"/>
  <c r="AD177" i="2"/>
  <c r="U177" i="2"/>
  <c r="BE176" i="2"/>
  <c r="AD176" i="2"/>
  <c r="U176" i="2"/>
  <c r="BE175" i="2"/>
  <c r="AD175" i="2"/>
  <c r="U175" i="2"/>
  <c r="BE174" i="2"/>
  <c r="AD174" i="2"/>
  <c r="U174" i="2"/>
  <c r="BE173" i="2"/>
  <c r="AD173" i="2"/>
  <c r="U173" i="2"/>
  <c r="BE172" i="2"/>
  <c r="AD172" i="2"/>
  <c r="U172" i="2"/>
  <c r="BE171" i="2"/>
  <c r="AD171" i="2"/>
  <c r="U171" i="2"/>
  <c r="BE170" i="2"/>
  <c r="AD170" i="2"/>
  <c r="U170" i="2"/>
  <c r="BE169" i="2"/>
  <c r="AD169" i="2"/>
  <c r="U169" i="2"/>
  <c r="BE168" i="2"/>
  <c r="AD168" i="2"/>
  <c r="U168" i="2"/>
  <c r="BE167" i="2"/>
  <c r="AD167" i="2"/>
  <c r="U167" i="2"/>
  <c r="BE166" i="2"/>
  <c r="AD166" i="2"/>
  <c r="U166" i="2"/>
  <c r="BE165" i="2"/>
  <c r="AD165" i="2"/>
  <c r="U165" i="2"/>
  <c r="BE164" i="2"/>
  <c r="AD164" i="2"/>
  <c r="U164" i="2"/>
  <c r="BE163" i="2"/>
  <c r="AD163" i="2"/>
  <c r="U163" i="2"/>
  <c r="BE162" i="2"/>
  <c r="AD162" i="2"/>
  <c r="U162" i="2"/>
  <c r="BE161" i="2"/>
  <c r="AD161" i="2"/>
  <c r="U161" i="2"/>
  <c r="BE160" i="2"/>
  <c r="AD160" i="2"/>
  <c r="U160" i="2"/>
  <c r="BE159" i="2"/>
  <c r="AD159" i="2"/>
  <c r="U159" i="2"/>
  <c r="BE158" i="2"/>
  <c r="AD158" i="2"/>
  <c r="U158" i="2"/>
  <c r="BE157" i="2"/>
  <c r="AD157" i="2"/>
  <c r="U157" i="2"/>
  <c r="BE156" i="2"/>
  <c r="AD156" i="2"/>
  <c r="U156" i="2"/>
  <c r="BE155" i="2"/>
  <c r="AD155" i="2"/>
  <c r="U155" i="2"/>
  <c r="BE154" i="2"/>
  <c r="AD154" i="2"/>
  <c r="U154" i="2"/>
  <c r="BL153" i="2"/>
  <c r="BK153" i="2"/>
  <c r="BJ153" i="2"/>
  <c r="BI153" i="2"/>
  <c r="BH153" i="2"/>
  <c r="BG153" i="2"/>
  <c r="BF153" i="2"/>
  <c r="BD153" i="2"/>
  <c r="AS153" i="2"/>
  <c r="AN153" i="2"/>
  <c r="BL152" i="2"/>
  <c r="BK152" i="2"/>
  <c r="BJ152" i="2"/>
  <c r="BI152" i="2"/>
  <c r="BH152" i="2"/>
  <c r="BG152" i="2"/>
  <c r="BF152" i="2"/>
  <c r="BD152" i="2"/>
  <c r="BC152" i="2"/>
  <c r="BB152" i="2"/>
  <c r="BA152" i="2"/>
  <c r="AZ152" i="2"/>
  <c r="AY152" i="2"/>
  <c r="AU152" i="2"/>
  <c r="AT152" i="2"/>
  <c r="AS152" i="2"/>
  <c r="AP152" i="2"/>
  <c r="AO152" i="2"/>
  <c r="AN152" i="2"/>
  <c r="AM152" i="2"/>
  <c r="AF152" i="2"/>
  <c r="AE152" i="2"/>
  <c r="W152" i="2"/>
  <c r="V152" i="2"/>
  <c r="N152" i="2"/>
  <c r="M152" i="2"/>
  <c r="E152" i="2"/>
  <c r="D152" i="2"/>
  <c r="BL151" i="2"/>
  <c r="BK151" i="2"/>
  <c r="BJ151" i="2"/>
  <c r="BI151" i="2"/>
  <c r="BH151" i="2"/>
  <c r="BG151" i="2"/>
  <c r="BF151" i="2"/>
  <c r="BD151" i="2"/>
  <c r="BC151" i="2"/>
  <c r="BB151" i="2"/>
  <c r="BA151" i="2"/>
  <c r="AZ151" i="2"/>
  <c r="AY151" i="2"/>
  <c r="AU151" i="2"/>
  <c r="AT151" i="2"/>
  <c r="AS151" i="2"/>
  <c r="AP151" i="2"/>
  <c r="AO151" i="2"/>
  <c r="AN151" i="2"/>
  <c r="AM151" i="2"/>
  <c r="AF151" i="2"/>
  <c r="AE151" i="2"/>
  <c r="W151" i="2"/>
  <c r="V151" i="2"/>
  <c r="N151" i="2"/>
  <c r="M151" i="2"/>
  <c r="E151" i="2"/>
  <c r="D151" i="2"/>
  <c r="BL150" i="2"/>
  <c r="BK150" i="2"/>
  <c r="BJ150" i="2"/>
  <c r="BI150" i="2"/>
  <c r="BH150" i="2"/>
  <c r="BG150" i="2"/>
  <c r="BF150" i="2"/>
  <c r="BD150" i="2"/>
  <c r="BC150" i="2"/>
  <c r="BB150" i="2"/>
  <c r="BA150" i="2"/>
  <c r="AZ150" i="2"/>
  <c r="AY150" i="2"/>
  <c r="AU150" i="2"/>
  <c r="AT150" i="2"/>
  <c r="AS150" i="2"/>
  <c r="AP150" i="2"/>
  <c r="AO150" i="2"/>
  <c r="AN150" i="2"/>
  <c r="AM150" i="2"/>
  <c r="AF150" i="2"/>
  <c r="AE150" i="2"/>
  <c r="W150" i="2"/>
  <c r="V150" i="2"/>
  <c r="N150" i="2"/>
  <c r="M150" i="2"/>
  <c r="E150" i="2"/>
  <c r="D150" i="2"/>
  <c r="BE149" i="2"/>
  <c r="AD149" i="2"/>
  <c r="U149" i="2"/>
  <c r="BE148" i="2"/>
  <c r="AD148" i="2"/>
  <c r="U148" i="2"/>
  <c r="BE147" i="2"/>
  <c r="AD147" i="2"/>
  <c r="U147" i="2"/>
  <c r="BE146" i="2"/>
  <c r="AD146" i="2"/>
  <c r="U146" i="2"/>
  <c r="BE145" i="2"/>
  <c r="AD145" i="2"/>
  <c r="U145" i="2"/>
  <c r="BE144" i="2"/>
  <c r="AD144" i="2"/>
  <c r="U144" i="2"/>
  <c r="BE143" i="2"/>
  <c r="AD143" i="2"/>
  <c r="U143" i="2"/>
  <c r="BE142" i="2"/>
  <c r="AD142" i="2"/>
  <c r="U142" i="2"/>
  <c r="BE141" i="2"/>
  <c r="AD141" i="2"/>
  <c r="U141" i="2"/>
  <c r="BE140" i="2"/>
  <c r="AD140" i="2"/>
  <c r="U140" i="2"/>
  <c r="BE139" i="2"/>
  <c r="AD139" i="2"/>
  <c r="U139" i="2"/>
  <c r="BE138" i="2"/>
  <c r="AD138" i="2"/>
  <c r="U138" i="2"/>
  <c r="BE137" i="2"/>
  <c r="AD137" i="2"/>
  <c r="U137" i="2"/>
  <c r="BE136" i="2"/>
  <c r="AD136" i="2"/>
  <c r="U136" i="2"/>
  <c r="BE135" i="2"/>
  <c r="AD135" i="2"/>
  <c r="U135" i="2"/>
  <c r="BE134" i="2"/>
  <c r="AD134" i="2"/>
  <c r="U134" i="2"/>
  <c r="BE133" i="2"/>
  <c r="AD133" i="2"/>
  <c r="U133" i="2"/>
  <c r="BE132" i="2"/>
  <c r="AD132" i="2"/>
  <c r="U132" i="2"/>
  <c r="BE131" i="2"/>
  <c r="AD131" i="2"/>
  <c r="U131" i="2"/>
  <c r="BE130" i="2"/>
  <c r="AD130" i="2"/>
  <c r="U130" i="2"/>
  <c r="BE129" i="2"/>
  <c r="AD129" i="2"/>
  <c r="U129" i="2"/>
  <c r="BE128" i="2"/>
  <c r="AD128" i="2"/>
  <c r="U128" i="2"/>
  <c r="BE127" i="2"/>
  <c r="AD127" i="2"/>
  <c r="U127" i="2"/>
  <c r="BE126" i="2"/>
  <c r="AD126" i="2"/>
  <c r="U126" i="2"/>
  <c r="BE125" i="2"/>
  <c r="AD125" i="2"/>
  <c r="U125" i="2"/>
  <c r="BE124" i="2"/>
  <c r="AD124" i="2"/>
  <c r="U124" i="2"/>
  <c r="BE123" i="2"/>
  <c r="AD123" i="2"/>
  <c r="U123" i="2"/>
  <c r="BE122" i="2"/>
  <c r="AD122" i="2"/>
  <c r="U122" i="2"/>
  <c r="BE121" i="2"/>
  <c r="AD121" i="2"/>
  <c r="U121" i="2"/>
  <c r="BE120" i="2"/>
  <c r="AD120" i="2"/>
  <c r="U120" i="2"/>
  <c r="BL119" i="2"/>
  <c r="BK119" i="2"/>
  <c r="BJ119" i="2"/>
  <c r="BI119" i="2"/>
  <c r="BH119" i="2"/>
  <c r="BG119" i="2"/>
  <c r="BF119" i="2"/>
  <c r="BD119" i="2"/>
  <c r="AS119" i="2"/>
  <c r="AN119" i="2"/>
  <c r="BL118" i="2"/>
  <c r="BK118" i="2"/>
  <c r="BJ118" i="2"/>
  <c r="BI118" i="2"/>
  <c r="BH118" i="2"/>
  <c r="BG118" i="2"/>
  <c r="BF118" i="2"/>
  <c r="BD118" i="2"/>
  <c r="BC118" i="2"/>
  <c r="BB118" i="2"/>
  <c r="BA118" i="2"/>
  <c r="AZ118" i="2"/>
  <c r="AY118" i="2"/>
  <c r="AU118" i="2"/>
  <c r="AT118" i="2"/>
  <c r="AS118" i="2"/>
  <c r="AP118" i="2"/>
  <c r="AO118" i="2"/>
  <c r="AN118" i="2"/>
  <c r="AM118" i="2"/>
  <c r="AF118" i="2"/>
  <c r="AE118" i="2"/>
  <c r="W118" i="2"/>
  <c r="V118" i="2"/>
  <c r="N118" i="2"/>
  <c r="M118" i="2"/>
  <c r="E118" i="2"/>
  <c r="D118" i="2"/>
  <c r="BL117" i="2"/>
  <c r="BK117" i="2"/>
  <c r="BJ117" i="2"/>
  <c r="BI117" i="2"/>
  <c r="BH117" i="2"/>
  <c r="BG117" i="2"/>
  <c r="BF117" i="2"/>
  <c r="BD117" i="2"/>
  <c r="BC117" i="2"/>
  <c r="BB117" i="2"/>
  <c r="BA117" i="2"/>
  <c r="AZ117" i="2"/>
  <c r="AY117" i="2"/>
  <c r="AU117" i="2"/>
  <c r="AT117" i="2"/>
  <c r="AS117" i="2"/>
  <c r="AP117" i="2"/>
  <c r="AO117" i="2"/>
  <c r="AN117" i="2"/>
  <c r="AM117" i="2"/>
  <c r="AF117" i="2"/>
  <c r="AE117" i="2"/>
  <c r="W117" i="2"/>
  <c r="V117" i="2"/>
  <c r="N117" i="2"/>
  <c r="M117" i="2"/>
  <c r="E117" i="2"/>
  <c r="D117" i="2"/>
  <c r="BL116" i="2"/>
  <c r="BK116" i="2"/>
  <c r="BJ116" i="2"/>
  <c r="BI116" i="2"/>
  <c r="BH116" i="2"/>
  <c r="BG116" i="2"/>
  <c r="BF116" i="2"/>
  <c r="BD116" i="2"/>
  <c r="BC116" i="2"/>
  <c r="BB116" i="2"/>
  <c r="BA116" i="2"/>
  <c r="AZ116" i="2"/>
  <c r="AY116" i="2"/>
  <c r="AU116" i="2"/>
  <c r="AT116" i="2"/>
  <c r="AS116" i="2"/>
  <c r="AP116" i="2"/>
  <c r="AO116" i="2"/>
  <c r="AN116" i="2"/>
  <c r="AM116" i="2"/>
  <c r="AF116" i="2"/>
  <c r="AE116" i="2"/>
  <c r="W116" i="2"/>
  <c r="V116" i="2"/>
  <c r="N116" i="2"/>
  <c r="M116" i="2"/>
  <c r="E116" i="2"/>
  <c r="D116" i="2"/>
  <c r="BE115" i="2"/>
  <c r="AD115" i="2"/>
  <c r="U115" i="2"/>
  <c r="BE114" i="2"/>
  <c r="AD114" i="2"/>
  <c r="U114" i="2"/>
  <c r="BE113" i="2"/>
  <c r="AD113" i="2"/>
  <c r="U113" i="2"/>
  <c r="BE112" i="2"/>
  <c r="AD112" i="2"/>
  <c r="U112" i="2"/>
  <c r="BE111" i="2"/>
  <c r="AD111" i="2"/>
  <c r="U111" i="2"/>
  <c r="BE110" i="2"/>
  <c r="AD110" i="2"/>
  <c r="U110" i="2"/>
  <c r="BE109" i="2"/>
  <c r="AD109" i="2"/>
  <c r="U109" i="2"/>
  <c r="BE108" i="2"/>
  <c r="AD108" i="2"/>
  <c r="U108" i="2"/>
  <c r="BE107" i="2"/>
  <c r="AD107" i="2"/>
  <c r="U107" i="2"/>
  <c r="BE106" i="2"/>
  <c r="AD106" i="2"/>
  <c r="U106" i="2"/>
  <c r="BE105" i="2"/>
  <c r="AD105" i="2"/>
  <c r="U105" i="2"/>
  <c r="BE104" i="2"/>
  <c r="AD104" i="2"/>
  <c r="U104" i="2"/>
  <c r="BE103" i="2"/>
  <c r="AD103" i="2"/>
  <c r="U103" i="2"/>
  <c r="BE102" i="2"/>
  <c r="AD102" i="2"/>
  <c r="U102" i="2"/>
  <c r="BE101" i="2"/>
  <c r="AD101" i="2"/>
  <c r="U101" i="2"/>
  <c r="BE100" i="2"/>
  <c r="AD100" i="2"/>
  <c r="U100" i="2"/>
  <c r="BE99" i="2"/>
  <c r="AD99" i="2"/>
  <c r="U99" i="2"/>
  <c r="BE98" i="2"/>
  <c r="AD98" i="2"/>
  <c r="U98" i="2"/>
  <c r="BE97" i="2"/>
  <c r="AD97" i="2"/>
  <c r="U97" i="2"/>
  <c r="BE96" i="2"/>
  <c r="AD96" i="2"/>
  <c r="U96" i="2"/>
  <c r="BE95" i="2"/>
  <c r="AD95" i="2"/>
  <c r="U95" i="2"/>
  <c r="BE94" i="2"/>
  <c r="AD94" i="2"/>
  <c r="U94" i="2"/>
  <c r="BE93" i="2"/>
  <c r="AD93" i="2"/>
  <c r="U93" i="2"/>
  <c r="BE92" i="2"/>
  <c r="AD92" i="2"/>
  <c r="U92" i="2"/>
  <c r="BE91" i="2"/>
  <c r="AD91" i="2"/>
  <c r="U91" i="2"/>
  <c r="BE90" i="2"/>
  <c r="AD90" i="2"/>
  <c r="U90" i="2"/>
  <c r="BE89" i="2"/>
  <c r="AD89" i="2"/>
  <c r="U89" i="2"/>
  <c r="BE88" i="2"/>
  <c r="AD88" i="2"/>
  <c r="U88" i="2"/>
  <c r="BE87" i="2"/>
  <c r="AD87" i="2"/>
  <c r="U87" i="2"/>
  <c r="BE86" i="2"/>
  <c r="AD86" i="2"/>
  <c r="U86" i="2"/>
  <c r="B86" i="2"/>
  <c r="A86" i="2" s="1"/>
  <c r="BE85" i="2"/>
  <c r="AD85" i="2"/>
  <c r="U85" i="2"/>
  <c r="A85" i="2"/>
  <c r="BL84" i="2"/>
  <c r="BK84" i="2"/>
  <c r="BJ84" i="2"/>
  <c r="BI84" i="2"/>
  <c r="BH84" i="2"/>
  <c r="BG84" i="2"/>
  <c r="BF84" i="2"/>
  <c r="BD84" i="2"/>
  <c r="AS84" i="2"/>
  <c r="AN84" i="2"/>
  <c r="BL83" i="2"/>
  <c r="BK83" i="2"/>
  <c r="BJ83" i="2"/>
  <c r="BI83" i="2"/>
  <c r="BH83" i="2"/>
  <c r="BG83" i="2"/>
  <c r="BF83" i="2"/>
  <c r="BD83" i="2"/>
  <c r="BC83" i="2"/>
  <c r="BB83" i="2"/>
  <c r="BA83" i="2"/>
  <c r="AZ83" i="2"/>
  <c r="AY83" i="2"/>
  <c r="AU83" i="2"/>
  <c r="AT83" i="2"/>
  <c r="AS83" i="2"/>
  <c r="AP83" i="2"/>
  <c r="AO83" i="2"/>
  <c r="AN83" i="2"/>
  <c r="AM83" i="2"/>
  <c r="AF83" i="2"/>
  <c r="AE83" i="2"/>
  <c r="W83" i="2"/>
  <c r="V83" i="2"/>
  <c r="N83" i="2"/>
  <c r="M83" i="2"/>
  <c r="E83" i="2"/>
  <c r="D83" i="2"/>
  <c r="BL82" i="2"/>
  <c r="BK82" i="2"/>
  <c r="BJ82" i="2"/>
  <c r="BI82" i="2"/>
  <c r="BH82" i="2"/>
  <c r="BG82" i="2"/>
  <c r="BF82" i="2"/>
  <c r="BD82" i="2"/>
  <c r="BC82" i="2"/>
  <c r="BB82" i="2"/>
  <c r="BA82" i="2"/>
  <c r="AZ82" i="2"/>
  <c r="AY82" i="2"/>
  <c r="AU82" i="2"/>
  <c r="AT82" i="2"/>
  <c r="AS82" i="2"/>
  <c r="AP82" i="2"/>
  <c r="AO82" i="2"/>
  <c r="AN82" i="2"/>
  <c r="AM82" i="2"/>
  <c r="AF82" i="2"/>
  <c r="AE82" i="2"/>
  <c r="W82" i="2"/>
  <c r="V82" i="2"/>
  <c r="N82" i="2"/>
  <c r="M82" i="2"/>
  <c r="E82" i="2"/>
  <c r="D82" i="2"/>
  <c r="BL81" i="2"/>
  <c r="BK81" i="2"/>
  <c r="BJ81" i="2"/>
  <c r="BI81" i="2"/>
  <c r="BH81" i="2"/>
  <c r="BG81" i="2"/>
  <c r="BF81" i="2"/>
  <c r="BD81" i="2"/>
  <c r="BC81" i="2"/>
  <c r="BB81" i="2"/>
  <c r="BA81" i="2"/>
  <c r="AZ81" i="2"/>
  <c r="AY81" i="2"/>
  <c r="AU81" i="2"/>
  <c r="AT81" i="2"/>
  <c r="AS81" i="2"/>
  <c r="AP81" i="2"/>
  <c r="AO81" i="2"/>
  <c r="AN81" i="2"/>
  <c r="AM81" i="2"/>
  <c r="AF81" i="2"/>
  <c r="AE81" i="2"/>
  <c r="W81" i="2"/>
  <c r="V81" i="2"/>
  <c r="N81" i="2"/>
  <c r="M81" i="2"/>
  <c r="E81" i="2"/>
  <c r="D81" i="2"/>
  <c r="BE80" i="2"/>
  <c r="AD80" i="2"/>
  <c r="U80" i="2"/>
  <c r="BE79" i="2"/>
  <c r="AD79" i="2"/>
  <c r="U79" i="2"/>
  <c r="BE78" i="2"/>
  <c r="AD78" i="2"/>
  <c r="U78" i="2"/>
  <c r="BE77" i="2"/>
  <c r="AD77" i="2"/>
  <c r="U77" i="2"/>
  <c r="BE76" i="2"/>
  <c r="AD76" i="2"/>
  <c r="U76" i="2"/>
  <c r="BE75" i="2"/>
  <c r="AD75" i="2"/>
  <c r="U75" i="2"/>
  <c r="BE74" i="2"/>
  <c r="AD74" i="2"/>
  <c r="U74" i="2"/>
  <c r="BE73" i="2"/>
  <c r="AD73" i="2"/>
  <c r="U73" i="2"/>
  <c r="BE72" i="2"/>
  <c r="AD72" i="2"/>
  <c r="U72" i="2"/>
  <c r="BE71" i="2"/>
  <c r="AD71" i="2"/>
  <c r="U71" i="2"/>
  <c r="BE70" i="2"/>
  <c r="AD70" i="2"/>
  <c r="U70" i="2"/>
  <c r="BE69" i="2"/>
  <c r="AD69" i="2"/>
  <c r="U69" i="2"/>
  <c r="BE68" i="2"/>
  <c r="AD68" i="2"/>
  <c r="U68" i="2"/>
  <c r="BE67" i="2"/>
  <c r="AD67" i="2"/>
  <c r="U67" i="2"/>
  <c r="BE66" i="2"/>
  <c r="AD66" i="2"/>
  <c r="U66" i="2"/>
  <c r="BE65" i="2"/>
  <c r="AD65" i="2"/>
  <c r="U65" i="2"/>
  <c r="BE64" i="2"/>
  <c r="AD64" i="2"/>
  <c r="U64" i="2"/>
  <c r="BE63" i="2"/>
  <c r="AD63" i="2"/>
  <c r="U63" i="2"/>
  <c r="BE62" i="2"/>
  <c r="AD62" i="2"/>
  <c r="U62" i="2"/>
  <c r="BE61" i="2"/>
  <c r="AD61" i="2"/>
  <c r="U61" i="2"/>
  <c r="BE60" i="2"/>
  <c r="AD60" i="2"/>
  <c r="U60" i="2"/>
  <c r="BE59" i="2"/>
  <c r="AD59" i="2"/>
  <c r="U59" i="2"/>
  <c r="BE58" i="2"/>
  <c r="AD58" i="2"/>
  <c r="U58" i="2"/>
  <c r="BE57" i="2"/>
  <c r="AD57" i="2"/>
  <c r="U57" i="2"/>
  <c r="BE56" i="2"/>
  <c r="AD56" i="2"/>
  <c r="U56" i="2"/>
  <c r="BE55" i="2"/>
  <c r="AD55" i="2"/>
  <c r="U55" i="2"/>
  <c r="BE54" i="2"/>
  <c r="AD54" i="2"/>
  <c r="U54" i="2"/>
  <c r="BE53" i="2"/>
  <c r="AD53" i="2"/>
  <c r="U53" i="2"/>
  <c r="BE52" i="2"/>
  <c r="AD52" i="2"/>
  <c r="U52" i="2"/>
  <c r="BL51" i="2"/>
  <c r="BK51" i="2"/>
  <c r="BJ51" i="2"/>
  <c r="BI51" i="2"/>
  <c r="BH51" i="2"/>
  <c r="BG51" i="2"/>
  <c r="BF51" i="2"/>
  <c r="BD51" i="2"/>
  <c r="AS51" i="2"/>
  <c r="AN51" i="2"/>
  <c r="BL50" i="2"/>
  <c r="BK50" i="2"/>
  <c r="BJ50" i="2"/>
  <c r="BI50" i="2"/>
  <c r="BH50" i="2"/>
  <c r="BG50" i="2"/>
  <c r="BF50" i="2"/>
  <c r="BD50" i="2"/>
  <c r="BC50" i="2"/>
  <c r="BB50" i="2"/>
  <c r="BA50" i="2"/>
  <c r="AZ50" i="2"/>
  <c r="AY50" i="2"/>
  <c r="AU50" i="2"/>
  <c r="AT50" i="2"/>
  <c r="AS50" i="2"/>
  <c r="AP50" i="2"/>
  <c r="AO50" i="2"/>
  <c r="AN50" i="2"/>
  <c r="AM50" i="2"/>
  <c r="AF50" i="2"/>
  <c r="AE50" i="2"/>
  <c r="W50" i="2"/>
  <c r="V50" i="2"/>
  <c r="N50" i="2"/>
  <c r="M50" i="2"/>
  <c r="E50" i="2"/>
  <c r="D50" i="2"/>
  <c r="BL49" i="2"/>
  <c r="BK49" i="2"/>
  <c r="BJ49" i="2"/>
  <c r="BI49" i="2"/>
  <c r="BH49" i="2"/>
  <c r="BG49" i="2"/>
  <c r="BF49" i="2"/>
  <c r="BD49" i="2"/>
  <c r="BC49" i="2"/>
  <c r="BB49" i="2"/>
  <c r="BA49" i="2"/>
  <c r="AZ49" i="2"/>
  <c r="AY49" i="2"/>
  <c r="AU49" i="2"/>
  <c r="AT49" i="2"/>
  <c r="AS49" i="2"/>
  <c r="AP49" i="2"/>
  <c r="AO49" i="2"/>
  <c r="AN49" i="2"/>
  <c r="AM49" i="2"/>
  <c r="AF49" i="2"/>
  <c r="AE49" i="2"/>
  <c r="W49" i="2"/>
  <c r="V49" i="2"/>
  <c r="N49" i="2"/>
  <c r="M49" i="2"/>
  <c r="E49" i="2"/>
  <c r="D49" i="2"/>
  <c r="BL48" i="2"/>
  <c r="BK48" i="2"/>
  <c r="BJ48" i="2"/>
  <c r="BI48" i="2"/>
  <c r="BH48" i="2"/>
  <c r="BH9" i="2" s="1"/>
  <c r="BG48" i="2"/>
  <c r="BG11" i="2" s="1"/>
  <c r="BF48" i="2"/>
  <c r="BF10" i="2" s="1"/>
  <c r="BD48" i="2"/>
  <c r="BC48" i="2"/>
  <c r="BB48" i="2"/>
  <c r="BA48" i="2"/>
  <c r="AZ48" i="2"/>
  <c r="AY48" i="2"/>
  <c r="AU48" i="2"/>
  <c r="AT48" i="2"/>
  <c r="AS48" i="2"/>
  <c r="AP48" i="2"/>
  <c r="AO48" i="2"/>
  <c r="AN48" i="2"/>
  <c r="AM48" i="2"/>
  <c r="AF48" i="2"/>
  <c r="AE48" i="2"/>
  <c r="W48" i="2"/>
  <c r="V48" i="2"/>
  <c r="N48" i="2"/>
  <c r="M48" i="2"/>
  <c r="E48" i="2"/>
  <c r="D48" i="2"/>
  <c r="BE47" i="2"/>
  <c r="AD47" i="2"/>
  <c r="U47" i="2"/>
  <c r="BE46" i="2"/>
  <c r="AD46" i="2"/>
  <c r="U46" i="2"/>
  <c r="BE45" i="2"/>
  <c r="AD45" i="2"/>
  <c r="U45" i="2"/>
  <c r="BE44" i="2"/>
  <c r="AD44" i="2"/>
  <c r="U44" i="2"/>
  <c r="BE43" i="2"/>
  <c r="AD43" i="2"/>
  <c r="U43" i="2"/>
  <c r="BE42" i="2"/>
  <c r="AD42" i="2"/>
  <c r="U42" i="2"/>
  <c r="BE41" i="2"/>
  <c r="AD41" i="2"/>
  <c r="U41" i="2"/>
  <c r="BE40" i="2"/>
  <c r="AD40" i="2"/>
  <c r="U40" i="2"/>
  <c r="BE39" i="2"/>
  <c r="AD39" i="2"/>
  <c r="U39" i="2"/>
  <c r="BE38" i="2"/>
  <c r="AD38" i="2"/>
  <c r="U38" i="2"/>
  <c r="BE37" i="2"/>
  <c r="AD37" i="2"/>
  <c r="U37" i="2"/>
  <c r="BE36" i="2"/>
  <c r="AD36" i="2"/>
  <c r="U36" i="2"/>
  <c r="BE35" i="2"/>
  <c r="AD35" i="2"/>
  <c r="U35" i="2"/>
  <c r="BE34" i="2"/>
  <c r="AD34" i="2"/>
  <c r="U34" i="2"/>
  <c r="BE33" i="2"/>
  <c r="AD33" i="2"/>
  <c r="U33" i="2"/>
  <c r="BE32" i="2"/>
  <c r="AD32" i="2"/>
  <c r="U32" i="2"/>
  <c r="BE31" i="2"/>
  <c r="AD31" i="2"/>
  <c r="U31" i="2"/>
  <c r="BE30" i="2"/>
  <c r="AD30" i="2"/>
  <c r="U30" i="2"/>
  <c r="BE29" i="2"/>
  <c r="AD29" i="2"/>
  <c r="U29" i="2"/>
  <c r="BE28" i="2"/>
  <c r="AD28" i="2"/>
  <c r="U28" i="2"/>
  <c r="BE27" i="2"/>
  <c r="AD27" i="2"/>
  <c r="U27" i="2"/>
  <c r="BE26" i="2"/>
  <c r="AD26" i="2"/>
  <c r="U26" i="2"/>
  <c r="BE25" i="2"/>
  <c r="AD25" i="2"/>
  <c r="U25" i="2"/>
  <c r="BE24" i="2"/>
  <c r="AD24" i="2"/>
  <c r="U24" i="2"/>
  <c r="BE23" i="2"/>
  <c r="AD23" i="2"/>
  <c r="U23" i="2"/>
  <c r="BE22" i="2"/>
  <c r="AD22" i="2"/>
  <c r="U22" i="2"/>
  <c r="BE21" i="2"/>
  <c r="AD21" i="2"/>
  <c r="U21" i="2"/>
  <c r="BE20" i="2"/>
  <c r="AD20" i="2"/>
  <c r="U20" i="2"/>
  <c r="BE19" i="2"/>
  <c r="AD19" i="2"/>
  <c r="U19" i="2"/>
  <c r="BE18" i="2"/>
  <c r="AD18" i="2"/>
  <c r="U18" i="2"/>
  <c r="B18" i="2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E17" i="2"/>
  <c r="AD17" i="2"/>
  <c r="U17" i="2"/>
  <c r="A17" i="2"/>
  <c r="AX372" i="2" l="1"/>
  <c r="AX192" i="2"/>
  <c r="AX167" i="2"/>
  <c r="AR428" i="2"/>
  <c r="AR429" i="2"/>
  <c r="AX396" i="2"/>
  <c r="AR427" i="2"/>
  <c r="AX235" i="2"/>
  <c r="AX353" i="2"/>
  <c r="AR325" i="2"/>
  <c r="AX258" i="2"/>
  <c r="AR186" i="2"/>
  <c r="AX414" i="2"/>
  <c r="D8" i="2"/>
  <c r="D9" i="2"/>
  <c r="D10" i="2"/>
  <c r="AS8" i="2"/>
  <c r="AS12" i="2"/>
  <c r="AS11" i="2"/>
  <c r="AS9" i="2"/>
  <c r="AS10" i="2"/>
  <c r="BI9" i="2"/>
  <c r="BI12" i="2"/>
  <c r="BI11" i="2"/>
  <c r="BI10" i="2"/>
  <c r="BI8" i="2"/>
  <c r="AX350" i="2"/>
  <c r="AX405" i="2"/>
  <c r="AX251" i="2"/>
  <c r="AX233" i="2"/>
  <c r="AX177" i="2"/>
  <c r="AV50" i="2"/>
  <c r="AQ428" i="2"/>
  <c r="AR264" i="2"/>
  <c r="AR289" i="2" s="1"/>
  <c r="AQ255" i="2"/>
  <c r="AR223" i="2"/>
  <c r="AR190" i="2"/>
  <c r="AX190" i="2" s="1"/>
  <c r="E8" i="2"/>
  <c r="E9" i="2"/>
  <c r="E10" i="2"/>
  <c r="AT8" i="2"/>
  <c r="AT9" i="2"/>
  <c r="BJ9" i="2"/>
  <c r="BJ12" i="2"/>
  <c r="BJ11" i="2"/>
  <c r="BJ10" i="2"/>
  <c r="AX425" i="2"/>
  <c r="AW342" i="2"/>
  <c r="AX342" i="2" s="1"/>
  <c r="AX360" i="2" s="1"/>
  <c r="AX335" i="2"/>
  <c r="AW304" i="2"/>
  <c r="AX304" i="2" s="1"/>
  <c r="AW272" i="2"/>
  <c r="AX272" i="2" s="1"/>
  <c r="AW250" i="2"/>
  <c r="AX250" i="2" s="1"/>
  <c r="AW241" i="2"/>
  <c r="AX241" i="2" s="1"/>
  <c r="AX232" i="2"/>
  <c r="AX98" i="2"/>
  <c r="AW76" i="2"/>
  <c r="AX76" i="2" s="1"/>
  <c r="AR329" i="2"/>
  <c r="AR359" i="2" s="1"/>
  <c r="M9" i="2"/>
  <c r="M10" i="2"/>
  <c r="M8" i="2"/>
  <c r="AX159" i="2"/>
  <c r="AX322" i="2"/>
  <c r="AX313" i="2"/>
  <c r="AV186" i="2"/>
  <c r="AX166" i="2"/>
  <c r="AQ427" i="2"/>
  <c r="AQ394" i="2"/>
  <c r="AR392" i="2"/>
  <c r="AR394" i="2"/>
  <c r="AR219" i="2"/>
  <c r="AR221" i="2"/>
  <c r="AQ256" i="2"/>
  <c r="AR90" i="2"/>
  <c r="AR118" i="2" s="1"/>
  <c r="AQ116" i="2"/>
  <c r="N9" i="2"/>
  <c r="N10" i="2"/>
  <c r="AY8" i="2"/>
  <c r="AY9" i="2"/>
  <c r="AY10" i="2"/>
  <c r="BL8" i="2"/>
  <c r="BL9" i="2"/>
  <c r="BL12" i="2"/>
  <c r="BL11" i="2"/>
  <c r="BL10" i="2"/>
  <c r="AX420" i="2"/>
  <c r="AX78" i="2"/>
  <c r="AX26" i="2"/>
  <c r="AX421" i="2"/>
  <c r="AV360" i="2"/>
  <c r="AR393" i="2"/>
  <c r="AQ360" i="2"/>
  <c r="AR220" i="2"/>
  <c r="AQ187" i="2"/>
  <c r="AQ82" i="2"/>
  <c r="BH11" i="2"/>
  <c r="BH10" i="2"/>
  <c r="BH8" i="2"/>
  <c r="AQ289" i="2"/>
  <c r="V8" i="2"/>
  <c r="V9" i="2"/>
  <c r="AZ8" i="2"/>
  <c r="AZ9" i="2"/>
  <c r="AZ10" i="2"/>
  <c r="AX388" i="2"/>
  <c r="AX370" i="2"/>
  <c r="AX344" i="2"/>
  <c r="AX155" i="2"/>
  <c r="AX411" i="2"/>
  <c r="AW402" i="2"/>
  <c r="AX402" i="2" s="1"/>
  <c r="AW311" i="2"/>
  <c r="AX311" i="2" s="1"/>
  <c r="AX288" i="2"/>
  <c r="AX248" i="2"/>
  <c r="AW229" i="2"/>
  <c r="AX229" i="2" s="1"/>
  <c r="AX114" i="2"/>
  <c r="AQ393" i="2"/>
  <c r="AQ220" i="2"/>
  <c r="AQ118" i="2"/>
  <c r="AH8" i="2"/>
  <c r="Y9" i="2"/>
  <c r="P8" i="2"/>
  <c r="G8" i="2"/>
  <c r="W10" i="2"/>
  <c r="W8" i="2"/>
  <c r="W9" i="2"/>
  <c r="BA8" i="2"/>
  <c r="BA9" i="2"/>
  <c r="BA10" i="2"/>
  <c r="AX340" i="2"/>
  <c r="AX215" i="2"/>
  <c r="AX182" i="2"/>
  <c r="AQ392" i="2"/>
  <c r="AR360" i="2"/>
  <c r="AQ219" i="2"/>
  <c r="AQ186" i="2"/>
  <c r="AR187" i="2"/>
  <c r="AR150" i="2"/>
  <c r="AR151" i="2"/>
  <c r="AR50" i="2"/>
  <c r="AX90" i="2"/>
  <c r="AE8" i="2"/>
  <c r="AE9" i="2"/>
  <c r="AE10" i="2"/>
  <c r="BB8" i="2"/>
  <c r="BB9" i="2"/>
  <c r="BB10" i="2"/>
  <c r="AX413" i="2"/>
  <c r="AX364" i="2"/>
  <c r="AX419" i="2"/>
  <c r="AW355" i="2"/>
  <c r="AX355" i="2" s="1"/>
  <c r="AX310" i="2"/>
  <c r="AX301" i="2"/>
  <c r="AX214" i="2"/>
  <c r="AR358" i="2"/>
  <c r="AR323" i="2"/>
  <c r="AR324" i="2"/>
  <c r="AR185" i="2"/>
  <c r="AR152" i="2"/>
  <c r="AR116" i="2"/>
  <c r="BH12" i="2"/>
  <c r="BJ8" i="2"/>
  <c r="AF8" i="2"/>
  <c r="AF9" i="2"/>
  <c r="AF10" i="2"/>
  <c r="BC8" i="2"/>
  <c r="BC9" i="2"/>
  <c r="BC10" i="2"/>
  <c r="AX208" i="2"/>
  <c r="AX146" i="2"/>
  <c r="AX409" i="2"/>
  <c r="AX347" i="2"/>
  <c r="AX162" i="2"/>
  <c r="AV83" i="2"/>
  <c r="AV81" i="2"/>
  <c r="AQ358" i="2"/>
  <c r="AQ325" i="2"/>
  <c r="AQ185" i="2"/>
  <c r="AQ151" i="2"/>
  <c r="AP8" i="2"/>
  <c r="AP9" i="2"/>
  <c r="AP10" i="2"/>
  <c r="BK8" i="2"/>
  <c r="BK9" i="2"/>
  <c r="BK12" i="2"/>
  <c r="BK11" i="2"/>
  <c r="BK10" i="2"/>
  <c r="AM8" i="2"/>
  <c r="AM9" i="2"/>
  <c r="AM10" i="2"/>
  <c r="BD8" i="2"/>
  <c r="BD9" i="2"/>
  <c r="BD12" i="2"/>
  <c r="BD11" i="2"/>
  <c r="BD10" i="2"/>
  <c r="AX408" i="2"/>
  <c r="AV254" i="2"/>
  <c r="AX140" i="2"/>
  <c r="AQ324" i="2"/>
  <c r="AQ291" i="2"/>
  <c r="AQ150" i="2"/>
  <c r="AQ117" i="2"/>
  <c r="AQ83" i="2"/>
  <c r="AX406" i="2"/>
  <c r="AU10" i="2"/>
  <c r="AU8" i="2"/>
  <c r="AU9" i="2"/>
  <c r="AN8" i="2"/>
  <c r="AN9" i="2"/>
  <c r="AN10" i="2"/>
  <c r="AN12" i="2"/>
  <c r="AN11" i="2"/>
  <c r="BF8" i="2"/>
  <c r="BF9" i="2"/>
  <c r="BF12" i="2"/>
  <c r="BF11" i="2"/>
  <c r="AX407" i="2"/>
  <c r="AX381" i="2"/>
  <c r="AX122" i="2"/>
  <c r="AX67" i="2"/>
  <c r="AX298" i="2"/>
  <c r="AQ323" i="2"/>
  <c r="AT10" i="2"/>
  <c r="AX415" i="2"/>
  <c r="AO8" i="2"/>
  <c r="AO9" i="2"/>
  <c r="AO10" i="2"/>
  <c r="BG10" i="2"/>
  <c r="BG8" i="2"/>
  <c r="BG9" i="2"/>
  <c r="BG12" i="2"/>
  <c r="AX37" i="2"/>
  <c r="AX384" i="2"/>
  <c r="AX329" i="2"/>
  <c r="AX316" i="2"/>
  <c r="AX307" i="2"/>
  <c r="AX211" i="2"/>
  <c r="AW17" i="2"/>
  <c r="G9" i="2"/>
  <c r="G10" i="2"/>
  <c r="N8" i="2"/>
  <c r="AQ81" i="2"/>
  <c r="AQ50" i="2"/>
  <c r="AG10" i="2"/>
  <c r="I10" i="2"/>
  <c r="AI9" i="2"/>
  <c r="K9" i="2"/>
  <c r="AK8" i="2"/>
  <c r="Y8" i="2"/>
  <c r="T10" i="2"/>
  <c r="H10" i="2"/>
  <c r="AH9" i="2"/>
  <c r="AJ8" i="2"/>
  <c r="X8" i="2"/>
  <c r="AQ49" i="2"/>
  <c r="S10" i="2"/>
  <c r="AG9" i="2"/>
  <c r="AI8" i="2"/>
  <c r="K8" i="2"/>
  <c r="AR48" i="2"/>
  <c r="R10" i="2"/>
  <c r="F10" i="2"/>
  <c r="T9" i="2"/>
  <c r="H9" i="2"/>
  <c r="AQ48" i="2"/>
  <c r="AQ8" i="2" s="1"/>
  <c r="AC10" i="2"/>
  <c r="Q10" i="2"/>
  <c r="S9" i="2"/>
  <c r="AB10" i="2"/>
  <c r="P10" i="2"/>
  <c r="R9" i="2"/>
  <c r="F9" i="2"/>
  <c r="AQ152" i="2"/>
  <c r="AQ9" i="2" s="1"/>
  <c r="AA10" i="2"/>
  <c r="O10" i="2"/>
  <c r="AC9" i="2"/>
  <c r="Q9" i="2"/>
  <c r="AR53" i="2"/>
  <c r="AR81" i="2" s="1"/>
  <c r="AL10" i="2"/>
  <c r="Z10" i="2"/>
  <c r="AB9" i="2"/>
  <c r="P9" i="2"/>
  <c r="AK10" i="2"/>
  <c r="Y10" i="2"/>
  <c r="AA9" i="2"/>
  <c r="O9" i="2"/>
  <c r="AW220" i="2"/>
  <c r="AW221" i="2"/>
  <c r="AW219" i="2"/>
  <c r="AX189" i="2"/>
  <c r="AX362" i="2"/>
  <c r="AW290" i="2"/>
  <c r="AW152" i="2"/>
  <c r="AW151" i="2"/>
  <c r="AW150" i="2"/>
  <c r="AW291" i="2"/>
  <c r="AW187" i="2"/>
  <c r="AX156" i="2"/>
  <c r="AW186" i="2"/>
  <c r="AX397" i="2"/>
  <c r="AW427" i="2"/>
  <c r="AW429" i="2"/>
  <c r="AX224" i="2"/>
  <c r="AW254" i="2"/>
  <c r="AW255" i="2"/>
  <c r="AW256" i="2"/>
  <c r="AW428" i="2"/>
  <c r="AX391" i="2"/>
  <c r="AX366" i="2"/>
  <c r="AX336" i="2"/>
  <c r="AX293" i="2"/>
  <c r="AX237" i="2"/>
  <c r="AX199" i="2"/>
  <c r="AX273" i="2"/>
  <c r="AW289" i="2"/>
  <c r="AX243" i="2"/>
  <c r="AV219" i="2"/>
  <c r="AX205" i="2"/>
  <c r="AX112" i="2"/>
  <c r="AX96" i="2"/>
  <c r="AV116" i="2"/>
  <c r="AV117" i="2"/>
  <c r="AW88" i="2"/>
  <c r="AX71" i="2"/>
  <c r="AX390" i="2"/>
  <c r="AX378" i="2"/>
  <c r="AX306" i="2"/>
  <c r="AX158" i="2"/>
  <c r="AX120" i="2"/>
  <c r="AX77" i="2"/>
  <c r="AV150" i="2"/>
  <c r="AV392" i="2"/>
  <c r="AV324" i="2"/>
  <c r="AX286" i="2"/>
  <c r="AV256" i="2"/>
  <c r="AX218" i="2"/>
  <c r="AV220" i="2"/>
  <c r="AV221" i="2"/>
  <c r="AX70" i="2"/>
  <c r="AW53" i="2"/>
  <c r="AW33" i="2"/>
  <c r="AX33" i="2" s="1"/>
  <c r="AW294" i="2"/>
  <c r="AW325" i="2" s="1"/>
  <c r="AX149" i="2"/>
  <c r="AX127" i="2"/>
  <c r="AV152" i="2"/>
  <c r="AW69" i="2"/>
  <c r="AX69" i="2" s="1"/>
  <c r="AV429" i="2"/>
  <c r="AV393" i="2"/>
  <c r="AV394" i="2"/>
  <c r="AV323" i="2"/>
  <c r="AX285" i="2"/>
  <c r="AX217" i="2"/>
  <c r="AX195" i="2"/>
  <c r="AV187" i="2"/>
  <c r="AX164" i="2"/>
  <c r="AX85" i="2"/>
  <c r="AX374" i="2"/>
  <c r="AX281" i="2"/>
  <c r="AX170" i="2"/>
  <c r="AW360" i="2"/>
  <c r="AX126" i="2"/>
  <c r="AV118" i="2"/>
  <c r="AX368" i="2"/>
  <c r="AV325" i="2"/>
  <c r="AX262" i="2"/>
  <c r="AX194" i="2"/>
  <c r="AX163" i="2"/>
  <c r="AV185" i="2"/>
  <c r="AX108" i="2"/>
  <c r="AW100" i="2"/>
  <c r="AX100" i="2" s="1"/>
  <c r="AX59" i="2"/>
  <c r="AW359" i="2"/>
  <c r="AX139" i="2"/>
  <c r="AX125" i="2"/>
  <c r="AV48" i="2"/>
  <c r="AV9" i="2" s="1"/>
  <c r="AV427" i="2"/>
  <c r="AV359" i="2"/>
  <c r="AX299" i="2"/>
  <c r="AV291" i="2"/>
  <c r="AV289" i="2"/>
  <c r="AX261" i="2"/>
  <c r="AV290" i="2"/>
  <c r="AX231" i="2"/>
  <c r="AX207" i="2"/>
  <c r="AX193" i="2"/>
  <c r="AX176" i="2"/>
  <c r="AV82" i="2"/>
  <c r="AX58" i="2"/>
  <c r="AW380" i="2"/>
  <c r="AX380" i="2" s="1"/>
  <c r="AW358" i="2"/>
  <c r="AV358" i="2"/>
  <c r="AX154" i="2"/>
  <c r="AW185" i="2"/>
  <c r="AX138" i="2"/>
  <c r="AW57" i="2"/>
  <c r="AX274" i="2"/>
  <c r="AX206" i="2"/>
  <c r="AX175" i="2"/>
  <c r="AX45" i="2"/>
  <c r="AW45" i="2"/>
  <c r="AV151" i="2"/>
  <c r="AX137" i="2"/>
  <c r="AX17" i="2"/>
  <c r="AW21" i="2"/>
  <c r="AX21" i="2" s="1"/>
  <c r="AW44" i="2"/>
  <c r="AX44" i="2" s="1"/>
  <c r="AW32" i="2"/>
  <c r="AX32" i="2" s="1"/>
  <c r="AW20" i="2"/>
  <c r="AV49" i="2"/>
  <c r="AX429" i="2"/>
  <c r="AX428" i="2"/>
  <c r="C254" i="2"/>
  <c r="C427" i="2"/>
  <c r="C289" i="2"/>
  <c r="C48" i="2"/>
  <c r="C8" i="2" s="1"/>
  <c r="L50" i="2"/>
  <c r="C392" i="2"/>
  <c r="C323" i="2"/>
  <c r="C83" i="2"/>
  <c r="C50" i="2"/>
  <c r="C255" i="2"/>
  <c r="C49" i="2"/>
  <c r="C221" i="2"/>
  <c r="C81" i="2"/>
  <c r="C394" i="2"/>
  <c r="C150" i="2"/>
  <c r="C324" i="2"/>
  <c r="L151" i="2"/>
  <c r="C291" i="2"/>
  <c r="C186" i="2"/>
  <c r="C82" i="2"/>
  <c r="L324" i="2"/>
  <c r="C428" i="2"/>
  <c r="C358" i="2"/>
  <c r="C256" i="2"/>
  <c r="C185" i="2"/>
  <c r="C290" i="2"/>
  <c r="C393" i="2"/>
  <c r="C220" i="2"/>
  <c r="L359" i="2"/>
  <c r="C429" i="2"/>
  <c r="C219" i="2"/>
  <c r="L219" i="2"/>
  <c r="L360" i="2"/>
  <c r="L81" i="2"/>
  <c r="L392" i="2"/>
  <c r="L152" i="2"/>
  <c r="L325" i="2"/>
  <c r="C325" i="2"/>
  <c r="C152" i="2"/>
  <c r="L254" i="2"/>
  <c r="C151" i="2"/>
  <c r="L116" i="2"/>
  <c r="C360" i="2"/>
  <c r="C187" i="2"/>
  <c r="L427" i="2"/>
  <c r="L185" i="2"/>
  <c r="C359" i="2"/>
  <c r="L289" i="2"/>
  <c r="L118" i="2"/>
  <c r="L358" i="2"/>
  <c r="L186" i="2"/>
  <c r="L117" i="2"/>
  <c r="L48" i="2"/>
  <c r="L10" i="2" s="1"/>
  <c r="L323" i="2"/>
  <c r="L187" i="2"/>
  <c r="L150" i="2"/>
  <c r="L49" i="2"/>
  <c r="L394" i="2"/>
  <c r="L221" i="2"/>
  <c r="L393" i="2"/>
  <c r="L220" i="2"/>
  <c r="L429" i="2"/>
  <c r="L256" i="2"/>
  <c r="L83" i="2"/>
  <c r="L428" i="2"/>
  <c r="L255" i="2"/>
  <c r="L82" i="2"/>
  <c r="L291" i="2"/>
  <c r="L290" i="2"/>
  <c r="A23" i="2"/>
  <c r="A19" i="2"/>
  <c r="A18" i="2"/>
  <c r="U221" i="2"/>
  <c r="A29" i="2"/>
  <c r="A26" i="2"/>
  <c r="A28" i="2"/>
  <c r="BE82" i="2"/>
  <c r="U256" i="2"/>
  <c r="AD358" i="2"/>
  <c r="U48" i="2"/>
  <c r="U8" i="2" s="1"/>
  <c r="A22" i="2"/>
  <c r="A38" i="2"/>
  <c r="A35" i="2"/>
  <c r="AD81" i="2"/>
  <c r="U185" i="2"/>
  <c r="BE427" i="2"/>
  <c r="AD48" i="2"/>
  <c r="AD10" i="2" s="1"/>
  <c r="AD185" i="2"/>
  <c r="BE394" i="2"/>
  <c r="BE48" i="2"/>
  <c r="BE8" i="2" s="1"/>
  <c r="A37" i="2"/>
  <c r="AD117" i="2"/>
  <c r="AD394" i="2"/>
  <c r="A34" i="2"/>
  <c r="BE84" i="2"/>
  <c r="BE221" i="2"/>
  <c r="A32" i="2"/>
  <c r="BE83" i="2"/>
  <c r="AD187" i="2"/>
  <c r="BE290" i="2"/>
  <c r="BE49" i="2"/>
  <c r="U219" i="2"/>
  <c r="U83" i="2"/>
  <c r="U151" i="2"/>
  <c r="U187" i="2"/>
  <c r="BE220" i="2"/>
  <c r="U323" i="2"/>
  <c r="AD360" i="2"/>
  <c r="U393" i="2"/>
  <c r="A20" i="2"/>
  <c r="A31" i="2"/>
  <c r="AD83" i="2"/>
  <c r="U394" i="2"/>
  <c r="U429" i="2"/>
  <c r="U50" i="2"/>
  <c r="A25" i="2"/>
  <c r="U186" i="2"/>
  <c r="AD220" i="2"/>
  <c r="BE222" i="2"/>
  <c r="AD186" i="2"/>
  <c r="U290" i="2"/>
  <c r="BE51" i="2"/>
  <c r="AD49" i="2"/>
  <c r="U49" i="2"/>
  <c r="BE219" i="2"/>
  <c r="AD291" i="2"/>
  <c r="U427" i="2"/>
  <c r="U118" i="2"/>
  <c r="U220" i="2"/>
  <c r="BE429" i="2"/>
  <c r="AQ50" i="6"/>
  <c r="AQ49" i="6"/>
  <c r="AW24" i="6"/>
  <c r="AX24" i="6" s="1"/>
  <c r="AW28" i="6"/>
  <c r="AX28" i="6" s="1"/>
  <c r="AX32" i="6"/>
  <c r="AW32" i="6"/>
  <c r="AW36" i="6"/>
  <c r="AX36" i="6" s="1"/>
  <c r="C49" i="6"/>
  <c r="AR17" i="6"/>
  <c r="AW18" i="6"/>
  <c r="AX18" i="6" s="1"/>
  <c r="W10" i="6"/>
  <c r="AI10" i="6"/>
  <c r="C83" i="6"/>
  <c r="C82" i="6"/>
  <c r="C81" i="6"/>
  <c r="AX88" i="6"/>
  <c r="AV152" i="6"/>
  <c r="AV50" i="6"/>
  <c r="AV49" i="6"/>
  <c r="AV48" i="6"/>
  <c r="AW17" i="6"/>
  <c r="B20" i="6"/>
  <c r="AW23" i="6"/>
  <c r="AX23" i="6" s="1"/>
  <c r="AX27" i="6"/>
  <c r="AW27" i="6"/>
  <c r="AW31" i="6"/>
  <c r="AX31" i="6" s="1"/>
  <c r="AW35" i="6"/>
  <c r="AX35" i="6" s="1"/>
  <c r="BI12" i="6"/>
  <c r="BI9" i="6"/>
  <c r="AQ151" i="6"/>
  <c r="BE50" i="6"/>
  <c r="BE51" i="6"/>
  <c r="BE49" i="6"/>
  <c r="BE48" i="6"/>
  <c r="BE12" i="6" s="1"/>
  <c r="AW22" i="6"/>
  <c r="AX22" i="6" s="1"/>
  <c r="C48" i="6"/>
  <c r="AX87" i="6"/>
  <c r="BL12" i="6"/>
  <c r="AW26" i="6"/>
  <c r="AX26" i="6" s="1"/>
  <c r="AW30" i="6"/>
  <c r="AX30" i="6" s="1"/>
  <c r="AW34" i="6"/>
  <c r="AX34" i="6" s="1"/>
  <c r="AD48" i="6"/>
  <c r="AX21" i="6"/>
  <c r="AW21" i="6"/>
  <c r="AQ48" i="6"/>
  <c r="AD50" i="6"/>
  <c r="AW83" i="6"/>
  <c r="AW82" i="6"/>
  <c r="AW81" i="6"/>
  <c r="AW124" i="6"/>
  <c r="AX124" i="6" s="1"/>
  <c r="L50" i="6"/>
  <c r="L49" i="6"/>
  <c r="L48" i="6"/>
  <c r="AX20" i="6"/>
  <c r="AW20" i="6"/>
  <c r="AW25" i="6"/>
  <c r="AX25" i="6" s="1"/>
  <c r="AW29" i="6"/>
  <c r="AX29" i="6" s="1"/>
  <c r="AX33" i="6"/>
  <c r="AW33" i="6"/>
  <c r="AW37" i="6"/>
  <c r="AX37" i="6" s="1"/>
  <c r="AX52" i="6"/>
  <c r="AX86" i="6"/>
  <c r="AX89" i="6"/>
  <c r="L152" i="6"/>
  <c r="U50" i="6"/>
  <c r="U49" i="6"/>
  <c r="U48" i="6"/>
  <c r="BE84" i="6"/>
  <c r="BE82" i="6"/>
  <c r="BE81" i="6"/>
  <c r="U152" i="6"/>
  <c r="U151" i="6"/>
  <c r="U150" i="6"/>
  <c r="AW19" i="6"/>
  <c r="AX19" i="6" s="1"/>
  <c r="AD118" i="6"/>
  <c r="AD116" i="6"/>
  <c r="AD117" i="6"/>
  <c r="AW192" i="6"/>
  <c r="AX192" i="6" s="1"/>
  <c r="U116" i="6"/>
  <c r="AQ117" i="6"/>
  <c r="AX123" i="6"/>
  <c r="AR85" i="6"/>
  <c r="BE117" i="6"/>
  <c r="AQ152" i="6"/>
  <c r="AW123" i="6"/>
  <c r="AW157" i="6"/>
  <c r="AX157" i="6" s="1"/>
  <c r="AX161" i="6"/>
  <c r="AW161" i="6"/>
  <c r="AW165" i="6"/>
  <c r="AX165" i="6" s="1"/>
  <c r="U117" i="6"/>
  <c r="AR120" i="6"/>
  <c r="AX121" i="6"/>
  <c r="AW122" i="6"/>
  <c r="AX122" i="6" s="1"/>
  <c r="AV220" i="6"/>
  <c r="AV221" i="6"/>
  <c r="AV219" i="6"/>
  <c r="AW189" i="6"/>
  <c r="L116" i="6"/>
  <c r="AV151" i="6"/>
  <c r="AX208" i="6"/>
  <c r="AD81" i="6"/>
  <c r="AW116" i="6"/>
  <c r="AV117" i="6"/>
  <c r="AW120" i="6"/>
  <c r="AX131" i="6"/>
  <c r="AQ150" i="6"/>
  <c r="AW156" i="6"/>
  <c r="AX156" i="6" s="1"/>
  <c r="AW160" i="6"/>
  <c r="AX160" i="6" s="1"/>
  <c r="AX164" i="6"/>
  <c r="AW164" i="6"/>
  <c r="AX184" i="6"/>
  <c r="AX191" i="6"/>
  <c r="AW191" i="6"/>
  <c r="AW38" i="6"/>
  <c r="AX38" i="6" s="1"/>
  <c r="AW39" i="6"/>
  <c r="AX39" i="6" s="1"/>
  <c r="AW40" i="6"/>
  <c r="AX40" i="6" s="1"/>
  <c r="AW41" i="6"/>
  <c r="AX41" i="6" s="1"/>
  <c r="AW42" i="6"/>
  <c r="AX42" i="6" s="1"/>
  <c r="AW43" i="6"/>
  <c r="AX43" i="6" s="1"/>
  <c r="AW44" i="6"/>
  <c r="AX44" i="6" s="1"/>
  <c r="AW45" i="6"/>
  <c r="AX45" i="6" s="1"/>
  <c r="AW46" i="6"/>
  <c r="AX46" i="6" s="1"/>
  <c r="AW47" i="6"/>
  <c r="AX47" i="6" s="1"/>
  <c r="AQ81" i="6"/>
  <c r="L117" i="6"/>
  <c r="AW117" i="6"/>
  <c r="AX130" i="6"/>
  <c r="AX198" i="6"/>
  <c r="AR81" i="6"/>
  <c r="AD82" i="6"/>
  <c r="C116" i="6"/>
  <c r="AX129" i="6"/>
  <c r="U187" i="6"/>
  <c r="U186" i="6"/>
  <c r="U185" i="6"/>
  <c r="AW193" i="6"/>
  <c r="AX193" i="6" s="1"/>
  <c r="U81" i="6"/>
  <c r="AQ82" i="6"/>
  <c r="AX128" i="6"/>
  <c r="AW155" i="6"/>
  <c r="AX155" i="6" s="1"/>
  <c r="AW159" i="6"/>
  <c r="AX159" i="6" s="1"/>
  <c r="AX163" i="6"/>
  <c r="AW163" i="6"/>
  <c r="AX179" i="6"/>
  <c r="AR82" i="6"/>
  <c r="C117" i="6"/>
  <c r="AX127" i="6"/>
  <c r="AV150" i="6"/>
  <c r="AX217" i="6"/>
  <c r="AX126" i="6"/>
  <c r="AX137" i="6"/>
  <c r="AX149" i="6"/>
  <c r="AR187" i="6"/>
  <c r="AR186" i="6"/>
  <c r="AR185" i="6"/>
  <c r="AW190" i="6"/>
  <c r="AX190" i="6" s="1"/>
  <c r="L151" i="6"/>
  <c r="AX125" i="6"/>
  <c r="AX136" i="6"/>
  <c r="AX148" i="6"/>
  <c r="L150" i="6"/>
  <c r="L9" i="6" s="1"/>
  <c r="AV186" i="6"/>
  <c r="AV185" i="6"/>
  <c r="AW154" i="6"/>
  <c r="AW158" i="6"/>
  <c r="AX158" i="6" s="1"/>
  <c r="AX162" i="6"/>
  <c r="AW162" i="6"/>
  <c r="AW166" i="6"/>
  <c r="AX166" i="6" s="1"/>
  <c r="AX174" i="6"/>
  <c r="AD151" i="6"/>
  <c r="C185" i="6"/>
  <c r="AR189" i="6"/>
  <c r="AX189" i="6" s="1"/>
  <c r="BE219" i="6"/>
  <c r="AQ220" i="6"/>
  <c r="BE220" i="6"/>
  <c r="AV256" i="6"/>
  <c r="AV255" i="6"/>
  <c r="AX227" i="6"/>
  <c r="AX231" i="6"/>
  <c r="AX235" i="6"/>
  <c r="AX239" i="6"/>
  <c r="AX243" i="6"/>
  <c r="AX247" i="6"/>
  <c r="AX251" i="6"/>
  <c r="AW295" i="6"/>
  <c r="AX295" i="6"/>
  <c r="AW298" i="6"/>
  <c r="AX298" i="6"/>
  <c r="AW301" i="6"/>
  <c r="AX301" i="6" s="1"/>
  <c r="AW304" i="6"/>
  <c r="AX304" i="6" s="1"/>
  <c r="AW307" i="6"/>
  <c r="AX307" i="6"/>
  <c r="AW310" i="6"/>
  <c r="AX310" i="6" s="1"/>
  <c r="AW313" i="6"/>
  <c r="AX313" i="6"/>
  <c r="AW316" i="6"/>
  <c r="AX316" i="6"/>
  <c r="AW256" i="6"/>
  <c r="AW254" i="6"/>
  <c r="AR291" i="6"/>
  <c r="AR290" i="6"/>
  <c r="AR289" i="6"/>
  <c r="C186" i="6"/>
  <c r="AW194" i="6"/>
  <c r="AX194" i="6" s="1"/>
  <c r="AW195" i="6"/>
  <c r="AX195" i="6" s="1"/>
  <c r="AW196" i="6"/>
  <c r="AX196" i="6" s="1"/>
  <c r="AW197" i="6"/>
  <c r="AX197" i="6" s="1"/>
  <c r="AW198" i="6"/>
  <c r="AW199" i="6"/>
  <c r="AX199" i="6" s="1"/>
  <c r="AW200" i="6"/>
  <c r="AX200" i="6" s="1"/>
  <c r="AW201" i="6"/>
  <c r="AX201" i="6" s="1"/>
  <c r="AW202" i="6"/>
  <c r="AX202" i="6" s="1"/>
  <c r="AW203" i="6"/>
  <c r="AX203" i="6" s="1"/>
  <c r="AW204" i="6"/>
  <c r="AX204" i="6" s="1"/>
  <c r="AW205" i="6"/>
  <c r="AX205" i="6" s="1"/>
  <c r="AW206" i="6"/>
  <c r="AX206" i="6" s="1"/>
  <c r="AW207" i="6"/>
  <c r="AX207" i="6" s="1"/>
  <c r="AW208" i="6"/>
  <c r="AW209" i="6"/>
  <c r="AX209" i="6" s="1"/>
  <c r="AW210" i="6"/>
  <c r="AX210" i="6" s="1"/>
  <c r="AW211" i="6"/>
  <c r="AX211" i="6" s="1"/>
  <c r="AW212" i="6"/>
  <c r="AX212" i="6" s="1"/>
  <c r="AQ256" i="6"/>
  <c r="AX266" i="6"/>
  <c r="BE151" i="6"/>
  <c r="AD185" i="6"/>
  <c r="L219" i="6"/>
  <c r="AX226" i="6"/>
  <c r="AX230" i="6"/>
  <c r="AX234" i="6"/>
  <c r="AX238" i="6"/>
  <c r="AX242" i="6"/>
  <c r="AX246" i="6"/>
  <c r="AX250" i="6"/>
  <c r="U254" i="6"/>
  <c r="AV254" i="6"/>
  <c r="AX345" i="6"/>
  <c r="L221" i="6"/>
  <c r="AW294" i="6"/>
  <c r="AX294" i="6" s="1"/>
  <c r="AW297" i="6"/>
  <c r="AX297" i="6"/>
  <c r="AW300" i="6"/>
  <c r="AX300" i="6"/>
  <c r="AW303" i="6"/>
  <c r="AX303" i="6" s="1"/>
  <c r="AW306" i="6"/>
  <c r="AX306" i="6"/>
  <c r="AW309" i="6"/>
  <c r="AX309" i="6"/>
  <c r="AW312" i="6"/>
  <c r="AX312" i="6" s="1"/>
  <c r="AW315" i="6"/>
  <c r="AX315" i="6"/>
  <c r="AD186" i="6"/>
  <c r="AX261" i="6"/>
  <c r="BE185" i="6"/>
  <c r="AX225" i="6"/>
  <c r="AX229" i="6"/>
  <c r="AX233" i="6"/>
  <c r="AX237" i="6"/>
  <c r="AX241" i="6"/>
  <c r="AX245" i="6"/>
  <c r="AX249" i="6"/>
  <c r="AX253" i="6"/>
  <c r="AX357" i="6"/>
  <c r="C219" i="6"/>
  <c r="C221" i="6"/>
  <c r="AX272" i="6"/>
  <c r="AX276" i="6"/>
  <c r="AX280" i="6"/>
  <c r="AX284" i="6"/>
  <c r="BE186" i="6"/>
  <c r="C220" i="6"/>
  <c r="L256" i="6"/>
  <c r="L255" i="6"/>
  <c r="AV323" i="6"/>
  <c r="AW293" i="6"/>
  <c r="AV325" i="6"/>
  <c r="AX293" i="6"/>
  <c r="AW296" i="6"/>
  <c r="AX296" i="6"/>
  <c r="AW299" i="6"/>
  <c r="AX299" i="6" s="1"/>
  <c r="AW302" i="6"/>
  <c r="AX302" i="6" s="1"/>
  <c r="AW305" i="6"/>
  <c r="AX305" i="6"/>
  <c r="AW308" i="6"/>
  <c r="AX308" i="6" s="1"/>
  <c r="AW311" i="6"/>
  <c r="AX311" i="6"/>
  <c r="AW314" i="6"/>
  <c r="AX314" i="6"/>
  <c r="AX330" i="6"/>
  <c r="AW167" i="6"/>
  <c r="AX167" i="6" s="1"/>
  <c r="AW168" i="6"/>
  <c r="AX168" i="6" s="1"/>
  <c r="AW169" i="6"/>
  <c r="AX169" i="6" s="1"/>
  <c r="AW170" i="6"/>
  <c r="AX170" i="6" s="1"/>
  <c r="AW171" i="6"/>
  <c r="AX171" i="6" s="1"/>
  <c r="AW172" i="6"/>
  <c r="AX172" i="6" s="1"/>
  <c r="AW173" i="6"/>
  <c r="AX173" i="6" s="1"/>
  <c r="AW174" i="6"/>
  <c r="AW175" i="6"/>
  <c r="AX175" i="6" s="1"/>
  <c r="AW176" i="6"/>
  <c r="AX176" i="6" s="1"/>
  <c r="AW177" i="6"/>
  <c r="AX177" i="6" s="1"/>
  <c r="AW178" i="6"/>
  <c r="AX178" i="6" s="1"/>
  <c r="AW179" i="6"/>
  <c r="AW180" i="6"/>
  <c r="AX180" i="6" s="1"/>
  <c r="AW181" i="6"/>
  <c r="AX181" i="6" s="1"/>
  <c r="AW182" i="6"/>
  <c r="AX182" i="6" s="1"/>
  <c r="AW183" i="6"/>
  <c r="AX183" i="6" s="1"/>
  <c r="AW184" i="6"/>
  <c r="L185" i="6"/>
  <c r="BE188" i="6"/>
  <c r="AX224" i="6"/>
  <c r="AX228" i="6"/>
  <c r="AX232" i="6"/>
  <c r="AX236" i="6"/>
  <c r="AX240" i="6"/>
  <c r="AX244" i="6"/>
  <c r="AX248" i="6"/>
  <c r="AX252" i="6"/>
  <c r="L290" i="6"/>
  <c r="L289" i="6"/>
  <c r="BE326" i="6"/>
  <c r="BE324" i="6"/>
  <c r="BE323" i="6"/>
  <c r="BE325" i="6"/>
  <c r="AD221" i="6"/>
  <c r="AQ219" i="6"/>
  <c r="BE222" i="6"/>
  <c r="AD256" i="6"/>
  <c r="AD255" i="6"/>
  <c r="AD254" i="6"/>
  <c r="U291" i="6"/>
  <c r="U290" i="6"/>
  <c r="U289" i="6"/>
  <c r="AD220" i="6"/>
  <c r="AR223" i="6"/>
  <c r="AQ254" i="6"/>
  <c r="AW255" i="6"/>
  <c r="AX267" i="6"/>
  <c r="AX343" i="6"/>
  <c r="AX349" i="6"/>
  <c r="AX317" i="6"/>
  <c r="AX318" i="6"/>
  <c r="AX319" i="6"/>
  <c r="AX320" i="6"/>
  <c r="AX321" i="6"/>
  <c r="AX322" i="6"/>
  <c r="AQ427" i="6"/>
  <c r="AQ429" i="6"/>
  <c r="AR396" i="6"/>
  <c r="AQ358" i="6"/>
  <c r="AQ359" i="6"/>
  <c r="C394" i="6"/>
  <c r="C393" i="6"/>
  <c r="C392" i="6"/>
  <c r="AX408" i="6"/>
  <c r="AD290" i="6"/>
  <c r="C323" i="6"/>
  <c r="AR327" i="6"/>
  <c r="AW339" i="6"/>
  <c r="AX339" i="6" s="1"/>
  <c r="AW351" i="6"/>
  <c r="AX351" i="6" s="1"/>
  <c r="AD358" i="6"/>
  <c r="AD359" i="6"/>
  <c r="L394" i="6"/>
  <c r="AV393" i="6"/>
  <c r="AX410" i="6"/>
  <c r="AX422" i="6"/>
  <c r="BE289" i="6"/>
  <c r="AQ290" i="6"/>
  <c r="L325" i="6"/>
  <c r="BE358" i="6"/>
  <c r="BE359" i="6"/>
  <c r="U393" i="6"/>
  <c r="U392" i="6"/>
  <c r="AX398" i="6"/>
  <c r="C324" i="6"/>
  <c r="AW327" i="6"/>
  <c r="AW328" i="6"/>
  <c r="AX328" i="6" s="1"/>
  <c r="AW329" i="6"/>
  <c r="AX329" i="6" s="1"/>
  <c r="AW330" i="6"/>
  <c r="AW331" i="6"/>
  <c r="AX331" i="6" s="1"/>
  <c r="AW332" i="6"/>
  <c r="AX332" i="6" s="1"/>
  <c r="AW333" i="6"/>
  <c r="AX333" i="6" s="1"/>
  <c r="AW334" i="6"/>
  <c r="AX334" i="6" s="1"/>
  <c r="AW335" i="6"/>
  <c r="AX335" i="6" s="1"/>
  <c r="AW336" i="6"/>
  <c r="AX336" i="6" s="1"/>
  <c r="BE361" i="6"/>
  <c r="AX412" i="6"/>
  <c r="AX424" i="6"/>
  <c r="BE290" i="6"/>
  <c r="AD323" i="6"/>
  <c r="AX327" i="6"/>
  <c r="U358" i="6"/>
  <c r="U359" i="6"/>
  <c r="AQ428" i="6"/>
  <c r="C255" i="6"/>
  <c r="AW258" i="6"/>
  <c r="AX258" i="6" s="1"/>
  <c r="AW259" i="6"/>
  <c r="AX259" i="6" s="1"/>
  <c r="AW260" i="6"/>
  <c r="AX260" i="6" s="1"/>
  <c r="AW261" i="6"/>
  <c r="AW262" i="6"/>
  <c r="AX262" i="6" s="1"/>
  <c r="AW263" i="6"/>
  <c r="AX263" i="6" s="1"/>
  <c r="AW264" i="6"/>
  <c r="AX264" i="6" s="1"/>
  <c r="AW265" i="6"/>
  <c r="AX265" i="6" s="1"/>
  <c r="AW266" i="6"/>
  <c r="AW267" i="6"/>
  <c r="AW268" i="6"/>
  <c r="AX268" i="6" s="1"/>
  <c r="AW269" i="6"/>
  <c r="AX269" i="6" s="1"/>
  <c r="AW270" i="6"/>
  <c r="AX270" i="6" s="1"/>
  <c r="AV289" i="6"/>
  <c r="BE292" i="6"/>
  <c r="AQ323" i="6"/>
  <c r="AW347" i="6"/>
  <c r="AX347" i="6" s="1"/>
  <c r="AV358" i="6"/>
  <c r="AV359" i="6"/>
  <c r="AV9" i="6" s="1"/>
  <c r="AR394" i="6"/>
  <c r="AR393" i="6"/>
  <c r="AR392" i="6"/>
  <c r="L393" i="6"/>
  <c r="AX414" i="6"/>
  <c r="AX426" i="6"/>
  <c r="AR323" i="6"/>
  <c r="AD324" i="6"/>
  <c r="AV394" i="6"/>
  <c r="AX402" i="6"/>
  <c r="AX421" i="6"/>
  <c r="L358" i="6"/>
  <c r="L359" i="6"/>
  <c r="AW362" i="6"/>
  <c r="U394" i="6"/>
  <c r="AX397" i="6"/>
  <c r="AX409" i="6"/>
  <c r="C289" i="6"/>
  <c r="AR324" i="6"/>
  <c r="BE395" i="6"/>
  <c r="BE393" i="6"/>
  <c r="BE392" i="6"/>
  <c r="L392" i="6"/>
  <c r="AX418" i="6"/>
  <c r="C358" i="6"/>
  <c r="C359" i="6"/>
  <c r="AD427" i="6"/>
  <c r="AD429" i="6"/>
  <c r="AX413" i="6"/>
  <c r="AX425" i="6"/>
  <c r="U428" i="6"/>
  <c r="BE428" i="6"/>
  <c r="AW396" i="6"/>
  <c r="AW397" i="6"/>
  <c r="AW398" i="6"/>
  <c r="AW399" i="6"/>
  <c r="AX399" i="6" s="1"/>
  <c r="AW400" i="6"/>
  <c r="AX400" i="6" s="1"/>
  <c r="AW401" i="6"/>
  <c r="AX401" i="6" s="1"/>
  <c r="AW402" i="6"/>
  <c r="AW403" i="6"/>
  <c r="AX403" i="6" s="1"/>
  <c r="AW404" i="6"/>
  <c r="AX404" i="6" s="1"/>
  <c r="AW405" i="6"/>
  <c r="AX405" i="6" s="1"/>
  <c r="AW406" i="6"/>
  <c r="AX406" i="6" s="1"/>
  <c r="AW407" i="6"/>
  <c r="AX407" i="6" s="1"/>
  <c r="AW408" i="6"/>
  <c r="AW409" i="6"/>
  <c r="L427" i="6"/>
  <c r="AV427" i="6"/>
  <c r="BE430" i="6"/>
  <c r="AD392" i="6"/>
  <c r="AX396" i="6"/>
  <c r="AQ392" i="6"/>
  <c r="L428" i="6"/>
  <c r="AV428" i="6"/>
  <c r="AD393" i="6"/>
  <c r="C427" i="6"/>
  <c r="AQ393" i="6"/>
  <c r="C428" i="6"/>
  <c r="AX24" i="5"/>
  <c r="AX30" i="5"/>
  <c r="AX42" i="5"/>
  <c r="AX29" i="5"/>
  <c r="AX35" i="5"/>
  <c r="B20" i="5"/>
  <c r="A19" i="5"/>
  <c r="AX19" i="5"/>
  <c r="AX37" i="5"/>
  <c r="AV49" i="5"/>
  <c r="AV10" i="5" s="1"/>
  <c r="AV50" i="5"/>
  <c r="AX55" i="5"/>
  <c r="AW55" i="5"/>
  <c r="AW59" i="5"/>
  <c r="AX59" i="5" s="1"/>
  <c r="AW71" i="5"/>
  <c r="AX71" i="5" s="1"/>
  <c r="AX75" i="5"/>
  <c r="AW75" i="5"/>
  <c r="AW79" i="5"/>
  <c r="AX79" i="5" s="1"/>
  <c r="AX89" i="5"/>
  <c r="L220" i="5"/>
  <c r="L221" i="5"/>
  <c r="L219" i="5"/>
  <c r="AW372" i="5"/>
  <c r="AX372" i="5" s="1"/>
  <c r="O8" i="5"/>
  <c r="AA8" i="5"/>
  <c r="AM8" i="5"/>
  <c r="AY8" i="5"/>
  <c r="BK8" i="5"/>
  <c r="BI9" i="5"/>
  <c r="K10" i="5"/>
  <c r="BH11" i="5"/>
  <c r="BI12" i="5"/>
  <c r="AW17" i="5"/>
  <c r="AW18" i="5"/>
  <c r="AX18" i="5" s="1"/>
  <c r="AW19" i="5"/>
  <c r="AW20" i="5"/>
  <c r="AX20" i="5" s="1"/>
  <c r="AW21" i="5"/>
  <c r="AX21" i="5" s="1"/>
  <c r="AW22" i="5"/>
  <c r="AX22" i="5" s="1"/>
  <c r="AW23" i="5"/>
  <c r="AX23" i="5" s="1"/>
  <c r="AW24" i="5"/>
  <c r="AW25" i="5"/>
  <c r="AX25" i="5" s="1"/>
  <c r="AW26" i="5"/>
  <c r="AX26" i="5" s="1"/>
  <c r="AW27" i="5"/>
  <c r="AX27" i="5" s="1"/>
  <c r="AW28" i="5"/>
  <c r="AX28" i="5" s="1"/>
  <c r="AW29" i="5"/>
  <c r="AW30" i="5"/>
  <c r="AW31" i="5"/>
  <c r="AX31" i="5" s="1"/>
  <c r="AW32" i="5"/>
  <c r="AX32" i="5" s="1"/>
  <c r="AW33" i="5"/>
  <c r="AX33" i="5" s="1"/>
  <c r="AW34" i="5"/>
  <c r="AX34" i="5" s="1"/>
  <c r="AW35" i="5"/>
  <c r="AW36" i="5"/>
  <c r="AX36" i="5" s="1"/>
  <c r="AW37" i="5"/>
  <c r="AW38" i="5"/>
  <c r="AX38" i="5" s="1"/>
  <c r="AW39" i="5"/>
  <c r="AX39" i="5" s="1"/>
  <c r="AW40" i="5"/>
  <c r="AX40" i="5" s="1"/>
  <c r="AW41" i="5"/>
  <c r="AX41" i="5" s="1"/>
  <c r="AW42" i="5"/>
  <c r="AW43" i="5"/>
  <c r="AX43" i="5" s="1"/>
  <c r="L48" i="5"/>
  <c r="L8" i="5" s="1"/>
  <c r="L49" i="5"/>
  <c r="L50" i="5"/>
  <c r="AW89" i="5"/>
  <c r="AX232" i="5"/>
  <c r="AV48" i="5"/>
  <c r="AW63" i="5"/>
  <c r="AX63" i="5" s="1"/>
  <c r="AX67" i="5"/>
  <c r="AW67" i="5"/>
  <c r="AV83" i="5"/>
  <c r="AN8" i="5"/>
  <c r="N9" i="5"/>
  <c r="Z9" i="5"/>
  <c r="X10" i="5"/>
  <c r="AJ10" i="5"/>
  <c r="BH10" i="5"/>
  <c r="BI11" i="5"/>
  <c r="AX17" i="5"/>
  <c r="C118" i="5"/>
  <c r="AX88" i="5"/>
  <c r="AX94" i="5"/>
  <c r="AX100" i="5"/>
  <c r="AX106" i="5"/>
  <c r="AX112" i="5"/>
  <c r="AW254" i="5"/>
  <c r="AC8" i="5"/>
  <c r="AO8" i="5"/>
  <c r="O9" i="5"/>
  <c r="AA9" i="5"/>
  <c r="M10" i="5"/>
  <c r="BI10" i="5"/>
  <c r="AW54" i="5"/>
  <c r="AX54" i="5" s="1"/>
  <c r="AW58" i="5"/>
  <c r="AX58" i="5" s="1"/>
  <c r="AX62" i="5"/>
  <c r="AW62" i="5"/>
  <c r="AW66" i="5"/>
  <c r="AX66" i="5" s="1"/>
  <c r="AW70" i="5"/>
  <c r="AX70" i="5" s="1"/>
  <c r="AX74" i="5"/>
  <c r="AW74" i="5"/>
  <c r="AW78" i="5"/>
  <c r="AX78" i="5" s="1"/>
  <c r="AX154" i="5"/>
  <c r="AR187" i="5"/>
  <c r="AR186" i="5"/>
  <c r="AR185" i="5"/>
  <c r="AV291" i="5"/>
  <c r="AN9" i="5"/>
  <c r="AZ9" i="5"/>
  <c r="BL9" i="5"/>
  <c r="BK11" i="5"/>
  <c r="BL12" i="5"/>
  <c r="A18" i="5"/>
  <c r="C48" i="5"/>
  <c r="C50" i="5"/>
  <c r="C83" i="5"/>
  <c r="AX87" i="5"/>
  <c r="AX93" i="5"/>
  <c r="AX99" i="5"/>
  <c r="AX105" i="5"/>
  <c r="AX111" i="5"/>
  <c r="AW284" i="5"/>
  <c r="AX284" i="5" s="1"/>
  <c r="AE8" i="5"/>
  <c r="BC8" i="5"/>
  <c r="AC9" i="5"/>
  <c r="AO9" i="5"/>
  <c r="BL11" i="5"/>
  <c r="AR150" i="5"/>
  <c r="AR152" i="5"/>
  <c r="T8" i="5"/>
  <c r="R9" i="5"/>
  <c r="AN10" i="5"/>
  <c r="AD49" i="5"/>
  <c r="BE51" i="5"/>
  <c r="U83" i="5"/>
  <c r="U82" i="5"/>
  <c r="AW53" i="5"/>
  <c r="AX53" i="5" s="1"/>
  <c r="AX57" i="5"/>
  <c r="AW57" i="5"/>
  <c r="AW61" i="5"/>
  <c r="AX61" i="5" s="1"/>
  <c r="AW65" i="5"/>
  <c r="AX65" i="5" s="1"/>
  <c r="AX69" i="5"/>
  <c r="AW69" i="5"/>
  <c r="AW73" i="5"/>
  <c r="AX73" i="5" s="1"/>
  <c r="AW77" i="5"/>
  <c r="AX77" i="5" s="1"/>
  <c r="U81" i="5"/>
  <c r="AX86" i="5"/>
  <c r="AX92" i="5"/>
  <c r="AX98" i="5"/>
  <c r="AX104" i="5"/>
  <c r="AX110" i="5"/>
  <c r="AX124" i="5"/>
  <c r="AX128" i="5"/>
  <c r="AX132" i="5"/>
  <c r="AX136" i="5"/>
  <c r="AX226" i="5"/>
  <c r="BE50" i="5"/>
  <c r="BE11" i="5" s="1"/>
  <c r="AV81" i="5"/>
  <c r="AR116" i="5"/>
  <c r="AW152" i="5"/>
  <c r="AW151" i="5"/>
  <c r="AW150" i="5"/>
  <c r="BF8" i="5"/>
  <c r="T9" i="5"/>
  <c r="AR48" i="5"/>
  <c r="AR49" i="5"/>
  <c r="AR50" i="5"/>
  <c r="AQ81" i="5"/>
  <c r="AQ10" i="5" s="1"/>
  <c r="AQ83" i="5"/>
  <c r="AR52" i="5"/>
  <c r="AQ82" i="5"/>
  <c r="AD83" i="5"/>
  <c r="AV117" i="5"/>
  <c r="AV118" i="5"/>
  <c r="AX91" i="5"/>
  <c r="AX97" i="5"/>
  <c r="AX103" i="5"/>
  <c r="AX109" i="5"/>
  <c r="AX115" i="5"/>
  <c r="C117" i="5"/>
  <c r="K8" i="5"/>
  <c r="W8" i="5"/>
  <c r="AI8" i="5"/>
  <c r="BD11" i="5"/>
  <c r="BE48" i="5"/>
  <c r="AV82" i="5"/>
  <c r="AW52" i="5"/>
  <c r="AW56" i="5"/>
  <c r="AX56" i="5" s="1"/>
  <c r="AW60" i="5"/>
  <c r="AX60" i="5" s="1"/>
  <c r="AW64" i="5"/>
  <c r="AX64" i="5" s="1"/>
  <c r="AW68" i="5"/>
  <c r="AX68" i="5" s="1"/>
  <c r="AX72" i="5"/>
  <c r="AW72" i="5"/>
  <c r="AW76" i="5"/>
  <c r="AX76" i="5" s="1"/>
  <c r="AX80" i="5"/>
  <c r="AW85" i="5"/>
  <c r="AX85" i="5" s="1"/>
  <c r="AR117" i="5"/>
  <c r="AX123" i="5"/>
  <c r="AX127" i="5"/>
  <c r="AX131" i="5"/>
  <c r="AX135" i="5"/>
  <c r="AX139" i="5"/>
  <c r="AX143" i="5"/>
  <c r="AX147" i="5"/>
  <c r="BF9" i="5"/>
  <c r="U48" i="5"/>
  <c r="U50" i="5"/>
  <c r="BE83" i="5"/>
  <c r="BE84" i="5"/>
  <c r="BE82" i="5"/>
  <c r="C82" i="5"/>
  <c r="AX90" i="5"/>
  <c r="AX96" i="5"/>
  <c r="AX102" i="5"/>
  <c r="AX108" i="5"/>
  <c r="AX114" i="5"/>
  <c r="AD82" i="5"/>
  <c r="C116" i="5"/>
  <c r="C186" i="5"/>
  <c r="C185" i="5"/>
  <c r="L256" i="5"/>
  <c r="L255" i="5"/>
  <c r="L254" i="5"/>
  <c r="L118" i="5"/>
  <c r="L10" i="5" s="1"/>
  <c r="U151" i="5"/>
  <c r="BE151" i="5"/>
  <c r="U221" i="5"/>
  <c r="U219" i="5"/>
  <c r="AX191" i="5"/>
  <c r="AX197" i="5"/>
  <c r="AX203" i="5"/>
  <c r="AX209" i="5"/>
  <c r="AX215" i="5"/>
  <c r="U254" i="5"/>
  <c r="U255" i="5"/>
  <c r="AX269" i="5"/>
  <c r="AD427" i="5"/>
  <c r="AD429" i="5"/>
  <c r="AD428" i="5"/>
  <c r="BE188" i="5"/>
  <c r="AW369" i="5"/>
  <c r="AX369" i="5"/>
  <c r="AX120" i="5"/>
  <c r="U152" i="5"/>
  <c r="BE152" i="5"/>
  <c r="BE185" i="5"/>
  <c r="AQ186" i="5"/>
  <c r="AQ187" i="5"/>
  <c r="AX190" i="5"/>
  <c r="AX196" i="5"/>
  <c r="AX202" i="5"/>
  <c r="AX208" i="5"/>
  <c r="AX214" i="5"/>
  <c r="U256" i="5"/>
  <c r="AX259" i="5"/>
  <c r="AX271" i="5"/>
  <c r="L151" i="5"/>
  <c r="AV151" i="5"/>
  <c r="U185" i="5"/>
  <c r="BE186" i="5"/>
  <c r="BE12" i="5" s="1"/>
  <c r="AR220" i="5"/>
  <c r="AR219" i="5"/>
  <c r="AR254" i="5"/>
  <c r="AR256" i="5"/>
  <c r="C289" i="5"/>
  <c r="C291" i="5"/>
  <c r="C290" i="5"/>
  <c r="AW366" i="5"/>
  <c r="AX366" i="5"/>
  <c r="C150" i="5"/>
  <c r="U186" i="5"/>
  <c r="AV220" i="5"/>
  <c r="AV221" i="5"/>
  <c r="AX201" i="5"/>
  <c r="AX207" i="5"/>
  <c r="AV219" i="5"/>
  <c r="AR221" i="5"/>
  <c r="AR255" i="5"/>
  <c r="AX282" i="5"/>
  <c r="U116" i="5"/>
  <c r="AW189" i="5"/>
  <c r="AX189" i="5" s="1"/>
  <c r="AW195" i="5"/>
  <c r="AX195" i="5" s="1"/>
  <c r="AW201" i="5"/>
  <c r="AW207" i="5"/>
  <c r="AW213" i="5"/>
  <c r="AX213" i="5" s="1"/>
  <c r="AW256" i="5"/>
  <c r="AW255" i="5"/>
  <c r="AX268" i="5"/>
  <c r="AW363" i="5"/>
  <c r="AX363" i="5"/>
  <c r="C151" i="5"/>
  <c r="L185" i="5"/>
  <c r="BE221" i="5"/>
  <c r="BE219" i="5"/>
  <c r="AX206" i="5"/>
  <c r="AX212" i="5"/>
  <c r="AX218" i="5"/>
  <c r="C220" i="5"/>
  <c r="BE220" i="5"/>
  <c r="AX223" i="5"/>
  <c r="AD291" i="5"/>
  <c r="AD289" i="5"/>
  <c r="AD290" i="5"/>
  <c r="U117" i="5"/>
  <c r="AD150" i="5"/>
  <c r="L186" i="5"/>
  <c r="AW186" i="5"/>
  <c r="AW194" i="5"/>
  <c r="AX194" i="5" s="1"/>
  <c r="AW200" i="5"/>
  <c r="AX200" i="5" s="1"/>
  <c r="AW206" i="5"/>
  <c r="AW212" i="5"/>
  <c r="AW218" i="5"/>
  <c r="AX270" i="5"/>
  <c r="AW187" i="5"/>
  <c r="AX193" i="5"/>
  <c r="AX199" i="5"/>
  <c r="AX278" i="5"/>
  <c r="AW193" i="5"/>
  <c r="AW199" i="5"/>
  <c r="AW205" i="5"/>
  <c r="AX205" i="5" s="1"/>
  <c r="AW211" i="5"/>
  <c r="AX211" i="5" s="1"/>
  <c r="AW217" i="5"/>
  <c r="AX217" i="5" s="1"/>
  <c r="BE291" i="5"/>
  <c r="BE290" i="5"/>
  <c r="BE292" i="5"/>
  <c r="BE289" i="5"/>
  <c r="AW281" i="5"/>
  <c r="AX281" i="5" s="1"/>
  <c r="AX192" i="5"/>
  <c r="AX198" i="5"/>
  <c r="AX204" i="5"/>
  <c r="AX210" i="5"/>
  <c r="AX216" i="5"/>
  <c r="AX267" i="5"/>
  <c r="L291" i="5"/>
  <c r="BE255" i="5"/>
  <c r="AQ256" i="5"/>
  <c r="L290" i="5"/>
  <c r="AX288" i="5"/>
  <c r="U323" i="5"/>
  <c r="BE257" i="5"/>
  <c r="U291" i="5"/>
  <c r="U289" i="5"/>
  <c r="AQ325" i="5"/>
  <c r="AR394" i="5"/>
  <c r="AR393" i="5"/>
  <c r="AR392" i="5"/>
  <c r="AV255" i="5"/>
  <c r="AQ289" i="5"/>
  <c r="AW278" i="5"/>
  <c r="AW287" i="5"/>
  <c r="AX287" i="5" s="1"/>
  <c r="U290" i="5"/>
  <c r="L325" i="5"/>
  <c r="L324" i="5"/>
  <c r="L323" i="5"/>
  <c r="AV392" i="5"/>
  <c r="AV394" i="5"/>
  <c r="AV393" i="5"/>
  <c r="AW362" i="5"/>
  <c r="AX377" i="5"/>
  <c r="AX380" i="5"/>
  <c r="AD220" i="5"/>
  <c r="C254" i="5"/>
  <c r="AR258" i="5"/>
  <c r="AW277" i="5"/>
  <c r="AX277" i="5" s="1"/>
  <c r="AX286" i="5"/>
  <c r="AX365" i="5"/>
  <c r="AX368" i="5"/>
  <c r="AX371" i="5"/>
  <c r="AV290" i="5"/>
  <c r="BE395" i="5"/>
  <c r="AW258" i="5"/>
  <c r="AX285" i="5"/>
  <c r="AQ291" i="5"/>
  <c r="AQ323" i="5"/>
  <c r="AR293" i="5"/>
  <c r="AX382" i="5"/>
  <c r="AV325" i="5"/>
  <c r="AV324" i="5"/>
  <c r="AV323" i="5"/>
  <c r="AW293" i="5"/>
  <c r="AX376" i="5"/>
  <c r="AX379" i="5"/>
  <c r="L359" i="5"/>
  <c r="L358" i="5"/>
  <c r="AV289" i="5"/>
  <c r="AD360" i="5"/>
  <c r="AD359" i="5"/>
  <c r="AX381" i="5"/>
  <c r="AD325" i="5"/>
  <c r="C359" i="5"/>
  <c r="L393" i="5"/>
  <c r="U427" i="5"/>
  <c r="BE427" i="5"/>
  <c r="AQ428" i="5"/>
  <c r="AR428" i="5"/>
  <c r="AQ358" i="5"/>
  <c r="C360" i="5"/>
  <c r="L394" i="5"/>
  <c r="U428" i="5"/>
  <c r="BE428" i="5"/>
  <c r="AQ429" i="5"/>
  <c r="AR358" i="5"/>
  <c r="L427" i="5"/>
  <c r="AV427" i="5"/>
  <c r="BE430" i="5"/>
  <c r="U358" i="5"/>
  <c r="BE358" i="5"/>
  <c r="AQ359" i="5"/>
  <c r="AD392" i="5"/>
  <c r="AX396" i="5"/>
  <c r="AW427" i="5"/>
  <c r="AR359" i="5"/>
  <c r="AQ392" i="5"/>
  <c r="L428" i="5"/>
  <c r="AV428" i="5"/>
  <c r="BE359" i="5"/>
  <c r="AD393" i="5"/>
  <c r="C427" i="5"/>
  <c r="AW428" i="5"/>
  <c r="AW327" i="5"/>
  <c r="AV358" i="5"/>
  <c r="BE392" i="5"/>
  <c r="AQ393" i="5"/>
  <c r="C428" i="5"/>
  <c r="BE393" i="5"/>
  <c r="AQ394" i="5"/>
  <c r="AX21" i="4"/>
  <c r="AX25" i="4"/>
  <c r="AX29" i="4"/>
  <c r="AX33" i="4"/>
  <c r="AX37" i="4"/>
  <c r="AX41" i="4"/>
  <c r="AX45" i="4"/>
  <c r="AT8" i="4"/>
  <c r="L81" i="4"/>
  <c r="L83" i="4"/>
  <c r="L82" i="4"/>
  <c r="L116" i="4"/>
  <c r="H8" i="4"/>
  <c r="BE48" i="4"/>
  <c r="BE50" i="4"/>
  <c r="BK10" i="4"/>
  <c r="BK11" i="4"/>
  <c r="U83" i="4"/>
  <c r="U81" i="4"/>
  <c r="U82" i="4"/>
  <c r="B20" i="4"/>
  <c r="A19" i="4"/>
  <c r="AH8" i="4"/>
  <c r="BJ10" i="4"/>
  <c r="BJ12" i="4"/>
  <c r="BJ9" i="4"/>
  <c r="L49" i="4"/>
  <c r="L9" i="4" s="1"/>
  <c r="AZ9" i="4"/>
  <c r="AZ8" i="4"/>
  <c r="BL11" i="4"/>
  <c r="BL12" i="4"/>
  <c r="BL9" i="4"/>
  <c r="BL8" i="4"/>
  <c r="AW71" i="4"/>
  <c r="AW81" i="4" s="1"/>
  <c r="AX71" i="4"/>
  <c r="AQ83" i="4"/>
  <c r="BK12" i="4"/>
  <c r="AX44" i="4"/>
  <c r="BE51" i="4"/>
  <c r="BE11" i="4" s="1"/>
  <c r="AQ82" i="4"/>
  <c r="AQ81" i="4"/>
  <c r="AR52" i="4"/>
  <c r="AD83" i="4"/>
  <c r="BJ8" i="4"/>
  <c r="V9" i="4"/>
  <c r="BI9" i="4"/>
  <c r="AO10" i="4"/>
  <c r="BL10" i="4"/>
  <c r="AW20" i="4"/>
  <c r="AX20" i="4" s="1"/>
  <c r="AW24" i="4"/>
  <c r="AX24" i="4" s="1"/>
  <c r="AW28" i="4"/>
  <c r="AX28" i="4" s="1"/>
  <c r="AW32" i="4"/>
  <c r="AX32" i="4" s="1"/>
  <c r="AW36" i="4"/>
  <c r="AX36" i="4" s="1"/>
  <c r="AW40" i="4"/>
  <c r="AX40" i="4" s="1"/>
  <c r="AW44" i="4"/>
  <c r="X10" i="4"/>
  <c r="AJ10" i="4"/>
  <c r="AE10" i="4"/>
  <c r="AV83" i="4"/>
  <c r="BE117" i="4"/>
  <c r="AX110" i="4"/>
  <c r="BK8" i="4"/>
  <c r="BK9" i="4"/>
  <c r="C50" i="4"/>
  <c r="C48" i="4"/>
  <c r="C49" i="4"/>
  <c r="AN9" i="4"/>
  <c r="AN8" i="4"/>
  <c r="AR152" i="4"/>
  <c r="L50" i="4"/>
  <c r="L8" i="4" s="1"/>
  <c r="AX19" i="4"/>
  <c r="AX23" i="4"/>
  <c r="AX27" i="4"/>
  <c r="AX31" i="4"/>
  <c r="AX35" i="4"/>
  <c r="AX39" i="4"/>
  <c r="AX43" i="4"/>
  <c r="AX47" i="4"/>
  <c r="Z10" i="4"/>
  <c r="Z9" i="4"/>
  <c r="AL10" i="4"/>
  <c r="AL9" i="4"/>
  <c r="D9" i="4"/>
  <c r="D8" i="4"/>
  <c r="P9" i="4"/>
  <c r="P8" i="4"/>
  <c r="AB9" i="4"/>
  <c r="AB8" i="4"/>
  <c r="BD10" i="4"/>
  <c r="BD11" i="4"/>
  <c r="BD12" i="4"/>
  <c r="BD9" i="4"/>
  <c r="C152" i="4"/>
  <c r="C151" i="4"/>
  <c r="C150" i="4"/>
  <c r="N10" i="4"/>
  <c r="N9" i="4"/>
  <c r="BB10" i="4"/>
  <c r="BB8" i="4"/>
  <c r="AW76" i="4"/>
  <c r="AW83" i="4" s="1"/>
  <c r="AW103" i="4"/>
  <c r="AX103" i="4" s="1"/>
  <c r="AU10" i="4"/>
  <c r="AX18" i="4"/>
  <c r="AX30" i="4"/>
  <c r="AX34" i="4"/>
  <c r="AX42" i="4"/>
  <c r="AS9" i="4"/>
  <c r="AS11" i="4"/>
  <c r="AY9" i="4"/>
  <c r="AZ10" i="4"/>
  <c r="AR48" i="4"/>
  <c r="AW18" i="4"/>
  <c r="AW49" i="4" s="1"/>
  <c r="AW22" i="4"/>
  <c r="AX22" i="4" s="1"/>
  <c r="AW26" i="4"/>
  <c r="AX26" i="4" s="1"/>
  <c r="AW30" i="4"/>
  <c r="AW34" i="4"/>
  <c r="AW38" i="4"/>
  <c r="AX38" i="4" s="1"/>
  <c r="AW42" i="4"/>
  <c r="AW46" i="4"/>
  <c r="AX46" i="4" s="1"/>
  <c r="AP10" i="4"/>
  <c r="AP8" i="4"/>
  <c r="BF12" i="4"/>
  <c r="BF8" i="4"/>
  <c r="H9" i="4"/>
  <c r="T9" i="4"/>
  <c r="AV117" i="4"/>
  <c r="AX85" i="4"/>
  <c r="AW85" i="4"/>
  <c r="AV118" i="4"/>
  <c r="AV116" i="4"/>
  <c r="AV10" i="4" s="1"/>
  <c r="AX90" i="4"/>
  <c r="AW90" i="4"/>
  <c r="BB9" i="4"/>
  <c r="AV50" i="4"/>
  <c r="AV9" i="4" s="1"/>
  <c r="AX17" i="4"/>
  <c r="R10" i="4"/>
  <c r="R8" i="4"/>
  <c r="BE81" i="4"/>
  <c r="BE12" i="4" s="1"/>
  <c r="AV82" i="4"/>
  <c r="AR151" i="4"/>
  <c r="AR150" i="4"/>
  <c r="AX141" i="4"/>
  <c r="AX144" i="4"/>
  <c r="AX147" i="4"/>
  <c r="AX101" i="4"/>
  <c r="AW101" i="4"/>
  <c r="AX109" i="4"/>
  <c r="AV152" i="4"/>
  <c r="AV151" i="4"/>
  <c r="AR87" i="4"/>
  <c r="AX87" i="4" s="1"/>
  <c r="AQ116" i="4"/>
  <c r="AW109" i="4"/>
  <c r="AD118" i="4"/>
  <c r="AW120" i="4"/>
  <c r="AX120" i="4" s="1"/>
  <c r="AW123" i="4"/>
  <c r="AX123" i="4" s="1"/>
  <c r="AW126" i="4"/>
  <c r="AX126" i="4" s="1"/>
  <c r="AV150" i="4"/>
  <c r="U187" i="4"/>
  <c r="U186" i="4"/>
  <c r="U185" i="4"/>
  <c r="U50" i="4"/>
  <c r="U9" i="4" s="1"/>
  <c r="AD81" i="4"/>
  <c r="AX70" i="4"/>
  <c r="AW80" i="4"/>
  <c r="AX80" i="4" s="1"/>
  <c r="C82" i="4"/>
  <c r="L117" i="4"/>
  <c r="AX97" i="4"/>
  <c r="AQ118" i="4"/>
  <c r="U118" i="4"/>
  <c r="U116" i="4"/>
  <c r="AW108" i="4"/>
  <c r="AX108" i="4" s="1"/>
  <c r="AX115" i="4"/>
  <c r="AR186" i="4"/>
  <c r="AX154" i="4"/>
  <c r="AR187" i="4"/>
  <c r="AR185" i="4"/>
  <c r="A18" i="4"/>
  <c r="AX68" i="4"/>
  <c r="C81" i="4"/>
  <c r="AD117" i="4"/>
  <c r="AW92" i="4"/>
  <c r="AX92" i="4" s="1"/>
  <c r="AW115" i="4"/>
  <c r="AX125" i="4"/>
  <c r="AX128" i="4"/>
  <c r="AX131" i="4"/>
  <c r="AX134" i="4"/>
  <c r="AX137" i="4"/>
  <c r="AV81" i="4"/>
  <c r="AX67" i="4"/>
  <c r="AD82" i="4"/>
  <c r="AQ117" i="4"/>
  <c r="AX96" i="4"/>
  <c r="AW96" i="4"/>
  <c r="AW122" i="4"/>
  <c r="AX122" i="4" s="1"/>
  <c r="AW125" i="4"/>
  <c r="AX114" i="4"/>
  <c r="AW114" i="4"/>
  <c r="AQ48" i="4"/>
  <c r="AQ10" i="4" s="1"/>
  <c r="BE83" i="4"/>
  <c r="BE84" i="4"/>
  <c r="BE82" i="4"/>
  <c r="BE118" i="4"/>
  <c r="BE119" i="4"/>
  <c r="BE116" i="4"/>
  <c r="L118" i="4"/>
  <c r="L152" i="4"/>
  <c r="L151" i="4"/>
  <c r="AX124" i="4"/>
  <c r="AX127" i="4"/>
  <c r="AX130" i="4"/>
  <c r="AX133" i="4"/>
  <c r="AX136" i="4"/>
  <c r="AX75" i="4"/>
  <c r="AX102" i="4"/>
  <c r="AW121" i="4"/>
  <c r="AX121" i="4" s="1"/>
  <c r="AW124" i="4"/>
  <c r="AW89" i="4"/>
  <c r="AX89" i="4" s="1"/>
  <c r="U151" i="4"/>
  <c r="BE151" i="4"/>
  <c r="AQ152" i="4"/>
  <c r="AD185" i="4"/>
  <c r="AW192" i="4"/>
  <c r="AX192" i="4" s="1"/>
  <c r="AX198" i="4"/>
  <c r="AW198" i="4"/>
  <c r="AW204" i="4"/>
  <c r="AX204" i="4" s="1"/>
  <c r="AQ256" i="4"/>
  <c r="AQ255" i="4"/>
  <c r="AQ254" i="4"/>
  <c r="AR256" i="4"/>
  <c r="AR254" i="4"/>
  <c r="AW260" i="4"/>
  <c r="AX260" i="4" s="1"/>
  <c r="AX263" i="4"/>
  <c r="AW263" i="4"/>
  <c r="AW266" i="4"/>
  <c r="AX266" i="4" s="1"/>
  <c r="AW269" i="4"/>
  <c r="AX269" i="4" s="1"/>
  <c r="AX287" i="4"/>
  <c r="U152" i="4"/>
  <c r="BE152" i="4"/>
  <c r="AQ186" i="4"/>
  <c r="AQ187" i="4"/>
  <c r="BE188" i="4"/>
  <c r="U221" i="4"/>
  <c r="U220" i="4"/>
  <c r="AW191" i="4"/>
  <c r="AX191" i="4" s="1"/>
  <c r="AW197" i="4"/>
  <c r="AX197" i="4" s="1"/>
  <c r="AX203" i="4"/>
  <c r="AW203" i="4"/>
  <c r="AX239" i="4"/>
  <c r="BE185" i="4"/>
  <c r="BE186" i="4"/>
  <c r="AD219" i="4"/>
  <c r="AD221" i="4"/>
  <c r="U219" i="4"/>
  <c r="AX316" i="4"/>
  <c r="AW95" i="4"/>
  <c r="AX95" i="4" s="1"/>
  <c r="AW107" i="4"/>
  <c r="AX107" i="4" s="1"/>
  <c r="AQ221" i="4"/>
  <c r="AQ219" i="4"/>
  <c r="AX190" i="4"/>
  <c r="AW190" i="4"/>
  <c r="AW196" i="4"/>
  <c r="AX196" i="4" s="1"/>
  <c r="AX202" i="4"/>
  <c r="AW202" i="4"/>
  <c r="AR255" i="4"/>
  <c r="AR189" i="4"/>
  <c r="AX189" i="4" s="1"/>
  <c r="AX230" i="4"/>
  <c r="AX242" i="4"/>
  <c r="AX259" i="4"/>
  <c r="AW259" i="4"/>
  <c r="AW262" i="4"/>
  <c r="AX262" i="4" s="1"/>
  <c r="AX265" i="4"/>
  <c r="AW265" i="4"/>
  <c r="AX268" i="4"/>
  <c r="AW268" i="4"/>
  <c r="AW271" i="4"/>
  <c r="AX271" i="4" s="1"/>
  <c r="AX280" i="4"/>
  <c r="L185" i="4"/>
  <c r="L10" i="4" s="1"/>
  <c r="AV185" i="4"/>
  <c r="AV221" i="4"/>
  <c r="AV219" i="4"/>
  <c r="AW189" i="4"/>
  <c r="AW195" i="4"/>
  <c r="AX195" i="4" s="1"/>
  <c r="AX201" i="4"/>
  <c r="AW201" i="4"/>
  <c r="AX318" i="4"/>
  <c r="BE221" i="4"/>
  <c r="BE222" i="4"/>
  <c r="BE220" i="4"/>
  <c r="AX194" i="4"/>
  <c r="AW194" i="4"/>
  <c r="AW200" i="4"/>
  <c r="AX200" i="4" s="1"/>
  <c r="AX206" i="4"/>
  <c r="AD220" i="4"/>
  <c r="AX225" i="4"/>
  <c r="AX249" i="4"/>
  <c r="AD151" i="4"/>
  <c r="AQ220" i="4"/>
  <c r="AV291" i="4"/>
  <c r="AV290" i="4"/>
  <c r="AX258" i="4"/>
  <c r="AV289" i="4"/>
  <c r="AW258" i="4"/>
  <c r="AW261" i="4"/>
  <c r="AX261" i="4" s="1"/>
  <c r="AW264" i="4"/>
  <c r="AX264" i="4" s="1"/>
  <c r="AX267" i="4"/>
  <c r="AW267" i="4"/>
  <c r="AX270" i="4"/>
  <c r="AW270" i="4"/>
  <c r="AX273" i="4"/>
  <c r="AX276" i="4"/>
  <c r="AX279" i="4"/>
  <c r="AX285" i="4"/>
  <c r="AW113" i="4"/>
  <c r="AX113" i="4" s="1"/>
  <c r="AQ151" i="4"/>
  <c r="AW193" i="4"/>
  <c r="AX193" i="4" s="1"/>
  <c r="AX199" i="4"/>
  <c r="AW199" i="4"/>
  <c r="C187" i="4"/>
  <c r="BE219" i="4"/>
  <c r="AX224" i="4"/>
  <c r="AX236" i="4"/>
  <c r="AX248" i="4"/>
  <c r="C221" i="4"/>
  <c r="L255" i="4"/>
  <c r="AV255" i="4"/>
  <c r="U289" i="4"/>
  <c r="BE289" i="4"/>
  <c r="AQ290" i="4"/>
  <c r="AQ323" i="4"/>
  <c r="BE360" i="4"/>
  <c r="BE361" i="4"/>
  <c r="C254" i="4"/>
  <c r="AR290" i="4"/>
  <c r="AD291" i="4"/>
  <c r="C324" i="4"/>
  <c r="C323" i="4"/>
  <c r="BE323" i="4"/>
  <c r="U325" i="4"/>
  <c r="BE359" i="4"/>
  <c r="AW397" i="4"/>
  <c r="AX397" i="4" s="1"/>
  <c r="AW400" i="4"/>
  <c r="AX400" i="4" s="1"/>
  <c r="AX403" i="4"/>
  <c r="AW403" i="4"/>
  <c r="AW406" i="4"/>
  <c r="AX406" i="4" s="1"/>
  <c r="AX409" i="4"/>
  <c r="AW409" i="4"/>
  <c r="AX412" i="4"/>
  <c r="AW412" i="4"/>
  <c r="AW415" i="4"/>
  <c r="AX415" i="4" s="1"/>
  <c r="AW418" i="4"/>
  <c r="AX418" i="4" s="1"/>
  <c r="AX421" i="4"/>
  <c r="AW421" i="4"/>
  <c r="AW424" i="4"/>
  <c r="AX424" i="4" s="1"/>
  <c r="AD428" i="4"/>
  <c r="AR428" i="4"/>
  <c r="C255" i="4"/>
  <c r="AW272" i="4"/>
  <c r="AX272" i="4" s="1"/>
  <c r="AW273" i="4"/>
  <c r="AW274" i="4"/>
  <c r="AX274" i="4" s="1"/>
  <c r="AW275" i="4"/>
  <c r="AX275" i="4" s="1"/>
  <c r="AW276" i="4"/>
  <c r="AW277" i="4"/>
  <c r="AX277" i="4" s="1"/>
  <c r="AW278" i="4"/>
  <c r="AX278" i="4" s="1"/>
  <c r="AW279" i="4"/>
  <c r="AW280" i="4"/>
  <c r="AW281" i="4"/>
  <c r="AX281" i="4" s="1"/>
  <c r="AW282" i="4"/>
  <c r="AX282" i="4" s="1"/>
  <c r="AW283" i="4"/>
  <c r="AX283" i="4" s="1"/>
  <c r="AW284" i="4"/>
  <c r="AX284" i="4" s="1"/>
  <c r="AW285" i="4"/>
  <c r="AW286" i="4"/>
  <c r="AX286" i="4" s="1"/>
  <c r="AW287" i="4"/>
  <c r="AW288" i="4"/>
  <c r="AX288" i="4" s="1"/>
  <c r="AR291" i="4"/>
  <c r="AW314" i="4"/>
  <c r="AX314" i="4" s="1"/>
  <c r="AV324" i="4"/>
  <c r="AV325" i="4"/>
  <c r="AX329" i="4"/>
  <c r="AW329" i="4"/>
  <c r="AX332" i="4"/>
  <c r="AW332" i="4"/>
  <c r="AW335" i="4"/>
  <c r="AX335" i="4" s="1"/>
  <c r="AW338" i="4"/>
  <c r="AX338" i="4" s="1"/>
  <c r="AX341" i="4"/>
  <c r="AW341" i="4"/>
  <c r="AW344" i="4"/>
  <c r="AX344" i="4" s="1"/>
  <c r="AX347" i="4"/>
  <c r="AW347" i="4"/>
  <c r="AX350" i="4"/>
  <c r="AW350" i="4"/>
  <c r="AW353" i="4"/>
  <c r="AX353" i="4" s="1"/>
  <c r="AW356" i="4"/>
  <c r="AX356" i="4" s="1"/>
  <c r="U359" i="4"/>
  <c r="AD254" i="4"/>
  <c r="AD325" i="4"/>
  <c r="AD324" i="4"/>
  <c r="AD323" i="4"/>
  <c r="AW313" i="4"/>
  <c r="AW325" i="4" s="1"/>
  <c r="AV323" i="4"/>
  <c r="L325" i="4"/>
  <c r="AX366" i="4"/>
  <c r="AX372" i="4"/>
  <c r="AX378" i="4"/>
  <c r="AX384" i="4"/>
  <c r="AR429" i="4"/>
  <c r="AW205" i="4"/>
  <c r="AX205" i="4" s="1"/>
  <c r="AW206" i="4"/>
  <c r="L219" i="4"/>
  <c r="L324" i="4"/>
  <c r="U358" i="4"/>
  <c r="AV429" i="4"/>
  <c r="AV428" i="4"/>
  <c r="AV427" i="4"/>
  <c r="AW396" i="4"/>
  <c r="AW399" i="4"/>
  <c r="AX399" i="4" s="1"/>
  <c r="AX402" i="4"/>
  <c r="AW402" i="4"/>
  <c r="AW405" i="4"/>
  <c r="AX405" i="4" s="1"/>
  <c r="AW408" i="4"/>
  <c r="AX408" i="4" s="1"/>
  <c r="AX411" i="4"/>
  <c r="AW411" i="4"/>
  <c r="AX414" i="4"/>
  <c r="AW414" i="4"/>
  <c r="AW417" i="4"/>
  <c r="AX417" i="4" s="1"/>
  <c r="AX420" i="4"/>
  <c r="AW420" i="4"/>
  <c r="AW423" i="4"/>
  <c r="AX423" i="4" s="1"/>
  <c r="C289" i="4"/>
  <c r="AR324" i="4"/>
  <c r="AR323" i="4"/>
  <c r="L359" i="4"/>
  <c r="L360" i="4"/>
  <c r="AX365" i="4"/>
  <c r="AX371" i="4"/>
  <c r="AX377" i="4"/>
  <c r="AX389" i="4"/>
  <c r="AW328" i="4"/>
  <c r="AX328" i="4" s="1"/>
  <c r="AW331" i="4"/>
  <c r="AX331" i="4" s="1"/>
  <c r="AX334" i="4"/>
  <c r="AW334" i="4"/>
  <c r="AX337" i="4"/>
  <c r="AW337" i="4"/>
  <c r="AW340" i="4"/>
  <c r="AX340" i="4" s="1"/>
  <c r="AX343" i="4"/>
  <c r="AW343" i="4"/>
  <c r="AW346" i="4"/>
  <c r="AX346" i="4" s="1"/>
  <c r="AW349" i="4"/>
  <c r="AX349" i="4" s="1"/>
  <c r="AX352" i="4"/>
  <c r="AW352" i="4"/>
  <c r="AX355" i="4"/>
  <c r="AW355" i="4"/>
  <c r="L392" i="4"/>
  <c r="L393" i="4"/>
  <c r="C290" i="4"/>
  <c r="AD429" i="4"/>
  <c r="U255" i="4"/>
  <c r="BE255" i="4"/>
  <c r="AD289" i="4"/>
  <c r="AW320" i="4"/>
  <c r="AX320" i="4" s="1"/>
  <c r="BE326" i="4"/>
  <c r="AD360" i="4"/>
  <c r="AW398" i="4"/>
  <c r="AX398" i="4" s="1"/>
  <c r="AX401" i="4"/>
  <c r="AW401" i="4"/>
  <c r="AW404" i="4"/>
  <c r="AX404" i="4" s="1"/>
  <c r="AW407" i="4"/>
  <c r="AX407" i="4" s="1"/>
  <c r="AX410" i="4"/>
  <c r="AW410" i="4"/>
  <c r="AX413" i="4"/>
  <c r="AW413" i="4"/>
  <c r="AW416" i="4"/>
  <c r="AX416" i="4" s="1"/>
  <c r="AX419" i="4"/>
  <c r="AW419" i="4"/>
  <c r="AW422" i="4"/>
  <c r="AX422" i="4" s="1"/>
  <c r="AW425" i="4"/>
  <c r="AX425" i="4" s="1"/>
  <c r="AW223" i="4"/>
  <c r="AW224" i="4"/>
  <c r="AW225" i="4"/>
  <c r="AW226" i="4"/>
  <c r="AX226" i="4" s="1"/>
  <c r="AW227" i="4"/>
  <c r="AX227" i="4" s="1"/>
  <c r="AW228" i="4"/>
  <c r="AX228" i="4" s="1"/>
  <c r="AW229" i="4"/>
  <c r="AX229" i="4" s="1"/>
  <c r="AW230" i="4"/>
  <c r="AW231" i="4"/>
  <c r="AX231" i="4" s="1"/>
  <c r="AW232" i="4"/>
  <c r="AX232" i="4" s="1"/>
  <c r="AW233" i="4"/>
  <c r="AX233" i="4" s="1"/>
  <c r="AW234" i="4"/>
  <c r="AX234" i="4" s="1"/>
  <c r="AW235" i="4"/>
  <c r="AX235" i="4" s="1"/>
  <c r="AW236" i="4"/>
  <c r="AW237" i="4"/>
  <c r="AX237" i="4" s="1"/>
  <c r="AW238" i="4"/>
  <c r="AX238" i="4" s="1"/>
  <c r="AW239" i="4"/>
  <c r="AW240" i="4"/>
  <c r="AX240" i="4" s="1"/>
  <c r="AW241" i="4"/>
  <c r="AX241" i="4" s="1"/>
  <c r="AW242" i="4"/>
  <c r="AW243" i="4"/>
  <c r="AX243" i="4" s="1"/>
  <c r="AW244" i="4"/>
  <c r="AX244" i="4" s="1"/>
  <c r="AW245" i="4"/>
  <c r="AX245" i="4" s="1"/>
  <c r="AW246" i="4"/>
  <c r="AX246" i="4" s="1"/>
  <c r="AW247" i="4"/>
  <c r="AX247" i="4" s="1"/>
  <c r="AW248" i="4"/>
  <c r="AW249" i="4"/>
  <c r="AW250" i="4"/>
  <c r="AX250" i="4" s="1"/>
  <c r="AW251" i="4"/>
  <c r="AX251" i="4" s="1"/>
  <c r="AW252" i="4"/>
  <c r="AX252" i="4" s="1"/>
  <c r="AW253" i="4"/>
  <c r="AX253" i="4" s="1"/>
  <c r="AV254" i="4"/>
  <c r="BE257" i="4"/>
  <c r="AW319" i="4"/>
  <c r="AW324" i="4" s="1"/>
  <c r="AQ325" i="4"/>
  <c r="BE325" i="4"/>
  <c r="AR327" i="4"/>
  <c r="AQ358" i="4"/>
  <c r="AX363" i="4"/>
  <c r="AX369" i="4"/>
  <c r="AX375" i="4"/>
  <c r="AX381" i="4"/>
  <c r="AX387" i="4"/>
  <c r="AR325" i="4"/>
  <c r="AX327" i="4"/>
  <c r="AV358" i="4"/>
  <c r="AW327" i="4"/>
  <c r="AX330" i="4"/>
  <c r="AW330" i="4"/>
  <c r="AW333" i="4"/>
  <c r="AX333" i="4" s="1"/>
  <c r="AW336" i="4"/>
  <c r="AX336" i="4" s="1"/>
  <c r="AX339" i="4"/>
  <c r="AW339" i="4"/>
  <c r="AW342" i="4"/>
  <c r="AX342" i="4" s="1"/>
  <c r="AX345" i="4"/>
  <c r="AW345" i="4"/>
  <c r="AX348" i="4"/>
  <c r="AW348" i="4"/>
  <c r="AW351" i="4"/>
  <c r="AX351" i="4" s="1"/>
  <c r="AW354" i="4"/>
  <c r="AX354" i="4" s="1"/>
  <c r="AX357" i="4"/>
  <c r="AW357" i="4"/>
  <c r="AQ360" i="4"/>
  <c r="AV392" i="4"/>
  <c r="AW362" i="4"/>
  <c r="AV393" i="4"/>
  <c r="U427" i="4"/>
  <c r="BE427" i="4"/>
  <c r="AQ428" i="4"/>
  <c r="C393" i="4"/>
  <c r="AW426" i="4"/>
  <c r="AX426" i="4" s="1"/>
  <c r="L427" i="4"/>
  <c r="BE430" i="4"/>
  <c r="AD392" i="4"/>
  <c r="AQ392" i="4"/>
  <c r="L428" i="4"/>
  <c r="AD393" i="4"/>
  <c r="C427" i="4"/>
  <c r="BE392" i="4"/>
  <c r="AQ393" i="4"/>
  <c r="C358" i="4"/>
  <c r="AR362" i="4"/>
  <c r="C428" i="4"/>
  <c r="BE393" i="4"/>
  <c r="AX37" i="3"/>
  <c r="AX40" i="3"/>
  <c r="AX43" i="3"/>
  <c r="AX31" i="3"/>
  <c r="AX45" i="3"/>
  <c r="D8" i="3"/>
  <c r="AZ8" i="3"/>
  <c r="AD49" i="3"/>
  <c r="AD50" i="3"/>
  <c r="AD9" i="3" s="1"/>
  <c r="AR19" i="3"/>
  <c r="AX19" i="3" s="1"/>
  <c r="AW21" i="3"/>
  <c r="AW49" i="3" s="1"/>
  <c r="AW33" i="3"/>
  <c r="AX33" i="3" s="1"/>
  <c r="AW45" i="3"/>
  <c r="U82" i="3"/>
  <c r="U83" i="3"/>
  <c r="U81" i="3"/>
  <c r="AX53" i="3"/>
  <c r="AX61" i="3"/>
  <c r="AW61" i="3"/>
  <c r="AW114" i="3"/>
  <c r="AX114" i="3" s="1"/>
  <c r="BE150" i="3"/>
  <c r="BE151" i="3"/>
  <c r="BE153" i="3"/>
  <c r="BE219" i="3"/>
  <c r="BE222" i="3"/>
  <c r="BE220" i="3"/>
  <c r="BE221" i="3"/>
  <c r="AX205" i="3"/>
  <c r="E8" i="3"/>
  <c r="Q8" i="3"/>
  <c r="AC8" i="3"/>
  <c r="AO8" i="3"/>
  <c r="BK9" i="3"/>
  <c r="AQ48" i="3"/>
  <c r="AQ50" i="3"/>
  <c r="BE51" i="3"/>
  <c r="AD81" i="3"/>
  <c r="AD82" i="3"/>
  <c r="AW53" i="3"/>
  <c r="AX64" i="3"/>
  <c r="AD116" i="3"/>
  <c r="AQ83" i="3"/>
  <c r="AQ81" i="3"/>
  <c r="AQ9" i="3" s="1"/>
  <c r="AQ82" i="3"/>
  <c r="AR52" i="3"/>
  <c r="G8" i="3"/>
  <c r="S8" i="3"/>
  <c r="E9" i="3"/>
  <c r="Q9" i="3"/>
  <c r="AC9" i="3"/>
  <c r="AP10" i="3"/>
  <c r="AW18" i="3"/>
  <c r="AR28" i="3"/>
  <c r="AW30" i="3"/>
  <c r="AX30" i="3" s="1"/>
  <c r="AW42" i="3"/>
  <c r="AX42" i="3" s="1"/>
  <c r="AD48" i="3"/>
  <c r="AQ49" i="3"/>
  <c r="BE49" i="3"/>
  <c r="AV81" i="3"/>
  <c r="AV82" i="3"/>
  <c r="AX52" i="3"/>
  <c r="C81" i="3"/>
  <c r="AX110" i="3"/>
  <c r="AF8" i="3"/>
  <c r="BF11" i="3"/>
  <c r="AX18" i="3"/>
  <c r="B21" i="3"/>
  <c r="BE48" i="3"/>
  <c r="BE10" i="3" s="1"/>
  <c r="U50" i="3"/>
  <c r="AX63" i="3"/>
  <c r="AW67" i="3"/>
  <c r="AX67" i="3" s="1"/>
  <c r="AX90" i="3"/>
  <c r="AW90" i="3"/>
  <c r="AX96" i="3"/>
  <c r="AW102" i="3"/>
  <c r="AX102" i="3" s="1"/>
  <c r="C150" i="3"/>
  <c r="AW199" i="3"/>
  <c r="AX199" i="3" s="1"/>
  <c r="BE50" i="3"/>
  <c r="G9" i="3"/>
  <c r="S9" i="3"/>
  <c r="BI12" i="3"/>
  <c r="BE81" i="3"/>
  <c r="AD118" i="3"/>
  <c r="AD117" i="3"/>
  <c r="L152" i="3"/>
  <c r="U187" i="3"/>
  <c r="AR255" i="3"/>
  <c r="AR254" i="3"/>
  <c r="AR48" i="3"/>
  <c r="AR49" i="3"/>
  <c r="BF8" i="3"/>
  <c r="AF9" i="3"/>
  <c r="BF10" i="3"/>
  <c r="AW27" i="3"/>
  <c r="AX27" i="3" s="1"/>
  <c r="AW39" i="3"/>
  <c r="AX39" i="3" s="1"/>
  <c r="U48" i="3"/>
  <c r="U49" i="3"/>
  <c r="AV50" i="3"/>
  <c r="AV10" i="3" s="1"/>
  <c r="AX59" i="3"/>
  <c r="AW59" i="3"/>
  <c r="AW70" i="3"/>
  <c r="AX70" i="3" s="1"/>
  <c r="AV83" i="3"/>
  <c r="AW104" i="3"/>
  <c r="AX104" i="3" s="1"/>
  <c r="AR186" i="3"/>
  <c r="AR187" i="3"/>
  <c r="AX154" i="3"/>
  <c r="AR185" i="3"/>
  <c r="AR50" i="3"/>
  <c r="BK12" i="3"/>
  <c r="AW26" i="3"/>
  <c r="AX26" i="3" s="1"/>
  <c r="AW38" i="3"/>
  <c r="AX38" i="3" s="1"/>
  <c r="AV48" i="3"/>
  <c r="AV9" i="3" s="1"/>
  <c r="L50" i="3"/>
  <c r="L10" i="3" s="1"/>
  <c r="AW55" i="3"/>
  <c r="AX55" i="3" s="1"/>
  <c r="BE152" i="3"/>
  <c r="AW174" i="3"/>
  <c r="AX174" i="3" s="1"/>
  <c r="BJ11" i="3"/>
  <c r="AX69" i="3"/>
  <c r="AX168" i="3"/>
  <c r="BI8" i="3"/>
  <c r="BI10" i="3"/>
  <c r="C50" i="3"/>
  <c r="C48" i="3"/>
  <c r="C9" i="3" s="1"/>
  <c r="BK11" i="3"/>
  <c r="AQ117" i="3"/>
  <c r="AX124" i="3"/>
  <c r="AX179" i="3"/>
  <c r="AW179" i="3"/>
  <c r="AV221" i="3"/>
  <c r="BK10" i="3"/>
  <c r="AW54" i="3"/>
  <c r="AW82" i="3" s="1"/>
  <c r="AW58" i="3"/>
  <c r="AX58" i="3" s="1"/>
  <c r="AX65" i="3"/>
  <c r="AW65" i="3"/>
  <c r="AV117" i="3"/>
  <c r="AV118" i="3"/>
  <c r="AV116" i="3"/>
  <c r="AW151" i="3"/>
  <c r="L151" i="3"/>
  <c r="L81" i="3"/>
  <c r="L8" i="3" s="1"/>
  <c r="L82" i="3"/>
  <c r="L83" i="3"/>
  <c r="AX57" i="3"/>
  <c r="AW97" i="3"/>
  <c r="AX97" i="3" s="1"/>
  <c r="AX136" i="3"/>
  <c r="L150" i="3"/>
  <c r="AX160" i="3"/>
  <c r="L117" i="3"/>
  <c r="L118" i="3"/>
  <c r="AD187" i="3"/>
  <c r="AD186" i="3"/>
  <c r="AD185" i="3"/>
  <c r="AX167" i="3"/>
  <c r="AW167" i="3"/>
  <c r="AW187" i="3" s="1"/>
  <c r="L185" i="3"/>
  <c r="AQ185" i="3"/>
  <c r="AW193" i="3"/>
  <c r="AX193" i="3" s="1"/>
  <c r="AW225" i="3"/>
  <c r="AX225" i="3" s="1"/>
  <c r="AW228" i="3"/>
  <c r="AX228" i="3" s="1"/>
  <c r="AX231" i="3"/>
  <c r="AW231" i="3"/>
  <c r="AX234" i="3"/>
  <c r="AW234" i="3"/>
  <c r="AW237" i="3"/>
  <c r="AX237" i="3" s="1"/>
  <c r="AX240" i="3"/>
  <c r="AW240" i="3"/>
  <c r="AW243" i="3"/>
  <c r="AX243" i="3" s="1"/>
  <c r="AW246" i="3"/>
  <c r="AX246" i="3" s="1"/>
  <c r="AX249" i="3"/>
  <c r="AW249" i="3"/>
  <c r="AX252" i="3"/>
  <c r="AW252" i="3"/>
  <c r="AQ291" i="3"/>
  <c r="AQ290" i="3"/>
  <c r="AQ289" i="3"/>
  <c r="AR258" i="3"/>
  <c r="AD323" i="3"/>
  <c r="AD325" i="3"/>
  <c r="AD324" i="3"/>
  <c r="C83" i="3"/>
  <c r="U118" i="3"/>
  <c r="AX94" i="3"/>
  <c r="AX103" i="3"/>
  <c r="AX115" i="3"/>
  <c r="L116" i="3"/>
  <c r="AQ118" i="3"/>
  <c r="AQ187" i="3"/>
  <c r="AW173" i="3"/>
  <c r="AX173" i="3" s="1"/>
  <c r="AX309" i="3"/>
  <c r="AW309" i="3"/>
  <c r="AX278" i="3"/>
  <c r="AW278" i="3"/>
  <c r="AV290" i="3"/>
  <c r="AX364" i="3"/>
  <c r="AW364" i="3"/>
  <c r="AW367" i="3"/>
  <c r="AX367" i="3" s="1"/>
  <c r="AX370" i="3"/>
  <c r="AW370" i="3"/>
  <c r="AW373" i="3"/>
  <c r="AX373" i="3" s="1"/>
  <c r="AW376" i="3"/>
  <c r="AX376" i="3" s="1"/>
  <c r="AX379" i="3"/>
  <c r="AW379" i="3"/>
  <c r="AX382" i="3"/>
  <c r="AW382" i="3"/>
  <c r="AW385" i="3"/>
  <c r="AX385" i="3" s="1"/>
  <c r="AX388" i="3"/>
  <c r="AW388" i="3"/>
  <c r="AW391" i="3"/>
  <c r="AX391" i="3" s="1"/>
  <c r="AX429" i="3"/>
  <c r="AX428" i="3"/>
  <c r="AX427" i="3"/>
  <c r="AX224" i="3"/>
  <c r="AW224" i="3"/>
  <c r="AW227" i="3"/>
  <c r="AX227" i="3" s="1"/>
  <c r="AX230" i="3"/>
  <c r="AW230" i="3"/>
  <c r="AW233" i="3"/>
  <c r="AX233" i="3" s="1"/>
  <c r="AX236" i="3"/>
  <c r="AW236" i="3"/>
  <c r="AX239" i="3"/>
  <c r="AW239" i="3"/>
  <c r="AX242" i="3"/>
  <c r="AW242" i="3"/>
  <c r="AW245" i="3"/>
  <c r="AX245" i="3" s="1"/>
  <c r="AX248" i="3"/>
  <c r="AW248" i="3"/>
  <c r="AW251" i="3"/>
  <c r="AX251" i="3" s="1"/>
  <c r="AX306" i="3"/>
  <c r="AW306" i="3"/>
  <c r="AX272" i="3"/>
  <c r="AW303" i="3"/>
  <c r="AX303" i="3" s="1"/>
  <c r="AX56" i="3"/>
  <c r="AX62" i="3"/>
  <c r="AX68" i="3"/>
  <c r="AX74" i="3"/>
  <c r="AW152" i="3"/>
  <c r="AX308" i="3"/>
  <c r="AW308" i="3"/>
  <c r="BE118" i="3"/>
  <c r="BE119" i="3"/>
  <c r="BE116" i="3"/>
  <c r="AX101" i="3"/>
  <c r="AQ116" i="3"/>
  <c r="AQ8" i="3" s="1"/>
  <c r="C152" i="3"/>
  <c r="AX217" i="3"/>
  <c r="AX268" i="3"/>
  <c r="AW300" i="3"/>
  <c r="AX300" i="3" s="1"/>
  <c r="AX318" i="3"/>
  <c r="C289" i="3"/>
  <c r="C291" i="3"/>
  <c r="C290" i="3"/>
  <c r="AQ324" i="3"/>
  <c r="AX95" i="3"/>
  <c r="AQ186" i="3"/>
  <c r="AX194" i="3"/>
  <c r="AQ255" i="3"/>
  <c r="L289" i="3"/>
  <c r="L290" i="3"/>
  <c r="BE84" i="3"/>
  <c r="BE82" i="3"/>
  <c r="BE8" i="3" s="1"/>
  <c r="BE83" i="3"/>
  <c r="AX60" i="3"/>
  <c r="AX66" i="3"/>
  <c r="AX72" i="3"/>
  <c r="AX78" i="3"/>
  <c r="AW95" i="3"/>
  <c r="AW116" i="3" s="1"/>
  <c r="AX100" i="3"/>
  <c r="AW108" i="3"/>
  <c r="AX108" i="3" s="1"/>
  <c r="AD291" i="3"/>
  <c r="AX91" i="3"/>
  <c r="AX107" i="3"/>
  <c r="U186" i="3"/>
  <c r="AX177" i="3"/>
  <c r="AX200" i="3"/>
  <c r="AX264" i="3"/>
  <c r="AX296" i="3"/>
  <c r="AW112" i="3"/>
  <c r="AX112" i="3" s="1"/>
  <c r="AX113" i="3"/>
  <c r="AR120" i="3"/>
  <c r="AD152" i="3"/>
  <c r="C185" i="3"/>
  <c r="C186" i="3"/>
  <c r="AW170" i="3"/>
  <c r="AX170" i="3" s="1"/>
  <c r="AW176" i="3"/>
  <c r="AX176" i="3" s="1"/>
  <c r="AW182" i="3"/>
  <c r="AX182" i="3" s="1"/>
  <c r="AR220" i="3"/>
  <c r="AR221" i="3"/>
  <c r="AX190" i="3"/>
  <c r="AX196" i="3"/>
  <c r="AX202" i="3"/>
  <c r="AV256" i="3"/>
  <c r="AV254" i="3"/>
  <c r="AW223" i="3"/>
  <c r="AW226" i="3"/>
  <c r="AX226" i="3" s="1"/>
  <c r="AX229" i="3"/>
  <c r="AW229" i="3"/>
  <c r="AX232" i="3"/>
  <c r="AW232" i="3"/>
  <c r="AX235" i="3"/>
  <c r="AW235" i="3"/>
  <c r="AW238" i="3"/>
  <c r="AX238" i="3" s="1"/>
  <c r="AX241" i="3"/>
  <c r="AW241" i="3"/>
  <c r="AW244" i="3"/>
  <c r="AX244" i="3" s="1"/>
  <c r="AX247" i="3"/>
  <c r="AW247" i="3"/>
  <c r="AX250" i="3"/>
  <c r="AW250" i="3"/>
  <c r="AX253" i="3"/>
  <c r="AW253" i="3"/>
  <c r="C325" i="3"/>
  <c r="C324" i="3"/>
  <c r="C323" i="3"/>
  <c r="AR85" i="3"/>
  <c r="U151" i="3"/>
  <c r="AQ152" i="3"/>
  <c r="AV219" i="3"/>
  <c r="AW189" i="3"/>
  <c r="BE256" i="3"/>
  <c r="BE257" i="3"/>
  <c r="AX294" i="3"/>
  <c r="AW294" i="3"/>
  <c r="U116" i="3"/>
  <c r="AV186" i="3"/>
  <c r="U291" i="3"/>
  <c r="AX299" i="3"/>
  <c r="AX302" i="3"/>
  <c r="AV185" i="3"/>
  <c r="AV220" i="3"/>
  <c r="AV255" i="3"/>
  <c r="AD290" i="3"/>
  <c r="AX277" i="3"/>
  <c r="AV289" i="3"/>
  <c r="AW302" i="3"/>
  <c r="AW312" i="3"/>
  <c r="AX312" i="3" s="1"/>
  <c r="BE186" i="3"/>
  <c r="AD254" i="3"/>
  <c r="AX285" i="3"/>
  <c r="AW285" i="3"/>
  <c r="AW171" i="3"/>
  <c r="AX171" i="3" s="1"/>
  <c r="AW177" i="3"/>
  <c r="BE188" i="3"/>
  <c r="U219" i="3"/>
  <c r="U220" i="3"/>
  <c r="AX191" i="3"/>
  <c r="AX197" i="3"/>
  <c r="AX203" i="3"/>
  <c r="AQ254" i="3"/>
  <c r="AD256" i="3"/>
  <c r="AX273" i="3"/>
  <c r="AW273" i="3"/>
  <c r="AX311" i="3"/>
  <c r="AX314" i="3"/>
  <c r="AX333" i="3"/>
  <c r="AR393" i="3"/>
  <c r="BE187" i="3"/>
  <c r="AD221" i="3"/>
  <c r="AD220" i="3"/>
  <c r="AD219" i="3"/>
  <c r="AR256" i="3"/>
  <c r="AQ256" i="3"/>
  <c r="AX261" i="3"/>
  <c r="AX265" i="3"/>
  <c r="AX269" i="3"/>
  <c r="AX276" i="3"/>
  <c r="AW276" i="3"/>
  <c r="AW290" i="3" s="1"/>
  <c r="AQ221" i="3"/>
  <c r="C256" i="3"/>
  <c r="BE292" i="3"/>
  <c r="BE290" i="3"/>
  <c r="BE289" i="3"/>
  <c r="AV291" i="3"/>
  <c r="AX315" i="3"/>
  <c r="AX319" i="3"/>
  <c r="L254" i="3"/>
  <c r="U290" i="3"/>
  <c r="U289" i="3"/>
  <c r="AX332" i="3"/>
  <c r="AW363" i="3"/>
  <c r="AX363" i="3" s="1"/>
  <c r="AX366" i="3"/>
  <c r="AW366" i="3"/>
  <c r="AW369" i="3"/>
  <c r="AX369" i="3" s="1"/>
  <c r="AX372" i="3"/>
  <c r="AW372" i="3"/>
  <c r="AW375" i="3"/>
  <c r="AX375" i="3" s="1"/>
  <c r="AX378" i="3"/>
  <c r="AW378" i="3"/>
  <c r="AW381" i="3"/>
  <c r="AX381" i="3" s="1"/>
  <c r="AX384" i="3"/>
  <c r="AW384" i="3"/>
  <c r="AW387" i="3"/>
  <c r="AX387" i="3" s="1"/>
  <c r="AX390" i="3"/>
  <c r="AW390" i="3"/>
  <c r="AX313" i="3"/>
  <c r="AX317" i="3"/>
  <c r="AX321" i="3"/>
  <c r="AX331" i="3"/>
  <c r="AQ323" i="3"/>
  <c r="AQ325" i="3"/>
  <c r="AR293" i="3"/>
  <c r="AX329" i="3"/>
  <c r="AR392" i="3"/>
  <c r="AR394" i="3"/>
  <c r="AQ220" i="3"/>
  <c r="AW272" i="3"/>
  <c r="AW289" i="3" s="1"/>
  <c r="AW284" i="3"/>
  <c r="AW291" i="3" s="1"/>
  <c r="AD289" i="3"/>
  <c r="BE291" i="3"/>
  <c r="AV325" i="3"/>
  <c r="AV324" i="3"/>
  <c r="AV323" i="3"/>
  <c r="AX316" i="3"/>
  <c r="AX320" i="3"/>
  <c r="AR360" i="3"/>
  <c r="AR359" i="3"/>
  <c r="AR358" i="3"/>
  <c r="AX328" i="3"/>
  <c r="AV394" i="3"/>
  <c r="AV393" i="3"/>
  <c r="AX362" i="3"/>
  <c r="AV392" i="3"/>
  <c r="AW362" i="3"/>
  <c r="AW365" i="3"/>
  <c r="AX365" i="3" s="1"/>
  <c r="AX368" i="3"/>
  <c r="AW368" i="3"/>
  <c r="AW371" i="3"/>
  <c r="AX371" i="3" s="1"/>
  <c r="AW374" i="3"/>
  <c r="AX374" i="3" s="1"/>
  <c r="AX377" i="3"/>
  <c r="AW377" i="3"/>
  <c r="AX380" i="3"/>
  <c r="AW380" i="3"/>
  <c r="AW383" i="3"/>
  <c r="AX383" i="3" s="1"/>
  <c r="AX386" i="3"/>
  <c r="AW386" i="3"/>
  <c r="AW389" i="3"/>
  <c r="AX389" i="3" s="1"/>
  <c r="C429" i="3"/>
  <c r="C427" i="3"/>
  <c r="C428" i="3"/>
  <c r="AW293" i="3"/>
  <c r="L429" i="3"/>
  <c r="L427" i="3"/>
  <c r="L428" i="3"/>
  <c r="AW360" i="3"/>
  <c r="AR428" i="3"/>
  <c r="BE324" i="3"/>
  <c r="AR427" i="3"/>
  <c r="AQ358" i="3"/>
  <c r="AR429" i="3"/>
  <c r="AW427" i="3"/>
  <c r="L324" i="3"/>
  <c r="U358" i="3"/>
  <c r="BE358" i="3"/>
  <c r="AQ359" i="3"/>
  <c r="AW428" i="3"/>
  <c r="U359" i="3"/>
  <c r="BE359" i="3"/>
  <c r="L358" i="3"/>
  <c r="AV358" i="3"/>
  <c r="BE361" i="3"/>
  <c r="AX327" i="3"/>
  <c r="B40" i="2"/>
  <c r="A39" i="2"/>
  <c r="A21" i="2"/>
  <c r="A24" i="2"/>
  <c r="A27" i="2"/>
  <c r="A30" i="2"/>
  <c r="A33" i="2"/>
  <c r="A36" i="2"/>
  <c r="BE117" i="2"/>
  <c r="AD50" i="2"/>
  <c r="B87" i="2"/>
  <c r="BE50" i="2"/>
  <c r="AD82" i="2"/>
  <c r="U81" i="2"/>
  <c r="BE81" i="2"/>
  <c r="BE119" i="2"/>
  <c r="U152" i="2"/>
  <c r="U150" i="2"/>
  <c r="BE116" i="2"/>
  <c r="BE118" i="2"/>
  <c r="AD150" i="2"/>
  <c r="AD152" i="2"/>
  <c r="U82" i="2"/>
  <c r="AD118" i="2"/>
  <c r="AD116" i="2"/>
  <c r="U116" i="2"/>
  <c r="BE187" i="2"/>
  <c r="BE188" i="2"/>
  <c r="BE186" i="2"/>
  <c r="BE185" i="2"/>
  <c r="U117" i="2"/>
  <c r="BE152" i="2"/>
  <c r="BE153" i="2"/>
  <c r="BE150" i="2"/>
  <c r="AD255" i="2"/>
  <c r="AD254" i="2"/>
  <c r="AD256" i="2"/>
  <c r="AD151" i="2"/>
  <c r="BE151" i="2"/>
  <c r="AD428" i="2"/>
  <c r="BE255" i="2"/>
  <c r="BE254" i="2"/>
  <c r="U289" i="2"/>
  <c r="U291" i="2"/>
  <c r="AD219" i="2"/>
  <c r="BE257" i="2"/>
  <c r="BE256" i="2"/>
  <c r="AD221" i="2"/>
  <c r="BE289" i="2"/>
  <c r="BE291" i="2"/>
  <c r="BE292" i="2"/>
  <c r="U255" i="2"/>
  <c r="U254" i="2"/>
  <c r="U325" i="2"/>
  <c r="BE360" i="2"/>
  <c r="BE361" i="2"/>
  <c r="BE359" i="2"/>
  <c r="BE358" i="2"/>
  <c r="AD323" i="2"/>
  <c r="BE395" i="2"/>
  <c r="BE393" i="2"/>
  <c r="BE392" i="2"/>
  <c r="AD289" i="2"/>
  <c r="BE325" i="2"/>
  <c r="AD324" i="2"/>
  <c r="BE326" i="2"/>
  <c r="U360" i="2"/>
  <c r="U359" i="2"/>
  <c r="U358" i="2"/>
  <c r="AD290" i="2"/>
  <c r="AD325" i="2"/>
  <c r="BE323" i="2"/>
  <c r="U324" i="2"/>
  <c r="BE324" i="2"/>
  <c r="AD427" i="2"/>
  <c r="AD429" i="2"/>
  <c r="AD359" i="2"/>
  <c r="U428" i="2"/>
  <c r="BE428" i="2"/>
  <c r="BE430" i="2"/>
  <c r="AD392" i="2"/>
  <c r="AD393" i="2"/>
  <c r="U392" i="2"/>
  <c r="AD9" i="2" l="1"/>
  <c r="AX220" i="2"/>
  <c r="AV8" i="2"/>
  <c r="AD8" i="2"/>
  <c r="AX264" i="2"/>
  <c r="AX291" i="2" s="1"/>
  <c r="AR117" i="2"/>
  <c r="AV10" i="2"/>
  <c r="AW10" i="2"/>
  <c r="C10" i="2"/>
  <c r="AR291" i="2"/>
  <c r="AR255" i="2"/>
  <c r="AR256" i="2"/>
  <c r="AX223" i="2"/>
  <c r="AX254" i="2" s="1"/>
  <c r="AR254" i="2"/>
  <c r="C9" i="2"/>
  <c r="AR290" i="2"/>
  <c r="AX427" i="2"/>
  <c r="AQ10" i="2"/>
  <c r="U10" i="2"/>
  <c r="BE10" i="2"/>
  <c r="AW117" i="2"/>
  <c r="U9" i="2"/>
  <c r="BE11" i="2"/>
  <c r="AX359" i="2"/>
  <c r="BE12" i="2"/>
  <c r="L9" i="2"/>
  <c r="AW116" i="2"/>
  <c r="AR83" i="2"/>
  <c r="BE9" i="2"/>
  <c r="L8" i="2"/>
  <c r="AR82" i="2"/>
  <c r="AR10" i="2" s="1"/>
  <c r="AW324" i="2"/>
  <c r="AW323" i="2"/>
  <c r="AW48" i="2"/>
  <c r="AW8" i="2" s="1"/>
  <c r="AW83" i="2"/>
  <c r="AW49" i="2"/>
  <c r="AX187" i="2"/>
  <c r="AW118" i="2"/>
  <c r="AX88" i="2"/>
  <c r="AX118" i="2" s="1"/>
  <c r="AX186" i="2"/>
  <c r="AX358" i="2"/>
  <c r="AX394" i="2"/>
  <c r="AX393" i="2"/>
  <c r="AX20" i="2"/>
  <c r="AX49" i="2" s="1"/>
  <c r="AX289" i="2"/>
  <c r="AX185" i="2"/>
  <c r="AX294" i="2"/>
  <c r="AX323" i="2" s="1"/>
  <c r="AX150" i="2"/>
  <c r="AX151" i="2"/>
  <c r="AW392" i="2"/>
  <c r="AW82" i="2"/>
  <c r="AX53" i="2"/>
  <c r="AX392" i="2"/>
  <c r="AW81" i="2"/>
  <c r="AW394" i="2"/>
  <c r="AW393" i="2"/>
  <c r="AX256" i="2"/>
  <c r="AX219" i="2"/>
  <c r="AX221" i="2"/>
  <c r="AW50" i="2"/>
  <c r="AX152" i="2"/>
  <c r="AX57" i="2"/>
  <c r="AX289" i="6"/>
  <c r="AX291" i="6"/>
  <c r="AX290" i="6"/>
  <c r="AX221" i="6"/>
  <c r="AX220" i="6"/>
  <c r="AX219" i="6"/>
  <c r="AR255" i="6"/>
  <c r="AR254" i="6"/>
  <c r="AR256" i="6"/>
  <c r="AW152" i="6"/>
  <c r="AW150" i="6"/>
  <c r="AW151" i="6"/>
  <c r="AR117" i="6"/>
  <c r="AR118" i="6"/>
  <c r="AR116" i="6"/>
  <c r="AW220" i="6"/>
  <c r="AW221" i="6"/>
  <c r="AW219" i="6"/>
  <c r="AW185" i="6"/>
  <c r="AW187" i="6"/>
  <c r="AW186" i="6"/>
  <c r="AX325" i="6"/>
  <c r="AX324" i="6"/>
  <c r="AX323" i="6"/>
  <c r="AQ9" i="6"/>
  <c r="AQ10" i="6"/>
  <c r="AQ8" i="6"/>
  <c r="A20" i="6"/>
  <c r="B21" i="6"/>
  <c r="AX429" i="6"/>
  <c r="AX428" i="6"/>
  <c r="AX427" i="6"/>
  <c r="AW360" i="6"/>
  <c r="AW359" i="6"/>
  <c r="AW358" i="6"/>
  <c r="AX154" i="6"/>
  <c r="AX85" i="6"/>
  <c r="AW48" i="6"/>
  <c r="AW9" i="6" s="1"/>
  <c r="AW49" i="6"/>
  <c r="AW50" i="6"/>
  <c r="AX360" i="6"/>
  <c r="AX359" i="6"/>
  <c r="AX358" i="6"/>
  <c r="AW325" i="6"/>
  <c r="AW324" i="6"/>
  <c r="AW323" i="6"/>
  <c r="AX223" i="6"/>
  <c r="AX83" i="6"/>
  <c r="AX82" i="6"/>
  <c r="AX81" i="6"/>
  <c r="AV8" i="6"/>
  <c r="AR50" i="6"/>
  <c r="AR48" i="6"/>
  <c r="AR8" i="6" s="1"/>
  <c r="AX17" i="6"/>
  <c r="AR49" i="6"/>
  <c r="AR9" i="6" s="1"/>
  <c r="AW291" i="6"/>
  <c r="AW290" i="6"/>
  <c r="AW289" i="6"/>
  <c r="L8" i="6"/>
  <c r="AD9" i="6"/>
  <c r="AD10" i="6"/>
  <c r="AD8" i="6"/>
  <c r="C8" i="6"/>
  <c r="C10" i="6"/>
  <c r="C9" i="6"/>
  <c r="AR150" i="6"/>
  <c r="AR152" i="6"/>
  <c r="AR151" i="6"/>
  <c r="AW394" i="6"/>
  <c r="AW393" i="6"/>
  <c r="AX362" i="6"/>
  <c r="AW392" i="6"/>
  <c r="AX120" i="6"/>
  <c r="AV10" i="6"/>
  <c r="AR429" i="6"/>
  <c r="AR428" i="6"/>
  <c r="AR427" i="6"/>
  <c r="U9" i="6"/>
  <c r="U8" i="6"/>
  <c r="BE9" i="6"/>
  <c r="BE8" i="6"/>
  <c r="BE10" i="6"/>
  <c r="U10" i="6"/>
  <c r="AW429" i="6"/>
  <c r="AW428" i="6"/>
  <c r="AW427" i="6"/>
  <c r="L10" i="6"/>
  <c r="AR360" i="6"/>
  <c r="AR359" i="6"/>
  <c r="AR358" i="6"/>
  <c r="AR220" i="6"/>
  <c r="AR221" i="6"/>
  <c r="AR219" i="6"/>
  <c r="BE11" i="6"/>
  <c r="AX219" i="5"/>
  <c r="AX220" i="5"/>
  <c r="AX221" i="5"/>
  <c r="AX116" i="5"/>
  <c r="AX118" i="5"/>
  <c r="AX117" i="5"/>
  <c r="BE10" i="5"/>
  <c r="BE8" i="5"/>
  <c r="AD10" i="5"/>
  <c r="AD9" i="5"/>
  <c r="AD8" i="5"/>
  <c r="AW50" i="5"/>
  <c r="AW49" i="5"/>
  <c r="AW8" i="5" s="1"/>
  <c r="AW48" i="5"/>
  <c r="AW394" i="5"/>
  <c r="AW393" i="5"/>
  <c r="AW392" i="5"/>
  <c r="AW219" i="5"/>
  <c r="AW221" i="5"/>
  <c r="AW220" i="5"/>
  <c r="AX50" i="5"/>
  <c r="AX49" i="5"/>
  <c r="AX48" i="5"/>
  <c r="AV8" i="5"/>
  <c r="AW325" i="5"/>
  <c r="AW324" i="5"/>
  <c r="AW323" i="5"/>
  <c r="BE9" i="5"/>
  <c r="AX256" i="5"/>
  <c r="AX255" i="5"/>
  <c r="AX254" i="5"/>
  <c r="AV9" i="5"/>
  <c r="B21" i="5"/>
  <c r="A20" i="5"/>
  <c r="AX362" i="5"/>
  <c r="AX152" i="5"/>
  <c r="AX151" i="5"/>
  <c r="AX150" i="5"/>
  <c r="AR83" i="5"/>
  <c r="AR81" i="5"/>
  <c r="AR8" i="5" s="1"/>
  <c r="AR82" i="5"/>
  <c r="AR323" i="5"/>
  <c r="AR325" i="5"/>
  <c r="AR324" i="5"/>
  <c r="AX293" i="5"/>
  <c r="AW116" i="5"/>
  <c r="AW118" i="5"/>
  <c r="AW117" i="5"/>
  <c r="AX429" i="5"/>
  <c r="AX428" i="5"/>
  <c r="AX427" i="5"/>
  <c r="AR290" i="5"/>
  <c r="AR291" i="5"/>
  <c r="AX258" i="5"/>
  <c r="AR289" i="5"/>
  <c r="U10" i="5"/>
  <c r="U9" i="5"/>
  <c r="U8" i="5"/>
  <c r="AQ9" i="5"/>
  <c r="AW81" i="5"/>
  <c r="AW10" i="5" s="1"/>
  <c r="AW82" i="5"/>
  <c r="AW83" i="5"/>
  <c r="AX187" i="5"/>
  <c r="AX186" i="5"/>
  <c r="AX185" i="5"/>
  <c r="L9" i="5"/>
  <c r="AW359" i="5"/>
  <c r="AW360" i="5"/>
  <c r="AW358" i="5"/>
  <c r="AX327" i="5"/>
  <c r="AX52" i="5"/>
  <c r="C10" i="5"/>
  <c r="C9" i="5"/>
  <c r="C8" i="5"/>
  <c r="AW289" i="5"/>
  <c r="AW291" i="5"/>
  <c r="AW290" i="5"/>
  <c r="AQ8" i="5"/>
  <c r="AX152" i="4"/>
  <c r="AX151" i="4"/>
  <c r="AX150" i="4"/>
  <c r="AX221" i="4"/>
  <c r="AX220" i="4"/>
  <c r="AX219" i="4"/>
  <c r="AX291" i="4"/>
  <c r="AX290" i="4"/>
  <c r="AX289" i="4"/>
  <c r="AD9" i="4"/>
  <c r="AD10" i="4"/>
  <c r="AR83" i="4"/>
  <c r="AR82" i="4"/>
  <c r="AX52" i="4"/>
  <c r="AR81" i="4"/>
  <c r="AR117" i="4"/>
  <c r="AW429" i="4"/>
  <c r="AW428" i="4"/>
  <c r="AW427" i="4"/>
  <c r="AW117" i="4"/>
  <c r="AW116" i="4"/>
  <c r="AW118" i="4"/>
  <c r="AW50" i="4"/>
  <c r="BE8" i="4"/>
  <c r="AW221" i="4"/>
  <c r="AW219" i="4"/>
  <c r="AW220" i="4"/>
  <c r="AX116" i="4"/>
  <c r="AX118" i="4"/>
  <c r="AX117" i="4"/>
  <c r="AW82" i="4"/>
  <c r="B21" i="4"/>
  <c r="A20" i="4"/>
  <c r="AX396" i="4"/>
  <c r="AX76" i="4"/>
  <c r="AW48" i="4"/>
  <c r="AW10" i="4" s="1"/>
  <c r="AR394" i="4"/>
  <c r="AR393" i="4"/>
  <c r="AR392" i="4"/>
  <c r="AX362" i="4"/>
  <c r="AR360" i="4"/>
  <c r="AR359" i="4"/>
  <c r="AR358" i="4"/>
  <c r="AW254" i="4"/>
  <c r="AW256" i="4"/>
  <c r="AW255" i="4"/>
  <c r="AQ9" i="4"/>
  <c r="AQ8" i="4"/>
  <c r="U8" i="4"/>
  <c r="AW360" i="4"/>
  <c r="AW359" i="4"/>
  <c r="AW358" i="4"/>
  <c r="AX49" i="4"/>
  <c r="AX50" i="4"/>
  <c r="AX48" i="4"/>
  <c r="AV8" i="4"/>
  <c r="AR221" i="4"/>
  <c r="AR220" i="4"/>
  <c r="AR9" i="4" s="1"/>
  <c r="AR219" i="4"/>
  <c r="AX319" i="4"/>
  <c r="AW152" i="4"/>
  <c r="AW151" i="4"/>
  <c r="AW150" i="4"/>
  <c r="AX358" i="4"/>
  <c r="AX359" i="4"/>
  <c r="AX360" i="4"/>
  <c r="AW323" i="4"/>
  <c r="AX313" i="4"/>
  <c r="C8" i="4"/>
  <c r="C9" i="4"/>
  <c r="U10" i="4"/>
  <c r="AW394" i="4"/>
  <c r="AW392" i="4"/>
  <c r="AW393" i="4"/>
  <c r="AW291" i="4"/>
  <c r="AW290" i="4"/>
  <c r="AW289" i="4"/>
  <c r="AX223" i="4"/>
  <c r="AR116" i="4"/>
  <c r="AX187" i="4"/>
  <c r="AX186" i="4"/>
  <c r="AX185" i="4"/>
  <c r="C10" i="4"/>
  <c r="BE10" i="4"/>
  <c r="AR118" i="4"/>
  <c r="AD8" i="4"/>
  <c r="BE9" i="4"/>
  <c r="AR291" i="3"/>
  <c r="AR290" i="3"/>
  <c r="AR289" i="3"/>
  <c r="AX258" i="3"/>
  <c r="AX185" i="3"/>
  <c r="AX186" i="3"/>
  <c r="AX187" i="3"/>
  <c r="U8" i="3"/>
  <c r="AW83" i="3"/>
  <c r="AX82" i="3"/>
  <c r="AX28" i="3"/>
  <c r="AR118" i="3"/>
  <c r="AR116" i="3"/>
  <c r="AR117" i="3"/>
  <c r="AW256" i="3"/>
  <c r="AW255" i="3"/>
  <c r="AW254" i="3"/>
  <c r="AW81" i="3"/>
  <c r="C10" i="3"/>
  <c r="AR325" i="3"/>
  <c r="AR324" i="3"/>
  <c r="AR323" i="3"/>
  <c r="AX293" i="3"/>
  <c r="AX85" i="3"/>
  <c r="AQ10" i="3"/>
  <c r="AX223" i="3"/>
  <c r="AW185" i="3"/>
  <c r="AW50" i="3"/>
  <c r="C8" i="3"/>
  <c r="AW394" i="3"/>
  <c r="AW393" i="3"/>
  <c r="AW392" i="3"/>
  <c r="AR150" i="3"/>
  <c r="AR151" i="3"/>
  <c r="AX120" i="3"/>
  <c r="AR152" i="3"/>
  <c r="A21" i="3"/>
  <c r="B22" i="3"/>
  <c r="AW117" i="3"/>
  <c r="AW186" i="3"/>
  <c r="AD8" i="3"/>
  <c r="AR83" i="3"/>
  <c r="AR81" i="3"/>
  <c r="AR8" i="3" s="1"/>
  <c r="AR82" i="3"/>
  <c r="AX21" i="3"/>
  <c r="AW325" i="3"/>
  <c r="AW324" i="3"/>
  <c r="AW323" i="3"/>
  <c r="AX394" i="3"/>
  <c r="AX393" i="3"/>
  <c r="AX392" i="3"/>
  <c r="AX284" i="3"/>
  <c r="AX54" i="3"/>
  <c r="AX81" i="3" s="1"/>
  <c r="AW118" i="3"/>
  <c r="AW9" i="3" s="1"/>
  <c r="BE12" i="3"/>
  <c r="AD10" i="3"/>
  <c r="BE9" i="3"/>
  <c r="BE11" i="3"/>
  <c r="AW48" i="3"/>
  <c r="AR10" i="3"/>
  <c r="L9" i="3"/>
  <c r="AX358" i="3"/>
  <c r="AX360" i="3"/>
  <c r="AX359" i="3"/>
  <c r="AW221" i="3"/>
  <c r="AW219" i="3"/>
  <c r="AW220" i="3"/>
  <c r="AX189" i="3"/>
  <c r="AV8" i="3"/>
  <c r="U9" i="3"/>
  <c r="AW8" i="3"/>
  <c r="U10" i="3"/>
  <c r="B41" i="2"/>
  <c r="A40" i="2"/>
  <c r="B88" i="2"/>
  <c r="A87" i="2"/>
  <c r="AW9" i="2" l="1"/>
  <c r="AX255" i="2"/>
  <c r="AX290" i="2"/>
  <c r="AR9" i="2"/>
  <c r="AR8" i="2"/>
  <c r="AX324" i="2"/>
  <c r="AX325" i="2"/>
  <c r="AX116" i="2"/>
  <c r="AX117" i="2"/>
  <c r="AX48" i="2"/>
  <c r="AX81" i="2"/>
  <c r="AX83" i="2"/>
  <c r="AX82" i="2"/>
  <c r="AX50" i="2"/>
  <c r="AX49" i="6"/>
  <c r="AX8" i="6" s="1"/>
  <c r="AX48" i="6"/>
  <c r="AX50" i="6"/>
  <c r="AX185" i="6"/>
  <c r="AX187" i="6"/>
  <c r="AX186" i="6"/>
  <c r="AR10" i="6"/>
  <c r="AX152" i="6"/>
  <c r="AX150" i="6"/>
  <c r="AX151" i="6"/>
  <c r="AX394" i="6"/>
  <c r="AX393" i="6"/>
  <c r="AX392" i="6"/>
  <c r="AW10" i="6"/>
  <c r="A21" i="6"/>
  <c r="B22" i="6"/>
  <c r="AW8" i="6"/>
  <c r="AX256" i="6"/>
  <c r="AX255" i="6"/>
  <c r="AX254" i="6"/>
  <c r="AX118" i="6"/>
  <c r="AX117" i="6"/>
  <c r="AX116" i="6"/>
  <c r="AR10" i="5"/>
  <c r="AX394" i="5"/>
  <c r="AX393" i="5"/>
  <c r="AX392" i="5"/>
  <c r="AX358" i="5"/>
  <c r="AX360" i="5"/>
  <c r="AX359" i="5"/>
  <c r="AW9" i="5"/>
  <c r="AX83" i="5"/>
  <c r="AX8" i="5" s="1"/>
  <c r="AX81" i="5"/>
  <c r="AX10" i="5" s="1"/>
  <c r="AX82" i="5"/>
  <c r="AX324" i="5"/>
  <c r="AX323" i="5"/>
  <c r="AX325" i="5"/>
  <c r="B22" i="5"/>
  <c r="A21" i="5"/>
  <c r="AR9" i="5"/>
  <c r="AX290" i="5"/>
  <c r="AX289" i="5"/>
  <c r="AX291" i="5"/>
  <c r="AX10" i="4"/>
  <c r="AW8" i="4"/>
  <c r="AX8" i="4"/>
  <c r="AX429" i="4"/>
  <c r="AX428" i="4"/>
  <c r="AX427" i="4"/>
  <c r="AW9" i="4"/>
  <c r="B22" i="4"/>
  <c r="A21" i="4"/>
  <c r="AX9" i="4"/>
  <c r="AX394" i="4"/>
  <c r="AX392" i="4"/>
  <c r="AX393" i="4"/>
  <c r="AR10" i="4"/>
  <c r="AX323" i="4"/>
  <c r="AX325" i="4"/>
  <c r="AX324" i="4"/>
  <c r="AX83" i="4"/>
  <c r="AX82" i="4"/>
  <c r="AX81" i="4"/>
  <c r="AX256" i="4"/>
  <c r="AX254" i="4"/>
  <c r="AX255" i="4"/>
  <c r="AR8" i="4"/>
  <c r="AX50" i="3"/>
  <c r="A22" i="3"/>
  <c r="B23" i="3"/>
  <c r="AX255" i="3"/>
  <c r="AX256" i="3"/>
  <c r="AX254" i="3"/>
  <c r="AW10" i="3"/>
  <c r="AX151" i="3"/>
  <c r="AX152" i="3"/>
  <c r="AX150" i="3"/>
  <c r="AX116" i="3"/>
  <c r="AX117" i="3"/>
  <c r="AX118" i="3"/>
  <c r="AX289" i="3"/>
  <c r="AX291" i="3"/>
  <c r="AX290" i="3"/>
  <c r="AX325" i="3"/>
  <c r="AX324" i="3"/>
  <c r="AX323" i="3"/>
  <c r="AX221" i="3"/>
  <c r="AX220" i="3"/>
  <c r="AX219" i="3"/>
  <c r="AX49" i="3"/>
  <c r="AR9" i="3"/>
  <c r="AX48" i="3"/>
  <c r="AX10" i="3" s="1"/>
  <c r="AX83" i="3"/>
  <c r="B89" i="2"/>
  <c r="A88" i="2"/>
  <c r="B42" i="2"/>
  <c r="A41" i="2"/>
  <c r="AX8" i="2" l="1"/>
  <c r="AX9" i="2"/>
  <c r="AX10" i="2"/>
  <c r="A22" i="6"/>
  <c r="B23" i="6"/>
  <c r="AX9" i="6"/>
  <c r="AX10" i="6"/>
  <c r="AX9" i="5"/>
  <c r="B23" i="5"/>
  <c r="A22" i="5"/>
  <c r="B23" i="4"/>
  <c r="A22" i="4"/>
  <c r="AX9" i="3"/>
  <c r="A23" i="3"/>
  <c r="B24" i="3"/>
  <c r="AX8" i="3"/>
  <c r="B43" i="2"/>
  <c r="A42" i="2"/>
  <c r="A89" i="2"/>
  <c r="B90" i="2"/>
  <c r="B24" i="6" l="1"/>
  <c r="A23" i="6"/>
  <c r="B24" i="5"/>
  <c r="A23" i="5"/>
  <c r="B24" i="4"/>
  <c r="A23" i="4"/>
  <c r="A24" i="3"/>
  <c r="B25" i="3"/>
  <c r="B91" i="2"/>
  <c r="A90" i="2"/>
  <c r="B44" i="2"/>
  <c r="A43" i="2"/>
  <c r="B25" i="6" l="1"/>
  <c r="A24" i="6"/>
  <c r="B25" i="5"/>
  <c r="A24" i="5"/>
  <c r="B25" i="4"/>
  <c r="A24" i="4"/>
  <c r="A25" i="3"/>
  <c r="B26" i="3"/>
  <c r="B45" i="2"/>
  <c r="A44" i="2"/>
  <c r="A91" i="2"/>
  <c r="B92" i="2"/>
  <c r="B26" i="6" l="1"/>
  <c r="A25" i="6"/>
  <c r="B26" i="5"/>
  <c r="A25" i="5"/>
  <c r="B26" i="4"/>
  <c r="A25" i="4"/>
  <c r="A26" i="3"/>
  <c r="B27" i="3"/>
  <c r="B93" i="2"/>
  <c r="A92" i="2"/>
  <c r="B46" i="2"/>
  <c r="A45" i="2"/>
  <c r="B27" i="6" l="1"/>
  <c r="A26" i="6"/>
  <c r="B27" i="5"/>
  <c r="A26" i="5"/>
  <c r="B27" i="4"/>
  <c r="A26" i="4"/>
  <c r="A27" i="3"/>
  <c r="B28" i="3"/>
  <c r="B47" i="2"/>
  <c r="A46" i="2"/>
  <c r="A93" i="2"/>
  <c r="B94" i="2"/>
  <c r="B28" i="6" l="1"/>
  <c r="A27" i="6"/>
  <c r="B28" i="5"/>
  <c r="A27" i="5"/>
  <c r="B28" i="4"/>
  <c r="A27" i="4"/>
  <c r="A28" i="3"/>
  <c r="B29" i="3"/>
  <c r="B95" i="2"/>
  <c r="A94" i="2"/>
  <c r="A47" i="2"/>
  <c r="B52" i="2"/>
  <c r="B29" i="6" l="1"/>
  <c r="A28" i="6"/>
  <c r="B29" i="5"/>
  <c r="A28" i="5"/>
  <c r="B29" i="4"/>
  <c r="A28" i="4"/>
  <c r="A29" i="3"/>
  <c r="B30" i="3"/>
  <c r="A52" i="2"/>
  <c r="B53" i="2"/>
  <c r="B96" i="2"/>
  <c r="A95" i="2"/>
  <c r="B30" i="6" l="1"/>
  <c r="A29" i="6"/>
  <c r="B30" i="5"/>
  <c r="A29" i="5"/>
  <c r="B30" i="4"/>
  <c r="A29" i="4"/>
  <c r="A30" i="3"/>
  <c r="B31" i="3"/>
  <c r="A96" i="2"/>
  <c r="B97" i="2"/>
  <c r="A53" i="2"/>
  <c r="B54" i="2"/>
  <c r="B31" i="6" l="1"/>
  <c r="A30" i="6"/>
  <c r="B31" i="5"/>
  <c r="A30" i="5"/>
  <c r="B31" i="4"/>
  <c r="A30" i="4"/>
  <c r="A31" i="3"/>
  <c r="B32" i="3"/>
  <c r="A54" i="2"/>
  <c r="B55" i="2"/>
  <c r="B98" i="2"/>
  <c r="A97" i="2"/>
  <c r="B32" i="6" l="1"/>
  <c r="A31" i="6"/>
  <c r="B32" i="5"/>
  <c r="A31" i="5"/>
  <c r="B32" i="4"/>
  <c r="A31" i="4"/>
  <c r="A32" i="3"/>
  <c r="B33" i="3"/>
  <c r="A98" i="2"/>
  <c r="B99" i="2"/>
  <c r="A55" i="2"/>
  <c r="B56" i="2"/>
  <c r="B33" i="6" l="1"/>
  <c r="A32" i="6"/>
  <c r="B33" i="5"/>
  <c r="A32" i="5"/>
  <c r="B33" i="4"/>
  <c r="A32" i="4"/>
  <c r="A33" i="3"/>
  <c r="B34" i="3"/>
  <c r="A99" i="2"/>
  <c r="B100" i="2"/>
  <c r="A56" i="2"/>
  <c r="B57" i="2"/>
  <c r="B34" i="6" l="1"/>
  <c r="A33" i="6"/>
  <c r="B34" i="5"/>
  <c r="A33" i="5"/>
  <c r="B34" i="4"/>
  <c r="A33" i="4"/>
  <c r="A34" i="3"/>
  <c r="B35" i="3"/>
  <c r="A57" i="2"/>
  <c r="B58" i="2"/>
  <c r="A100" i="2"/>
  <c r="B101" i="2"/>
  <c r="B35" i="6" l="1"/>
  <c r="A34" i="6"/>
  <c r="B35" i="5"/>
  <c r="A34" i="5"/>
  <c r="B35" i="4"/>
  <c r="A34" i="4"/>
  <c r="A35" i="3"/>
  <c r="B36" i="3"/>
  <c r="B102" i="2"/>
  <c r="A101" i="2"/>
  <c r="A58" i="2"/>
  <c r="B59" i="2"/>
  <c r="B36" i="6" l="1"/>
  <c r="A35" i="6"/>
  <c r="B36" i="5"/>
  <c r="A35" i="5"/>
  <c r="B36" i="4"/>
  <c r="A35" i="4"/>
  <c r="A36" i="3"/>
  <c r="B37" i="3"/>
  <c r="A59" i="2"/>
  <c r="B60" i="2"/>
  <c r="B103" i="2"/>
  <c r="A102" i="2"/>
  <c r="B37" i="6" l="1"/>
  <c r="A36" i="6"/>
  <c r="B37" i="5"/>
  <c r="A36" i="5"/>
  <c r="B37" i="4"/>
  <c r="A36" i="4"/>
  <c r="A37" i="3"/>
  <c r="B38" i="3"/>
  <c r="A60" i="2"/>
  <c r="B61" i="2"/>
  <c r="A103" i="2"/>
  <c r="B104" i="2"/>
  <c r="B38" i="6" l="1"/>
  <c r="A37" i="6"/>
  <c r="B38" i="5"/>
  <c r="A37" i="5"/>
  <c r="B38" i="4"/>
  <c r="A37" i="4"/>
  <c r="A38" i="3"/>
  <c r="B39" i="3"/>
  <c r="B105" i="2"/>
  <c r="A104" i="2"/>
  <c r="A61" i="2"/>
  <c r="B62" i="2"/>
  <c r="B39" i="6" l="1"/>
  <c r="A38" i="6"/>
  <c r="B39" i="5"/>
  <c r="A38" i="5"/>
  <c r="B39" i="4"/>
  <c r="A38" i="4"/>
  <c r="A39" i="3"/>
  <c r="B40" i="3"/>
  <c r="A62" i="2"/>
  <c r="B63" i="2"/>
  <c r="A105" i="2"/>
  <c r="B106" i="2"/>
  <c r="B40" i="6" l="1"/>
  <c r="A39" i="6"/>
  <c r="B40" i="5"/>
  <c r="A39" i="5"/>
  <c r="B40" i="4"/>
  <c r="A39" i="4"/>
  <c r="A40" i="3"/>
  <c r="B41" i="3"/>
  <c r="A106" i="2"/>
  <c r="B107" i="2"/>
  <c r="A63" i="2"/>
  <c r="B64" i="2"/>
  <c r="B41" i="6" l="1"/>
  <c r="A40" i="6"/>
  <c r="B41" i="5"/>
  <c r="A40" i="5"/>
  <c r="B41" i="4"/>
  <c r="A40" i="4"/>
  <c r="A41" i="3"/>
  <c r="B42" i="3"/>
  <c r="A64" i="2"/>
  <c r="B65" i="2"/>
  <c r="B108" i="2"/>
  <c r="A107" i="2"/>
  <c r="B42" i="6" l="1"/>
  <c r="A41" i="6"/>
  <c r="B42" i="5"/>
  <c r="A41" i="5"/>
  <c r="B42" i="4"/>
  <c r="A41" i="4"/>
  <c r="A42" i="3"/>
  <c r="B43" i="3"/>
  <c r="A65" i="2"/>
  <c r="B66" i="2"/>
  <c r="A108" i="2"/>
  <c r="B109" i="2"/>
  <c r="B43" i="6" l="1"/>
  <c r="A42" i="6"/>
  <c r="B43" i="5"/>
  <c r="A42" i="5"/>
  <c r="B43" i="4"/>
  <c r="A42" i="4"/>
  <c r="A43" i="3"/>
  <c r="B44" i="3"/>
  <c r="B110" i="2"/>
  <c r="A109" i="2"/>
  <c r="A66" i="2"/>
  <c r="B67" i="2"/>
  <c r="B44" i="6" l="1"/>
  <c r="A43" i="6"/>
  <c r="B44" i="5"/>
  <c r="A43" i="5"/>
  <c r="B44" i="4"/>
  <c r="A43" i="4"/>
  <c r="A44" i="3"/>
  <c r="B45" i="3"/>
  <c r="A67" i="2"/>
  <c r="B68" i="2"/>
  <c r="A110" i="2"/>
  <c r="B111" i="2"/>
  <c r="B45" i="6" l="1"/>
  <c r="A44" i="6"/>
  <c r="B45" i="5"/>
  <c r="A44" i="5"/>
  <c r="B45" i="4"/>
  <c r="A44" i="4"/>
  <c r="A45" i="3"/>
  <c r="B46" i="3"/>
  <c r="A68" i="2"/>
  <c r="B69" i="2"/>
  <c r="B112" i="2"/>
  <c r="A111" i="2"/>
  <c r="B46" i="6" l="1"/>
  <c r="A45" i="6"/>
  <c r="B46" i="5"/>
  <c r="A45" i="5"/>
  <c r="B46" i="4"/>
  <c r="A45" i="4"/>
  <c r="A46" i="3"/>
  <c r="B47" i="3"/>
  <c r="A69" i="2"/>
  <c r="B70" i="2"/>
  <c r="A112" i="2"/>
  <c r="B113" i="2"/>
  <c r="B47" i="6" l="1"/>
  <c r="A46" i="6"/>
  <c r="B47" i="5"/>
  <c r="A46" i="5"/>
  <c r="B47" i="4"/>
  <c r="A46" i="4"/>
  <c r="A47" i="3"/>
  <c r="B52" i="3"/>
  <c r="B114" i="2"/>
  <c r="A113" i="2"/>
  <c r="A70" i="2"/>
  <c r="B71" i="2"/>
  <c r="B52" i="6" l="1"/>
  <c r="A47" i="6"/>
  <c r="A47" i="5"/>
  <c r="B52" i="5"/>
  <c r="B52" i="4"/>
  <c r="A47" i="4"/>
  <c r="A52" i="3"/>
  <c r="B53" i="3"/>
  <c r="A71" i="2"/>
  <c r="B72" i="2"/>
  <c r="B115" i="2"/>
  <c r="A114" i="2"/>
  <c r="B53" i="6" l="1"/>
  <c r="A52" i="6"/>
  <c r="A52" i="5"/>
  <c r="B53" i="5"/>
  <c r="B53" i="4"/>
  <c r="A52" i="4"/>
  <c r="A53" i="3"/>
  <c r="B54" i="3"/>
  <c r="A72" i="2"/>
  <c r="B73" i="2"/>
  <c r="A115" i="2"/>
  <c r="B120" i="2"/>
  <c r="B54" i="6" l="1"/>
  <c r="A53" i="6"/>
  <c r="A53" i="5"/>
  <c r="B54" i="5"/>
  <c r="B54" i="4"/>
  <c r="A53" i="4"/>
  <c r="A54" i="3"/>
  <c r="B55" i="3"/>
  <c r="A120" i="2"/>
  <c r="B121" i="2"/>
  <c r="A73" i="2"/>
  <c r="B74" i="2"/>
  <c r="B55" i="6" l="1"/>
  <c r="A54" i="6"/>
  <c r="A54" i="5"/>
  <c r="B55" i="5"/>
  <c r="B55" i="4"/>
  <c r="A54" i="4"/>
  <c r="A55" i="3"/>
  <c r="B56" i="3"/>
  <c r="A74" i="2"/>
  <c r="B75" i="2"/>
  <c r="A121" i="2"/>
  <c r="B122" i="2"/>
  <c r="B56" i="6" l="1"/>
  <c r="A55" i="6"/>
  <c r="A55" i="5"/>
  <c r="B56" i="5"/>
  <c r="B56" i="4"/>
  <c r="A55" i="4"/>
  <c r="A56" i="3"/>
  <c r="B57" i="3"/>
  <c r="A122" i="2"/>
  <c r="B123" i="2"/>
  <c r="A75" i="2"/>
  <c r="B76" i="2"/>
  <c r="B57" i="6" l="1"/>
  <c r="A56" i="6"/>
  <c r="A56" i="5"/>
  <c r="B57" i="5"/>
  <c r="B57" i="4"/>
  <c r="A56" i="4"/>
  <c r="A57" i="3"/>
  <c r="B58" i="3"/>
  <c r="A76" i="2"/>
  <c r="B77" i="2"/>
  <c r="A123" i="2"/>
  <c r="B124" i="2"/>
  <c r="B58" i="6" l="1"/>
  <c r="A57" i="6"/>
  <c r="A57" i="5"/>
  <c r="B58" i="5"/>
  <c r="B58" i="4"/>
  <c r="A57" i="4"/>
  <c r="B59" i="3"/>
  <c r="A58" i="3"/>
  <c r="A124" i="2"/>
  <c r="B125" i="2"/>
  <c r="A77" i="2"/>
  <c r="B78" i="2"/>
  <c r="B59" i="6" l="1"/>
  <c r="A58" i="6"/>
  <c r="A58" i="5"/>
  <c r="B59" i="5"/>
  <c r="B59" i="4"/>
  <c r="A58" i="4"/>
  <c r="B60" i="3"/>
  <c r="A59" i="3"/>
  <c r="A78" i="2"/>
  <c r="B79" i="2"/>
  <c r="A125" i="2"/>
  <c r="B126" i="2"/>
  <c r="B60" i="6" l="1"/>
  <c r="A59" i="6"/>
  <c r="A59" i="5"/>
  <c r="B60" i="5"/>
  <c r="B60" i="4"/>
  <c r="A59" i="4"/>
  <c r="A60" i="3"/>
  <c r="B61" i="3"/>
  <c r="A126" i="2"/>
  <c r="B127" i="2"/>
  <c r="A79" i="2"/>
  <c r="B80" i="2"/>
  <c r="A80" i="2" s="1"/>
  <c r="B61" i="6" l="1"/>
  <c r="A60" i="6"/>
  <c r="B61" i="5"/>
  <c r="A60" i="5"/>
  <c r="B61" i="4"/>
  <c r="A60" i="4"/>
  <c r="A61" i="3"/>
  <c r="B62" i="3"/>
  <c r="A127" i="2"/>
  <c r="B128" i="2"/>
  <c r="B62" i="6" l="1"/>
  <c r="A61" i="6"/>
  <c r="A61" i="5"/>
  <c r="B62" i="5"/>
  <c r="B62" i="4"/>
  <c r="A61" i="4"/>
  <c r="A62" i="3"/>
  <c r="B63" i="3"/>
  <c r="A128" i="2"/>
  <c r="B129" i="2"/>
  <c r="B63" i="6" l="1"/>
  <c r="A62" i="6"/>
  <c r="A62" i="5"/>
  <c r="B63" i="5"/>
  <c r="B63" i="4"/>
  <c r="A62" i="4"/>
  <c r="A63" i="3"/>
  <c r="B64" i="3"/>
  <c r="A129" i="2"/>
  <c r="B130" i="2"/>
  <c r="B64" i="6" l="1"/>
  <c r="A63" i="6"/>
  <c r="A63" i="5"/>
  <c r="B64" i="5"/>
  <c r="B64" i="4"/>
  <c r="A63" i="4"/>
  <c r="A64" i="3"/>
  <c r="B65" i="3"/>
  <c r="A130" i="2"/>
  <c r="B131" i="2"/>
  <c r="B65" i="6" l="1"/>
  <c r="A64" i="6"/>
  <c r="A64" i="5"/>
  <c r="B65" i="5"/>
  <c r="B65" i="4"/>
  <c r="A64" i="4"/>
  <c r="A65" i="3"/>
  <c r="B66" i="3"/>
  <c r="A131" i="2"/>
  <c r="B132" i="2"/>
  <c r="B66" i="6" l="1"/>
  <c r="A65" i="6"/>
  <c r="A65" i="5"/>
  <c r="B66" i="5"/>
  <c r="B66" i="4"/>
  <c r="A65" i="4"/>
  <c r="B67" i="3"/>
  <c r="A66" i="3"/>
  <c r="A132" i="2"/>
  <c r="B133" i="2"/>
  <c r="B67" i="6" l="1"/>
  <c r="A66" i="6"/>
  <c r="A66" i="5"/>
  <c r="B67" i="5"/>
  <c r="B67" i="4"/>
  <c r="A66" i="4"/>
  <c r="A67" i="3"/>
  <c r="B68" i="3"/>
  <c r="A133" i="2"/>
  <c r="B134" i="2"/>
  <c r="B68" i="6" l="1"/>
  <c r="A67" i="6"/>
  <c r="A67" i="5"/>
  <c r="B68" i="5"/>
  <c r="B68" i="4"/>
  <c r="A67" i="4"/>
  <c r="A68" i="3"/>
  <c r="B69" i="3"/>
  <c r="A134" i="2"/>
  <c r="B135" i="2"/>
  <c r="B69" i="6" l="1"/>
  <c r="A68" i="6"/>
  <c r="A68" i="5"/>
  <c r="B69" i="5"/>
  <c r="A68" i="4"/>
  <c r="B69" i="4"/>
  <c r="A69" i="3"/>
  <c r="B70" i="3"/>
  <c r="A135" i="2"/>
  <c r="B136" i="2"/>
  <c r="B70" i="6" l="1"/>
  <c r="A69" i="6"/>
  <c r="A69" i="5"/>
  <c r="B70" i="5"/>
  <c r="B70" i="4"/>
  <c r="A69" i="4"/>
  <c r="A70" i="3"/>
  <c r="B71" i="3"/>
  <c r="A136" i="2"/>
  <c r="B137" i="2"/>
  <c r="B71" i="6" l="1"/>
  <c r="A70" i="6"/>
  <c r="A70" i="5"/>
  <c r="B71" i="5"/>
  <c r="B71" i="4"/>
  <c r="A70" i="4"/>
  <c r="A71" i="3"/>
  <c r="B72" i="3"/>
  <c r="A137" i="2"/>
  <c r="B138" i="2"/>
  <c r="B72" i="6" l="1"/>
  <c r="A71" i="6"/>
  <c r="A71" i="5"/>
  <c r="B72" i="5"/>
  <c r="B72" i="4"/>
  <c r="A71" i="4"/>
  <c r="A72" i="3"/>
  <c r="B73" i="3"/>
  <c r="A138" i="2"/>
  <c r="B139" i="2"/>
  <c r="B73" i="6" l="1"/>
  <c r="A72" i="6"/>
  <c r="A72" i="5"/>
  <c r="B73" i="5"/>
  <c r="B73" i="4"/>
  <c r="A72" i="4"/>
  <c r="A73" i="3"/>
  <c r="B74" i="3"/>
  <c r="A139" i="2"/>
  <c r="B140" i="2"/>
  <c r="B74" i="6" l="1"/>
  <c r="A73" i="6"/>
  <c r="A73" i="5"/>
  <c r="B74" i="5"/>
  <c r="B74" i="4"/>
  <c r="A73" i="4"/>
  <c r="A74" i="3"/>
  <c r="B75" i="3"/>
  <c r="A140" i="2"/>
  <c r="B141" i="2"/>
  <c r="B75" i="6" l="1"/>
  <c r="A74" i="6"/>
  <c r="A74" i="5"/>
  <c r="B75" i="5"/>
  <c r="B75" i="4"/>
  <c r="A74" i="4"/>
  <c r="A75" i="3"/>
  <c r="B76" i="3"/>
  <c r="A141" i="2"/>
  <c r="B142" i="2"/>
  <c r="B76" i="6" l="1"/>
  <c r="A75" i="6"/>
  <c r="A75" i="5"/>
  <c r="B76" i="5"/>
  <c r="A75" i="4"/>
  <c r="B76" i="4"/>
  <c r="A76" i="3"/>
  <c r="B77" i="3"/>
  <c r="A142" i="2"/>
  <c r="B143" i="2"/>
  <c r="B77" i="6" l="1"/>
  <c r="A76" i="6"/>
  <c r="A76" i="5"/>
  <c r="B77" i="5"/>
  <c r="B77" i="4"/>
  <c r="A76" i="4"/>
  <c r="A77" i="3"/>
  <c r="B78" i="3"/>
  <c r="A143" i="2"/>
  <c r="B144" i="2"/>
  <c r="B78" i="6" l="1"/>
  <c r="A77" i="6"/>
  <c r="A77" i="5"/>
  <c r="B78" i="5"/>
  <c r="B78" i="4"/>
  <c r="A77" i="4"/>
  <c r="A78" i="3"/>
  <c r="B79" i="3"/>
  <c r="A144" i="2"/>
  <c r="B145" i="2"/>
  <c r="B79" i="6" l="1"/>
  <c r="A78" i="6"/>
  <c r="A78" i="5"/>
  <c r="B79" i="5"/>
  <c r="B79" i="4"/>
  <c r="A78" i="4"/>
  <c r="B85" i="3"/>
  <c r="A79" i="3"/>
  <c r="A145" i="2"/>
  <c r="B146" i="2"/>
  <c r="B80" i="6" l="1"/>
  <c r="A79" i="6"/>
  <c r="B85" i="5"/>
  <c r="A79" i="5"/>
  <c r="A79" i="4"/>
  <c r="B85" i="4"/>
  <c r="A85" i="3"/>
  <c r="B86" i="3"/>
  <c r="A146" i="2"/>
  <c r="B147" i="2"/>
  <c r="B85" i="6" l="1"/>
  <c r="A80" i="6"/>
  <c r="B86" i="5"/>
  <c r="A85" i="5"/>
  <c r="B86" i="4"/>
  <c r="A85" i="4"/>
  <c r="B87" i="3"/>
  <c r="A86" i="3"/>
  <c r="A147" i="2"/>
  <c r="B148" i="2"/>
  <c r="B86" i="6" l="1"/>
  <c r="A85" i="6"/>
  <c r="B87" i="5"/>
  <c r="A86" i="5"/>
  <c r="B87" i="4"/>
  <c r="A86" i="4"/>
  <c r="A87" i="3"/>
  <c r="B88" i="3"/>
  <c r="A148" i="2"/>
  <c r="B149" i="2"/>
  <c r="B87" i="6" l="1"/>
  <c r="A86" i="6"/>
  <c r="B88" i="5"/>
  <c r="A87" i="5"/>
  <c r="B88" i="4"/>
  <c r="A87" i="4"/>
  <c r="B89" i="3"/>
  <c r="A88" i="3"/>
  <c r="B154" i="2"/>
  <c r="A149" i="2"/>
  <c r="B88" i="6" l="1"/>
  <c r="A87" i="6"/>
  <c r="B89" i="5"/>
  <c r="A88" i="5"/>
  <c r="A88" i="4"/>
  <c r="B89" i="4"/>
  <c r="A89" i="3"/>
  <c r="B90" i="3"/>
  <c r="B155" i="2"/>
  <c r="A154" i="2"/>
  <c r="B89" i="6" l="1"/>
  <c r="A88" i="6"/>
  <c r="B90" i="5"/>
  <c r="A89" i="5"/>
  <c r="A89" i="4"/>
  <c r="B90" i="4"/>
  <c r="A90" i="3"/>
  <c r="B91" i="3"/>
  <c r="B156" i="2"/>
  <c r="A155" i="2"/>
  <c r="B90" i="6" l="1"/>
  <c r="A89" i="6"/>
  <c r="B91" i="5"/>
  <c r="A90" i="5"/>
  <c r="A90" i="4"/>
  <c r="B91" i="4"/>
  <c r="B92" i="3"/>
  <c r="A91" i="3"/>
  <c r="B157" i="2"/>
  <c r="A156" i="2"/>
  <c r="B91" i="6" l="1"/>
  <c r="A90" i="6"/>
  <c r="B92" i="5"/>
  <c r="A91" i="5"/>
  <c r="A91" i="4"/>
  <c r="B92" i="4"/>
  <c r="B93" i="3"/>
  <c r="A92" i="3"/>
  <c r="B158" i="2"/>
  <c r="A157" i="2"/>
  <c r="B92" i="6" l="1"/>
  <c r="A91" i="6"/>
  <c r="B93" i="5"/>
  <c r="A92" i="5"/>
  <c r="B93" i="4"/>
  <c r="A92" i="4"/>
  <c r="B94" i="3"/>
  <c r="A93" i="3"/>
  <c r="B159" i="2"/>
  <c r="A158" i="2"/>
  <c r="B93" i="6" l="1"/>
  <c r="A92" i="6"/>
  <c r="B94" i="5"/>
  <c r="A93" i="5"/>
  <c r="B94" i="4"/>
  <c r="A93" i="4"/>
  <c r="B95" i="3"/>
  <c r="A94" i="3"/>
  <c r="B160" i="2"/>
  <c r="A159" i="2"/>
  <c r="B94" i="6" l="1"/>
  <c r="A93" i="6"/>
  <c r="B95" i="5"/>
  <c r="A94" i="5"/>
  <c r="A94" i="4"/>
  <c r="B95" i="4"/>
  <c r="B96" i="3"/>
  <c r="A95" i="3"/>
  <c r="B161" i="2"/>
  <c r="A160" i="2"/>
  <c r="B95" i="6" l="1"/>
  <c r="A94" i="6"/>
  <c r="B96" i="5"/>
  <c r="A95" i="5"/>
  <c r="A95" i="4"/>
  <c r="B96" i="4"/>
  <c r="B97" i="3"/>
  <c r="A96" i="3"/>
  <c r="B162" i="2"/>
  <c r="A161" i="2"/>
  <c r="B96" i="6" l="1"/>
  <c r="A95" i="6"/>
  <c r="B97" i="5"/>
  <c r="A96" i="5"/>
  <c r="A96" i="4"/>
  <c r="B97" i="4"/>
  <c r="A97" i="3"/>
  <c r="B98" i="3"/>
  <c r="B163" i="2"/>
  <c r="A162" i="2"/>
  <c r="B97" i="6" l="1"/>
  <c r="A96" i="6"/>
  <c r="B98" i="5"/>
  <c r="A97" i="5"/>
  <c r="B98" i="4"/>
  <c r="A97" i="4"/>
  <c r="B99" i="3"/>
  <c r="A98" i="3"/>
  <c r="B164" i="2"/>
  <c r="A163" i="2"/>
  <c r="B98" i="6" l="1"/>
  <c r="A97" i="6"/>
  <c r="B99" i="5"/>
  <c r="A98" i="5"/>
  <c r="B99" i="4"/>
  <c r="A98" i="4"/>
  <c r="A99" i="3"/>
  <c r="B100" i="3"/>
  <c r="B165" i="2"/>
  <c r="A164" i="2"/>
  <c r="B99" i="6" l="1"/>
  <c r="A98" i="6"/>
  <c r="B100" i="5"/>
  <c r="A99" i="5"/>
  <c r="B100" i="4"/>
  <c r="A99" i="4"/>
  <c r="A100" i="3"/>
  <c r="B101" i="3"/>
  <c r="B166" i="2"/>
  <c r="A165" i="2"/>
  <c r="B100" i="6" l="1"/>
  <c r="A99" i="6"/>
  <c r="B101" i="5"/>
  <c r="A100" i="5"/>
  <c r="B101" i="4"/>
  <c r="A100" i="4"/>
  <c r="B102" i="3"/>
  <c r="A101" i="3"/>
  <c r="B167" i="2"/>
  <c r="A166" i="2"/>
  <c r="B101" i="6" l="1"/>
  <c r="A100" i="6"/>
  <c r="B102" i="5"/>
  <c r="A101" i="5"/>
  <c r="A101" i="4"/>
  <c r="B102" i="4"/>
  <c r="A102" i="3"/>
  <c r="B103" i="3"/>
  <c r="B168" i="2"/>
  <c r="A167" i="2"/>
  <c r="B102" i="6" l="1"/>
  <c r="A101" i="6"/>
  <c r="B103" i="5"/>
  <c r="A102" i="5"/>
  <c r="A102" i="4"/>
  <c r="B103" i="4"/>
  <c r="B104" i="3"/>
  <c r="A103" i="3"/>
  <c r="B169" i="2"/>
  <c r="A168" i="2"/>
  <c r="B103" i="6" l="1"/>
  <c r="A102" i="6"/>
  <c r="B104" i="5"/>
  <c r="A103" i="5"/>
  <c r="B104" i="4"/>
  <c r="A103" i="4"/>
  <c r="B105" i="3"/>
  <c r="A104" i="3"/>
  <c r="B170" i="2"/>
  <c r="A169" i="2"/>
  <c r="B104" i="6" l="1"/>
  <c r="A103" i="6"/>
  <c r="B105" i="5"/>
  <c r="A104" i="5"/>
  <c r="B105" i="4"/>
  <c r="A104" i="4"/>
  <c r="B106" i="3"/>
  <c r="A105" i="3"/>
  <c r="B171" i="2"/>
  <c r="A170" i="2"/>
  <c r="B105" i="6" l="1"/>
  <c r="A104" i="6"/>
  <c r="B106" i="5"/>
  <c r="A105" i="5"/>
  <c r="B106" i="4"/>
  <c r="A105" i="4"/>
  <c r="B107" i="3"/>
  <c r="A106" i="3"/>
  <c r="B172" i="2"/>
  <c r="A171" i="2"/>
  <c r="B106" i="6" l="1"/>
  <c r="A105" i="6"/>
  <c r="B107" i="5"/>
  <c r="A106" i="5"/>
  <c r="B107" i="4"/>
  <c r="A106" i="4"/>
  <c r="A107" i="3"/>
  <c r="B108" i="3"/>
  <c r="B173" i="2"/>
  <c r="A172" i="2"/>
  <c r="B107" i="6" l="1"/>
  <c r="A106" i="6"/>
  <c r="B108" i="5"/>
  <c r="A107" i="5"/>
  <c r="B108" i="4"/>
  <c r="A107" i="4"/>
  <c r="A108" i="3"/>
  <c r="B109" i="3"/>
  <c r="B174" i="2"/>
  <c r="A173" i="2"/>
  <c r="B108" i="6" l="1"/>
  <c r="A107" i="6"/>
  <c r="B109" i="5"/>
  <c r="A108" i="5"/>
  <c r="A108" i="4"/>
  <c r="B109" i="4"/>
  <c r="B110" i="3"/>
  <c r="A109" i="3"/>
  <c r="B175" i="2"/>
  <c r="A174" i="2"/>
  <c r="B109" i="6" l="1"/>
  <c r="A108" i="6"/>
  <c r="B110" i="5"/>
  <c r="A109" i="5"/>
  <c r="A109" i="4"/>
  <c r="B110" i="4"/>
  <c r="B111" i="3"/>
  <c r="A110" i="3"/>
  <c r="B176" i="2"/>
  <c r="A175" i="2"/>
  <c r="B110" i="6" l="1"/>
  <c r="A109" i="6"/>
  <c r="B111" i="5"/>
  <c r="A110" i="5"/>
  <c r="B111" i="4"/>
  <c r="A110" i="4"/>
  <c r="B112" i="3"/>
  <c r="A111" i="3"/>
  <c r="B177" i="2"/>
  <c r="A176" i="2"/>
  <c r="B111" i="6" l="1"/>
  <c r="A110" i="6"/>
  <c r="B112" i="5"/>
  <c r="A111" i="5"/>
  <c r="B112" i="4"/>
  <c r="A111" i="4"/>
  <c r="B113" i="3"/>
  <c r="A112" i="3"/>
  <c r="B178" i="2"/>
  <c r="A177" i="2"/>
  <c r="B112" i="6" l="1"/>
  <c r="A111" i="6"/>
  <c r="B113" i="5"/>
  <c r="A112" i="5"/>
  <c r="B113" i="4"/>
  <c r="A112" i="4"/>
  <c r="B114" i="3"/>
  <c r="A113" i="3"/>
  <c r="B179" i="2"/>
  <c r="A178" i="2"/>
  <c r="B113" i="6" l="1"/>
  <c r="A112" i="6"/>
  <c r="B114" i="5"/>
  <c r="A113" i="5"/>
  <c r="A113" i="4"/>
  <c r="B114" i="4"/>
  <c r="A114" i="3"/>
  <c r="B115" i="3"/>
  <c r="B180" i="2"/>
  <c r="A179" i="2"/>
  <c r="B114" i="6" l="1"/>
  <c r="A113" i="6"/>
  <c r="B115" i="5"/>
  <c r="A114" i="5"/>
  <c r="B115" i="4"/>
  <c r="A114" i="4"/>
  <c r="B120" i="3"/>
  <c r="A115" i="3"/>
  <c r="B181" i="2"/>
  <c r="A180" i="2"/>
  <c r="B115" i="6" l="1"/>
  <c r="A114" i="6"/>
  <c r="B120" i="5"/>
  <c r="A115" i="5"/>
  <c r="B120" i="4"/>
  <c r="A115" i="4"/>
  <c r="B121" i="3"/>
  <c r="A120" i="3"/>
  <c r="B182" i="2"/>
  <c r="A181" i="2"/>
  <c r="B120" i="6" l="1"/>
  <c r="A115" i="6"/>
  <c r="B121" i="5"/>
  <c r="A120" i="5"/>
  <c r="B121" i="4"/>
  <c r="A120" i="4"/>
  <c r="B122" i="3"/>
  <c r="A121" i="3"/>
  <c r="B183" i="2"/>
  <c r="A182" i="2"/>
  <c r="B121" i="6" l="1"/>
  <c r="A120" i="6"/>
  <c r="B122" i="5"/>
  <c r="A121" i="5"/>
  <c r="B122" i="4"/>
  <c r="A121" i="4"/>
  <c r="B123" i="3"/>
  <c r="A122" i="3"/>
  <c r="B184" i="2"/>
  <c r="A183" i="2"/>
  <c r="B122" i="6" l="1"/>
  <c r="A121" i="6"/>
  <c r="B123" i="5"/>
  <c r="A122" i="5"/>
  <c r="B123" i="4"/>
  <c r="A122" i="4"/>
  <c r="B124" i="3"/>
  <c r="A123" i="3"/>
  <c r="B189" i="2"/>
  <c r="A184" i="2"/>
  <c r="B123" i="6" l="1"/>
  <c r="A122" i="6"/>
  <c r="B124" i="5"/>
  <c r="A123" i="5"/>
  <c r="B124" i="4"/>
  <c r="A123" i="4"/>
  <c r="B125" i="3"/>
  <c r="A124" i="3"/>
  <c r="B190" i="2"/>
  <c r="A189" i="2"/>
  <c r="B124" i="6" l="1"/>
  <c r="A123" i="6"/>
  <c r="B125" i="5"/>
  <c r="A124" i="5"/>
  <c r="B125" i="4"/>
  <c r="A124" i="4"/>
  <c r="B126" i="3"/>
  <c r="A125" i="3"/>
  <c r="B191" i="2"/>
  <c r="A190" i="2"/>
  <c r="B125" i="6" l="1"/>
  <c r="A124" i="6"/>
  <c r="B126" i="5"/>
  <c r="A125" i="5"/>
  <c r="B126" i="4"/>
  <c r="A125" i="4"/>
  <c r="B127" i="3"/>
  <c r="A126" i="3"/>
  <c r="B192" i="2"/>
  <c r="A191" i="2"/>
  <c r="B126" i="6" l="1"/>
  <c r="A125" i="6"/>
  <c r="B127" i="5"/>
  <c r="A126" i="5"/>
  <c r="B127" i="4"/>
  <c r="A126" i="4"/>
  <c r="B128" i="3"/>
  <c r="A127" i="3"/>
  <c r="B193" i="2"/>
  <c r="A192" i="2"/>
  <c r="B127" i="6" l="1"/>
  <c r="A126" i="6"/>
  <c r="B128" i="5"/>
  <c r="A127" i="5"/>
  <c r="B128" i="4"/>
  <c r="A127" i="4"/>
  <c r="B129" i="3"/>
  <c r="A128" i="3"/>
  <c r="B194" i="2"/>
  <c r="A193" i="2"/>
  <c r="B128" i="6" l="1"/>
  <c r="A127" i="6"/>
  <c r="B129" i="5"/>
  <c r="A128" i="5"/>
  <c r="B129" i="4"/>
  <c r="A128" i="4"/>
  <c r="B130" i="3"/>
  <c r="A129" i="3"/>
  <c r="B195" i="2"/>
  <c r="A194" i="2"/>
  <c r="A128" i="6" l="1"/>
  <c r="B129" i="6"/>
  <c r="B130" i="5"/>
  <c r="A129" i="5"/>
  <c r="B130" i="4"/>
  <c r="A129" i="4"/>
  <c r="B131" i="3"/>
  <c r="A130" i="3"/>
  <c r="B196" i="2"/>
  <c r="A195" i="2"/>
  <c r="B130" i="6" l="1"/>
  <c r="A129" i="6"/>
  <c r="B131" i="5"/>
  <c r="A130" i="5"/>
  <c r="B131" i="4"/>
  <c r="A130" i="4"/>
  <c r="B132" i="3"/>
  <c r="A131" i="3"/>
  <c r="B197" i="2"/>
  <c r="A196" i="2"/>
  <c r="B131" i="6" l="1"/>
  <c r="A130" i="6"/>
  <c r="B132" i="5"/>
  <c r="A131" i="5"/>
  <c r="B132" i="4"/>
  <c r="A131" i="4"/>
  <c r="B133" i="3"/>
  <c r="A132" i="3"/>
  <c r="B198" i="2"/>
  <c r="A197" i="2"/>
  <c r="B132" i="6" l="1"/>
  <c r="A131" i="6"/>
  <c r="B133" i="5"/>
  <c r="A132" i="5"/>
  <c r="B133" i="4"/>
  <c r="A132" i="4"/>
  <c r="B134" i="3"/>
  <c r="A133" i="3"/>
  <c r="B199" i="2"/>
  <c r="A198" i="2"/>
  <c r="B133" i="6" l="1"/>
  <c r="A132" i="6"/>
  <c r="B134" i="5"/>
  <c r="A133" i="5"/>
  <c r="B134" i="4"/>
  <c r="A133" i="4"/>
  <c r="B135" i="3"/>
  <c r="A134" i="3"/>
  <c r="B200" i="2"/>
  <c r="A199" i="2"/>
  <c r="B134" i="6" l="1"/>
  <c r="A133" i="6"/>
  <c r="B135" i="5"/>
  <c r="A134" i="5"/>
  <c r="B135" i="4"/>
  <c r="A134" i="4"/>
  <c r="B136" i="3"/>
  <c r="A135" i="3"/>
  <c r="B201" i="2"/>
  <c r="A200" i="2"/>
  <c r="B135" i="6" l="1"/>
  <c r="A134" i="6"/>
  <c r="B136" i="5"/>
  <c r="A135" i="5"/>
  <c r="B136" i="4"/>
  <c r="A135" i="4"/>
  <c r="B137" i="3"/>
  <c r="A136" i="3"/>
  <c r="B202" i="2"/>
  <c r="A201" i="2"/>
  <c r="B136" i="6" l="1"/>
  <c r="A135" i="6"/>
  <c r="B137" i="5"/>
  <c r="A136" i="5"/>
  <c r="B137" i="4"/>
  <c r="A136" i="4"/>
  <c r="B138" i="3"/>
  <c r="A137" i="3"/>
  <c r="B203" i="2"/>
  <c r="A202" i="2"/>
  <c r="B137" i="6" l="1"/>
  <c r="A136" i="6"/>
  <c r="B138" i="5"/>
  <c r="A137" i="5"/>
  <c r="B138" i="4"/>
  <c r="A137" i="4"/>
  <c r="B139" i="3"/>
  <c r="A138" i="3"/>
  <c r="B204" i="2"/>
  <c r="A203" i="2"/>
  <c r="B138" i="6" l="1"/>
  <c r="A137" i="6"/>
  <c r="B139" i="5"/>
  <c r="A138" i="5"/>
  <c r="B139" i="4"/>
  <c r="A138" i="4"/>
  <c r="B140" i="3"/>
  <c r="A139" i="3"/>
  <c r="B205" i="2"/>
  <c r="A204" i="2"/>
  <c r="B139" i="6" l="1"/>
  <c r="A138" i="6"/>
  <c r="B140" i="5"/>
  <c r="A139" i="5"/>
  <c r="B140" i="4"/>
  <c r="A139" i="4"/>
  <c r="B141" i="3"/>
  <c r="A140" i="3"/>
  <c r="B206" i="2"/>
  <c r="A205" i="2"/>
  <c r="B140" i="6" l="1"/>
  <c r="A139" i="6"/>
  <c r="B141" i="5"/>
  <c r="A140" i="5"/>
  <c r="B141" i="4"/>
  <c r="A140" i="4"/>
  <c r="B142" i="3"/>
  <c r="A141" i="3"/>
  <c r="B207" i="2"/>
  <c r="A206" i="2"/>
  <c r="A140" i="6" l="1"/>
  <c r="B141" i="6"/>
  <c r="B142" i="5"/>
  <c r="A141" i="5"/>
  <c r="B142" i="4"/>
  <c r="A141" i="4"/>
  <c r="B143" i="3"/>
  <c r="A142" i="3"/>
  <c r="B208" i="2"/>
  <c r="A207" i="2"/>
  <c r="B142" i="6" l="1"/>
  <c r="A141" i="6"/>
  <c r="B143" i="5"/>
  <c r="A142" i="5"/>
  <c r="B143" i="4"/>
  <c r="A142" i="4"/>
  <c r="B144" i="3"/>
  <c r="A143" i="3"/>
  <c r="B209" i="2"/>
  <c r="A208" i="2"/>
  <c r="B143" i="6" l="1"/>
  <c r="A142" i="6"/>
  <c r="B144" i="5"/>
  <c r="A143" i="5"/>
  <c r="B144" i="4"/>
  <c r="A143" i="4"/>
  <c r="B145" i="3"/>
  <c r="A144" i="3"/>
  <c r="B210" i="2"/>
  <c r="A209" i="2"/>
  <c r="B144" i="6" l="1"/>
  <c r="A143" i="6"/>
  <c r="B145" i="5"/>
  <c r="A144" i="5"/>
  <c r="B145" i="4"/>
  <c r="A144" i="4"/>
  <c r="B146" i="3"/>
  <c r="A145" i="3"/>
  <c r="B211" i="2"/>
  <c r="A210" i="2"/>
  <c r="B145" i="6" l="1"/>
  <c r="A144" i="6"/>
  <c r="B146" i="5"/>
  <c r="A145" i="5"/>
  <c r="B146" i="4"/>
  <c r="A145" i="4"/>
  <c r="B147" i="3"/>
  <c r="A146" i="3"/>
  <c r="B212" i="2"/>
  <c r="A211" i="2"/>
  <c r="B146" i="6" l="1"/>
  <c r="A145" i="6"/>
  <c r="B147" i="5"/>
  <c r="A146" i="5"/>
  <c r="B147" i="4"/>
  <c r="A146" i="4"/>
  <c r="B148" i="3"/>
  <c r="A147" i="3"/>
  <c r="B213" i="2"/>
  <c r="A212" i="2"/>
  <c r="B147" i="6" l="1"/>
  <c r="A146" i="6"/>
  <c r="B148" i="5"/>
  <c r="A147" i="5"/>
  <c r="B148" i="4"/>
  <c r="A147" i="4"/>
  <c r="B149" i="3"/>
  <c r="A148" i="3"/>
  <c r="B214" i="2"/>
  <c r="A213" i="2"/>
  <c r="B148" i="6" l="1"/>
  <c r="A147" i="6"/>
  <c r="B149" i="5"/>
  <c r="A148" i="5"/>
  <c r="B149" i="4"/>
  <c r="A148" i="4"/>
  <c r="B154" i="3"/>
  <c r="A149" i="3"/>
  <c r="B215" i="2"/>
  <c r="A214" i="2"/>
  <c r="B149" i="6" l="1"/>
  <c r="A148" i="6"/>
  <c r="B154" i="5"/>
  <c r="A149" i="5"/>
  <c r="B154" i="4"/>
  <c r="A149" i="4"/>
  <c r="B155" i="3"/>
  <c r="A154" i="3"/>
  <c r="B216" i="2"/>
  <c r="A215" i="2"/>
  <c r="B154" i="6" l="1"/>
  <c r="A149" i="6"/>
  <c r="B155" i="5"/>
  <c r="A154" i="5"/>
  <c r="B155" i="4"/>
  <c r="A154" i="4"/>
  <c r="B156" i="3"/>
  <c r="A155" i="3"/>
  <c r="B217" i="2"/>
  <c r="A216" i="2"/>
  <c r="A154" i="6" l="1"/>
  <c r="B155" i="6"/>
  <c r="B156" i="5"/>
  <c r="A155" i="5"/>
  <c r="B156" i="4"/>
  <c r="A155" i="4"/>
  <c r="B157" i="3"/>
  <c r="A156" i="3"/>
  <c r="B218" i="2"/>
  <c r="A217" i="2"/>
  <c r="A155" i="6" l="1"/>
  <c r="B156" i="6"/>
  <c r="B157" i="5"/>
  <c r="A156" i="5"/>
  <c r="B157" i="4"/>
  <c r="A156" i="4"/>
  <c r="B158" i="3"/>
  <c r="A157" i="3"/>
  <c r="B223" i="2"/>
  <c r="A218" i="2"/>
  <c r="A156" i="6" l="1"/>
  <c r="B157" i="6"/>
  <c r="B158" i="5"/>
  <c r="A157" i="5"/>
  <c r="B158" i="4"/>
  <c r="A157" i="4"/>
  <c r="B159" i="3"/>
  <c r="A158" i="3"/>
  <c r="A223" i="2"/>
  <c r="B224" i="2"/>
  <c r="A157" i="6" l="1"/>
  <c r="B158" i="6"/>
  <c r="B159" i="5"/>
  <c r="A158" i="5"/>
  <c r="B159" i="4"/>
  <c r="A158" i="4"/>
  <c r="B160" i="3"/>
  <c r="A159" i="3"/>
  <c r="A224" i="2"/>
  <c r="B225" i="2"/>
  <c r="A158" i="6" l="1"/>
  <c r="B159" i="6"/>
  <c r="B160" i="5"/>
  <c r="A159" i="5"/>
  <c r="B160" i="4"/>
  <c r="A159" i="4"/>
  <c r="B161" i="3"/>
  <c r="A160" i="3"/>
  <c r="A225" i="2"/>
  <c r="B226" i="2"/>
  <c r="A159" i="6" l="1"/>
  <c r="B160" i="6"/>
  <c r="B161" i="5"/>
  <c r="A160" i="5"/>
  <c r="B161" i="4"/>
  <c r="A160" i="4"/>
  <c r="B162" i="3"/>
  <c r="A161" i="3"/>
  <c r="A226" i="2"/>
  <c r="B227" i="2"/>
  <c r="A160" i="6" l="1"/>
  <c r="B161" i="6"/>
  <c r="B162" i="5"/>
  <c r="A161" i="5"/>
  <c r="B162" i="4"/>
  <c r="A161" i="4"/>
  <c r="B163" i="3"/>
  <c r="A162" i="3"/>
  <c r="A227" i="2"/>
  <c r="B228" i="2"/>
  <c r="A161" i="6" l="1"/>
  <c r="B162" i="6"/>
  <c r="B163" i="5"/>
  <c r="A162" i="5"/>
  <c r="B163" i="4"/>
  <c r="A162" i="4"/>
  <c r="B164" i="3"/>
  <c r="A163" i="3"/>
  <c r="A228" i="2"/>
  <c r="B229" i="2"/>
  <c r="A162" i="6" l="1"/>
  <c r="B163" i="6"/>
  <c r="B164" i="5"/>
  <c r="A163" i="5"/>
  <c r="B164" i="4"/>
  <c r="A163" i="4"/>
  <c r="B165" i="3"/>
  <c r="A164" i="3"/>
  <c r="A229" i="2"/>
  <c r="B230" i="2"/>
  <c r="A163" i="6" l="1"/>
  <c r="B164" i="6"/>
  <c r="B165" i="5"/>
  <c r="A164" i="5"/>
  <c r="B165" i="4"/>
  <c r="A164" i="4"/>
  <c r="B166" i="3"/>
  <c r="A165" i="3"/>
  <c r="A230" i="2"/>
  <c r="B231" i="2"/>
  <c r="A164" i="6" l="1"/>
  <c r="B165" i="6"/>
  <c r="B166" i="5"/>
  <c r="A165" i="5"/>
  <c r="B166" i="4"/>
  <c r="A165" i="4"/>
  <c r="B167" i="3"/>
  <c r="A166" i="3"/>
  <c r="A231" i="2"/>
  <c r="B232" i="2"/>
  <c r="A165" i="6" l="1"/>
  <c r="B166" i="6"/>
  <c r="B167" i="5"/>
  <c r="A166" i="5"/>
  <c r="B167" i="4"/>
  <c r="A166" i="4"/>
  <c r="A167" i="3"/>
  <c r="B168" i="3"/>
  <c r="A232" i="2"/>
  <c r="B233" i="2"/>
  <c r="A166" i="6" l="1"/>
  <c r="B167" i="6"/>
  <c r="B168" i="5"/>
  <c r="A167" i="5"/>
  <c r="B168" i="4"/>
  <c r="A167" i="4"/>
  <c r="A168" i="3"/>
  <c r="B169" i="3"/>
  <c r="A233" i="2"/>
  <c r="B234" i="2"/>
  <c r="A167" i="6" l="1"/>
  <c r="B168" i="6"/>
  <c r="B169" i="5"/>
  <c r="A168" i="5"/>
  <c r="B169" i="4"/>
  <c r="A168" i="4"/>
  <c r="A169" i="3"/>
  <c r="B170" i="3"/>
  <c r="A234" i="2"/>
  <c r="B235" i="2"/>
  <c r="A168" i="6" l="1"/>
  <c r="B169" i="6"/>
  <c r="B170" i="5"/>
  <c r="A169" i="5"/>
  <c r="B170" i="4"/>
  <c r="A169" i="4"/>
  <c r="A170" i="3"/>
  <c r="B171" i="3"/>
  <c r="A235" i="2"/>
  <c r="B236" i="2"/>
  <c r="A169" i="6" l="1"/>
  <c r="B170" i="6"/>
  <c r="B171" i="5"/>
  <c r="A170" i="5"/>
  <c r="B171" i="4"/>
  <c r="A170" i="4"/>
  <c r="A171" i="3"/>
  <c r="B172" i="3"/>
  <c r="A236" i="2"/>
  <c r="B237" i="2"/>
  <c r="A170" i="6" l="1"/>
  <c r="B171" i="6"/>
  <c r="B172" i="5"/>
  <c r="A171" i="5"/>
  <c r="B172" i="4"/>
  <c r="A171" i="4"/>
  <c r="A172" i="3"/>
  <c r="B173" i="3"/>
  <c r="A237" i="2"/>
  <c r="B238" i="2"/>
  <c r="A171" i="6" l="1"/>
  <c r="B172" i="6"/>
  <c r="B173" i="5"/>
  <c r="A172" i="5"/>
  <c r="B173" i="4"/>
  <c r="A172" i="4"/>
  <c r="A173" i="3"/>
  <c r="B174" i="3"/>
  <c r="A238" i="2"/>
  <c r="B239" i="2"/>
  <c r="A172" i="6" l="1"/>
  <c r="B173" i="6"/>
  <c r="B174" i="5"/>
  <c r="A173" i="5"/>
  <c r="B174" i="4"/>
  <c r="A173" i="4"/>
  <c r="A174" i="3"/>
  <c r="B175" i="3"/>
  <c r="A239" i="2"/>
  <c r="B240" i="2"/>
  <c r="A173" i="6" l="1"/>
  <c r="B174" i="6"/>
  <c r="B175" i="5"/>
  <c r="A174" i="5"/>
  <c r="B175" i="4"/>
  <c r="A174" i="4"/>
  <c r="A175" i="3"/>
  <c r="B176" i="3"/>
  <c r="A240" i="2"/>
  <c r="B241" i="2"/>
  <c r="A174" i="6" l="1"/>
  <c r="B175" i="6"/>
  <c r="B176" i="5"/>
  <c r="A175" i="5"/>
  <c r="B176" i="4"/>
  <c r="A175" i="4"/>
  <c r="A176" i="3"/>
  <c r="B177" i="3"/>
  <c r="A241" i="2"/>
  <c r="B242" i="2"/>
  <c r="A175" i="6" l="1"/>
  <c r="B176" i="6"/>
  <c r="B177" i="5"/>
  <c r="A176" i="5"/>
  <c r="B177" i="4"/>
  <c r="A176" i="4"/>
  <c r="A177" i="3"/>
  <c r="B178" i="3"/>
  <c r="A242" i="2"/>
  <c r="B243" i="2"/>
  <c r="A176" i="6" l="1"/>
  <c r="B177" i="6"/>
  <c r="B178" i="5"/>
  <c r="A177" i="5"/>
  <c r="B178" i="4"/>
  <c r="A177" i="4"/>
  <c r="A178" i="3"/>
  <c r="B179" i="3"/>
  <c r="A243" i="2"/>
  <c r="B244" i="2"/>
  <c r="A177" i="6" l="1"/>
  <c r="B178" i="6"/>
  <c r="B179" i="5"/>
  <c r="A178" i="5"/>
  <c r="B179" i="4"/>
  <c r="A178" i="4"/>
  <c r="A179" i="3"/>
  <c r="B180" i="3"/>
  <c r="A244" i="2"/>
  <c r="B245" i="2"/>
  <c r="A178" i="6" l="1"/>
  <c r="B179" i="6"/>
  <c r="B180" i="5"/>
  <c r="A179" i="5"/>
  <c r="B180" i="4"/>
  <c r="A179" i="4"/>
  <c r="A180" i="3"/>
  <c r="B181" i="3"/>
  <c r="A245" i="2"/>
  <c r="B246" i="2"/>
  <c r="A179" i="6" l="1"/>
  <c r="B180" i="6"/>
  <c r="B181" i="5"/>
  <c r="A180" i="5"/>
  <c r="B181" i="4"/>
  <c r="A180" i="4"/>
  <c r="A181" i="3"/>
  <c r="B182" i="3"/>
  <c r="A246" i="2"/>
  <c r="B247" i="2"/>
  <c r="A180" i="6" l="1"/>
  <c r="B181" i="6"/>
  <c r="B182" i="5"/>
  <c r="A181" i="5"/>
  <c r="B182" i="4"/>
  <c r="A181" i="4"/>
  <c r="A182" i="3"/>
  <c r="B183" i="3"/>
  <c r="A247" i="2"/>
  <c r="B248" i="2"/>
  <c r="A181" i="6" l="1"/>
  <c r="B182" i="6"/>
  <c r="B183" i="5"/>
  <c r="A182" i="5"/>
  <c r="B183" i="4"/>
  <c r="A182" i="4"/>
  <c r="A183" i="3"/>
  <c r="B184" i="3"/>
  <c r="A248" i="2"/>
  <c r="B249" i="2"/>
  <c r="A182" i="6" l="1"/>
  <c r="B183" i="6"/>
  <c r="B184" i="5"/>
  <c r="A183" i="5"/>
  <c r="B184" i="4"/>
  <c r="A183" i="4"/>
  <c r="A184" i="3"/>
  <c r="B189" i="3"/>
  <c r="A249" i="2"/>
  <c r="B250" i="2"/>
  <c r="A183" i="6" l="1"/>
  <c r="B184" i="6"/>
  <c r="B189" i="5"/>
  <c r="A184" i="5"/>
  <c r="B189" i="4"/>
  <c r="A184" i="4"/>
  <c r="A189" i="3"/>
  <c r="B190" i="3"/>
  <c r="A250" i="2"/>
  <c r="B251" i="2"/>
  <c r="B189" i="6" l="1"/>
  <c r="A184" i="6"/>
  <c r="B190" i="5"/>
  <c r="A189" i="5"/>
  <c r="A189" i="4"/>
  <c r="B190" i="4"/>
  <c r="A190" i="3"/>
  <c r="B191" i="3"/>
  <c r="A251" i="2"/>
  <c r="B252" i="2"/>
  <c r="B190" i="6" l="1"/>
  <c r="A189" i="6"/>
  <c r="B191" i="5"/>
  <c r="A190" i="5"/>
  <c r="A190" i="4"/>
  <c r="B191" i="4"/>
  <c r="B192" i="3"/>
  <c r="A191" i="3"/>
  <c r="A252" i="2"/>
  <c r="B253" i="2"/>
  <c r="B191" i="6" l="1"/>
  <c r="A190" i="6"/>
  <c r="B192" i="5"/>
  <c r="A191" i="5"/>
  <c r="A191" i="4"/>
  <c r="B192" i="4"/>
  <c r="B193" i="3"/>
  <c r="A192" i="3"/>
  <c r="A253" i="2"/>
  <c r="B258" i="2"/>
  <c r="B192" i="6" l="1"/>
  <c r="A191" i="6"/>
  <c r="B193" i="5"/>
  <c r="A192" i="5"/>
  <c r="A192" i="4"/>
  <c r="B193" i="4"/>
  <c r="A193" i="3"/>
  <c r="B194" i="3"/>
  <c r="B259" i="2"/>
  <c r="A258" i="2"/>
  <c r="B193" i="6" l="1"/>
  <c r="A192" i="6"/>
  <c r="B194" i="5"/>
  <c r="A193" i="5"/>
  <c r="A193" i="4"/>
  <c r="B194" i="4"/>
  <c r="B195" i="3"/>
  <c r="A194" i="3"/>
  <c r="B260" i="2"/>
  <c r="A259" i="2"/>
  <c r="B194" i="6" l="1"/>
  <c r="A193" i="6"/>
  <c r="B195" i="5"/>
  <c r="A194" i="5"/>
  <c r="B195" i="4"/>
  <c r="A194" i="4"/>
  <c r="A195" i="3"/>
  <c r="B196" i="3"/>
  <c r="B261" i="2"/>
  <c r="A260" i="2"/>
  <c r="B195" i="6" l="1"/>
  <c r="A194" i="6"/>
  <c r="B196" i="5"/>
  <c r="A195" i="5"/>
  <c r="A195" i="4"/>
  <c r="B196" i="4"/>
  <c r="A196" i="3"/>
  <c r="B197" i="3"/>
  <c r="B262" i="2"/>
  <c r="A261" i="2"/>
  <c r="B196" i="6" l="1"/>
  <c r="A195" i="6"/>
  <c r="B197" i="5"/>
  <c r="A196" i="5"/>
  <c r="A196" i="4"/>
  <c r="B197" i="4"/>
  <c r="B198" i="3"/>
  <c r="A197" i="3"/>
  <c r="B263" i="2"/>
  <c r="A262" i="2"/>
  <c r="B197" i="6" l="1"/>
  <c r="A196" i="6"/>
  <c r="B198" i="5"/>
  <c r="A197" i="5"/>
  <c r="A197" i="4"/>
  <c r="B198" i="4"/>
  <c r="B199" i="3"/>
  <c r="A198" i="3"/>
  <c r="B264" i="2"/>
  <c r="A263" i="2"/>
  <c r="B198" i="6" l="1"/>
  <c r="A197" i="6"/>
  <c r="B199" i="5"/>
  <c r="A198" i="5"/>
  <c r="A198" i="4"/>
  <c r="B199" i="4"/>
  <c r="A199" i="3"/>
  <c r="B200" i="3"/>
  <c r="B265" i="2"/>
  <c r="A264" i="2"/>
  <c r="B199" i="6" l="1"/>
  <c r="A198" i="6"/>
  <c r="B200" i="5"/>
  <c r="A199" i="5"/>
  <c r="A199" i="4"/>
  <c r="B200" i="4"/>
  <c r="B201" i="3"/>
  <c r="A200" i="3"/>
  <c r="B266" i="2"/>
  <c r="A265" i="2"/>
  <c r="B200" i="6" l="1"/>
  <c r="A199" i="6"/>
  <c r="B201" i="5"/>
  <c r="A200" i="5"/>
  <c r="B201" i="4"/>
  <c r="A200" i="4"/>
  <c r="A201" i="3"/>
  <c r="B202" i="3"/>
  <c r="B267" i="2"/>
  <c r="A266" i="2"/>
  <c r="B201" i="6" l="1"/>
  <c r="A200" i="6"/>
  <c r="B202" i="5"/>
  <c r="A201" i="5"/>
  <c r="A201" i="4"/>
  <c r="B202" i="4"/>
  <c r="A202" i="3"/>
  <c r="B203" i="3"/>
  <c r="B268" i="2"/>
  <c r="A267" i="2"/>
  <c r="B202" i="6" l="1"/>
  <c r="A201" i="6"/>
  <c r="B203" i="5"/>
  <c r="A202" i="5"/>
  <c r="A202" i="4"/>
  <c r="B203" i="4"/>
  <c r="B204" i="3"/>
  <c r="A203" i="3"/>
  <c r="B269" i="2"/>
  <c r="A268" i="2"/>
  <c r="B203" i="6" l="1"/>
  <c r="A202" i="6"/>
  <c r="B204" i="5"/>
  <c r="A203" i="5"/>
  <c r="A203" i="4"/>
  <c r="B204" i="4"/>
  <c r="B205" i="3"/>
  <c r="A204" i="3"/>
  <c r="B270" i="2"/>
  <c r="A269" i="2"/>
  <c r="B204" i="6" l="1"/>
  <c r="A203" i="6"/>
  <c r="B205" i="5"/>
  <c r="A204" i="5"/>
  <c r="A204" i="4"/>
  <c r="B205" i="4"/>
  <c r="A205" i="3"/>
  <c r="B206" i="3"/>
  <c r="B271" i="2"/>
  <c r="A270" i="2"/>
  <c r="B205" i="6" l="1"/>
  <c r="A204" i="6"/>
  <c r="B206" i="5"/>
  <c r="A205" i="5"/>
  <c r="A205" i="4"/>
  <c r="B206" i="4"/>
  <c r="B207" i="3"/>
  <c r="A206" i="3"/>
  <c r="B272" i="2"/>
  <c r="A271" i="2"/>
  <c r="B206" i="6" l="1"/>
  <c r="A205" i="6"/>
  <c r="B207" i="5"/>
  <c r="A206" i="5"/>
  <c r="B207" i="4"/>
  <c r="A206" i="4"/>
  <c r="A207" i="3"/>
  <c r="B208" i="3"/>
  <c r="B273" i="2"/>
  <c r="A272" i="2"/>
  <c r="B207" i="6" l="1"/>
  <c r="A206" i="6"/>
  <c r="B208" i="5"/>
  <c r="A207" i="5"/>
  <c r="A207" i="4"/>
  <c r="B208" i="4"/>
  <c r="A208" i="3"/>
  <c r="B209" i="3"/>
  <c r="B274" i="2"/>
  <c r="A273" i="2"/>
  <c r="B208" i="6" l="1"/>
  <c r="A207" i="6"/>
  <c r="B209" i="5"/>
  <c r="A208" i="5"/>
  <c r="A208" i="4"/>
  <c r="B209" i="4"/>
  <c r="B210" i="3"/>
  <c r="A209" i="3"/>
  <c r="B275" i="2"/>
  <c r="A274" i="2"/>
  <c r="B209" i="6" l="1"/>
  <c r="A208" i="6"/>
  <c r="B210" i="5"/>
  <c r="A209" i="5"/>
  <c r="A209" i="4"/>
  <c r="B210" i="4"/>
  <c r="B211" i="3"/>
  <c r="A210" i="3"/>
  <c r="B276" i="2"/>
  <c r="A275" i="2"/>
  <c r="B210" i="6" l="1"/>
  <c r="A209" i="6"/>
  <c r="B211" i="5"/>
  <c r="A210" i="5"/>
  <c r="A210" i="4"/>
  <c r="B211" i="4"/>
  <c r="A211" i="3"/>
  <c r="B212" i="3"/>
  <c r="B277" i="2"/>
  <c r="A276" i="2"/>
  <c r="B211" i="6" l="1"/>
  <c r="A210" i="6"/>
  <c r="B212" i="5"/>
  <c r="A211" i="5"/>
  <c r="A211" i="4"/>
  <c r="B212" i="4"/>
  <c r="B213" i="3"/>
  <c r="A212" i="3"/>
  <c r="B278" i="2"/>
  <c r="A277" i="2"/>
  <c r="B212" i="6" l="1"/>
  <c r="A211" i="6"/>
  <c r="B213" i="5"/>
  <c r="A212" i="5"/>
  <c r="B213" i="4"/>
  <c r="A212" i="4"/>
  <c r="A213" i="3"/>
  <c r="B214" i="3"/>
  <c r="B279" i="2"/>
  <c r="A278" i="2"/>
  <c r="B213" i="6" l="1"/>
  <c r="A212" i="6"/>
  <c r="B214" i="5"/>
  <c r="A213" i="5"/>
  <c r="A213" i="4"/>
  <c r="B214" i="4"/>
  <c r="B215" i="3"/>
  <c r="A214" i="3"/>
  <c r="B280" i="2"/>
  <c r="A279" i="2"/>
  <c r="B214" i="6" l="1"/>
  <c r="A213" i="6"/>
  <c r="B215" i="5"/>
  <c r="A214" i="5"/>
  <c r="A214" i="4"/>
  <c r="B215" i="4"/>
  <c r="B216" i="3"/>
  <c r="A215" i="3"/>
  <c r="B281" i="2"/>
  <c r="A280" i="2"/>
  <c r="A214" i="6" l="1"/>
  <c r="B215" i="6"/>
  <c r="B216" i="5"/>
  <c r="A215" i="5"/>
  <c r="A215" i="4"/>
  <c r="B216" i="4"/>
  <c r="B217" i="3"/>
  <c r="A216" i="3"/>
  <c r="B282" i="2"/>
  <c r="A281" i="2"/>
  <c r="A215" i="6" l="1"/>
  <c r="B216" i="6"/>
  <c r="B217" i="5"/>
  <c r="A216" i="5"/>
  <c r="A216" i="4"/>
  <c r="B217" i="4"/>
  <c r="A217" i="3"/>
  <c r="B218" i="3"/>
  <c r="B283" i="2"/>
  <c r="A282" i="2"/>
  <c r="A216" i="6" l="1"/>
  <c r="B217" i="6"/>
  <c r="B218" i="5"/>
  <c r="A217" i="5"/>
  <c r="A217" i="4"/>
  <c r="B218" i="4"/>
  <c r="B223" i="3"/>
  <c r="A218" i="3"/>
  <c r="B284" i="2"/>
  <c r="A283" i="2"/>
  <c r="A217" i="6" l="1"/>
  <c r="B218" i="6"/>
  <c r="B223" i="5"/>
  <c r="A218" i="5"/>
  <c r="B223" i="4"/>
  <c r="A218" i="4"/>
  <c r="B224" i="3"/>
  <c r="A223" i="3"/>
  <c r="B285" i="2"/>
  <c r="A284" i="2"/>
  <c r="A218" i="6" l="1"/>
  <c r="B223" i="6"/>
  <c r="B224" i="5"/>
  <c r="A223" i="5"/>
  <c r="A223" i="4"/>
  <c r="B224" i="4"/>
  <c r="B225" i="3"/>
  <c r="A224" i="3"/>
  <c r="B286" i="2"/>
  <c r="A285" i="2"/>
  <c r="B224" i="6" l="1"/>
  <c r="A223" i="6"/>
  <c r="B225" i="5"/>
  <c r="A224" i="5"/>
  <c r="A224" i="4"/>
  <c r="B225" i="4"/>
  <c r="B226" i="3"/>
  <c r="A225" i="3"/>
  <c r="B287" i="2"/>
  <c r="A286" i="2"/>
  <c r="B225" i="6" l="1"/>
  <c r="A224" i="6"/>
  <c r="B226" i="5"/>
  <c r="A225" i="5"/>
  <c r="A225" i="4"/>
  <c r="B226" i="4"/>
  <c r="B227" i="3"/>
  <c r="A226" i="3"/>
  <c r="B288" i="2"/>
  <c r="A287" i="2"/>
  <c r="B226" i="6" l="1"/>
  <c r="A225" i="6"/>
  <c r="B227" i="5"/>
  <c r="A226" i="5"/>
  <c r="A226" i="4"/>
  <c r="B227" i="4"/>
  <c r="B228" i="3"/>
  <c r="A227" i="3"/>
  <c r="B293" i="2"/>
  <c r="A288" i="2"/>
  <c r="B227" i="6" l="1"/>
  <c r="A226" i="6"/>
  <c r="B228" i="5"/>
  <c r="A227" i="5"/>
  <c r="A227" i="4"/>
  <c r="B228" i="4"/>
  <c r="B229" i="3"/>
  <c r="A228" i="3"/>
  <c r="B294" i="2"/>
  <c r="A293" i="2"/>
  <c r="B228" i="6" l="1"/>
  <c r="A227" i="6"/>
  <c r="B229" i="5"/>
  <c r="A228" i="5"/>
  <c r="A228" i="4"/>
  <c r="B229" i="4"/>
  <c r="B230" i="3"/>
  <c r="A229" i="3"/>
  <c r="B295" i="2"/>
  <c r="A294" i="2"/>
  <c r="B229" i="6" l="1"/>
  <c r="A228" i="6"/>
  <c r="B230" i="5"/>
  <c r="A229" i="5"/>
  <c r="A229" i="4"/>
  <c r="B230" i="4"/>
  <c r="B231" i="3"/>
  <c r="A230" i="3"/>
  <c r="B296" i="2"/>
  <c r="A295" i="2"/>
  <c r="B230" i="6" l="1"/>
  <c r="A229" i="6"/>
  <c r="B231" i="5"/>
  <c r="A230" i="5"/>
  <c r="A230" i="4"/>
  <c r="B231" i="4"/>
  <c r="B232" i="3"/>
  <c r="A231" i="3"/>
  <c r="B297" i="2"/>
  <c r="A296" i="2"/>
  <c r="B231" i="6" l="1"/>
  <c r="A230" i="6"/>
  <c r="B232" i="5"/>
  <c r="A231" i="5"/>
  <c r="A231" i="4"/>
  <c r="B232" i="4"/>
  <c r="B233" i="3"/>
  <c r="A232" i="3"/>
  <c r="B298" i="2"/>
  <c r="A297" i="2"/>
  <c r="B232" i="6" l="1"/>
  <c r="A231" i="6"/>
  <c r="B233" i="5"/>
  <c r="A232" i="5"/>
  <c r="A232" i="4"/>
  <c r="B233" i="4"/>
  <c r="B234" i="3"/>
  <c r="A233" i="3"/>
  <c r="B299" i="2"/>
  <c r="A298" i="2"/>
  <c r="B233" i="6" l="1"/>
  <c r="A232" i="6"/>
  <c r="B234" i="5"/>
  <c r="A233" i="5"/>
  <c r="A233" i="4"/>
  <c r="B234" i="4"/>
  <c r="B235" i="3"/>
  <c r="A234" i="3"/>
  <c r="B300" i="2"/>
  <c r="A299" i="2"/>
  <c r="B234" i="6" l="1"/>
  <c r="A233" i="6"/>
  <c r="B235" i="5"/>
  <c r="A234" i="5"/>
  <c r="A234" i="4"/>
  <c r="B235" i="4"/>
  <c r="B236" i="3"/>
  <c r="A235" i="3"/>
  <c r="B301" i="2"/>
  <c r="A300" i="2"/>
  <c r="B235" i="6" l="1"/>
  <c r="A234" i="6"/>
  <c r="B236" i="5"/>
  <c r="A235" i="5"/>
  <c r="A235" i="4"/>
  <c r="B236" i="4"/>
  <c r="B237" i="3"/>
  <c r="A236" i="3"/>
  <c r="B302" i="2"/>
  <c r="A301" i="2"/>
  <c r="B236" i="6" l="1"/>
  <c r="A235" i="6"/>
  <c r="B237" i="5"/>
  <c r="A236" i="5"/>
  <c r="A236" i="4"/>
  <c r="B237" i="4"/>
  <c r="B238" i="3"/>
  <c r="A237" i="3"/>
  <c r="B303" i="2"/>
  <c r="A302" i="2"/>
  <c r="B237" i="6" l="1"/>
  <c r="A236" i="6"/>
  <c r="B238" i="5"/>
  <c r="A237" i="5"/>
  <c r="A237" i="4"/>
  <c r="B238" i="4"/>
  <c r="B239" i="3"/>
  <c r="A238" i="3"/>
  <c r="B304" i="2"/>
  <c r="A303" i="2"/>
  <c r="B238" i="6" l="1"/>
  <c r="A237" i="6"/>
  <c r="B239" i="5"/>
  <c r="A238" i="5"/>
  <c r="A238" i="4"/>
  <c r="B239" i="4"/>
  <c r="B240" i="3"/>
  <c r="A239" i="3"/>
  <c r="B305" i="2"/>
  <c r="A304" i="2"/>
  <c r="B239" i="6" l="1"/>
  <c r="A238" i="6"/>
  <c r="B240" i="5"/>
  <c r="A239" i="5"/>
  <c r="A239" i="4"/>
  <c r="B240" i="4"/>
  <c r="B241" i="3"/>
  <c r="A240" i="3"/>
  <c r="B306" i="2"/>
  <c r="A305" i="2"/>
  <c r="B240" i="6" l="1"/>
  <c r="A239" i="6"/>
  <c r="B241" i="5"/>
  <c r="A240" i="5"/>
  <c r="A240" i="4"/>
  <c r="B241" i="4"/>
  <c r="B242" i="3"/>
  <c r="A241" i="3"/>
  <c r="B307" i="2"/>
  <c r="A306" i="2"/>
  <c r="B241" i="6" l="1"/>
  <c r="A240" i="6"/>
  <c r="B242" i="5"/>
  <c r="A241" i="5"/>
  <c r="A241" i="4"/>
  <c r="B242" i="4"/>
  <c r="B243" i="3"/>
  <c r="A242" i="3"/>
  <c r="B308" i="2"/>
  <c r="A307" i="2"/>
  <c r="B242" i="6" l="1"/>
  <c r="A241" i="6"/>
  <c r="B243" i="5"/>
  <c r="A242" i="5"/>
  <c r="A242" i="4"/>
  <c r="B243" i="4"/>
  <c r="B244" i="3"/>
  <c r="A243" i="3"/>
  <c r="B309" i="2"/>
  <c r="A308" i="2"/>
  <c r="B243" i="6" l="1"/>
  <c r="A242" i="6"/>
  <c r="B244" i="5"/>
  <c r="A243" i="5"/>
  <c r="A243" i="4"/>
  <c r="B244" i="4"/>
  <c r="B245" i="3"/>
  <c r="A244" i="3"/>
  <c r="B310" i="2"/>
  <c r="A309" i="2"/>
  <c r="B244" i="6" l="1"/>
  <c r="A243" i="6"/>
  <c r="B245" i="5"/>
  <c r="A244" i="5"/>
  <c r="A244" i="4"/>
  <c r="B245" i="4"/>
  <c r="B246" i="3"/>
  <c r="A245" i="3"/>
  <c r="B311" i="2"/>
  <c r="A310" i="2"/>
  <c r="B245" i="6" l="1"/>
  <c r="A244" i="6"/>
  <c r="B246" i="5"/>
  <c r="A245" i="5"/>
  <c r="A245" i="4"/>
  <c r="B246" i="4"/>
  <c r="B247" i="3"/>
  <c r="A246" i="3"/>
  <c r="B312" i="2"/>
  <c r="A311" i="2"/>
  <c r="B246" i="6" l="1"/>
  <c r="A245" i="6"/>
  <c r="B247" i="5"/>
  <c r="A246" i="5"/>
  <c r="A246" i="4"/>
  <c r="B247" i="4"/>
  <c r="B248" i="3"/>
  <c r="A247" i="3"/>
  <c r="B313" i="2"/>
  <c r="A312" i="2"/>
  <c r="B247" i="6" l="1"/>
  <c r="A246" i="6"/>
  <c r="B248" i="5"/>
  <c r="A247" i="5"/>
  <c r="A247" i="4"/>
  <c r="B248" i="4"/>
  <c r="B249" i="3"/>
  <c r="A248" i="3"/>
  <c r="B314" i="2"/>
  <c r="A313" i="2"/>
  <c r="B248" i="6" l="1"/>
  <c r="A247" i="6"/>
  <c r="B249" i="5"/>
  <c r="A248" i="5"/>
  <c r="A248" i="4"/>
  <c r="B249" i="4"/>
  <c r="B250" i="3"/>
  <c r="A249" i="3"/>
  <c r="B315" i="2"/>
  <c r="A314" i="2"/>
  <c r="B249" i="6" l="1"/>
  <c r="A248" i="6"/>
  <c r="B250" i="5"/>
  <c r="A249" i="5"/>
  <c r="A249" i="4"/>
  <c r="B250" i="4"/>
  <c r="B251" i="3"/>
  <c r="A250" i="3"/>
  <c r="B316" i="2"/>
  <c r="A315" i="2"/>
  <c r="B250" i="6" l="1"/>
  <c r="A249" i="6"/>
  <c r="B251" i="5"/>
  <c r="A250" i="5"/>
  <c r="A250" i="4"/>
  <c r="B251" i="4"/>
  <c r="B252" i="3"/>
  <c r="A251" i="3"/>
  <c r="B317" i="2"/>
  <c r="A316" i="2"/>
  <c r="B251" i="6" l="1"/>
  <c r="A250" i="6"/>
  <c r="B252" i="5"/>
  <c r="A251" i="5"/>
  <c r="A251" i="4"/>
  <c r="B252" i="4"/>
  <c r="B253" i="3"/>
  <c r="A252" i="3"/>
  <c r="A317" i="2"/>
  <c r="B318" i="2"/>
  <c r="B252" i="6" l="1"/>
  <c r="A251" i="6"/>
  <c r="B253" i="5"/>
  <c r="A252" i="5"/>
  <c r="A252" i="4"/>
  <c r="B253" i="4"/>
  <c r="A253" i="3"/>
  <c r="B258" i="3"/>
  <c r="B319" i="2"/>
  <c r="A318" i="2"/>
  <c r="B253" i="6" l="1"/>
  <c r="A252" i="6"/>
  <c r="B258" i="5"/>
  <c r="A253" i="5"/>
  <c r="B258" i="4"/>
  <c r="A253" i="4"/>
  <c r="B259" i="3"/>
  <c r="A258" i="3"/>
  <c r="B320" i="2"/>
  <c r="A319" i="2"/>
  <c r="B258" i="6" l="1"/>
  <c r="A253" i="6"/>
  <c r="B259" i="5"/>
  <c r="A258" i="5"/>
  <c r="B259" i="4"/>
  <c r="A258" i="4"/>
  <c r="A259" i="3"/>
  <c r="B260" i="3"/>
  <c r="B321" i="2"/>
  <c r="A320" i="2"/>
  <c r="A258" i="6" l="1"/>
  <c r="B259" i="6"/>
  <c r="B260" i="5"/>
  <c r="A259" i="5"/>
  <c r="B260" i="4"/>
  <c r="A259" i="4"/>
  <c r="B261" i="3"/>
  <c r="A260" i="3"/>
  <c r="B322" i="2"/>
  <c r="A321" i="2"/>
  <c r="A259" i="6" l="1"/>
  <c r="B260" i="6"/>
  <c r="B261" i="5"/>
  <c r="A260" i="5"/>
  <c r="B261" i="4"/>
  <c r="A260" i="4"/>
  <c r="A261" i="3"/>
  <c r="B262" i="3"/>
  <c r="A322" i="2"/>
  <c r="B327" i="2"/>
  <c r="A260" i="6" l="1"/>
  <c r="B261" i="6"/>
  <c r="B262" i="5"/>
  <c r="A261" i="5"/>
  <c r="B262" i="4"/>
  <c r="A261" i="4"/>
  <c r="B263" i="3"/>
  <c r="A262" i="3"/>
  <c r="A327" i="2"/>
  <c r="B328" i="2"/>
  <c r="A261" i="6" l="1"/>
  <c r="B262" i="6"/>
  <c r="B263" i="5"/>
  <c r="A262" i="5"/>
  <c r="B263" i="4"/>
  <c r="A262" i="4"/>
  <c r="A263" i="3"/>
  <c r="B264" i="3"/>
  <c r="A328" i="2"/>
  <c r="B329" i="2"/>
  <c r="A262" i="6" l="1"/>
  <c r="B263" i="6"/>
  <c r="B264" i="5"/>
  <c r="A263" i="5"/>
  <c r="B264" i="4"/>
  <c r="A263" i="4"/>
  <c r="B265" i="3"/>
  <c r="A264" i="3"/>
  <c r="B330" i="2"/>
  <c r="A329" i="2"/>
  <c r="A263" i="6" l="1"/>
  <c r="B264" i="6"/>
  <c r="B265" i="5"/>
  <c r="A264" i="5"/>
  <c r="B265" i="4"/>
  <c r="A264" i="4"/>
  <c r="B266" i="3"/>
  <c r="A265" i="3"/>
  <c r="A330" i="2"/>
  <c r="B331" i="2"/>
  <c r="A264" i="6" l="1"/>
  <c r="B265" i="6"/>
  <c r="B266" i="5"/>
  <c r="A265" i="5"/>
  <c r="B266" i="4"/>
  <c r="A265" i="4"/>
  <c r="B267" i="3"/>
  <c r="A266" i="3"/>
  <c r="A331" i="2"/>
  <c r="B332" i="2"/>
  <c r="A265" i="6" l="1"/>
  <c r="B266" i="6"/>
  <c r="B267" i="5"/>
  <c r="A266" i="5"/>
  <c r="B267" i="4"/>
  <c r="A266" i="4"/>
  <c r="A267" i="3"/>
  <c r="B268" i="3"/>
  <c r="A332" i="2"/>
  <c r="B333" i="2"/>
  <c r="A266" i="6" l="1"/>
  <c r="B267" i="6"/>
  <c r="B268" i="5"/>
  <c r="A267" i="5"/>
  <c r="B268" i="4"/>
  <c r="A267" i="4"/>
  <c r="B269" i="3"/>
  <c r="A268" i="3"/>
  <c r="B334" i="2"/>
  <c r="A333" i="2"/>
  <c r="A267" i="6" l="1"/>
  <c r="B268" i="6"/>
  <c r="B269" i="5"/>
  <c r="A268" i="5"/>
  <c r="B269" i="4"/>
  <c r="A268" i="4"/>
  <c r="A269" i="3"/>
  <c r="B270" i="3"/>
  <c r="A334" i="2"/>
  <c r="B335" i="2"/>
  <c r="A268" i="6" l="1"/>
  <c r="B269" i="6"/>
  <c r="B270" i="5"/>
  <c r="A269" i="5"/>
  <c r="B270" i="4"/>
  <c r="A269" i="4"/>
  <c r="B271" i="3"/>
  <c r="A270" i="3"/>
  <c r="A335" i="2"/>
  <c r="B336" i="2"/>
  <c r="A269" i="6" l="1"/>
  <c r="B270" i="6"/>
  <c r="B271" i="5"/>
  <c r="A270" i="5"/>
  <c r="B271" i="4"/>
  <c r="A270" i="4"/>
  <c r="A271" i="3"/>
  <c r="B272" i="3"/>
  <c r="A336" i="2"/>
  <c r="B337" i="2"/>
  <c r="A270" i="6" l="1"/>
  <c r="B271" i="6"/>
  <c r="B272" i="5"/>
  <c r="A271" i="5"/>
  <c r="B272" i="4"/>
  <c r="A271" i="4"/>
  <c r="A272" i="3"/>
  <c r="B273" i="3"/>
  <c r="B338" i="2"/>
  <c r="A337" i="2"/>
  <c r="A271" i="6" l="1"/>
  <c r="B272" i="6"/>
  <c r="B273" i="5"/>
  <c r="A272" i="5"/>
  <c r="B273" i="4"/>
  <c r="A272" i="4"/>
  <c r="A273" i="3"/>
  <c r="B274" i="3"/>
  <c r="A338" i="2"/>
  <c r="B339" i="2"/>
  <c r="A272" i="6" l="1"/>
  <c r="B273" i="6"/>
  <c r="B274" i="5"/>
  <c r="A273" i="5"/>
  <c r="B274" i="4"/>
  <c r="A273" i="4"/>
  <c r="A274" i="3"/>
  <c r="B275" i="3"/>
  <c r="A339" i="2"/>
  <c r="B340" i="2"/>
  <c r="A273" i="6" l="1"/>
  <c r="B274" i="6"/>
  <c r="B275" i="5"/>
  <c r="A274" i="5"/>
  <c r="B275" i="4"/>
  <c r="A274" i="4"/>
  <c r="A275" i="3"/>
  <c r="B276" i="3"/>
  <c r="A340" i="2"/>
  <c r="B341" i="2"/>
  <c r="A274" i="6" l="1"/>
  <c r="B275" i="6"/>
  <c r="B276" i="5"/>
  <c r="A275" i="5"/>
  <c r="B276" i="4"/>
  <c r="A275" i="4"/>
  <c r="A276" i="3"/>
  <c r="B277" i="3"/>
  <c r="B342" i="2"/>
  <c r="A341" i="2"/>
  <c r="A275" i="6" l="1"/>
  <c r="B276" i="6"/>
  <c r="A276" i="5"/>
  <c r="B277" i="5"/>
  <c r="B277" i="4"/>
  <c r="A276" i="4"/>
  <c r="A277" i="3"/>
  <c r="B278" i="3"/>
  <c r="A342" i="2"/>
  <c r="B343" i="2"/>
  <c r="A276" i="6" l="1"/>
  <c r="B277" i="6"/>
  <c r="A277" i="5"/>
  <c r="B278" i="5"/>
  <c r="B278" i="4"/>
  <c r="A277" i="4"/>
  <c r="A278" i="3"/>
  <c r="B279" i="3"/>
  <c r="A343" i="2"/>
  <c r="B344" i="2"/>
  <c r="A277" i="6" l="1"/>
  <c r="B278" i="6"/>
  <c r="A278" i="5"/>
  <c r="B279" i="5"/>
  <c r="B279" i="4"/>
  <c r="A278" i="4"/>
  <c r="A279" i="3"/>
  <c r="B280" i="3"/>
  <c r="A344" i="2"/>
  <c r="B345" i="2"/>
  <c r="A278" i="6" l="1"/>
  <c r="B279" i="6"/>
  <c r="A279" i="5"/>
  <c r="B280" i="5"/>
  <c r="B280" i="4"/>
  <c r="A279" i="4"/>
  <c r="A280" i="3"/>
  <c r="B281" i="3"/>
  <c r="A345" i="2"/>
  <c r="B346" i="2"/>
  <c r="A279" i="6" l="1"/>
  <c r="B280" i="6"/>
  <c r="A280" i="5"/>
  <c r="B281" i="5"/>
  <c r="B281" i="4"/>
  <c r="A280" i="4"/>
  <c r="A281" i="3"/>
  <c r="B282" i="3"/>
  <c r="A346" i="2"/>
  <c r="B347" i="2"/>
  <c r="A280" i="6" l="1"/>
  <c r="B281" i="6"/>
  <c r="A281" i="5"/>
  <c r="B282" i="5"/>
  <c r="B282" i="4"/>
  <c r="A281" i="4"/>
  <c r="A282" i="3"/>
  <c r="B283" i="3"/>
  <c r="A347" i="2"/>
  <c r="B348" i="2"/>
  <c r="A281" i="6" l="1"/>
  <c r="B282" i="6"/>
  <c r="A282" i="5"/>
  <c r="B283" i="5"/>
  <c r="B283" i="4"/>
  <c r="A282" i="4"/>
  <c r="A283" i="3"/>
  <c r="B284" i="3"/>
  <c r="A348" i="2"/>
  <c r="B349" i="2"/>
  <c r="A282" i="6" l="1"/>
  <c r="B283" i="6"/>
  <c r="A283" i="5"/>
  <c r="B284" i="5"/>
  <c r="B284" i="4"/>
  <c r="A283" i="4"/>
  <c r="A284" i="3"/>
  <c r="B285" i="3"/>
  <c r="A349" i="2"/>
  <c r="B350" i="2"/>
  <c r="A283" i="6" l="1"/>
  <c r="B284" i="6"/>
  <c r="A284" i="5"/>
  <c r="B285" i="5"/>
  <c r="B285" i="4"/>
  <c r="A284" i="4"/>
  <c r="A285" i="3"/>
  <c r="B286" i="3"/>
  <c r="A350" i="2"/>
  <c r="B351" i="2"/>
  <c r="A284" i="6" l="1"/>
  <c r="B285" i="6"/>
  <c r="A285" i="5"/>
  <c r="B286" i="5"/>
  <c r="B286" i="4"/>
  <c r="A285" i="4"/>
  <c r="A286" i="3"/>
  <c r="B287" i="3"/>
  <c r="A351" i="2"/>
  <c r="B352" i="2"/>
  <c r="A285" i="6" l="1"/>
  <c r="B286" i="6"/>
  <c r="A286" i="5"/>
  <c r="B287" i="5"/>
  <c r="B287" i="4"/>
  <c r="A286" i="4"/>
  <c r="A287" i="3"/>
  <c r="B288" i="3"/>
  <c r="A352" i="2"/>
  <c r="B353" i="2"/>
  <c r="A286" i="6" l="1"/>
  <c r="B287" i="6"/>
  <c r="A287" i="5"/>
  <c r="B288" i="5"/>
  <c r="B288" i="4"/>
  <c r="A287" i="4"/>
  <c r="B293" i="3"/>
  <c r="A288" i="3"/>
  <c r="A353" i="2"/>
  <c r="B354" i="2"/>
  <c r="A287" i="6" l="1"/>
  <c r="B288" i="6"/>
  <c r="B293" i="5"/>
  <c r="A288" i="5"/>
  <c r="A288" i="4"/>
  <c r="B293" i="4"/>
  <c r="B294" i="3"/>
  <c r="A293" i="3"/>
  <c r="A354" i="2"/>
  <c r="B355" i="2"/>
  <c r="A288" i="6" l="1"/>
  <c r="B293" i="6"/>
  <c r="B294" i="5"/>
  <c r="A293" i="5"/>
  <c r="A293" i="4"/>
  <c r="B294" i="4"/>
  <c r="B295" i="3"/>
  <c r="A294" i="3"/>
  <c r="A355" i="2"/>
  <c r="B356" i="2"/>
  <c r="B294" i="6" l="1"/>
  <c r="A293" i="6"/>
  <c r="B295" i="5"/>
  <c r="A294" i="5"/>
  <c r="A294" i="4"/>
  <c r="B295" i="4"/>
  <c r="B296" i="3"/>
  <c r="A295" i="3"/>
  <c r="A356" i="2"/>
  <c r="B357" i="2"/>
  <c r="B295" i="6" l="1"/>
  <c r="A294" i="6"/>
  <c r="B296" i="5"/>
  <c r="A295" i="5"/>
  <c r="A295" i="4"/>
  <c r="B296" i="4"/>
  <c r="B297" i="3"/>
  <c r="A296" i="3"/>
  <c r="A357" i="2"/>
  <c r="B362" i="2"/>
  <c r="B296" i="6" l="1"/>
  <c r="A295" i="6"/>
  <c r="B297" i="5"/>
  <c r="A296" i="5"/>
  <c r="A296" i="4"/>
  <c r="B297" i="4"/>
  <c r="B298" i="3"/>
  <c r="A297" i="3"/>
  <c r="B363" i="2"/>
  <c r="A362" i="2"/>
  <c r="B297" i="6" l="1"/>
  <c r="A296" i="6"/>
  <c r="B298" i="5"/>
  <c r="A297" i="5"/>
  <c r="A297" i="4"/>
  <c r="B298" i="4"/>
  <c r="B299" i="3"/>
  <c r="A298" i="3"/>
  <c r="B364" i="2"/>
  <c r="A363" i="2"/>
  <c r="B298" i="6" l="1"/>
  <c r="A297" i="6"/>
  <c r="B299" i="5"/>
  <c r="A298" i="5"/>
  <c r="A298" i="4"/>
  <c r="B299" i="4"/>
  <c r="B300" i="3"/>
  <c r="A299" i="3"/>
  <c r="B365" i="2"/>
  <c r="A364" i="2"/>
  <c r="B299" i="6" l="1"/>
  <c r="A298" i="6"/>
  <c r="B300" i="5"/>
  <c r="A299" i="5"/>
  <c r="A299" i="4"/>
  <c r="B300" i="4"/>
  <c r="B301" i="3"/>
  <c r="A300" i="3"/>
  <c r="B366" i="2"/>
  <c r="A365" i="2"/>
  <c r="B300" i="6" l="1"/>
  <c r="A299" i="6"/>
  <c r="B301" i="5"/>
  <c r="A300" i="5"/>
  <c r="A300" i="4"/>
  <c r="B301" i="4"/>
  <c r="B302" i="3"/>
  <c r="A301" i="3"/>
  <c r="B367" i="2"/>
  <c r="A366" i="2"/>
  <c r="B301" i="6" l="1"/>
  <c r="A300" i="6"/>
  <c r="B302" i="5"/>
  <c r="A301" i="5"/>
  <c r="A301" i="4"/>
  <c r="B302" i="4"/>
  <c r="B303" i="3"/>
  <c r="A302" i="3"/>
  <c r="B368" i="2"/>
  <c r="A367" i="2"/>
  <c r="B302" i="6" l="1"/>
  <c r="A301" i="6"/>
  <c r="B303" i="5"/>
  <c r="A302" i="5"/>
  <c r="A302" i="4"/>
  <c r="B303" i="4"/>
  <c r="B304" i="3"/>
  <c r="A303" i="3"/>
  <c r="B369" i="2"/>
  <c r="A368" i="2"/>
  <c r="B303" i="6" l="1"/>
  <c r="A302" i="6"/>
  <c r="B304" i="5"/>
  <c r="A303" i="5"/>
  <c r="A303" i="4"/>
  <c r="B304" i="4"/>
  <c r="B305" i="3"/>
  <c r="A304" i="3"/>
  <c r="B370" i="2"/>
  <c r="A369" i="2"/>
  <c r="B304" i="6" l="1"/>
  <c r="A303" i="6"/>
  <c r="B305" i="5"/>
  <c r="A304" i="5"/>
  <c r="A304" i="4"/>
  <c r="B305" i="4"/>
  <c r="B306" i="3"/>
  <c r="A305" i="3"/>
  <c r="B371" i="2"/>
  <c r="A370" i="2"/>
  <c r="B305" i="6" l="1"/>
  <c r="A304" i="6"/>
  <c r="B306" i="5"/>
  <c r="A305" i="5"/>
  <c r="A305" i="4"/>
  <c r="B306" i="4"/>
  <c r="B307" i="3"/>
  <c r="A306" i="3"/>
  <c r="B372" i="2"/>
  <c r="A371" i="2"/>
  <c r="B306" i="6" l="1"/>
  <c r="A305" i="6"/>
  <c r="B307" i="5"/>
  <c r="A306" i="5"/>
  <c r="A306" i="4"/>
  <c r="B307" i="4"/>
  <c r="B308" i="3"/>
  <c r="A307" i="3"/>
  <c r="B373" i="2"/>
  <c r="A372" i="2"/>
  <c r="B307" i="6" l="1"/>
  <c r="A306" i="6"/>
  <c r="B308" i="5"/>
  <c r="A307" i="5"/>
  <c r="A307" i="4"/>
  <c r="B308" i="4"/>
  <c r="B309" i="3"/>
  <c r="A308" i="3"/>
  <c r="B374" i="2"/>
  <c r="A373" i="2"/>
  <c r="B308" i="6" l="1"/>
  <c r="A307" i="6"/>
  <c r="B309" i="5"/>
  <c r="A308" i="5"/>
  <c r="A308" i="4"/>
  <c r="B309" i="4"/>
  <c r="B310" i="3"/>
  <c r="A309" i="3"/>
  <c r="B375" i="2"/>
  <c r="A374" i="2"/>
  <c r="B309" i="6" l="1"/>
  <c r="A308" i="6"/>
  <c r="B310" i="5"/>
  <c r="A309" i="5"/>
  <c r="B310" i="4"/>
  <c r="A309" i="4"/>
  <c r="B311" i="3"/>
  <c r="A310" i="3"/>
  <c r="B376" i="2"/>
  <c r="A375" i="2"/>
  <c r="B310" i="6" l="1"/>
  <c r="A309" i="6"/>
  <c r="B311" i="5"/>
  <c r="A310" i="5"/>
  <c r="A310" i="4"/>
  <c r="B311" i="4"/>
  <c r="B312" i="3"/>
  <c r="A311" i="3"/>
  <c r="B377" i="2"/>
  <c r="A376" i="2"/>
  <c r="B311" i="6" l="1"/>
  <c r="A310" i="6"/>
  <c r="B312" i="5"/>
  <c r="A311" i="5"/>
  <c r="A311" i="4"/>
  <c r="B312" i="4"/>
  <c r="B313" i="3"/>
  <c r="A312" i="3"/>
  <c r="B378" i="2"/>
  <c r="A377" i="2"/>
  <c r="B312" i="6" l="1"/>
  <c r="A311" i="6"/>
  <c r="B313" i="5"/>
  <c r="A312" i="5"/>
  <c r="A312" i="4"/>
  <c r="B313" i="4"/>
  <c r="B314" i="3"/>
  <c r="A313" i="3"/>
  <c r="B379" i="2"/>
  <c r="A378" i="2"/>
  <c r="B313" i="6" l="1"/>
  <c r="A312" i="6"/>
  <c r="B314" i="5"/>
  <c r="A313" i="5"/>
  <c r="A313" i="4"/>
  <c r="B314" i="4"/>
  <c r="B315" i="3"/>
  <c r="A314" i="3"/>
  <c r="B380" i="2"/>
  <c r="A379" i="2"/>
  <c r="B314" i="6" l="1"/>
  <c r="A313" i="6"/>
  <c r="B315" i="5"/>
  <c r="A314" i="5"/>
  <c r="A314" i="4"/>
  <c r="B315" i="4"/>
  <c r="B316" i="3"/>
  <c r="A315" i="3"/>
  <c r="B381" i="2"/>
  <c r="A380" i="2"/>
  <c r="B315" i="6" l="1"/>
  <c r="A314" i="6"/>
  <c r="B316" i="5"/>
  <c r="A315" i="5"/>
  <c r="A315" i="4"/>
  <c r="B316" i="4"/>
  <c r="B317" i="3"/>
  <c r="A316" i="3"/>
  <c r="B382" i="2"/>
  <c r="A381" i="2"/>
  <c r="B316" i="6" l="1"/>
  <c r="A315" i="6"/>
  <c r="B317" i="5"/>
  <c r="A316" i="5"/>
  <c r="A316" i="4"/>
  <c r="B317" i="4"/>
  <c r="B318" i="3"/>
  <c r="A317" i="3"/>
  <c r="B383" i="2"/>
  <c r="A382" i="2"/>
  <c r="B317" i="6" l="1"/>
  <c r="A316" i="6"/>
  <c r="B318" i="5"/>
  <c r="A317" i="5"/>
  <c r="A317" i="4"/>
  <c r="B318" i="4"/>
  <c r="B319" i="3"/>
  <c r="A318" i="3"/>
  <c r="B384" i="2"/>
  <c r="A383" i="2"/>
  <c r="B318" i="6" l="1"/>
  <c r="A317" i="6"/>
  <c r="B319" i="5"/>
  <c r="A318" i="5"/>
  <c r="A318" i="4"/>
  <c r="B319" i="4"/>
  <c r="B320" i="3"/>
  <c r="A319" i="3"/>
  <c r="B385" i="2"/>
  <c r="A384" i="2"/>
  <c r="B319" i="6" l="1"/>
  <c r="A318" i="6"/>
  <c r="B320" i="5"/>
  <c r="A319" i="5"/>
  <c r="A319" i="4"/>
  <c r="B320" i="4"/>
  <c r="B321" i="3"/>
  <c r="A320" i="3"/>
  <c r="B386" i="2"/>
  <c r="A385" i="2"/>
  <c r="B320" i="6" l="1"/>
  <c r="A319" i="6"/>
  <c r="B321" i="5"/>
  <c r="A320" i="5"/>
  <c r="A320" i="4"/>
  <c r="B321" i="4"/>
  <c r="B322" i="3"/>
  <c r="A321" i="3"/>
  <c r="B387" i="2"/>
  <c r="A386" i="2"/>
  <c r="B321" i="6" l="1"/>
  <c r="A320" i="6"/>
  <c r="B322" i="5"/>
  <c r="A321" i="5"/>
  <c r="A321" i="4"/>
  <c r="B322" i="4"/>
  <c r="A322" i="3"/>
  <c r="B327" i="3"/>
  <c r="B388" i="2"/>
  <c r="A387" i="2"/>
  <c r="B322" i="6" l="1"/>
  <c r="A321" i="6"/>
  <c r="A322" i="5"/>
  <c r="B327" i="5"/>
  <c r="A322" i="4"/>
  <c r="B327" i="4"/>
  <c r="A327" i="3"/>
  <c r="B328" i="3"/>
  <c r="B389" i="2"/>
  <c r="A388" i="2"/>
  <c r="B327" i="6" l="1"/>
  <c r="A322" i="6"/>
  <c r="A327" i="5"/>
  <c r="B328" i="5"/>
  <c r="A327" i="4"/>
  <c r="B328" i="4"/>
  <c r="A328" i="3"/>
  <c r="B329" i="3"/>
  <c r="B390" i="2"/>
  <c r="A389" i="2"/>
  <c r="B328" i="6" l="1"/>
  <c r="A327" i="6"/>
  <c r="A328" i="5"/>
  <c r="B329" i="5"/>
  <c r="A328" i="4"/>
  <c r="B329" i="4"/>
  <c r="B330" i="3"/>
  <c r="A329" i="3"/>
  <c r="B391" i="2"/>
  <c r="A390" i="2"/>
  <c r="B329" i="6" l="1"/>
  <c r="A328" i="6"/>
  <c r="A329" i="5"/>
  <c r="B330" i="5"/>
  <c r="A329" i="4"/>
  <c r="B330" i="4"/>
  <c r="B331" i="3"/>
  <c r="A330" i="3"/>
  <c r="B396" i="2"/>
  <c r="A391" i="2"/>
  <c r="B330" i="6" l="1"/>
  <c r="A329" i="6"/>
  <c r="A330" i="5"/>
  <c r="B331" i="5"/>
  <c r="A330" i="4"/>
  <c r="B331" i="4"/>
  <c r="B332" i="3"/>
  <c r="A331" i="3"/>
  <c r="B397" i="2"/>
  <c r="A396" i="2"/>
  <c r="B331" i="6" l="1"/>
  <c r="A330" i="6"/>
  <c r="A331" i="5"/>
  <c r="B332" i="5"/>
  <c r="A331" i="4"/>
  <c r="B332" i="4"/>
  <c r="B333" i="3"/>
  <c r="A332" i="3"/>
  <c r="B398" i="2"/>
  <c r="A397" i="2"/>
  <c r="B332" i="6" l="1"/>
  <c r="A331" i="6"/>
  <c r="A332" i="5"/>
  <c r="B333" i="5"/>
  <c r="A332" i="4"/>
  <c r="B333" i="4"/>
  <c r="B334" i="3"/>
  <c r="A333" i="3"/>
  <c r="B399" i="2"/>
  <c r="A398" i="2"/>
  <c r="B333" i="6" l="1"/>
  <c r="A332" i="6"/>
  <c r="A333" i="5"/>
  <c r="B334" i="5"/>
  <c r="A333" i="4"/>
  <c r="B334" i="4"/>
  <c r="B335" i="3"/>
  <c r="A334" i="3"/>
  <c r="B400" i="2"/>
  <c r="A399" i="2"/>
  <c r="B334" i="6" l="1"/>
  <c r="A333" i="6"/>
  <c r="A334" i="5"/>
  <c r="B335" i="5"/>
  <c r="A334" i="4"/>
  <c r="B335" i="4"/>
  <c r="B336" i="3"/>
  <c r="A335" i="3"/>
  <c r="B401" i="2"/>
  <c r="A400" i="2"/>
  <c r="B335" i="6" l="1"/>
  <c r="A334" i="6"/>
  <c r="A335" i="5"/>
  <c r="B336" i="5"/>
  <c r="A335" i="4"/>
  <c r="B336" i="4"/>
  <c r="B337" i="3"/>
  <c r="A336" i="3"/>
  <c r="B402" i="2"/>
  <c r="A401" i="2"/>
  <c r="B336" i="6" l="1"/>
  <c r="A335" i="6"/>
  <c r="A336" i="5"/>
  <c r="B337" i="5"/>
  <c r="A336" i="4"/>
  <c r="B337" i="4"/>
  <c r="A337" i="3"/>
  <c r="B338" i="3"/>
  <c r="B403" i="2"/>
  <c r="A402" i="2"/>
  <c r="B337" i="6" l="1"/>
  <c r="A336" i="6"/>
  <c r="A337" i="5"/>
  <c r="B338" i="5"/>
  <c r="A337" i="4"/>
  <c r="B338" i="4"/>
  <c r="B339" i="3"/>
  <c r="A338" i="3"/>
  <c r="B404" i="2"/>
  <c r="A403" i="2"/>
  <c r="B338" i="6" l="1"/>
  <c r="A337" i="6"/>
  <c r="A338" i="5"/>
  <c r="B339" i="5"/>
  <c r="A338" i="4"/>
  <c r="B339" i="4"/>
  <c r="B340" i="3"/>
  <c r="A339" i="3"/>
  <c r="B405" i="2"/>
  <c r="A404" i="2"/>
  <c r="B339" i="6" l="1"/>
  <c r="A338" i="6"/>
  <c r="A339" i="5"/>
  <c r="B340" i="5"/>
  <c r="A339" i="4"/>
  <c r="B340" i="4"/>
  <c r="B341" i="3"/>
  <c r="A340" i="3"/>
  <c r="B406" i="2"/>
  <c r="A405" i="2"/>
  <c r="B340" i="6" l="1"/>
  <c r="A339" i="6"/>
  <c r="A340" i="5"/>
  <c r="B341" i="5"/>
  <c r="A340" i="4"/>
  <c r="B341" i="4"/>
  <c r="B342" i="3"/>
  <c r="A341" i="3"/>
  <c r="B407" i="2"/>
  <c r="A406" i="2"/>
  <c r="B341" i="6" l="1"/>
  <c r="A340" i="6"/>
  <c r="A341" i="5"/>
  <c r="B342" i="5"/>
  <c r="A341" i="4"/>
  <c r="B342" i="4"/>
  <c r="B343" i="3"/>
  <c r="A342" i="3"/>
  <c r="B408" i="2"/>
  <c r="A407" i="2"/>
  <c r="B342" i="6" l="1"/>
  <c r="A341" i="6"/>
  <c r="A342" i="5"/>
  <c r="B343" i="5"/>
  <c r="A342" i="4"/>
  <c r="B343" i="4"/>
  <c r="B344" i="3"/>
  <c r="A343" i="3"/>
  <c r="B409" i="2"/>
  <c r="A408" i="2"/>
  <c r="B343" i="6" l="1"/>
  <c r="A342" i="6"/>
  <c r="A343" i="5"/>
  <c r="B344" i="5"/>
  <c r="A343" i="4"/>
  <c r="B344" i="4"/>
  <c r="B345" i="3"/>
  <c r="A344" i="3"/>
  <c r="B410" i="2"/>
  <c r="A409" i="2"/>
  <c r="B344" i="6" l="1"/>
  <c r="A343" i="6"/>
  <c r="A344" i="5"/>
  <c r="B345" i="5"/>
  <c r="A344" i="4"/>
  <c r="B345" i="4"/>
  <c r="B346" i="3"/>
  <c r="A345" i="3"/>
  <c r="B411" i="2"/>
  <c r="A410" i="2"/>
  <c r="B345" i="6" l="1"/>
  <c r="A344" i="6"/>
  <c r="A345" i="5"/>
  <c r="B346" i="5"/>
  <c r="A345" i="4"/>
  <c r="B346" i="4"/>
  <c r="A346" i="3"/>
  <c r="B347" i="3"/>
  <c r="B412" i="2"/>
  <c r="A411" i="2"/>
  <c r="B346" i="6" l="1"/>
  <c r="A345" i="6"/>
  <c r="A346" i="5"/>
  <c r="B347" i="5"/>
  <c r="A346" i="4"/>
  <c r="B347" i="4"/>
  <c r="B348" i="3"/>
  <c r="A347" i="3"/>
  <c r="B413" i="2"/>
  <c r="A412" i="2"/>
  <c r="B347" i="6" l="1"/>
  <c r="A346" i="6"/>
  <c r="A347" i="5"/>
  <c r="B348" i="5"/>
  <c r="A347" i="4"/>
  <c r="B348" i="4"/>
  <c r="B349" i="3"/>
  <c r="A348" i="3"/>
  <c r="B414" i="2"/>
  <c r="A413" i="2"/>
  <c r="B348" i="6" l="1"/>
  <c r="A347" i="6"/>
  <c r="A348" i="5"/>
  <c r="B349" i="5"/>
  <c r="A348" i="4"/>
  <c r="B349" i="4"/>
  <c r="A349" i="3"/>
  <c r="B350" i="3"/>
  <c r="B415" i="2"/>
  <c r="A414" i="2"/>
  <c r="B349" i="6" l="1"/>
  <c r="A348" i="6"/>
  <c r="A349" i="5"/>
  <c r="B350" i="5"/>
  <c r="A349" i="4"/>
  <c r="B350" i="4"/>
  <c r="A350" i="3"/>
  <c r="B351" i="3"/>
  <c r="B416" i="2"/>
  <c r="A415" i="2"/>
  <c r="B350" i="6" l="1"/>
  <c r="A349" i="6"/>
  <c r="A350" i="5"/>
  <c r="B351" i="5"/>
  <c r="A350" i="4"/>
  <c r="B351" i="4"/>
  <c r="B352" i="3"/>
  <c r="A351" i="3"/>
  <c r="B417" i="2"/>
  <c r="A416" i="2"/>
  <c r="B351" i="6" l="1"/>
  <c r="A350" i="6"/>
  <c r="A351" i="5"/>
  <c r="B352" i="5"/>
  <c r="A351" i="4"/>
  <c r="B352" i="4"/>
  <c r="B353" i="3"/>
  <c r="A352" i="3"/>
  <c r="B418" i="2"/>
  <c r="A417" i="2"/>
  <c r="B352" i="6" l="1"/>
  <c r="A351" i="6"/>
  <c r="A352" i="5"/>
  <c r="B353" i="5"/>
  <c r="A352" i="4"/>
  <c r="B353" i="4"/>
  <c r="B354" i="3"/>
  <c r="A353" i="3"/>
  <c r="B419" i="2"/>
  <c r="A418" i="2"/>
  <c r="B353" i="6" l="1"/>
  <c r="A352" i="6"/>
  <c r="A353" i="5"/>
  <c r="B354" i="5"/>
  <c r="A353" i="4"/>
  <c r="B354" i="4"/>
  <c r="B355" i="3"/>
  <c r="A354" i="3"/>
  <c r="B420" i="2"/>
  <c r="A419" i="2"/>
  <c r="B354" i="6" l="1"/>
  <c r="A353" i="6"/>
  <c r="A354" i="5"/>
  <c r="B355" i="5"/>
  <c r="A354" i="4"/>
  <c r="B355" i="4"/>
  <c r="B356" i="3"/>
  <c r="A355" i="3"/>
  <c r="B421" i="2"/>
  <c r="A420" i="2"/>
  <c r="B355" i="6" l="1"/>
  <c r="A354" i="6"/>
  <c r="A355" i="5"/>
  <c r="B356" i="5"/>
  <c r="A355" i="4"/>
  <c r="B356" i="4"/>
  <c r="B357" i="3"/>
  <c r="A356" i="3"/>
  <c r="B422" i="2"/>
  <c r="A421" i="2"/>
  <c r="B356" i="6" l="1"/>
  <c r="A355" i="6"/>
  <c r="A356" i="5"/>
  <c r="B357" i="5"/>
  <c r="A356" i="4"/>
  <c r="B357" i="4"/>
  <c r="B362" i="3"/>
  <c r="A357" i="3"/>
  <c r="B423" i="2"/>
  <c r="A422" i="2"/>
  <c r="B357" i="6" l="1"/>
  <c r="A356" i="6"/>
  <c r="A357" i="5"/>
  <c r="B362" i="5"/>
  <c r="A357" i="4"/>
  <c r="B362" i="4"/>
  <c r="B363" i="3"/>
  <c r="A362" i="3"/>
  <c r="B424" i="2"/>
  <c r="A423" i="2"/>
  <c r="B362" i="6" l="1"/>
  <c r="A357" i="6"/>
  <c r="B363" i="5"/>
  <c r="A362" i="5"/>
  <c r="A362" i="4"/>
  <c r="B363" i="4"/>
  <c r="B364" i="3"/>
  <c r="A363" i="3"/>
  <c r="B425" i="2"/>
  <c r="A424" i="2"/>
  <c r="A362" i="6" l="1"/>
  <c r="B363" i="6"/>
  <c r="B364" i="5"/>
  <c r="A363" i="5"/>
  <c r="A363" i="4"/>
  <c r="B364" i="4"/>
  <c r="B365" i="3"/>
  <c r="A364" i="3"/>
  <c r="B426" i="2"/>
  <c r="A426" i="2" s="1"/>
  <c r="A425" i="2"/>
  <c r="B364" i="6" l="1"/>
  <c r="A363" i="6"/>
  <c r="B365" i="5"/>
  <c r="A364" i="5"/>
  <c r="B365" i="4"/>
  <c r="A364" i="4"/>
  <c r="B366" i="3"/>
  <c r="A365" i="3"/>
  <c r="B365" i="6" l="1"/>
  <c r="A364" i="6"/>
  <c r="B366" i="5"/>
  <c r="A365" i="5"/>
  <c r="A365" i="4"/>
  <c r="B366" i="4"/>
  <c r="B367" i="3"/>
  <c r="A366" i="3"/>
  <c r="B366" i="6" l="1"/>
  <c r="A365" i="6"/>
  <c r="B367" i="5"/>
  <c r="A366" i="5"/>
  <c r="A366" i="4"/>
  <c r="B367" i="4"/>
  <c r="B368" i="3"/>
  <c r="A367" i="3"/>
  <c r="B367" i="6" l="1"/>
  <c r="A366" i="6"/>
  <c r="B368" i="5"/>
  <c r="A367" i="5"/>
  <c r="A367" i="4"/>
  <c r="B368" i="4"/>
  <c r="B369" i="3"/>
  <c r="A368" i="3"/>
  <c r="B368" i="6" l="1"/>
  <c r="A367" i="6"/>
  <c r="B369" i="5"/>
  <c r="A368" i="5"/>
  <c r="A368" i="4"/>
  <c r="B369" i="4"/>
  <c r="B370" i="3"/>
  <c r="A369" i="3"/>
  <c r="B369" i="6" l="1"/>
  <c r="A368" i="6"/>
  <c r="B370" i="5"/>
  <c r="A369" i="5"/>
  <c r="A369" i="4"/>
  <c r="B370" i="4"/>
  <c r="B371" i="3"/>
  <c r="A370" i="3"/>
  <c r="B370" i="6" l="1"/>
  <c r="A369" i="6"/>
  <c r="B371" i="5"/>
  <c r="A370" i="5"/>
  <c r="B371" i="4"/>
  <c r="A370" i="4"/>
  <c r="B372" i="3"/>
  <c r="A371" i="3"/>
  <c r="B371" i="6" l="1"/>
  <c r="A370" i="6"/>
  <c r="B372" i="5"/>
  <c r="A371" i="5"/>
  <c r="A371" i="4"/>
  <c r="B372" i="4"/>
  <c r="B373" i="3"/>
  <c r="A372" i="3"/>
  <c r="B372" i="6" l="1"/>
  <c r="A371" i="6"/>
  <c r="B373" i="5"/>
  <c r="A372" i="5"/>
  <c r="A372" i="4"/>
  <c r="B373" i="4"/>
  <c r="B374" i="3"/>
  <c r="A373" i="3"/>
  <c r="B373" i="6" l="1"/>
  <c r="A372" i="6"/>
  <c r="B374" i="5"/>
  <c r="A373" i="5"/>
  <c r="A373" i="4"/>
  <c r="B374" i="4"/>
  <c r="B375" i="3"/>
  <c r="A374" i="3"/>
  <c r="B374" i="6" l="1"/>
  <c r="A373" i="6"/>
  <c r="B375" i="5"/>
  <c r="A374" i="5"/>
  <c r="A374" i="4"/>
  <c r="B375" i="4"/>
  <c r="B376" i="3"/>
  <c r="A375" i="3"/>
  <c r="B375" i="6" l="1"/>
  <c r="A374" i="6"/>
  <c r="B376" i="5"/>
  <c r="A375" i="5"/>
  <c r="A375" i="4"/>
  <c r="B376" i="4"/>
  <c r="B377" i="3"/>
  <c r="A376" i="3"/>
  <c r="B376" i="6" l="1"/>
  <c r="A375" i="6"/>
  <c r="B377" i="5"/>
  <c r="A376" i="5"/>
  <c r="B377" i="4"/>
  <c r="A376" i="4"/>
  <c r="B378" i="3"/>
  <c r="A377" i="3"/>
  <c r="B377" i="6" l="1"/>
  <c r="A376" i="6"/>
  <c r="B378" i="5"/>
  <c r="A377" i="5"/>
  <c r="A377" i="4"/>
  <c r="B378" i="4"/>
  <c r="B379" i="3"/>
  <c r="A378" i="3"/>
  <c r="B378" i="6" l="1"/>
  <c r="A377" i="6"/>
  <c r="B379" i="5"/>
  <c r="A378" i="5"/>
  <c r="A378" i="4"/>
  <c r="B379" i="4"/>
  <c r="B380" i="3"/>
  <c r="A379" i="3"/>
  <c r="B379" i="6" l="1"/>
  <c r="A378" i="6"/>
  <c r="B380" i="5"/>
  <c r="A379" i="5"/>
  <c r="A379" i="4"/>
  <c r="B380" i="4"/>
  <c r="B381" i="3"/>
  <c r="A380" i="3"/>
  <c r="B380" i="6" l="1"/>
  <c r="A379" i="6"/>
  <c r="B381" i="5"/>
  <c r="A380" i="5"/>
  <c r="A380" i="4"/>
  <c r="B381" i="4"/>
  <c r="B382" i="3"/>
  <c r="A381" i="3"/>
  <c r="B381" i="6" l="1"/>
  <c r="A380" i="6"/>
  <c r="B382" i="5"/>
  <c r="A381" i="5"/>
  <c r="A381" i="4"/>
  <c r="B382" i="4"/>
  <c r="B383" i="3"/>
  <c r="A382" i="3"/>
  <c r="B382" i="6" l="1"/>
  <c r="A381" i="6"/>
  <c r="B383" i="5"/>
  <c r="A382" i="5"/>
  <c r="B383" i="4"/>
  <c r="A382" i="4"/>
  <c r="B384" i="3"/>
  <c r="A383" i="3"/>
  <c r="B383" i="6" l="1"/>
  <c r="A382" i="6"/>
  <c r="B384" i="5"/>
  <c r="A383" i="5"/>
  <c r="A383" i="4"/>
  <c r="B384" i="4"/>
  <c r="B385" i="3"/>
  <c r="A384" i="3"/>
  <c r="B384" i="6" l="1"/>
  <c r="A383" i="6"/>
  <c r="B385" i="5"/>
  <c r="A384" i="5"/>
  <c r="A384" i="4"/>
  <c r="B385" i="4"/>
  <c r="B386" i="3"/>
  <c r="A385" i="3"/>
  <c r="B385" i="6" l="1"/>
  <c r="A384" i="6"/>
  <c r="B386" i="5"/>
  <c r="A385" i="5"/>
  <c r="A385" i="4"/>
  <c r="B386" i="4"/>
  <c r="B387" i="3"/>
  <c r="A386" i="3"/>
  <c r="B386" i="6" l="1"/>
  <c r="A385" i="6"/>
  <c r="B387" i="5"/>
  <c r="A386" i="5"/>
  <c r="A386" i="4"/>
  <c r="B387" i="4"/>
  <c r="B388" i="3"/>
  <c r="A387" i="3"/>
  <c r="B387" i="6" l="1"/>
  <c r="A386" i="6"/>
  <c r="B388" i="5"/>
  <c r="A387" i="5"/>
  <c r="A387" i="4"/>
  <c r="B388" i="4"/>
  <c r="B389" i="3"/>
  <c r="A388" i="3"/>
  <c r="B388" i="6" l="1"/>
  <c r="A387" i="6"/>
  <c r="B389" i="5"/>
  <c r="A388" i="5"/>
  <c r="B389" i="4"/>
  <c r="A388" i="4"/>
  <c r="B390" i="3"/>
  <c r="A389" i="3"/>
  <c r="B389" i="6" l="1"/>
  <c r="A388" i="6"/>
  <c r="B390" i="5"/>
  <c r="A389" i="5"/>
  <c r="A389" i="4"/>
  <c r="B390" i="4"/>
  <c r="B391" i="3"/>
  <c r="A390" i="3"/>
  <c r="B390" i="6" l="1"/>
  <c r="A389" i="6"/>
  <c r="B391" i="5"/>
  <c r="A390" i="5"/>
  <c r="A390" i="4"/>
  <c r="B391" i="4"/>
  <c r="B396" i="3"/>
  <c r="A391" i="3"/>
  <c r="B391" i="6" l="1"/>
  <c r="A390" i="6"/>
  <c r="B396" i="5"/>
  <c r="A391" i="5"/>
  <c r="B396" i="4"/>
  <c r="A391" i="4"/>
  <c r="B397" i="3"/>
  <c r="A396" i="3"/>
  <c r="B396" i="6" l="1"/>
  <c r="A391" i="6"/>
  <c r="B397" i="5"/>
  <c r="A396" i="5"/>
  <c r="B397" i="4"/>
  <c r="A396" i="4"/>
  <c r="B398" i="3"/>
  <c r="A397" i="3"/>
  <c r="B397" i="6" l="1"/>
  <c r="A396" i="6"/>
  <c r="B398" i="5"/>
  <c r="A397" i="5"/>
  <c r="B398" i="4"/>
  <c r="A397" i="4"/>
  <c r="B399" i="3"/>
  <c r="A398" i="3"/>
  <c r="B398" i="6" l="1"/>
  <c r="A397" i="6"/>
  <c r="B399" i="5"/>
  <c r="A398" i="5"/>
  <c r="B399" i="4"/>
  <c r="A398" i="4"/>
  <c r="B400" i="3"/>
  <c r="A399" i="3"/>
  <c r="B399" i="6" l="1"/>
  <c r="A398" i="6"/>
  <c r="B400" i="5"/>
  <c r="A399" i="5"/>
  <c r="B400" i="4"/>
  <c r="A399" i="4"/>
  <c r="B401" i="3"/>
  <c r="A400" i="3"/>
  <c r="B400" i="6" l="1"/>
  <c r="A399" i="6"/>
  <c r="B401" i="5"/>
  <c r="A400" i="5"/>
  <c r="B401" i="4"/>
  <c r="A400" i="4"/>
  <c r="B402" i="3"/>
  <c r="A401" i="3"/>
  <c r="B401" i="6" l="1"/>
  <c r="A400" i="6"/>
  <c r="B402" i="5"/>
  <c r="A401" i="5"/>
  <c r="B402" i="4"/>
  <c r="A401" i="4"/>
  <c r="B403" i="3"/>
  <c r="A402" i="3"/>
  <c r="B402" i="6" l="1"/>
  <c r="A401" i="6"/>
  <c r="B403" i="5"/>
  <c r="A402" i="5"/>
  <c r="B403" i="4"/>
  <c r="A402" i="4"/>
  <c r="B404" i="3"/>
  <c r="A403" i="3"/>
  <c r="B403" i="6" l="1"/>
  <c r="A402" i="6"/>
  <c r="B404" i="5"/>
  <c r="A403" i="5"/>
  <c r="B404" i="4"/>
  <c r="A403" i="4"/>
  <c r="B405" i="3"/>
  <c r="A404" i="3"/>
  <c r="B404" i="6" l="1"/>
  <c r="A403" i="6"/>
  <c r="B405" i="5"/>
  <c r="A404" i="5"/>
  <c r="B405" i="4"/>
  <c r="A404" i="4"/>
  <c r="B406" i="3"/>
  <c r="A405" i="3"/>
  <c r="B405" i="6" l="1"/>
  <c r="A404" i="6"/>
  <c r="B406" i="5"/>
  <c r="A405" i="5"/>
  <c r="B406" i="4"/>
  <c r="A405" i="4"/>
  <c r="B407" i="3"/>
  <c r="A406" i="3"/>
  <c r="B406" i="6" l="1"/>
  <c r="A405" i="6"/>
  <c r="B407" i="5"/>
  <c r="A406" i="5"/>
  <c r="B407" i="4"/>
  <c r="A406" i="4"/>
  <c r="B408" i="3"/>
  <c r="A407" i="3"/>
  <c r="B407" i="6" l="1"/>
  <c r="A406" i="6"/>
  <c r="B408" i="5"/>
  <c r="A407" i="5"/>
  <c r="B408" i="4"/>
  <c r="A407" i="4"/>
  <c r="B409" i="3"/>
  <c r="A408" i="3"/>
  <c r="B408" i="6" l="1"/>
  <c r="A407" i="6"/>
  <c r="B409" i="5"/>
  <c r="A408" i="5"/>
  <c r="B409" i="4"/>
  <c r="A408" i="4"/>
  <c r="B410" i="3"/>
  <c r="A409" i="3"/>
  <c r="B409" i="6" l="1"/>
  <c r="A408" i="6"/>
  <c r="B410" i="5"/>
  <c r="A409" i="5"/>
  <c r="B410" i="4"/>
  <c r="A409" i="4"/>
  <c r="B411" i="3"/>
  <c r="A410" i="3"/>
  <c r="B410" i="6" l="1"/>
  <c r="A409" i="6"/>
  <c r="B411" i="5"/>
  <c r="A410" i="5"/>
  <c r="B411" i="4"/>
  <c r="A410" i="4"/>
  <c r="B412" i="3"/>
  <c r="A411" i="3"/>
  <c r="B411" i="6" l="1"/>
  <c r="A410" i="6"/>
  <c r="B412" i="5"/>
  <c r="A411" i="5"/>
  <c r="B412" i="4"/>
  <c r="A411" i="4"/>
  <c r="B413" i="3"/>
  <c r="A412" i="3"/>
  <c r="B412" i="6" l="1"/>
  <c r="A411" i="6"/>
  <c r="B413" i="5"/>
  <c r="A412" i="5"/>
  <c r="B413" i="4"/>
  <c r="A412" i="4"/>
  <c r="B414" i="3"/>
  <c r="A413" i="3"/>
  <c r="B413" i="6" l="1"/>
  <c r="A412" i="6"/>
  <c r="B414" i="5"/>
  <c r="A413" i="5"/>
  <c r="B414" i="4"/>
  <c r="A413" i="4"/>
  <c r="B415" i="3"/>
  <c r="A414" i="3"/>
  <c r="B414" i="6" l="1"/>
  <c r="A413" i="6"/>
  <c r="B415" i="5"/>
  <c r="A414" i="5"/>
  <c r="B415" i="4"/>
  <c r="A414" i="4"/>
  <c r="B416" i="3"/>
  <c r="A415" i="3"/>
  <c r="B415" i="6" l="1"/>
  <c r="A414" i="6"/>
  <c r="B416" i="5"/>
  <c r="A415" i="5"/>
  <c r="B416" i="4"/>
  <c r="A415" i="4"/>
  <c r="B417" i="3"/>
  <c r="A416" i="3"/>
  <c r="B416" i="6" l="1"/>
  <c r="A415" i="6"/>
  <c r="B417" i="5"/>
  <c r="A416" i="5"/>
  <c r="B417" i="4"/>
  <c r="A416" i="4"/>
  <c r="B418" i="3"/>
  <c r="A417" i="3"/>
  <c r="B417" i="6" l="1"/>
  <c r="A416" i="6"/>
  <c r="B418" i="5"/>
  <c r="A417" i="5"/>
  <c r="B418" i="4"/>
  <c r="A417" i="4"/>
  <c r="B419" i="3"/>
  <c r="A418" i="3"/>
  <c r="B418" i="6" l="1"/>
  <c r="A417" i="6"/>
  <c r="B419" i="5"/>
  <c r="A418" i="5"/>
  <c r="B419" i="4"/>
  <c r="A418" i="4"/>
  <c r="B420" i="3"/>
  <c r="A419" i="3"/>
  <c r="B419" i="6" l="1"/>
  <c r="A418" i="6"/>
  <c r="B420" i="5"/>
  <c r="A419" i="5"/>
  <c r="B420" i="4"/>
  <c r="A419" i="4"/>
  <c r="B421" i="3"/>
  <c r="A420" i="3"/>
  <c r="B420" i="6" l="1"/>
  <c r="A419" i="6"/>
  <c r="B421" i="5"/>
  <c r="A420" i="5"/>
  <c r="B421" i="4"/>
  <c r="A420" i="4"/>
  <c r="B422" i="3"/>
  <c r="A421" i="3"/>
  <c r="B421" i="6" l="1"/>
  <c r="A420" i="6"/>
  <c r="B422" i="5"/>
  <c r="A421" i="5"/>
  <c r="B422" i="4"/>
  <c r="A421" i="4"/>
  <c r="B423" i="3"/>
  <c r="A422" i="3"/>
  <c r="B422" i="6" l="1"/>
  <c r="A421" i="6"/>
  <c r="B423" i="5"/>
  <c r="A422" i="5"/>
  <c r="B423" i="4"/>
  <c r="A422" i="4"/>
  <c r="B424" i="3"/>
  <c r="A423" i="3"/>
  <c r="B423" i="6" l="1"/>
  <c r="A422" i="6"/>
  <c r="B424" i="5"/>
  <c r="A423" i="5"/>
  <c r="B424" i="4"/>
  <c r="A423" i="4"/>
  <c r="B425" i="3"/>
  <c r="A424" i="3"/>
  <c r="B424" i="6" l="1"/>
  <c r="A423" i="6"/>
  <c r="B425" i="5"/>
  <c r="A424" i="5"/>
  <c r="B425" i="4"/>
  <c r="A424" i="4"/>
  <c r="B426" i="3"/>
  <c r="A426" i="3" s="1"/>
  <c r="A425" i="3"/>
  <c r="B425" i="6" l="1"/>
  <c r="A424" i="6"/>
  <c r="B426" i="5"/>
  <c r="A426" i="5" s="1"/>
  <c r="A425" i="5"/>
  <c r="B426" i="4"/>
  <c r="A426" i="4" s="1"/>
  <c r="A425" i="4"/>
  <c r="B426" i="6" l="1"/>
  <c r="A426" i="6" s="1"/>
  <c r="A425" i="6"/>
</calcChain>
</file>

<file path=xl/sharedStrings.xml><?xml version="1.0" encoding="utf-8"?>
<sst xmlns="http://schemas.openxmlformats.org/spreadsheetml/2006/main" count="4826" uniqueCount="109">
  <si>
    <t>■ 생곡음식물자원화시설 소화조 운영 데이터 현황</t>
    <phoneticPr fontId="3" type="noConversion"/>
  </si>
  <si>
    <t>● 병합, 서식, 수식사용 등 절대금지!!!!!(단순수기입력 요함), 복사 붙여넣기(값) 만으로 입력요함</t>
    <phoneticPr fontId="3" type="noConversion"/>
  </si>
  <si>
    <t>★ 소화온도, pH, 유기산, 알킬리도는 #1~8(소화조 각 지 또는 조별)별로 개별 작성</t>
    <phoneticPr fontId="3" type="noConversion"/>
  </si>
  <si>
    <t>★ 제목별 회색음양 표시된 셀값 기준은 자동 계산식이 적용된 셀임으로 별도 작성 불필요</t>
    <phoneticPr fontId="3" type="noConversion"/>
  </si>
  <si>
    <t>구 분</t>
    <phoneticPr fontId="3" type="noConversion"/>
  </si>
  <si>
    <t>소화온도(℃)</t>
    <phoneticPr fontId="3" type="noConversion"/>
  </si>
  <si>
    <t>소화조(pH)</t>
    <phoneticPr fontId="3" type="noConversion"/>
  </si>
  <si>
    <t>유기산</t>
    <phoneticPr fontId="3" type="noConversion"/>
  </si>
  <si>
    <t>알칼리도</t>
    <phoneticPr fontId="3" type="noConversion"/>
  </si>
  <si>
    <t>체류일수
(일)</t>
    <phoneticPr fontId="3" type="noConversion"/>
  </si>
  <si>
    <t>소화조 투입량
( ㎥/일)</t>
    <phoneticPr fontId="3" type="noConversion"/>
  </si>
  <si>
    <r>
      <t>TS</t>
    </r>
    <r>
      <rPr>
        <b/>
        <vertAlign val="subscript"/>
        <sz val="11"/>
        <rFont val="맑은 고딕"/>
        <family val="3"/>
        <charset val="129"/>
        <scheme val="minor"/>
      </rPr>
      <t>1</t>
    </r>
    <r>
      <rPr>
        <b/>
        <sz val="11"/>
        <rFont val="맑은 고딕"/>
        <family val="3"/>
        <charset val="129"/>
        <scheme val="minor"/>
      </rPr>
      <t xml:space="preserve"> 농도
(%)</t>
    </r>
    <phoneticPr fontId="3" type="noConversion"/>
  </si>
  <si>
    <r>
      <t>VS</t>
    </r>
    <r>
      <rPr>
        <b/>
        <vertAlign val="subscript"/>
        <sz val="11"/>
        <rFont val="맑은 고딕"/>
        <family val="3"/>
        <charset val="129"/>
        <scheme val="minor"/>
      </rPr>
      <t>1</t>
    </r>
    <r>
      <rPr>
        <b/>
        <sz val="11"/>
        <rFont val="맑은 고딕"/>
        <family val="3"/>
        <charset val="129"/>
        <scheme val="minor"/>
      </rPr>
      <t xml:space="preserve"> 농도
(%)</t>
    </r>
    <phoneticPr fontId="3" type="noConversion"/>
  </si>
  <si>
    <r>
      <t>VS</t>
    </r>
    <r>
      <rPr>
        <b/>
        <vertAlign val="subscript"/>
        <sz val="11"/>
        <rFont val="맑은 고딕"/>
        <family val="3"/>
        <charset val="129"/>
        <scheme val="minor"/>
      </rPr>
      <t>1</t>
    </r>
    <r>
      <rPr>
        <b/>
        <sz val="11"/>
        <rFont val="맑은 고딕"/>
        <family val="3"/>
        <charset val="129"/>
        <scheme val="minor"/>
      </rPr>
      <t>/TS</t>
    </r>
    <r>
      <rPr>
        <b/>
        <vertAlign val="subscript"/>
        <sz val="11"/>
        <rFont val="맑은 고딕"/>
        <family val="3"/>
        <charset val="129"/>
        <scheme val="minor"/>
      </rPr>
      <t xml:space="preserve">1
</t>
    </r>
    <r>
      <rPr>
        <b/>
        <sz val="11"/>
        <rFont val="맑은 고딕"/>
        <family val="3"/>
        <charset val="129"/>
        <scheme val="minor"/>
      </rPr>
      <t>(성분비율)</t>
    </r>
    <phoneticPr fontId="3" type="noConversion"/>
  </si>
  <si>
    <r>
      <t>FS</t>
    </r>
    <r>
      <rPr>
        <b/>
        <vertAlign val="subscript"/>
        <sz val="11"/>
        <rFont val="맑은 고딕"/>
        <family val="3"/>
        <charset val="129"/>
        <scheme val="minor"/>
      </rPr>
      <t>1</t>
    </r>
    <r>
      <rPr>
        <b/>
        <sz val="11"/>
        <rFont val="맑은 고딕"/>
        <family val="3"/>
        <charset val="129"/>
        <scheme val="minor"/>
      </rPr>
      <t>/TS</t>
    </r>
    <r>
      <rPr>
        <b/>
        <vertAlign val="subscript"/>
        <sz val="11"/>
        <rFont val="맑은 고딕"/>
        <family val="3"/>
        <charset val="129"/>
        <scheme val="minor"/>
      </rPr>
      <t xml:space="preserve">1
</t>
    </r>
    <r>
      <rPr>
        <b/>
        <sz val="11"/>
        <rFont val="맑은 고딕"/>
        <family val="3"/>
        <charset val="129"/>
        <scheme val="minor"/>
      </rPr>
      <t>(성분비율)</t>
    </r>
    <phoneticPr fontId="3" type="noConversion"/>
  </si>
  <si>
    <t>소화조 유출량
( ㎥/일)</t>
    <phoneticPr fontId="3" type="noConversion"/>
  </si>
  <si>
    <r>
      <t>TS</t>
    </r>
    <r>
      <rPr>
        <b/>
        <vertAlign val="subscript"/>
        <sz val="11"/>
        <rFont val="맑은 고딕"/>
        <family val="3"/>
        <charset val="129"/>
        <scheme val="minor"/>
      </rPr>
      <t>2</t>
    </r>
    <r>
      <rPr>
        <b/>
        <sz val="11"/>
        <rFont val="맑은 고딕"/>
        <family val="3"/>
        <charset val="129"/>
        <scheme val="minor"/>
      </rPr>
      <t xml:space="preserve"> 농도
(%)</t>
    </r>
    <phoneticPr fontId="3" type="noConversion"/>
  </si>
  <si>
    <r>
      <t>VS</t>
    </r>
    <r>
      <rPr>
        <b/>
        <vertAlign val="subscript"/>
        <sz val="11"/>
        <rFont val="맑은 고딕"/>
        <family val="3"/>
        <charset val="129"/>
        <scheme val="minor"/>
      </rPr>
      <t>2</t>
    </r>
    <r>
      <rPr>
        <b/>
        <sz val="11"/>
        <rFont val="맑은 고딕"/>
        <family val="3"/>
        <charset val="129"/>
        <scheme val="minor"/>
      </rPr>
      <t xml:space="preserve"> 농도
(%)</t>
    </r>
    <phoneticPr fontId="3" type="noConversion"/>
  </si>
  <si>
    <r>
      <t>VS</t>
    </r>
    <r>
      <rPr>
        <b/>
        <vertAlign val="subscript"/>
        <sz val="11"/>
        <rFont val="맑은 고딕"/>
        <family val="3"/>
        <charset val="129"/>
        <scheme val="minor"/>
      </rPr>
      <t>2</t>
    </r>
    <r>
      <rPr>
        <b/>
        <sz val="11"/>
        <rFont val="맑은 고딕"/>
        <family val="3"/>
        <charset val="129"/>
        <scheme val="minor"/>
      </rPr>
      <t>/TS</t>
    </r>
    <r>
      <rPr>
        <b/>
        <vertAlign val="subscript"/>
        <sz val="11"/>
        <rFont val="맑은 고딕"/>
        <family val="3"/>
        <charset val="129"/>
        <scheme val="minor"/>
      </rPr>
      <t xml:space="preserve">2
</t>
    </r>
    <r>
      <rPr>
        <b/>
        <sz val="11"/>
        <rFont val="맑은 고딕"/>
        <family val="3"/>
        <charset val="129"/>
        <scheme val="minor"/>
      </rPr>
      <t>(성분비율)</t>
    </r>
    <phoneticPr fontId="3" type="noConversion"/>
  </si>
  <si>
    <r>
      <t>FS</t>
    </r>
    <r>
      <rPr>
        <b/>
        <vertAlign val="subscript"/>
        <sz val="11"/>
        <rFont val="맑은 고딕"/>
        <family val="3"/>
        <charset val="129"/>
        <scheme val="minor"/>
      </rPr>
      <t>2</t>
    </r>
    <r>
      <rPr>
        <b/>
        <sz val="11"/>
        <rFont val="맑은 고딕"/>
        <family val="3"/>
        <charset val="129"/>
        <scheme val="minor"/>
      </rPr>
      <t>/TS</t>
    </r>
    <r>
      <rPr>
        <b/>
        <vertAlign val="subscript"/>
        <sz val="11"/>
        <rFont val="맑은 고딕"/>
        <family val="3"/>
        <charset val="129"/>
        <scheme val="minor"/>
      </rPr>
      <t xml:space="preserve">2
</t>
    </r>
    <r>
      <rPr>
        <b/>
        <sz val="11"/>
        <rFont val="맑은 고딕"/>
        <family val="3"/>
        <charset val="129"/>
        <scheme val="minor"/>
      </rPr>
      <t>(성분비율)</t>
    </r>
    <phoneticPr fontId="3" type="noConversion"/>
  </si>
  <si>
    <t>소화효율
(%)</t>
    <phoneticPr fontId="3" type="noConversion"/>
  </si>
  <si>
    <t>찌꺼기
함수율
(%)</t>
    <phoneticPr fontId="3" type="noConversion"/>
  </si>
  <si>
    <t>소화가스 성상별 농도(% / 단, 황화수소 : ppm)</t>
    <phoneticPr fontId="3" type="noConversion"/>
  </si>
  <si>
    <t>음식물 투입량
( ㎥/일)</t>
    <phoneticPr fontId="3" type="noConversion"/>
  </si>
  <si>
    <t>소화가스 발생·사용량
(N㎥/일)</t>
    <phoneticPr fontId="3" type="noConversion"/>
  </si>
  <si>
    <t>보일러 사용량
(N㎥/일)</t>
    <phoneticPr fontId="3" type="noConversion"/>
  </si>
  <si>
    <t>잉여가스 소각 사용량
(N㎥/일)</t>
    <phoneticPr fontId="3" type="noConversion"/>
  </si>
  <si>
    <t>연소식 탈취 사용량
(N㎥/일)</t>
    <phoneticPr fontId="3" type="noConversion"/>
  </si>
  <si>
    <t>가스엔진발전 사용량
(N㎥/일)</t>
    <phoneticPr fontId="3" type="noConversion"/>
  </si>
  <si>
    <t>가스터빈발전 사용량
(N㎥/일)</t>
    <phoneticPr fontId="3" type="noConversion"/>
  </si>
  <si>
    <t>수영 도시가스 판매량
(N㎥/일)</t>
    <phoneticPr fontId="3" type="noConversion"/>
  </si>
  <si>
    <t>강변 연료전지 공급량
(N㎥/일)</t>
    <phoneticPr fontId="3" type="noConversion"/>
  </si>
  <si>
    <t>평균
(℃)</t>
    <phoneticPr fontId="3" type="noConversion"/>
  </si>
  <si>
    <t>#1</t>
    <phoneticPr fontId="3" type="noConversion"/>
  </si>
  <si>
    <t>#2</t>
    <phoneticPr fontId="3" type="noConversion"/>
  </si>
  <si>
    <t>#3</t>
  </si>
  <si>
    <t>#4</t>
  </si>
  <si>
    <t>#5</t>
  </si>
  <si>
    <t>#6</t>
  </si>
  <si>
    <t>#7</t>
  </si>
  <si>
    <t>#8</t>
    <phoneticPr fontId="3" type="noConversion"/>
  </si>
  <si>
    <t>평균
(pH)</t>
    <phoneticPr fontId="3" type="noConversion"/>
  </si>
  <si>
    <t>평균
(mg/L)</t>
    <phoneticPr fontId="3" type="noConversion"/>
  </si>
  <si>
    <t>평균
(mgCaCO3/L)</t>
    <phoneticPr fontId="3" type="noConversion"/>
  </si>
  <si>
    <r>
      <t>메탄
(CH</t>
    </r>
    <r>
      <rPr>
        <b/>
        <vertAlign val="subscript"/>
        <sz val="11"/>
        <color theme="1"/>
        <rFont val="맑은 고딕"/>
        <family val="3"/>
        <charset val="129"/>
        <scheme val="minor"/>
      </rPr>
      <t>4</t>
    </r>
    <r>
      <rPr>
        <b/>
        <sz val="11"/>
        <color theme="1"/>
        <rFont val="맑은 고딕"/>
        <family val="3"/>
        <charset val="129"/>
        <scheme val="minor"/>
      </rPr>
      <t>)</t>
    </r>
    <phoneticPr fontId="3" type="noConversion"/>
  </si>
  <si>
    <r>
      <t>이산화탄소
(CO</t>
    </r>
    <r>
      <rPr>
        <b/>
        <vertAlign val="subscript"/>
        <sz val="11"/>
        <color theme="1"/>
        <rFont val="맑은 고딕"/>
        <family val="3"/>
        <charset val="129"/>
        <scheme val="minor"/>
      </rPr>
      <t>2</t>
    </r>
    <r>
      <rPr>
        <b/>
        <sz val="11"/>
        <color theme="1"/>
        <rFont val="맑은 고딕"/>
        <family val="3"/>
        <charset val="129"/>
        <scheme val="minor"/>
      </rPr>
      <t>)</t>
    </r>
    <phoneticPr fontId="3" type="noConversion"/>
  </si>
  <si>
    <r>
      <t>황화수소
(H</t>
    </r>
    <r>
      <rPr>
        <b/>
        <vertAlign val="subscript"/>
        <sz val="11"/>
        <color theme="1"/>
        <rFont val="맑은 고딕"/>
        <family val="3"/>
        <charset val="129"/>
        <scheme val="minor"/>
      </rPr>
      <t>2</t>
    </r>
    <r>
      <rPr>
        <b/>
        <sz val="11"/>
        <color theme="1"/>
        <rFont val="맑은 고딕"/>
        <family val="3"/>
        <charset val="129"/>
        <scheme val="minor"/>
      </rPr>
      <t>S)</t>
    </r>
    <phoneticPr fontId="3" type="noConversion"/>
  </si>
  <si>
    <t>기타성분</t>
    <phoneticPr fontId="3" type="noConversion"/>
  </si>
  <si>
    <t>전체 최대값</t>
  </si>
  <si>
    <t>전체 최소값</t>
  </si>
  <si>
    <t>전체 평균</t>
    <phoneticPr fontId="3" type="noConversion"/>
  </si>
  <si>
    <t>총 합계(연누계)</t>
    <phoneticPr fontId="3" type="noConversion"/>
  </si>
  <si>
    <t>총 합계(일평균)</t>
    <phoneticPr fontId="3" type="noConversion"/>
  </si>
  <si>
    <t>월</t>
    <phoneticPr fontId="3" type="noConversion"/>
  </si>
  <si>
    <t>일자</t>
    <phoneticPr fontId="3" type="noConversion"/>
  </si>
  <si>
    <t>소화가스 성상별 농도(% / 단 황화수 : ppm)</t>
    <phoneticPr fontId="3" type="noConversion"/>
  </si>
  <si>
    <t/>
  </si>
  <si>
    <t>1 월 최대</t>
  </si>
  <si>
    <t>1 월 최소</t>
  </si>
  <si>
    <t>1 월 평균</t>
  </si>
  <si>
    <t>1 월 합계</t>
  </si>
  <si>
    <t>2 월 최대</t>
  </si>
  <si>
    <t>2 월 최소</t>
  </si>
  <si>
    <t>2 월 평균</t>
  </si>
  <si>
    <t>2 월 합계</t>
  </si>
  <si>
    <t>3 월 최대</t>
  </si>
  <si>
    <t>3 월 최소</t>
  </si>
  <si>
    <t>3 월 평균</t>
  </si>
  <si>
    <t>3 월 합계</t>
  </si>
  <si>
    <t>4 월 최대</t>
  </si>
  <si>
    <t>4 월 최소</t>
  </si>
  <si>
    <t>4 월 평균</t>
  </si>
  <si>
    <t>4 월 합계</t>
  </si>
  <si>
    <t>5 월 최대</t>
  </si>
  <si>
    <t>5 월 최소</t>
  </si>
  <si>
    <t>5 월 평균</t>
  </si>
  <si>
    <t>5 월 합계</t>
  </si>
  <si>
    <t>6 월 최대</t>
  </si>
  <si>
    <t>6 월 최소</t>
  </si>
  <si>
    <t>6 월 평균</t>
  </si>
  <si>
    <t>6 월 합계</t>
  </si>
  <si>
    <t>7 월 최대</t>
  </si>
  <si>
    <t>7 월 최소</t>
  </si>
  <si>
    <t>7 월 평균</t>
  </si>
  <si>
    <t>7 월 합계</t>
  </si>
  <si>
    <t>8 월 최대</t>
  </si>
  <si>
    <t>8 월 최소</t>
  </si>
  <si>
    <t>8 월 평균</t>
  </si>
  <si>
    <t>8 월 합계</t>
  </si>
  <si>
    <t>9 월 최대</t>
  </si>
  <si>
    <t>9 월 최소</t>
  </si>
  <si>
    <t>9 월 평균</t>
  </si>
  <si>
    <t>9 월 합계</t>
  </si>
  <si>
    <t>10 월 최대</t>
    <phoneticPr fontId="3" type="noConversion"/>
  </si>
  <si>
    <t>10 월 최소</t>
    <phoneticPr fontId="3" type="noConversion"/>
  </si>
  <si>
    <t>10 월 평균</t>
    <phoneticPr fontId="3" type="noConversion"/>
  </si>
  <si>
    <t>10 월 합계</t>
    <phoneticPr fontId="3" type="noConversion"/>
  </si>
  <si>
    <t>11 월 최대</t>
  </si>
  <si>
    <t>11 월 최소</t>
  </si>
  <si>
    <t>11 월 평균</t>
  </si>
  <si>
    <t>11 월 합계</t>
    <phoneticPr fontId="3" type="noConversion"/>
  </si>
  <si>
    <t>12 월 최대</t>
  </si>
  <si>
    <t>12 월 최소</t>
  </si>
  <si>
    <t>12 월 평균</t>
  </si>
  <si>
    <t>12 월 합계</t>
    <phoneticPr fontId="3" type="noConversion"/>
  </si>
  <si>
    <t>-</t>
    <phoneticPr fontId="3" type="noConversion"/>
  </si>
  <si>
    <t xml:space="preserve"> </t>
  </si>
  <si>
    <t>하수자원사업소 공급량
(N㎥/일)</t>
    <phoneticPr fontId="3" type="noConversion"/>
  </si>
  <si>
    <t>민간발전 사용량
(N㎥/일)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</si>
</sst>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General\ &quot;월&quot;"/>
    <numFmt numFmtId="177" formatCode="yyyy/mm/dd;@"/>
    <numFmt numFmtId="178" formatCode="#,##0.0"/>
    <numFmt numFmtId="179" formatCode="0.00_ "/>
  </numFmts>
  <fonts count="1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vertAlign val="subscript"/>
      <sz val="1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Up"/>
    </fill>
  </fills>
  <borders count="47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4">
    <xf numFmtId="0" fontId="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</cellStyleXfs>
  <cellXfs count="211">
    <xf numFmtId="0" fontId="0" fillId="0" borderId="0" xfId="0">
      <alignment vertical="center"/>
    </xf>
    <xf numFmtId="176" fontId="2" fillId="0" borderId="0" xfId="0" applyNumberFormat="1" applyFont="1" applyAlignment="1">
      <alignment horizontal="left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>
      <alignment vertical="center"/>
    </xf>
    <xf numFmtId="4" fontId="0" fillId="0" borderId="0" xfId="0" applyNumberFormat="1">
      <alignment vertical="center"/>
    </xf>
    <xf numFmtId="3" fontId="0" fillId="0" borderId="0" xfId="0" applyNumberFormat="1">
      <alignment vertical="center"/>
    </xf>
    <xf numFmtId="4" fontId="4" fillId="0" borderId="0" xfId="0" applyNumberFormat="1" applyFont="1">
      <alignment vertical="center"/>
    </xf>
    <xf numFmtId="3" fontId="4" fillId="0" borderId="0" xfId="0" applyNumberFormat="1" applyFont="1">
      <alignment vertical="center"/>
    </xf>
    <xf numFmtId="178" fontId="4" fillId="0" borderId="0" xfId="0" applyNumberFormat="1" applyFont="1">
      <alignment vertical="center"/>
    </xf>
    <xf numFmtId="0" fontId="5" fillId="0" borderId="0" xfId="0" applyNumberFormat="1" applyFont="1" applyAlignment="1">
      <alignment horizontal="left" vertical="center" indent="1"/>
    </xf>
    <xf numFmtId="0" fontId="0" fillId="0" borderId="0" xfId="0" applyNumberFormat="1" applyAlignment="1">
      <alignment horizontal="center" vertical="center"/>
    </xf>
    <xf numFmtId="0" fontId="0" fillId="0" borderId="0" xfId="0" applyNumberFormat="1">
      <alignment vertical="center"/>
    </xf>
    <xf numFmtId="0" fontId="4" fillId="0" borderId="0" xfId="0" applyNumberFormat="1" applyFont="1">
      <alignment vertical="center"/>
    </xf>
    <xf numFmtId="0" fontId="6" fillId="0" borderId="0" xfId="0" applyNumberFormat="1" applyFont="1" applyAlignment="1">
      <alignment horizontal="left" vertical="center" indent="1"/>
    </xf>
    <xf numFmtId="0" fontId="7" fillId="2" borderId="0" xfId="0" applyNumberFormat="1" applyFont="1" applyFill="1" applyAlignment="1">
      <alignment horizontal="left" vertical="center" indent="1"/>
    </xf>
    <xf numFmtId="0" fontId="4" fillId="2" borderId="0" xfId="0" applyNumberFormat="1" applyFont="1" applyFill="1" applyAlignment="1">
      <alignment horizontal="center" vertical="center"/>
    </xf>
    <xf numFmtId="0" fontId="4" fillId="2" borderId="0" xfId="0" applyNumberFormat="1" applyFont="1" applyFill="1">
      <alignment vertical="center"/>
    </xf>
    <xf numFmtId="0" fontId="5" fillId="0" borderId="0" xfId="0" applyNumberFormat="1" applyFont="1" applyAlignment="1">
      <alignment horizontal="left" vertical="center"/>
    </xf>
    <xf numFmtId="176" fontId="8" fillId="0" borderId="1" xfId="0" applyNumberFormat="1" applyFont="1" applyBorder="1" applyAlignment="1">
      <alignment horizontal="center" vertical="center"/>
    </xf>
    <xf numFmtId="176" fontId="8" fillId="0" borderId="2" xfId="0" applyNumberFormat="1" applyFont="1" applyBorder="1" applyAlignment="1">
      <alignment horizontal="center" vertical="center"/>
    </xf>
    <xf numFmtId="0" fontId="8" fillId="0" borderId="3" xfId="0" applyNumberFormat="1" applyFont="1" applyBorder="1" applyAlignment="1">
      <alignment horizontal="center" vertical="center" wrapText="1"/>
    </xf>
    <xf numFmtId="0" fontId="8" fillId="0" borderId="2" xfId="0" applyNumberFormat="1" applyFont="1" applyBorder="1" applyAlignment="1">
      <alignment horizontal="center" vertical="center" wrapText="1"/>
    </xf>
    <xf numFmtId="4" fontId="8" fillId="0" borderId="3" xfId="0" applyNumberFormat="1" applyFont="1" applyBorder="1" applyAlignment="1">
      <alignment horizontal="center" vertical="center" wrapText="1"/>
    </xf>
    <xf numFmtId="4" fontId="8" fillId="0" borderId="2" xfId="0" applyNumberFormat="1" applyFont="1" applyBorder="1" applyAlignment="1">
      <alignment horizontal="center" vertical="center" wrapText="1"/>
    </xf>
    <xf numFmtId="3" fontId="8" fillId="0" borderId="4" xfId="0" applyNumberFormat="1" applyFont="1" applyBorder="1" applyAlignment="1">
      <alignment horizontal="center" vertical="center" wrapText="1"/>
    </xf>
    <xf numFmtId="3" fontId="8" fillId="0" borderId="2" xfId="0" applyNumberFormat="1" applyFont="1" applyBorder="1" applyAlignment="1">
      <alignment horizontal="center" vertical="center" wrapText="1"/>
    </xf>
    <xf numFmtId="3" fontId="8" fillId="0" borderId="3" xfId="0" applyNumberFormat="1" applyFont="1" applyBorder="1" applyAlignment="1">
      <alignment horizontal="center" vertical="center" wrapText="1"/>
    </xf>
    <xf numFmtId="4" fontId="7" fillId="0" borderId="3" xfId="0" applyNumberFormat="1" applyFont="1" applyBorder="1" applyAlignment="1">
      <alignment horizontal="center" vertical="center" wrapText="1"/>
    </xf>
    <xf numFmtId="4" fontId="7" fillId="0" borderId="5" xfId="0" applyNumberFormat="1" applyFont="1" applyBorder="1" applyAlignment="1">
      <alignment horizontal="center" vertical="center" wrapText="1"/>
    </xf>
    <xf numFmtId="4" fontId="7" fillId="2" borderId="6" xfId="0" applyNumberFormat="1" applyFont="1" applyFill="1" applyBorder="1" applyAlignment="1">
      <alignment horizontal="center" vertical="center" wrapText="1"/>
    </xf>
    <xf numFmtId="3" fontId="7" fillId="0" borderId="4" xfId="0" applyNumberFormat="1" applyFont="1" applyBorder="1" applyAlignment="1">
      <alignment horizontal="center" vertical="center" wrapText="1"/>
    </xf>
    <xf numFmtId="178" fontId="8" fillId="2" borderId="6" xfId="0" applyNumberFormat="1" applyFont="1" applyFill="1" applyBorder="1" applyAlignment="1">
      <alignment horizontal="center" vertical="center" wrapText="1"/>
    </xf>
    <xf numFmtId="4" fontId="8" fillId="0" borderId="4" xfId="0" applyNumberFormat="1" applyFont="1" applyBorder="1" applyAlignment="1">
      <alignment horizontal="center" vertical="center" wrapText="1"/>
    </xf>
    <xf numFmtId="4" fontId="8" fillId="0" borderId="7" xfId="0" applyNumberFormat="1" applyFont="1" applyBorder="1" applyAlignment="1">
      <alignment horizontal="center" vertical="center" wrapText="1"/>
    </xf>
    <xf numFmtId="4" fontId="8" fillId="0" borderId="8" xfId="0" applyNumberFormat="1" applyFont="1" applyBorder="1" applyAlignment="1">
      <alignment horizontal="center" vertical="center" wrapText="1"/>
    </xf>
    <xf numFmtId="3" fontId="8" fillId="2" borderId="6" xfId="0" applyNumberFormat="1" applyFont="1" applyFill="1" applyBorder="1" applyAlignment="1">
      <alignment horizontal="center" vertical="center" wrapText="1"/>
    </xf>
    <xf numFmtId="3" fontId="8" fillId="0" borderId="5" xfId="0" applyNumberFormat="1" applyFont="1" applyBorder="1" applyAlignment="1">
      <alignment horizontal="center" vertical="center" wrapText="1"/>
    </xf>
    <xf numFmtId="176" fontId="8" fillId="0" borderId="9" xfId="0" applyNumberFormat="1" applyFont="1" applyBorder="1" applyAlignment="1">
      <alignment horizontal="center" vertical="center"/>
    </xf>
    <xf numFmtId="176" fontId="8" fillId="0" borderId="10" xfId="0" applyNumberFormat="1" applyFont="1" applyBorder="1" applyAlignment="1">
      <alignment horizontal="center" vertical="center"/>
    </xf>
    <xf numFmtId="178" fontId="8" fillId="2" borderId="11" xfId="0" applyNumberFormat="1" applyFont="1" applyFill="1" applyBorder="1" applyAlignment="1">
      <alignment horizontal="center" vertical="center" wrapText="1"/>
    </xf>
    <xf numFmtId="178" fontId="8" fillId="3" borderId="9" xfId="0" applyNumberFormat="1" applyFont="1" applyFill="1" applyBorder="1" applyAlignment="1">
      <alignment horizontal="center" vertical="center" wrapText="1"/>
    </xf>
    <xf numFmtId="178" fontId="8" fillId="3" borderId="10" xfId="0" applyNumberFormat="1" applyFont="1" applyFill="1" applyBorder="1" applyAlignment="1">
      <alignment horizontal="center" vertical="center" wrapText="1"/>
    </xf>
    <xf numFmtId="4" fontId="8" fillId="2" borderId="11" xfId="0" applyNumberFormat="1" applyFont="1" applyFill="1" applyBorder="1" applyAlignment="1">
      <alignment horizontal="center" vertical="center" wrapText="1"/>
    </xf>
    <xf numFmtId="4" fontId="8" fillId="3" borderId="9" xfId="0" applyNumberFormat="1" applyFont="1" applyFill="1" applyBorder="1" applyAlignment="1">
      <alignment horizontal="center" vertical="center" wrapText="1"/>
    </xf>
    <xf numFmtId="4" fontId="8" fillId="3" borderId="10" xfId="0" applyNumberFormat="1" applyFont="1" applyFill="1" applyBorder="1" applyAlignment="1">
      <alignment horizontal="center" vertical="center" wrapText="1"/>
    </xf>
    <xf numFmtId="4" fontId="8" fillId="3" borderId="12" xfId="0" applyNumberFormat="1" applyFont="1" applyFill="1" applyBorder="1" applyAlignment="1">
      <alignment horizontal="center" vertical="center" wrapText="1"/>
    </xf>
    <xf numFmtId="3" fontId="8" fillId="2" borderId="11" xfId="0" applyNumberFormat="1" applyFont="1" applyFill="1" applyBorder="1" applyAlignment="1">
      <alignment horizontal="center" vertical="center" wrapText="1"/>
    </xf>
    <xf numFmtId="3" fontId="8" fillId="3" borderId="9" xfId="0" applyNumberFormat="1" applyFont="1" applyFill="1" applyBorder="1" applyAlignment="1">
      <alignment horizontal="center" vertical="center" wrapText="1"/>
    </xf>
    <xf numFmtId="3" fontId="8" fillId="3" borderId="10" xfId="0" applyNumberFormat="1" applyFont="1" applyFill="1" applyBorder="1" applyAlignment="1">
      <alignment horizontal="center" vertical="center" wrapText="1"/>
    </xf>
    <xf numFmtId="3" fontId="8" fillId="0" borderId="13" xfId="0" applyNumberFormat="1" applyFont="1" applyBorder="1" applyAlignment="1">
      <alignment horizontal="center" vertical="center" wrapText="1"/>
    </xf>
    <xf numFmtId="3" fontId="8" fillId="0" borderId="14" xfId="0" applyNumberFormat="1" applyFont="1" applyBorder="1" applyAlignment="1">
      <alignment horizontal="center" vertical="center" wrapText="1"/>
    </xf>
    <xf numFmtId="4" fontId="7" fillId="0" borderId="13" xfId="0" applyNumberFormat="1" applyFont="1" applyBorder="1" applyAlignment="1">
      <alignment horizontal="center" vertical="center" wrapText="1"/>
    </xf>
    <xf numFmtId="4" fontId="7" fillId="0" borderId="15" xfId="0" applyNumberFormat="1" applyFont="1" applyBorder="1" applyAlignment="1">
      <alignment horizontal="center" vertical="center" wrapText="1"/>
    </xf>
    <xf numFmtId="4" fontId="7" fillId="2" borderId="16" xfId="0" applyNumberFormat="1" applyFont="1" applyFill="1" applyBorder="1" applyAlignment="1">
      <alignment horizontal="center" vertical="center" wrapText="1"/>
    </xf>
    <xf numFmtId="3" fontId="7" fillId="0" borderId="14" xfId="0" applyNumberFormat="1" applyFont="1" applyBorder="1" applyAlignment="1">
      <alignment horizontal="center" vertical="center" wrapText="1"/>
    </xf>
    <xf numFmtId="178" fontId="8" fillId="2" borderId="16" xfId="0" applyNumberFormat="1" applyFont="1" applyFill="1" applyBorder="1" applyAlignment="1">
      <alignment horizontal="center" vertical="center" wrapText="1"/>
    </xf>
    <xf numFmtId="4" fontId="8" fillId="0" borderId="14" xfId="0" applyNumberFormat="1" applyFont="1" applyBorder="1" applyAlignment="1">
      <alignment horizontal="center" vertical="center" wrapText="1"/>
    </xf>
    <xf numFmtId="4" fontId="8" fillId="0" borderId="13" xfId="0" applyNumberFormat="1" applyFont="1" applyBorder="1" applyAlignment="1">
      <alignment horizontal="center" vertical="center" wrapText="1"/>
    </xf>
    <xf numFmtId="4" fontId="8" fillId="0" borderId="15" xfId="0" applyNumberFormat="1" applyFont="1" applyBorder="1" applyAlignment="1">
      <alignment horizontal="center" vertical="center" wrapText="1"/>
    </xf>
    <xf numFmtId="3" fontId="8" fillId="0" borderId="12" xfId="0" applyNumberFormat="1" applyFont="1" applyBorder="1" applyAlignment="1">
      <alignment horizontal="center" vertical="center" wrapText="1"/>
    </xf>
    <xf numFmtId="3" fontId="8" fillId="2" borderId="16" xfId="0" applyNumberFormat="1" applyFont="1" applyFill="1" applyBorder="1" applyAlignment="1">
      <alignment horizontal="center" vertical="center" wrapText="1"/>
    </xf>
    <xf numFmtId="3" fontId="8" fillId="0" borderId="15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1" fillId="0" borderId="8" xfId="0" applyNumberFormat="1" applyFont="1" applyBorder="1" applyAlignment="1">
      <alignment horizontal="center" vertical="center"/>
    </xf>
    <xf numFmtId="176" fontId="1" fillId="0" borderId="17" xfId="0" applyNumberFormat="1" applyFont="1" applyBorder="1" applyAlignment="1">
      <alignment horizontal="center" vertical="center"/>
    </xf>
    <xf numFmtId="178" fontId="0" fillId="0" borderId="18" xfId="0" applyNumberFormat="1" applyBorder="1">
      <alignment vertical="center"/>
    </xf>
    <xf numFmtId="178" fontId="0" fillId="0" borderId="1" xfId="0" applyNumberFormat="1" applyBorder="1">
      <alignment vertical="center"/>
    </xf>
    <xf numFmtId="4" fontId="0" fillId="0" borderId="18" xfId="0" applyNumberFormat="1" applyBorder="1">
      <alignment vertical="center"/>
    </xf>
    <xf numFmtId="4" fontId="0" fillId="0" borderId="1" xfId="0" applyNumberFormat="1" applyBorder="1">
      <alignment vertical="center"/>
    </xf>
    <xf numFmtId="3" fontId="0" fillId="0" borderId="18" xfId="0" applyNumberFormat="1" applyBorder="1">
      <alignment vertical="center"/>
    </xf>
    <xf numFmtId="3" fontId="0" fillId="0" borderId="1" xfId="0" applyNumberFormat="1" applyBorder="1">
      <alignment vertical="center"/>
    </xf>
    <xf numFmtId="4" fontId="4" fillId="0" borderId="2" xfId="0" applyNumberFormat="1" applyFont="1" applyBorder="1">
      <alignment vertical="center"/>
    </xf>
    <xf numFmtId="4" fontId="4" fillId="0" borderId="7" xfId="0" applyNumberFormat="1" applyFont="1" applyBorder="1">
      <alignment vertical="center"/>
    </xf>
    <xf numFmtId="4" fontId="4" fillId="0" borderId="18" xfId="0" applyNumberFormat="1" applyFont="1" applyBorder="1">
      <alignment vertical="center"/>
    </xf>
    <xf numFmtId="3" fontId="4" fillId="0" borderId="8" xfId="0" applyNumberFormat="1" applyFont="1" applyBorder="1">
      <alignment vertical="center"/>
    </xf>
    <xf numFmtId="178" fontId="4" fillId="0" borderId="2" xfId="0" applyNumberFormat="1" applyFont="1" applyBorder="1">
      <alignment vertical="center"/>
    </xf>
    <xf numFmtId="178" fontId="4" fillId="0" borderId="7" xfId="0" applyNumberFormat="1" applyFont="1" applyBorder="1">
      <alignment vertical="center"/>
    </xf>
    <xf numFmtId="4" fontId="0" fillId="0" borderId="8" xfId="0" applyNumberFormat="1" applyBorder="1">
      <alignment vertical="center"/>
    </xf>
    <xf numFmtId="4" fontId="0" fillId="0" borderId="7" xfId="0" applyNumberFormat="1" applyBorder="1">
      <alignment vertical="center"/>
    </xf>
    <xf numFmtId="3" fontId="0" fillId="0" borderId="7" xfId="0" applyNumberFormat="1" applyBorder="1">
      <alignment vertical="center"/>
    </xf>
    <xf numFmtId="3" fontId="0" fillId="0" borderId="2" xfId="0" applyNumberFormat="1" applyBorder="1">
      <alignment vertical="center"/>
    </xf>
    <xf numFmtId="176" fontId="1" fillId="0" borderId="19" xfId="0" applyNumberFormat="1" applyFont="1" applyBorder="1" applyAlignment="1">
      <alignment horizontal="center" vertical="center"/>
    </xf>
    <xf numFmtId="176" fontId="1" fillId="0" borderId="20" xfId="0" applyNumberFormat="1" applyFont="1" applyBorder="1" applyAlignment="1">
      <alignment horizontal="center" vertical="center"/>
    </xf>
    <xf numFmtId="178" fontId="0" fillId="0" borderId="21" xfId="0" applyNumberFormat="1" applyBorder="1">
      <alignment vertical="center"/>
    </xf>
    <xf numFmtId="178" fontId="0" fillId="0" borderId="22" xfId="0" applyNumberFormat="1" applyBorder="1">
      <alignment vertical="center"/>
    </xf>
    <xf numFmtId="4" fontId="0" fillId="0" borderId="21" xfId="0" applyNumberFormat="1" applyBorder="1">
      <alignment vertical="center"/>
    </xf>
    <xf numFmtId="4" fontId="0" fillId="0" borderId="22" xfId="0" applyNumberFormat="1" applyBorder="1">
      <alignment vertical="center"/>
    </xf>
    <xf numFmtId="3" fontId="0" fillId="0" borderId="21" xfId="0" applyNumberFormat="1" applyBorder="1">
      <alignment vertical="center"/>
    </xf>
    <xf numFmtId="3" fontId="0" fillId="0" borderId="22" xfId="0" applyNumberFormat="1" applyBorder="1">
      <alignment vertical="center"/>
    </xf>
    <xf numFmtId="4" fontId="4" fillId="0" borderId="23" xfId="0" applyNumberFormat="1" applyFont="1" applyBorder="1">
      <alignment vertical="center"/>
    </xf>
    <xf numFmtId="4" fontId="4" fillId="0" borderId="24" xfId="0" applyNumberFormat="1" applyFont="1" applyBorder="1">
      <alignment vertical="center"/>
    </xf>
    <xf numFmtId="4" fontId="4" fillId="0" borderId="21" xfId="0" applyNumberFormat="1" applyFont="1" applyBorder="1">
      <alignment vertical="center"/>
    </xf>
    <xf numFmtId="3" fontId="4" fillId="0" borderId="19" xfId="0" applyNumberFormat="1" applyFont="1" applyBorder="1">
      <alignment vertical="center"/>
    </xf>
    <xf numFmtId="178" fontId="4" fillId="0" borderId="23" xfId="0" applyNumberFormat="1" applyFont="1" applyBorder="1">
      <alignment vertical="center"/>
    </xf>
    <xf numFmtId="178" fontId="4" fillId="0" borderId="24" xfId="0" applyNumberFormat="1" applyFont="1" applyBorder="1">
      <alignment vertical="center"/>
    </xf>
    <xf numFmtId="4" fontId="0" fillId="0" borderId="19" xfId="0" applyNumberFormat="1" applyBorder="1">
      <alignment vertical="center"/>
    </xf>
    <xf numFmtId="4" fontId="0" fillId="0" borderId="24" xfId="0" applyNumberFormat="1" applyBorder="1">
      <alignment vertical="center"/>
    </xf>
    <xf numFmtId="3" fontId="0" fillId="0" borderId="24" xfId="0" applyNumberFormat="1" applyBorder="1">
      <alignment vertical="center"/>
    </xf>
    <xf numFmtId="3" fontId="0" fillId="0" borderId="23" xfId="0" applyNumberFormat="1" applyBorder="1">
      <alignment vertical="center"/>
    </xf>
    <xf numFmtId="176" fontId="1" fillId="0" borderId="25" xfId="0" applyNumberFormat="1" applyFont="1" applyBorder="1" applyAlignment="1">
      <alignment horizontal="center" vertical="center"/>
    </xf>
    <xf numFmtId="176" fontId="1" fillId="0" borderId="26" xfId="0" applyNumberFormat="1" applyFont="1" applyBorder="1" applyAlignment="1">
      <alignment horizontal="center" vertical="center"/>
    </xf>
    <xf numFmtId="178" fontId="0" fillId="4" borderId="27" xfId="0" applyNumberFormat="1" applyFill="1" applyBorder="1">
      <alignment vertical="center"/>
    </xf>
    <xf numFmtId="178" fontId="0" fillId="4" borderId="9" xfId="0" applyNumberFormat="1" applyFill="1" applyBorder="1">
      <alignment vertical="center"/>
    </xf>
    <xf numFmtId="4" fontId="0" fillId="4" borderId="27" xfId="0" applyNumberFormat="1" applyFill="1" applyBorder="1">
      <alignment vertical="center"/>
    </xf>
    <xf numFmtId="4" fontId="0" fillId="4" borderId="9" xfId="0" applyNumberFormat="1" applyFill="1" applyBorder="1">
      <alignment vertical="center"/>
    </xf>
    <xf numFmtId="3" fontId="0" fillId="4" borderId="27" xfId="0" applyNumberFormat="1" applyFill="1" applyBorder="1">
      <alignment vertical="center"/>
    </xf>
    <xf numFmtId="3" fontId="0" fillId="4" borderId="9" xfId="0" applyNumberFormat="1" applyFill="1" applyBorder="1">
      <alignment vertical="center"/>
    </xf>
    <xf numFmtId="3" fontId="0" fillId="0" borderId="9" xfId="0" applyNumberFormat="1" applyBorder="1">
      <alignment vertical="center"/>
    </xf>
    <xf numFmtId="4" fontId="4" fillId="4" borderId="10" xfId="0" applyNumberFormat="1" applyFont="1" applyFill="1" applyBorder="1">
      <alignment vertical="center"/>
    </xf>
    <xf numFmtId="4" fontId="4" fillId="4" borderId="12" xfId="0" applyNumberFormat="1" applyFont="1" applyFill="1" applyBorder="1">
      <alignment vertical="center"/>
    </xf>
    <xf numFmtId="4" fontId="4" fillId="4" borderId="27" xfId="0" applyNumberFormat="1" applyFont="1" applyFill="1" applyBorder="1">
      <alignment vertical="center"/>
    </xf>
    <xf numFmtId="3" fontId="4" fillId="0" borderId="25" xfId="0" applyNumberFormat="1" applyFont="1" applyBorder="1">
      <alignment vertical="center"/>
    </xf>
    <xf numFmtId="178" fontId="4" fillId="4" borderId="10" xfId="0" applyNumberFormat="1" applyFont="1" applyFill="1" applyBorder="1">
      <alignment vertical="center"/>
    </xf>
    <xf numFmtId="178" fontId="4" fillId="4" borderId="12" xfId="0" applyNumberFormat="1" applyFont="1" applyFill="1" applyBorder="1">
      <alignment vertical="center"/>
    </xf>
    <xf numFmtId="4" fontId="0" fillId="4" borderId="25" xfId="0" applyNumberFormat="1" applyFill="1" applyBorder="1">
      <alignment vertical="center"/>
    </xf>
    <xf numFmtId="4" fontId="0" fillId="4" borderId="12" xfId="0" applyNumberFormat="1" applyFill="1" applyBorder="1">
      <alignment vertical="center"/>
    </xf>
    <xf numFmtId="3" fontId="0" fillId="0" borderId="12" xfId="0" applyNumberFormat="1" applyBorder="1">
      <alignment vertical="center"/>
    </xf>
    <xf numFmtId="3" fontId="0" fillId="0" borderId="27" xfId="0" applyNumberFormat="1" applyBorder="1">
      <alignment vertical="center"/>
    </xf>
    <xf numFmtId="3" fontId="0" fillId="0" borderId="10" xfId="0" applyNumberFormat="1" applyBorder="1">
      <alignment vertical="center"/>
    </xf>
    <xf numFmtId="3" fontId="0" fillId="0" borderId="11" xfId="0" applyNumberFormat="1" applyBorder="1">
      <alignment vertical="center"/>
    </xf>
    <xf numFmtId="3" fontId="0" fillId="0" borderId="28" xfId="0" applyNumberFormat="1" applyBorder="1">
      <alignment vertical="center"/>
    </xf>
    <xf numFmtId="3" fontId="0" fillId="0" borderId="29" xfId="0" applyNumberFormat="1" applyBorder="1">
      <alignment vertical="center"/>
    </xf>
    <xf numFmtId="3" fontId="0" fillId="0" borderId="30" xfId="0" applyNumberFormat="1" applyBorder="1">
      <alignment vertical="center"/>
    </xf>
    <xf numFmtId="0" fontId="0" fillId="0" borderId="0" xfId="0" applyNumberFormat="1" applyBorder="1" applyAlignment="1">
      <alignment horizontal="center" vertical="center"/>
    </xf>
    <xf numFmtId="0" fontId="0" fillId="0" borderId="31" xfId="0" applyNumberFormat="1" applyBorder="1">
      <alignment vertical="center"/>
    </xf>
    <xf numFmtId="0" fontId="0" fillId="0" borderId="0" xfId="0" applyNumberFormat="1" applyBorder="1">
      <alignment vertical="center"/>
    </xf>
    <xf numFmtId="4" fontId="0" fillId="0" borderId="31" xfId="0" applyNumberFormat="1" applyBorder="1">
      <alignment vertical="center"/>
    </xf>
    <xf numFmtId="4" fontId="0" fillId="0" borderId="0" xfId="0" applyNumberFormat="1" applyBorder="1">
      <alignment vertical="center"/>
    </xf>
    <xf numFmtId="3" fontId="0" fillId="0" borderId="31" xfId="0" applyNumberFormat="1" applyBorder="1">
      <alignment vertical="center"/>
    </xf>
    <xf numFmtId="3" fontId="0" fillId="0" borderId="0" xfId="0" applyNumberFormat="1" applyBorder="1">
      <alignment vertical="center"/>
    </xf>
    <xf numFmtId="4" fontId="4" fillId="0" borderId="0" xfId="0" applyNumberFormat="1" applyFont="1" applyBorder="1">
      <alignment vertical="center"/>
    </xf>
    <xf numFmtId="0" fontId="4" fillId="0" borderId="0" xfId="0" applyNumberFormat="1" applyFont="1" applyBorder="1">
      <alignment vertical="center"/>
    </xf>
    <xf numFmtId="176" fontId="8" fillId="0" borderId="4" xfId="0" applyNumberFormat="1" applyFont="1" applyBorder="1" applyAlignment="1">
      <alignment horizontal="center" vertical="center"/>
    </xf>
    <xf numFmtId="176" fontId="8" fillId="0" borderId="3" xfId="0" applyNumberFormat="1" applyFont="1" applyBorder="1" applyAlignment="1">
      <alignment horizontal="center" vertical="center"/>
    </xf>
    <xf numFmtId="176" fontId="8" fillId="0" borderId="14" xfId="0" applyNumberFormat="1" applyFont="1" applyBorder="1" applyAlignment="1">
      <alignment horizontal="center" vertical="center"/>
    </xf>
    <xf numFmtId="176" fontId="8" fillId="0" borderId="13" xfId="0" applyNumberFormat="1" applyFont="1" applyBorder="1" applyAlignment="1">
      <alignment horizontal="center" vertical="center"/>
    </xf>
    <xf numFmtId="176" fontId="0" fillId="0" borderId="32" xfId="0" applyNumberFormat="1" applyBorder="1" applyAlignment="1">
      <alignment horizontal="center" vertical="center"/>
    </xf>
    <xf numFmtId="177" fontId="0" fillId="2" borderId="33" xfId="0" applyNumberFormat="1" applyFill="1" applyBorder="1" applyAlignment="1">
      <alignment horizontal="center" vertical="center"/>
    </xf>
    <xf numFmtId="178" fontId="0" fillId="0" borderId="34" xfId="0" applyNumberFormat="1" applyBorder="1">
      <alignment vertical="center"/>
    </xf>
    <xf numFmtId="178" fontId="0" fillId="0" borderId="32" xfId="0" applyNumberFormat="1" applyBorder="1">
      <alignment vertical="center"/>
    </xf>
    <xf numFmtId="4" fontId="0" fillId="0" borderId="34" xfId="0" applyNumberFormat="1" applyBorder="1">
      <alignment vertical="center"/>
    </xf>
    <xf numFmtId="4" fontId="0" fillId="0" borderId="32" xfId="0" applyNumberFormat="1" applyBorder="1">
      <alignment vertical="center"/>
    </xf>
    <xf numFmtId="3" fontId="0" fillId="0" borderId="34" xfId="0" applyNumberFormat="1" applyBorder="1">
      <alignment vertical="center"/>
    </xf>
    <xf numFmtId="3" fontId="0" fillId="0" borderId="32" xfId="0" applyNumberFormat="1" applyBorder="1">
      <alignment vertical="center"/>
    </xf>
    <xf numFmtId="4" fontId="4" fillId="0" borderId="35" xfId="0" applyNumberFormat="1" applyFont="1" applyBorder="1">
      <alignment vertical="center"/>
    </xf>
    <xf numFmtId="4" fontId="4" fillId="0" borderId="33" xfId="0" applyNumberFormat="1" applyFont="1" applyBorder="1">
      <alignment vertical="center"/>
    </xf>
    <xf numFmtId="4" fontId="4" fillId="0" borderId="34" xfId="0" applyNumberFormat="1" applyFont="1" applyBorder="1">
      <alignment vertical="center"/>
    </xf>
    <xf numFmtId="3" fontId="4" fillId="0" borderId="36" xfId="0" applyNumberFormat="1" applyFont="1" applyBorder="1">
      <alignment vertical="center"/>
    </xf>
    <xf numFmtId="178" fontId="4" fillId="0" borderId="35" xfId="0" applyNumberFormat="1" applyFont="1" applyBorder="1">
      <alignment vertical="center"/>
    </xf>
    <xf numFmtId="178" fontId="4" fillId="0" borderId="33" xfId="0" applyNumberFormat="1" applyFont="1" applyBorder="1">
      <alignment vertical="center"/>
    </xf>
    <xf numFmtId="4" fontId="0" fillId="0" borderId="33" xfId="0" applyNumberFormat="1" applyBorder="1">
      <alignment vertical="center"/>
    </xf>
    <xf numFmtId="3" fontId="0" fillId="0" borderId="33" xfId="0" applyNumberFormat="1" applyBorder="1">
      <alignment vertical="center"/>
    </xf>
    <xf numFmtId="176" fontId="0" fillId="0" borderId="22" xfId="0" applyNumberFormat="1" applyBorder="1" applyAlignment="1">
      <alignment horizontal="center" vertical="center"/>
    </xf>
    <xf numFmtId="177" fontId="0" fillId="0" borderId="24" xfId="0" applyNumberFormat="1" applyBorder="1" applyAlignment="1">
      <alignment horizontal="center" vertical="center"/>
    </xf>
    <xf numFmtId="176" fontId="0" fillId="0" borderId="37" xfId="0" applyNumberFormat="1" applyBorder="1" applyAlignment="1">
      <alignment horizontal="center" vertical="center"/>
    </xf>
    <xf numFmtId="177" fontId="0" fillId="0" borderId="38" xfId="0" applyNumberFormat="1" applyBorder="1" applyAlignment="1">
      <alignment horizontal="center" vertical="center"/>
    </xf>
    <xf numFmtId="178" fontId="0" fillId="0" borderId="37" xfId="0" applyNumberFormat="1" applyBorder="1">
      <alignment vertical="center"/>
    </xf>
    <xf numFmtId="4" fontId="0" fillId="0" borderId="37" xfId="0" applyNumberFormat="1" applyBorder="1">
      <alignment vertical="center"/>
    </xf>
    <xf numFmtId="3" fontId="0" fillId="0" borderId="37" xfId="0" applyNumberFormat="1" applyBorder="1">
      <alignment vertical="center"/>
    </xf>
    <xf numFmtId="4" fontId="4" fillId="0" borderId="39" xfId="0" applyNumberFormat="1" applyFont="1" applyBorder="1">
      <alignment vertical="center"/>
    </xf>
    <xf numFmtId="4" fontId="4" fillId="0" borderId="38" xfId="0" applyNumberFormat="1" applyFont="1" applyBorder="1">
      <alignment vertical="center"/>
    </xf>
    <xf numFmtId="178" fontId="4" fillId="0" borderId="39" xfId="0" applyNumberFormat="1" applyFont="1" applyBorder="1">
      <alignment vertical="center"/>
    </xf>
    <xf numFmtId="178" fontId="4" fillId="0" borderId="38" xfId="0" applyNumberFormat="1" applyFont="1" applyBorder="1">
      <alignment vertical="center"/>
    </xf>
    <xf numFmtId="4" fontId="0" fillId="0" borderId="38" xfId="0" applyNumberFormat="1" applyBorder="1">
      <alignment vertical="center"/>
    </xf>
    <xf numFmtId="3" fontId="0" fillId="0" borderId="38" xfId="0" applyNumberFormat="1" applyBorder="1">
      <alignment vertical="center"/>
    </xf>
    <xf numFmtId="177" fontId="0" fillId="0" borderId="33" xfId="0" applyNumberFormat="1" applyBorder="1" applyAlignment="1">
      <alignment horizontal="center" vertical="center"/>
    </xf>
    <xf numFmtId="177" fontId="0" fillId="2" borderId="24" xfId="0" applyNumberFormat="1" applyFill="1" applyBorder="1" applyAlignment="1">
      <alignment horizontal="center" vertical="center"/>
    </xf>
    <xf numFmtId="176" fontId="0" fillId="3" borderId="37" xfId="0" applyNumberFormat="1" applyFill="1" applyBorder="1" applyAlignment="1">
      <alignment horizontal="center" vertical="center"/>
    </xf>
    <xf numFmtId="178" fontId="4" fillId="0" borderId="34" xfId="0" applyNumberFormat="1" applyFont="1" applyBorder="1">
      <alignment vertical="center"/>
    </xf>
    <xf numFmtId="176" fontId="0" fillId="0" borderId="9" xfId="0" applyNumberFormat="1" applyBorder="1" applyAlignment="1">
      <alignment horizontal="center" vertical="center"/>
    </xf>
    <xf numFmtId="177" fontId="0" fillId="0" borderId="12" xfId="0" applyNumberFormat="1" applyBorder="1" applyAlignment="1">
      <alignment horizontal="center" vertical="center"/>
    </xf>
    <xf numFmtId="178" fontId="0" fillId="0" borderId="9" xfId="0" applyNumberFormat="1" applyBorder="1">
      <alignment vertical="center"/>
    </xf>
    <xf numFmtId="4" fontId="0" fillId="0" borderId="9" xfId="0" applyNumberFormat="1" applyBorder="1">
      <alignment vertical="center"/>
    </xf>
    <xf numFmtId="4" fontId="4" fillId="0" borderId="10" xfId="0" applyNumberFormat="1" applyFont="1" applyBorder="1">
      <alignment vertical="center"/>
    </xf>
    <xf numFmtId="4" fontId="4" fillId="0" borderId="12" xfId="0" applyNumberFormat="1" applyFont="1" applyBorder="1">
      <alignment vertical="center"/>
    </xf>
    <xf numFmtId="4" fontId="0" fillId="0" borderId="25" xfId="0" applyNumberFormat="1" applyBorder="1">
      <alignment vertical="center"/>
    </xf>
    <xf numFmtId="4" fontId="0" fillId="0" borderId="12" xfId="0" applyNumberFormat="1" applyBorder="1">
      <alignment vertical="center"/>
    </xf>
    <xf numFmtId="176" fontId="1" fillId="0" borderId="0" xfId="0" applyNumberFormat="1" applyFont="1" applyBorder="1" applyAlignment="1">
      <alignment horizontal="center" vertical="center"/>
    </xf>
    <xf numFmtId="178" fontId="0" fillId="0" borderId="0" xfId="0" applyNumberFormat="1" applyBorder="1">
      <alignment vertical="center"/>
    </xf>
    <xf numFmtId="3" fontId="4" fillId="0" borderId="0" xfId="0" applyNumberFormat="1" applyFont="1" applyBorder="1">
      <alignment vertical="center"/>
    </xf>
    <xf numFmtId="178" fontId="4" fillId="0" borderId="0" xfId="0" applyNumberFormat="1" applyFont="1" applyBorder="1">
      <alignment vertical="center"/>
    </xf>
    <xf numFmtId="176" fontId="0" fillId="0" borderId="0" xfId="0" applyNumberFormat="1" applyAlignment="1">
      <alignment horizontal="center" vertical="center"/>
    </xf>
    <xf numFmtId="177" fontId="0" fillId="3" borderId="38" xfId="0" applyNumberFormat="1" applyFill="1" applyBorder="1" applyAlignment="1">
      <alignment horizontal="center" vertical="center"/>
    </xf>
    <xf numFmtId="0" fontId="12" fillId="0" borderId="23" xfId="1" applyFont="1" applyBorder="1" applyAlignment="1">
      <alignment horizontal="center" vertical="center"/>
    </xf>
    <xf numFmtId="0" fontId="12" fillId="0" borderId="23" xfId="2" applyFont="1" applyBorder="1" applyAlignment="1">
      <alignment horizontal="center" vertical="center"/>
    </xf>
    <xf numFmtId="41" fontId="12" fillId="0" borderId="23" xfId="3" applyFont="1" applyBorder="1" applyAlignment="1">
      <alignment horizontal="center" vertical="center"/>
    </xf>
    <xf numFmtId="0" fontId="12" fillId="0" borderId="23" xfId="2" quotePrefix="1" applyFont="1" applyFill="1" applyBorder="1" applyAlignment="1">
      <alignment horizontal="center" vertical="center"/>
    </xf>
    <xf numFmtId="179" fontId="12" fillId="0" borderId="23" xfId="2" quotePrefix="1" applyNumberFormat="1" applyFont="1" applyFill="1" applyBorder="1" applyAlignment="1">
      <alignment horizontal="center" vertical="center"/>
    </xf>
    <xf numFmtId="41" fontId="12" fillId="0" borderId="23" xfId="3" quotePrefix="1" applyFont="1" applyFill="1" applyBorder="1" applyAlignment="1">
      <alignment horizontal="center" vertical="center"/>
    </xf>
    <xf numFmtId="0" fontId="12" fillId="0" borderId="23" xfId="2" applyFont="1" applyFill="1" applyBorder="1" applyAlignment="1">
      <alignment horizontal="center" vertical="center"/>
    </xf>
    <xf numFmtId="176" fontId="1" fillId="0" borderId="40" xfId="0" applyNumberFormat="1" applyFont="1" applyBorder="1" applyAlignment="1">
      <alignment horizontal="center" vertical="center"/>
    </xf>
    <xf numFmtId="176" fontId="1" fillId="0" borderId="41" xfId="0" applyNumberFormat="1" applyFont="1" applyBorder="1" applyAlignment="1">
      <alignment horizontal="center" vertical="center"/>
    </xf>
    <xf numFmtId="3" fontId="8" fillId="0" borderId="42" xfId="0" applyNumberFormat="1" applyFont="1" applyBorder="1" applyAlignment="1">
      <alignment horizontal="center" vertical="center" wrapText="1"/>
    </xf>
    <xf numFmtId="3" fontId="8" fillId="0" borderId="43" xfId="0" applyNumberFormat="1" applyFont="1" applyBorder="1" applyAlignment="1">
      <alignment horizontal="center" vertical="center" wrapText="1"/>
    </xf>
    <xf numFmtId="3" fontId="8" fillId="0" borderId="44" xfId="0" applyNumberFormat="1" applyFont="1" applyBorder="1" applyAlignment="1">
      <alignment horizontal="center" vertical="center" wrapText="1"/>
    </xf>
    <xf numFmtId="3" fontId="8" fillId="0" borderId="45" xfId="0" applyNumberFormat="1" applyFont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center" vertical="center" wrapText="1"/>
    </xf>
    <xf numFmtId="4" fontId="8" fillId="0" borderId="42" xfId="0" applyNumberFormat="1" applyFont="1" applyBorder="1" applyAlignment="1">
      <alignment horizontal="center" vertical="center" wrapText="1"/>
    </xf>
    <xf numFmtId="4" fontId="8" fillId="0" borderId="43" xfId="0" applyNumberFormat="1" applyFont="1" applyBorder="1" applyAlignment="1">
      <alignment horizontal="center" vertical="center" wrapText="1"/>
    </xf>
    <xf numFmtId="4" fontId="7" fillId="0" borderId="44" xfId="0" applyNumberFormat="1" applyFont="1" applyBorder="1" applyAlignment="1">
      <alignment horizontal="center" vertical="center" wrapText="1"/>
    </xf>
    <xf numFmtId="4" fontId="7" fillId="0" borderId="45" xfId="0" applyNumberFormat="1" applyFont="1" applyBorder="1" applyAlignment="1">
      <alignment horizontal="center" vertical="center" wrapText="1"/>
    </xf>
    <xf numFmtId="3" fontId="7" fillId="0" borderId="42" xfId="0" applyNumberFormat="1" applyFont="1" applyBorder="1" applyAlignment="1">
      <alignment horizontal="center" vertical="center" wrapText="1"/>
    </xf>
    <xf numFmtId="3" fontId="7" fillId="0" borderId="43" xfId="0" applyNumberFormat="1" applyFont="1" applyBorder="1" applyAlignment="1">
      <alignment horizontal="center" vertical="center" wrapText="1"/>
    </xf>
    <xf numFmtId="3" fontId="8" fillId="0" borderId="31" xfId="0" applyNumberFormat="1" applyFont="1" applyBorder="1" applyAlignment="1">
      <alignment horizontal="center" vertical="center" wrapText="1"/>
    </xf>
    <xf numFmtId="4" fontId="8" fillId="0" borderId="5" xfId="0" applyNumberFormat="1" applyFont="1" applyBorder="1" applyAlignment="1">
      <alignment horizontal="center" vertical="center" wrapText="1"/>
    </xf>
    <xf numFmtId="4" fontId="8" fillId="0" borderId="31" xfId="0" applyNumberFormat="1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center" vertical="center" wrapText="1"/>
    </xf>
    <xf numFmtId="0" fontId="8" fillId="0" borderId="31" xfId="0" applyNumberFormat="1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center" vertical="center" wrapText="1"/>
    </xf>
    <xf numFmtId="176" fontId="8" fillId="0" borderId="31" xfId="0" applyNumberFormat="1" applyFont="1" applyBorder="1" applyAlignment="1">
      <alignment horizontal="center" vertical="center"/>
    </xf>
    <xf numFmtId="176" fontId="8" fillId="0" borderId="46" xfId="0" applyNumberFormat="1" applyFont="1" applyBorder="1" applyAlignment="1">
      <alignment horizontal="center" vertical="center"/>
    </xf>
  </cellXfs>
  <cellStyles count="4">
    <cellStyle name="쉼표 [0] 14 10" xfId="3" xr:uid="{02DC7A96-6F64-46EF-8551-60BE115A96F7}"/>
    <cellStyle name="표준" xfId="0" builtinId="0"/>
    <cellStyle name="표준 100 10" xfId="2" xr:uid="{519471D3-F278-453B-B534-1E2CD7501FA7}"/>
    <cellStyle name="표준 233" xfId="1" xr:uid="{FD25D43C-E5E4-4137-9329-D25E19DF08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DEDBD-D240-4C28-A56C-8C2EF7ED08F2}">
  <sheetPr>
    <pageSetUpPr fitToPage="1"/>
  </sheetPr>
  <dimension ref="A1:BL431"/>
  <sheetViews>
    <sheetView showGridLines="0" tabSelected="1" zoomScale="70" zoomScaleNormal="70" zoomScaleSheetLayoutView="55" workbookViewId="0">
      <pane xSplit="2" ySplit="16" topLeftCell="F17" activePane="bottomRight" state="frozen"/>
      <selection pane="topRight" activeCell="C1" sqref="C1"/>
      <selection pane="bottomLeft" activeCell="A4" sqref="A4"/>
      <selection pane="bottomRight" activeCell="K32" sqref="K32"/>
    </sheetView>
  </sheetViews>
  <sheetFormatPr defaultRowHeight="16.5" outlineLevelRow="5" outlineLevelCol="1" x14ac:dyDescent="0.3"/>
  <cols>
    <col min="1" max="1" width="6" style="181" bestFit="1" customWidth="1"/>
    <col min="2" max="2" width="11.125" style="2" bestFit="1" customWidth="1"/>
    <col min="3" max="3" width="9.25" style="3" bestFit="1" customWidth="1"/>
    <col min="4" max="11" width="9.25" style="3" customWidth="1" outlineLevel="1"/>
    <col min="12" max="12" width="9.25" style="4" bestFit="1" customWidth="1"/>
    <col min="13" max="20" width="9.25" style="4" customWidth="1" outlineLevel="1"/>
    <col min="21" max="21" width="9.25" style="5" bestFit="1" customWidth="1"/>
    <col min="22" max="29" width="9.25" style="5" customWidth="1" outlineLevel="1"/>
    <col min="30" max="30" width="14.25" style="5" bestFit="1" customWidth="1"/>
    <col min="31" max="38" width="9.25" style="5" customWidth="1" outlineLevel="1"/>
    <col min="39" max="39" width="13.75" style="5" customWidth="1"/>
    <col min="40" max="40" width="14.625" style="5" customWidth="1"/>
    <col min="41" max="42" width="8.625" style="6" customWidth="1"/>
    <col min="43" max="43" width="10.625" style="6" customWidth="1"/>
    <col min="44" max="44" width="10.625" style="6" bestFit="1" customWidth="1"/>
    <col min="45" max="45" width="14.625" style="7" customWidth="1"/>
    <col min="46" max="47" width="8.625" style="8" customWidth="1"/>
    <col min="48" max="48" width="10.625" style="6" customWidth="1"/>
    <col min="49" max="49" width="10.625" style="6" bestFit="1" customWidth="1"/>
    <col min="50" max="50" width="11.625" style="3" customWidth="1"/>
    <col min="51" max="55" width="11.625" style="4" customWidth="1"/>
    <col min="56" max="56" width="14.625" style="5" customWidth="1"/>
    <col min="57" max="57" width="20.375" style="5" bestFit="1" customWidth="1"/>
    <col min="58" max="58" width="14" style="5" customWidth="1" outlineLevel="1"/>
    <col min="59" max="59" width="20.875" style="5" customWidth="1" outlineLevel="1"/>
    <col min="60" max="60" width="18.875" style="5" customWidth="1" outlineLevel="1"/>
    <col min="61" max="62" width="20.25" style="5" customWidth="1" outlineLevel="1"/>
    <col min="63" max="64" width="20.875" style="5" customWidth="1" outlineLevel="1"/>
  </cols>
  <sheetData>
    <row r="1" spans="1:64" ht="19.5" x14ac:dyDescent="0.3">
      <c r="A1" s="1" t="s">
        <v>0</v>
      </c>
    </row>
    <row r="2" spans="1:64" s="11" customFormat="1" x14ac:dyDescent="0.3">
      <c r="A2" s="9" t="s">
        <v>1</v>
      </c>
      <c r="B2" s="10"/>
      <c r="L2" s="4"/>
      <c r="M2" s="4"/>
      <c r="N2" s="4"/>
      <c r="O2" s="4"/>
      <c r="P2" s="4"/>
      <c r="Q2" s="4"/>
      <c r="R2" s="4"/>
      <c r="S2" s="4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O2" s="6"/>
      <c r="AP2" s="6"/>
      <c r="AQ2" s="6"/>
      <c r="AR2" s="6"/>
      <c r="AS2" s="12"/>
      <c r="AT2" s="12"/>
      <c r="AU2" s="12"/>
      <c r="AV2" s="6"/>
      <c r="AW2" s="6"/>
      <c r="AY2" s="4"/>
      <c r="AZ2" s="4"/>
      <c r="BA2" s="4"/>
      <c r="BB2" s="4"/>
      <c r="BC2" s="4"/>
      <c r="BF2" s="5"/>
      <c r="BG2" s="5"/>
      <c r="BH2" s="5"/>
      <c r="BI2" s="5"/>
      <c r="BJ2" s="5"/>
      <c r="BK2" s="5"/>
      <c r="BL2" s="5"/>
    </row>
    <row r="3" spans="1:64" s="11" customFormat="1" x14ac:dyDescent="0.3">
      <c r="A3" s="13" t="s">
        <v>2</v>
      </c>
      <c r="B3" s="10"/>
      <c r="L3" s="4"/>
      <c r="M3" s="4"/>
      <c r="N3" s="4"/>
      <c r="O3" s="4"/>
      <c r="P3" s="4"/>
      <c r="Q3" s="4"/>
      <c r="R3" s="4"/>
      <c r="S3" s="4"/>
      <c r="T3" s="4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O3" s="6"/>
      <c r="AP3" s="6"/>
      <c r="AQ3" s="6"/>
      <c r="AR3" s="6"/>
      <c r="AS3" s="12"/>
      <c r="AT3" s="12"/>
      <c r="AU3" s="12"/>
      <c r="AV3" s="6"/>
      <c r="AW3" s="6"/>
      <c r="AY3" s="4"/>
      <c r="AZ3" s="4"/>
      <c r="BA3" s="4"/>
      <c r="BB3" s="4"/>
      <c r="BC3" s="4"/>
      <c r="BF3" s="5"/>
      <c r="BG3" s="5"/>
      <c r="BH3" s="5"/>
      <c r="BI3" s="5"/>
      <c r="BJ3" s="5"/>
      <c r="BK3" s="5"/>
      <c r="BL3" s="5"/>
    </row>
    <row r="4" spans="1:64" s="11" customFormat="1" x14ac:dyDescent="0.3">
      <c r="A4" s="14" t="s">
        <v>3</v>
      </c>
      <c r="B4" s="15"/>
      <c r="C4" s="16"/>
      <c r="D4" s="16"/>
      <c r="E4" s="16"/>
      <c r="F4" s="16"/>
      <c r="G4" s="16"/>
      <c r="L4" s="4"/>
      <c r="M4" s="4"/>
      <c r="N4" s="4"/>
      <c r="O4" s="4"/>
      <c r="P4" s="4"/>
      <c r="Q4" s="4"/>
      <c r="R4" s="4"/>
      <c r="S4" s="4"/>
      <c r="T4" s="4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O4" s="6"/>
      <c r="AP4" s="6"/>
      <c r="AQ4" s="6"/>
      <c r="AR4" s="6"/>
      <c r="AS4" s="12"/>
      <c r="AT4" s="12"/>
      <c r="AU4" s="12"/>
      <c r="AV4" s="6"/>
      <c r="AW4" s="6"/>
      <c r="AY4" s="4"/>
      <c r="AZ4" s="4"/>
      <c r="BA4" s="4"/>
      <c r="BB4" s="4"/>
      <c r="BC4" s="4"/>
      <c r="BF4" s="5"/>
      <c r="BG4" s="5"/>
      <c r="BH4" s="5"/>
      <c r="BI4" s="5"/>
      <c r="BJ4" s="5"/>
      <c r="BK4" s="5"/>
      <c r="BL4" s="5"/>
    </row>
    <row r="5" spans="1:64" s="11" customFormat="1" ht="17.25" thickBot="1" x14ac:dyDescent="0.35">
      <c r="A5" s="17"/>
      <c r="B5" s="10"/>
      <c r="L5" s="4"/>
      <c r="M5" s="4"/>
      <c r="N5" s="4"/>
      <c r="O5" s="4"/>
      <c r="P5" s="4"/>
      <c r="Q5" s="4"/>
      <c r="R5" s="4"/>
      <c r="S5" s="4"/>
      <c r="T5" s="4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O5" s="6"/>
      <c r="AP5" s="6"/>
      <c r="AQ5" s="6"/>
      <c r="AR5" s="6"/>
      <c r="AS5" s="12"/>
      <c r="AT5" s="12"/>
      <c r="AU5" s="12"/>
      <c r="AV5" s="6"/>
      <c r="AW5" s="6"/>
      <c r="AY5" s="4"/>
      <c r="AZ5" s="4"/>
      <c r="BA5" s="4"/>
      <c r="BB5" s="4"/>
      <c r="BC5" s="4"/>
      <c r="BF5" s="5"/>
      <c r="BG5" s="5"/>
      <c r="BH5" s="5"/>
      <c r="BI5" s="5"/>
      <c r="BJ5" s="5"/>
      <c r="BK5" s="5"/>
      <c r="BL5" s="5"/>
    </row>
    <row r="6" spans="1:64" s="11" customFormat="1" ht="17.25" customHeight="1" thickBot="1" x14ac:dyDescent="0.35">
      <c r="A6" s="209" t="s">
        <v>4</v>
      </c>
      <c r="B6" s="209"/>
      <c r="C6" s="206" t="s">
        <v>5</v>
      </c>
      <c r="D6" s="207"/>
      <c r="E6" s="207"/>
      <c r="F6" s="207"/>
      <c r="G6" s="207"/>
      <c r="H6" s="207"/>
      <c r="I6" s="207"/>
      <c r="J6" s="207"/>
      <c r="K6" s="208"/>
      <c r="L6" s="204" t="s">
        <v>6</v>
      </c>
      <c r="M6" s="205"/>
      <c r="N6" s="205"/>
      <c r="O6" s="205"/>
      <c r="P6" s="205"/>
      <c r="Q6" s="205"/>
      <c r="R6" s="205"/>
      <c r="S6" s="205"/>
      <c r="T6" s="32"/>
      <c r="U6" s="36" t="s">
        <v>7</v>
      </c>
      <c r="V6" s="203"/>
      <c r="W6" s="203"/>
      <c r="X6" s="203"/>
      <c r="Y6" s="203"/>
      <c r="Z6" s="203"/>
      <c r="AA6" s="203"/>
      <c r="AB6" s="203"/>
      <c r="AC6" s="24"/>
      <c r="AD6" s="36" t="s">
        <v>8</v>
      </c>
      <c r="AE6" s="203"/>
      <c r="AF6" s="203"/>
      <c r="AG6" s="203"/>
      <c r="AH6" s="203"/>
      <c r="AI6" s="203"/>
      <c r="AJ6" s="203"/>
      <c r="AK6" s="203"/>
      <c r="AL6" s="24"/>
      <c r="AM6" s="26" t="s">
        <v>9</v>
      </c>
      <c r="AN6" s="26" t="s">
        <v>10</v>
      </c>
      <c r="AO6" s="27" t="s">
        <v>11</v>
      </c>
      <c r="AP6" s="199" t="s">
        <v>12</v>
      </c>
      <c r="AQ6" s="29" t="s">
        <v>13</v>
      </c>
      <c r="AR6" s="29" t="s">
        <v>14</v>
      </c>
      <c r="AS6" s="201" t="s">
        <v>15</v>
      </c>
      <c r="AT6" s="27" t="s">
        <v>16</v>
      </c>
      <c r="AU6" s="199" t="s">
        <v>17</v>
      </c>
      <c r="AV6" s="29" t="s">
        <v>18</v>
      </c>
      <c r="AW6" s="29" t="s">
        <v>19</v>
      </c>
      <c r="AX6" s="31" t="s">
        <v>20</v>
      </c>
      <c r="AY6" s="197" t="s">
        <v>21</v>
      </c>
      <c r="AZ6" s="33" t="s">
        <v>22</v>
      </c>
      <c r="BA6" s="34"/>
      <c r="BB6" s="34"/>
      <c r="BC6" s="196"/>
      <c r="BD6" s="194" t="s">
        <v>23</v>
      </c>
      <c r="BE6" s="35" t="s">
        <v>24</v>
      </c>
      <c r="BF6" s="192" t="s">
        <v>25</v>
      </c>
      <c r="BG6" s="26" t="s">
        <v>26</v>
      </c>
      <c r="BH6" s="26" t="s">
        <v>27</v>
      </c>
      <c r="BI6" s="26" t="s">
        <v>28</v>
      </c>
      <c r="BJ6" s="26" t="s">
        <v>29</v>
      </c>
      <c r="BK6" s="26" t="s">
        <v>30</v>
      </c>
      <c r="BL6" s="36" t="s">
        <v>31</v>
      </c>
    </row>
    <row r="7" spans="1:64" s="62" customFormat="1" ht="35.25" thickBot="1" x14ac:dyDescent="0.35">
      <c r="A7" s="210"/>
      <c r="B7" s="210"/>
      <c r="C7" s="39" t="s">
        <v>32</v>
      </c>
      <c r="D7" s="40" t="s">
        <v>33</v>
      </c>
      <c r="E7" s="41" t="s">
        <v>34</v>
      </c>
      <c r="F7" s="41" t="s">
        <v>35</v>
      </c>
      <c r="G7" s="41" t="s">
        <v>36</v>
      </c>
      <c r="H7" s="41" t="s">
        <v>37</v>
      </c>
      <c r="I7" s="41" t="s">
        <v>38</v>
      </c>
      <c r="J7" s="41" t="s">
        <v>39</v>
      </c>
      <c r="K7" s="41" t="s">
        <v>40</v>
      </c>
      <c r="L7" s="42" t="s">
        <v>41</v>
      </c>
      <c r="M7" s="43" t="s">
        <v>33</v>
      </c>
      <c r="N7" s="44" t="s">
        <v>34</v>
      </c>
      <c r="O7" s="44" t="s">
        <v>35</v>
      </c>
      <c r="P7" s="44" t="s">
        <v>36</v>
      </c>
      <c r="Q7" s="44" t="s">
        <v>37</v>
      </c>
      <c r="R7" s="44" t="s">
        <v>38</v>
      </c>
      <c r="S7" s="44" t="s">
        <v>39</v>
      </c>
      <c r="T7" s="45" t="s">
        <v>40</v>
      </c>
      <c r="U7" s="46" t="s">
        <v>42</v>
      </c>
      <c r="V7" s="47" t="s">
        <v>33</v>
      </c>
      <c r="W7" s="48" t="s">
        <v>34</v>
      </c>
      <c r="X7" s="48" t="s">
        <v>35</v>
      </c>
      <c r="Y7" s="48" t="s">
        <v>36</v>
      </c>
      <c r="Z7" s="48" t="s">
        <v>37</v>
      </c>
      <c r="AA7" s="48" t="s">
        <v>38</v>
      </c>
      <c r="AB7" s="48" t="s">
        <v>39</v>
      </c>
      <c r="AC7" s="48" t="s">
        <v>40</v>
      </c>
      <c r="AD7" s="46" t="s">
        <v>43</v>
      </c>
      <c r="AE7" s="47" t="s">
        <v>33</v>
      </c>
      <c r="AF7" s="48" t="s">
        <v>34</v>
      </c>
      <c r="AG7" s="48" t="s">
        <v>35</v>
      </c>
      <c r="AH7" s="48" t="s">
        <v>36</v>
      </c>
      <c r="AI7" s="48" t="s">
        <v>37</v>
      </c>
      <c r="AJ7" s="48" t="s">
        <v>38</v>
      </c>
      <c r="AK7" s="48" t="s">
        <v>39</v>
      </c>
      <c r="AL7" s="48" t="s">
        <v>40</v>
      </c>
      <c r="AM7" s="49"/>
      <c r="AN7" s="49"/>
      <c r="AO7" s="51"/>
      <c r="AP7" s="200"/>
      <c r="AQ7" s="53"/>
      <c r="AR7" s="53"/>
      <c r="AS7" s="202"/>
      <c r="AT7" s="51"/>
      <c r="AU7" s="200"/>
      <c r="AV7" s="53"/>
      <c r="AW7" s="53"/>
      <c r="AX7" s="55"/>
      <c r="AY7" s="198"/>
      <c r="AZ7" s="57" t="s">
        <v>44</v>
      </c>
      <c r="BA7" s="57" t="s">
        <v>45</v>
      </c>
      <c r="BB7" s="57" t="s">
        <v>46</v>
      </c>
      <c r="BC7" s="58" t="s">
        <v>47</v>
      </c>
      <c r="BD7" s="195"/>
      <c r="BE7" s="60"/>
      <c r="BF7" s="193"/>
      <c r="BG7" s="49"/>
      <c r="BH7" s="49"/>
      <c r="BI7" s="49"/>
      <c r="BJ7" s="49"/>
      <c r="BK7" s="49"/>
      <c r="BL7" s="61"/>
    </row>
    <row r="8" spans="1:64" x14ac:dyDescent="0.3">
      <c r="A8" s="63" t="s">
        <v>48</v>
      </c>
      <c r="B8" s="64"/>
      <c r="C8" s="65">
        <f t="shared" ref="C8:BL8" si="0">SUBTOTAL(4,C17:C426)</f>
        <v>41</v>
      </c>
      <c r="D8" s="66">
        <f t="shared" si="0"/>
        <v>41</v>
      </c>
      <c r="E8" s="66">
        <f t="shared" si="0"/>
        <v>41</v>
      </c>
      <c r="F8" s="66">
        <f t="shared" si="0"/>
        <v>0</v>
      </c>
      <c r="G8" s="66">
        <f t="shared" si="0"/>
        <v>0</v>
      </c>
      <c r="H8" s="66">
        <f t="shared" si="0"/>
        <v>0</v>
      </c>
      <c r="I8" s="66">
        <f t="shared" si="0"/>
        <v>0</v>
      </c>
      <c r="J8" s="66">
        <f t="shared" si="0"/>
        <v>0</v>
      </c>
      <c r="K8" s="66">
        <f t="shared" si="0"/>
        <v>0</v>
      </c>
      <c r="L8" s="67">
        <f t="shared" si="0"/>
        <v>8.1</v>
      </c>
      <c r="M8" s="68">
        <f t="shared" si="0"/>
        <v>8.0500000000000007</v>
      </c>
      <c r="N8" s="68">
        <f t="shared" si="0"/>
        <v>8.0299999999999994</v>
      </c>
      <c r="O8" s="68">
        <f t="shared" si="0"/>
        <v>0</v>
      </c>
      <c r="P8" s="68">
        <f t="shared" si="0"/>
        <v>0</v>
      </c>
      <c r="Q8" s="68">
        <f t="shared" si="0"/>
        <v>0</v>
      </c>
      <c r="R8" s="68">
        <f t="shared" si="0"/>
        <v>0</v>
      </c>
      <c r="S8" s="68">
        <f t="shared" si="0"/>
        <v>0</v>
      </c>
      <c r="T8" s="68">
        <f t="shared" si="0"/>
        <v>0</v>
      </c>
      <c r="U8" s="69">
        <f t="shared" si="0"/>
        <v>2292.3000000000002</v>
      </c>
      <c r="V8" s="70">
        <f t="shared" si="0"/>
        <v>2469.6</v>
      </c>
      <c r="W8" s="70">
        <f t="shared" si="0"/>
        <v>2335.5</v>
      </c>
      <c r="X8" s="70">
        <f t="shared" si="0"/>
        <v>0</v>
      </c>
      <c r="Y8" s="70">
        <f t="shared" si="0"/>
        <v>0</v>
      </c>
      <c r="Z8" s="70">
        <f t="shared" si="0"/>
        <v>0</v>
      </c>
      <c r="AA8" s="70">
        <f t="shared" si="0"/>
        <v>0</v>
      </c>
      <c r="AB8" s="70">
        <f t="shared" si="0"/>
        <v>0</v>
      </c>
      <c r="AC8" s="70">
        <f t="shared" si="0"/>
        <v>0</v>
      </c>
      <c r="AD8" s="69">
        <f t="shared" si="0"/>
        <v>0</v>
      </c>
      <c r="AE8" s="70">
        <f t="shared" si="0"/>
        <v>0</v>
      </c>
      <c r="AF8" s="70">
        <f t="shared" si="0"/>
        <v>0</v>
      </c>
      <c r="AG8" s="70">
        <f t="shared" si="0"/>
        <v>0</v>
      </c>
      <c r="AH8" s="70">
        <f t="shared" si="0"/>
        <v>0</v>
      </c>
      <c r="AI8" s="70">
        <f t="shared" si="0"/>
        <v>0</v>
      </c>
      <c r="AJ8" s="70">
        <f t="shared" si="0"/>
        <v>0</v>
      </c>
      <c r="AK8" s="70">
        <f t="shared" si="0"/>
        <v>0</v>
      </c>
      <c r="AL8" s="70">
        <f t="shared" si="0"/>
        <v>0</v>
      </c>
      <c r="AM8" s="70">
        <f t="shared" si="0"/>
        <v>161.53319644079397</v>
      </c>
      <c r="AN8" s="70">
        <f t="shared" si="0"/>
        <v>174.57</v>
      </c>
      <c r="AO8" s="71">
        <f t="shared" si="0"/>
        <v>42.4</v>
      </c>
      <c r="AP8" s="72">
        <f t="shared" si="0"/>
        <v>37.9452</v>
      </c>
      <c r="AQ8" s="73">
        <f t="shared" si="0"/>
        <v>93</v>
      </c>
      <c r="AR8" s="73">
        <f t="shared" si="0"/>
        <v>53</v>
      </c>
      <c r="AS8" s="74">
        <f t="shared" si="0"/>
        <v>95</v>
      </c>
      <c r="AT8" s="75">
        <f t="shared" si="0"/>
        <v>24.65</v>
      </c>
      <c r="AU8" s="76">
        <f t="shared" si="0"/>
        <v>18.95</v>
      </c>
      <c r="AV8" s="73">
        <f t="shared" si="0"/>
        <v>76.876267748478696</v>
      </c>
      <c r="AW8" s="73">
        <f t="shared" si="0"/>
        <v>85.064935064935071</v>
      </c>
      <c r="AX8" s="65">
        <f t="shared" si="0"/>
        <v>89.188744446272835</v>
      </c>
      <c r="AY8" s="77">
        <f t="shared" si="0"/>
        <v>81.599999999999994</v>
      </c>
      <c r="AZ8" s="78">
        <f t="shared" si="0"/>
        <v>68.460000000000008</v>
      </c>
      <c r="BA8" s="78">
        <f t="shared" si="0"/>
        <v>0</v>
      </c>
      <c r="BB8" s="78">
        <f t="shared" si="0"/>
        <v>204</v>
      </c>
      <c r="BC8" s="78">
        <f t="shared" si="0"/>
        <v>0</v>
      </c>
      <c r="BD8" s="79">
        <f t="shared" si="0"/>
        <v>174.57</v>
      </c>
      <c r="BE8" s="69">
        <f t="shared" si="0"/>
        <v>15607</v>
      </c>
      <c r="BF8" s="70">
        <f t="shared" si="0"/>
        <v>491</v>
      </c>
      <c r="BG8" s="80">
        <f t="shared" si="0"/>
        <v>5753</v>
      </c>
      <c r="BH8" s="80">
        <f t="shared" si="0"/>
        <v>15607</v>
      </c>
      <c r="BI8" s="80">
        <f t="shared" si="0"/>
        <v>0</v>
      </c>
      <c r="BJ8" s="80">
        <f t="shared" si="0"/>
        <v>0</v>
      </c>
      <c r="BK8" s="80">
        <f t="shared" si="0"/>
        <v>0</v>
      </c>
      <c r="BL8" s="79">
        <f t="shared" si="0"/>
        <v>0</v>
      </c>
    </row>
    <row r="9" spans="1:64" x14ac:dyDescent="0.3">
      <c r="A9" s="81" t="s">
        <v>49</v>
      </c>
      <c r="B9" s="82"/>
      <c r="C9" s="83">
        <f t="shared" ref="C9:BL9" si="1">SUBTOTAL(5,C17:C426)</f>
        <v>31</v>
      </c>
      <c r="D9" s="84">
        <f t="shared" si="1"/>
        <v>30</v>
      </c>
      <c r="E9" s="84">
        <f t="shared" si="1"/>
        <v>32</v>
      </c>
      <c r="F9" s="84">
        <f t="shared" si="1"/>
        <v>0</v>
      </c>
      <c r="G9" s="84">
        <f t="shared" si="1"/>
        <v>0</v>
      </c>
      <c r="H9" s="84">
        <f t="shared" si="1"/>
        <v>0</v>
      </c>
      <c r="I9" s="84">
        <f t="shared" si="1"/>
        <v>0</v>
      </c>
      <c r="J9" s="84">
        <f t="shared" si="1"/>
        <v>0</v>
      </c>
      <c r="K9" s="84">
        <f t="shared" si="1"/>
        <v>0</v>
      </c>
      <c r="L9" s="85">
        <f t="shared" si="1"/>
        <v>7.7</v>
      </c>
      <c r="M9" s="86">
        <f t="shared" si="1"/>
        <v>7.71</v>
      </c>
      <c r="N9" s="86">
        <f t="shared" si="1"/>
        <v>7.68</v>
      </c>
      <c r="O9" s="86">
        <f t="shared" si="1"/>
        <v>0</v>
      </c>
      <c r="P9" s="86">
        <f t="shared" si="1"/>
        <v>0</v>
      </c>
      <c r="Q9" s="86">
        <f t="shared" si="1"/>
        <v>0</v>
      </c>
      <c r="R9" s="86">
        <f t="shared" si="1"/>
        <v>0</v>
      </c>
      <c r="S9" s="86">
        <f t="shared" si="1"/>
        <v>0</v>
      </c>
      <c r="T9" s="86">
        <f t="shared" si="1"/>
        <v>0</v>
      </c>
      <c r="U9" s="87">
        <f t="shared" si="1"/>
        <v>692</v>
      </c>
      <c r="V9" s="88">
        <f t="shared" si="1"/>
        <v>800.1</v>
      </c>
      <c r="W9" s="88">
        <f t="shared" si="1"/>
        <v>583.9</v>
      </c>
      <c r="X9" s="88">
        <f t="shared" si="1"/>
        <v>0</v>
      </c>
      <c r="Y9" s="88">
        <f t="shared" si="1"/>
        <v>0</v>
      </c>
      <c r="Z9" s="88">
        <f t="shared" si="1"/>
        <v>0</v>
      </c>
      <c r="AA9" s="88">
        <f t="shared" si="1"/>
        <v>0</v>
      </c>
      <c r="AB9" s="88">
        <f t="shared" si="1"/>
        <v>0</v>
      </c>
      <c r="AC9" s="88">
        <f t="shared" si="1"/>
        <v>0</v>
      </c>
      <c r="AD9" s="87">
        <f t="shared" si="1"/>
        <v>0</v>
      </c>
      <c r="AE9" s="88">
        <f t="shared" si="1"/>
        <v>0</v>
      </c>
      <c r="AF9" s="88">
        <f t="shared" si="1"/>
        <v>0</v>
      </c>
      <c r="AG9" s="88">
        <f t="shared" si="1"/>
        <v>0</v>
      </c>
      <c r="AH9" s="88">
        <f t="shared" si="1"/>
        <v>0</v>
      </c>
      <c r="AI9" s="88">
        <f t="shared" si="1"/>
        <v>0</v>
      </c>
      <c r="AJ9" s="88">
        <f t="shared" si="1"/>
        <v>0</v>
      </c>
      <c r="AK9" s="88">
        <f t="shared" si="1"/>
        <v>0</v>
      </c>
      <c r="AL9" s="88">
        <f t="shared" si="1"/>
        <v>0</v>
      </c>
      <c r="AM9" s="88">
        <f t="shared" si="1"/>
        <v>27.037864466976</v>
      </c>
      <c r="AN9" s="88">
        <f t="shared" si="1"/>
        <v>0</v>
      </c>
      <c r="AO9" s="89">
        <f t="shared" si="1"/>
        <v>7.9</v>
      </c>
      <c r="AP9" s="90">
        <f t="shared" si="1"/>
        <v>5.9803000000000006</v>
      </c>
      <c r="AQ9" s="91">
        <f t="shared" si="1"/>
        <v>47</v>
      </c>
      <c r="AR9" s="91">
        <f t="shared" si="1"/>
        <v>7</v>
      </c>
      <c r="AS9" s="92">
        <f t="shared" si="1"/>
        <v>0</v>
      </c>
      <c r="AT9" s="93">
        <f t="shared" si="1"/>
        <v>11.600000000000001</v>
      </c>
      <c r="AU9" s="94">
        <f t="shared" si="1"/>
        <v>2.2999999999999998</v>
      </c>
      <c r="AV9" s="91">
        <f t="shared" si="1"/>
        <v>14.935064935064934</v>
      </c>
      <c r="AW9" s="91">
        <f t="shared" si="1"/>
        <v>23.123732251521304</v>
      </c>
      <c r="AX9" s="83">
        <f t="shared" si="1"/>
        <v>65.658552142021932</v>
      </c>
      <c r="AY9" s="95">
        <f t="shared" si="1"/>
        <v>53.9</v>
      </c>
      <c r="AZ9" s="96">
        <f t="shared" si="1"/>
        <v>49.42</v>
      </c>
      <c r="BA9" s="96">
        <f t="shared" si="1"/>
        <v>0</v>
      </c>
      <c r="BB9" s="96">
        <f t="shared" si="1"/>
        <v>18.5</v>
      </c>
      <c r="BC9" s="96">
        <f t="shared" si="1"/>
        <v>0</v>
      </c>
      <c r="BD9" s="97">
        <f t="shared" si="1"/>
        <v>0</v>
      </c>
      <c r="BE9" s="87">
        <f t="shared" si="1"/>
        <v>14</v>
      </c>
      <c r="BF9" s="88">
        <f t="shared" si="1"/>
        <v>0</v>
      </c>
      <c r="BG9" s="98">
        <f t="shared" si="1"/>
        <v>0</v>
      </c>
      <c r="BH9" s="98">
        <f t="shared" si="1"/>
        <v>0</v>
      </c>
      <c r="BI9" s="98">
        <f t="shared" si="1"/>
        <v>0</v>
      </c>
      <c r="BJ9" s="98">
        <f t="shared" si="1"/>
        <v>0</v>
      </c>
      <c r="BK9" s="98">
        <f t="shared" si="1"/>
        <v>0</v>
      </c>
      <c r="BL9" s="97">
        <f t="shared" si="1"/>
        <v>0</v>
      </c>
    </row>
    <row r="10" spans="1:64" x14ac:dyDescent="0.3">
      <c r="A10" s="81" t="s">
        <v>50</v>
      </c>
      <c r="B10" s="82"/>
      <c r="C10" s="83">
        <f t="shared" ref="C10:BL10" si="2">IFERROR(SUBTOTAL(1,C17:C426),"")</f>
        <v>38.067164179104481</v>
      </c>
      <c r="D10" s="84">
        <f t="shared" si="2"/>
        <v>38.013661202185794</v>
      </c>
      <c r="E10" s="84">
        <f t="shared" si="2"/>
        <v>38.166666666666664</v>
      </c>
      <c r="F10" s="84" t="str">
        <f t="shared" si="2"/>
        <v/>
      </c>
      <c r="G10" s="84" t="str">
        <f t="shared" si="2"/>
        <v/>
      </c>
      <c r="H10" s="84" t="str">
        <f t="shared" si="2"/>
        <v/>
      </c>
      <c r="I10" s="84" t="str">
        <f t="shared" si="2"/>
        <v/>
      </c>
      <c r="J10" s="84" t="str">
        <f t="shared" si="2"/>
        <v/>
      </c>
      <c r="K10" s="84" t="str">
        <f t="shared" si="2"/>
        <v/>
      </c>
      <c r="L10" s="85">
        <f t="shared" si="2"/>
        <v>7.8583941605839263</v>
      </c>
      <c r="M10" s="86">
        <f t="shared" si="2"/>
        <v>7.8920454545454497</v>
      </c>
      <c r="N10" s="86">
        <f t="shared" si="2"/>
        <v>7.810458015267181</v>
      </c>
      <c r="O10" s="86" t="str">
        <f t="shared" si="2"/>
        <v/>
      </c>
      <c r="P10" s="86" t="str">
        <f t="shared" si="2"/>
        <v/>
      </c>
      <c r="Q10" s="86" t="str">
        <f t="shared" si="2"/>
        <v/>
      </c>
      <c r="R10" s="86" t="str">
        <f t="shared" si="2"/>
        <v/>
      </c>
      <c r="S10" s="86" t="str">
        <f t="shared" si="2"/>
        <v/>
      </c>
      <c r="T10" s="86" t="str">
        <f t="shared" si="2"/>
        <v/>
      </c>
      <c r="U10" s="87">
        <f t="shared" si="2"/>
        <v>1426.3932835820899</v>
      </c>
      <c r="V10" s="88">
        <f t="shared" si="2"/>
        <v>1543.2395348837206</v>
      </c>
      <c r="W10" s="88">
        <f t="shared" si="2"/>
        <v>1296.5511627906974</v>
      </c>
      <c r="X10" s="88" t="str">
        <f t="shared" si="2"/>
        <v/>
      </c>
      <c r="Y10" s="88" t="str">
        <f t="shared" si="2"/>
        <v/>
      </c>
      <c r="Z10" s="88" t="str">
        <f t="shared" si="2"/>
        <v/>
      </c>
      <c r="AA10" s="88" t="str">
        <f t="shared" si="2"/>
        <v/>
      </c>
      <c r="AB10" s="88" t="str">
        <f t="shared" si="2"/>
        <v/>
      </c>
      <c r="AC10" s="88" t="str">
        <f t="shared" si="2"/>
        <v/>
      </c>
      <c r="AD10" s="87" t="str">
        <f t="shared" si="2"/>
        <v/>
      </c>
      <c r="AE10" s="88" t="str">
        <f t="shared" si="2"/>
        <v/>
      </c>
      <c r="AF10" s="88" t="str">
        <f t="shared" si="2"/>
        <v/>
      </c>
      <c r="AG10" s="88" t="str">
        <f t="shared" si="2"/>
        <v/>
      </c>
      <c r="AH10" s="88" t="str">
        <f t="shared" si="2"/>
        <v/>
      </c>
      <c r="AI10" s="88" t="str">
        <f t="shared" si="2"/>
        <v/>
      </c>
      <c r="AJ10" s="88" t="str">
        <f t="shared" si="2"/>
        <v/>
      </c>
      <c r="AK10" s="88" t="str">
        <f t="shared" si="2"/>
        <v/>
      </c>
      <c r="AL10" s="88" t="str">
        <f t="shared" si="2"/>
        <v/>
      </c>
      <c r="AM10" s="88">
        <f t="shared" si="2"/>
        <v>54.654262047167933</v>
      </c>
      <c r="AN10" s="88">
        <f t="shared" si="2"/>
        <v>92.673251366120212</v>
      </c>
      <c r="AO10" s="89">
        <f t="shared" si="2"/>
        <v>20.267391304347825</v>
      </c>
      <c r="AP10" s="90">
        <f t="shared" si="2"/>
        <v>17.366841304347822</v>
      </c>
      <c r="AQ10" s="91">
        <f t="shared" si="2"/>
        <v>85.25434782608697</v>
      </c>
      <c r="AR10" s="91">
        <f t="shared" si="2"/>
        <v>14.745652173913047</v>
      </c>
      <c r="AS10" s="92">
        <f t="shared" si="2"/>
        <v>13.174863387978142</v>
      </c>
      <c r="AT10" s="93">
        <f t="shared" si="2"/>
        <v>14.927651515151519</v>
      </c>
      <c r="AU10" s="94">
        <f t="shared" si="2"/>
        <v>8.7443181818181834</v>
      </c>
      <c r="AV10" s="91">
        <f t="shared" si="2"/>
        <v>58.413672814760204</v>
      </c>
      <c r="AW10" s="91">
        <f t="shared" si="2"/>
        <v>41.58632718523981</v>
      </c>
      <c r="AX10" s="83">
        <f t="shared" si="2"/>
        <v>78.650333487877418</v>
      </c>
      <c r="AY10" s="95">
        <f t="shared" si="2"/>
        <v>75.878888888888895</v>
      </c>
      <c r="AZ10" s="96">
        <f t="shared" si="2"/>
        <v>61.239409722222227</v>
      </c>
      <c r="BA10" s="96" t="str">
        <f t="shared" si="2"/>
        <v/>
      </c>
      <c r="BB10" s="96">
        <f t="shared" si="2"/>
        <v>86.729166666666671</v>
      </c>
      <c r="BC10" s="96" t="str">
        <f t="shared" si="2"/>
        <v/>
      </c>
      <c r="BD10" s="97">
        <f>IFERROR(SUBTOTAL(1,BD17:BD426),"")</f>
        <v>92.673251366120212</v>
      </c>
      <c r="BE10" s="87">
        <f t="shared" si="2"/>
        <v>3681.433962264151</v>
      </c>
      <c r="BF10" s="88">
        <f t="shared" si="2"/>
        <v>42.327868852459019</v>
      </c>
      <c r="BG10" s="98">
        <f t="shared" si="2"/>
        <v>474.19672131147541</v>
      </c>
      <c r="BH10" s="98">
        <f t="shared" si="2"/>
        <v>2682.0983606557379</v>
      </c>
      <c r="BI10" s="98" t="str">
        <f t="shared" si="2"/>
        <v/>
      </c>
      <c r="BJ10" s="98" t="str">
        <f t="shared" si="2"/>
        <v/>
      </c>
      <c r="BK10" s="98" t="str">
        <f t="shared" si="2"/>
        <v/>
      </c>
      <c r="BL10" s="97" t="str">
        <f t="shared" si="2"/>
        <v/>
      </c>
    </row>
    <row r="11" spans="1:64" ht="17.25" thickBot="1" x14ac:dyDescent="0.35">
      <c r="A11" s="99" t="s">
        <v>51</v>
      </c>
      <c r="B11" s="100"/>
      <c r="C11" s="101"/>
      <c r="D11" s="102"/>
      <c r="E11" s="102"/>
      <c r="F11" s="102"/>
      <c r="G11" s="102"/>
      <c r="H11" s="102"/>
      <c r="I11" s="102"/>
      <c r="J11" s="102"/>
      <c r="K11" s="102"/>
      <c r="L11" s="103"/>
      <c r="M11" s="104"/>
      <c r="N11" s="104"/>
      <c r="O11" s="104"/>
      <c r="P11" s="104"/>
      <c r="Q11" s="104"/>
      <c r="R11" s="104"/>
      <c r="S11" s="104"/>
      <c r="T11" s="104"/>
      <c r="U11" s="105"/>
      <c r="V11" s="106"/>
      <c r="W11" s="106"/>
      <c r="X11" s="106"/>
      <c r="Y11" s="106"/>
      <c r="Z11" s="106"/>
      <c r="AA11" s="106"/>
      <c r="AB11" s="106"/>
      <c r="AC11" s="106"/>
      <c r="AD11" s="105"/>
      <c r="AE11" s="106"/>
      <c r="AF11" s="106"/>
      <c r="AG11" s="106"/>
      <c r="AH11" s="106"/>
      <c r="AI11" s="106"/>
      <c r="AJ11" s="106"/>
      <c r="AK11" s="106"/>
      <c r="AL11" s="106"/>
      <c r="AM11" s="106"/>
      <c r="AN11" s="107">
        <f>SUBTOTAL(9,AN17:AN425)</f>
        <v>33832.399999999994</v>
      </c>
      <c r="AO11" s="108"/>
      <c r="AP11" s="109"/>
      <c r="AQ11" s="110"/>
      <c r="AR11" s="110"/>
      <c r="AS11" s="111">
        <f>SUBTOTAL(9,AS17:AS425)</f>
        <v>4781</v>
      </c>
      <c r="AT11" s="112"/>
      <c r="AU11" s="113"/>
      <c r="AV11" s="110"/>
      <c r="AW11" s="110"/>
      <c r="AX11" s="101"/>
      <c r="AY11" s="114"/>
      <c r="AZ11" s="115"/>
      <c r="BA11" s="115"/>
      <c r="BB11" s="115"/>
      <c r="BC11" s="115"/>
      <c r="BD11" s="116">
        <f>SUBTOTAL(9,BD17:BD425)</f>
        <v>33832.399999999994</v>
      </c>
      <c r="BE11" s="117">
        <f t="shared" ref="BE11:BL11" si="3">SUBTOTAL(9,BE17:BE425)</f>
        <v>1169649</v>
      </c>
      <c r="BF11" s="107">
        <f t="shared" si="3"/>
        <v>15410</v>
      </c>
      <c r="BG11" s="118">
        <f t="shared" si="3"/>
        <v>173556</v>
      </c>
      <c r="BH11" s="118">
        <f t="shared" si="3"/>
        <v>980683</v>
      </c>
      <c r="BI11" s="118">
        <f t="shared" si="3"/>
        <v>0</v>
      </c>
      <c r="BJ11" s="118">
        <f t="shared" si="3"/>
        <v>0</v>
      </c>
      <c r="BK11" s="118">
        <f t="shared" si="3"/>
        <v>0</v>
      </c>
      <c r="BL11" s="116">
        <f t="shared" si="3"/>
        <v>0</v>
      </c>
    </row>
    <row r="12" spans="1:64" ht="17.25" thickBot="1" x14ac:dyDescent="0.35">
      <c r="A12" s="190" t="s">
        <v>52</v>
      </c>
      <c r="B12" s="191"/>
      <c r="C12" s="101"/>
      <c r="D12" s="102"/>
      <c r="E12" s="102"/>
      <c r="F12" s="102"/>
      <c r="G12" s="102"/>
      <c r="H12" s="102"/>
      <c r="I12" s="102"/>
      <c r="J12" s="102"/>
      <c r="K12" s="102"/>
      <c r="L12" s="103"/>
      <c r="M12" s="104"/>
      <c r="N12" s="104"/>
      <c r="O12" s="104"/>
      <c r="P12" s="104"/>
      <c r="Q12" s="104"/>
      <c r="R12" s="104"/>
      <c r="S12" s="104"/>
      <c r="T12" s="104"/>
      <c r="U12" s="105"/>
      <c r="V12" s="106"/>
      <c r="W12" s="106"/>
      <c r="X12" s="106"/>
      <c r="Y12" s="106"/>
      <c r="Z12" s="106"/>
      <c r="AA12" s="106"/>
      <c r="AB12" s="106"/>
      <c r="AC12" s="106"/>
      <c r="AD12" s="105"/>
      <c r="AE12" s="106"/>
      <c r="AF12" s="106"/>
      <c r="AG12" s="106"/>
      <c r="AH12" s="106"/>
      <c r="AI12" s="106"/>
      <c r="AJ12" s="106"/>
      <c r="AK12" s="106"/>
      <c r="AL12" s="106"/>
      <c r="AM12" s="106"/>
      <c r="AN12" s="107">
        <f>IFERROR(SUBTOTAL(9,AN17:AN426)/COUNTA(AN17:AN47,AN52:AN80,AN85:AN115,AN120:AN149,AN154:AN184,AN189:AN218,AN223:AN253,AN258:AN288,AN293:AN322,AN327:AN357,AN362:AN391,AN396:AN426),"")</f>
        <v>92.673251366120212</v>
      </c>
      <c r="AO12" s="108"/>
      <c r="AP12" s="109"/>
      <c r="AQ12" s="110"/>
      <c r="AR12" s="110"/>
      <c r="AS12" s="111">
        <f>IFERROR(SUBTOTAL(9,AS17:AS426)/COUNTA(AS17:AS47,AS52:AS80,AS85:AS115,AS120:AS149,AS154:AS184,AS189:AS218,AS223:AS253,AS258:AS288,AS293:AS322,AS327:AS357,AS362:AS391,AS396:AS426),"")</f>
        <v>13.174863387978142</v>
      </c>
      <c r="AT12" s="112"/>
      <c r="AU12" s="113"/>
      <c r="AV12" s="110"/>
      <c r="AW12" s="110"/>
      <c r="AX12" s="101"/>
      <c r="AY12" s="114"/>
      <c r="AZ12" s="115"/>
      <c r="BA12" s="115"/>
      <c r="BB12" s="115"/>
      <c r="BC12" s="115"/>
      <c r="BD12" s="116">
        <f>IFERROR(SUBTOTAL(9,BD17:BD426)/COUNTA(BD17:BD47,BD52:BD80,BD85:BD115,BD120:BD149,BD154:BD184,BD189:BD218,BD223:BD253,BD258:BD288,BD293:BD322,BD327:BD357,BD362:BD391,BD396:BD426),"")</f>
        <v>92.673251366120212</v>
      </c>
      <c r="BE12" s="119">
        <f>SUBTOTAL(9,BE17:BE426)/COUNTA(BE17:BE47,BE52:BE80,BE85:BE115,BE120:BE149,BE154:BE184,BE189:BE218,BE223:BE253,BE258:BE288,BE293:BE322,BE327:BE357,BE362:BE391,BE396:BE426)</f>
        <v>3198.622950819672</v>
      </c>
      <c r="BF12" s="120">
        <f>IFERROR(SUBTOTAL(9,BF17:BF426)/COUNTA(BF17:BF47,BF52:BF80,BF85:BF115,BF120:BF149,BF154:BF184,BF189:BF218,BF223:BF253,BF258:BF288,BF293:BF322,BF327:BF357,BF362:BF391,BF396:BF426),"")</f>
        <v>42.327868852459019</v>
      </c>
      <c r="BG12" s="121">
        <f t="shared" ref="BG12:BL12" si="4">IFERROR(SUBTOTAL(9,BG17:BG426)/COUNTA(BG17:BG47,BG52:BG80,BG85:BG115,BG120:BG149,BG154:BG184,BG189:BG218,BG223:BG253,BG258:BG288,BG293:BG322,BG327:BG357,BG362:BG391,BG396:BG426),"")</f>
        <v>474.19672131147541</v>
      </c>
      <c r="BH12" s="121">
        <f t="shared" si="4"/>
        <v>2682.0983606557379</v>
      </c>
      <c r="BI12" s="121" t="str">
        <f t="shared" si="4"/>
        <v/>
      </c>
      <c r="BJ12" s="121" t="str">
        <f t="shared" si="4"/>
        <v/>
      </c>
      <c r="BK12" s="121" t="str">
        <f t="shared" si="4"/>
        <v/>
      </c>
      <c r="BL12" s="122" t="str">
        <f t="shared" si="4"/>
        <v/>
      </c>
    </row>
    <row r="13" spans="1:64" s="125" customFormat="1" x14ac:dyDescent="0.3">
      <c r="A13" s="123"/>
      <c r="B13" s="123"/>
      <c r="C13" s="124"/>
      <c r="L13" s="126"/>
      <c r="M13" s="127"/>
      <c r="N13" s="127"/>
      <c r="O13" s="127"/>
      <c r="P13" s="127"/>
      <c r="Q13" s="127"/>
      <c r="R13" s="127"/>
      <c r="S13" s="127"/>
      <c r="T13" s="127"/>
      <c r="U13" s="128"/>
      <c r="V13" s="129"/>
      <c r="W13" s="129"/>
      <c r="X13" s="129"/>
      <c r="Y13" s="129"/>
      <c r="Z13" s="129"/>
      <c r="AA13" s="129"/>
      <c r="AB13" s="129"/>
      <c r="AC13" s="129"/>
      <c r="AD13" s="128"/>
      <c r="AE13" s="129"/>
      <c r="AF13" s="129"/>
      <c r="AG13" s="129"/>
      <c r="AH13" s="129"/>
      <c r="AI13" s="129"/>
      <c r="AJ13" s="129"/>
      <c r="AK13" s="129"/>
      <c r="AL13" s="129"/>
      <c r="AM13" s="128"/>
      <c r="AN13" s="124"/>
      <c r="AO13" s="130"/>
      <c r="AP13" s="130"/>
      <c r="AQ13" s="130"/>
      <c r="AR13" s="130"/>
      <c r="AS13" s="131"/>
      <c r="AT13" s="131"/>
      <c r="AU13" s="131"/>
      <c r="AV13" s="130"/>
      <c r="AW13" s="130"/>
      <c r="AY13" s="127"/>
      <c r="AZ13" s="127"/>
      <c r="BA13" s="127"/>
      <c r="BB13" s="127"/>
      <c r="BC13" s="127"/>
      <c r="BD13" s="124"/>
      <c r="BF13" s="129"/>
      <c r="BG13" s="129"/>
      <c r="BH13" s="129"/>
      <c r="BI13" s="129"/>
      <c r="BJ13" s="129"/>
      <c r="BK13" s="129"/>
      <c r="BL13" s="129"/>
    </row>
    <row r="14" spans="1:64" s="125" customFormat="1" ht="17.25" thickBot="1" x14ac:dyDescent="0.35">
      <c r="A14" s="123"/>
      <c r="B14" s="123"/>
      <c r="L14" s="127"/>
      <c r="M14" s="127"/>
      <c r="N14" s="127"/>
      <c r="O14" s="127"/>
      <c r="P14" s="127"/>
      <c r="Q14" s="127"/>
      <c r="R14" s="127"/>
      <c r="S14" s="127"/>
      <c r="T14" s="127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O14" s="130"/>
      <c r="AP14" s="130"/>
      <c r="AQ14" s="130"/>
      <c r="AR14" s="130"/>
      <c r="AS14" s="131"/>
      <c r="AT14" s="131"/>
      <c r="AU14" s="131"/>
      <c r="AV14" s="130"/>
      <c r="AW14" s="130"/>
      <c r="AY14" s="127"/>
      <c r="AZ14" s="127"/>
      <c r="BA14" s="127"/>
      <c r="BB14" s="127"/>
      <c r="BC14" s="127"/>
      <c r="BF14" s="129"/>
      <c r="BG14" s="129"/>
      <c r="BH14" s="129"/>
      <c r="BI14" s="129"/>
      <c r="BJ14" s="129"/>
      <c r="BK14" s="129"/>
      <c r="BL14" s="129"/>
    </row>
    <row r="15" spans="1:64" s="11" customFormat="1" ht="17.25" customHeight="1" thickBot="1" x14ac:dyDescent="0.35">
      <c r="A15" s="132" t="s">
        <v>53</v>
      </c>
      <c r="B15" s="133" t="s">
        <v>54</v>
      </c>
      <c r="C15" s="20" t="s">
        <v>5</v>
      </c>
      <c r="D15" s="21"/>
      <c r="E15" s="21"/>
      <c r="F15" s="21"/>
      <c r="G15" s="21"/>
      <c r="H15" s="21"/>
      <c r="I15" s="21"/>
      <c r="J15" s="21"/>
      <c r="K15" s="21"/>
      <c r="L15" s="22" t="s">
        <v>6</v>
      </c>
      <c r="M15" s="23"/>
      <c r="N15" s="23"/>
      <c r="O15" s="23"/>
      <c r="P15" s="23"/>
      <c r="Q15" s="23"/>
      <c r="R15" s="23"/>
      <c r="S15" s="23"/>
      <c r="T15" s="23"/>
      <c r="U15" s="24" t="s">
        <v>7</v>
      </c>
      <c r="V15" s="25"/>
      <c r="W15" s="25"/>
      <c r="X15" s="25"/>
      <c r="Y15" s="25"/>
      <c r="Z15" s="25"/>
      <c r="AA15" s="25"/>
      <c r="AB15" s="25"/>
      <c r="AC15" s="25"/>
      <c r="AD15" s="26" t="s">
        <v>8</v>
      </c>
      <c r="AE15" s="25"/>
      <c r="AF15" s="25"/>
      <c r="AG15" s="25"/>
      <c r="AH15" s="25"/>
      <c r="AI15" s="25"/>
      <c r="AJ15" s="25"/>
      <c r="AK15" s="25"/>
      <c r="AL15" s="25"/>
      <c r="AM15" s="26" t="s">
        <v>9</v>
      </c>
      <c r="AN15" s="24" t="s">
        <v>10</v>
      </c>
      <c r="AO15" s="27" t="s">
        <v>11</v>
      </c>
      <c r="AP15" s="28" t="s">
        <v>12</v>
      </c>
      <c r="AQ15" s="29" t="s">
        <v>13</v>
      </c>
      <c r="AR15" s="29" t="s">
        <v>14</v>
      </c>
      <c r="AS15" s="30" t="s">
        <v>15</v>
      </c>
      <c r="AT15" s="27" t="s">
        <v>16</v>
      </c>
      <c r="AU15" s="28" t="s">
        <v>17</v>
      </c>
      <c r="AV15" s="29" t="s">
        <v>18</v>
      </c>
      <c r="AW15" s="29" t="s">
        <v>19</v>
      </c>
      <c r="AX15" s="31" t="s">
        <v>20</v>
      </c>
      <c r="AY15" s="32" t="s">
        <v>21</v>
      </c>
      <c r="AZ15" s="33" t="s">
        <v>55</v>
      </c>
      <c r="BA15" s="34"/>
      <c r="BB15" s="34"/>
      <c r="BC15" s="34"/>
      <c r="BD15" s="25" t="s">
        <v>23</v>
      </c>
      <c r="BE15" s="35" t="s">
        <v>24</v>
      </c>
      <c r="BF15" s="24" t="s">
        <v>25</v>
      </c>
      <c r="BG15" s="26" t="s">
        <v>26</v>
      </c>
      <c r="BH15" s="26" t="s">
        <v>27</v>
      </c>
      <c r="BI15" s="26" t="s">
        <v>28</v>
      </c>
      <c r="BJ15" s="26" t="s">
        <v>29</v>
      </c>
      <c r="BK15" s="26" t="s">
        <v>30</v>
      </c>
      <c r="BL15" s="36" t="s">
        <v>31</v>
      </c>
    </row>
    <row r="16" spans="1:64" s="62" customFormat="1" ht="35.25" thickBot="1" x14ac:dyDescent="0.35">
      <c r="A16" s="134"/>
      <c r="B16" s="135"/>
      <c r="C16" s="39" t="s">
        <v>32</v>
      </c>
      <c r="D16" s="40" t="s">
        <v>33</v>
      </c>
      <c r="E16" s="41" t="s">
        <v>34</v>
      </c>
      <c r="F16" s="41" t="s">
        <v>35</v>
      </c>
      <c r="G16" s="41" t="s">
        <v>36</v>
      </c>
      <c r="H16" s="41" t="s">
        <v>37</v>
      </c>
      <c r="I16" s="41" t="s">
        <v>38</v>
      </c>
      <c r="J16" s="41" t="s">
        <v>39</v>
      </c>
      <c r="K16" s="41" t="s">
        <v>40</v>
      </c>
      <c r="L16" s="42" t="s">
        <v>41</v>
      </c>
      <c r="M16" s="43" t="s">
        <v>33</v>
      </c>
      <c r="N16" s="44" t="s">
        <v>34</v>
      </c>
      <c r="O16" s="44" t="s">
        <v>35</v>
      </c>
      <c r="P16" s="44" t="s">
        <v>36</v>
      </c>
      <c r="Q16" s="44" t="s">
        <v>37</v>
      </c>
      <c r="R16" s="44" t="s">
        <v>38</v>
      </c>
      <c r="S16" s="44" t="s">
        <v>39</v>
      </c>
      <c r="T16" s="45" t="s">
        <v>40</v>
      </c>
      <c r="U16" s="46" t="s">
        <v>42</v>
      </c>
      <c r="V16" s="47" t="s">
        <v>33</v>
      </c>
      <c r="W16" s="48" t="s">
        <v>34</v>
      </c>
      <c r="X16" s="48" t="s">
        <v>35</v>
      </c>
      <c r="Y16" s="48" t="s">
        <v>36</v>
      </c>
      <c r="Z16" s="48" t="s">
        <v>37</v>
      </c>
      <c r="AA16" s="48" t="s">
        <v>38</v>
      </c>
      <c r="AB16" s="48" t="s">
        <v>39</v>
      </c>
      <c r="AC16" s="48" t="s">
        <v>40</v>
      </c>
      <c r="AD16" s="46" t="s">
        <v>43</v>
      </c>
      <c r="AE16" s="47" t="s">
        <v>33</v>
      </c>
      <c r="AF16" s="48" t="s">
        <v>34</v>
      </c>
      <c r="AG16" s="48" t="s">
        <v>35</v>
      </c>
      <c r="AH16" s="48" t="s">
        <v>36</v>
      </c>
      <c r="AI16" s="48" t="s">
        <v>37</v>
      </c>
      <c r="AJ16" s="48" t="s">
        <v>38</v>
      </c>
      <c r="AK16" s="48" t="s">
        <v>39</v>
      </c>
      <c r="AL16" s="48" t="s">
        <v>40</v>
      </c>
      <c r="AM16" s="49"/>
      <c r="AN16" s="50"/>
      <c r="AO16" s="51"/>
      <c r="AP16" s="52"/>
      <c r="AQ16" s="53"/>
      <c r="AR16" s="53"/>
      <c r="AS16" s="54"/>
      <c r="AT16" s="51"/>
      <c r="AU16" s="52"/>
      <c r="AV16" s="53"/>
      <c r="AW16" s="53"/>
      <c r="AX16" s="55"/>
      <c r="AY16" s="56"/>
      <c r="AZ16" s="57" t="s">
        <v>44</v>
      </c>
      <c r="BA16" s="57" t="s">
        <v>45</v>
      </c>
      <c r="BB16" s="57" t="s">
        <v>46</v>
      </c>
      <c r="BC16" s="58" t="s">
        <v>47</v>
      </c>
      <c r="BD16" s="59"/>
      <c r="BE16" s="60"/>
      <c r="BF16" s="50"/>
      <c r="BG16" s="49"/>
      <c r="BH16" s="49"/>
      <c r="BI16" s="49"/>
      <c r="BJ16" s="49"/>
      <c r="BK16" s="49"/>
      <c r="BL16" s="61"/>
    </row>
    <row r="17" spans="1:64" outlineLevel="5" x14ac:dyDescent="0.3">
      <c r="A17" s="136">
        <f>MONTH(B17)</f>
        <v>1</v>
      </c>
      <c r="B17" s="137">
        <v>43831</v>
      </c>
      <c r="C17" s="138">
        <f>IFERROR(ROUND(AVERAGE(D17:K17),1),"")</f>
        <v>39</v>
      </c>
      <c r="D17" s="84">
        <v>38</v>
      </c>
      <c r="E17" s="84">
        <v>40</v>
      </c>
      <c r="F17" s="84"/>
      <c r="G17" s="84"/>
      <c r="H17" s="139"/>
      <c r="I17" s="139"/>
      <c r="J17" s="139"/>
      <c r="K17" s="139"/>
      <c r="L17" s="140" t="str">
        <f>IFERROR(ROUND(AVERAGE(M17:T17),1),"")</f>
        <v/>
      </c>
      <c r="M17" s="86"/>
      <c r="N17" s="86"/>
      <c r="O17" s="86"/>
      <c r="P17" s="86"/>
      <c r="Q17" s="141"/>
      <c r="R17" s="141"/>
      <c r="S17" s="141"/>
      <c r="T17" s="141"/>
      <c r="U17" s="142" t="str">
        <f>IFERROR(ROUND(AVERAGE(V17:AC17),1),"")</f>
        <v/>
      </c>
      <c r="V17" s="143"/>
      <c r="W17" s="143"/>
      <c r="X17" s="143"/>
      <c r="Y17" s="143"/>
      <c r="Z17" s="143"/>
      <c r="AA17" s="143"/>
      <c r="AB17" s="143"/>
      <c r="AC17" s="143"/>
      <c r="AD17" s="142" t="str">
        <f>IFERROR(ROUND(AVERAGE(AE17:AL17),1),"")</f>
        <v/>
      </c>
      <c r="AE17" s="143"/>
      <c r="AF17" s="143"/>
      <c r="AG17" s="143"/>
      <c r="AH17" s="143"/>
      <c r="AI17" s="143"/>
      <c r="AJ17" s="143"/>
      <c r="AK17" s="143"/>
      <c r="AL17" s="143"/>
      <c r="AM17" s="143">
        <v>74.097331240188382</v>
      </c>
      <c r="AN17" s="88">
        <v>63.7</v>
      </c>
      <c r="AO17" s="144"/>
      <c r="AP17" s="145"/>
      <c r="AQ17" s="146" t="str">
        <f>IFERROR(AP17/AO17*100,"")</f>
        <v/>
      </c>
      <c r="AR17" s="146" t="str">
        <f>IFERROR(100-AQ17,"")</f>
        <v/>
      </c>
      <c r="AS17" s="147">
        <v>0</v>
      </c>
      <c r="AT17" s="148"/>
      <c r="AU17" s="149" t="s">
        <v>56</v>
      </c>
      <c r="AV17" s="146" t="str">
        <f>IFERROR(AU17/AT17*100,"")</f>
        <v/>
      </c>
      <c r="AW17" s="146" t="str">
        <f>IFERROR(100-AV17,"")</f>
        <v/>
      </c>
      <c r="AX17" s="138" t="str">
        <f>IFERROR((1-((AV17*AR17)/(AW17*AQ17)))*100,"")</f>
        <v/>
      </c>
      <c r="AY17" s="95" t="s">
        <v>56</v>
      </c>
      <c r="AZ17" s="150">
        <v>57.6</v>
      </c>
      <c r="BA17" s="150"/>
      <c r="BB17" s="150">
        <v>195</v>
      </c>
      <c r="BC17" s="150"/>
      <c r="BD17" s="97">
        <v>63.7</v>
      </c>
      <c r="BE17" s="142">
        <f>IF(SUM(BF17:BL17)=0,"",SUM(BF17:BL17))</f>
        <v>9835</v>
      </c>
      <c r="BF17" s="98">
        <v>79</v>
      </c>
      <c r="BG17" s="98">
        <v>0</v>
      </c>
      <c r="BH17" s="98">
        <v>9756</v>
      </c>
      <c r="BI17" s="98"/>
      <c r="BJ17" s="98"/>
      <c r="BK17" s="98"/>
      <c r="BL17" s="151"/>
    </row>
    <row r="18" spans="1:64" outlineLevel="5" x14ac:dyDescent="0.3">
      <c r="A18" s="152">
        <f t="shared" ref="A18:A90" si="5">MONTH(B18)</f>
        <v>1</v>
      </c>
      <c r="B18" s="153">
        <f>B17+1</f>
        <v>43832</v>
      </c>
      <c r="C18" s="138">
        <f>IFERROR(ROUND(AVERAGE(D18:K18),1),"")</f>
        <v>37.5</v>
      </c>
      <c r="D18" s="84">
        <v>37</v>
      </c>
      <c r="E18" s="84">
        <v>38</v>
      </c>
      <c r="F18" s="84"/>
      <c r="G18" s="84"/>
      <c r="H18" s="84"/>
      <c r="I18" s="84"/>
      <c r="J18" s="84"/>
      <c r="K18" s="84"/>
      <c r="L18" s="140" t="str">
        <f>IFERROR(ROUND(AVERAGE(M18:T18),1),"")</f>
        <v/>
      </c>
      <c r="M18" s="86"/>
      <c r="N18" s="86"/>
      <c r="O18" s="86"/>
      <c r="P18" s="86"/>
      <c r="Q18" s="86"/>
      <c r="R18" s="86"/>
      <c r="S18" s="86"/>
      <c r="T18" s="86"/>
      <c r="U18" s="142" t="str">
        <f>IFERROR(ROUND(AVERAGE(V18:AC18),1),"")</f>
        <v/>
      </c>
      <c r="V18" s="88"/>
      <c r="W18" s="88"/>
      <c r="X18" s="88"/>
      <c r="Y18" s="88"/>
      <c r="Z18" s="88"/>
      <c r="AA18" s="88"/>
      <c r="AB18" s="88"/>
      <c r="AC18" s="88"/>
      <c r="AD18" s="142" t="str">
        <f>IFERROR(ROUND(AVERAGE(AE18:AL18),1),"")</f>
        <v/>
      </c>
      <c r="AE18" s="88"/>
      <c r="AF18" s="88"/>
      <c r="AG18" s="88"/>
      <c r="AH18" s="88"/>
      <c r="AI18" s="88"/>
      <c r="AJ18" s="88"/>
      <c r="AK18" s="88"/>
      <c r="AL18" s="88"/>
      <c r="AM18" s="143">
        <v>56.778539636713582</v>
      </c>
      <c r="AN18" s="88">
        <v>83.13</v>
      </c>
      <c r="AO18" s="144"/>
      <c r="AP18" s="145"/>
      <c r="AQ18" s="146" t="str">
        <f>IFERROR(AP18/AO18*100,"")</f>
        <v/>
      </c>
      <c r="AR18" s="146" t="str">
        <f>IFERROR(100-AQ18,"")</f>
        <v/>
      </c>
      <c r="AS18" s="147">
        <v>0</v>
      </c>
      <c r="AT18" s="148"/>
      <c r="AU18" s="149"/>
      <c r="AV18" s="146" t="str">
        <f>IFERROR(AU18/AT18*100,"")</f>
        <v/>
      </c>
      <c r="AW18" s="146" t="str">
        <f>IFERROR(100-AV18,"")</f>
        <v/>
      </c>
      <c r="AX18" s="138" t="str">
        <f>IFERROR((1-((AV18*AR18)/(AW18*AQ18)))*100,"")</f>
        <v/>
      </c>
      <c r="AY18" s="95" t="s">
        <v>56</v>
      </c>
      <c r="AZ18" s="96">
        <v>57.534999999999997</v>
      </c>
      <c r="BA18" s="96"/>
      <c r="BB18" s="96">
        <v>204</v>
      </c>
      <c r="BC18" s="96"/>
      <c r="BD18" s="97">
        <v>83.13</v>
      </c>
      <c r="BE18" s="142">
        <f t="shared" ref="BE18:BE47" si="6">IF(SUM(BF18:BL18)=0,"",SUM(BF18:BL18))</f>
        <v>4084</v>
      </c>
      <c r="BF18" s="98">
        <v>81</v>
      </c>
      <c r="BG18" s="98">
        <v>0</v>
      </c>
      <c r="BH18" s="98">
        <v>4003</v>
      </c>
      <c r="BI18" s="98"/>
      <c r="BJ18" s="98"/>
      <c r="BK18" s="98"/>
      <c r="BL18" s="97"/>
    </row>
    <row r="19" spans="1:64" outlineLevel="5" x14ac:dyDescent="0.3">
      <c r="A19" s="152">
        <f t="shared" si="5"/>
        <v>1</v>
      </c>
      <c r="B19" s="153">
        <f t="shared" ref="B19:B80" si="7">B18+1</f>
        <v>43833</v>
      </c>
      <c r="C19" s="138">
        <f>IFERROR(ROUND(AVERAGE(D19:K19),1),"")</f>
        <v>36.5</v>
      </c>
      <c r="D19" s="84">
        <v>36</v>
      </c>
      <c r="E19" s="84">
        <v>37</v>
      </c>
      <c r="F19" s="84"/>
      <c r="G19" s="84"/>
      <c r="H19" s="84"/>
      <c r="I19" s="84"/>
      <c r="J19" s="84"/>
      <c r="K19" s="84"/>
      <c r="L19" s="140">
        <f>IFERROR(ROUND(AVERAGE(M19:T19),1),"")</f>
        <v>7.8</v>
      </c>
      <c r="M19" s="86">
        <v>7.88</v>
      </c>
      <c r="N19" s="86">
        <v>7.79</v>
      </c>
      <c r="O19" s="86"/>
      <c r="P19" s="86"/>
      <c r="Q19" s="86"/>
      <c r="R19" s="86"/>
      <c r="S19" s="86"/>
      <c r="T19" s="86"/>
      <c r="U19" s="142">
        <f>IFERROR(ROUND(AVERAGE(V19:AC19),1),"")</f>
        <v>1650</v>
      </c>
      <c r="V19" s="88">
        <v>1721.4</v>
      </c>
      <c r="W19" s="88">
        <v>1578.6</v>
      </c>
      <c r="X19" s="88"/>
      <c r="Y19" s="88"/>
      <c r="Z19" s="88"/>
      <c r="AA19" s="88"/>
      <c r="AB19" s="88"/>
      <c r="AC19" s="88"/>
      <c r="AD19" s="142" t="str">
        <f>IFERROR(ROUND(AVERAGE(AE19:AL19),1),"")</f>
        <v/>
      </c>
      <c r="AE19" s="88"/>
      <c r="AF19" s="88"/>
      <c r="AG19" s="88"/>
      <c r="AH19" s="88"/>
      <c r="AI19" s="88"/>
      <c r="AJ19" s="88"/>
      <c r="AK19" s="88"/>
      <c r="AL19" s="88"/>
      <c r="AM19" s="143">
        <v>54.290315159880379</v>
      </c>
      <c r="AN19" s="88">
        <v>86.94</v>
      </c>
      <c r="AO19" s="144">
        <v>42.4</v>
      </c>
      <c r="AP19" s="145">
        <v>34.683199999999999</v>
      </c>
      <c r="AQ19" s="146">
        <f>IFERROR(AP19/AO19*100,"")</f>
        <v>81.800000000000011</v>
      </c>
      <c r="AR19" s="146">
        <f>IFERROR(100-AQ19,"")</f>
        <v>18.199999999999989</v>
      </c>
      <c r="AS19" s="147">
        <v>0</v>
      </c>
      <c r="AT19" s="148">
        <v>11.7</v>
      </c>
      <c r="AU19" s="149">
        <v>7.1</v>
      </c>
      <c r="AV19" s="146">
        <f>IFERROR(AU19/AT19*100,"")</f>
        <v>60.683760683760681</v>
      </c>
      <c r="AW19" s="146">
        <f>IFERROR(100-AV19,"")</f>
        <v>39.316239316239319</v>
      </c>
      <c r="AX19" s="138">
        <f>IFERROR((1-((AV19*AR19)/(AW19*AQ19)))*100,"")</f>
        <v>65.658552142021932</v>
      </c>
      <c r="AY19" s="95">
        <v>80.55</v>
      </c>
      <c r="AZ19" s="96">
        <v>54.935000000000002</v>
      </c>
      <c r="BA19" s="96"/>
      <c r="BB19" s="96">
        <v>178</v>
      </c>
      <c r="BC19" s="96"/>
      <c r="BD19" s="97">
        <v>86.94</v>
      </c>
      <c r="BE19" s="142">
        <f t="shared" si="6"/>
        <v>6198</v>
      </c>
      <c r="BF19" s="98">
        <v>84</v>
      </c>
      <c r="BG19" s="98">
        <v>1765</v>
      </c>
      <c r="BH19" s="98">
        <v>4349</v>
      </c>
      <c r="BI19" s="98"/>
      <c r="BJ19" s="98"/>
      <c r="BK19" s="98"/>
      <c r="BL19" s="97"/>
    </row>
    <row r="20" spans="1:64" outlineLevel="5" x14ac:dyDescent="0.3">
      <c r="A20" s="152">
        <f t="shared" si="5"/>
        <v>1</v>
      </c>
      <c r="B20" s="153">
        <f t="shared" si="7"/>
        <v>43834</v>
      </c>
      <c r="C20" s="138">
        <f>IFERROR(ROUND(AVERAGE(D20:K20),1),"")</f>
        <v>39</v>
      </c>
      <c r="D20" s="84">
        <v>38</v>
      </c>
      <c r="E20" s="84">
        <v>40</v>
      </c>
      <c r="F20" s="84"/>
      <c r="G20" s="84"/>
      <c r="H20" s="84"/>
      <c r="I20" s="84"/>
      <c r="J20" s="84"/>
      <c r="K20" s="84"/>
      <c r="L20" s="140" t="str">
        <f>IFERROR(ROUND(AVERAGE(M20:T20),1),"")</f>
        <v/>
      </c>
      <c r="M20" s="86"/>
      <c r="N20" s="86"/>
      <c r="O20" s="86"/>
      <c r="P20" s="86"/>
      <c r="Q20" s="86"/>
      <c r="R20" s="86"/>
      <c r="S20" s="86"/>
      <c r="T20" s="86"/>
      <c r="U20" s="142" t="str">
        <f>IFERROR(ROUND(AVERAGE(V20:AC20),1),"")</f>
        <v/>
      </c>
      <c r="V20" s="88"/>
      <c r="W20" s="88"/>
      <c r="X20" s="88"/>
      <c r="Y20" s="88"/>
      <c r="Z20" s="88"/>
      <c r="AA20" s="88"/>
      <c r="AB20" s="88"/>
      <c r="AC20" s="88"/>
      <c r="AD20" s="142" t="str">
        <f>IFERROR(ROUND(AVERAGE(AE20:AL20),1),"")</f>
        <v/>
      </c>
      <c r="AE20" s="88"/>
      <c r="AF20" s="88"/>
      <c r="AG20" s="88"/>
      <c r="AH20" s="88"/>
      <c r="AI20" s="88"/>
      <c r="AJ20" s="88"/>
      <c r="AK20" s="88"/>
      <c r="AL20" s="88"/>
      <c r="AM20" s="143">
        <v>95.411360420456845</v>
      </c>
      <c r="AN20" s="88">
        <v>49.47</v>
      </c>
      <c r="AO20" s="144" t="s">
        <v>56</v>
      </c>
      <c r="AP20" s="145" t="s">
        <v>56</v>
      </c>
      <c r="AQ20" s="146" t="str">
        <f>IFERROR(AP20/AO20*100,"")</f>
        <v/>
      </c>
      <c r="AR20" s="146" t="str">
        <f>IFERROR(100-AQ20,"")</f>
        <v/>
      </c>
      <c r="AS20" s="147">
        <v>0</v>
      </c>
      <c r="AT20" s="148" t="s">
        <v>56</v>
      </c>
      <c r="AU20" s="149" t="s">
        <v>56</v>
      </c>
      <c r="AV20" s="146" t="str">
        <f>IFERROR(AU20/AT20*100,"")</f>
        <v/>
      </c>
      <c r="AW20" s="146" t="str">
        <f>IFERROR(100-AV20,"")</f>
        <v/>
      </c>
      <c r="AX20" s="138" t="str">
        <f>IFERROR((1-((AV20*AR20)/(AW20*AQ20)))*100,"")</f>
        <v/>
      </c>
      <c r="AY20" s="95" t="s">
        <v>56</v>
      </c>
      <c r="AZ20" s="96">
        <v>61.3</v>
      </c>
      <c r="BA20" s="96"/>
      <c r="BB20" s="96">
        <v>70</v>
      </c>
      <c r="BC20" s="96"/>
      <c r="BD20" s="97">
        <v>49.47</v>
      </c>
      <c r="BE20" s="142">
        <f t="shared" si="6"/>
        <v>208</v>
      </c>
      <c r="BF20" s="98">
        <v>208</v>
      </c>
      <c r="BG20" s="98">
        <v>0</v>
      </c>
      <c r="BH20" s="98">
        <v>0</v>
      </c>
      <c r="BI20" s="98"/>
      <c r="BJ20" s="98"/>
      <c r="BK20" s="98"/>
      <c r="BL20" s="97"/>
    </row>
    <row r="21" spans="1:64" outlineLevel="5" x14ac:dyDescent="0.3">
      <c r="A21" s="152">
        <f t="shared" si="5"/>
        <v>1</v>
      </c>
      <c r="B21" s="153">
        <f t="shared" si="7"/>
        <v>43835</v>
      </c>
      <c r="C21" s="138">
        <f>IFERROR(ROUND(AVERAGE(D21:K21),1),"")</f>
        <v>40</v>
      </c>
      <c r="D21" s="84">
        <v>40</v>
      </c>
      <c r="E21" s="84">
        <v>40</v>
      </c>
      <c r="F21" s="84"/>
      <c r="G21" s="84"/>
      <c r="H21" s="84"/>
      <c r="I21" s="84"/>
      <c r="J21" s="84"/>
      <c r="K21" s="84"/>
      <c r="L21" s="140" t="str">
        <f>IFERROR(ROUND(AVERAGE(M21:T21),1),"")</f>
        <v/>
      </c>
      <c r="M21" s="86"/>
      <c r="N21" s="86"/>
      <c r="O21" s="86"/>
      <c r="P21" s="86"/>
      <c r="Q21" s="86"/>
      <c r="R21" s="86"/>
      <c r="S21" s="86"/>
      <c r="T21" s="86"/>
      <c r="U21" s="142" t="str">
        <f>IFERROR(ROUND(AVERAGE(V21:AC21),1),"")</f>
        <v/>
      </c>
      <c r="V21" s="88"/>
      <c r="W21" s="88"/>
      <c r="X21" s="88"/>
      <c r="Y21" s="88"/>
      <c r="Z21" s="88"/>
      <c r="AA21" s="88"/>
      <c r="AB21" s="88"/>
      <c r="AC21" s="88"/>
      <c r="AD21" s="142" t="str">
        <f>IFERROR(ROUND(AVERAGE(AE21:AL21),1),"")</f>
        <v/>
      </c>
      <c r="AE21" s="88"/>
      <c r="AF21" s="88"/>
      <c r="AG21" s="88"/>
      <c r="AH21" s="88"/>
      <c r="AI21" s="88"/>
      <c r="AJ21" s="88"/>
      <c r="AK21" s="88"/>
      <c r="AL21" s="88"/>
      <c r="AM21" s="143"/>
      <c r="AN21" s="88">
        <v>16</v>
      </c>
      <c r="AO21" s="89" t="s">
        <v>56</v>
      </c>
      <c r="AP21" s="90"/>
      <c r="AQ21" s="146" t="str">
        <f t="shared" ref="AQ21:AQ47" si="8">IFERROR(AP21/AO21*100,"")</f>
        <v/>
      </c>
      <c r="AR21" s="146" t="str">
        <f t="shared" ref="AR21:AR47" si="9">IFERROR(100-AQ21,"")</f>
        <v/>
      </c>
      <c r="AS21" s="147">
        <v>0</v>
      </c>
      <c r="AT21" s="93" t="s">
        <v>56</v>
      </c>
      <c r="AU21" s="94" t="s">
        <v>56</v>
      </c>
      <c r="AV21" s="146" t="str">
        <f t="shared" ref="AV21:AV47" si="10">IFERROR(AU21/AT21*100,"")</f>
        <v/>
      </c>
      <c r="AW21" s="146" t="str">
        <f t="shared" ref="AW21:AW47" si="11">IFERROR(100-AV21,"")</f>
        <v/>
      </c>
      <c r="AX21" s="138" t="str">
        <f>IFERROR((1-((AV21*AR21)/(AW21*AQ21)))*100,"")</f>
        <v/>
      </c>
      <c r="AY21" s="95" t="s">
        <v>56</v>
      </c>
      <c r="AZ21" s="96">
        <v>62.64</v>
      </c>
      <c r="BA21" s="96"/>
      <c r="BB21" s="96">
        <v>66</v>
      </c>
      <c r="BC21" s="96"/>
      <c r="BD21" s="97">
        <v>16</v>
      </c>
      <c r="BE21" s="142">
        <f t="shared" si="6"/>
        <v>88</v>
      </c>
      <c r="BF21" s="98">
        <v>80</v>
      </c>
      <c r="BG21" s="98">
        <v>0</v>
      </c>
      <c r="BH21" s="98">
        <v>8</v>
      </c>
      <c r="BI21" s="98"/>
      <c r="BJ21" s="98"/>
      <c r="BK21" s="98"/>
      <c r="BL21" s="97"/>
    </row>
    <row r="22" spans="1:64" outlineLevel="5" x14ac:dyDescent="0.3">
      <c r="A22" s="152">
        <f t="shared" si="5"/>
        <v>1</v>
      </c>
      <c r="B22" s="153">
        <f t="shared" si="7"/>
        <v>43836</v>
      </c>
      <c r="C22" s="138">
        <f>IFERROR(ROUND(AVERAGE(D22:K22),1),"")</f>
        <v>39.5</v>
      </c>
      <c r="D22" s="84">
        <v>39</v>
      </c>
      <c r="E22" s="84">
        <v>40</v>
      </c>
      <c r="F22" s="84"/>
      <c r="G22" s="84"/>
      <c r="H22" s="84"/>
      <c r="I22" s="84"/>
      <c r="J22" s="84"/>
      <c r="K22" s="84"/>
      <c r="L22" s="140">
        <f>IFERROR(ROUND(AVERAGE(M22:T22),1),"")</f>
        <v>7.9</v>
      </c>
      <c r="M22" s="86">
        <v>7.91</v>
      </c>
      <c r="N22" s="86">
        <v>7.81</v>
      </c>
      <c r="O22" s="86"/>
      <c r="P22" s="86"/>
      <c r="Q22" s="86"/>
      <c r="R22" s="86"/>
      <c r="S22" s="86"/>
      <c r="T22" s="86"/>
      <c r="U22" s="142">
        <f>IFERROR(ROUND(AVERAGE(V22:AC22),1),"")</f>
        <v>1665.2</v>
      </c>
      <c r="V22" s="88">
        <v>1730</v>
      </c>
      <c r="W22" s="88">
        <v>1600.3</v>
      </c>
      <c r="X22" s="88"/>
      <c r="Y22" s="88"/>
      <c r="Z22" s="88"/>
      <c r="AA22" s="88"/>
      <c r="AB22" s="88"/>
      <c r="AC22" s="88"/>
      <c r="AD22" s="142" t="str">
        <f>IFERROR(ROUND(AVERAGE(AE22:AL22),1),"")</f>
        <v/>
      </c>
      <c r="AE22" s="88"/>
      <c r="AF22" s="88"/>
      <c r="AG22" s="88"/>
      <c r="AH22" s="88"/>
      <c r="AI22" s="88"/>
      <c r="AJ22" s="88"/>
      <c r="AK22" s="88"/>
      <c r="AL22" s="88"/>
      <c r="AM22" s="143">
        <v>70.342771982116247</v>
      </c>
      <c r="AN22" s="88">
        <v>67.099999999999994</v>
      </c>
      <c r="AO22" s="89"/>
      <c r="AP22" s="90"/>
      <c r="AQ22" s="146" t="str">
        <f t="shared" si="8"/>
        <v/>
      </c>
      <c r="AR22" s="146" t="str">
        <f t="shared" si="9"/>
        <v/>
      </c>
      <c r="AS22" s="147">
        <v>0</v>
      </c>
      <c r="AT22" s="93">
        <v>11.75</v>
      </c>
      <c r="AU22" s="94">
        <v>7.35</v>
      </c>
      <c r="AV22" s="146">
        <f t="shared" si="10"/>
        <v>62.553191489361701</v>
      </c>
      <c r="AW22" s="146">
        <f t="shared" si="11"/>
        <v>37.446808510638299</v>
      </c>
      <c r="AX22" s="138" t="str">
        <f>IFERROR((1-((AV22*AR22)/(AW22*AQ22)))*100,"")</f>
        <v/>
      </c>
      <c r="AY22" s="95">
        <v>58.25</v>
      </c>
      <c r="AZ22" s="96">
        <v>54.575000000000003</v>
      </c>
      <c r="BA22" s="96"/>
      <c r="BB22" s="96">
        <v>146</v>
      </c>
      <c r="BC22" s="96"/>
      <c r="BD22" s="97">
        <v>67.099999999999994</v>
      </c>
      <c r="BE22" s="142">
        <f t="shared" si="6"/>
        <v>4001</v>
      </c>
      <c r="BF22" s="98">
        <v>0</v>
      </c>
      <c r="BG22" s="98">
        <v>0</v>
      </c>
      <c r="BH22" s="98">
        <v>4001</v>
      </c>
      <c r="BI22" s="98"/>
      <c r="BJ22" s="98"/>
      <c r="BK22" s="98"/>
      <c r="BL22" s="97"/>
    </row>
    <row r="23" spans="1:64" outlineLevel="5" x14ac:dyDescent="0.3">
      <c r="A23" s="152">
        <f t="shared" si="5"/>
        <v>1</v>
      </c>
      <c r="B23" s="153">
        <f t="shared" si="7"/>
        <v>43837</v>
      </c>
      <c r="C23" s="138">
        <f>IFERROR(ROUND(AVERAGE(D23:K23),1),"")</f>
        <v>36.5</v>
      </c>
      <c r="D23" s="84">
        <v>35</v>
      </c>
      <c r="E23" s="84">
        <v>38</v>
      </c>
      <c r="F23" s="84"/>
      <c r="G23" s="84"/>
      <c r="H23" s="84"/>
      <c r="I23" s="84"/>
      <c r="J23" s="84"/>
      <c r="K23" s="84"/>
      <c r="L23" s="140">
        <f>IFERROR(ROUND(AVERAGE(M23:T23),1),"")</f>
        <v>7.8</v>
      </c>
      <c r="M23" s="86">
        <v>7.89</v>
      </c>
      <c r="N23" s="86">
        <v>7.79</v>
      </c>
      <c r="O23" s="86"/>
      <c r="P23" s="86"/>
      <c r="Q23" s="86"/>
      <c r="R23" s="86"/>
      <c r="S23" s="86"/>
      <c r="T23" s="86"/>
      <c r="U23" s="142">
        <f>IFERROR(ROUND(AVERAGE(V23:AC23),1),"")</f>
        <v>1730</v>
      </c>
      <c r="V23" s="88">
        <v>1777.6</v>
      </c>
      <c r="W23" s="88">
        <v>1682.4</v>
      </c>
      <c r="X23" s="88"/>
      <c r="Y23" s="88"/>
      <c r="Z23" s="88"/>
      <c r="AA23" s="88"/>
      <c r="AB23" s="88"/>
      <c r="AC23" s="88"/>
      <c r="AD23" s="142" t="str">
        <f>IFERROR(ROUND(AVERAGE(AE23:AL23),1),"")</f>
        <v/>
      </c>
      <c r="AE23" s="88"/>
      <c r="AF23" s="88"/>
      <c r="AG23" s="88"/>
      <c r="AH23" s="88"/>
      <c r="AI23" s="88"/>
      <c r="AJ23" s="88"/>
      <c r="AK23" s="88"/>
      <c r="AL23" s="88"/>
      <c r="AM23" s="143">
        <v>64.835164835164832</v>
      </c>
      <c r="AN23" s="88">
        <v>72.8</v>
      </c>
      <c r="AO23" s="89" t="s">
        <v>56</v>
      </c>
      <c r="AP23" s="90"/>
      <c r="AQ23" s="146" t="str">
        <f t="shared" si="8"/>
        <v/>
      </c>
      <c r="AR23" s="146" t="str">
        <f t="shared" si="9"/>
        <v/>
      </c>
      <c r="AS23" s="147">
        <v>0</v>
      </c>
      <c r="AT23" s="93" t="s">
        <v>56</v>
      </c>
      <c r="AU23" s="94" t="s">
        <v>56</v>
      </c>
      <c r="AV23" s="146" t="str">
        <f t="shared" si="10"/>
        <v/>
      </c>
      <c r="AW23" s="146" t="str">
        <f t="shared" si="11"/>
        <v/>
      </c>
      <c r="AX23" s="138" t="str">
        <f>IFERROR((1-((AV23*AR23)/(AW23*AQ23)))*100,"")</f>
        <v/>
      </c>
      <c r="AY23" s="95">
        <v>74.2</v>
      </c>
      <c r="AZ23" s="96">
        <v>57.305</v>
      </c>
      <c r="BA23" s="96"/>
      <c r="BB23" s="96">
        <v>78</v>
      </c>
      <c r="BC23" s="96"/>
      <c r="BD23" s="97">
        <v>72.8</v>
      </c>
      <c r="BE23" s="142">
        <f t="shared" si="6"/>
        <v>6382</v>
      </c>
      <c r="BF23" s="98">
        <v>123</v>
      </c>
      <c r="BG23" s="98">
        <v>1853</v>
      </c>
      <c r="BH23" s="98">
        <v>4406</v>
      </c>
      <c r="BI23" s="98"/>
      <c r="BJ23" s="98"/>
      <c r="BK23" s="98"/>
      <c r="BL23" s="97"/>
    </row>
    <row r="24" spans="1:64" outlineLevel="5" x14ac:dyDescent="0.3">
      <c r="A24" s="152">
        <f t="shared" si="5"/>
        <v>1</v>
      </c>
      <c r="B24" s="153">
        <f t="shared" si="7"/>
        <v>43838</v>
      </c>
      <c r="C24" s="138">
        <f>IFERROR(ROUND(AVERAGE(D24:K24),1),"")</f>
        <v>39</v>
      </c>
      <c r="D24" s="84">
        <v>38</v>
      </c>
      <c r="E24" s="84">
        <v>40</v>
      </c>
      <c r="F24" s="84"/>
      <c r="G24" s="84"/>
      <c r="H24" s="84"/>
      <c r="I24" s="84"/>
      <c r="J24" s="84"/>
      <c r="K24" s="84"/>
      <c r="L24" s="140">
        <f>IFERROR(ROUND(AVERAGE(M24:T24),1),"")</f>
        <v>7.8</v>
      </c>
      <c r="M24" s="86">
        <v>7.82</v>
      </c>
      <c r="N24" s="86">
        <v>7.75</v>
      </c>
      <c r="O24" s="86"/>
      <c r="P24" s="86"/>
      <c r="Q24" s="86"/>
      <c r="R24" s="86"/>
      <c r="S24" s="86"/>
      <c r="T24" s="86"/>
      <c r="U24" s="142">
        <f>IFERROR(ROUND(AVERAGE(V24:AC24),1),"")</f>
        <v>1697.6</v>
      </c>
      <c r="V24" s="88">
        <v>1730</v>
      </c>
      <c r="W24" s="88">
        <v>1665.1</v>
      </c>
      <c r="X24" s="88"/>
      <c r="Y24" s="88"/>
      <c r="Z24" s="88"/>
      <c r="AA24" s="88"/>
      <c r="AB24" s="88"/>
      <c r="AC24" s="88"/>
      <c r="AD24" s="142" t="str">
        <f>IFERROR(ROUND(AVERAGE(AE24:AL24),1),"")</f>
        <v/>
      </c>
      <c r="AE24" s="88"/>
      <c r="AF24" s="88"/>
      <c r="AG24" s="88"/>
      <c r="AH24" s="88"/>
      <c r="AI24" s="88"/>
      <c r="AJ24" s="88"/>
      <c r="AK24" s="88"/>
      <c r="AL24" s="88"/>
      <c r="AM24" s="143">
        <v>68.415712422090166</v>
      </c>
      <c r="AN24" s="88">
        <v>68.989999999999995</v>
      </c>
      <c r="AO24" s="89"/>
      <c r="AP24" s="90"/>
      <c r="AQ24" s="146" t="str">
        <f t="shared" si="8"/>
        <v/>
      </c>
      <c r="AR24" s="146" t="str">
        <f t="shared" si="9"/>
        <v/>
      </c>
      <c r="AS24" s="147">
        <v>0</v>
      </c>
      <c r="AT24" s="93">
        <v>11.75</v>
      </c>
      <c r="AU24" s="94">
        <v>7.0500000000000007</v>
      </c>
      <c r="AV24" s="146">
        <f t="shared" si="10"/>
        <v>60.000000000000007</v>
      </c>
      <c r="AW24" s="146">
        <f t="shared" si="11"/>
        <v>39.999999999999993</v>
      </c>
      <c r="AX24" s="138" t="str">
        <f>IFERROR((1-((AV24*AR24)/(AW24*AQ24)))*100,"")</f>
        <v/>
      </c>
      <c r="AY24" s="95">
        <v>80.3</v>
      </c>
      <c r="AZ24" s="96">
        <v>57.844999999999999</v>
      </c>
      <c r="BA24" s="96"/>
      <c r="BB24" s="96">
        <v>136.5</v>
      </c>
      <c r="BC24" s="96"/>
      <c r="BD24" s="97">
        <v>68.989999999999995</v>
      </c>
      <c r="BE24" s="142">
        <f t="shared" si="6"/>
        <v>5819</v>
      </c>
      <c r="BF24" s="98">
        <v>96</v>
      </c>
      <c r="BG24" s="98">
        <v>1821</v>
      </c>
      <c r="BH24" s="98">
        <v>3902</v>
      </c>
      <c r="BI24" s="98"/>
      <c r="BJ24" s="98"/>
      <c r="BK24" s="98"/>
      <c r="BL24" s="97"/>
    </row>
    <row r="25" spans="1:64" outlineLevel="5" x14ac:dyDescent="0.3">
      <c r="A25" s="152">
        <f t="shared" si="5"/>
        <v>1</v>
      </c>
      <c r="B25" s="153">
        <f t="shared" si="7"/>
        <v>43839</v>
      </c>
      <c r="C25" s="138">
        <f>IFERROR(ROUND(AVERAGE(D25:K25),1),"")</f>
        <v>39</v>
      </c>
      <c r="D25" s="84">
        <v>38</v>
      </c>
      <c r="E25" s="84">
        <v>40</v>
      </c>
      <c r="F25" s="84"/>
      <c r="G25" s="84"/>
      <c r="H25" s="84"/>
      <c r="I25" s="84"/>
      <c r="J25" s="84"/>
      <c r="K25" s="84"/>
      <c r="L25" s="140" t="str">
        <f>IFERROR(ROUND(AVERAGE(M25:T25),1),"")</f>
        <v/>
      </c>
      <c r="M25" s="86"/>
      <c r="N25" s="86"/>
      <c r="O25" s="86"/>
      <c r="P25" s="86"/>
      <c r="Q25" s="86"/>
      <c r="R25" s="86"/>
      <c r="S25" s="86"/>
      <c r="T25" s="86"/>
      <c r="U25" s="142" t="str">
        <f>IFERROR(ROUND(AVERAGE(V25:AC25),1),"")</f>
        <v/>
      </c>
      <c r="V25" s="88"/>
      <c r="W25" s="88"/>
      <c r="X25" s="88"/>
      <c r="Y25" s="88"/>
      <c r="Z25" s="88"/>
      <c r="AA25" s="88"/>
      <c r="AB25" s="88"/>
      <c r="AC25" s="88"/>
      <c r="AD25" s="142" t="str">
        <f>IFERROR(ROUND(AVERAGE(AE25:AL25),1),"")</f>
        <v/>
      </c>
      <c r="AE25" s="88"/>
      <c r="AF25" s="88"/>
      <c r="AG25" s="88"/>
      <c r="AH25" s="88"/>
      <c r="AI25" s="88"/>
      <c r="AJ25" s="88"/>
      <c r="AK25" s="88"/>
      <c r="AL25" s="88"/>
      <c r="AM25" s="143">
        <v>59.595959595959606</v>
      </c>
      <c r="AN25" s="88">
        <v>79.199999999999989</v>
      </c>
      <c r="AO25" s="89"/>
      <c r="AP25" s="90"/>
      <c r="AQ25" s="146" t="str">
        <f t="shared" si="8"/>
        <v/>
      </c>
      <c r="AR25" s="146" t="str">
        <f t="shared" si="9"/>
        <v/>
      </c>
      <c r="AS25" s="147">
        <v>0</v>
      </c>
      <c r="AT25" s="93" t="s">
        <v>56</v>
      </c>
      <c r="AU25" s="94" t="s">
        <v>56</v>
      </c>
      <c r="AV25" s="146" t="str">
        <f t="shared" si="10"/>
        <v/>
      </c>
      <c r="AW25" s="146" t="str">
        <f t="shared" si="11"/>
        <v/>
      </c>
      <c r="AX25" s="138" t="str">
        <f>IFERROR((1-((AV25*AR25)/(AW25*AQ25)))*100,"")</f>
        <v/>
      </c>
      <c r="AY25" s="95" t="s">
        <v>56</v>
      </c>
      <c r="AZ25" s="96">
        <v>59.480000000000004</v>
      </c>
      <c r="BA25" s="96"/>
      <c r="BB25" s="96">
        <v>98</v>
      </c>
      <c r="BC25" s="96"/>
      <c r="BD25" s="97">
        <v>79.199999999999989</v>
      </c>
      <c r="BE25" s="142">
        <f t="shared" si="6"/>
        <v>7013</v>
      </c>
      <c r="BF25" s="98">
        <v>0</v>
      </c>
      <c r="BG25" s="98">
        <v>4369</v>
      </c>
      <c r="BH25" s="98">
        <v>2644</v>
      </c>
      <c r="BI25" s="98"/>
      <c r="BJ25" s="98"/>
      <c r="BK25" s="98"/>
      <c r="BL25" s="97"/>
    </row>
    <row r="26" spans="1:64" outlineLevel="5" x14ac:dyDescent="0.3">
      <c r="A26" s="152">
        <f t="shared" si="5"/>
        <v>1</v>
      </c>
      <c r="B26" s="153">
        <f t="shared" si="7"/>
        <v>43840</v>
      </c>
      <c r="C26" s="138">
        <f>IFERROR(ROUND(AVERAGE(D26:K26),1),"")</f>
        <v>38.5</v>
      </c>
      <c r="D26" s="84">
        <v>37</v>
      </c>
      <c r="E26" s="84">
        <v>40</v>
      </c>
      <c r="F26" s="84"/>
      <c r="G26" s="84"/>
      <c r="H26" s="84"/>
      <c r="I26" s="84"/>
      <c r="J26" s="84"/>
      <c r="K26" s="84"/>
      <c r="L26" s="140">
        <f>IFERROR(ROUND(AVERAGE(M26:T26),1),"")</f>
        <v>7.8</v>
      </c>
      <c r="M26" s="86">
        <v>7.85</v>
      </c>
      <c r="N26" s="86">
        <v>7.8</v>
      </c>
      <c r="O26" s="86"/>
      <c r="P26" s="86"/>
      <c r="Q26" s="86"/>
      <c r="R26" s="86"/>
      <c r="S26" s="86"/>
      <c r="T26" s="86"/>
      <c r="U26" s="142">
        <f>IFERROR(ROUND(AVERAGE(V26:AC26),1),"")</f>
        <v>1775.4</v>
      </c>
      <c r="V26" s="88">
        <v>1820.8</v>
      </c>
      <c r="W26" s="88">
        <v>1730</v>
      </c>
      <c r="X26" s="88"/>
      <c r="Y26" s="88"/>
      <c r="Z26" s="88"/>
      <c r="AA26" s="88"/>
      <c r="AB26" s="88"/>
      <c r="AC26" s="88"/>
      <c r="AD26" s="142" t="str">
        <f>IFERROR(ROUND(AVERAGE(AE26:AL26),1),"")</f>
        <v/>
      </c>
      <c r="AE26" s="88"/>
      <c r="AF26" s="88"/>
      <c r="AG26" s="88"/>
      <c r="AH26" s="88"/>
      <c r="AI26" s="88"/>
      <c r="AJ26" s="88"/>
      <c r="AK26" s="88"/>
      <c r="AL26" s="88"/>
      <c r="AM26" s="143">
        <v>71.439382473134543</v>
      </c>
      <c r="AN26" s="88">
        <v>66.070000000000007</v>
      </c>
      <c r="AO26" s="89">
        <v>21</v>
      </c>
      <c r="AP26" s="90">
        <v>18.123000000000001</v>
      </c>
      <c r="AQ26" s="146">
        <f t="shared" si="8"/>
        <v>86.300000000000011</v>
      </c>
      <c r="AR26" s="146">
        <f t="shared" si="9"/>
        <v>13.699999999999989</v>
      </c>
      <c r="AS26" s="147">
        <v>0</v>
      </c>
      <c r="AT26" s="93">
        <v>11.600000000000001</v>
      </c>
      <c r="AU26" s="94">
        <v>7.25</v>
      </c>
      <c r="AV26" s="146">
        <f t="shared" si="10"/>
        <v>62.499999999999986</v>
      </c>
      <c r="AW26" s="146">
        <f t="shared" si="11"/>
        <v>37.500000000000014</v>
      </c>
      <c r="AX26" s="138">
        <f>IFERROR((1-((AV26*AR26)/(AW26*AQ26)))*100,"")</f>
        <v>73.541908072614959</v>
      </c>
      <c r="AY26" s="95">
        <v>59.599999999999994</v>
      </c>
      <c r="AZ26" s="96">
        <v>61.814999999999998</v>
      </c>
      <c r="BA26" s="96"/>
      <c r="BB26" s="96">
        <v>98</v>
      </c>
      <c r="BC26" s="96"/>
      <c r="BD26" s="97">
        <v>66.070000000000007</v>
      </c>
      <c r="BE26" s="142">
        <f t="shared" si="6"/>
        <v>4591</v>
      </c>
      <c r="BF26" s="98">
        <v>24</v>
      </c>
      <c r="BG26" s="98">
        <v>3726</v>
      </c>
      <c r="BH26" s="98">
        <v>841</v>
      </c>
      <c r="BI26" s="98"/>
      <c r="BJ26" s="98"/>
      <c r="BK26" s="98"/>
      <c r="BL26" s="97"/>
    </row>
    <row r="27" spans="1:64" outlineLevel="5" x14ac:dyDescent="0.3">
      <c r="A27" s="152">
        <f t="shared" si="5"/>
        <v>1</v>
      </c>
      <c r="B27" s="153">
        <f t="shared" si="7"/>
        <v>43841</v>
      </c>
      <c r="C27" s="138">
        <f>IFERROR(ROUND(AVERAGE(D27:K27),1),"")</f>
        <v>37</v>
      </c>
      <c r="D27" s="84">
        <v>34</v>
      </c>
      <c r="E27" s="84">
        <v>40</v>
      </c>
      <c r="F27" s="84"/>
      <c r="G27" s="84"/>
      <c r="H27" s="84"/>
      <c r="I27" s="84"/>
      <c r="J27" s="84"/>
      <c r="K27" s="84"/>
      <c r="L27" s="140" t="str">
        <f>IFERROR(ROUND(AVERAGE(M27:T27),1),"")</f>
        <v/>
      </c>
      <c r="M27" s="86"/>
      <c r="N27" s="86"/>
      <c r="O27" s="86"/>
      <c r="P27" s="86"/>
      <c r="Q27" s="86"/>
      <c r="R27" s="86"/>
      <c r="S27" s="86"/>
      <c r="T27" s="86"/>
      <c r="U27" s="142" t="str">
        <f>IFERROR(ROUND(AVERAGE(V27:AC27),1),"")</f>
        <v/>
      </c>
      <c r="V27" s="88"/>
      <c r="W27" s="88"/>
      <c r="X27" s="88"/>
      <c r="Y27" s="88"/>
      <c r="Z27" s="88"/>
      <c r="AA27" s="88"/>
      <c r="AB27" s="88"/>
      <c r="AC27" s="88"/>
      <c r="AD27" s="142" t="str">
        <f>IFERROR(ROUND(AVERAGE(AE27:AL27),1),"")</f>
        <v/>
      </c>
      <c r="AE27" s="88"/>
      <c r="AF27" s="88"/>
      <c r="AG27" s="88"/>
      <c r="AH27" s="88"/>
      <c r="AI27" s="88"/>
      <c r="AJ27" s="88"/>
      <c r="AK27" s="88"/>
      <c r="AL27" s="88"/>
      <c r="AM27" s="143">
        <v>93.243777163176603</v>
      </c>
      <c r="AN27" s="88">
        <v>50.620000000000005</v>
      </c>
      <c r="AO27" s="89" t="s">
        <v>56</v>
      </c>
      <c r="AP27" s="90" t="s">
        <v>56</v>
      </c>
      <c r="AQ27" s="146" t="str">
        <f t="shared" si="8"/>
        <v/>
      </c>
      <c r="AR27" s="146" t="str">
        <f t="shared" si="9"/>
        <v/>
      </c>
      <c r="AS27" s="147">
        <v>0</v>
      </c>
      <c r="AT27" s="93" t="s">
        <v>56</v>
      </c>
      <c r="AU27" s="94" t="s">
        <v>56</v>
      </c>
      <c r="AV27" s="146" t="str">
        <f t="shared" si="10"/>
        <v/>
      </c>
      <c r="AW27" s="146" t="str">
        <f t="shared" si="11"/>
        <v/>
      </c>
      <c r="AX27" s="138" t="str">
        <f>IFERROR((1-((AV27*AR27)/(AW27*AQ27)))*100,"")</f>
        <v/>
      </c>
      <c r="AY27" s="95" t="s">
        <v>56</v>
      </c>
      <c r="AZ27" s="96">
        <v>61.06</v>
      </c>
      <c r="BA27" s="96"/>
      <c r="BB27" s="96">
        <v>144.5</v>
      </c>
      <c r="BC27" s="96"/>
      <c r="BD27" s="97">
        <v>50.620000000000005</v>
      </c>
      <c r="BE27" s="142">
        <f t="shared" si="6"/>
        <v>3696</v>
      </c>
      <c r="BF27" s="98">
        <v>146</v>
      </c>
      <c r="BG27" s="98">
        <v>3550</v>
      </c>
      <c r="BH27" s="98">
        <v>0</v>
      </c>
      <c r="BI27" s="98"/>
      <c r="BJ27" s="98"/>
      <c r="BK27" s="98"/>
      <c r="BL27" s="97"/>
    </row>
    <row r="28" spans="1:64" outlineLevel="5" x14ac:dyDescent="0.3">
      <c r="A28" s="152">
        <f t="shared" si="5"/>
        <v>1</v>
      </c>
      <c r="B28" s="153">
        <f t="shared" si="7"/>
        <v>43842</v>
      </c>
      <c r="C28" s="138">
        <f>IFERROR(ROUND(AVERAGE(D28:K28),1),"")</f>
        <v>39</v>
      </c>
      <c r="D28" s="84">
        <v>38</v>
      </c>
      <c r="E28" s="84">
        <v>40</v>
      </c>
      <c r="F28" s="84"/>
      <c r="G28" s="84"/>
      <c r="H28" s="84"/>
      <c r="I28" s="84"/>
      <c r="J28" s="84"/>
      <c r="K28" s="84"/>
      <c r="L28" s="140" t="str">
        <f>IFERROR(ROUND(AVERAGE(M28:T28),1),"")</f>
        <v/>
      </c>
      <c r="M28" s="86"/>
      <c r="N28" s="86"/>
      <c r="O28" s="86"/>
      <c r="P28" s="86"/>
      <c r="Q28" s="86"/>
      <c r="R28" s="86"/>
      <c r="S28" s="86"/>
      <c r="T28" s="86"/>
      <c r="U28" s="142" t="str">
        <f>IFERROR(ROUND(AVERAGE(V28:AC28),1),"")</f>
        <v/>
      </c>
      <c r="V28" s="88"/>
      <c r="W28" s="88"/>
      <c r="X28" s="88"/>
      <c r="Y28" s="88"/>
      <c r="Z28" s="88"/>
      <c r="AA28" s="88"/>
      <c r="AB28" s="88"/>
      <c r="AC28" s="88"/>
      <c r="AD28" s="142" t="str">
        <f>IFERROR(ROUND(AVERAGE(AE28:AL28),1),"")</f>
        <v/>
      </c>
      <c r="AE28" s="88"/>
      <c r="AF28" s="88"/>
      <c r="AG28" s="88"/>
      <c r="AH28" s="88"/>
      <c r="AI28" s="88"/>
      <c r="AJ28" s="88"/>
      <c r="AK28" s="88"/>
      <c r="AL28" s="88"/>
      <c r="AM28" s="143">
        <v>85.818181818181813</v>
      </c>
      <c r="AN28" s="88">
        <v>55</v>
      </c>
      <c r="AO28" s="89" t="s">
        <v>56</v>
      </c>
      <c r="AP28" s="90" t="s">
        <v>56</v>
      </c>
      <c r="AQ28" s="146" t="str">
        <f t="shared" si="8"/>
        <v/>
      </c>
      <c r="AR28" s="146" t="str">
        <f t="shared" si="9"/>
        <v/>
      </c>
      <c r="AS28" s="147">
        <v>0</v>
      </c>
      <c r="AT28" s="93" t="s">
        <v>56</v>
      </c>
      <c r="AU28" s="94" t="s">
        <v>56</v>
      </c>
      <c r="AV28" s="146" t="str">
        <f t="shared" si="10"/>
        <v/>
      </c>
      <c r="AW28" s="146" t="str">
        <f t="shared" si="11"/>
        <v/>
      </c>
      <c r="AX28" s="138" t="str">
        <f>IFERROR((1-((AV28*AR28)/(AW28*AQ28)))*100,"")</f>
        <v/>
      </c>
      <c r="AY28" s="95">
        <v>77.300000000000011</v>
      </c>
      <c r="AZ28" s="96">
        <v>62.155000000000001</v>
      </c>
      <c r="BA28" s="96"/>
      <c r="BB28" s="96">
        <v>128.5</v>
      </c>
      <c r="BC28" s="96"/>
      <c r="BD28" s="97">
        <v>55</v>
      </c>
      <c r="BE28" s="142">
        <f t="shared" si="6"/>
        <v>846</v>
      </c>
      <c r="BF28" s="98">
        <v>191</v>
      </c>
      <c r="BG28" s="98">
        <v>0</v>
      </c>
      <c r="BH28" s="98">
        <v>655</v>
      </c>
      <c r="BI28" s="98"/>
      <c r="BJ28" s="98"/>
      <c r="BK28" s="98"/>
      <c r="BL28" s="97"/>
    </row>
    <row r="29" spans="1:64" outlineLevel="5" x14ac:dyDescent="0.3">
      <c r="A29" s="152">
        <f t="shared" si="5"/>
        <v>1</v>
      </c>
      <c r="B29" s="153">
        <f t="shared" si="7"/>
        <v>43843</v>
      </c>
      <c r="C29" s="138">
        <f>IFERROR(ROUND(AVERAGE(D29:K29),1),"")</f>
        <v>40.5</v>
      </c>
      <c r="D29" s="84">
        <v>41</v>
      </c>
      <c r="E29" s="84">
        <v>40</v>
      </c>
      <c r="F29" s="84"/>
      <c r="G29" s="84"/>
      <c r="H29" s="84"/>
      <c r="I29" s="84"/>
      <c r="J29" s="84"/>
      <c r="K29" s="84"/>
      <c r="L29" s="140">
        <f>IFERROR(ROUND(AVERAGE(M29:T29),1),"")</f>
        <v>7.8</v>
      </c>
      <c r="M29" s="86">
        <v>7.72</v>
      </c>
      <c r="N29" s="86">
        <v>7.81</v>
      </c>
      <c r="O29" s="86"/>
      <c r="P29" s="86"/>
      <c r="Q29" s="86"/>
      <c r="R29" s="86"/>
      <c r="S29" s="86"/>
      <c r="T29" s="86"/>
      <c r="U29" s="142">
        <f>IFERROR(ROUND(AVERAGE(V29:AC29),1),"")</f>
        <v>1448.9</v>
      </c>
      <c r="V29" s="88">
        <v>1513.8</v>
      </c>
      <c r="W29" s="88">
        <v>1384</v>
      </c>
      <c r="X29" s="88"/>
      <c r="Y29" s="88"/>
      <c r="Z29" s="88"/>
      <c r="AA29" s="88"/>
      <c r="AB29" s="88"/>
      <c r="AC29" s="88"/>
      <c r="AD29" s="142" t="str">
        <f>IFERROR(ROUND(AVERAGE(AE29:AL29),1),"")</f>
        <v/>
      </c>
      <c r="AE29" s="88"/>
      <c r="AF29" s="88"/>
      <c r="AG29" s="88"/>
      <c r="AH29" s="88"/>
      <c r="AI29" s="88"/>
      <c r="AJ29" s="88"/>
      <c r="AK29" s="88"/>
      <c r="AL29" s="88"/>
      <c r="AM29" s="143">
        <v>49.968240525089982</v>
      </c>
      <c r="AN29" s="88">
        <v>94.460000000000008</v>
      </c>
      <c r="AO29" s="89" t="s">
        <v>56</v>
      </c>
      <c r="AP29" s="90" t="s">
        <v>56</v>
      </c>
      <c r="AQ29" s="146" t="str">
        <f t="shared" si="8"/>
        <v/>
      </c>
      <c r="AR29" s="146" t="str">
        <f t="shared" si="9"/>
        <v/>
      </c>
      <c r="AS29" s="147">
        <v>0</v>
      </c>
      <c r="AT29" s="93">
        <v>13.4</v>
      </c>
      <c r="AU29" s="94">
        <v>7.8</v>
      </c>
      <c r="AV29" s="146">
        <f t="shared" si="10"/>
        <v>58.208955223880601</v>
      </c>
      <c r="AW29" s="146">
        <f t="shared" si="11"/>
        <v>41.791044776119399</v>
      </c>
      <c r="AX29" s="138" t="str">
        <f>IFERROR((1-((AV29*AR29)/(AW29*AQ29)))*100,"")</f>
        <v/>
      </c>
      <c r="AY29" s="95">
        <v>77.300000000000011</v>
      </c>
      <c r="AZ29" s="96">
        <v>60.795000000000002</v>
      </c>
      <c r="BA29" s="96"/>
      <c r="BB29" s="96">
        <v>95</v>
      </c>
      <c r="BC29" s="96"/>
      <c r="BD29" s="97">
        <v>94.460000000000008</v>
      </c>
      <c r="BE29" s="142">
        <f t="shared" si="6"/>
        <v>2348</v>
      </c>
      <c r="BF29" s="98">
        <v>77</v>
      </c>
      <c r="BG29" s="98">
        <v>2033</v>
      </c>
      <c r="BH29" s="98">
        <v>238</v>
      </c>
      <c r="BI29" s="98"/>
      <c r="BJ29" s="98"/>
      <c r="BK29" s="98"/>
      <c r="BL29" s="97"/>
    </row>
    <row r="30" spans="1:64" outlineLevel="5" x14ac:dyDescent="0.3">
      <c r="A30" s="152">
        <f t="shared" si="5"/>
        <v>1</v>
      </c>
      <c r="B30" s="153">
        <f t="shared" si="7"/>
        <v>43844</v>
      </c>
      <c r="C30" s="138">
        <f>IFERROR(ROUND(AVERAGE(D30:K30),1),"")</f>
        <v>38</v>
      </c>
      <c r="D30" s="84">
        <v>38</v>
      </c>
      <c r="E30" s="84">
        <v>38</v>
      </c>
      <c r="F30" s="84"/>
      <c r="G30" s="84"/>
      <c r="H30" s="84"/>
      <c r="I30" s="84"/>
      <c r="J30" s="84"/>
      <c r="K30" s="84"/>
      <c r="L30" s="140">
        <f>IFERROR(ROUND(AVERAGE(M30:T30),1),"")</f>
        <v>7.8</v>
      </c>
      <c r="M30" s="86">
        <v>7.79</v>
      </c>
      <c r="N30" s="86">
        <v>7.8</v>
      </c>
      <c r="O30" s="86"/>
      <c r="P30" s="86"/>
      <c r="Q30" s="86"/>
      <c r="R30" s="86"/>
      <c r="S30" s="86"/>
      <c r="T30" s="86"/>
      <c r="U30" s="142">
        <f>IFERROR(ROUND(AVERAGE(V30:AC30),1),"")</f>
        <v>1362.4</v>
      </c>
      <c r="V30" s="88">
        <v>1427.3</v>
      </c>
      <c r="W30" s="88">
        <v>1297.5</v>
      </c>
      <c r="X30" s="88"/>
      <c r="Y30" s="88"/>
      <c r="Z30" s="88"/>
      <c r="AA30" s="88"/>
      <c r="AB30" s="88"/>
      <c r="AC30" s="88"/>
      <c r="AD30" s="142" t="str">
        <f>IFERROR(ROUND(AVERAGE(AE30:AL30),1),"")</f>
        <v/>
      </c>
      <c r="AE30" s="88"/>
      <c r="AF30" s="88"/>
      <c r="AG30" s="88"/>
      <c r="AH30" s="88"/>
      <c r="AI30" s="88"/>
      <c r="AJ30" s="88"/>
      <c r="AK30" s="88"/>
      <c r="AL30" s="88"/>
      <c r="AM30" s="143">
        <v>90.839107005388755</v>
      </c>
      <c r="AN30" s="88">
        <v>51.96</v>
      </c>
      <c r="AO30" s="89" t="s">
        <v>56</v>
      </c>
      <c r="AP30" s="90" t="s">
        <v>56</v>
      </c>
      <c r="AQ30" s="146" t="str">
        <f t="shared" si="8"/>
        <v/>
      </c>
      <c r="AR30" s="146" t="str">
        <f t="shared" si="9"/>
        <v/>
      </c>
      <c r="AS30" s="147">
        <v>0</v>
      </c>
      <c r="AT30" s="93" t="s">
        <v>56</v>
      </c>
      <c r="AU30" s="94" t="s">
        <v>56</v>
      </c>
      <c r="AV30" s="146" t="str">
        <f t="shared" si="10"/>
        <v/>
      </c>
      <c r="AW30" s="146" t="str">
        <f t="shared" si="11"/>
        <v/>
      </c>
      <c r="AX30" s="138" t="str">
        <f>IFERROR((1-((AV30*AR30)/(AW30*AQ30)))*100,"")</f>
        <v/>
      </c>
      <c r="AY30" s="95">
        <v>77.349999999999994</v>
      </c>
      <c r="AZ30" s="96">
        <v>59.114999999999995</v>
      </c>
      <c r="BA30" s="96"/>
      <c r="BB30" s="96">
        <v>131</v>
      </c>
      <c r="BC30" s="96"/>
      <c r="BD30" s="97">
        <v>51.96</v>
      </c>
      <c r="BE30" s="142">
        <f t="shared" si="6"/>
        <v>4653</v>
      </c>
      <c r="BF30" s="98">
        <v>101</v>
      </c>
      <c r="BG30" s="98">
        <v>1993</v>
      </c>
      <c r="BH30" s="98">
        <v>2559</v>
      </c>
      <c r="BI30" s="98"/>
      <c r="BJ30" s="98"/>
      <c r="BK30" s="98"/>
      <c r="BL30" s="97"/>
    </row>
    <row r="31" spans="1:64" outlineLevel="5" x14ac:dyDescent="0.3">
      <c r="A31" s="152">
        <f t="shared" si="5"/>
        <v>1</v>
      </c>
      <c r="B31" s="153">
        <f t="shared" si="7"/>
        <v>43845</v>
      </c>
      <c r="C31" s="138">
        <f>IFERROR(ROUND(AVERAGE(D31:K31),1),"")</f>
        <v>36</v>
      </c>
      <c r="D31" s="84">
        <v>36</v>
      </c>
      <c r="E31" s="84">
        <v>36</v>
      </c>
      <c r="F31" s="84"/>
      <c r="G31" s="84"/>
      <c r="H31" s="84"/>
      <c r="I31" s="84"/>
      <c r="J31" s="84"/>
      <c r="K31" s="84"/>
      <c r="L31" s="140">
        <f>IFERROR(ROUND(AVERAGE(M31:T31),1),"")</f>
        <v>7.8</v>
      </c>
      <c r="M31" s="86">
        <v>7.82</v>
      </c>
      <c r="N31" s="86">
        <v>7.87</v>
      </c>
      <c r="O31" s="86"/>
      <c r="P31" s="86"/>
      <c r="Q31" s="86"/>
      <c r="R31" s="86"/>
      <c r="S31" s="86"/>
      <c r="T31" s="86"/>
      <c r="U31" s="142">
        <f>IFERROR(ROUND(AVERAGE(V31:AC31),1),"")</f>
        <v>1340.8</v>
      </c>
      <c r="V31" s="88">
        <v>1384</v>
      </c>
      <c r="W31" s="88">
        <v>1297.5</v>
      </c>
      <c r="X31" s="88"/>
      <c r="Y31" s="88"/>
      <c r="Z31" s="88"/>
      <c r="AA31" s="88"/>
      <c r="AB31" s="88"/>
      <c r="AC31" s="88"/>
      <c r="AD31" s="142" t="str">
        <f>IFERROR(ROUND(AVERAGE(AE31:AL31),1),"")</f>
        <v/>
      </c>
      <c r="AE31" s="88"/>
      <c r="AF31" s="88"/>
      <c r="AG31" s="88"/>
      <c r="AH31" s="88"/>
      <c r="AI31" s="88"/>
      <c r="AJ31" s="88"/>
      <c r="AK31" s="88"/>
      <c r="AL31" s="88"/>
      <c r="AM31" s="143">
        <v>75.423457973793532</v>
      </c>
      <c r="AN31" s="88">
        <v>62.580000000000005</v>
      </c>
      <c r="AO31" s="89"/>
      <c r="AP31" s="90"/>
      <c r="AQ31" s="146" t="str">
        <f t="shared" si="8"/>
        <v/>
      </c>
      <c r="AR31" s="146" t="str">
        <f t="shared" si="9"/>
        <v/>
      </c>
      <c r="AS31" s="147">
        <v>0</v>
      </c>
      <c r="AT31" s="93">
        <v>13.55</v>
      </c>
      <c r="AU31" s="94">
        <v>8.1999999999999993</v>
      </c>
      <c r="AV31" s="146">
        <f t="shared" si="10"/>
        <v>60.516605166051654</v>
      </c>
      <c r="AW31" s="146">
        <f t="shared" si="11"/>
        <v>39.483394833948346</v>
      </c>
      <c r="AX31" s="138" t="str">
        <f>IFERROR((1-((AV31*AR31)/(AW31*AQ31)))*100,"")</f>
        <v/>
      </c>
      <c r="AY31" s="95">
        <v>77.349999999999994</v>
      </c>
      <c r="AZ31" s="96">
        <v>59.28</v>
      </c>
      <c r="BA31" s="96"/>
      <c r="BB31" s="96">
        <v>74.5</v>
      </c>
      <c r="BC31" s="96"/>
      <c r="BD31" s="97">
        <v>62.580000000000005</v>
      </c>
      <c r="BE31" s="142">
        <f t="shared" si="6"/>
        <v>6937</v>
      </c>
      <c r="BF31" s="98">
        <v>102</v>
      </c>
      <c r="BG31" s="98">
        <v>735</v>
      </c>
      <c r="BH31" s="98">
        <v>6100</v>
      </c>
      <c r="BI31" s="98"/>
      <c r="BJ31" s="98"/>
      <c r="BK31" s="98"/>
      <c r="BL31" s="97"/>
    </row>
    <row r="32" spans="1:64" outlineLevel="5" x14ac:dyDescent="0.3">
      <c r="A32" s="152">
        <f t="shared" si="5"/>
        <v>1</v>
      </c>
      <c r="B32" s="153">
        <f t="shared" si="7"/>
        <v>43846</v>
      </c>
      <c r="C32" s="138">
        <f>IFERROR(ROUND(AVERAGE(D32:K32),1),"")</f>
        <v>38</v>
      </c>
      <c r="D32" s="84">
        <v>40</v>
      </c>
      <c r="E32" s="84">
        <v>36</v>
      </c>
      <c r="F32" s="84"/>
      <c r="G32" s="84"/>
      <c r="H32" s="84"/>
      <c r="I32" s="84"/>
      <c r="J32" s="84"/>
      <c r="K32" s="84"/>
      <c r="L32" s="140">
        <f>IFERROR(ROUND(AVERAGE(M32:T32),1),"")</f>
        <v>7.9</v>
      </c>
      <c r="M32" s="86">
        <v>7.84</v>
      </c>
      <c r="N32" s="86">
        <v>7.89</v>
      </c>
      <c r="O32" s="86"/>
      <c r="P32" s="86"/>
      <c r="Q32" s="86"/>
      <c r="R32" s="86"/>
      <c r="S32" s="86"/>
      <c r="T32" s="86"/>
      <c r="U32" s="142">
        <f>IFERROR(ROUND(AVERAGE(V32:AC32),1),"")</f>
        <v>1427.3</v>
      </c>
      <c r="V32" s="88">
        <v>1470.5</v>
      </c>
      <c r="W32" s="88">
        <v>1384</v>
      </c>
      <c r="X32" s="88"/>
      <c r="Y32" s="88"/>
      <c r="Z32" s="88"/>
      <c r="AA32" s="88"/>
      <c r="AB32" s="88"/>
      <c r="AC32" s="88"/>
      <c r="AD32" s="142" t="str">
        <f>IFERROR(ROUND(AVERAGE(AE32:AL32),1),"")</f>
        <v/>
      </c>
      <c r="AE32" s="88"/>
      <c r="AF32" s="88"/>
      <c r="AG32" s="88"/>
      <c r="AH32" s="88"/>
      <c r="AI32" s="88"/>
      <c r="AJ32" s="88"/>
      <c r="AK32" s="88"/>
      <c r="AL32" s="88"/>
      <c r="AM32" s="143">
        <v>103.35012042916576</v>
      </c>
      <c r="AN32" s="88">
        <v>45.67</v>
      </c>
      <c r="AO32" s="89"/>
      <c r="AP32" s="90"/>
      <c r="AQ32" s="146" t="str">
        <f t="shared" si="8"/>
        <v/>
      </c>
      <c r="AR32" s="146" t="str">
        <f t="shared" si="9"/>
        <v/>
      </c>
      <c r="AS32" s="147">
        <v>0</v>
      </c>
      <c r="AT32" s="93" t="s">
        <v>56</v>
      </c>
      <c r="AU32" s="94" t="s">
        <v>56</v>
      </c>
      <c r="AV32" s="146" t="str">
        <f t="shared" si="10"/>
        <v/>
      </c>
      <c r="AW32" s="146" t="str">
        <f t="shared" si="11"/>
        <v/>
      </c>
      <c r="AX32" s="138" t="str">
        <f>IFERROR((1-((AV32*AR32)/(AW32*AQ32)))*100,"")</f>
        <v/>
      </c>
      <c r="AY32" s="95">
        <v>77.099999999999994</v>
      </c>
      <c r="AZ32" s="96">
        <v>58.975000000000001</v>
      </c>
      <c r="BA32" s="96"/>
      <c r="BB32" s="96">
        <v>91</v>
      </c>
      <c r="BC32" s="96"/>
      <c r="BD32" s="97">
        <v>45.67</v>
      </c>
      <c r="BE32" s="142">
        <f t="shared" si="6"/>
        <v>3977</v>
      </c>
      <c r="BF32" s="98">
        <v>171</v>
      </c>
      <c r="BG32" s="98">
        <v>181</v>
      </c>
      <c r="BH32" s="98">
        <v>3625</v>
      </c>
      <c r="BI32" s="98"/>
      <c r="BJ32" s="98"/>
      <c r="BK32" s="98"/>
      <c r="BL32" s="97"/>
    </row>
    <row r="33" spans="1:64" outlineLevel="5" x14ac:dyDescent="0.3">
      <c r="A33" s="152">
        <f t="shared" si="5"/>
        <v>1</v>
      </c>
      <c r="B33" s="153">
        <f t="shared" si="7"/>
        <v>43847</v>
      </c>
      <c r="C33" s="138">
        <f>IFERROR(ROUND(AVERAGE(D33:K33),1),"")</f>
        <v>40</v>
      </c>
      <c r="D33" s="84">
        <v>40</v>
      </c>
      <c r="E33" s="84">
        <v>40</v>
      </c>
      <c r="F33" s="84"/>
      <c r="G33" s="84"/>
      <c r="H33" s="84"/>
      <c r="I33" s="84"/>
      <c r="J33" s="84"/>
      <c r="K33" s="84"/>
      <c r="L33" s="140" t="str">
        <f>IFERROR(ROUND(AVERAGE(M33:T33),1),"")</f>
        <v/>
      </c>
      <c r="M33" s="86"/>
      <c r="N33" s="86"/>
      <c r="O33" s="86"/>
      <c r="P33" s="86"/>
      <c r="Q33" s="86"/>
      <c r="R33" s="86"/>
      <c r="S33" s="86"/>
      <c r="T33" s="86"/>
      <c r="U33" s="142" t="str">
        <f>IFERROR(ROUND(AVERAGE(V33:AC33),1),"")</f>
        <v/>
      </c>
      <c r="V33" s="88"/>
      <c r="W33" s="88"/>
      <c r="X33" s="88"/>
      <c r="Y33" s="88"/>
      <c r="Z33" s="88"/>
      <c r="AA33" s="88"/>
      <c r="AB33" s="88"/>
      <c r="AC33" s="88"/>
      <c r="AD33" s="142" t="str">
        <f>IFERROR(ROUND(AVERAGE(AE33:AL33),1),"")</f>
        <v/>
      </c>
      <c r="AE33" s="88"/>
      <c r="AF33" s="88"/>
      <c r="AG33" s="88"/>
      <c r="AH33" s="88"/>
      <c r="AI33" s="88"/>
      <c r="AJ33" s="88"/>
      <c r="AK33" s="88"/>
      <c r="AL33" s="88"/>
      <c r="AM33" s="143">
        <v>62.682602921646748</v>
      </c>
      <c r="AN33" s="88">
        <v>75.3</v>
      </c>
      <c r="AO33" s="89">
        <v>21</v>
      </c>
      <c r="AP33" s="90">
        <v>18.144000000000002</v>
      </c>
      <c r="AQ33" s="146">
        <f t="shared" si="8"/>
        <v>86.4</v>
      </c>
      <c r="AR33" s="146">
        <f t="shared" si="9"/>
        <v>13.599999999999994</v>
      </c>
      <c r="AS33" s="147">
        <v>0</v>
      </c>
      <c r="AT33" s="93">
        <v>13.75</v>
      </c>
      <c r="AU33" s="94">
        <v>8.25</v>
      </c>
      <c r="AV33" s="146">
        <f t="shared" si="10"/>
        <v>60</v>
      </c>
      <c r="AW33" s="146">
        <f t="shared" si="11"/>
        <v>40</v>
      </c>
      <c r="AX33" s="138">
        <f>IFERROR((1-((AV33*AR33)/(AW33*AQ33)))*100,"")</f>
        <v>76.3888888888889</v>
      </c>
      <c r="AY33" s="95" t="s">
        <v>56</v>
      </c>
      <c r="AZ33" s="96">
        <v>58.1</v>
      </c>
      <c r="BA33" s="96"/>
      <c r="BB33" s="96">
        <v>88.5</v>
      </c>
      <c r="BC33" s="96"/>
      <c r="BD33" s="97">
        <v>75.3</v>
      </c>
      <c r="BE33" s="142">
        <f t="shared" si="6"/>
        <v>3458</v>
      </c>
      <c r="BF33" s="98">
        <v>89</v>
      </c>
      <c r="BG33" s="98">
        <v>2000</v>
      </c>
      <c r="BH33" s="98">
        <v>1369</v>
      </c>
      <c r="BI33" s="98"/>
      <c r="BJ33" s="98"/>
      <c r="BK33" s="98"/>
      <c r="BL33" s="97"/>
    </row>
    <row r="34" spans="1:64" outlineLevel="5" x14ac:dyDescent="0.3">
      <c r="A34" s="152">
        <f t="shared" si="5"/>
        <v>1</v>
      </c>
      <c r="B34" s="153">
        <f t="shared" si="7"/>
        <v>43848</v>
      </c>
      <c r="C34" s="138">
        <f>IFERROR(ROUND(AVERAGE(D34:K34),1),"")</f>
        <v>40</v>
      </c>
      <c r="D34" s="84">
        <v>40</v>
      </c>
      <c r="E34" s="84">
        <v>40</v>
      </c>
      <c r="F34" s="84"/>
      <c r="G34" s="84"/>
      <c r="H34" s="84"/>
      <c r="I34" s="84"/>
      <c r="J34" s="84"/>
      <c r="K34" s="84"/>
      <c r="L34" s="140" t="str">
        <f>IFERROR(ROUND(AVERAGE(M34:T34),1),"")</f>
        <v/>
      </c>
      <c r="M34" s="86"/>
      <c r="N34" s="86"/>
      <c r="O34" s="86"/>
      <c r="P34" s="86"/>
      <c r="Q34" s="86"/>
      <c r="R34" s="86"/>
      <c r="S34" s="86"/>
      <c r="T34" s="86"/>
      <c r="U34" s="142" t="str">
        <f>IFERROR(ROUND(AVERAGE(V34:AC34),1),"")</f>
        <v/>
      </c>
      <c r="V34" s="88"/>
      <c r="W34" s="88"/>
      <c r="X34" s="88"/>
      <c r="Y34" s="88"/>
      <c r="Z34" s="88"/>
      <c r="AA34" s="88"/>
      <c r="AB34" s="88"/>
      <c r="AC34" s="88"/>
      <c r="AD34" s="142" t="str">
        <f>IFERROR(ROUND(AVERAGE(AE34:AL34),1),"")</f>
        <v/>
      </c>
      <c r="AE34" s="88"/>
      <c r="AF34" s="88"/>
      <c r="AG34" s="88"/>
      <c r="AH34" s="88"/>
      <c r="AI34" s="88"/>
      <c r="AJ34" s="88"/>
      <c r="AK34" s="88"/>
      <c r="AL34" s="88"/>
      <c r="AM34" s="143">
        <v>161.53319644079397</v>
      </c>
      <c r="AN34" s="88">
        <v>29.220000000000002</v>
      </c>
      <c r="AO34" s="89" t="s">
        <v>56</v>
      </c>
      <c r="AP34" s="90" t="s">
        <v>56</v>
      </c>
      <c r="AQ34" s="146" t="str">
        <f t="shared" si="8"/>
        <v/>
      </c>
      <c r="AR34" s="146" t="str">
        <f t="shared" si="9"/>
        <v/>
      </c>
      <c r="AS34" s="147">
        <v>0</v>
      </c>
      <c r="AT34" s="93" t="s">
        <v>56</v>
      </c>
      <c r="AU34" s="94" t="s">
        <v>56</v>
      </c>
      <c r="AV34" s="146" t="str">
        <f t="shared" si="10"/>
        <v/>
      </c>
      <c r="AW34" s="146" t="str">
        <f t="shared" si="11"/>
        <v/>
      </c>
      <c r="AX34" s="138" t="str">
        <f>IFERROR((1-((AV34*AR34)/(AW34*AQ34)))*100,"")</f>
        <v/>
      </c>
      <c r="AY34" s="95" t="s">
        <v>56</v>
      </c>
      <c r="AZ34" s="96">
        <v>60.95</v>
      </c>
      <c r="BA34" s="96"/>
      <c r="BB34" s="96">
        <v>44.5</v>
      </c>
      <c r="BC34" s="96"/>
      <c r="BD34" s="97">
        <v>29.220000000000002</v>
      </c>
      <c r="BE34" s="142">
        <f t="shared" si="6"/>
        <v>3114</v>
      </c>
      <c r="BF34" s="98">
        <v>0</v>
      </c>
      <c r="BG34" s="98">
        <v>560</v>
      </c>
      <c r="BH34" s="98">
        <v>2554</v>
      </c>
      <c r="BI34" s="98"/>
      <c r="BJ34" s="98"/>
      <c r="BK34" s="98"/>
      <c r="BL34" s="97"/>
    </row>
    <row r="35" spans="1:64" outlineLevel="5" x14ac:dyDescent="0.3">
      <c r="A35" s="152">
        <f t="shared" si="5"/>
        <v>1</v>
      </c>
      <c r="B35" s="153">
        <f t="shared" si="7"/>
        <v>43849</v>
      </c>
      <c r="C35" s="138">
        <f>IFERROR(ROUND(AVERAGE(D35:K35),1),"")</f>
        <v>39</v>
      </c>
      <c r="D35" s="84">
        <v>39</v>
      </c>
      <c r="E35" s="84">
        <v>39</v>
      </c>
      <c r="F35" s="84"/>
      <c r="G35" s="84"/>
      <c r="H35" s="84"/>
      <c r="I35" s="84"/>
      <c r="J35" s="84"/>
      <c r="K35" s="84"/>
      <c r="L35" s="140" t="str">
        <f>IFERROR(ROUND(AVERAGE(M35:T35),1),"")</f>
        <v/>
      </c>
      <c r="M35" s="86"/>
      <c r="N35" s="86"/>
      <c r="O35" s="86"/>
      <c r="P35" s="86"/>
      <c r="Q35" s="86"/>
      <c r="R35" s="86"/>
      <c r="S35" s="86"/>
      <c r="T35" s="86"/>
      <c r="U35" s="142" t="str">
        <f>IFERROR(ROUND(AVERAGE(V35:AC35),1),"")</f>
        <v/>
      </c>
      <c r="V35" s="88"/>
      <c r="W35" s="88"/>
      <c r="X35" s="88"/>
      <c r="Y35" s="88"/>
      <c r="Z35" s="88"/>
      <c r="AA35" s="88"/>
      <c r="AB35" s="88"/>
      <c r="AC35" s="88"/>
      <c r="AD35" s="142" t="str">
        <f>IFERROR(ROUND(AVERAGE(AE35:AL35),1),"")</f>
        <v/>
      </c>
      <c r="AE35" s="88"/>
      <c r="AF35" s="88"/>
      <c r="AG35" s="88"/>
      <c r="AH35" s="88"/>
      <c r="AI35" s="88"/>
      <c r="AJ35" s="88"/>
      <c r="AK35" s="88"/>
      <c r="AL35" s="88"/>
      <c r="AM35" s="143">
        <v>69.411764705882348</v>
      </c>
      <c r="AN35" s="88">
        <v>68</v>
      </c>
      <c r="AO35" s="89" t="s">
        <v>56</v>
      </c>
      <c r="AP35" s="90" t="s">
        <v>56</v>
      </c>
      <c r="AQ35" s="146" t="str">
        <f t="shared" si="8"/>
        <v/>
      </c>
      <c r="AR35" s="146" t="str">
        <f t="shared" si="9"/>
        <v/>
      </c>
      <c r="AS35" s="147">
        <v>0</v>
      </c>
      <c r="AT35" s="93" t="s">
        <v>56</v>
      </c>
      <c r="AU35" s="94" t="s">
        <v>56</v>
      </c>
      <c r="AV35" s="146" t="str">
        <f t="shared" si="10"/>
        <v/>
      </c>
      <c r="AW35" s="146" t="str">
        <f t="shared" si="11"/>
        <v/>
      </c>
      <c r="AX35" s="138" t="str">
        <f>IFERROR((1-((AV35*AR35)/(AW35*AQ35)))*100,"")</f>
        <v/>
      </c>
      <c r="AY35" s="95" t="s">
        <v>56</v>
      </c>
      <c r="AZ35" s="96">
        <v>61.96</v>
      </c>
      <c r="BA35" s="96"/>
      <c r="BB35" s="96">
        <v>30.5</v>
      </c>
      <c r="BC35" s="96"/>
      <c r="BD35" s="97">
        <v>68</v>
      </c>
      <c r="BE35" s="142">
        <f t="shared" si="6"/>
        <v>1193</v>
      </c>
      <c r="BF35" s="98">
        <v>0</v>
      </c>
      <c r="BG35" s="98">
        <v>171</v>
      </c>
      <c r="BH35" s="98">
        <v>1022</v>
      </c>
      <c r="BI35" s="98"/>
      <c r="BJ35" s="98"/>
      <c r="BK35" s="98"/>
      <c r="BL35" s="97"/>
    </row>
    <row r="36" spans="1:64" outlineLevel="5" x14ac:dyDescent="0.3">
      <c r="A36" s="152">
        <f t="shared" si="5"/>
        <v>1</v>
      </c>
      <c r="B36" s="153">
        <f t="shared" si="7"/>
        <v>43850</v>
      </c>
      <c r="C36" s="138">
        <f>IFERROR(ROUND(AVERAGE(D36:K36),1),"")</f>
        <v>38.5</v>
      </c>
      <c r="D36" s="84">
        <v>39</v>
      </c>
      <c r="E36" s="84">
        <v>38</v>
      </c>
      <c r="F36" s="84"/>
      <c r="G36" s="84"/>
      <c r="H36" s="84"/>
      <c r="I36" s="84"/>
      <c r="J36" s="84"/>
      <c r="K36" s="84"/>
      <c r="L36" s="140">
        <f>IFERROR(ROUND(AVERAGE(M36:T36),1),"")</f>
        <v>7.8</v>
      </c>
      <c r="M36" s="86">
        <v>7.81</v>
      </c>
      <c r="N36" s="86">
        <v>7.88</v>
      </c>
      <c r="O36" s="86"/>
      <c r="P36" s="86"/>
      <c r="Q36" s="86"/>
      <c r="R36" s="86"/>
      <c r="S36" s="86"/>
      <c r="T36" s="86"/>
      <c r="U36" s="142">
        <f>IFERROR(ROUND(AVERAGE(V36:AC36),1),"")</f>
        <v>1319.2</v>
      </c>
      <c r="V36" s="88">
        <v>1340.8</v>
      </c>
      <c r="W36" s="88">
        <v>1297.5</v>
      </c>
      <c r="X36" s="88"/>
      <c r="Y36" s="88"/>
      <c r="Z36" s="88"/>
      <c r="AA36" s="88"/>
      <c r="AB36" s="88"/>
      <c r="AC36" s="88"/>
      <c r="AD36" s="142" t="str">
        <f>IFERROR(ROUND(AVERAGE(AE36:AL36),1),"")</f>
        <v/>
      </c>
      <c r="AE36" s="88"/>
      <c r="AF36" s="88"/>
      <c r="AG36" s="88"/>
      <c r="AH36" s="88"/>
      <c r="AI36" s="88"/>
      <c r="AJ36" s="88"/>
      <c r="AK36" s="88"/>
      <c r="AL36" s="88"/>
      <c r="AM36" s="143">
        <v>41.970478392317268</v>
      </c>
      <c r="AN36" s="88">
        <v>112.46000000000001</v>
      </c>
      <c r="AO36" s="89" t="s">
        <v>56</v>
      </c>
      <c r="AP36" s="90" t="s">
        <v>56</v>
      </c>
      <c r="AQ36" s="146" t="str">
        <f t="shared" si="8"/>
        <v/>
      </c>
      <c r="AR36" s="146" t="str">
        <f t="shared" si="9"/>
        <v/>
      </c>
      <c r="AS36" s="147">
        <v>0</v>
      </c>
      <c r="AT36" s="93">
        <v>13.4</v>
      </c>
      <c r="AU36" s="94">
        <v>7.6</v>
      </c>
      <c r="AV36" s="146">
        <f t="shared" si="10"/>
        <v>56.71641791044776</v>
      </c>
      <c r="AW36" s="146">
        <f t="shared" si="11"/>
        <v>43.28358208955224</v>
      </c>
      <c r="AX36" s="138" t="str">
        <f>IFERROR((1-((AV36*AR36)/(AW36*AQ36)))*100,"")</f>
        <v/>
      </c>
      <c r="AY36" s="95">
        <v>77.349999999999994</v>
      </c>
      <c r="AZ36" s="96">
        <v>54.765000000000001</v>
      </c>
      <c r="BA36" s="96"/>
      <c r="BB36" s="96">
        <v>142.5</v>
      </c>
      <c r="BC36" s="96"/>
      <c r="BD36" s="97">
        <v>112.46000000000001</v>
      </c>
      <c r="BE36" s="142">
        <f t="shared" si="6"/>
        <v>6052</v>
      </c>
      <c r="BF36" s="98">
        <v>0</v>
      </c>
      <c r="BG36" s="98">
        <v>3135</v>
      </c>
      <c r="BH36" s="98">
        <v>2917</v>
      </c>
      <c r="BI36" s="98"/>
      <c r="BJ36" s="98"/>
      <c r="BK36" s="98"/>
      <c r="BL36" s="97"/>
    </row>
    <row r="37" spans="1:64" outlineLevel="5" x14ac:dyDescent="0.3">
      <c r="A37" s="152">
        <f t="shared" si="5"/>
        <v>1</v>
      </c>
      <c r="B37" s="153">
        <f t="shared" si="7"/>
        <v>43851</v>
      </c>
      <c r="C37" s="138">
        <f>IFERROR(ROUND(AVERAGE(D37:K37),1),"")</f>
        <v>36.5</v>
      </c>
      <c r="D37" s="84">
        <v>35</v>
      </c>
      <c r="E37" s="84">
        <v>38</v>
      </c>
      <c r="F37" s="84"/>
      <c r="G37" s="84"/>
      <c r="H37" s="84"/>
      <c r="I37" s="84"/>
      <c r="J37" s="84"/>
      <c r="K37" s="84"/>
      <c r="L37" s="140" t="str">
        <f>IFERROR(ROUND(AVERAGE(M37:T37),1),"")</f>
        <v/>
      </c>
      <c r="M37" s="86"/>
      <c r="N37" s="86"/>
      <c r="O37" s="86"/>
      <c r="P37" s="86"/>
      <c r="Q37" s="86"/>
      <c r="R37" s="86"/>
      <c r="S37" s="86"/>
      <c r="T37" s="86"/>
      <c r="U37" s="142" t="str">
        <f>IFERROR(ROUND(AVERAGE(V37:AC37),1),"")</f>
        <v/>
      </c>
      <c r="V37" s="88"/>
      <c r="W37" s="88"/>
      <c r="X37" s="88"/>
      <c r="Y37" s="88"/>
      <c r="Z37" s="88"/>
      <c r="AA37" s="88"/>
      <c r="AB37" s="88"/>
      <c r="AC37" s="88"/>
      <c r="AD37" s="142" t="str">
        <f>IFERROR(ROUND(AVERAGE(AE37:AL37),1),"")</f>
        <v/>
      </c>
      <c r="AE37" s="88"/>
      <c r="AF37" s="88"/>
      <c r="AG37" s="88"/>
      <c r="AH37" s="88"/>
      <c r="AI37" s="88"/>
      <c r="AJ37" s="88"/>
      <c r="AK37" s="88"/>
      <c r="AL37" s="88"/>
      <c r="AM37" s="143">
        <v>101.00577787288681</v>
      </c>
      <c r="AN37" s="88">
        <v>46.73</v>
      </c>
      <c r="AO37" s="89" t="s">
        <v>56</v>
      </c>
      <c r="AP37" s="90" t="s">
        <v>56</v>
      </c>
      <c r="AQ37" s="146" t="str">
        <f t="shared" si="8"/>
        <v/>
      </c>
      <c r="AR37" s="146" t="str">
        <f t="shared" si="9"/>
        <v/>
      </c>
      <c r="AS37" s="147">
        <v>0</v>
      </c>
      <c r="AT37" s="93" t="s">
        <v>56</v>
      </c>
      <c r="AU37" s="94" t="s">
        <v>56</v>
      </c>
      <c r="AV37" s="146" t="str">
        <f t="shared" si="10"/>
        <v/>
      </c>
      <c r="AW37" s="146" t="str">
        <f t="shared" si="11"/>
        <v/>
      </c>
      <c r="AX37" s="138" t="str">
        <f>IFERROR((1-((AV37*AR37)/(AW37*AQ37)))*100,"")</f>
        <v/>
      </c>
      <c r="AY37" s="95" t="s">
        <v>56</v>
      </c>
      <c r="AZ37" s="96">
        <v>57.68</v>
      </c>
      <c r="BA37" s="96"/>
      <c r="BB37" s="96">
        <v>81</v>
      </c>
      <c r="BC37" s="96"/>
      <c r="BD37" s="97">
        <v>46.73</v>
      </c>
      <c r="BE37" s="142">
        <f t="shared" si="6"/>
        <v>4128</v>
      </c>
      <c r="BF37" s="98">
        <v>107</v>
      </c>
      <c r="BG37" s="98">
        <v>2121</v>
      </c>
      <c r="BH37" s="98">
        <v>1900</v>
      </c>
      <c r="BI37" s="98"/>
      <c r="BJ37" s="98"/>
      <c r="BK37" s="98"/>
      <c r="BL37" s="97"/>
    </row>
    <row r="38" spans="1:64" outlineLevel="5" x14ac:dyDescent="0.3">
      <c r="A38" s="152">
        <f t="shared" si="5"/>
        <v>1</v>
      </c>
      <c r="B38" s="153">
        <f t="shared" si="7"/>
        <v>43852</v>
      </c>
      <c r="C38" s="138">
        <f>IFERROR(ROUND(AVERAGE(D38:K38),1),"")</f>
        <v>38.5</v>
      </c>
      <c r="D38" s="84">
        <v>39</v>
      </c>
      <c r="E38" s="84">
        <v>38</v>
      </c>
      <c r="F38" s="84"/>
      <c r="G38" s="84"/>
      <c r="H38" s="84"/>
      <c r="I38" s="84"/>
      <c r="J38" s="84"/>
      <c r="K38" s="84"/>
      <c r="L38" s="140">
        <f>IFERROR(ROUND(AVERAGE(M38:T38),1),"")</f>
        <v>7.9</v>
      </c>
      <c r="M38" s="86">
        <v>7.85</v>
      </c>
      <c r="N38" s="86">
        <v>7.9</v>
      </c>
      <c r="O38" s="86"/>
      <c r="P38" s="86"/>
      <c r="Q38" s="86"/>
      <c r="R38" s="86"/>
      <c r="S38" s="86"/>
      <c r="T38" s="86"/>
      <c r="U38" s="142">
        <f>IFERROR(ROUND(AVERAGE(V38:AC38),1),"")</f>
        <v>1427.3</v>
      </c>
      <c r="V38" s="88">
        <v>1470.5</v>
      </c>
      <c r="W38" s="88">
        <v>1384</v>
      </c>
      <c r="X38" s="88"/>
      <c r="Y38" s="88"/>
      <c r="Z38" s="88"/>
      <c r="AA38" s="88"/>
      <c r="AB38" s="88"/>
      <c r="AC38" s="88"/>
      <c r="AD38" s="142" t="str">
        <f>IFERROR(ROUND(AVERAGE(AE38:AL38),1),"")</f>
        <v/>
      </c>
      <c r="AE38" s="88"/>
      <c r="AF38" s="88"/>
      <c r="AG38" s="88"/>
      <c r="AH38" s="88"/>
      <c r="AI38" s="88"/>
      <c r="AJ38" s="88"/>
      <c r="AK38" s="88"/>
      <c r="AL38" s="88"/>
      <c r="AM38" s="143">
        <v>58.64811133200795</v>
      </c>
      <c r="AN38" s="88">
        <v>80.48</v>
      </c>
      <c r="AO38" s="89"/>
      <c r="AP38" s="90"/>
      <c r="AQ38" s="146" t="str">
        <f t="shared" si="8"/>
        <v/>
      </c>
      <c r="AR38" s="146" t="str">
        <f t="shared" si="9"/>
        <v/>
      </c>
      <c r="AS38" s="147">
        <v>0</v>
      </c>
      <c r="AT38" s="93">
        <v>13.55</v>
      </c>
      <c r="AU38" s="94">
        <v>8.4499999999999993</v>
      </c>
      <c r="AV38" s="146">
        <f t="shared" si="10"/>
        <v>62.361623616236152</v>
      </c>
      <c r="AW38" s="146">
        <f t="shared" si="11"/>
        <v>37.638376383763848</v>
      </c>
      <c r="AX38" s="138" t="str">
        <f>IFERROR((1-((AV38*AR38)/(AW38*AQ38)))*100,"")</f>
        <v/>
      </c>
      <c r="AY38" s="95">
        <v>77.800000000000011</v>
      </c>
      <c r="AZ38" s="96">
        <v>56.975000000000001</v>
      </c>
      <c r="BA38" s="96"/>
      <c r="BB38" s="96">
        <v>177.5</v>
      </c>
      <c r="BC38" s="96"/>
      <c r="BD38" s="97">
        <v>80.48</v>
      </c>
      <c r="BE38" s="142">
        <f t="shared" si="6"/>
        <v>2804</v>
      </c>
      <c r="BF38" s="98">
        <v>210</v>
      </c>
      <c r="BG38" s="98">
        <v>2594</v>
      </c>
      <c r="BH38" s="98">
        <v>0</v>
      </c>
      <c r="BI38" s="98"/>
      <c r="BJ38" s="98"/>
      <c r="BK38" s="98"/>
      <c r="BL38" s="97"/>
    </row>
    <row r="39" spans="1:64" outlineLevel="5" x14ac:dyDescent="0.3">
      <c r="A39" s="152">
        <f t="shared" si="5"/>
        <v>1</v>
      </c>
      <c r="B39" s="153">
        <f t="shared" si="7"/>
        <v>43853</v>
      </c>
      <c r="C39" s="138">
        <f>IFERROR(ROUND(AVERAGE(D39:K39),1),"")</f>
        <v>37.5</v>
      </c>
      <c r="D39" s="84">
        <v>39</v>
      </c>
      <c r="E39" s="84">
        <v>36</v>
      </c>
      <c r="F39" s="84"/>
      <c r="G39" s="84"/>
      <c r="H39" s="84"/>
      <c r="I39" s="84"/>
      <c r="J39" s="84"/>
      <c r="K39" s="84"/>
      <c r="L39" s="140">
        <f>IFERROR(ROUND(AVERAGE(M39:T39),1),"")</f>
        <v>7.9</v>
      </c>
      <c r="M39" s="86">
        <v>7.88</v>
      </c>
      <c r="N39" s="86">
        <v>7.89</v>
      </c>
      <c r="O39" s="86"/>
      <c r="P39" s="86"/>
      <c r="Q39" s="86"/>
      <c r="R39" s="86"/>
      <c r="S39" s="86"/>
      <c r="T39" s="86"/>
      <c r="U39" s="142">
        <f>IFERROR(ROUND(AVERAGE(V39:AC39),1),"")</f>
        <v>1448.9</v>
      </c>
      <c r="V39" s="88">
        <v>1557</v>
      </c>
      <c r="W39" s="88">
        <v>1340.8</v>
      </c>
      <c r="X39" s="88"/>
      <c r="Y39" s="88"/>
      <c r="Z39" s="88"/>
      <c r="AA39" s="88"/>
      <c r="AB39" s="88"/>
      <c r="AC39" s="88"/>
      <c r="AD39" s="142" t="str">
        <f>IFERROR(ROUND(AVERAGE(AE39:AL39),1),"")</f>
        <v/>
      </c>
      <c r="AE39" s="88"/>
      <c r="AF39" s="88"/>
      <c r="AG39" s="88"/>
      <c r="AH39" s="88"/>
      <c r="AI39" s="88"/>
      <c r="AJ39" s="88"/>
      <c r="AK39" s="88"/>
      <c r="AL39" s="88"/>
      <c r="AM39" s="143">
        <v>64.790665751544267</v>
      </c>
      <c r="AN39" s="88">
        <v>72.849999999999994</v>
      </c>
      <c r="AO39" s="89"/>
      <c r="AP39" s="90"/>
      <c r="AQ39" s="146" t="str">
        <f t="shared" si="8"/>
        <v/>
      </c>
      <c r="AR39" s="146" t="str">
        <f t="shared" si="9"/>
        <v/>
      </c>
      <c r="AS39" s="147">
        <v>0</v>
      </c>
      <c r="AT39" s="93">
        <v>13.15</v>
      </c>
      <c r="AU39" s="94">
        <v>8.1</v>
      </c>
      <c r="AV39" s="146">
        <f t="shared" si="10"/>
        <v>61.596958174904934</v>
      </c>
      <c r="AW39" s="146">
        <f t="shared" si="11"/>
        <v>38.403041825095066</v>
      </c>
      <c r="AX39" s="138" t="str">
        <f>IFERROR((1-((AV39*AR39)/(AW39*AQ39)))*100,"")</f>
        <v/>
      </c>
      <c r="AY39" s="95">
        <v>74.8</v>
      </c>
      <c r="AZ39" s="96">
        <v>62.599999999999994</v>
      </c>
      <c r="BA39" s="96"/>
      <c r="BB39" s="96">
        <v>100.5</v>
      </c>
      <c r="BC39" s="96"/>
      <c r="BD39" s="97">
        <v>72.849999999999994</v>
      </c>
      <c r="BE39" s="142">
        <f t="shared" si="6"/>
        <v>2664</v>
      </c>
      <c r="BF39" s="98">
        <v>52</v>
      </c>
      <c r="BG39" s="98">
        <v>2539</v>
      </c>
      <c r="BH39" s="98">
        <v>73</v>
      </c>
      <c r="BI39" s="98"/>
      <c r="BJ39" s="98"/>
      <c r="BK39" s="98"/>
      <c r="BL39" s="97"/>
    </row>
    <row r="40" spans="1:64" outlineLevel="5" x14ac:dyDescent="0.3">
      <c r="A40" s="152">
        <f t="shared" si="5"/>
        <v>1</v>
      </c>
      <c r="B40" s="153">
        <f t="shared" si="7"/>
        <v>43854</v>
      </c>
      <c r="C40" s="138">
        <f>IFERROR(ROUND(AVERAGE(D40:K40),1),"")</f>
        <v>37</v>
      </c>
      <c r="D40" s="84">
        <v>37</v>
      </c>
      <c r="E40" s="84">
        <v>37</v>
      </c>
      <c r="F40" s="84"/>
      <c r="G40" s="84"/>
      <c r="H40" s="84"/>
      <c r="I40" s="84"/>
      <c r="J40" s="84"/>
      <c r="K40" s="84"/>
      <c r="L40" s="140" t="str">
        <f>IFERROR(ROUND(AVERAGE(M40:T40),1),"")</f>
        <v/>
      </c>
      <c r="M40" s="86"/>
      <c r="N40" s="86"/>
      <c r="O40" s="86"/>
      <c r="P40" s="86"/>
      <c r="Q40" s="86"/>
      <c r="R40" s="86"/>
      <c r="S40" s="86"/>
      <c r="T40" s="86"/>
      <c r="U40" s="142" t="str">
        <f>IFERROR(ROUND(AVERAGE(V40:AC40),1),"")</f>
        <v/>
      </c>
      <c r="V40" s="88"/>
      <c r="W40" s="88"/>
      <c r="X40" s="88"/>
      <c r="Y40" s="88"/>
      <c r="Z40" s="88"/>
      <c r="AA40" s="88"/>
      <c r="AB40" s="88"/>
      <c r="AC40" s="88"/>
      <c r="AD40" s="142" t="str">
        <f>IFERROR(ROUND(AVERAGE(AE40:AL40),1),"")</f>
        <v/>
      </c>
      <c r="AE40" s="88"/>
      <c r="AF40" s="88"/>
      <c r="AG40" s="88"/>
      <c r="AH40" s="88"/>
      <c r="AI40" s="88"/>
      <c r="AJ40" s="88"/>
      <c r="AK40" s="88"/>
      <c r="AL40" s="88"/>
      <c r="AM40" s="143">
        <v>74.132244385110724</v>
      </c>
      <c r="AN40" s="88">
        <v>63.67</v>
      </c>
      <c r="AO40" s="89"/>
      <c r="AP40" s="90"/>
      <c r="AQ40" s="146" t="str">
        <f t="shared" si="8"/>
        <v/>
      </c>
      <c r="AR40" s="146" t="str">
        <f t="shared" si="9"/>
        <v/>
      </c>
      <c r="AS40" s="147">
        <v>0</v>
      </c>
      <c r="AT40" s="93" t="s">
        <v>56</v>
      </c>
      <c r="AU40" s="94" t="s">
        <v>56</v>
      </c>
      <c r="AV40" s="146" t="str">
        <f t="shared" si="10"/>
        <v/>
      </c>
      <c r="AW40" s="146" t="str">
        <f t="shared" si="11"/>
        <v/>
      </c>
      <c r="AX40" s="138" t="str">
        <f>IFERROR((1-((AV40*AR40)/(AW40*AQ40)))*100,"")</f>
        <v/>
      </c>
      <c r="AY40" s="95" t="s">
        <v>56</v>
      </c>
      <c r="AZ40" s="96">
        <v>57.755000000000003</v>
      </c>
      <c r="BA40" s="96"/>
      <c r="BB40" s="96">
        <v>140.5</v>
      </c>
      <c r="BC40" s="96"/>
      <c r="BD40" s="97">
        <v>63.67</v>
      </c>
      <c r="BE40" s="142">
        <f t="shared" si="6"/>
        <v>2424</v>
      </c>
      <c r="BF40" s="98">
        <v>175</v>
      </c>
      <c r="BG40" s="98">
        <v>0</v>
      </c>
      <c r="BH40" s="98">
        <v>2249</v>
      </c>
      <c r="BI40" s="98"/>
      <c r="BJ40" s="98"/>
      <c r="BK40" s="98"/>
      <c r="BL40" s="97"/>
    </row>
    <row r="41" spans="1:64" outlineLevel="5" x14ac:dyDescent="0.3">
      <c r="A41" s="152">
        <f t="shared" si="5"/>
        <v>1</v>
      </c>
      <c r="B41" s="153">
        <f t="shared" si="7"/>
        <v>43855</v>
      </c>
      <c r="C41" s="138">
        <f>IFERROR(ROUND(AVERAGE(D41:K41),1),"")</f>
        <v>41</v>
      </c>
      <c r="D41" s="84">
        <v>41</v>
      </c>
      <c r="E41" s="84">
        <v>41</v>
      </c>
      <c r="F41" s="84"/>
      <c r="G41" s="84"/>
      <c r="H41" s="84"/>
      <c r="I41" s="84"/>
      <c r="J41" s="84"/>
      <c r="K41" s="84"/>
      <c r="L41" s="140" t="str">
        <f>IFERROR(ROUND(AVERAGE(M41:T41),1),"")</f>
        <v/>
      </c>
      <c r="M41" s="86"/>
      <c r="N41" s="86"/>
      <c r="O41" s="86"/>
      <c r="P41" s="86"/>
      <c r="Q41" s="86"/>
      <c r="R41" s="86"/>
      <c r="S41" s="86"/>
      <c r="T41" s="86"/>
      <c r="U41" s="142" t="str">
        <f>IFERROR(ROUND(AVERAGE(V41:AC41),1),"")</f>
        <v/>
      </c>
      <c r="V41" s="88"/>
      <c r="W41" s="88"/>
      <c r="X41" s="88"/>
      <c r="Y41" s="88"/>
      <c r="Z41" s="88"/>
      <c r="AA41" s="88"/>
      <c r="AB41" s="88"/>
      <c r="AC41" s="88"/>
      <c r="AD41" s="142" t="str">
        <f>IFERROR(ROUND(AVERAGE(AE41:AL41),1),"")</f>
        <v/>
      </c>
      <c r="AE41" s="88"/>
      <c r="AF41" s="88"/>
      <c r="AG41" s="88"/>
      <c r="AH41" s="88"/>
      <c r="AI41" s="88"/>
      <c r="AJ41" s="88"/>
      <c r="AK41" s="88"/>
      <c r="AL41" s="88"/>
      <c r="AM41" s="143">
        <v>70.447761194029852</v>
      </c>
      <c r="AN41" s="88">
        <v>67</v>
      </c>
      <c r="AO41" s="89" t="s">
        <v>56</v>
      </c>
      <c r="AP41" s="90"/>
      <c r="AQ41" s="146" t="str">
        <f t="shared" si="8"/>
        <v/>
      </c>
      <c r="AR41" s="146" t="str">
        <f t="shared" si="9"/>
        <v/>
      </c>
      <c r="AS41" s="147">
        <v>0</v>
      </c>
      <c r="AT41" s="93" t="s">
        <v>56</v>
      </c>
      <c r="AU41" s="94" t="s">
        <v>56</v>
      </c>
      <c r="AV41" s="146" t="str">
        <f t="shared" si="10"/>
        <v/>
      </c>
      <c r="AW41" s="146" t="str">
        <f t="shared" si="11"/>
        <v/>
      </c>
      <c r="AX41" s="138" t="str">
        <f>IFERROR((1-((AV41*AR41)/(AW41*AQ41)))*100,"")</f>
        <v/>
      </c>
      <c r="AY41" s="95" t="s">
        <v>56</v>
      </c>
      <c r="AZ41" s="96">
        <v>63.3</v>
      </c>
      <c r="BA41" s="96"/>
      <c r="BB41" s="96">
        <v>79.5</v>
      </c>
      <c r="BC41" s="96"/>
      <c r="BD41" s="97">
        <v>67</v>
      </c>
      <c r="BE41" s="142">
        <f t="shared" si="6"/>
        <v>1466</v>
      </c>
      <c r="BF41" s="98">
        <v>98</v>
      </c>
      <c r="BG41" s="98">
        <v>0</v>
      </c>
      <c r="BH41" s="98">
        <v>1368</v>
      </c>
      <c r="BI41" s="98"/>
      <c r="BJ41" s="98"/>
      <c r="BK41" s="98"/>
      <c r="BL41" s="97"/>
    </row>
    <row r="42" spans="1:64" outlineLevel="5" x14ac:dyDescent="0.3">
      <c r="A42" s="152">
        <f t="shared" si="5"/>
        <v>1</v>
      </c>
      <c r="B42" s="153">
        <f t="shared" si="7"/>
        <v>43856</v>
      </c>
      <c r="C42" s="138">
        <f>IFERROR(ROUND(AVERAGE(D42:K42),1),"")</f>
        <v>40</v>
      </c>
      <c r="D42" s="84">
        <v>40</v>
      </c>
      <c r="E42" s="84">
        <v>40</v>
      </c>
      <c r="F42" s="84"/>
      <c r="G42" s="84"/>
      <c r="H42" s="84"/>
      <c r="I42" s="84"/>
      <c r="J42" s="84"/>
      <c r="K42" s="84"/>
      <c r="L42" s="140" t="str">
        <f>IFERROR(ROUND(AVERAGE(M42:T42),1),"")</f>
        <v/>
      </c>
      <c r="M42" s="86"/>
      <c r="N42" s="86"/>
      <c r="O42" s="86"/>
      <c r="P42" s="86"/>
      <c r="Q42" s="86"/>
      <c r="R42" s="86"/>
      <c r="S42" s="86"/>
      <c r="T42" s="86"/>
      <c r="U42" s="142" t="str">
        <f>IFERROR(ROUND(AVERAGE(V42:AC42),1),"")</f>
        <v/>
      </c>
      <c r="V42" s="88"/>
      <c r="W42" s="88"/>
      <c r="X42" s="88"/>
      <c r="Y42" s="88"/>
      <c r="Z42" s="88"/>
      <c r="AA42" s="88"/>
      <c r="AB42" s="88"/>
      <c r="AC42" s="88"/>
      <c r="AD42" s="142" t="str">
        <f>IFERROR(ROUND(AVERAGE(AE42:AL42),1),"")</f>
        <v/>
      </c>
      <c r="AE42" s="88"/>
      <c r="AF42" s="88"/>
      <c r="AG42" s="88"/>
      <c r="AH42" s="88"/>
      <c r="AI42" s="88"/>
      <c r="AJ42" s="88"/>
      <c r="AK42" s="88"/>
      <c r="AL42" s="88"/>
      <c r="AM42" s="143">
        <v>72.615384615384613</v>
      </c>
      <c r="AN42" s="88">
        <v>65</v>
      </c>
      <c r="AO42" s="89" t="s">
        <v>56</v>
      </c>
      <c r="AP42" s="90"/>
      <c r="AQ42" s="146" t="str">
        <f t="shared" si="8"/>
        <v/>
      </c>
      <c r="AR42" s="146" t="str">
        <f t="shared" si="9"/>
        <v/>
      </c>
      <c r="AS42" s="147">
        <v>0</v>
      </c>
      <c r="AT42" s="93" t="s">
        <v>56</v>
      </c>
      <c r="AU42" s="94" t="s">
        <v>56</v>
      </c>
      <c r="AV42" s="146" t="str">
        <f t="shared" si="10"/>
        <v/>
      </c>
      <c r="AW42" s="146" t="str">
        <f t="shared" si="11"/>
        <v/>
      </c>
      <c r="AX42" s="138" t="str">
        <f>IFERROR((1-((AV42*AR42)/(AW42*AQ42)))*100,"")</f>
        <v/>
      </c>
      <c r="AY42" s="95" t="s">
        <v>56</v>
      </c>
      <c r="AZ42" s="96">
        <v>61.204999999999998</v>
      </c>
      <c r="BA42" s="96"/>
      <c r="BB42" s="96">
        <v>84.5</v>
      </c>
      <c r="BC42" s="96"/>
      <c r="BD42" s="97">
        <v>65</v>
      </c>
      <c r="BE42" s="142">
        <f t="shared" si="6"/>
        <v>562</v>
      </c>
      <c r="BF42" s="98">
        <v>0</v>
      </c>
      <c r="BG42" s="98">
        <v>0</v>
      </c>
      <c r="BH42" s="98">
        <v>562</v>
      </c>
      <c r="BI42" s="98"/>
      <c r="BJ42" s="98"/>
      <c r="BK42" s="98"/>
      <c r="BL42" s="97"/>
    </row>
    <row r="43" spans="1:64" outlineLevel="5" x14ac:dyDescent="0.3">
      <c r="A43" s="152">
        <f t="shared" si="5"/>
        <v>1</v>
      </c>
      <c r="B43" s="153">
        <f t="shared" si="7"/>
        <v>43857</v>
      </c>
      <c r="C43" s="138">
        <f>IFERROR(ROUND(AVERAGE(D43:K43),1),"")</f>
        <v>39.5</v>
      </c>
      <c r="D43" s="84">
        <v>40</v>
      </c>
      <c r="E43" s="84">
        <v>39</v>
      </c>
      <c r="F43" s="84"/>
      <c r="G43" s="84"/>
      <c r="H43" s="84"/>
      <c r="I43" s="84"/>
      <c r="J43" s="84"/>
      <c r="K43" s="84"/>
      <c r="L43" s="140" t="str">
        <f>IFERROR(ROUND(AVERAGE(M43:T43),1),"")</f>
        <v/>
      </c>
      <c r="M43" s="86"/>
      <c r="N43" s="86"/>
      <c r="O43" s="86"/>
      <c r="P43" s="86"/>
      <c r="Q43" s="86"/>
      <c r="R43" s="86"/>
      <c r="S43" s="86"/>
      <c r="T43" s="86"/>
      <c r="U43" s="142" t="str">
        <f>IFERROR(ROUND(AVERAGE(V43:AC43),1),"")</f>
        <v/>
      </c>
      <c r="V43" s="88"/>
      <c r="W43" s="88"/>
      <c r="X43" s="88"/>
      <c r="Y43" s="88"/>
      <c r="Z43" s="88"/>
      <c r="AA43" s="88"/>
      <c r="AB43" s="88"/>
      <c r="AC43" s="88"/>
      <c r="AD43" s="142" t="str">
        <f>IFERROR(ROUND(AVERAGE(AE43:AL43),1),"")</f>
        <v/>
      </c>
      <c r="AE43" s="88"/>
      <c r="AF43" s="88"/>
      <c r="AG43" s="88"/>
      <c r="AH43" s="88"/>
      <c r="AI43" s="88"/>
      <c r="AJ43" s="88"/>
      <c r="AK43" s="88"/>
      <c r="AL43" s="88"/>
      <c r="AM43" s="143">
        <v>56.043695084303017</v>
      </c>
      <c r="AN43" s="88">
        <v>84.22</v>
      </c>
      <c r="AO43" s="89" t="s">
        <v>56</v>
      </c>
      <c r="AP43" s="90"/>
      <c r="AQ43" s="146" t="str">
        <f t="shared" si="8"/>
        <v/>
      </c>
      <c r="AR43" s="146" t="str">
        <f t="shared" si="9"/>
        <v/>
      </c>
      <c r="AS43" s="147">
        <v>0</v>
      </c>
      <c r="AT43" s="93" t="s">
        <v>56</v>
      </c>
      <c r="AU43" s="94" t="s">
        <v>56</v>
      </c>
      <c r="AV43" s="146" t="str">
        <f t="shared" si="10"/>
        <v/>
      </c>
      <c r="AW43" s="146" t="str">
        <f t="shared" si="11"/>
        <v/>
      </c>
      <c r="AX43" s="138" t="str">
        <f>IFERROR((1-((AV43*AR43)/(AW43*AQ43)))*100,"")</f>
        <v/>
      </c>
      <c r="AY43" s="95" t="s">
        <v>56</v>
      </c>
      <c r="AZ43" s="96">
        <v>58.8</v>
      </c>
      <c r="BA43" s="96"/>
      <c r="BB43" s="96">
        <v>79</v>
      </c>
      <c r="BC43" s="96"/>
      <c r="BD43" s="97">
        <v>84.22</v>
      </c>
      <c r="BE43" s="142">
        <f t="shared" si="6"/>
        <v>4911</v>
      </c>
      <c r="BF43" s="98">
        <v>0</v>
      </c>
      <c r="BG43" s="98">
        <v>0</v>
      </c>
      <c r="BH43" s="98">
        <v>4911</v>
      </c>
      <c r="BI43" s="98"/>
      <c r="BJ43" s="98"/>
      <c r="BK43" s="98"/>
      <c r="BL43" s="97"/>
    </row>
    <row r="44" spans="1:64" outlineLevel="5" x14ac:dyDescent="0.3">
      <c r="A44" s="152">
        <f t="shared" si="5"/>
        <v>1</v>
      </c>
      <c r="B44" s="153">
        <f t="shared" si="7"/>
        <v>43858</v>
      </c>
      <c r="C44" s="138">
        <f>IFERROR(ROUND(AVERAGE(D44:K44),1),"")</f>
        <v>39</v>
      </c>
      <c r="D44" s="84">
        <v>39</v>
      </c>
      <c r="E44" s="84">
        <v>39</v>
      </c>
      <c r="F44" s="84"/>
      <c r="G44" s="84"/>
      <c r="H44" s="84"/>
      <c r="I44" s="84"/>
      <c r="J44" s="84"/>
      <c r="K44" s="84"/>
      <c r="L44" s="140" t="str">
        <f>IFERROR(ROUND(AVERAGE(M44:T44),1),"")</f>
        <v/>
      </c>
      <c r="M44" s="86"/>
      <c r="N44" s="86"/>
      <c r="O44" s="86"/>
      <c r="P44" s="86"/>
      <c r="Q44" s="86"/>
      <c r="R44" s="86"/>
      <c r="S44" s="86"/>
      <c r="T44" s="86"/>
      <c r="U44" s="142" t="str">
        <f>IFERROR(ROUND(AVERAGE(V44:AC44),1),"")</f>
        <v/>
      </c>
      <c r="V44" s="88"/>
      <c r="W44" s="88"/>
      <c r="X44" s="88"/>
      <c r="Y44" s="88"/>
      <c r="Z44" s="88"/>
      <c r="AA44" s="88"/>
      <c r="AB44" s="88"/>
      <c r="AC44" s="88"/>
      <c r="AD44" s="142" t="str">
        <f>IFERROR(ROUND(AVERAGE(AE44:AL44),1),"")</f>
        <v/>
      </c>
      <c r="AE44" s="88"/>
      <c r="AF44" s="88"/>
      <c r="AG44" s="88"/>
      <c r="AH44" s="88"/>
      <c r="AI44" s="88"/>
      <c r="AJ44" s="88"/>
      <c r="AK44" s="88"/>
      <c r="AL44" s="88"/>
      <c r="AM44" s="143">
        <v>138.53830349280892</v>
      </c>
      <c r="AN44" s="88">
        <v>34.07</v>
      </c>
      <c r="AO44" s="89" t="s">
        <v>56</v>
      </c>
      <c r="AP44" s="90"/>
      <c r="AQ44" s="146" t="str">
        <f t="shared" si="8"/>
        <v/>
      </c>
      <c r="AR44" s="146" t="str">
        <f t="shared" si="9"/>
        <v/>
      </c>
      <c r="AS44" s="147">
        <v>0</v>
      </c>
      <c r="AT44" s="93" t="s">
        <v>56</v>
      </c>
      <c r="AU44" s="94" t="s">
        <v>56</v>
      </c>
      <c r="AV44" s="146" t="str">
        <f t="shared" si="10"/>
        <v/>
      </c>
      <c r="AW44" s="146" t="str">
        <f t="shared" si="11"/>
        <v/>
      </c>
      <c r="AX44" s="138" t="str">
        <f>IFERROR((1-((AV44*AR44)/(AW44*AQ44)))*100,"")</f>
        <v/>
      </c>
      <c r="AY44" s="95" t="s">
        <v>56</v>
      </c>
      <c r="AZ44" s="96">
        <v>60.7</v>
      </c>
      <c r="BA44" s="96"/>
      <c r="BB44" s="96">
        <v>88.5</v>
      </c>
      <c r="BC44" s="96"/>
      <c r="BD44" s="97">
        <v>34.07</v>
      </c>
      <c r="BE44" s="142">
        <f t="shared" si="6"/>
        <v>3798</v>
      </c>
      <c r="BF44" s="98">
        <v>0</v>
      </c>
      <c r="BG44" s="98">
        <v>1846</v>
      </c>
      <c r="BH44" s="98">
        <v>1952</v>
      </c>
      <c r="BI44" s="98"/>
      <c r="BJ44" s="98"/>
      <c r="BK44" s="98"/>
      <c r="BL44" s="97"/>
    </row>
    <row r="45" spans="1:64" outlineLevel="5" x14ac:dyDescent="0.3">
      <c r="A45" s="152">
        <f t="shared" si="5"/>
        <v>1</v>
      </c>
      <c r="B45" s="153">
        <f t="shared" si="7"/>
        <v>43859</v>
      </c>
      <c r="C45" s="138">
        <f>IFERROR(ROUND(AVERAGE(D45:K45),1),"")</f>
        <v>36</v>
      </c>
      <c r="D45" s="84">
        <v>36</v>
      </c>
      <c r="E45" s="84">
        <v>36</v>
      </c>
      <c r="F45" s="84"/>
      <c r="G45" s="84"/>
      <c r="H45" s="84"/>
      <c r="I45" s="84"/>
      <c r="J45" s="84"/>
      <c r="K45" s="84"/>
      <c r="L45" s="140">
        <f>IFERROR(ROUND(AVERAGE(M45:T45),1),"")</f>
        <v>7.9</v>
      </c>
      <c r="M45" s="86">
        <v>7.91</v>
      </c>
      <c r="N45" s="86">
        <v>7.85</v>
      </c>
      <c r="O45" s="86"/>
      <c r="P45" s="86"/>
      <c r="Q45" s="86"/>
      <c r="R45" s="86"/>
      <c r="S45" s="86"/>
      <c r="T45" s="86"/>
      <c r="U45" s="142">
        <f>IFERROR(ROUND(AVERAGE(V45:AC45),1),"")</f>
        <v>1492.2</v>
      </c>
      <c r="V45" s="88">
        <v>1600.3</v>
      </c>
      <c r="W45" s="88">
        <v>1384</v>
      </c>
      <c r="X45" s="88"/>
      <c r="Y45" s="88"/>
      <c r="Z45" s="88"/>
      <c r="AA45" s="88"/>
      <c r="AB45" s="88"/>
      <c r="AC45" s="88"/>
      <c r="AD45" s="142" t="str">
        <f>IFERROR(ROUND(AVERAGE(AE45:AL45),1),"")</f>
        <v/>
      </c>
      <c r="AE45" s="88"/>
      <c r="AF45" s="88"/>
      <c r="AG45" s="88"/>
      <c r="AH45" s="88"/>
      <c r="AI45" s="88"/>
      <c r="AJ45" s="88"/>
      <c r="AK45" s="88"/>
      <c r="AL45" s="88"/>
      <c r="AM45" s="143">
        <v>49.757537423571577</v>
      </c>
      <c r="AN45" s="88">
        <v>94.86</v>
      </c>
      <c r="AO45" s="89"/>
      <c r="AP45" s="90"/>
      <c r="AQ45" s="146" t="str">
        <f t="shared" si="8"/>
        <v/>
      </c>
      <c r="AR45" s="146" t="str">
        <f t="shared" si="9"/>
        <v/>
      </c>
      <c r="AS45" s="147">
        <v>0</v>
      </c>
      <c r="AT45" s="93">
        <v>16.850000000000001</v>
      </c>
      <c r="AU45" s="94">
        <v>9.9499999999999993</v>
      </c>
      <c r="AV45" s="146">
        <f t="shared" si="10"/>
        <v>59.050445103857562</v>
      </c>
      <c r="AW45" s="146">
        <f t="shared" si="11"/>
        <v>40.949554896142438</v>
      </c>
      <c r="AX45" s="138" t="str">
        <f>IFERROR((1-((AV45*AR45)/(AW45*AQ45)))*100,"")</f>
        <v/>
      </c>
      <c r="AY45" s="95">
        <v>78.300000000000011</v>
      </c>
      <c r="AZ45" s="96">
        <v>58.695</v>
      </c>
      <c r="BA45" s="96"/>
      <c r="BB45" s="96">
        <v>85.5</v>
      </c>
      <c r="BC45" s="96"/>
      <c r="BD45" s="97">
        <v>94.86</v>
      </c>
      <c r="BE45" s="142">
        <f t="shared" si="6"/>
        <v>5933</v>
      </c>
      <c r="BF45" s="98">
        <v>81</v>
      </c>
      <c r="BG45" s="98">
        <v>4865</v>
      </c>
      <c r="BH45" s="98">
        <v>987</v>
      </c>
      <c r="BI45" s="98"/>
      <c r="BJ45" s="98"/>
      <c r="BK45" s="98"/>
      <c r="BL45" s="97"/>
    </row>
    <row r="46" spans="1:64" outlineLevel="5" x14ac:dyDescent="0.3">
      <c r="A46" s="152">
        <f t="shared" si="5"/>
        <v>1</v>
      </c>
      <c r="B46" s="153">
        <f t="shared" si="7"/>
        <v>43860</v>
      </c>
      <c r="C46" s="138">
        <f>IFERROR(ROUND(AVERAGE(D46:K46),1),"")</f>
        <v>38</v>
      </c>
      <c r="D46" s="84">
        <v>38</v>
      </c>
      <c r="E46" s="84">
        <v>38</v>
      </c>
      <c r="F46" s="84"/>
      <c r="G46" s="84"/>
      <c r="H46" s="84"/>
      <c r="I46" s="84"/>
      <c r="J46" s="84"/>
      <c r="K46" s="84"/>
      <c r="L46" s="140">
        <f>IFERROR(ROUND(AVERAGE(M46:T46),1),"")</f>
        <v>7.9</v>
      </c>
      <c r="M46" s="86">
        <v>7.9</v>
      </c>
      <c r="N46" s="86">
        <v>7.87</v>
      </c>
      <c r="O46" s="86"/>
      <c r="P46" s="86"/>
      <c r="Q46" s="86"/>
      <c r="R46" s="86"/>
      <c r="S46" s="86"/>
      <c r="T46" s="86"/>
      <c r="U46" s="142">
        <f>IFERROR(ROUND(AVERAGE(V46:AC46),1),"")</f>
        <v>1513.8</v>
      </c>
      <c r="V46" s="88">
        <v>1600.3</v>
      </c>
      <c r="W46" s="88">
        <v>1427.3</v>
      </c>
      <c r="X46" s="88"/>
      <c r="Y46" s="88"/>
      <c r="Z46" s="88"/>
      <c r="AA46" s="88"/>
      <c r="AB46" s="88"/>
      <c r="AC46" s="88"/>
      <c r="AD46" s="142" t="str">
        <f>IFERROR(ROUND(AVERAGE(AE46:AL46),1),"")</f>
        <v/>
      </c>
      <c r="AE46" s="88"/>
      <c r="AF46" s="88"/>
      <c r="AG46" s="88"/>
      <c r="AH46" s="88"/>
      <c r="AI46" s="88"/>
      <c r="AJ46" s="88"/>
      <c r="AK46" s="88"/>
      <c r="AL46" s="88"/>
      <c r="AM46" s="143">
        <v>65.573770491803288</v>
      </c>
      <c r="AN46" s="88">
        <v>71.97999999999999</v>
      </c>
      <c r="AO46" s="89"/>
      <c r="AP46" s="90"/>
      <c r="AQ46" s="146" t="str">
        <f t="shared" si="8"/>
        <v/>
      </c>
      <c r="AR46" s="146" t="str">
        <f t="shared" si="9"/>
        <v/>
      </c>
      <c r="AS46" s="147">
        <v>0</v>
      </c>
      <c r="AT46" s="93">
        <v>16.75</v>
      </c>
      <c r="AU46" s="94">
        <v>9.85</v>
      </c>
      <c r="AV46" s="146">
        <f t="shared" si="10"/>
        <v>58.805970149253724</v>
      </c>
      <c r="AW46" s="146">
        <f t="shared" si="11"/>
        <v>41.194029850746276</v>
      </c>
      <c r="AX46" s="138" t="str">
        <f>IFERROR((1-((AV46*AR46)/(AW46*AQ46)))*100,"")</f>
        <v/>
      </c>
      <c r="AY46" s="95">
        <v>78.55</v>
      </c>
      <c r="AZ46" s="96">
        <v>54.92</v>
      </c>
      <c r="BA46" s="96"/>
      <c r="BB46" s="96">
        <v>109.5</v>
      </c>
      <c r="BC46" s="96"/>
      <c r="BD46" s="97">
        <v>71.97999999999999</v>
      </c>
      <c r="BE46" s="142">
        <f t="shared" si="6"/>
        <v>6430</v>
      </c>
      <c r="BF46" s="98">
        <v>81</v>
      </c>
      <c r="BG46" s="98">
        <v>5243</v>
      </c>
      <c r="BH46" s="98">
        <v>1106</v>
      </c>
      <c r="BI46" s="98"/>
      <c r="BJ46" s="98"/>
      <c r="BK46" s="98"/>
      <c r="BL46" s="97"/>
    </row>
    <row r="47" spans="1:64" ht="17.25" outlineLevel="5" thickBot="1" x14ac:dyDescent="0.35">
      <c r="A47" s="154">
        <f t="shared" si="5"/>
        <v>1</v>
      </c>
      <c r="B47" s="155">
        <f t="shared" si="7"/>
        <v>43861</v>
      </c>
      <c r="C47" s="138">
        <f>IFERROR(ROUND(AVERAGE(D47:K47),1),"")</f>
        <v>36.5</v>
      </c>
      <c r="D47" s="84">
        <v>35</v>
      </c>
      <c r="E47" s="84">
        <v>38</v>
      </c>
      <c r="F47" s="84"/>
      <c r="G47" s="84"/>
      <c r="H47" s="156"/>
      <c r="I47" s="156"/>
      <c r="J47" s="156"/>
      <c r="K47" s="156"/>
      <c r="L47" s="140">
        <f>IFERROR(ROUND(AVERAGE(M47:T47),1),"")</f>
        <v>7.9</v>
      </c>
      <c r="M47" s="86">
        <v>7.91</v>
      </c>
      <c r="N47" s="86">
        <v>7.81</v>
      </c>
      <c r="O47" s="86"/>
      <c r="P47" s="86"/>
      <c r="Q47" s="157"/>
      <c r="R47" s="157"/>
      <c r="S47" s="157"/>
      <c r="T47" s="157"/>
      <c r="U47" s="142">
        <f>IFERROR(ROUND(AVERAGE(V47:AC47),1),"")</f>
        <v>1621.9</v>
      </c>
      <c r="V47" s="158">
        <v>1730</v>
      </c>
      <c r="W47" s="158">
        <v>1513.8</v>
      </c>
      <c r="X47" s="158"/>
      <c r="Y47" s="158"/>
      <c r="Z47" s="158"/>
      <c r="AA47" s="158"/>
      <c r="AB47" s="158"/>
      <c r="AC47" s="158"/>
      <c r="AD47" s="142" t="str">
        <f>IFERROR(ROUND(AVERAGE(AE47:AL47),1),"")</f>
        <v/>
      </c>
      <c r="AE47" s="158"/>
      <c r="AF47" s="158"/>
      <c r="AG47" s="158"/>
      <c r="AH47" s="158"/>
      <c r="AI47" s="158"/>
      <c r="AJ47" s="158"/>
      <c r="AK47" s="158"/>
      <c r="AL47" s="158"/>
      <c r="AM47" s="143">
        <v>72.615384615384613</v>
      </c>
      <c r="AN47" s="88">
        <v>65</v>
      </c>
      <c r="AO47" s="159"/>
      <c r="AP47" s="160"/>
      <c r="AQ47" s="146" t="str">
        <f t="shared" si="8"/>
        <v/>
      </c>
      <c r="AR47" s="146" t="str">
        <f t="shared" si="9"/>
        <v/>
      </c>
      <c r="AS47" s="147">
        <v>0</v>
      </c>
      <c r="AT47" s="161">
        <v>14.9</v>
      </c>
      <c r="AU47" s="162">
        <v>9.25</v>
      </c>
      <c r="AV47" s="146">
        <f t="shared" si="10"/>
        <v>62.080536912751668</v>
      </c>
      <c r="AW47" s="146">
        <f t="shared" si="11"/>
        <v>37.919463087248332</v>
      </c>
      <c r="AX47" s="138" t="str">
        <f>IFERROR((1-((AV47*AR47)/(AW47*AQ47)))*100,"")</f>
        <v/>
      </c>
      <c r="AY47" s="95">
        <v>79.699999999999989</v>
      </c>
      <c r="AZ47" s="163">
        <v>61.93</v>
      </c>
      <c r="BA47" s="163"/>
      <c r="BB47" s="163">
        <v>72</v>
      </c>
      <c r="BC47" s="163"/>
      <c r="BD47" s="97">
        <v>65</v>
      </c>
      <c r="BE47" s="142">
        <f t="shared" si="6"/>
        <v>3373</v>
      </c>
      <c r="BF47" s="98">
        <v>48</v>
      </c>
      <c r="BG47" s="98">
        <v>2756</v>
      </c>
      <c r="BH47" s="98">
        <v>569</v>
      </c>
      <c r="BI47" s="98"/>
      <c r="BJ47" s="98"/>
      <c r="BK47" s="98"/>
      <c r="BL47" s="164"/>
    </row>
    <row r="48" spans="1:64" outlineLevel="4" x14ac:dyDescent="0.3">
      <c r="A48" s="63" t="s">
        <v>57</v>
      </c>
      <c r="B48" s="64"/>
      <c r="C48" s="65">
        <f t="shared" ref="C48:BL48" si="12">SUBTOTAL(4,C17:C47)</f>
        <v>41</v>
      </c>
      <c r="D48" s="66">
        <f t="shared" si="12"/>
        <v>41</v>
      </c>
      <c r="E48" s="66">
        <f t="shared" si="12"/>
        <v>41</v>
      </c>
      <c r="F48" s="66">
        <f t="shared" si="12"/>
        <v>0</v>
      </c>
      <c r="G48" s="66">
        <f t="shared" si="12"/>
        <v>0</v>
      </c>
      <c r="H48" s="66">
        <f t="shared" si="12"/>
        <v>0</v>
      </c>
      <c r="I48" s="66">
        <f t="shared" si="12"/>
        <v>0</v>
      </c>
      <c r="J48" s="66">
        <f t="shared" si="12"/>
        <v>0</v>
      </c>
      <c r="K48" s="66">
        <f t="shared" si="12"/>
        <v>0</v>
      </c>
      <c r="L48" s="67">
        <f t="shared" si="12"/>
        <v>7.9</v>
      </c>
      <c r="M48" s="68">
        <f t="shared" si="12"/>
        <v>7.91</v>
      </c>
      <c r="N48" s="68">
        <f t="shared" si="12"/>
        <v>7.9</v>
      </c>
      <c r="O48" s="68">
        <f t="shared" si="12"/>
        <v>0</v>
      </c>
      <c r="P48" s="68">
        <f t="shared" si="12"/>
        <v>0</v>
      </c>
      <c r="Q48" s="68">
        <f t="shared" si="12"/>
        <v>0</v>
      </c>
      <c r="R48" s="68">
        <f t="shared" si="12"/>
        <v>0</v>
      </c>
      <c r="S48" s="68">
        <f t="shared" si="12"/>
        <v>0</v>
      </c>
      <c r="T48" s="68">
        <f t="shared" si="12"/>
        <v>0</v>
      </c>
      <c r="U48" s="69">
        <f t="shared" si="12"/>
        <v>1775.4</v>
      </c>
      <c r="V48" s="70">
        <f t="shared" si="12"/>
        <v>1820.8</v>
      </c>
      <c r="W48" s="70">
        <f t="shared" si="12"/>
        <v>1730</v>
      </c>
      <c r="X48" s="70">
        <f t="shared" si="12"/>
        <v>0</v>
      </c>
      <c r="Y48" s="70">
        <f t="shared" si="12"/>
        <v>0</v>
      </c>
      <c r="Z48" s="70">
        <f t="shared" si="12"/>
        <v>0</v>
      </c>
      <c r="AA48" s="70">
        <f t="shared" si="12"/>
        <v>0</v>
      </c>
      <c r="AB48" s="70">
        <f t="shared" si="12"/>
        <v>0</v>
      </c>
      <c r="AC48" s="70">
        <f t="shared" si="12"/>
        <v>0</v>
      </c>
      <c r="AD48" s="69">
        <f t="shared" si="12"/>
        <v>0</v>
      </c>
      <c r="AE48" s="70">
        <f t="shared" si="12"/>
        <v>0</v>
      </c>
      <c r="AF48" s="70">
        <f t="shared" si="12"/>
        <v>0</v>
      </c>
      <c r="AG48" s="70">
        <f t="shared" si="12"/>
        <v>0</v>
      </c>
      <c r="AH48" s="70">
        <f t="shared" si="12"/>
        <v>0</v>
      </c>
      <c r="AI48" s="70">
        <f t="shared" si="12"/>
        <v>0</v>
      </c>
      <c r="AJ48" s="70">
        <f t="shared" si="12"/>
        <v>0</v>
      </c>
      <c r="AK48" s="70">
        <f t="shared" si="12"/>
        <v>0</v>
      </c>
      <c r="AL48" s="70">
        <f t="shared" si="12"/>
        <v>0</v>
      </c>
      <c r="AM48" s="70">
        <f t="shared" si="12"/>
        <v>161.53319644079397</v>
      </c>
      <c r="AN48" s="70">
        <f t="shared" si="12"/>
        <v>112.46000000000001</v>
      </c>
      <c r="AO48" s="71">
        <f t="shared" si="12"/>
        <v>42.4</v>
      </c>
      <c r="AP48" s="72">
        <f t="shared" si="12"/>
        <v>34.683199999999999</v>
      </c>
      <c r="AQ48" s="73">
        <f t="shared" si="12"/>
        <v>86.4</v>
      </c>
      <c r="AR48" s="73">
        <f t="shared" si="12"/>
        <v>18.199999999999989</v>
      </c>
      <c r="AS48" s="74">
        <f t="shared" si="12"/>
        <v>0</v>
      </c>
      <c r="AT48" s="75">
        <f t="shared" si="12"/>
        <v>16.850000000000001</v>
      </c>
      <c r="AU48" s="76">
        <f t="shared" si="12"/>
        <v>9.9499999999999993</v>
      </c>
      <c r="AV48" s="73">
        <f t="shared" si="12"/>
        <v>62.553191489361701</v>
      </c>
      <c r="AW48" s="73">
        <f t="shared" si="12"/>
        <v>43.28358208955224</v>
      </c>
      <c r="AX48" s="65">
        <f t="shared" si="12"/>
        <v>76.3888888888889</v>
      </c>
      <c r="AY48" s="77">
        <f t="shared" si="12"/>
        <v>80.55</v>
      </c>
      <c r="AZ48" s="78">
        <f t="shared" si="12"/>
        <v>63.3</v>
      </c>
      <c r="BA48" s="78">
        <f t="shared" si="12"/>
        <v>0</v>
      </c>
      <c r="BB48" s="78">
        <f t="shared" si="12"/>
        <v>204</v>
      </c>
      <c r="BC48" s="78">
        <f t="shared" si="12"/>
        <v>0</v>
      </c>
      <c r="BD48" s="79">
        <f t="shared" si="12"/>
        <v>112.46000000000001</v>
      </c>
      <c r="BE48" s="69">
        <f t="shared" si="12"/>
        <v>9835</v>
      </c>
      <c r="BF48" s="70">
        <f t="shared" si="12"/>
        <v>210</v>
      </c>
      <c r="BG48" s="80">
        <f t="shared" si="12"/>
        <v>5243</v>
      </c>
      <c r="BH48" s="80">
        <f t="shared" si="12"/>
        <v>9756</v>
      </c>
      <c r="BI48" s="80">
        <f t="shared" si="12"/>
        <v>0</v>
      </c>
      <c r="BJ48" s="80">
        <f t="shared" si="12"/>
        <v>0</v>
      </c>
      <c r="BK48" s="80">
        <f t="shared" si="12"/>
        <v>0</v>
      </c>
      <c r="BL48" s="79">
        <f t="shared" si="12"/>
        <v>0</v>
      </c>
    </row>
    <row r="49" spans="1:64" outlineLevel="3" x14ac:dyDescent="0.3">
      <c r="A49" s="81" t="s">
        <v>58</v>
      </c>
      <c r="B49" s="82"/>
      <c r="C49" s="83">
        <f t="shared" ref="C49:BL49" si="13">SUBTOTAL(5,C17:C47)</f>
        <v>36</v>
      </c>
      <c r="D49" s="84">
        <f t="shared" si="13"/>
        <v>34</v>
      </c>
      <c r="E49" s="84">
        <f t="shared" si="13"/>
        <v>36</v>
      </c>
      <c r="F49" s="84">
        <f t="shared" si="13"/>
        <v>0</v>
      </c>
      <c r="G49" s="84">
        <f t="shared" si="13"/>
        <v>0</v>
      </c>
      <c r="H49" s="84">
        <f t="shared" si="13"/>
        <v>0</v>
      </c>
      <c r="I49" s="84">
        <f t="shared" si="13"/>
        <v>0</v>
      </c>
      <c r="J49" s="84">
        <f t="shared" si="13"/>
        <v>0</v>
      </c>
      <c r="K49" s="84">
        <f t="shared" si="13"/>
        <v>0</v>
      </c>
      <c r="L49" s="85">
        <f t="shared" si="13"/>
        <v>7.8</v>
      </c>
      <c r="M49" s="86">
        <f t="shared" si="13"/>
        <v>7.72</v>
      </c>
      <c r="N49" s="86">
        <f t="shared" si="13"/>
        <v>7.75</v>
      </c>
      <c r="O49" s="86">
        <f t="shared" si="13"/>
        <v>0</v>
      </c>
      <c r="P49" s="86">
        <f t="shared" si="13"/>
        <v>0</v>
      </c>
      <c r="Q49" s="86">
        <f t="shared" si="13"/>
        <v>0</v>
      </c>
      <c r="R49" s="86">
        <f t="shared" si="13"/>
        <v>0</v>
      </c>
      <c r="S49" s="86">
        <f t="shared" si="13"/>
        <v>0</v>
      </c>
      <c r="T49" s="86">
        <f t="shared" si="13"/>
        <v>0</v>
      </c>
      <c r="U49" s="87">
        <f t="shared" si="13"/>
        <v>1319.2</v>
      </c>
      <c r="V49" s="88">
        <f t="shared" si="13"/>
        <v>1340.8</v>
      </c>
      <c r="W49" s="88">
        <f t="shared" si="13"/>
        <v>1297.5</v>
      </c>
      <c r="X49" s="88">
        <f t="shared" si="13"/>
        <v>0</v>
      </c>
      <c r="Y49" s="88">
        <f t="shared" si="13"/>
        <v>0</v>
      </c>
      <c r="Z49" s="88">
        <f t="shared" si="13"/>
        <v>0</v>
      </c>
      <c r="AA49" s="88">
        <f t="shared" si="13"/>
        <v>0</v>
      </c>
      <c r="AB49" s="88">
        <f t="shared" si="13"/>
        <v>0</v>
      </c>
      <c r="AC49" s="88">
        <f t="shared" si="13"/>
        <v>0</v>
      </c>
      <c r="AD49" s="87">
        <f t="shared" si="13"/>
        <v>0</v>
      </c>
      <c r="AE49" s="88">
        <f t="shared" si="13"/>
        <v>0</v>
      </c>
      <c r="AF49" s="88">
        <f t="shared" si="13"/>
        <v>0</v>
      </c>
      <c r="AG49" s="88">
        <f t="shared" si="13"/>
        <v>0</v>
      </c>
      <c r="AH49" s="88">
        <f t="shared" si="13"/>
        <v>0</v>
      </c>
      <c r="AI49" s="88">
        <f t="shared" si="13"/>
        <v>0</v>
      </c>
      <c r="AJ49" s="88">
        <f t="shared" si="13"/>
        <v>0</v>
      </c>
      <c r="AK49" s="88">
        <f t="shared" si="13"/>
        <v>0</v>
      </c>
      <c r="AL49" s="88">
        <f t="shared" si="13"/>
        <v>0</v>
      </c>
      <c r="AM49" s="88">
        <f t="shared" si="13"/>
        <v>41.970478392317268</v>
      </c>
      <c r="AN49" s="88">
        <f t="shared" si="13"/>
        <v>16</v>
      </c>
      <c r="AO49" s="89">
        <f t="shared" si="13"/>
        <v>21</v>
      </c>
      <c r="AP49" s="90">
        <f t="shared" si="13"/>
        <v>18.123000000000001</v>
      </c>
      <c r="AQ49" s="91">
        <f t="shared" si="13"/>
        <v>81.800000000000011</v>
      </c>
      <c r="AR49" s="91">
        <f t="shared" si="13"/>
        <v>13.599999999999994</v>
      </c>
      <c r="AS49" s="92">
        <f t="shared" si="13"/>
        <v>0</v>
      </c>
      <c r="AT49" s="93">
        <f t="shared" si="13"/>
        <v>11.600000000000001</v>
      </c>
      <c r="AU49" s="94">
        <f t="shared" si="13"/>
        <v>7.0500000000000007</v>
      </c>
      <c r="AV49" s="91">
        <f t="shared" si="13"/>
        <v>56.71641791044776</v>
      </c>
      <c r="AW49" s="91">
        <f t="shared" si="13"/>
        <v>37.446808510638299</v>
      </c>
      <c r="AX49" s="83">
        <f t="shared" si="13"/>
        <v>65.658552142021932</v>
      </c>
      <c r="AY49" s="95">
        <f t="shared" si="13"/>
        <v>58.25</v>
      </c>
      <c r="AZ49" s="96">
        <f t="shared" si="13"/>
        <v>54.575000000000003</v>
      </c>
      <c r="BA49" s="96">
        <f t="shared" si="13"/>
        <v>0</v>
      </c>
      <c r="BB49" s="96">
        <f t="shared" si="13"/>
        <v>30.5</v>
      </c>
      <c r="BC49" s="96">
        <f t="shared" si="13"/>
        <v>0</v>
      </c>
      <c r="BD49" s="97">
        <f t="shared" si="13"/>
        <v>16</v>
      </c>
      <c r="BE49" s="87">
        <f t="shared" si="13"/>
        <v>88</v>
      </c>
      <c r="BF49" s="88">
        <f t="shared" si="13"/>
        <v>0</v>
      </c>
      <c r="BG49" s="98">
        <f t="shared" si="13"/>
        <v>0</v>
      </c>
      <c r="BH49" s="98">
        <f t="shared" si="13"/>
        <v>0</v>
      </c>
      <c r="BI49" s="98">
        <f t="shared" si="13"/>
        <v>0</v>
      </c>
      <c r="BJ49" s="98">
        <f t="shared" si="13"/>
        <v>0</v>
      </c>
      <c r="BK49" s="98">
        <f t="shared" si="13"/>
        <v>0</v>
      </c>
      <c r="BL49" s="97">
        <f t="shared" si="13"/>
        <v>0</v>
      </c>
    </row>
    <row r="50" spans="1:64" outlineLevel="2" x14ac:dyDescent="0.3">
      <c r="A50" s="81" t="s">
        <v>59</v>
      </c>
      <c r="B50" s="82"/>
      <c r="C50" s="83">
        <f t="shared" ref="C50:BL50" si="14">IFERROR(SUBTOTAL(1,C17:C47),"")</f>
        <v>38.387096774193552</v>
      </c>
      <c r="D50" s="84">
        <f t="shared" si="14"/>
        <v>38.064516129032256</v>
      </c>
      <c r="E50" s="84">
        <f t="shared" si="14"/>
        <v>38.70967741935484</v>
      </c>
      <c r="F50" s="84" t="str">
        <f t="shared" si="14"/>
        <v/>
      </c>
      <c r="G50" s="84" t="str">
        <f t="shared" si="14"/>
        <v/>
      </c>
      <c r="H50" s="84" t="str">
        <f t="shared" si="14"/>
        <v/>
      </c>
      <c r="I50" s="84" t="str">
        <f t="shared" si="14"/>
        <v/>
      </c>
      <c r="J50" s="84" t="str">
        <f t="shared" si="14"/>
        <v/>
      </c>
      <c r="K50" s="84" t="str">
        <f t="shared" si="14"/>
        <v/>
      </c>
      <c r="L50" s="85">
        <f t="shared" si="14"/>
        <v>7.8466666666666676</v>
      </c>
      <c r="M50" s="86">
        <f t="shared" si="14"/>
        <v>7.8519999999999994</v>
      </c>
      <c r="N50" s="86">
        <f t="shared" si="14"/>
        <v>7.8339999999999996</v>
      </c>
      <c r="O50" s="86" t="str">
        <f t="shared" si="14"/>
        <v/>
      </c>
      <c r="P50" s="86" t="str">
        <f t="shared" si="14"/>
        <v/>
      </c>
      <c r="Q50" s="86" t="str">
        <f t="shared" si="14"/>
        <v/>
      </c>
      <c r="R50" s="86" t="str">
        <f t="shared" si="14"/>
        <v/>
      </c>
      <c r="S50" s="86" t="str">
        <f t="shared" si="14"/>
        <v/>
      </c>
      <c r="T50" s="86" t="str">
        <f t="shared" si="14"/>
        <v/>
      </c>
      <c r="U50" s="87">
        <f t="shared" si="14"/>
        <v>1528.0600000000002</v>
      </c>
      <c r="V50" s="88">
        <f t="shared" si="14"/>
        <v>1591.6199999999997</v>
      </c>
      <c r="W50" s="88">
        <f t="shared" si="14"/>
        <v>1464.4533333333334</v>
      </c>
      <c r="X50" s="88" t="str">
        <f t="shared" si="14"/>
        <v/>
      </c>
      <c r="Y50" s="88" t="str">
        <f t="shared" si="14"/>
        <v/>
      </c>
      <c r="Z50" s="88" t="str">
        <f t="shared" si="14"/>
        <v/>
      </c>
      <c r="AA50" s="88" t="str">
        <f t="shared" si="14"/>
        <v/>
      </c>
      <c r="AB50" s="88" t="str">
        <f t="shared" si="14"/>
        <v/>
      </c>
      <c r="AC50" s="88" t="str">
        <f t="shared" si="14"/>
        <v/>
      </c>
      <c r="AD50" s="87" t="str">
        <f t="shared" si="14"/>
        <v/>
      </c>
      <c r="AE50" s="88" t="str">
        <f t="shared" si="14"/>
        <v/>
      </c>
      <c r="AF50" s="88" t="str">
        <f t="shared" si="14"/>
        <v/>
      </c>
      <c r="AG50" s="88" t="str">
        <f t="shared" si="14"/>
        <v/>
      </c>
      <c r="AH50" s="88" t="str">
        <f t="shared" si="14"/>
        <v/>
      </c>
      <c r="AI50" s="88" t="str">
        <f t="shared" si="14"/>
        <v/>
      </c>
      <c r="AJ50" s="88" t="str">
        <f t="shared" si="14"/>
        <v/>
      </c>
      <c r="AK50" s="88" t="str">
        <f t="shared" si="14"/>
        <v/>
      </c>
      <c r="AL50" s="88" t="str">
        <f t="shared" si="14"/>
        <v/>
      </c>
      <c r="AM50" s="88">
        <f t="shared" si="14"/>
        <v>75.787203379999241</v>
      </c>
      <c r="AN50" s="88">
        <f t="shared" si="14"/>
        <v>65.952580645161291</v>
      </c>
      <c r="AO50" s="89">
        <f t="shared" si="14"/>
        <v>28.133333333333336</v>
      </c>
      <c r="AP50" s="90">
        <f t="shared" si="14"/>
        <v>23.650066666666671</v>
      </c>
      <c r="AQ50" s="91">
        <f t="shared" si="14"/>
        <v>84.833333333333343</v>
      </c>
      <c r="AR50" s="91">
        <f t="shared" si="14"/>
        <v>15.166666666666657</v>
      </c>
      <c r="AS50" s="92">
        <f t="shared" si="14"/>
        <v>0</v>
      </c>
      <c r="AT50" s="93">
        <f t="shared" si="14"/>
        <v>13.546153846153848</v>
      </c>
      <c r="AU50" s="94">
        <f t="shared" si="14"/>
        <v>8.1692307692307686</v>
      </c>
      <c r="AV50" s="91">
        <f t="shared" si="14"/>
        <v>60.390343417731259</v>
      </c>
      <c r="AW50" s="91">
        <f t="shared" si="14"/>
        <v>39.609656582268741</v>
      </c>
      <c r="AX50" s="83">
        <f t="shared" si="14"/>
        <v>71.86311636784194</v>
      </c>
      <c r="AY50" s="95">
        <f t="shared" si="14"/>
        <v>75.362499999999997</v>
      </c>
      <c r="AZ50" s="96">
        <f t="shared" si="14"/>
        <v>59.249838709677412</v>
      </c>
      <c r="BA50" s="96" t="str">
        <f t="shared" si="14"/>
        <v/>
      </c>
      <c r="BB50" s="96">
        <f t="shared" si="14"/>
        <v>107.6774193548387</v>
      </c>
      <c r="BC50" s="96" t="str">
        <f t="shared" si="14"/>
        <v/>
      </c>
      <c r="BD50" s="97">
        <f>IFERROR(SUBTOTAL(1,BD17:BD47),"")</f>
        <v>65.952580645161291</v>
      </c>
      <c r="BE50" s="87">
        <f t="shared" si="14"/>
        <v>3967.2903225806454</v>
      </c>
      <c r="BF50" s="88">
        <f t="shared" si="14"/>
        <v>80.774193548387103</v>
      </c>
      <c r="BG50" s="98">
        <f t="shared" si="14"/>
        <v>1608.258064516129</v>
      </c>
      <c r="BH50" s="98">
        <f t="shared" si="14"/>
        <v>2278.2580645161293</v>
      </c>
      <c r="BI50" s="98" t="str">
        <f t="shared" si="14"/>
        <v/>
      </c>
      <c r="BJ50" s="98" t="str">
        <f t="shared" si="14"/>
        <v/>
      </c>
      <c r="BK50" s="98" t="str">
        <f t="shared" si="14"/>
        <v/>
      </c>
      <c r="BL50" s="97" t="str">
        <f t="shared" si="14"/>
        <v/>
      </c>
    </row>
    <row r="51" spans="1:64" ht="17.25" outlineLevel="1" thickBot="1" x14ac:dyDescent="0.35">
      <c r="A51" s="99" t="s">
        <v>60</v>
      </c>
      <c r="B51" s="100"/>
      <c r="C51" s="101"/>
      <c r="D51" s="102"/>
      <c r="E51" s="102"/>
      <c r="F51" s="102"/>
      <c r="G51" s="102"/>
      <c r="H51" s="102"/>
      <c r="I51" s="102"/>
      <c r="J51" s="102"/>
      <c r="K51" s="102"/>
      <c r="L51" s="103"/>
      <c r="M51" s="104"/>
      <c r="N51" s="104"/>
      <c r="O51" s="104"/>
      <c r="P51" s="104"/>
      <c r="Q51" s="104"/>
      <c r="R51" s="104"/>
      <c r="S51" s="104"/>
      <c r="T51" s="104"/>
      <c r="U51" s="105"/>
      <c r="V51" s="106"/>
      <c r="W51" s="106"/>
      <c r="X51" s="106"/>
      <c r="Y51" s="106"/>
      <c r="Z51" s="106"/>
      <c r="AA51" s="106"/>
      <c r="AB51" s="106"/>
      <c r="AC51" s="106"/>
      <c r="AD51" s="105"/>
      <c r="AE51" s="106"/>
      <c r="AF51" s="106"/>
      <c r="AG51" s="106"/>
      <c r="AH51" s="106"/>
      <c r="AI51" s="106"/>
      <c r="AJ51" s="106"/>
      <c r="AK51" s="106"/>
      <c r="AL51" s="106"/>
      <c r="AM51" s="106"/>
      <c r="AN51" s="107">
        <f>SUBTOTAL(9,AN17:AN47)</f>
        <v>2044.5300000000002</v>
      </c>
      <c r="AO51" s="108"/>
      <c r="AP51" s="109"/>
      <c r="AQ51" s="110"/>
      <c r="AR51" s="110"/>
      <c r="AS51" s="111">
        <f>SUBTOTAL(9,AS17:AS47)</f>
        <v>0</v>
      </c>
      <c r="AT51" s="112"/>
      <c r="AU51" s="113"/>
      <c r="AV51" s="110"/>
      <c r="AW51" s="110"/>
      <c r="AX51" s="101"/>
      <c r="AY51" s="114"/>
      <c r="AZ51" s="115"/>
      <c r="BA51" s="115"/>
      <c r="BB51" s="115"/>
      <c r="BC51" s="115"/>
      <c r="BD51" s="116">
        <f>SUBTOTAL(9,BD17:BD47)</f>
        <v>2044.5300000000002</v>
      </c>
      <c r="BE51" s="117">
        <f t="shared" ref="BE51:BL51" si="15">SUBTOTAL(9,BE17:BE47)</f>
        <v>122986</v>
      </c>
      <c r="BF51" s="107">
        <f t="shared" si="15"/>
        <v>2504</v>
      </c>
      <c r="BG51" s="118">
        <f t="shared" si="15"/>
        <v>49856</v>
      </c>
      <c r="BH51" s="118">
        <f t="shared" si="15"/>
        <v>70626</v>
      </c>
      <c r="BI51" s="118">
        <f t="shared" si="15"/>
        <v>0</v>
      </c>
      <c r="BJ51" s="118">
        <f t="shared" si="15"/>
        <v>0</v>
      </c>
      <c r="BK51" s="118">
        <f t="shared" si="15"/>
        <v>0</v>
      </c>
      <c r="BL51" s="116">
        <f t="shared" si="15"/>
        <v>0</v>
      </c>
    </row>
    <row r="52" spans="1:64" outlineLevel="5" x14ac:dyDescent="0.3">
      <c r="A52" s="136">
        <f t="shared" si="5"/>
        <v>2</v>
      </c>
      <c r="B52" s="165">
        <f>B47+1</f>
        <v>43862</v>
      </c>
      <c r="C52" s="138">
        <f>IFERROR(ROUND(AVERAGE(D52:K52),1),"")</f>
        <v>37</v>
      </c>
      <c r="D52" s="84">
        <v>37</v>
      </c>
      <c r="E52" s="84">
        <v>37</v>
      </c>
      <c r="F52" s="84"/>
      <c r="G52" s="84"/>
      <c r="H52" s="139"/>
      <c r="I52" s="139"/>
      <c r="J52" s="139"/>
      <c r="K52" s="139"/>
      <c r="L52" s="140" t="str">
        <f>IFERROR(ROUND(AVERAGE(M52:T52),1),"")</f>
        <v/>
      </c>
      <c r="M52" s="141"/>
      <c r="N52" s="141"/>
      <c r="O52" s="141"/>
      <c r="P52" s="141"/>
      <c r="Q52" s="141"/>
      <c r="R52" s="141"/>
      <c r="S52" s="141"/>
      <c r="T52" s="141"/>
      <c r="U52" s="142" t="str">
        <f>IFERROR(ROUND(AVERAGE(V52:AC52),1),"")</f>
        <v/>
      </c>
      <c r="V52" s="143"/>
      <c r="W52" s="143"/>
      <c r="X52" s="143"/>
      <c r="Y52" s="143"/>
      <c r="Z52" s="143"/>
      <c r="AA52" s="143"/>
      <c r="AB52" s="143"/>
      <c r="AC52" s="143"/>
      <c r="AD52" s="142" t="str">
        <f>IFERROR(ROUND(AVERAGE(AE52:AL52),1),"")</f>
        <v/>
      </c>
      <c r="AE52" s="143"/>
      <c r="AF52" s="143"/>
      <c r="AG52" s="143"/>
      <c r="AH52" s="143"/>
      <c r="AI52" s="143"/>
      <c r="AJ52" s="143"/>
      <c r="AK52" s="143"/>
      <c r="AL52" s="143"/>
      <c r="AM52" s="143">
        <v>72.470443727928767</v>
      </c>
      <c r="AN52" s="88">
        <v>65.13</v>
      </c>
      <c r="AO52" s="144" t="s">
        <v>56</v>
      </c>
      <c r="AP52" s="145" t="s">
        <v>56</v>
      </c>
      <c r="AQ52" s="146" t="str">
        <f t="shared" ref="AQ52:AQ80" si="16">IFERROR(AP52/AO52*100,"")</f>
        <v/>
      </c>
      <c r="AR52" s="146" t="str">
        <f t="shared" ref="AR52:AR80" si="17">IFERROR(100-AQ52,"")</f>
        <v/>
      </c>
      <c r="AS52" s="147">
        <v>0</v>
      </c>
      <c r="AT52" s="148" t="s">
        <v>56</v>
      </c>
      <c r="AU52" s="149" t="s">
        <v>56</v>
      </c>
      <c r="AV52" s="146" t="str">
        <f t="shared" ref="AV52:AV80" si="18">IFERROR(AU52/AT52*100,"")</f>
        <v/>
      </c>
      <c r="AW52" s="146" t="str">
        <f t="shared" ref="AW52:AW80" si="19">IFERROR(100-AV52,"")</f>
        <v/>
      </c>
      <c r="AX52" s="138" t="str">
        <f>IFERROR((1-((AV52*AR52)/(AW52*AQ52)))*100,"")</f>
        <v/>
      </c>
      <c r="AY52" t="s">
        <v>56</v>
      </c>
      <c r="AZ52" s="150">
        <v>59.629999999999995</v>
      </c>
      <c r="BA52" s="150"/>
      <c r="BB52" s="150">
        <v>96</v>
      </c>
      <c r="BC52" s="150"/>
      <c r="BD52" s="97">
        <v>65.13</v>
      </c>
      <c r="BE52" s="142">
        <f t="shared" ref="BE52:BE80" si="20">IF(SUM(BF52:BL52)=0,"",SUM(BF52:BL52))</f>
        <v>140</v>
      </c>
      <c r="BF52" s="98">
        <v>134</v>
      </c>
      <c r="BG52" s="98">
        <v>0</v>
      </c>
      <c r="BH52" s="98">
        <v>6</v>
      </c>
      <c r="BI52" s="98"/>
      <c r="BJ52" s="98"/>
      <c r="BK52" s="98"/>
      <c r="BL52" s="151"/>
    </row>
    <row r="53" spans="1:64" outlineLevel="5" x14ac:dyDescent="0.3">
      <c r="A53" s="152">
        <f t="shared" si="5"/>
        <v>2</v>
      </c>
      <c r="B53" s="153">
        <f t="shared" si="7"/>
        <v>43863</v>
      </c>
      <c r="C53" s="138">
        <f>IFERROR(ROUND(AVERAGE(D53:K53),1),"")</f>
        <v>38</v>
      </c>
      <c r="D53" s="84">
        <v>38</v>
      </c>
      <c r="E53" s="84">
        <v>38</v>
      </c>
      <c r="F53" s="84"/>
      <c r="G53" s="84"/>
      <c r="H53" s="84"/>
      <c r="I53" s="84"/>
      <c r="J53" s="84"/>
      <c r="K53" s="84"/>
      <c r="L53" s="140" t="str">
        <f>IFERROR(ROUND(AVERAGE(M53:T53),1),"")</f>
        <v/>
      </c>
      <c r="M53" s="141"/>
      <c r="N53" s="141"/>
      <c r="O53" s="141"/>
      <c r="P53" s="141"/>
      <c r="Q53" s="86"/>
      <c r="R53" s="86"/>
      <c r="S53" s="86"/>
      <c r="T53" s="86"/>
      <c r="U53" s="142" t="str">
        <f>IFERROR(ROUND(AVERAGE(V53:AC53),1),"")</f>
        <v/>
      </c>
      <c r="V53" s="88"/>
      <c r="W53" s="88"/>
      <c r="X53" s="88"/>
      <c r="Y53" s="88"/>
      <c r="Z53" s="88"/>
      <c r="AA53" s="88"/>
      <c r="AB53" s="88"/>
      <c r="AC53" s="88"/>
      <c r="AD53" s="142" t="str">
        <f>IFERROR(ROUND(AVERAGE(AE53:AL53),1),"")</f>
        <v/>
      </c>
      <c r="AE53" s="88"/>
      <c r="AF53" s="88"/>
      <c r="AG53" s="88"/>
      <c r="AH53" s="88"/>
      <c r="AI53" s="88"/>
      <c r="AJ53" s="88"/>
      <c r="AK53" s="88"/>
      <c r="AL53" s="88"/>
      <c r="AM53" s="143">
        <v>72.615384615384613</v>
      </c>
      <c r="AN53" s="88">
        <v>65</v>
      </c>
      <c r="AO53" s="89" t="s">
        <v>56</v>
      </c>
      <c r="AP53" s="90" t="s">
        <v>56</v>
      </c>
      <c r="AQ53" s="146" t="str">
        <f t="shared" si="16"/>
        <v/>
      </c>
      <c r="AR53" s="146" t="str">
        <f t="shared" si="17"/>
        <v/>
      </c>
      <c r="AS53" s="147">
        <v>0</v>
      </c>
      <c r="AT53" s="148" t="s">
        <v>56</v>
      </c>
      <c r="AU53" s="149" t="s">
        <v>56</v>
      </c>
      <c r="AV53" s="146" t="str">
        <f t="shared" si="18"/>
        <v/>
      </c>
      <c r="AW53" s="146" t="str">
        <f t="shared" si="19"/>
        <v/>
      </c>
      <c r="AX53" s="138" t="str">
        <f>IFERROR((1-((AV53*AR53)/(AW53*AQ53)))*100,"")</f>
        <v/>
      </c>
      <c r="AY53" s="95" t="s">
        <v>56</v>
      </c>
      <c r="AZ53" s="96">
        <v>61.375</v>
      </c>
      <c r="BA53" s="96"/>
      <c r="BB53" s="96">
        <v>111.5</v>
      </c>
      <c r="BC53" s="96"/>
      <c r="BD53" s="97">
        <v>65</v>
      </c>
      <c r="BE53" s="142">
        <f t="shared" si="20"/>
        <v>138</v>
      </c>
      <c r="BF53" s="98">
        <v>138</v>
      </c>
      <c r="BG53" s="98">
        <v>0</v>
      </c>
      <c r="BH53" s="98">
        <v>0</v>
      </c>
      <c r="BI53" s="98"/>
      <c r="BJ53" s="98"/>
      <c r="BK53" s="98"/>
      <c r="BL53" s="97"/>
    </row>
    <row r="54" spans="1:64" outlineLevel="5" x14ac:dyDescent="0.3">
      <c r="A54" s="152">
        <f t="shared" si="5"/>
        <v>2</v>
      </c>
      <c r="B54" s="153">
        <f t="shared" si="7"/>
        <v>43864</v>
      </c>
      <c r="C54" s="138">
        <f>IFERROR(ROUND(AVERAGE(D54:K54),1),"")</f>
        <v>37</v>
      </c>
      <c r="D54" s="84">
        <v>37</v>
      </c>
      <c r="E54" s="84">
        <v>37</v>
      </c>
      <c r="F54" s="84"/>
      <c r="G54" s="84"/>
      <c r="H54" s="84"/>
      <c r="I54" s="84"/>
      <c r="J54" s="84"/>
      <c r="K54" s="84"/>
      <c r="L54" s="140" t="str">
        <f>IFERROR(ROUND(AVERAGE(M54:T54),1),"")</f>
        <v/>
      </c>
      <c r="M54" s="141"/>
      <c r="N54" s="141"/>
      <c r="O54" s="141"/>
      <c r="P54" s="141"/>
      <c r="Q54" s="86"/>
      <c r="R54" s="86"/>
      <c r="S54" s="86"/>
      <c r="T54" s="86"/>
      <c r="U54" s="142" t="str">
        <f>IFERROR(ROUND(AVERAGE(V54:AC54),1),"")</f>
        <v/>
      </c>
      <c r="V54" s="88"/>
      <c r="W54" s="88"/>
      <c r="X54" s="88"/>
      <c r="Y54" s="88"/>
      <c r="Z54" s="88"/>
      <c r="AA54" s="88"/>
      <c r="AB54" s="88"/>
      <c r="AC54" s="88"/>
      <c r="AD54" s="142" t="str">
        <f>IFERROR(ROUND(AVERAGE(AE54:AL54),1),"")</f>
        <v/>
      </c>
      <c r="AE54" s="88"/>
      <c r="AF54" s="88"/>
      <c r="AG54" s="88"/>
      <c r="AH54" s="88"/>
      <c r="AI54" s="88"/>
      <c r="AJ54" s="88"/>
      <c r="AK54" s="88"/>
      <c r="AL54" s="88"/>
      <c r="AM54" s="143">
        <v>91.686091686091686</v>
      </c>
      <c r="AN54" s="88">
        <v>51.48</v>
      </c>
      <c r="AO54" s="89" t="s">
        <v>56</v>
      </c>
      <c r="AP54" s="90" t="s">
        <v>56</v>
      </c>
      <c r="AQ54" s="146" t="str">
        <f t="shared" si="16"/>
        <v/>
      </c>
      <c r="AR54" s="146" t="str">
        <f t="shared" si="17"/>
        <v/>
      </c>
      <c r="AS54" s="147">
        <v>0</v>
      </c>
      <c r="AT54" s="148" t="s">
        <v>56</v>
      </c>
      <c r="AU54" s="149" t="s">
        <v>56</v>
      </c>
      <c r="AV54" s="146" t="str">
        <f t="shared" si="18"/>
        <v/>
      </c>
      <c r="AW54" s="146" t="str">
        <f t="shared" si="19"/>
        <v/>
      </c>
      <c r="AX54" s="138" t="str">
        <f>IFERROR((1-((AV54*AR54)/(AW54*AQ54)))*100,"")</f>
        <v/>
      </c>
      <c r="AY54" s="95" t="s">
        <v>56</v>
      </c>
      <c r="AZ54" s="96" t="s">
        <v>56</v>
      </c>
      <c r="BA54" s="96"/>
      <c r="BB54" s="96" t="s">
        <v>56</v>
      </c>
      <c r="BC54" s="96"/>
      <c r="BD54" s="97">
        <v>51.48</v>
      </c>
      <c r="BE54" s="142">
        <f t="shared" si="20"/>
        <v>28</v>
      </c>
      <c r="BF54" s="98">
        <v>28</v>
      </c>
      <c r="BG54" s="98">
        <v>0</v>
      </c>
      <c r="BH54" s="98">
        <v>0</v>
      </c>
      <c r="BI54" s="98"/>
      <c r="BJ54" s="98"/>
      <c r="BK54" s="98"/>
      <c r="BL54" s="97"/>
    </row>
    <row r="55" spans="1:64" outlineLevel="5" x14ac:dyDescent="0.3">
      <c r="A55" s="152">
        <f t="shared" si="5"/>
        <v>2</v>
      </c>
      <c r="B55" s="153">
        <f t="shared" si="7"/>
        <v>43865</v>
      </c>
      <c r="C55" s="138">
        <f>IFERROR(ROUND(AVERAGE(D55:K55),1),"")</f>
        <v>39</v>
      </c>
      <c r="D55" s="84">
        <v>40</v>
      </c>
      <c r="E55" s="84">
        <v>38</v>
      </c>
      <c r="F55" s="84"/>
      <c r="G55" s="84"/>
      <c r="H55" s="84"/>
      <c r="I55" s="84"/>
      <c r="J55" s="84"/>
      <c r="K55" s="84"/>
      <c r="L55" s="140" t="str">
        <f>IFERROR(ROUND(AVERAGE(M55:T55),1),"")</f>
        <v/>
      </c>
      <c r="M55" s="141"/>
      <c r="N55" s="141"/>
      <c r="O55" s="141"/>
      <c r="P55" s="141"/>
      <c r="Q55" s="86"/>
      <c r="R55" s="86"/>
      <c r="S55" s="86"/>
      <c r="T55" s="86"/>
      <c r="U55" s="142" t="str">
        <f>IFERROR(ROUND(AVERAGE(V55:AC55),1),"")</f>
        <v/>
      </c>
      <c r="V55" s="88"/>
      <c r="W55" s="88"/>
      <c r="X55" s="88"/>
      <c r="Y55" s="88"/>
      <c r="Z55" s="88"/>
      <c r="AA55" s="88"/>
      <c r="AB55" s="88"/>
      <c r="AC55" s="88"/>
      <c r="AD55" s="142" t="str">
        <f>IFERROR(ROUND(AVERAGE(AE55:AL55),1),"")</f>
        <v/>
      </c>
      <c r="AE55" s="88"/>
      <c r="AF55" s="88"/>
      <c r="AG55" s="88"/>
      <c r="AH55" s="88"/>
      <c r="AI55" s="88"/>
      <c r="AJ55" s="88"/>
      <c r="AK55" s="88"/>
      <c r="AL55" s="88"/>
      <c r="AM55" s="143">
        <v>74.190506130147753</v>
      </c>
      <c r="AN55" s="88">
        <v>63.62</v>
      </c>
      <c r="AO55" s="89" t="s">
        <v>56</v>
      </c>
      <c r="AP55" s="90"/>
      <c r="AQ55" s="146" t="str">
        <f t="shared" si="16"/>
        <v/>
      </c>
      <c r="AR55" s="146" t="str">
        <f t="shared" si="17"/>
        <v/>
      </c>
      <c r="AS55" s="147">
        <v>0</v>
      </c>
      <c r="AT55" s="148" t="s">
        <v>56</v>
      </c>
      <c r="AU55" s="149" t="s">
        <v>56</v>
      </c>
      <c r="AV55" s="146" t="str">
        <f t="shared" si="18"/>
        <v/>
      </c>
      <c r="AW55" s="146" t="str">
        <f t="shared" si="19"/>
        <v/>
      </c>
      <c r="AX55" s="138" t="str">
        <f>IFERROR((1-((AV55*AR55)/(AW55*AQ55)))*100,"")</f>
        <v/>
      </c>
      <c r="AY55" s="95" t="s">
        <v>56</v>
      </c>
      <c r="AZ55" s="96">
        <v>55.49</v>
      </c>
      <c r="BA55" s="96"/>
      <c r="BB55" s="96">
        <v>68</v>
      </c>
      <c r="BC55" s="96"/>
      <c r="BD55" s="97">
        <v>63.62</v>
      </c>
      <c r="BE55" s="142">
        <f t="shared" si="20"/>
        <v>3190</v>
      </c>
      <c r="BF55" s="98">
        <v>196</v>
      </c>
      <c r="BG55" s="98">
        <v>2990</v>
      </c>
      <c r="BH55" s="98">
        <v>4</v>
      </c>
      <c r="BI55" s="98"/>
      <c r="BJ55" s="98"/>
      <c r="BK55" s="98"/>
      <c r="BL55" s="97"/>
    </row>
    <row r="56" spans="1:64" outlineLevel="5" x14ac:dyDescent="0.3">
      <c r="A56" s="152">
        <f t="shared" si="5"/>
        <v>2</v>
      </c>
      <c r="B56" s="153">
        <f t="shared" si="7"/>
        <v>43866</v>
      </c>
      <c r="C56" s="138">
        <f>IFERROR(ROUND(AVERAGE(D56:K56),1),"")</f>
        <v>38</v>
      </c>
      <c r="D56" s="84">
        <v>38</v>
      </c>
      <c r="E56" s="84">
        <v>38</v>
      </c>
      <c r="F56" s="84"/>
      <c r="G56" s="84"/>
      <c r="H56" s="84"/>
      <c r="I56" s="84"/>
      <c r="J56" s="84"/>
      <c r="K56" s="84"/>
      <c r="L56" s="140">
        <f>IFERROR(ROUND(AVERAGE(M56:T56),1),"")</f>
        <v>7.9</v>
      </c>
      <c r="M56" s="141">
        <v>7.89</v>
      </c>
      <c r="N56" s="141">
        <v>7.83</v>
      </c>
      <c r="O56" s="141"/>
      <c r="P56" s="141"/>
      <c r="Q56" s="86"/>
      <c r="R56" s="86"/>
      <c r="S56" s="86"/>
      <c r="T56" s="86"/>
      <c r="U56" s="142">
        <f>IFERROR(ROUND(AVERAGE(V56:AC56),1),"")</f>
        <v>1643.6</v>
      </c>
      <c r="V56" s="88">
        <v>1686.8</v>
      </c>
      <c r="W56" s="88">
        <v>1600.3</v>
      </c>
      <c r="X56" s="88"/>
      <c r="Y56" s="88"/>
      <c r="Z56" s="88"/>
      <c r="AA56" s="88"/>
      <c r="AB56" s="88"/>
      <c r="AC56" s="88"/>
      <c r="AD56" s="142" t="str">
        <f>IFERROR(ROUND(AVERAGE(AE56:AL56),1),"")</f>
        <v/>
      </c>
      <c r="AE56" s="88"/>
      <c r="AF56" s="88"/>
      <c r="AG56" s="88"/>
      <c r="AH56" s="88"/>
      <c r="AI56" s="88"/>
      <c r="AJ56" s="88"/>
      <c r="AK56" s="88"/>
      <c r="AL56" s="88"/>
      <c r="AM56" s="143">
        <v>60.8404227893787</v>
      </c>
      <c r="AN56" s="88">
        <v>77.580000000000013</v>
      </c>
      <c r="AO56" s="89"/>
      <c r="AP56" s="90"/>
      <c r="AQ56" s="146" t="str">
        <f t="shared" si="16"/>
        <v/>
      </c>
      <c r="AR56" s="146" t="str">
        <f t="shared" si="17"/>
        <v/>
      </c>
      <c r="AS56" s="147">
        <v>0</v>
      </c>
      <c r="AT56" s="148">
        <v>13.8</v>
      </c>
      <c r="AU56" s="149">
        <v>8.8000000000000007</v>
      </c>
      <c r="AV56" s="146">
        <f t="shared" si="18"/>
        <v>63.768115942028992</v>
      </c>
      <c r="AW56" s="146">
        <f t="shared" si="19"/>
        <v>36.231884057971008</v>
      </c>
      <c r="AX56" s="138" t="str">
        <f>IFERROR((1-((AV56*AR56)/(AW56*AQ56)))*100,"")</f>
        <v/>
      </c>
      <c r="AY56" s="95">
        <v>77.849999999999994</v>
      </c>
      <c r="AZ56" s="96">
        <v>58.42</v>
      </c>
      <c r="BA56" s="96"/>
      <c r="BB56" s="96">
        <v>146</v>
      </c>
      <c r="BC56" s="96"/>
      <c r="BD56" s="97">
        <v>77.580000000000013</v>
      </c>
      <c r="BE56" s="142">
        <f t="shared" si="20"/>
        <v>2488</v>
      </c>
      <c r="BF56" s="98">
        <v>93</v>
      </c>
      <c r="BG56" s="98">
        <v>2395</v>
      </c>
      <c r="BH56" s="98">
        <v>0</v>
      </c>
      <c r="BI56" s="98"/>
      <c r="BJ56" s="98"/>
      <c r="BK56" s="98"/>
      <c r="BL56" s="97"/>
    </row>
    <row r="57" spans="1:64" outlineLevel="5" x14ac:dyDescent="0.3">
      <c r="A57" s="152">
        <f t="shared" si="5"/>
        <v>2</v>
      </c>
      <c r="B57" s="153">
        <f t="shared" si="7"/>
        <v>43867</v>
      </c>
      <c r="C57" s="138">
        <f>IFERROR(ROUND(AVERAGE(D57:K57),1),"")</f>
        <v>35</v>
      </c>
      <c r="D57" s="84">
        <v>35</v>
      </c>
      <c r="E57" s="84">
        <v>35</v>
      </c>
      <c r="F57" s="84"/>
      <c r="G57" s="84"/>
      <c r="H57" s="84"/>
      <c r="I57" s="84"/>
      <c r="J57" s="84"/>
      <c r="K57" s="84"/>
      <c r="L57" s="140">
        <f>IFERROR(ROUND(AVERAGE(M57:T57),1),"")</f>
        <v>7.8</v>
      </c>
      <c r="M57" s="141">
        <v>7.85</v>
      </c>
      <c r="N57" s="141">
        <v>7.8</v>
      </c>
      <c r="O57" s="141"/>
      <c r="P57" s="141"/>
      <c r="Q57" s="86"/>
      <c r="R57" s="86"/>
      <c r="S57" s="86"/>
      <c r="T57" s="86"/>
      <c r="U57" s="142">
        <f>IFERROR(ROUND(AVERAGE(V57:AC57),1),"")</f>
        <v>1643.5</v>
      </c>
      <c r="V57" s="88">
        <v>1730</v>
      </c>
      <c r="W57" s="88">
        <v>1557</v>
      </c>
      <c r="X57" s="88"/>
      <c r="Y57" s="88"/>
      <c r="Z57" s="88"/>
      <c r="AA57" s="88"/>
      <c r="AB57" s="88"/>
      <c r="AC57" s="88"/>
      <c r="AD57" s="142" t="str">
        <f>IFERROR(ROUND(AVERAGE(AE57:AL57),1),"")</f>
        <v/>
      </c>
      <c r="AE57" s="88"/>
      <c r="AF57" s="88"/>
      <c r="AG57" s="88"/>
      <c r="AH57" s="88"/>
      <c r="AI57" s="88"/>
      <c r="AJ57" s="88"/>
      <c r="AK57" s="88"/>
      <c r="AL57" s="88"/>
      <c r="AM57" s="143">
        <v>55.666941856350988</v>
      </c>
      <c r="AN57" s="88">
        <v>84.789999999999992</v>
      </c>
      <c r="AO57" s="89"/>
      <c r="AP57" s="90"/>
      <c r="AQ57" s="146" t="str">
        <f t="shared" si="16"/>
        <v/>
      </c>
      <c r="AR57" s="146" t="str">
        <f t="shared" si="17"/>
        <v/>
      </c>
      <c r="AS57" s="147">
        <v>10</v>
      </c>
      <c r="AT57" s="148">
        <v>13.85</v>
      </c>
      <c r="AU57" s="149">
        <v>8.9</v>
      </c>
      <c r="AV57" s="146">
        <f t="shared" si="18"/>
        <v>64.259927797833939</v>
      </c>
      <c r="AW57" s="146">
        <f t="shared" si="19"/>
        <v>35.740072202166061</v>
      </c>
      <c r="AX57" s="138" t="str">
        <f>IFERROR((1-((AV57*AR57)/(AW57*AQ57)))*100,"")</f>
        <v/>
      </c>
      <c r="AY57" s="95">
        <v>77.849999999999994</v>
      </c>
      <c r="AZ57" s="96">
        <v>61</v>
      </c>
      <c r="BA57" s="96"/>
      <c r="BB57" s="96">
        <v>125.5</v>
      </c>
      <c r="BC57" s="96"/>
      <c r="BD57" s="97">
        <v>84.789999999999992</v>
      </c>
      <c r="BE57" s="142">
        <f t="shared" si="20"/>
        <v>4091</v>
      </c>
      <c r="BF57" s="98">
        <v>113</v>
      </c>
      <c r="BG57" s="98">
        <v>3978</v>
      </c>
      <c r="BH57" s="98">
        <v>0</v>
      </c>
      <c r="BI57" s="98"/>
      <c r="BJ57" s="98"/>
      <c r="BK57" s="98"/>
      <c r="BL57" s="97"/>
    </row>
    <row r="58" spans="1:64" outlineLevel="5" x14ac:dyDescent="0.3">
      <c r="A58" s="152">
        <f t="shared" si="5"/>
        <v>2</v>
      </c>
      <c r="B58" s="153">
        <f t="shared" si="7"/>
        <v>43868</v>
      </c>
      <c r="C58" s="138">
        <f>IFERROR(ROUND(AVERAGE(D58:K58),1),"")</f>
        <v>36.5</v>
      </c>
      <c r="D58" s="84">
        <v>36</v>
      </c>
      <c r="E58" s="84">
        <v>37</v>
      </c>
      <c r="F58" s="84"/>
      <c r="G58" s="84"/>
      <c r="H58" s="84"/>
      <c r="I58" s="84"/>
      <c r="J58" s="84"/>
      <c r="K58" s="84"/>
      <c r="L58" s="140" t="str">
        <f>IFERROR(ROUND(AVERAGE(M58:T58),1),"")</f>
        <v/>
      </c>
      <c r="M58" s="141"/>
      <c r="N58" s="141"/>
      <c r="O58" s="141"/>
      <c r="P58" s="141"/>
      <c r="Q58" s="86"/>
      <c r="R58" s="86"/>
      <c r="S58" s="86"/>
      <c r="T58" s="86"/>
      <c r="U58" s="142" t="str">
        <f>IFERROR(ROUND(AVERAGE(V58:AC58),1),"")</f>
        <v/>
      </c>
      <c r="V58" s="88"/>
      <c r="W58" s="88"/>
      <c r="X58" s="88"/>
      <c r="Y58" s="88"/>
      <c r="Z58" s="88"/>
      <c r="AA58" s="88"/>
      <c r="AB58" s="88"/>
      <c r="AC58" s="88"/>
      <c r="AD58" s="142" t="str">
        <f>IFERROR(ROUND(AVERAGE(AE58:AL58),1),"")</f>
        <v/>
      </c>
      <c r="AE58" s="88"/>
      <c r="AF58" s="88"/>
      <c r="AG58" s="88"/>
      <c r="AH58" s="88"/>
      <c r="AI58" s="88"/>
      <c r="AJ58" s="88"/>
      <c r="AK58" s="88"/>
      <c r="AL58" s="88"/>
      <c r="AM58" s="143">
        <v>67.150377009531951</v>
      </c>
      <c r="AN58" s="88">
        <v>70.289999999999992</v>
      </c>
      <c r="AO58" s="89">
        <v>21</v>
      </c>
      <c r="AP58" s="90">
        <v>18.123000000000001</v>
      </c>
      <c r="AQ58" s="146">
        <f t="shared" si="16"/>
        <v>86.300000000000011</v>
      </c>
      <c r="AR58" s="146">
        <f t="shared" si="17"/>
        <v>13.699999999999989</v>
      </c>
      <c r="AS58" s="147">
        <v>0</v>
      </c>
      <c r="AT58" s="148" t="s">
        <v>56</v>
      </c>
      <c r="AU58" s="149" t="s">
        <v>56</v>
      </c>
      <c r="AV58" s="146" t="str">
        <f t="shared" si="18"/>
        <v/>
      </c>
      <c r="AW58" s="146" t="str">
        <f t="shared" si="19"/>
        <v/>
      </c>
      <c r="AX58" s="138" t="str">
        <f>IFERROR((1-((AV58*AR58)/(AW58*AQ58)))*100,"")</f>
        <v/>
      </c>
      <c r="AY58" s="95" t="s">
        <v>56</v>
      </c>
      <c r="AZ58" s="96">
        <v>60.56</v>
      </c>
      <c r="BA58" s="96"/>
      <c r="BB58" s="96">
        <v>117.5</v>
      </c>
      <c r="BC58" s="96"/>
      <c r="BD58" s="97">
        <v>70.289999999999992</v>
      </c>
      <c r="BE58" s="142">
        <f t="shared" si="20"/>
        <v>4531</v>
      </c>
      <c r="BF58" s="98">
        <v>123</v>
      </c>
      <c r="BG58" s="98">
        <v>4408</v>
      </c>
      <c r="BH58" s="98">
        <v>0</v>
      </c>
      <c r="BI58" s="98"/>
      <c r="BJ58" s="98"/>
      <c r="BK58" s="98"/>
      <c r="BL58" s="97"/>
    </row>
    <row r="59" spans="1:64" outlineLevel="5" x14ac:dyDescent="0.3">
      <c r="A59" s="152">
        <f t="shared" si="5"/>
        <v>2</v>
      </c>
      <c r="B59" s="153">
        <f t="shared" si="7"/>
        <v>43869</v>
      </c>
      <c r="C59" s="138">
        <f>IFERROR(ROUND(AVERAGE(D59:K59),1),"")</f>
        <v>40</v>
      </c>
      <c r="D59" s="84">
        <v>40</v>
      </c>
      <c r="E59" s="84">
        <v>40</v>
      </c>
      <c r="F59" s="84"/>
      <c r="G59" s="84"/>
      <c r="H59" s="84"/>
      <c r="I59" s="84"/>
      <c r="J59" s="84"/>
      <c r="K59" s="84"/>
      <c r="L59" s="140" t="str">
        <f>IFERROR(ROUND(AVERAGE(M59:T59),1),"")</f>
        <v/>
      </c>
      <c r="M59" s="141"/>
      <c r="N59" s="141"/>
      <c r="O59" s="141"/>
      <c r="P59" s="141"/>
      <c r="Q59" s="86"/>
      <c r="R59" s="86"/>
      <c r="S59" s="86"/>
      <c r="T59" s="86"/>
      <c r="U59" s="142" t="str">
        <f>IFERROR(ROUND(AVERAGE(V59:AC59),1),"")</f>
        <v/>
      </c>
      <c r="V59" s="88"/>
      <c r="W59" s="88"/>
      <c r="X59" s="88"/>
      <c r="Y59" s="88"/>
      <c r="Z59" s="88"/>
      <c r="AA59" s="88"/>
      <c r="AB59" s="88"/>
      <c r="AC59" s="88"/>
      <c r="AD59" s="142" t="str">
        <f>IFERROR(ROUND(AVERAGE(AE59:AL59),1),"")</f>
        <v/>
      </c>
      <c r="AE59" s="88"/>
      <c r="AF59" s="88"/>
      <c r="AG59" s="88"/>
      <c r="AH59" s="88"/>
      <c r="AI59" s="88"/>
      <c r="AJ59" s="88"/>
      <c r="AK59" s="88"/>
      <c r="AL59" s="88"/>
      <c r="AM59" s="143">
        <v>76.698082547936309</v>
      </c>
      <c r="AN59" s="88">
        <v>61.54</v>
      </c>
      <c r="AO59" s="89" t="s">
        <v>56</v>
      </c>
      <c r="AP59" s="90" t="s">
        <v>56</v>
      </c>
      <c r="AQ59" s="146" t="str">
        <f t="shared" si="16"/>
        <v/>
      </c>
      <c r="AR59" s="146" t="str">
        <f t="shared" si="17"/>
        <v/>
      </c>
      <c r="AS59" s="147">
        <v>0</v>
      </c>
      <c r="AT59" s="148" t="s">
        <v>56</v>
      </c>
      <c r="AU59" s="149" t="s">
        <v>56</v>
      </c>
      <c r="AV59" s="146" t="str">
        <f t="shared" si="18"/>
        <v/>
      </c>
      <c r="AW59" s="146" t="str">
        <f t="shared" si="19"/>
        <v/>
      </c>
      <c r="AX59" s="138" t="str">
        <f>IFERROR((1-((AV59*AR59)/(AW59*AQ59)))*100,"")</f>
        <v/>
      </c>
      <c r="AY59" s="95" t="s">
        <v>56</v>
      </c>
      <c r="AZ59" s="96">
        <v>59.89</v>
      </c>
      <c r="BA59" s="96"/>
      <c r="BB59" s="96">
        <v>88.5</v>
      </c>
      <c r="BC59" s="96"/>
      <c r="BD59" s="97">
        <v>61.54</v>
      </c>
      <c r="BE59" s="142">
        <f t="shared" si="20"/>
        <v>3132</v>
      </c>
      <c r="BF59" s="98">
        <v>111</v>
      </c>
      <c r="BG59" s="98">
        <v>3021</v>
      </c>
      <c r="BH59" s="98">
        <v>0</v>
      </c>
      <c r="BI59" s="98"/>
      <c r="BJ59" s="98"/>
      <c r="BK59" s="98"/>
      <c r="BL59" s="97"/>
    </row>
    <row r="60" spans="1:64" outlineLevel="5" x14ac:dyDescent="0.3">
      <c r="A60" s="152">
        <f t="shared" si="5"/>
        <v>2</v>
      </c>
      <c r="B60" s="153">
        <f t="shared" si="7"/>
        <v>43870</v>
      </c>
      <c r="C60" s="138">
        <f>IFERROR(ROUND(AVERAGE(D60:K60),1),"")</f>
        <v>39</v>
      </c>
      <c r="D60" s="84">
        <v>39</v>
      </c>
      <c r="E60" s="84">
        <v>39</v>
      </c>
      <c r="F60" s="84"/>
      <c r="G60" s="84"/>
      <c r="H60" s="84"/>
      <c r="I60" s="84"/>
      <c r="J60" s="84"/>
      <c r="K60" s="84"/>
      <c r="L60" s="140" t="str">
        <f>IFERROR(ROUND(AVERAGE(M60:T60),1),"")</f>
        <v/>
      </c>
      <c r="M60" s="141"/>
      <c r="N60" s="141"/>
      <c r="O60" s="141"/>
      <c r="P60" s="141"/>
      <c r="Q60" s="86"/>
      <c r="R60" s="86"/>
      <c r="S60" s="86"/>
      <c r="T60" s="86"/>
      <c r="U60" s="142" t="str">
        <f>IFERROR(ROUND(AVERAGE(V60:AC60),1),"")</f>
        <v/>
      </c>
      <c r="V60" s="88"/>
      <c r="W60" s="88"/>
      <c r="X60" s="88"/>
      <c r="Y60" s="88"/>
      <c r="Z60" s="88"/>
      <c r="AA60" s="88"/>
      <c r="AB60" s="88"/>
      <c r="AC60" s="88"/>
      <c r="AD60" s="142" t="str">
        <f>IFERROR(ROUND(AVERAGE(AE60:AL60),1),"")</f>
        <v/>
      </c>
      <c r="AE60" s="88"/>
      <c r="AF60" s="88"/>
      <c r="AG60" s="88"/>
      <c r="AH60" s="88"/>
      <c r="AI60" s="88"/>
      <c r="AJ60" s="88"/>
      <c r="AK60" s="88"/>
      <c r="AL60" s="88"/>
      <c r="AM60" s="143">
        <v>76.129032258064512</v>
      </c>
      <c r="AN60" s="88">
        <v>62</v>
      </c>
      <c r="AO60" s="89" t="s">
        <v>56</v>
      </c>
      <c r="AP60" s="90" t="s">
        <v>56</v>
      </c>
      <c r="AQ60" s="146" t="str">
        <f t="shared" si="16"/>
        <v/>
      </c>
      <c r="AR60" s="146" t="str">
        <f t="shared" si="17"/>
        <v/>
      </c>
      <c r="AS60" s="147">
        <v>5</v>
      </c>
      <c r="AT60" s="148" t="s">
        <v>56</v>
      </c>
      <c r="AU60" s="149" t="s">
        <v>56</v>
      </c>
      <c r="AV60" s="146" t="str">
        <f t="shared" si="18"/>
        <v/>
      </c>
      <c r="AW60" s="146" t="str">
        <f t="shared" si="19"/>
        <v/>
      </c>
      <c r="AX60" s="138" t="str">
        <f>IFERROR((1-((AV60*AR60)/(AW60*AQ60)))*100,"")</f>
        <v/>
      </c>
      <c r="AY60" s="95" t="s">
        <v>56</v>
      </c>
      <c r="AZ60" s="96">
        <v>59.42</v>
      </c>
      <c r="BA60" s="96"/>
      <c r="BB60" s="96">
        <v>57</v>
      </c>
      <c r="BC60" s="96"/>
      <c r="BD60" s="97">
        <v>62</v>
      </c>
      <c r="BE60" s="142">
        <f t="shared" si="20"/>
        <v>3719</v>
      </c>
      <c r="BF60" s="98">
        <v>0</v>
      </c>
      <c r="BG60" s="98">
        <v>3719</v>
      </c>
      <c r="BH60" s="98">
        <v>0</v>
      </c>
      <c r="BI60" s="98"/>
      <c r="BJ60" s="98"/>
      <c r="BK60" s="98"/>
      <c r="BL60" s="97"/>
    </row>
    <row r="61" spans="1:64" outlineLevel="5" x14ac:dyDescent="0.3">
      <c r="A61" s="152">
        <f t="shared" si="5"/>
        <v>2</v>
      </c>
      <c r="B61" s="153">
        <f t="shared" si="7"/>
        <v>43871</v>
      </c>
      <c r="C61" s="138">
        <f>IFERROR(ROUND(AVERAGE(D61:K61),1),"")</f>
        <v>38</v>
      </c>
      <c r="D61" s="84">
        <v>38</v>
      </c>
      <c r="E61" s="84">
        <v>38</v>
      </c>
      <c r="F61" s="84"/>
      <c r="G61" s="84"/>
      <c r="H61" s="84"/>
      <c r="I61" s="84"/>
      <c r="J61" s="84"/>
      <c r="K61" s="84"/>
      <c r="L61" s="140">
        <f>IFERROR(ROUND(AVERAGE(M61:T61),1),"")</f>
        <v>7.9</v>
      </c>
      <c r="M61" s="141">
        <v>7.86</v>
      </c>
      <c r="N61" s="141"/>
      <c r="O61" s="141"/>
      <c r="P61" s="141"/>
      <c r="Q61" s="86"/>
      <c r="R61" s="86"/>
      <c r="S61" s="86"/>
      <c r="T61" s="86"/>
      <c r="U61" s="142">
        <f>IFERROR(ROUND(AVERAGE(V61:AC61),1),"")</f>
        <v>1643.5</v>
      </c>
      <c r="V61" s="88">
        <v>1643.5</v>
      </c>
      <c r="W61" s="88"/>
      <c r="X61" s="88"/>
      <c r="Y61" s="88"/>
      <c r="Z61" s="88"/>
      <c r="AA61" s="88"/>
      <c r="AB61" s="88"/>
      <c r="AC61" s="88"/>
      <c r="AD61" s="142" t="str">
        <f>IFERROR(ROUND(AVERAGE(AE61:AL61),1),"")</f>
        <v/>
      </c>
      <c r="AE61" s="88"/>
      <c r="AF61" s="88"/>
      <c r="AG61" s="88"/>
      <c r="AH61" s="88"/>
      <c r="AI61" s="88"/>
      <c r="AJ61" s="88"/>
      <c r="AK61" s="88"/>
      <c r="AL61" s="88"/>
      <c r="AM61" s="143">
        <v>76.264339957989975</v>
      </c>
      <c r="AN61" s="88">
        <v>61.89</v>
      </c>
      <c r="AO61" s="89" t="s">
        <v>56</v>
      </c>
      <c r="AP61" s="90" t="s">
        <v>56</v>
      </c>
      <c r="AQ61" s="146" t="str">
        <f t="shared" si="16"/>
        <v/>
      </c>
      <c r="AR61" s="146" t="str">
        <f t="shared" si="17"/>
        <v/>
      </c>
      <c r="AS61" s="147">
        <v>0</v>
      </c>
      <c r="AT61" s="148">
        <v>13.5</v>
      </c>
      <c r="AU61" s="149">
        <v>8</v>
      </c>
      <c r="AV61" s="146">
        <f t="shared" si="18"/>
        <v>59.259259259259252</v>
      </c>
      <c r="AW61" s="146">
        <f t="shared" si="19"/>
        <v>40.740740740740748</v>
      </c>
      <c r="AX61" s="138" t="str">
        <f>IFERROR((1-((AV61*AR61)/(AW61*AQ61)))*100,"")</f>
        <v/>
      </c>
      <c r="AY61" s="95">
        <v>74.599999999999994</v>
      </c>
      <c r="AZ61" s="96">
        <v>56.734999999999999</v>
      </c>
      <c r="BA61" s="96"/>
      <c r="BB61" s="96">
        <v>86</v>
      </c>
      <c r="BC61" s="96"/>
      <c r="BD61" s="97">
        <v>61.89</v>
      </c>
      <c r="BE61" s="142">
        <f t="shared" si="20"/>
        <v>2233</v>
      </c>
      <c r="BF61" s="98">
        <v>76</v>
      </c>
      <c r="BG61" s="98">
        <v>1656</v>
      </c>
      <c r="BH61" s="98">
        <v>501</v>
      </c>
      <c r="BI61" s="98"/>
      <c r="BJ61" s="98"/>
      <c r="BK61" s="98"/>
      <c r="BL61" s="97"/>
    </row>
    <row r="62" spans="1:64" outlineLevel="5" x14ac:dyDescent="0.3">
      <c r="A62" s="152">
        <f t="shared" si="5"/>
        <v>2</v>
      </c>
      <c r="B62" s="153">
        <f t="shared" si="7"/>
        <v>43872</v>
      </c>
      <c r="C62" s="138">
        <f>IFERROR(ROUND(AVERAGE(D62:K62),1),"")</f>
        <v>38</v>
      </c>
      <c r="D62" s="84">
        <v>38</v>
      </c>
      <c r="E62" s="84">
        <v>38</v>
      </c>
      <c r="F62" s="84"/>
      <c r="G62" s="84"/>
      <c r="H62" s="84"/>
      <c r="I62" s="84"/>
      <c r="J62" s="84"/>
      <c r="K62" s="84"/>
      <c r="L62" s="140" t="str">
        <f>IFERROR(ROUND(AVERAGE(M62:T62),1),"")</f>
        <v/>
      </c>
      <c r="M62" s="141"/>
      <c r="N62" s="141"/>
      <c r="O62" s="141"/>
      <c r="P62" s="141"/>
      <c r="Q62" s="86"/>
      <c r="R62" s="86"/>
      <c r="S62" s="86"/>
      <c r="T62" s="86"/>
      <c r="U62" s="142" t="str">
        <f>IFERROR(ROUND(AVERAGE(V62:AC62),1),"")</f>
        <v/>
      </c>
      <c r="V62" s="88"/>
      <c r="W62" s="88"/>
      <c r="X62" s="88"/>
      <c r="Y62" s="88"/>
      <c r="Z62" s="88"/>
      <c r="AA62" s="88"/>
      <c r="AB62" s="88"/>
      <c r="AC62" s="88"/>
      <c r="AD62" s="142" t="str">
        <f>IFERROR(ROUND(AVERAGE(AE62:AL62),1),"")</f>
        <v/>
      </c>
      <c r="AE62" s="88"/>
      <c r="AF62" s="88"/>
      <c r="AG62" s="88"/>
      <c r="AH62" s="88"/>
      <c r="AI62" s="88"/>
      <c r="AJ62" s="88"/>
      <c r="AK62" s="88"/>
      <c r="AL62" s="88"/>
      <c r="AM62" s="143">
        <v>62.715918150411902</v>
      </c>
      <c r="AN62" s="88">
        <v>75.260000000000005</v>
      </c>
      <c r="AO62" s="89" t="s">
        <v>56</v>
      </c>
      <c r="AP62" s="90"/>
      <c r="AQ62" s="146" t="str">
        <f t="shared" si="16"/>
        <v/>
      </c>
      <c r="AR62" s="146" t="str">
        <f t="shared" si="17"/>
        <v/>
      </c>
      <c r="AS62" s="147">
        <v>0</v>
      </c>
      <c r="AT62" s="148" t="s">
        <v>56</v>
      </c>
      <c r="AU62" s="149" t="s">
        <v>56</v>
      </c>
      <c r="AV62" s="146" t="str">
        <f t="shared" si="18"/>
        <v/>
      </c>
      <c r="AW62" s="146" t="str">
        <f t="shared" si="19"/>
        <v/>
      </c>
      <c r="AX62" s="138" t="str">
        <f>IFERROR((1-((AV62*AR62)/(AW62*AQ62)))*100,"")</f>
        <v/>
      </c>
      <c r="AY62" s="95" t="s">
        <v>56</v>
      </c>
      <c r="AZ62" s="96">
        <v>59.8</v>
      </c>
      <c r="BA62" s="96"/>
      <c r="BB62" s="96">
        <v>100.5</v>
      </c>
      <c r="BC62" s="96"/>
      <c r="BD62" s="97">
        <v>75.260000000000005</v>
      </c>
      <c r="BE62" s="142">
        <f t="shared" si="20"/>
        <v>1840</v>
      </c>
      <c r="BF62" s="98">
        <v>91</v>
      </c>
      <c r="BG62" s="98">
        <v>0</v>
      </c>
      <c r="BH62" s="98">
        <v>1749</v>
      </c>
      <c r="BI62" s="98"/>
      <c r="BJ62" s="98"/>
      <c r="BK62" s="98"/>
      <c r="BL62" s="97"/>
    </row>
    <row r="63" spans="1:64" outlineLevel="5" x14ac:dyDescent="0.3">
      <c r="A63" s="152">
        <f t="shared" si="5"/>
        <v>2</v>
      </c>
      <c r="B63" s="153">
        <f t="shared" si="7"/>
        <v>43873</v>
      </c>
      <c r="C63" s="138">
        <f>IFERROR(ROUND(AVERAGE(D63:K63),1),"")</f>
        <v>39</v>
      </c>
      <c r="D63" s="84">
        <v>38</v>
      </c>
      <c r="E63" s="84">
        <v>40</v>
      </c>
      <c r="F63" s="84"/>
      <c r="G63" s="84"/>
      <c r="H63" s="84"/>
      <c r="I63" s="84"/>
      <c r="J63" s="84"/>
      <c r="K63" s="84"/>
      <c r="L63" s="140">
        <f>IFERROR(ROUND(AVERAGE(M63:T63),1),"")</f>
        <v>7.9</v>
      </c>
      <c r="M63" s="141">
        <v>7.91</v>
      </c>
      <c r="N63" s="141">
        <v>7.84</v>
      </c>
      <c r="O63" s="141"/>
      <c r="P63" s="141"/>
      <c r="Q63" s="86"/>
      <c r="R63" s="86"/>
      <c r="S63" s="86"/>
      <c r="T63" s="86"/>
      <c r="U63" s="142">
        <f>IFERROR(ROUND(AVERAGE(V63:AC63),1),"")</f>
        <v>1751.7</v>
      </c>
      <c r="V63" s="88">
        <v>1773.3</v>
      </c>
      <c r="W63" s="88">
        <v>1730</v>
      </c>
      <c r="X63" s="88"/>
      <c r="Y63" s="88"/>
      <c r="Z63" s="88"/>
      <c r="AA63" s="88"/>
      <c r="AB63" s="88"/>
      <c r="AC63" s="88"/>
      <c r="AD63" s="142" t="str">
        <f>IFERROR(ROUND(AVERAGE(AE63:AL63),1),"")</f>
        <v/>
      </c>
      <c r="AE63" s="88"/>
      <c r="AF63" s="88"/>
      <c r="AG63" s="88"/>
      <c r="AH63" s="88"/>
      <c r="AI63" s="88"/>
      <c r="AJ63" s="88"/>
      <c r="AK63" s="88"/>
      <c r="AL63" s="88"/>
      <c r="AM63" s="143">
        <v>64.942212438084752</v>
      </c>
      <c r="AN63" s="88">
        <v>72.680000000000007</v>
      </c>
      <c r="AO63" s="89"/>
      <c r="AP63" s="90"/>
      <c r="AQ63" s="146" t="str">
        <f t="shared" si="16"/>
        <v/>
      </c>
      <c r="AR63" s="146" t="str">
        <f t="shared" si="17"/>
        <v/>
      </c>
      <c r="AS63" s="147">
        <v>0</v>
      </c>
      <c r="AT63" s="148">
        <v>14.5</v>
      </c>
      <c r="AU63" s="149">
        <v>9.1999999999999993</v>
      </c>
      <c r="AV63" s="146">
        <f t="shared" si="18"/>
        <v>63.448275862068961</v>
      </c>
      <c r="AW63" s="146">
        <f t="shared" si="19"/>
        <v>36.551724137931039</v>
      </c>
      <c r="AX63" s="138" t="str">
        <f>IFERROR((1-((AV63*AR63)/(AW63*AQ63)))*100,"")</f>
        <v/>
      </c>
      <c r="AY63" s="95">
        <v>79.5</v>
      </c>
      <c r="AZ63" s="96">
        <v>56.86</v>
      </c>
      <c r="BA63" s="96"/>
      <c r="BB63" s="96">
        <v>96</v>
      </c>
      <c r="BC63" s="96"/>
      <c r="BD63" s="97">
        <v>72.680000000000007</v>
      </c>
      <c r="BE63" s="142">
        <f t="shared" si="20"/>
        <v>2998</v>
      </c>
      <c r="BF63" s="98">
        <v>0</v>
      </c>
      <c r="BG63" s="98">
        <v>0</v>
      </c>
      <c r="BH63" s="98">
        <v>2998</v>
      </c>
      <c r="BI63" s="98"/>
      <c r="BJ63" s="98"/>
      <c r="BK63" s="98"/>
      <c r="BL63" s="97"/>
    </row>
    <row r="64" spans="1:64" outlineLevel="5" x14ac:dyDescent="0.3">
      <c r="A64" s="152">
        <f t="shared" si="5"/>
        <v>2</v>
      </c>
      <c r="B64" s="153">
        <f t="shared" si="7"/>
        <v>43874</v>
      </c>
      <c r="C64" s="138">
        <f>IFERROR(ROUND(AVERAGE(D64:K64),1),"")</f>
        <v>38</v>
      </c>
      <c r="D64" s="84">
        <v>37</v>
      </c>
      <c r="E64" s="84">
        <v>39</v>
      </c>
      <c r="F64" s="84"/>
      <c r="G64" s="84"/>
      <c r="H64" s="84"/>
      <c r="I64" s="84"/>
      <c r="J64" s="84"/>
      <c r="K64" s="84"/>
      <c r="L64" s="140">
        <f>IFERROR(ROUND(AVERAGE(M64:T64),1),"")</f>
        <v>7.8</v>
      </c>
      <c r="M64" s="141">
        <v>7.89</v>
      </c>
      <c r="N64" s="141">
        <v>7.8</v>
      </c>
      <c r="O64" s="141"/>
      <c r="P64" s="141"/>
      <c r="Q64" s="86"/>
      <c r="R64" s="86"/>
      <c r="S64" s="86"/>
      <c r="T64" s="86"/>
      <c r="U64" s="142">
        <f>IFERROR(ROUND(AVERAGE(V64:AC64),1),"")</f>
        <v>1730</v>
      </c>
      <c r="V64" s="88">
        <v>1816.5</v>
      </c>
      <c r="W64" s="88">
        <v>1643.5</v>
      </c>
      <c r="X64" s="88"/>
      <c r="Y64" s="88"/>
      <c r="Z64" s="88"/>
      <c r="AA64" s="88"/>
      <c r="AB64" s="88"/>
      <c r="AC64" s="88"/>
      <c r="AD64" s="142" t="str">
        <f>IFERROR(ROUND(AVERAGE(AE64:AL64),1),"")</f>
        <v/>
      </c>
      <c r="AE64" s="88"/>
      <c r="AF64" s="88"/>
      <c r="AG64" s="88"/>
      <c r="AH64" s="88"/>
      <c r="AI64" s="88"/>
      <c r="AJ64" s="88"/>
      <c r="AK64" s="88"/>
      <c r="AL64" s="88"/>
      <c r="AM64" s="143">
        <v>71.223781499924556</v>
      </c>
      <c r="AN64" s="88">
        <v>66.27</v>
      </c>
      <c r="AO64" s="89"/>
      <c r="AP64" s="90"/>
      <c r="AQ64" s="146" t="str">
        <f t="shared" si="16"/>
        <v/>
      </c>
      <c r="AR64" s="146" t="str">
        <f t="shared" si="17"/>
        <v/>
      </c>
      <c r="AS64" s="147">
        <v>0</v>
      </c>
      <c r="AT64" s="148">
        <v>15.1</v>
      </c>
      <c r="AU64" s="149">
        <v>9.4499999999999993</v>
      </c>
      <c r="AV64" s="146">
        <f t="shared" si="18"/>
        <v>62.58278145695364</v>
      </c>
      <c r="AW64" s="146">
        <f t="shared" si="19"/>
        <v>37.41721854304636</v>
      </c>
      <c r="AX64" s="138" t="str">
        <f>IFERROR((1-((AV64*AR64)/(AW64*AQ64)))*100,"")</f>
        <v/>
      </c>
      <c r="AY64" s="95">
        <v>79.75</v>
      </c>
      <c r="AZ64" s="96">
        <v>49.42</v>
      </c>
      <c r="BA64" s="96"/>
      <c r="BB64" s="96">
        <v>164</v>
      </c>
      <c r="BC64" s="96"/>
      <c r="BD64" s="97">
        <v>66.27</v>
      </c>
      <c r="BE64" s="142">
        <f t="shared" si="20"/>
        <v>7135</v>
      </c>
      <c r="BF64" s="98">
        <v>50</v>
      </c>
      <c r="BG64" s="98">
        <v>0</v>
      </c>
      <c r="BH64" s="98">
        <v>7085</v>
      </c>
      <c r="BI64" s="98"/>
      <c r="BJ64" s="98"/>
      <c r="BK64" s="98"/>
      <c r="BL64" s="97"/>
    </row>
    <row r="65" spans="1:64" outlineLevel="5" x14ac:dyDescent="0.3">
      <c r="A65" s="152">
        <f t="shared" si="5"/>
        <v>2</v>
      </c>
      <c r="B65" s="153">
        <f t="shared" si="7"/>
        <v>43875</v>
      </c>
      <c r="C65" s="138">
        <f>IFERROR(ROUND(AVERAGE(D65:K65),1),"")</f>
        <v>38</v>
      </c>
      <c r="D65" s="84">
        <v>37</v>
      </c>
      <c r="E65" s="84">
        <v>39</v>
      </c>
      <c r="F65" s="84"/>
      <c r="G65" s="84"/>
      <c r="H65" s="84"/>
      <c r="I65" s="84"/>
      <c r="J65" s="84"/>
      <c r="K65" s="84"/>
      <c r="L65" s="140" t="str">
        <f>IFERROR(ROUND(AVERAGE(M65:T65),1),"")</f>
        <v/>
      </c>
      <c r="M65" s="141"/>
      <c r="N65" s="141"/>
      <c r="O65" s="141"/>
      <c r="P65" s="141"/>
      <c r="Q65" s="86"/>
      <c r="R65" s="86"/>
      <c r="S65" s="86"/>
      <c r="T65" s="86"/>
      <c r="U65" s="142" t="str">
        <f>IFERROR(ROUND(AVERAGE(V65:AC65),1),"")</f>
        <v/>
      </c>
      <c r="V65" s="88"/>
      <c r="W65" s="88"/>
      <c r="X65" s="88"/>
      <c r="Y65" s="88"/>
      <c r="Z65" s="88"/>
      <c r="AA65" s="88"/>
      <c r="AB65" s="88"/>
      <c r="AC65" s="88"/>
      <c r="AD65" s="142" t="str">
        <f>IFERROR(ROUND(AVERAGE(AE65:AL65),1),"")</f>
        <v/>
      </c>
      <c r="AE65" s="88"/>
      <c r="AF65" s="88"/>
      <c r="AG65" s="88"/>
      <c r="AH65" s="88"/>
      <c r="AI65" s="88"/>
      <c r="AJ65" s="88"/>
      <c r="AK65" s="88"/>
      <c r="AL65" s="88"/>
      <c r="AM65" s="143">
        <v>61.642941099647388</v>
      </c>
      <c r="AN65" s="88">
        <v>76.569999999999993</v>
      </c>
      <c r="AO65" s="89">
        <v>19.2</v>
      </c>
      <c r="AP65" s="90">
        <v>15.993599999999999</v>
      </c>
      <c r="AQ65" s="146">
        <f t="shared" si="16"/>
        <v>83.3</v>
      </c>
      <c r="AR65" s="146">
        <f t="shared" si="17"/>
        <v>16.700000000000003</v>
      </c>
      <c r="AS65" s="147">
        <v>0</v>
      </c>
      <c r="AT65" s="148" t="s">
        <v>56</v>
      </c>
      <c r="AU65" s="149" t="s">
        <v>56</v>
      </c>
      <c r="AV65" s="146" t="str">
        <f t="shared" si="18"/>
        <v/>
      </c>
      <c r="AW65" s="146" t="str">
        <f t="shared" si="19"/>
        <v/>
      </c>
      <c r="AX65" s="138" t="str">
        <f>IFERROR((1-((AV65*AR65)/(AW65*AQ65)))*100,"")</f>
        <v/>
      </c>
      <c r="AY65" s="95" t="s">
        <v>56</v>
      </c>
      <c r="AZ65" s="96">
        <v>65.094999999999999</v>
      </c>
      <c r="BA65" s="96"/>
      <c r="BB65" s="96">
        <v>84</v>
      </c>
      <c r="BC65" s="96"/>
      <c r="BD65" s="97">
        <v>76.569999999999993</v>
      </c>
      <c r="BE65" s="142">
        <f t="shared" si="20"/>
        <v>7298</v>
      </c>
      <c r="BF65" s="98">
        <v>41</v>
      </c>
      <c r="BG65" s="98">
        <v>0</v>
      </c>
      <c r="BH65" s="98">
        <v>7257</v>
      </c>
      <c r="BI65" s="98"/>
      <c r="BJ65" s="98"/>
      <c r="BK65" s="98"/>
      <c r="BL65" s="97"/>
    </row>
    <row r="66" spans="1:64" outlineLevel="5" x14ac:dyDescent="0.3">
      <c r="A66" s="152">
        <f t="shared" si="5"/>
        <v>2</v>
      </c>
      <c r="B66" s="153">
        <f t="shared" si="7"/>
        <v>43876</v>
      </c>
      <c r="C66" s="138">
        <f>IFERROR(ROUND(AVERAGE(D66:K66),1),"")</f>
        <v>37.5</v>
      </c>
      <c r="D66" s="84">
        <v>37</v>
      </c>
      <c r="E66" s="84">
        <v>38</v>
      </c>
      <c r="F66" s="84"/>
      <c r="G66" s="84"/>
      <c r="H66" s="84"/>
      <c r="I66" s="84"/>
      <c r="J66" s="84"/>
      <c r="K66" s="84"/>
      <c r="L66" s="140" t="str">
        <f>IFERROR(ROUND(AVERAGE(M66:T66),1),"")</f>
        <v/>
      </c>
      <c r="M66" s="141"/>
      <c r="N66" s="141"/>
      <c r="O66" s="141"/>
      <c r="P66" s="141"/>
      <c r="Q66" s="86"/>
      <c r="R66" s="86"/>
      <c r="S66" s="86"/>
      <c r="T66" s="86"/>
      <c r="U66" s="142" t="str">
        <f>IFERROR(ROUND(AVERAGE(V66:AC66),1),"")</f>
        <v/>
      </c>
      <c r="V66" s="88"/>
      <c r="W66" s="88"/>
      <c r="X66" s="88"/>
      <c r="Y66" s="88"/>
      <c r="Z66" s="88"/>
      <c r="AA66" s="88"/>
      <c r="AB66" s="88"/>
      <c r="AC66" s="88"/>
      <c r="AD66" s="142" t="str">
        <f>IFERROR(ROUND(AVERAGE(AE66:AL66),1),"")</f>
        <v/>
      </c>
      <c r="AE66" s="88"/>
      <c r="AF66" s="88"/>
      <c r="AG66" s="88"/>
      <c r="AH66" s="88"/>
      <c r="AI66" s="88"/>
      <c r="AJ66" s="88"/>
      <c r="AK66" s="88"/>
      <c r="AL66" s="88"/>
      <c r="AM66" s="143">
        <v>73.178294573643413</v>
      </c>
      <c r="AN66" s="88">
        <v>64.5</v>
      </c>
      <c r="AO66" s="89" t="s">
        <v>56</v>
      </c>
      <c r="AP66" s="90" t="s">
        <v>56</v>
      </c>
      <c r="AQ66" s="146" t="str">
        <f t="shared" si="16"/>
        <v/>
      </c>
      <c r="AR66" s="146" t="str">
        <f t="shared" si="17"/>
        <v/>
      </c>
      <c r="AS66" s="147">
        <v>0</v>
      </c>
      <c r="AT66" s="148" t="s">
        <v>56</v>
      </c>
      <c r="AU66" s="149" t="s">
        <v>56</v>
      </c>
      <c r="AV66" s="146" t="str">
        <f t="shared" si="18"/>
        <v/>
      </c>
      <c r="AW66" s="146" t="str">
        <f t="shared" si="19"/>
        <v/>
      </c>
      <c r="AX66" s="138" t="str">
        <f>IFERROR((1-((AV66*AR66)/(AW66*AQ66)))*100,"")</f>
        <v/>
      </c>
      <c r="AY66" s="95" t="s">
        <v>56</v>
      </c>
      <c r="AZ66" s="96">
        <v>61.625</v>
      </c>
      <c r="BA66" s="96"/>
      <c r="BB66" s="96">
        <v>104</v>
      </c>
      <c r="BC66" s="96"/>
      <c r="BD66" s="97">
        <v>64.5</v>
      </c>
      <c r="BE66" s="142">
        <f t="shared" si="20"/>
        <v>7405</v>
      </c>
      <c r="BF66" s="98">
        <v>157</v>
      </c>
      <c r="BG66" s="98">
        <v>0</v>
      </c>
      <c r="BH66" s="98">
        <v>7248</v>
      </c>
      <c r="BI66" s="98"/>
      <c r="BJ66" s="98"/>
      <c r="BK66" s="98"/>
      <c r="BL66" s="97"/>
    </row>
    <row r="67" spans="1:64" outlineLevel="5" x14ac:dyDescent="0.3">
      <c r="A67" s="152">
        <f t="shared" si="5"/>
        <v>2</v>
      </c>
      <c r="B67" s="153">
        <f t="shared" si="7"/>
        <v>43877</v>
      </c>
      <c r="C67" s="138">
        <f>IFERROR(ROUND(AVERAGE(D67:K67),1),"")</f>
        <v>39.5</v>
      </c>
      <c r="D67" s="84">
        <v>39</v>
      </c>
      <c r="E67" s="84">
        <v>40</v>
      </c>
      <c r="F67" s="84"/>
      <c r="G67" s="84"/>
      <c r="H67" s="84"/>
      <c r="I67" s="84"/>
      <c r="J67" s="84"/>
      <c r="K67" s="84"/>
      <c r="L67" s="140" t="str">
        <f>IFERROR(ROUND(AVERAGE(M67:T67),1),"")</f>
        <v/>
      </c>
      <c r="M67" s="141"/>
      <c r="N67" s="141"/>
      <c r="O67" s="141"/>
      <c r="P67" s="141"/>
      <c r="Q67" s="86"/>
      <c r="R67" s="86"/>
      <c r="S67" s="86"/>
      <c r="T67" s="86"/>
      <c r="U67" s="142" t="str">
        <f>IFERROR(ROUND(AVERAGE(V67:AC67),1),"")</f>
        <v/>
      </c>
      <c r="V67" s="88"/>
      <c r="W67" s="88"/>
      <c r="X67" s="88"/>
      <c r="Y67" s="88"/>
      <c r="Z67" s="88"/>
      <c r="AA67" s="88"/>
      <c r="AB67" s="88"/>
      <c r="AC67" s="88"/>
      <c r="AD67" s="142" t="str">
        <f>IFERROR(ROUND(AVERAGE(AE67:AL67),1),"")</f>
        <v/>
      </c>
      <c r="AE67" s="88"/>
      <c r="AF67" s="88"/>
      <c r="AG67" s="88"/>
      <c r="AH67" s="88"/>
      <c r="AI67" s="88"/>
      <c r="AJ67" s="88"/>
      <c r="AK67" s="88"/>
      <c r="AL67" s="88"/>
      <c r="AM67" s="143">
        <v>76.129032258064512</v>
      </c>
      <c r="AN67" s="88">
        <v>62</v>
      </c>
      <c r="AO67" s="89" t="s">
        <v>56</v>
      </c>
      <c r="AP67" s="90" t="s">
        <v>56</v>
      </c>
      <c r="AQ67" s="146" t="str">
        <f t="shared" si="16"/>
        <v/>
      </c>
      <c r="AR67" s="146" t="str">
        <f t="shared" si="17"/>
        <v/>
      </c>
      <c r="AS67" s="147">
        <v>0</v>
      </c>
      <c r="AT67" s="148" t="s">
        <v>56</v>
      </c>
      <c r="AU67" s="149" t="s">
        <v>56</v>
      </c>
      <c r="AV67" s="146" t="str">
        <f t="shared" si="18"/>
        <v/>
      </c>
      <c r="AW67" s="146" t="str">
        <f t="shared" si="19"/>
        <v/>
      </c>
      <c r="AX67" s="138" t="str">
        <f>IFERROR((1-((AV67*AR67)/(AW67*AQ67)))*100,"")</f>
        <v/>
      </c>
      <c r="AY67" s="95" t="s">
        <v>56</v>
      </c>
      <c r="AZ67" s="96">
        <v>64.900000000000006</v>
      </c>
      <c r="BA67" s="96"/>
      <c r="BB67" s="96">
        <v>55</v>
      </c>
      <c r="BC67" s="96"/>
      <c r="BD67" s="97">
        <v>62</v>
      </c>
      <c r="BE67" s="142">
        <f t="shared" si="20"/>
        <v>7144</v>
      </c>
      <c r="BF67" s="98">
        <v>60</v>
      </c>
      <c r="BG67" s="98">
        <v>0</v>
      </c>
      <c r="BH67" s="98">
        <v>7084</v>
      </c>
      <c r="BI67" s="98"/>
      <c r="BJ67" s="98"/>
      <c r="BK67" s="98"/>
      <c r="BL67" s="97"/>
    </row>
    <row r="68" spans="1:64" outlineLevel="5" x14ac:dyDescent="0.3">
      <c r="A68" s="152">
        <f t="shared" si="5"/>
        <v>2</v>
      </c>
      <c r="B68" s="153">
        <f t="shared" si="7"/>
        <v>43878</v>
      </c>
      <c r="C68" s="138">
        <f>IFERROR(ROUND(AVERAGE(D68:K68),1),"")</f>
        <v>37.5</v>
      </c>
      <c r="D68" s="84">
        <v>38</v>
      </c>
      <c r="E68" s="84">
        <v>37</v>
      </c>
      <c r="F68" s="84"/>
      <c r="G68" s="84"/>
      <c r="H68" s="84"/>
      <c r="I68" s="84"/>
      <c r="J68" s="84"/>
      <c r="K68" s="84"/>
      <c r="L68" s="140">
        <f>IFERROR(ROUND(AVERAGE(M68:T68),1),"")</f>
        <v>7.9</v>
      </c>
      <c r="M68" s="141">
        <v>7.99</v>
      </c>
      <c r="N68" s="141">
        <v>7.82</v>
      </c>
      <c r="O68" s="141"/>
      <c r="P68" s="141"/>
      <c r="Q68" s="86"/>
      <c r="R68" s="86"/>
      <c r="S68" s="86"/>
      <c r="T68" s="86"/>
      <c r="U68" s="142">
        <f>IFERROR(ROUND(AVERAGE(V68:AC68),1),"")</f>
        <v>1665.2</v>
      </c>
      <c r="V68" s="88">
        <v>1730</v>
      </c>
      <c r="W68" s="88">
        <v>1600.3</v>
      </c>
      <c r="X68" s="88"/>
      <c r="Y68" s="88"/>
      <c r="Z68" s="88"/>
      <c r="AA68" s="88"/>
      <c r="AB68" s="88"/>
      <c r="AC68" s="88"/>
      <c r="AD68" s="142" t="str">
        <f>IFERROR(ROUND(AVERAGE(AE68:AL68),1),"")</f>
        <v/>
      </c>
      <c r="AE68" s="88"/>
      <c r="AF68" s="88"/>
      <c r="AG68" s="88"/>
      <c r="AH68" s="88"/>
      <c r="AI68" s="88"/>
      <c r="AJ68" s="88"/>
      <c r="AK68" s="88"/>
      <c r="AL68" s="88"/>
      <c r="AM68" s="143">
        <v>53.599818305700659</v>
      </c>
      <c r="AN68" s="88">
        <v>88.06</v>
      </c>
      <c r="AO68" s="89" t="s">
        <v>56</v>
      </c>
      <c r="AP68" s="90" t="s">
        <v>56</v>
      </c>
      <c r="AQ68" s="146" t="str">
        <f t="shared" si="16"/>
        <v/>
      </c>
      <c r="AR68" s="146" t="str">
        <f t="shared" si="17"/>
        <v/>
      </c>
      <c r="AS68" s="147">
        <v>0</v>
      </c>
      <c r="AT68" s="148">
        <v>14.6</v>
      </c>
      <c r="AU68" s="149">
        <v>8.6999999999999993</v>
      </c>
      <c r="AV68" s="146">
        <f t="shared" si="18"/>
        <v>59.589041095890408</v>
      </c>
      <c r="AW68" s="146">
        <f t="shared" si="19"/>
        <v>40.410958904109592</v>
      </c>
      <c r="AX68" s="138" t="str">
        <f>IFERROR((1-((AV68*AR68)/(AW68*AQ68)))*100,"")</f>
        <v/>
      </c>
      <c r="AY68" s="95">
        <v>76.3</v>
      </c>
      <c r="AZ68" s="96">
        <v>58.32</v>
      </c>
      <c r="BA68" s="96"/>
      <c r="BB68" s="96">
        <v>121</v>
      </c>
      <c r="BC68" s="96"/>
      <c r="BD68" s="97">
        <v>88.06</v>
      </c>
      <c r="BE68" s="142">
        <f t="shared" si="20"/>
        <v>7233</v>
      </c>
      <c r="BF68" s="98">
        <v>53</v>
      </c>
      <c r="BG68" s="98">
        <v>0</v>
      </c>
      <c r="BH68" s="98">
        <v>7180</v>
      </c>
      <c r="BI68" s="98"/>
      <c r="BJ68" s="98"/>
      <c r="BK68" s="98"/>
      <c r="BL68" s="97"/>
    </row>
    <row r="69" spans="1:64" outlineLevel="5" x14ac:dyDescent="0.3">
      <c r="A69" s="152">
        <f t="shared" si="5"/>
        <v>2</v>
      </c>
      <c r="B69" s="153">
        <f t="shared" si="7"/>
        <v>43879</v>
      </c>
      <c r="C69" s="138">
        <f>IFERROR(ROUND(AVERAGE(D69:K69),1),"")</f>
        <v>38.5</v>
      </c>
      <c r="D69" s="84">
        <v>40</v>
      </c>
      <c r="E69" s="84">
        <v>37</v>
      </c>
      <c r="F69" s="84"/>
      <c r="G69" s="84"/>
      <c r="H69" s="84"/>
      <c r="I69" s="84"/>
      <c r="J69" s="84"/>
      <c r="K69" s="84"/>
      <c r="L69" s="140">
        <f>IFERROR(ROUND(AVERAGE(M69:T69),1),"")</f>
        <v>8</v>
      </c>
      <c r="M69" s="141">
        <v>8.0299999999999994</v>
      </c>
      <c r="N69" s="141">
        <v>7.92</v>
      </c>
      <c r="O69" s="141"/>
      <c r="P69" s="141"/>
      <c r="Q69" s="86"/>
      <c r="R69" s="86"/>
      <c r="S69" s="86"/>
      <c r="T69" s="86"/>
      <c r="U69" s="142">
        <f>IFERROR(ROUND(AVERAGE(V69:AC69),1),"")</f>
        <v>2205.8000000000002</v>
      </c>
      <c r="V69" s="88">
        <v>2249</v>
      </c>
      <c r="W69" s="88">
        <v>2162.5</v>
      </c>
      <c r="X69" s="88"/>
      <c r="Y69" s="88"/>
      <c r="Z69" s="88"/>
      <c r="AA69" s="88"/>
      <c r="AB69" s="88"/>
      <c r="AC69" s="88"/>
      <c r="AD69" s="142" t="str">
        <f>IFERROR(ROUND(AVERAGE(AE69:AL69),1),"")</f>
        <v/>
      </c>
      <c r="AE69" s="88"/>
      <c r="AF69" s="88"/>
      <c r="AG69" s="88"/>
      <c r="AH69" s="88"/>
      <c r="AI69" s="88"/>
      <c r="AJ69" s="88"/>
      <c r="AK69" s="88"/>
      <c r="AL69" s="88"/>
      <c r="AM69" s="143">
        <v>78.982597054886199</v>
      </c>
      <c r="AN69" s="88">
        <v>59.760000000000005</v>
      </c>
      <c r="AO69" s="89" t="s">
        <v>56</v>
      </c>
      <c r="AP69" s="90" t="s">
        <v>56</v>
      </c>
      <c r="AQ69" s="146" t="str">
        <f t="shared" si="16"/>
        <v/>
      </c>
      <c r="AR69" s="146" t="str">
        <f t="shared" si="17"/>
        <v/>
      </c>
      <c r="AS69" s="147">
        <v>0</v>
      </c>
      <c r="AT69" s="148">
        <v>16.399999999999999</v>
      </c>
      <c r="AU69" s="149">
        <v>11.45</v>
      </c>
      <c r="AV69" s="146">
        <f t="shared" si="18"/>
        <v>69.817073170731717</v>
      </c>
      <c r="AW69" s="146">
        <f t="shared" si="19"/>
        <v>30.182926829268283</v>
      </c>
      <c r="AX69" s="138" t="str">
        <f>IFERROR((1-((AV69*AR69)/(AW69*AQ69)))*100,"")</f>
        <v/>
      </c>
      <c r="AY69" s="95">
        <v>70.55</v>
      </c>
      <c r="AZ69" s="96">
        <v>59.435000000000002</v>
      </c>
      <c r="BA69" s="96"/>
      <c r="BB69" s="96">
        <v>95.5</v>
      </c>
      <c r="BC69" s="96"/>
      <c r="BD69" s="97">
        <v>59.760000000000005</v>
      </c>
      <c r="BE69" s="142">
        <f t="shared" si="20"/>
        <v>6134</v>
      </c>
      <c r="BF69" s="98">
        <v>105</v>
      </c>
      <c r="BG69" s="98">
        <v>0</v>
      </c>
      <c r="BH69" s="98">
        <v>6029</v>
      </c>
      <c r="BI69" s="98"/>
      <c r="BJ69" s="98"/>
      <c r="BK69" s="98"/>
      <c r="BL69" s="97"/>
    </row>
    <row r="70" spans="1:64" outlineLevel="5" x14ac:dyDescent="0.3">
      <c r="A70" s="152">
        <f t="shared" si="5"/>
        <v>2</v>
      </c>
      <c r="B70" s="153">
        <f t="shared" si="7"/>
        <v>43880</v>
      </c>
      <c r="C70" s="138">
        <f>IFERROR(ROUND(AVERAGE(D70:K70),1),"")</f>
        <v>38</v>
      </c>
      <c r="D70" s="84">
        <v>38</v>
      </c>
      <c r="E70" s="84">
        <v>38</v>
      </c>
      <c r="F70" s="84"/>
      <c r="G70" s="84"/>
      <c r="H70" s="84"/>
      <c r="I70" s="84"/>
      <c r="J70" s="84"/>
      <c r="K70" s="84"/>
      <c r="L70" s="140">
        <f>IFERROR(ROUND(AVERAGE(M70:T70),1),"")</f>
        <v>8</v>
      </c>
      <c r="M70" s="141">
        <v>8.01</v>
      </c>
      <c r="N70" s="141">
        <v>7.95</v>
      </c>
      <c r="O70" s="141"/>
      <c r="P70" s="141"/>
      <c r="Q70" s="86"/>
      <c r="R70" s="86"/>
      <c r="S70" s="86"/>
      <c r="T70" s="86"/>
      <c r="U70" s="142">
        <f>IFERROR(ROUND(AVERAGE(V70:AC70),1),"")</f>
        <v>2292.3000000000002</v>
      </c>
      <c r="V70" s="88">
        <v>2335.5</v>
      </c>
      <c r="W70" s="88">
        <v>2249</v>
      </c>
      <c r="X70" s="88"/>
      <c r="Y70" s="88"/>
      <c r="Z70" s="88"/>
      <c r="AA70" s="88"/>
      <c r="AB70" s="88"/>
      <c r="AC70" s="88"/>
      <c r="AD70" s="142" t="str">
        <f>IFERROR(ROUND(AVERAGE(AE70:AL70),1),"")</f>
        <v/>
      </c>
      <c r="AE70" s="88"/>
      <c r="AF70" s="88"/>
      <c r="AG70" s="88"/>
      <c r="AH70" s="88"/>
      <c r="AI70" s="88"/>
      <c r="AJ70" s="88"/>
      <c r="AK70" s="88"/>
      <c r="AL70" s="88"/>
      <c r="AM70" s="143">
        <v>51.505892623308597</v>
      </c>
      <c r="AN70" s="88">
        <v>91.64</v>
      </c>
      <c r="AO70" s="89"/>
      <c r="AP70" s="90"/>
      <c r="AQ70" s="146" t="str">
        <f t="shared" si="16"/>
        <v/>
      </c>
      <c r="AR70" s="146" t="str">
        <f t="shared" si="17"/>
        <v/>
      </c>
      <c r="AS70" s="147">
        <v>0</v>
      </c>
      <c r="AT70" s="148" t="s">
        <v>56</v>
      </c>
      <c r="AU70" s="149" t="s">
        <v>56</v>
      </c>
      <c r="AV70" s="146" t="str">
        <f t="shared" si="18"/>
        <v/>
      </c>
      <c r="AW70" s="146" t="str">
        <f t="shared" si="19"/>
        <v/>
      </c>
      <c r="AX70" s="138" t="str">
        <f>IFERROR((1-((AV70*AR70)/(AW70*AQ70)))*100,"")</f>
        <v/>
      </c>
      <c r="AY70" s="95">
        <v>53.9</v>
      </c>
      <c r="AZ70" s="96">
        <v>62.525000000000006</v>
      </c>
      <c r="BA70" s="96"/>
      <c r="BB70" s="96">
        <v>121</v>
      </c>
      <c r="BC70" s="96"/>
      <c r="BD70" s="97">
        <v>91.64</v>
      </c>
      <c r="BE70" s="142">
        <f t="shared" si="20"/>
        <v>5183</v>
      </c>
      <c r="BF70" s="98">
        <v>51</v>
      </c>
      <c r="BG70" s="98">
        <v>0</v>
      </c>
      <c r="BH70" s="98">
        <v>5132</v>
      </c>
      <c r="BI70" s="98"/>
      <c r="BJ70" s="98"/>
      <c r="BK70" s="98"/>
      <c r="BL70" s="97"/>
    </row>
    <row r="71" spans="1:64" outlineLevel="5" x14ac:dyDescent="0.3">
      <c r="A71" s="152">
        <f t="shared" si="5"/>
        <v>2</v>
      </c>
      <c r="B71" s="153">
        <f t="shared" si="7"/>
        <v>43881</v>
      </c>
      <c r="C71" s="138">
        <f>IFERROR(ROUND(AVERAGE(D71:K71),1),"")</f>
        <v>37</v>
      </c>
      <c r="D71" s="84">
        <v>37</v>
      </c>
      <c r="E71" s="84">
        <v>37</v>
      </c>
      <c r="F71" s="84"/>
      <c r="G71" s="84"/>
      <c r="H71" s="84"/>
      <c r="I71" s="84"/>
      <c r="J71" s="84"/>
      <c r="K71" s="84"/>
      <c r="L71" s="140" t="str">
        <f>IFERROR(ROUND(AVERAGE(M71:T71),1),"")</f>
        <v/>
      </c>
      <c r="M71" s="141"/>
      <c r="N71" s="141"/>
      <c r="O71" s="141"/>
      <c r="P71" s="141"/>
      <c r="Q71" s="86"/>
      <c r="R71" s="86"/>
      <c r="S71" s="86"/>
      <c r="T71" s="86"/>
      <c r="U71" s="142" t="str">
        <f>IFERROR(ROUND(AVERAGE(V71:AC71),1),"")</f>
        <v/>
      </c>
      <c r="V71" s="88"/>
      <c r="W71" s="88"/>
      <c r="X71" s="88"/>
      <c r="Y71" s="88"/>
      <c r="Z71" s="88"/>
      <c r="AA71" s="88"/>
      <c r="AB71" s="88"/>
      <c r="AC71" s="88"/>
      <c r="AD71" s="142" t="str">
        <f>IFERROR(ROUND(AVERAGE(AE71:AL71),1),"")</f>
        <v/>
      </c>
      <c r="AE71" s="88"/>
      <c r="AF71" s="88"/>
      <c r="AG71" s="88"/>
      <c r="AH71" s="88"/>
      <c r="AI71" s="88"/>
      <c r="AJ71" s="88"/>
      <c r="AK71" s="88"/>
      <c r="AL71" s="88"/>
      <c r="AM71" s="143">
        <v>70.785842831433712</v>
      </c>
      <c r="AN71" s="88">
        <v>66.680000000000007</v>
      </c>
      <c r="AO71" s="89"/>
      <c r="AP71" s="90"/>
      <c r="AQ71" s="146" t="str">
        <f t="shared" si="16"/>
        <v/>
      </c>
      <c r="AR71" s="146" t="str">
        <f t="shared" si="17"/>
        <v/>
      </c>
      <c r="AS71" s="147">
        <v>0</v>
      </c>
      <c r="AT71" s="148">
        <v>24.65</v>
      </c>
      <c r="AU71" s="149">
        <v>18.95</v>
      </c>
      <c r="AV71" s="146">
        <f t="shared" si="18"/>
        <v>76.876267748478696</v>
      </c>
      <c r="AW71" s="146">
        <f t="shared" si="19"/>
        <v>23.123732251521304</v>
      </c>
      <c r="AX71" s="138" t="str">
        <f>IFERROR((1-((AV71*AR71)/(AW71*AQ71)))*100,"")</f>
        <v/>
      </c>
      <c r="AY71" s="95" t="s">
        <v>56</v>
      </c>
      <c r="AZ71" s="96">
        <v>58.82</v>
      </c>
      <c r="BA71" s="96"/>
      <c r="BB71" s="96">
        <v>72.5</v>
      </c>
      <c r="BC71" s="96"/>
      <c r="BD71" s="97">
        <v>66.680000000000007</v>
      </c>
      <c r="BE71" s="142">
        <f t="shared" si="20"/>
        <v>6253</v>
      </c>
      <c r="BF71" s="98">
        <v>74</v>
      </c>
      <c r="BG71" s="98">
        <v>0</v>
      </c>
      <c r="BH71" s="98">
        <v>6179</v>
      </c>
      <c r="BI71" s="98"/>
      <c r="BJ71" s="98"/>
      <c r="BK71" s="98"/>
      <c r="BL71" s="97"/>
    </row>
    <row r="72" spans="1:64" outlineLevel="5" x14ac:dyDescent="0.3">
      <c r="A72" s="152">
        <f t="shared" si="5"/>
        <v>2</v>
      </c>
      <c r="B72" s="153">
        <f t="shared" si="7"/>
        <v>43882</v>
      </c>
      <c r="C72" s="138">
        <f>IFERROR(ROUND(AVERAGE(D72:K72),1),"")</f>
        <v>37.5</v>
      </c>
      <c r="D72" s="84">
        <v>38</v>
      </c>
      <c r="E72" s="84">
        <v>37</v>
      </c>
      <c r="F72" s="84"/>
      <c r="G72" s="84"/>
      <c r="H72" s="84"/>
      <c r="I72" s="84"/>
      <c r="J72" s="84"/>
      <c r="K72" s="84"/>
      <c r="L72" s="140" t="str">
        <f>IFERROR(ROUND(AVERAGE(M72:T72),1),"")</f>
        <v/>
      </c>
      <c r="M72" s="141"/>
      <c r="N72" s="141"/>
      <c r="O72" s="141"/>
      <c r="P72" s="141"/>
      <c r="Q72" s="86"/>
      <c r="R72" s="86"/>
      <c r="S72" s="86"/>
      <c r="T72" s="86"/>
      <c r="U72" s="142" t="str">
        <f>IFERROR(ROUND(AVERAGE(V72:AC72),1),"")</f>
        <v/>
      </c>
      <c r="V72" s="88"/>
      <c r="W72" s="88"/>
      <c r="X72" s="88"/>
      <c r="Y72" s="88"/>
      <c r="Z72" s="88"/>
      <c r="AA72" s="88"/>
      <c r="AB72" s="88"/>
      <c r="AC72" s="88"/>
      <c r="AD72" s="142" t="str">
        <f>IFERROR(ROUND(AVERAGE(AE72:AL72),1),"")</f>
        <v/>
      </c>
      <c r="AE72" s="88"/>
      <c r="AF72" s="88"/>
      <c r="AG72" s="88"/>
      <c r="AH72" s="88"/>
      <c r="AI72" s="88"/>
      <c r="AJ72" s="88"/>
      <c r="AK72" s="88"/>
      <c r="AL72" s="88"/>
      <c r="AM72" s="143">
        <v>79.46127946127946</v>
      </c>
      <c r="AN72" s="88">
        <v>59.4</v>
      </c>
      <c r="AO72" s="89">
        <v>22.1</v>
      </c>
      <c r="AP72" s="90">
        <v>19.6248</v>
      </c>
      <c r="AQ72" s="146">
        <f t="shared" si="16"/>
        <v>88.8</v>
      </c>
      <c r="AR72" s="146">
        <f t="shared" si="17"/>
        <v>11.200000000000003</v>
      </c>
      <c r="AS72" s="147">
        <v>0</v>
      </c>
      <c r="AT72" s="148" t="s">
        <v>56</v>
      </c>
      <c r="AU72" s="149" t="s">
        <v>56</v>
      </c>
      <c r="AV72" s="146" t="str">
        <f t="shared" si="18"/>
        <v/>
      </c>
      <c r="AW72" s="146" t="str">
        <f t="shared" si="19"/>
        <v/>
      </c>
      <c r="AX72" s="138" t="str">
        <f>IFERROR((1-((AV72*AR72)/(AW72*AQ72)))*100,"")</f>
        <v/>
      </c>
      <c r="AY72" s="95" t="s">
        <v>56</v>
      </c>
      <c r="AZ72" s="96">
        <v>61.58</v>
      </c>
      <c r="BA72" s="96"/>
      <c r="BB72" s="96">
        <v>95</v>
      </c>
      <c r="BC72" s="96"/>
      <c r="BD72" s="97">
        <v>59.4</v>
      </c>
      <c r="BE72" s="142">
        <f t="shared" si="20"/>
        <v>6485</v>
      </c>
      <c r="BF72" s="98">
        <v>181</v>
      </c>
      <c r="BG72" s="98">
        <v>0</v>
      </c>
      <c r="BH72" s="98">
        <v>6304</v>
      </c>
      <c r="BI72" s="98"/>
      <c r="BJ72" s="98"/>
      <c r="BK72" s="98"/>
      <c r="BL72" s="97"/>
    </row>
    <row r="73" spans="1:64" outlineLevel="5" x14ac:dyDescent="0.3">
      <c r="A73" s="152">
        <f t="shared" si="5"/>
        <v>2</v>
      </c>
      <c r="B73" s="153">
        <f t="shared" si="7"/>
        <v>43883</v>
      </c>
      <c r="C73" s="138">
        <f>IFERROR(ROUND(AVERAGE(D73:K73),1),"")</f>
        <v>36</v>
      </c>
      <c r="D73" s="84">
        <v>35</v>
      </c>
      <c r="E73" s="84">
        <v>37</v>
      </c>
      <c r="F73" s="84"/>
      <c r="G73" s="84"/>
      <c r="H73" s="84"/>
      <c r="I73" s="84"/>
      <c r="J73" s="84"/>
      <c r="K73" s="84"/>
      <c r="L73" s="140" t="str">
        <f>IFERROR(ROUND(AVERAGE(M73:T73),1),"")</f>
        <v/>
      </c>
      <c r="M73" s="141"/>
      <c r="N73" s="141"/>
      <c r="O73" s="141"/>
      <c r="P73" s="141"/>
      <c r="Q73" s="86"/>
      <c r="R73" s="86"/>
      <c r="S73" s="86"/>
      <c r="T73" s="86"/>
      <c r="U73" s="142" t="str">
        <f>IFERROR(ROUND(AVERAGE(V73:AC73),1),"")</f>
        <v/>
      </c>
      <c r="V73" s="88"/>
      <c r="W73" s="88"/>
      <c r="X73" s="88"/>
      <c r="Y73" s="88"/>
      <c r="Z73" s="88"/>
      <c r="AA73" s="88"/>
      <c r="AB73" s="88"/>
      <c r="AC73" s="88"/>
      <c r="AD73" s="142" t="str">
        <f>IFERROR(ROUND(AVERAGE(AE73:AL73),1),"")</f>
        <v/>
      </c>
      <c r="AE73" s="88"/>
      <c r="AF73" s="88"/>
      <c r="AG73" s="88"/>
      <c r="AH73" s="88"/>
      <c r="AI73" s="88"/>
      <c r="AJ73" s="88"/>
      <c r="AK73" s="88"/>
      <c r="AL73" s="88"/>
      <c r="AM73" s="143">
        <v>92.876820149547427</v>
      </c>
      <c r="AN73" s="88">
        <v>50.82</v>
      </c>
      <c r="AO73" s="89" t="s">
        <v>56</v>
      </c>
      <c r="AP73" s="90" t="s">
        <v>56</v>
      </c>
      <c r="AQ73" s="146" t="str">
        <f t="shared" si="16"/>
        <v/>
      </c>
      <c r="AR73" s="146" t="str">
        <f t="shared" si="17"/>
        <v/>
      </c>
      <c r="AS73" s="147">
        <v>0</v>
      </c>
      <c r="AT73" s="148" t="s">
        <v>56</v>
      </c>
      <c r="AU73" s="149" t="s">
        <v>56</v>
      </c>
      <c r="AV73" s="146" t="str">
        <f t="shared" si="18"/>
        <v/>
      </c>
      <c r="AW73" s="146" t="str">
        <f t="shared" si="19"/>
        <v/>
      </c>
      <c r="AX73" s="138" t="str">
        <f>IFERROR((1-((AV73*AR73)/(AW73*AQ73)))*100,"")</f>
        <v/>
      </c>
      <c r="AY73" s="95" t="s">
        <v>56</v>
      </c>
      <c r="AZ73" s="96">
        <v>62.64</v>
      </c>
      <c r="BA73" s="96"/>
      <c r="BB73" s="96">
        <v>88.5</v>
      </c>
      <c r="BC73" s="96"/>
      <c r="BD73" s="97">
        <v>50.82</v>
      </c>
      <c r="BE73" s="142">
        <f t="shared" si="20"/>
        <v>6342</v>
      </c>
      <c r="BF73" s="98">
        <v>140</v>
      </c>
      <c r="BG73" s="98">
        <v>0</v>
      </c>
      <c r="BH73" s="98">
        <v>6202</v>
      </c>
      <c r="BI73" s="98"/>
      <c r="BJ73" s="98"/>
      <c r="BK73" s="98"/>
      <c r="BL73" s="97"/>
    </row>
    <row r="74" spans="1:64" outlineLevel="5" x14ac:dyDescent="0.3">
      <c r="A74" s="152">
        <f t="shared" si="5"/>
        <v>2</v>
      </c>
      <c r="B74" s="153">
        <f t="shared" si="7"/>
        <v>43884</v>
      </c>
      <c r="C74" s="138">
        <f>IFERROR(ROUND(AVERAGE(D74:K74),1),"")</f>
        <v>31</v>
      </c>
      <c r="D74" s="84">
        <v>30</v>
      </c>
      <c r="E74" s="84">
        <v>32</v>
      </c>
      <c r="F74" s="84"/>
      <c r="G74" s="84"/>
      <c r="H74" s="84"/>
      <c r="I74" s="84"/>
      <c r="J74" s="84"/>
      <c r="K74" s="84"/>
      <c r="L74" s="140" t="str">
        <f>IFERROR(ROUND(AVERAGE(M74:T74),1),"")</f>
        <v/>
      </c>
      <c r="M74" s="141"/>
      <c r="N74" s="141"/>
      <c r="O74" s="141"/>
      <c r="P74" s="141"/>
      <c r="Q74" s="86"/>
      <c r="R74" s="86"/>
      <c r="S74" s="86"/>
      <c r="T74" s="86"/>
      <c r="U74" s="142" t="str">
        <f>IFERROR(ROUND(AVERAGE(V74:AC74),1),"")</f>
        <v/>
      </c>
      <c r="V74" s="88"/>
      <c r="W74" s="88"/>
      <c r="X74" s="88"/>
      <c r="Y74" s="88"/>
      <c r="Z74" s="88"/>
      <c r="AA74" s="88"/>
      <c r="AB74" s="88"/>
      <c r="AC74" s="88"/>
      <c r="AD74" s="142" t="str">
        <f>IFERROR(ROUND(AVERAGE(AE74:AL74),1),"")</f>
        <v/>
      </c>
      <c r="AE74" s="88"/>
      <c r="AF74" s="88"/>
      <c r="AG74" s="88"/>
      <c r="AH74" s="88"/>
      <c r="AI74" s="88"/>
      <c r="AJ74" s="88"/>
      <c r="AK74" s="88"/>
      <c r="AL74" s="88"/>
      <c r="AM74" s="143">
        <v>107.27272727272727</v>
      </c>
      <c r="AN74" s="88">
        <v>44</v>
      </c>
      <c r="AO74" s="89" t="s">
        <v>56</v>
      </c>
      <c r="AP74" s="90" t="s">
        <v>56</v>
      </c>
      <c r="AQ74" s="146" t="str">
        <f t="shared" si="16"/>
        <v/>
      </c>
      <c r="AR74" s="146" t="str">
        <f t="shared" si="17"/>
        <v/>
      </c>
      <c r="AS74" s="147">
        <v>0</v>
      </c>
      <c r="AT74" s="148" t="s">
        <v>56</v>
      </c>
      <c r="AU74" s="149" t="s">
        <v>56</v>
      </c>
      <c r="AV74" s="146" t="str">
        <f t="shared" si="18"/>
        <v/>
      </c>
      <c r="AW74" s="146" t="str">
        <f t="shared" si="19"/>
        <v/>
      </c>
      <c r="AX74" s="138" t="str">
        <f>IFERROR((1-((AV74*AR74)/(AW74*AQ74)))*100,"")</f>
        <v/>
      </c>
      <c r="AY74" s="95" t="s">
        <v>56</v>
      </c>
      <c r="AZ74" s="96">
        <v>59.854999999999997</v>
      </c>
      <c r="BA74" s="96"/>
      <c r="BB74" s="96">
        <v>134</v>
      </c>
      <c r="BC74" s="96"/>
      <c r="BD74" s="97">
        <v>44</v>
      </c>
      <c r="BE74" s="142">
        <f t="shared" si="20"/>
        <v>4792</v>
      </c>
      <c r="BF74" s="98">
        <v>63</v>
      </c>
      <c r="BG74" s="98">
        <v>0</v>
      </c>
      <c r="BH74" s="98">
        <v>4729</v>
      </c>
      <c r="BI74" s="98"/>
      <c r="BJ74" s="98"/>
      <c r="BK74" s="98"/>
      <c r="BL74" s="97"/>
    </row>
    <row r="75" spans="1:64" outlineLevel="5" x14ac:dyDescent="0.3">
      <c r="A75" s="152">
        <f t="shared" si="5"/>
        <v>2</v>
      </c>
      <c r="B75" s="153">
        <f t="shared" si="7"/>
        <v>43885</v>
      </c>
      <c r="C75" s="138">
        <f>IFERROR(ROUND(AVERAGE(D75:K75),1),"")</f>
        <v>40</v>
      </c>
      <c r="D75" s="84">
        <v>40</v>
      </c>
      <c r="E75" s="84">
        <v>40</v>
      </c>
      <c r="F75" s="84"/>
      <c r="G75" s="84"/>
      <c r="H75" s="84"/>
      <c r="I75" s="84"/>
      <c r="J75" s="84"/>
      <c r="K75" s="84"/>
      <c r="L75" s="140">
        <f>IFERROR(ROUND(AVERAGE(M75:T75),1),"")</f>
        <v>8</v>
      </c>
      <c r="M75" s="141">
        <v>7.99</v>
      </c>
      <c r="N75" s="141">
        <v>7.92</v>
      </c>
      <c r="O75" s="141"/>
      <c r="P75" s="141"/>
      <c r="Q75" s="86"/>
      <c r="R75" s="86"/>
      <c r="S75" s="86"/>
      <c r="T75" s="86"/>
      <c r="U75" s="142">
        <f>IFERROR(ROUND(AVERAGE(V75:AC75),1),"")</f>
        <v>1881.4</v>
      </c>
      <c r="V75" s="88">
        <v>1946.3</v>
      </c>
      <c r="W75" s="88">
        <v>1816.5</v>
      </c>
      <c r="X75" s="88"/>
      <c r="Y75" s="88"/>
      <c r="Z75" s="88"/>
      <c r="AA75" s="88"/>
      <c r="AB75" s="88"/>
      <c r="AC75" s="88"/>
      <c r="AD75" s="142" t="str">
        <f>IFERROR(ROUND(AVERAGE(AE75:AL75),1),"")</f>
        <v/>
      </c>
      <c r="AE75" s="88"/>
      <c r="AF75" s="88"/>
      <c r="AG75" s="88"/>
      <c r="AH75" s="88"/>
      <c r="AI75" s="88"/>
      <c r="AJ75" s="88"/>
      <c r="AK75" s="88"/>
      <c r="AL75" s="88"/>
      <c r="AM75" s="143">
        <v>52.097130242825614</v>
      </c>
      <c r="AN75" s="88">
        <v>90.6</v>
      </c>
      <c r="AO75" s="89" t="s">
        <v>56</v>
      </c>
      <c r="AP75" s="90" t="s">
        <v>56</v>
      </c>
      <c r="AQ75" s="146" t="str">
        <f t="shared" si="16"/>
        <v/>
      </c>
      <c r="AR75" s="146" t="str">
        <f t="shared" si="17"/>
        <v/>
      </c>
      <c r="AS75" s="147">
        <v>0</v>
      </c>
      <c r="AT75" s="148">
        <v>14.1</v>
      </c>
      <c r="AU75" s="149">
        <v>7.9499999999999993</v>
      </c>
      <c r="AV75" s="146">
        <f t="shared" si="18"/>
        <v>56.38297872340425</v>
      </c>
      <c r="AW75" s="146">
        <f t="shared" si="19"/>
        <v>43.61702127659575</v>
      </c>
      <c r="AX75" s="138" t="str">
        <f>IFERROR((1-((AV75*AR75)/(AW75*AQ75)))*100,"")</f>
        <v/>
      </c>
      <c r="AY75" s="95">
        <v>69.599999999999994</v>
      </c>
      <c r="AZ75" s="96">
        <v>59.480000000000004</v>
      </c>
      <c r="BA75" s="96"/>
      <c r="BB75" s="96">
        <v>125</v>
      </c>
      <c r="BC75" s="96"/>
      <c r="BD75" s="97">
        <v>90.6</v>
      </c>
      <c r="BE75" s="142">
        <f t="shared" si="20"/>
        <v>5168</v>
      </c>
      <c r="BF75" s="98">
        <v>73</v>
      </c>
      <c r="BG75" s="98">
        <v>0</v>
      </c>
      <c r="BH75" s="98">
        <v>5095</v>
      </c>
      <c r="BI75" s="98"/>
      <c r="BJ75" s="98"/>
      <c r="BK75" s="98"/>
      <c r="BL75" s="97"/>
    </row>
    <row r="76" spans="1:64" outlineLevel="5" x14ac:dyDescent="0.3">
      <c r="A76" s="152">
        <f t="shared" si="5"/>
        <v>2</v>
      </c>
      <c r="B76" s="153">
        <f t="shared" si="7"/>
        <v>43886</v>
      </c>
      <c r="C76" s="138">
        <f>IFERROR(ROUND(AVERAGE(D76:K76),1),"")</f>
        <v>39</v>
      </c>
      <c r="D76" s="84">
        <v>39</v>
      </c>
      <c r="E76" s="84">
        <v>39</v>
      </c>
      <c r="F76" s="84"/>
      <c r="G76" s="84"/>
      <c r="H76" s="84"/>
      <c r="I76" s="84"/>
      <c r="J76" s="84"/>
      <c r="K76" s="84"/>
      <c r="L76" s="140" t="str">
        <f>IFERROR(ROUND(AVERAGE(M76:T76),1),"")</f>
        <v/>
      </c>
      <c r="M76" s="141"/>
      <c r="N76" s="141"/>
      <c r="O76" s="141"/>
      <c r="P76" s="141"/>
      <c r="Q76" s="86"/>
      <c r="R76" s="86"/>
      <c r="S76" s="86"/>
      <c r="T76" s="86"/>
      <c r="U76" s="142" t="str">
        <f>IFERROR(ROUND(AVERAGE(V76:AC76),1),"")</f>
        <v/>
      </c>
      <c r="V76" s="88"/>
      <c r="W76" s="88"/>
      <c r="X76" s="88"/>
      <c r="Y76" s="88"/>
      <c r="Z76" s="88"/>
      <c r="AA76" s="88"/>
      <c r="AB76" s="88"/>
      <c r="AC76" s="88"/>
      <c r="AD76" s="142" t="str">
        <f>IFERROR(ROUND(AVERAGE(AE76:AL76),1),"")</f>
        <v/>
      </c>
      <c r="AE76" s="88"/>
      <c r="AF76" s="88"/>
      <c r="AG76" s="88"/>
      <c r="AH76" s="88"/>
      <c r="AI76" s="88"/>
      <c r="AJ76" s="88"/>
      <c r="AK76" s="88"/>
      <c r="AL76" s="88"/>
      <c r="AM76" s="143">
        <v>54.134648468861108</v>
      </c>
      <c r="AN76" s="88">
        <v>87.19</v>
      </c>
      <c r="AO76" s="89" t="s">
        <v>56</v>
      </c>
      <c r="AP76" s="90" t="s">
        <v>56</v>
      </c>
      <c r="AQ76" s="146" t="str">
        <f t="shared" si="16"/>
        <v/>
      </c>
      <c r="AR76" s="146" t="str">
        <f t="shared" si="17"/>
        <v/>
      </c>
      <c r="AS76" s="147">
        <v>0</v>
      </c>
      <c r="AT76" s="148" t="s">
        <v>56</v>
      </c>
      <c r="AU76" s="149" t="s">
        <v>56</v>
      </c>
      <c r="AV76" s="146" t="str">
        <f t="shared" si="18"/>
        <v/>
      </c>
      <c r="AW76" s="146" t="str">
        <f t="shared" si="19"/>
        <v/>
      </c>
      <c r="AX76" s="138" t="str">
        <f>IFERROR((1-((AV76*AR76)/(AW76*AQ76)))*100,"")</f>
        <v/>
      </c>
      <c r="AY76" s="95" t="s">
        <v>56</v>
      </c>
      <c r="AZ76" s="96">
        <v>57.95</v>
      </c>
      <c r="BA76" s="96"/>
      <c r="BB76" s="96">
        <v>114</v>
      </c>
      <c r="BC76" s="96"/>
      <c r="BD76" s="97">
        <v>87.19</v>
      </c>
      <c r="BE76" s="142">
        <f t="shared" si="20"/>
        <v>4895</v>
      </c>
      <c r="BF76" s="98">
        <v>0</v>
      </c>
      <c r="BG76" s="98">
        <v>0</v>
      </c>
      <c r="BH76" s="98">
        <v>4895</v>
      </c>
      <c r="BI76" s="98"/>
      <c r="BJ76" s="98"/>
      <c r="BK76" s="98"/>
      <c r="BL76" s="97"/>
    </row>
    <row r="77" spans="1:64" outlineLevel="5" x14ac:dyDescent="0.3">
      <c r="A77" s="152">
        <f t="shared" si="5"/>
        <v>2</v>
      </c>
      <c r="B77" s="153">
        <f t="shared" si="7"/>
        <v>43887</v>
      </c>
      <c r="C77" s="138">
        <f>IFERROR(ROUND(AVERAGE(D77:K77),1),"")</f>
        <v>40</v>
      </c>
      <c r="D77" s="84">
        <v>40</v>
      </c>
      <c r="E77" s="84">
        <v>40</v>
      </c>
      <c r="F77" s="84"/>
      <c r="G77" s="84"/>
      <c r="H77" s="84"/>
      <c r="I77" s="84"/>
      <c r="J77" s="84"/>
      <c r="K77" s="84"/>
      <c r="L77" s="140">
        <f>IFERROR(ROUND(AVERAGE(M77:T77),1),"")</f>
        <v>8</v>
      </c>
      <c r="M77" s="141">
        <v>8.02</v>
      </c>
      <c r="N77" s="141">
        <v>7.92</v>
      </c>
      <c r="O77" s="141"/>
      <c r="P77" s="141"/>
      <c r="Q77" s="86"/>
      <c r="R77" s="86"/>
      <c r="S77" s="86"/>
      <c r="T77" s="86"/>
      <c r="U77" s="142">
        <f>IFERROR(ROUND(AVERAGE(V77:AC77),1),"")</f>
        <v>1946.3</v>
      </c>
      <c r="V77" s="88">
        <v>2032.8</v>
      </c>
      <c r="W77" s="88">
        <v>1859.8</v>
      </c>
      <c r="X77" s="88"/>
      <c r="Y77" s="88"/>
      <c r="Z77" s="88"/>
      <c r="AA77" s="88"/>
      <c r="AB77" s="88"/>
      <c r="AC77" s="88"/>
      <c r="AD77" s="142" t="str">
        <f>IFERROR(ROUND(AVERAGE(AE77:AL77),1),"")</f>
        <v/>
      </c>
      <c r="AE77" s="88"/>
      <c r="AF77" s="88"/>
      <c r="AG77" s="88"/>
      <c r="AH77" s="88"/>
      <c r="AI77" s="88"/>
      <c r="AJ77" s="88"/>
      <c r="AK77" s="88"/>
      <c r="AL77" s="88"/>
      <c r="AM77" s="143">
        <v>57.942548490056467</v>
      </c>
      <c r="AN77" s="88">
        <v>81.460000000000008</v>
      </c>
      <c r="AO77" s="89"/>
      <c r="AP77" s="90"/>
      <c r="AQ77" s="146" t="str">
        <f t="shared" si="16"/>
        <v/>
      </c>
      <c r="AR77" s="146" t="str">
        <f t="shared" si="17"/>
        <v/>
      </c>
      <c r="AS77" s="147">
        <v>0</v>
      </c>
      <c r="AT77" s="148">
        <v>14.05</v>
      </c>
      <c r="AU77" s="149">
        <v>8.35</v>
      </c>
      <c r="AV77" s="146">
        <f t="shared" si="18"/>
        <v>59.430604982206404</v>
      </c>
      <c r="AW77" s="146">
        <f t="shared" si="19"/>
        <v>40.569395017793596</v>
      </c>
      <c r="AX77" s="138" t="str">
        <f>IFERROR((1-((AV77*AR77)/(AW77*AQ77)))*100,"")</f>
        <v/>
      </c>
      <c r="AY77" s="95">
        <v>70.5</v>
      </c>
      <c r="AZ77" s="96">
        <v>59.094999999999999</v>
      </c>
      <c r="BA77" s="96"/>
      <c r="BB77" s="96">
        <v>89</v>
      </c>
      <c r="BC77" s="96"/>
      <c r="BD77" s="97">
        <v>81.460000000000008</v>
      </c>
      <c r="BE77" s="142">
        <f t="shared" si="20"/>
        <v>6243</v>
      </c>
      <c r="BF77" s="98">
        <v>0</v>
      </c>
      <c r="BG77" s="98">
        <v>0</v>
      </c>
      <c r="BH77" s="98">
        <v>6243</v>
      </c>
      <c r="BI77" s="98"/>
      <c r="BJ77" s="98"/>
      <c r="BK77" s="98"/>
      <c r="BL77" s="97"/>
    </row>
    <row r="78" spans="1:64" outlineLevel="5" x14ac:dyDescent="0.3">
      <c r="A78" s="152">
        <f t="shared" si="5"/>
        <v>2</v>
      </c>
      <c r="B78" s="153">
        <f t="shared" si="7"/>
        <v>43888</v>
      </c>
      <c r="C78" s="138">
        <f>IFERROR(ROUND(AVERAGE(D78:K78),1),"")</f>
        <v>39</v>
      </c>
      <c r="D78" s="84">
        <v>39</v>
      </c>
      <c r="E78" s="84">
        <v>39</v>
      </c>
      <c r="F78" s="84"/>
      <c r="G78" s="84"/>
      <c r="H78" s="84"/>
      <c r="I78" s="84"/>
      <c r="J78" s="84"/>
      <c r="K78" s="84"/>
      <c r="L78" s="140">
        <f>IFERROR(ROUND(AVERAGE(M78:T78),1),"")</f>
        <v>8</v>
      </c>
      <c r="M78" s="141">
        <v>8.0500000000000007</v>
      </c>
      <c r="N78" s="141">
        <v>7.94</v>
      </c>
      <c r="O78" s="141"/>
      <c r="P78" s="141"/>
      <c r="Q78" s="86"/>
      <c r="R78" s="86"/>
      <c r="S78" s="86"/>
      <c r="T78" s="86"/>
      <c r="U78" s="142">
        <f>IFERROR(ROUND(AVERAGE(V78:AC78),1),"")</f>
        <v>2011.2</v>
      </c>
      <c r="V78" s="88">
        <v>2162.5</v>
      </c>
      <c r="W78" s="88">
        <v>1859.8</v>
      </c>
      <c r="X78" s="88"/>
      <c r="Y78" s="88"/>
      <c r="Z78" s="88"/>
      <c r="AA78" s="88"/>
      <c r="AB78" s="88"/>
      <c r="AC78" s="88"/>
      <c r="AD78" s="142" t="str">
        <f>IFERROR(ROUND(AVERAGE(AE78:AL78),1),"")</f>
        <v/>
      </c>
      <c r="AE78" s="88"/>
      <c r="AF78" s="88"/>
      <c r="AG78" s="88"/>
      <c r="AH78" s="88"/>
      <c r="AI78" s="88"/>
      <c r="AJ78" s="88"/>
      <c r="AK78" s="88"/>
      <c r="AL78" s="88"/>
      <c r="AM78" s="143">
        <v>71.256038647343004</v>
      </c>
      <c r="AN78" s="88">
        <v>66.239999999999995</v>
      </c>
      <c r="AO78" s="89"/>
      <c r="AP78" s="90"/>
      <c r="AQ78" s="146" t="str">
        <f t="shared" si="16"/>
        <v/>
      </c>
      <c r="AR78" s="146" t="str">
        <f t="shared" si="17"/>
        <v/>
      </c>
      <c r="AS78" s="147">
        <v>0</v>
      </c>
      <c r="AT78" s="148">
        <v>14.05</v>
      </c>
      <c r="AU78" s="149">
        <v>8.1</v>
      </c>
      <c r="AV78" s="146">
        <f t="shared" si="18"/>
        <v>57.651245551601413</v>
      </c>
      <c r="AW78" s="146">
        <f t="shared" si="19"/>
        <v>42.348754448398587</v>
      </c>
      <c r="AX78" s="138" t="str">
        <f>IFERROR((1-((AV78*AR78)/(AW78*AQ78)))*100,"")</f>
        <v/>
      </c>
      <c r="AY78" s="95">
        <v>76.75</v>
      </c>
      <c r="AZ78" s="96">
        <v>60.295000000000002</v>
      </c>
      <c r="BA78" s="96"/>
      <c r="BB78" s="96">
        <v>86</v>
      </c>
      <c r="BC78" s="96"/>
      <c r="BD78" s="97">
        <v>66.239999999999995</v>
      </c>
      <c r="BE78" s="142">
        <f t="shared" si="20"/>
        <v>6705</v>
      </c>
      <c r="BF78" s="98">
        <v>44</v>
      </c>
      <c r="BG78" s="98">
        <v>0</v>
      </c>
      <c r="BH78" s="98">
        <v>6661</v>
      </c>
      <c r="BI78" s="98"/>
      <c r="BJ78" s="98"/>
      <c r="BK78" s="98"/>
      <c r="BL78" s="97"/>
    </row>
    <row r="79" spans="1:64" outlineLevel="5" x14ac:dyDescent="0.3">
      <c r="A79" s="152">
        <f t="shared" si="5"/>
        <v>2</v>
      </c>
      <c r="B79" s="166">
        <f t="shared" si="7"/>
        <v>43889</v>
      </c>
      <c r="C79" s="138">
        <f>IFERROR(ROUND(AVERAGE(D79:K79),1),"")</f>
        <v>38.5</v>
      </c>
      <c r="D79" s="84">
        <v>39</v>
      </c>
      <c r="E79" s="84">
        <v>38</v>
      </c>
      <c r="F79" s="84"/>
      <c r="G79" s="84"/>
      <c r="H79" s="84"/>
      <c r="I79" s="84"/>
      <c r="J79" s="84"/>
      <c r="K79" s="84"/>
      <c r="L79" s="140" t="str">
        <f>IFERROR(ROUND(AVERAGE(M79:T79),1),"")</f>
        <v/>
      </c>
      <c r="M79" s="141"/>
      <c r="N79" s="141"/>
      <c r="O79" s="141"/>
      <c r="P79" s="141"/>
      <c r="Q79" s="86"/>
      <c r="R79" s="86"/>
      <c r="S79" s="86"/>
      <c r="T79" s="86"/>
      <c r="U79" s="142" t="str">
        <f>IFERROR(ROUND(AVERAGE(V79:AC79),1),"")</f>
        <v/>
      </c>
      <c r="V79" s="88"/>
      <c r="W79" s="88"/>
      <c r="X79" s="88"/>
      <c r="Y79" s="88"/>
      <c r="Z79" s="88"/>
      <c r="AA79" s="88"/>
      <c r="AB79" s="88"/>
      <c r="AC79" s="88"/>
      <c r="AD79" s="142" t="str">
        <f>IFERROR(ROUND(AVERAGE(AE79:AL79),1),"")</f>
        <v/>
      </c>
      <c r="AE79" s="88"/>
      <c r="AF79" s="88"/>
      <c r="AG79" s="88"/>
      <c r="AH79" s="88"/>
      <c r="AI79" s="88"/>
      <c r="AJ79" s="88"/>
      <c r="AK79" s="88"/>
      <c r="AL79" s="88"/>
      <c r="AM79" s="143">
        <v>67.255628384155017</v>
      </c>
      <c r="AN79" s="88">
        <v>70.180000000000007</v>
      </c>
      <c r="AO79" s="89"/>
      <c r="AP79" s="90"/>
      <c r="AQ79" s="146" t="str">
        <f t="shared" si="16"/>
        <v/>
      </c>
      <c r="AR79" s="146" t="str">
        <f t="shared" si="17"/>
        <v/>
      </c>
      <c r="AS79" s="147">
        <v>0</v>
      </c>
      <c r="AT79" s="148" t="s">
        <v>56</v>
      </c>
      <c r="AU79" s="149" t="s">
        <v>56</v>
      </c>
      <c r="AV79" s="146" t="str">
        <f t="shared" si="18"/>
        <v/>
      </c>
      <c r="AW79" s="146" t="str">
        <f t="shared" si="19"/>
        <v/>
      </c>
      <c r="AX79" s="138" t="str">
        <f>IFERROR((1-((AV79*AR79)/(AW79*AQ79)))*100,"")</f>
        <v/>
      </c>
      <c r="AY79" s="95" t="s">
        <v>56</v>
      </c>
      <c r="AZ79" s="96">
        <v>60.555</v>
      </c>
      <c r="BA79" s="96"/>
      <c r="BB79" s="96">
        <v>74.5</v>
      </c>
      <c r="BC79" s="96"/>
      <c r="BD79" s="97">
        <v>70.180000000000007</v>
      </c>
      <c r="BE79" s="142">
        <f t="shared" si="20"/>
        <v>5612</v>
      </c>
      <c r="BF79" s="98">
        <v>0</v>
      </c>
      <c r="BG79" s="98">
        <v>0</v>
      </c>
      <c r="BH79" s="98">
        <v>5612</v>
      </c>
      <c r="BI79" s="98"/>
      <c r="BJ79" s="98"/>
      <c r="BK79" s="98"/>
      <c r="BL79" s="97"/>
    </row>
    <row r="80" spans="1:64" ht="17.25" outlineLevel="5" thickBot="1" x14ac:dyDescent="0.35">
      <c r="A80" s="167">
        <f t="shared" si="5"/>
        <v>2</v>
      </c>
      <c r="B80" s="166">
        <f t="shared" si="7"/>
        <v>43890</v>
      </c>
      <c r="C80" s="138">
        <f>IFERROR(ROUND(AVERAGE(D80:K80),1),"")</f>
        <v>38</v>
      </c>
      <c r="D80" s="84">
        <v>38</v>
      </c>
      <c r="E80" s="84">
        <v>38</v>
      </c>
      <c r="F80" s="84"/>
      <c r="G80" s="84"/>
      <c r="H80" s="84"/>
      <c r="I80" s="84"/>
      <c r="J80" s="84"/>
      <c r="K80" s="84"/>
      <c r="L80" s="140" t="str">
        <f>IFERROR(ROUND(AVERAGE(M80:T80),1),"")</f>
        <v/>
      </c>
      <c r="M80" s="86"/>
      <c r="N80" s="86"/>
      <c r="O80" s="86"/>
      <c r="P80" s="86"/>
      <c r="Q80" s="86"/>
      <c r="R80" s="86"/>
      <c r="S80" s="86"/>
      <c r="T80" s="86"/>
      <c r="U80" s="142" t="str">
        <f>IFERROR(ROUND(AVERAGE(V80:AC80),1),"")</f>
        <v/>
      </c>
      <c r="V80" s="88"/>
      <c r="W80" s="88"/>
      <c r="X80" s="88"/>
      <c r="Y80" s="88"/>
      <c r="Z80" s="88"/>
      <c r="AA80" s="88"/>
      <c r="AB80" s="88"/>
      <c r="AC80" s="88"/>
      <c r="AD80" s="142" t="str">
        <f>IFERROR(ROUND(AVERAGE(AE80:AL80),1),"")</f>
        <v/>
      </c>
      <c r="AE80" s="88"/>
      <c r="AF80" s="88"/>
      <c r="AG80" s="88"/>
      <c r="AH80" s="88"/>
      <c r="AI80" s="88"/>
      <c r="AJ80" s="88"/>
      <c r="AK80" s="88"/>
      <c r="AL80" s="88"/>
      <c r="AM80" s="88">
        <v>61.35447809697127</v>
      </c>
      <c r="AN80" s="88">
        <v>76.930000000000007</v>
      </c>
      <c r="AO80" s="89">
        <v>20.9</v>
      </c>
      <c r="AP80" s="90">
        <v>18.015799999999999</v>
      </c>
      <c r="AQ80" s="146">
        <f t="shared" si="16"/>
        <v>86.2</v>
      </c>
      <c r="AR80" s="146">
        <f t="shared" si="17"/>
        <v>13.799999999999997</v>
      </c>
      <c r="AS80" s="147">
        <v>0</v>
      </c>
      <c r="AT80" s="148" t="s">
        <v>56</v>
      </c>
      <c r="AU80" s="149" t="s">
        <v>56</v>
      </c>
      <c r="AV80" s="146" t="str">
        <f t="shared" si="18"/>
        <v/>
      </c>
      <c r="AW80" s="146" t="str">
        <f t="shared" si="19"/>
        <v/>
      </c>
      <c r="AX80" s="138" t="str">
        <f>IFERROR((1-((AV80*AR80)/(AW80*AQ80)))*100,"")</f>
        <v/>
      </c>
      <c r="AY80" s="95" t="s">
        <v>56</v>
      </c>
      <c r="AZ80" s="96">
        <v>60.674999999999997</v>
      </c>
      <c r="BA80" s="96"/>
      <c r="BB80" s="96">
        <v>74.5</v>
      </c>
      <c r="BC80" s="96"/>
      <c r="BD80" s="97">
        <v>76.930000000000007</v>
      </c>
      <c r="BE80" s="142">
        <f t="shared" si="20"/>
        <v>15607</v>
      </c>
      <c r="BF80" s="98">
        <v>0</v>
      </c>
      <c r="BG80" s="98">
        <v>0</v>
      </c>
      <c r="BH80" s="98">
        <v>15607</v>
      </c>
      <c r="BI80" s="98"/>
      <c r="BJ80" s="98"/>
      <c r="BK80" s="98"/>
      <c r="BL80" s="97"/>
    </row>
    <row r="81" spans="1:64" outlineLevel="4" x14ac:dyDescent="0.3">
      <c r="A81" s="63" t="s">
        <v>61</v>
      </c>
      <c r="B81" s="64"/>
      <c r="C81" s="65">
        <f t="shared" ref="C81:BL81" si="21">SUBTOTAL(4,C52:C80)</f>
        <v>40</v>
      </c>
      <c r="D81" s="66">
        <f t="shared" si="21"/>
        <v>40</v>
      </c>
      <c r="E81" s="66">
        <f t="shared" si="21"/>
        <v>40</v>
      </c>
      <c r="F81" s="66">
        <f t="shared" si="21"/>
        <v>0</v>
      </c>
      <c r="G81" s="66">
        <f t="shared" si="21"/>
        <v>0</v>
      </c>
      <c r="H81" s="66">
        <f t="shared" si="21"/>
        <v>0</v>
      </c>
      <c r="I81" s="66">
        <f t="shared" si="21"/>
        <v>0</v>
      </c>
      <c r="J81" s="66">
        <f t="shared" si="21"/>
        <v>0</v>
      </c>
      <c r="K81" s="66">
        <f t="shared" si="21"/>
        <v>0</v>
      </c>
      <c r="L81" s="67">
        <f t="shared" si="21"/>
        <v>8</v>
      </c>
      <c r="M81" s="68">
        <f t="shared" si="21"/>
        <v>8.0500000000000007</v>
      </c>
      <c r="N81" s="68">
        <f t="shared" si="21"/>
        <v>7.95</v>
      </c>
      <c r="O81" s="68">
        <f t="shared" si="21"/>
        <v>0</v>
      </c>
      <c r="P81" s="68">
        <f t="shared" si="21"/>
        <v>0</v>
      </c>
      <c r="Q81" s="68">
        <f t="shared" si="21"/>
        <v>0</v>
      </c>
      <c r="R81" s="68">
        <f t="shared" si="21"/>
        <v>0</v>
      </c>
      <c r="S81" s="68">
        <f t="shared" si="21"/>
        <v>0</v>
      </c>
      <c r="T81" s="68">
        <f t="shared" si="21"/>
        <v>0</v>
      </c>
      <c r="U81" s="69">
        <f t="shared" si="21"/>
        <v>2292.3000000000002</v>
      </c>
      <c r="V81" s="70">
        <f t="shared" si="21"/>
        <v>2335.5</v>
      </c>
      <c r="W81" s="70">
        <f t="shared" si="21"/>
        <v>2249</v>
      </c>
      <c r="X81" s="70">
        <f t="shared" si="21"/>
        <v>0</v>
      </c>
      <c r="Y81" s="70">
        <f t="shared" si="21"/>
        <v>0</v>
      </c>
      <c r="Z81" s="70">
        <f t="shared" si="21"/>
        <v>0</v>
      </c>
      <c r="AA81" s="70">
        <f t="shared" si="21"/>
        <v>0</v>
      </c>
      <c r="AB81" s="70">
        <f t="shared" si="21"/>
        <v>0</v>
      </c>
      <c r="AC81" s="70">
        <f t="shared" si="21"/>
        <v>0</v>
      </c>
      <c r="AD81" s="69">
        <f t="shared" si="21"/>
        <v>0</v>
      </c>
      <c r="AE81" s="70">
        <f t="shared" si="21"/>
        <v>0</v>
      </c>
      <c r="AF81" s="70">
        <f t="shared" si="21"/>
        <v>0</v>
      </c>
      <c r="AG81" s="70">
        <f t="shared" si="21"/>
        <v>0</v>
      </c>
      <c r="AH81" s="70">
        <f t="shared" si="21"/>
        <v>0</v>
      </c>
      <c r="AI81" s="70">
        <f t="shared" si="21"/>
        <v>0</v>
      </c>
      <c r="AJ81" s="70">
        <f t="shared" si="21"/>
        <v>0</v>
      </c>
      <c r="AK81" s="70">
        <f t="shared" si="21"/>
        <v>0</v>
      </c>
      <c r="AL81" s="70">
        <f t="shared" si="21"/>
        <v>0</v>
      </c>
      <c r="AM81" s="70">
        <f t="shared" si="21"/>
        <v>107.27272727272727</v>
      </c>
      <c r="AN81" s="70">
        <f t="shared" si="21"/>
        <v>91.64</v>
      </c>
      <c r="AO81" s="71">
        <f t="shared" si="21"/>
        <v>22.1</v>
      </c>
      <c r="AP81" s="72">
        <f t="shared" si="21"/>
        <v>19.6248</v>
      </c>
      <c r="AQ81" s="73">
        <f t="shared" si="21"/>
        <v>88.8</v>
      </c>
      <c r="AR81" s="73">
        <f t="shared" si="21"/>
        <v>16.700000000000003</v>
      </c>
      <c r="AS81" s="74">
        <f t="shared" si="21"/>
        <v>10</v>
      </c>
      <c r="AT81" s="75">
        <f t="shared" si="21"/>
        <v>24.65</v>
      </c>
      <c r="AU81" s="76">
        <f t="shared" si="21"/>
        <v>18.95</v>
      </c>
      <c r="AV81" s="73">
        <f t="shared" si="21"/>
        <v>76.876267748478696</v>
      </c>
      <c r="AW81" s="73">
        <f t="shared" si="21"/>
        <v>43.61702127659575</v>
      </c>
      <c r="AX81" s="65">
        <f t="shared" si="21"/>
        <v>0</v>
      </c>
      <c r="AY81" s="77">
        <f t="shared" si="21"/>
        <v>79.75</v>
      </c>
      <c r="AZ81" s="78">
        <f t="shared" si="21"/>
        <v>65.094999999999999</v>
      </c>
      <c r="BA81" s="78">
        <f t="shared" si="21"/>
        <v>0</v>
      </c>
      <c r="BB81" s="78">
        <f t="shared" si="21"/>
        <v>164</v>
      </c>
      <c r="BC81" s="78">
        <f t="shared" si="21"/>
        <v>0</v>
      </c>
      <c r="BD81" s="79">
        <f t="shared" si="21"/>
        <v>91.64</v>
      </c>
      <c r="BE81" s="69">
        <f t="shared" si="21"/>
        <v>15607</v>
      </c>
      <c r="BF81" s="70">
        <f t="shared" si="21"/>
        <v>196</v>
      </c>
      <c r="BG81" s="80">
        <f t="shared" si="21"/>
        <v>4408</v>
      </c>
      <c r="BH81" s="80">
        <f t="shared" si="21"/>
        <v>15607</v>
      </c>
      <c r="BI81" s="80">
        <f t="shared" si="21"/>
        <v>0</v>
      </c>
      <c r="BJ81" s="80">
        <f t="shared" si="21"/>
        <v>0</v>
      </c>
      <c r="BK81" s="80">
        <f t="shared" si="21"/>
        <v>0</v>
      </c>
      <c r="BL81" s="79">
        <f t="shared" si="21"/>
        <v>0</v>
      </c>
    </row>
    <row r="82" spans="1:64" outlineLevel="3" x14ac:dyDescent="0.3">
      <c r="A82" s="81" t="s">
        <v>62</v>
      </c>
      <c r="B82" s="82"/>
      <c r="C82" s="83">
        <f t="shared" ref="C82:BL82" si="22">SUBTOTAL(5,C52:C80)</f>
        <v>31</v>
      </c>
      <c r="D82" s="84">
        <f t="shared" si="22"/>
        <v>30</v>
      </c>
      <c r="E82" s="84">
        <f t="shared" si="22"/>
        <v>32</v>
      </c>
      <c r="F82" s="84">
        <f t="shared" si="22"/>
        <v>0</v>
      </c>
      <c r="G82" s="84">
        <f t="shared" si="22"/>
        <v>0</v>
      </c>
      <c r="H82" s="84">
        <f t="shared" si="22"/>
        <v>0</v>
      </c>
      <c r="I82" s="84">
        <f t="shared" si="22"/>
        <v>0</v>
      </c>
      <c r="J82" s="84">
        <f t="shared" si="22"/>
        <v>0</v>
      </c>
      <c r="K82" s="84">
        <f t="shared" si="22"/>
        <v>0</v>
      </c>
      <c r="L82" s="85">
        <f t="shared" si="22"/>
        <v>7.8</v>
      </c>
      <c r="M82" s="86">
        <f t="shared" si="22"/>
        <v>7.85</v>
      </c>
      <c r="N82" s="86">
        <f t="shared" si="22"/>
        <v>7.8</v>
      </c>
      <c r="O82" s="86">
        <f t="shared" si="22"/>
        <v>0</v>
      </c>
      <c r="P82" s="86">
        <f t="shared" si="22"/>
        <v>0</v>
      </c>
      <c r="Q82" s="86">
        <f t="shared" si="22"/>
        <v>0</v>
      </c>
      <c r="R82" s="86">
        <f t="shared" si="22"/>
        <v>0</v>
      </c>
      <c r="S82" s="86">
        <f t="shared" si="22"/>
        <v>0</v>
      </c>
      <c r="T82" s="86">
        <f t="shared" si="22"/>
        <v>0</v>
      </c>
      <c r="U82" s="87">
        <f t="shared" si="22"/>
        <v>1643.5</v>
      </c>
      <c r="V82" s="88">
        <f t="shared" si="22"/>
        <v>1643.5</v>
      </c>
      <c r="W82" s="88">
        <f t="shared" si="22"/>
        <v>1557</v>
      </c>
      <c r="X82" s="88">
        <f t="shared" si="22"/>
        <v>0</v>
      </c>
      <c r="Y82" s="88">
        <f t="shared" si="22"/>
        <v>0</v>
      </c>
      <c r="Z82" s="88">
        <f t="shared" si="22"/>
        <v>0</v>
      </c>
      <c r="AA82" s="88">
        <f t="shared" si="22"/>
        <v>0</v>
      </c>
      <c r="AB82" s="88">
        <f t="shared" si="22"/>
        <v>0</v>
      </c>
      <c r="AC82" s="88">
        <f t="shared" si="22"/>
        <v>0</v>
      </c>
      <c r="AD82" s="87">
        <f t="shared" si="22"/>
        <v>0</v>
      </c>
      <c r="AE82" s="88">
        <f t="shared" si="22"/>
        <v>0</v>
      </c>
      <c r="AF82" s="88">
        <f t="shared" si="22"/>
        <v>0</v>
      </c>
      <c r="AG82" s="88">
        <f t="shared" si="22"/>
        <v>0</v>
      </c>
      <c r="AH82" s="88">
        <f t="shared" si="22"/>
        <v>0</v>
      </c>
      <c r="AI82" s="88">
        <f t="shared" si="22"/>
        <v>0</v>
      </c>
      <c r="AJ82" s="88">
        <f t="shared" si="22"/>
        <v>0</v>
      </c>
      <c r="AK82" s="88">
        <f t="shared" si="22"/>
        <v>0</v>
      </c>
      <c r="AL82" s="88">
        <f t="shared" si="22"/>
        <v>0</v>
      </c>
      <c r="AM82" s="88">
        <f t="shared" si="22"/>
        <v>51.505892623308597</v>
      </c>
      <c r="AN82" s="88">
        <f t="shared" si="22"/>
        <v>44</v>
      </c>
      <c r="AO82" s="89">
        <f t="shared" si="22"/>
        <v>19.2</v>
      </c>
      <c r="AP82" s="90">
        <f t="shared" si="22"/>
        <v>15.993599999999999</v>
      </c>
      <c r="AQ82" s="91">
        <f t="shared" si="22"/>
        <v>83.3</v>
      </c>
      <c r="AR82" s="91">
        <f t="shared" si="22"/>
        <v>11.200000000000003</v>
      </c>
      <c r="AS82" s="92">
        <f t="shared" si="22"/>
        <v>0</v>
      </c>
      <c r="AT82" s="93">
        <f t="shared" si="22"/>
        <v>13.5</v>
      </c>
      <c r="AU82" s="94">
        <f t="shared" si="22"/>
        <v>7.9499999999999993</v>
      </c>
      <c r="AV82" s="91">
        <f t="shared" si="22"/>
        <v>56.38297872340425</v>
      </c>
      <c r="AW82" s="91">
        <f t="shared" si="22"/>
        <v>23.123732251521304</v>
      </c>
      <c r="AX82" s="83">
        <f t="shared" si="22"/>
        <v>0</v>
      </c>
      <c r="AY82" s="95">
        <f t="shared" si="22"/>
        <v>53.9</v>
      </c>
      <c r="AZ82" s="96">
        <f t="shared" si="22"/>
        <v>49.42</v>
      </c>
      <c r="BA82" s="96">
        <f t="shared" si="22"/>
        <v>0</v>
      </c>
      <c r="BB82" s="96">
        <f t="shared" si="22"/>
        <v>55</v>
      </c>
      <c r="BC82" s="96">
        <f t="shared" si="22"/>
        <v>0</v>
      </c>
      <c r="BD82" s="97">
        <f t="shared" si="22"/>
        <v>44</v>
      </c>
      <c r="BE82" s="87">
        <f t="shared" si="22"/>
        <v>28</v>
      </c>
      <c r="BF82" s="88">
        <f t="shared" si="22"/>
        <v>0</v>
      </c>
      <c r="BG82" s="98">
        <f t="shared" si="22"/>
        <v>0</v>
      </c>
      <c r="BH82" s="98">
        <f t="shared" si="22"/>
        <v>0</v>
      </c>
      <c r="BI82" s="98">
        <f t="shared" si="22"/>
        <v>0</v>
      </c>
      <c r="BJ82" s="98">
        <f t="shared" si="22"/>
        <v>0</v>
      </c>
      <c r="BK82" s="98">
        <f t="shared" si="22"/>
        <v>0</v>
      </c>
      <c r="BL82" s="97">
        <f t="shared" si="22"/>
        <v>0</v>
      </c>
    </row>
    <row r="83" spans="1:64" outlineLevel="2" x14ac:dyDescent="0.3">
      <c r="A83" s="81" t="s">
        <v>63</v>
      </c>
      <c r="B83" s="82"/>
      <c r="C83" s="83">
        <f t="shared" ref="C83:BL83" si="23">IFERROR(SUBTOTAL(1,C52:C80),"")</f>
        <v>37.844827586206897</v>
      </c>
      <c r="D83" s="84">
        <f t="shared" si="23"/>
        <v>37.758620689655174</v>
      </c>
      <c r="E83" s="84">
        <f t="shared" si="23"/>
        <v>37.931034482758619</v>
      </c>
      <c r="F83" s="84" t="str">
        <f t="shared" si="23"/>
        <v/>
      </c>
      <c r="G83" s="84" t="str">
        <f t="shared" si="23"/>
        <v/>
      </c>
      <c r="H83" s="84" t="str">
        <f t="shared" si="23"/>
        <v/>
      </c>
      <c r="I83" s="84" t="str">
        <f t="shared" si="23"/>
        <v/>
      </c>
      <c r="J83" s="84" t="str">
        <f t="shared" si="23"/>
        <v/>
      </c>
      <c r="K83" s="84" t="str">
        <f t="shared" si="23"/>
        <v/>
      </c>
      <c r="L83" s="85">
        <f t="shared" si="23"/>
        <v>7.9272727272727259</v>
      </c>
      <c r="M83" s="86">
        <f t="shared" si="23"/>
        <v>7.9536363636363632</v>
      </c>
      <c r="N83" s="86">
        <f t="shared" si="23"/>
        <v>7.8740000000000006</v>
      </c>
      <c r="O83" s="86" t="str">
        <f t="shared" si="23"/>
        <v/>
      </c>
      <c r="P83" s="86" t="str">
        <f t="shared" si="23"/>
        <v/>
      </c>
      <c r="Q83" s="86" t="str">
        <f t="shared" si="23"/>
        <v/>
      </c>
      <c r="R83" s="86" t="str">
        <f t="shared" si="23"/>
        <v/>
      </c>
      <c r="S83" s="86" t="str">
        <f t="shared" si="23"/>
        <v/>
      </c>
      <c r="T83" s="86" t="str">
        <f t="shared" si="23"/>
        <v/>
      </c>
      <c r="U83" s="87">
        <f t="shared" si="23"/>
        <v>1855.8636363636363</v>
      </c>
      <c r="V83" s="88">
        <f t="shared" si="23"/>
        <v>1918.7454545454545</v>
      </c>
      <c r="W83" s="88">
        <f t="shared" si="23"/>
        <v>1807.8700000000001</v>
      </c>
      <c r="X83" s="88" t="str">
        <f t="shared" si="23"/>
        <v/>
      </c>
      <c r="Y83" s="88" t="str">
        <f t="shared" si="23"/>
        <v/>
      </c>
      <c r="Z83" s="88" t="str">
        <f t="shared" si="23"/>
        <v/>
      </c>
      <c r="AA83" s="88" t="str">
        <f t="shared" si="23"/>
        <v/>
      </c>
      <c r="AB83" s="88" t="str">
        <f t="shared" si="23"/>
        <v/>
      </c>
      <c r="AC83" s="88" t="str">
        <f t="shared" si="23"/>
        <v/>
      </c>
      <c r="AD83" s="87" t="str">
        <f t="shared" si="23"/>
        <v/>
      </c>
      <c r="AE83" s="88" t="str">
        <f t="shared" si="23"/>
        <v/>
      </c>
      <c r="AF83" s="88" t="str">
        <f t="shared" si="23"/>
        <v/>
      </c>
      <c r="AG83" s="88" t="str">
        <f t="shared" si="23"/>
        <v/>
      </c>
      <c r="AH83" s="88" t="str">
        <f t="shared" si="23"/>
        <v/>
      </c>
      <c r="AI83" s="88" t="str">
        <f t="shared" si="23"/>
        <v/>
      </c>
      <c r="AJ83" s="88" t="str">
        <f t="shared" si="23"/>
        <v/>
      </c>
      <c r="AK83" s="88" t="str">
        <f t="shared" si="23"/>
        <v/>
      </c>
      <c r="AL83" s="88" t="str">
        <f t="shared" si="23"/>
        <v/>
      </c>
      <c r="AM83" s="88">
        <f t="shared" si="23"/>
        <v>70.071353538885432</v>
      </c>
      <c r="AN83" s="88">
        <f t="shared" si="23"/>
        <v>69.433103448275872</v>
      </c>
      <c r="AO83" s="89">
        <f t="shared" si="23"/>
        <v>20.8</v>
      </c>
      <c r="AP83" s="90">
        <f t="shared" si="23"/>
        <v>17.939299999999999</v>
      </c>
      <c r="AQ83" s="91">
        <f t="shared" si="23"/>
        <v>86.15</v>
      </c>
      <c r="AR83" s="91">
        <f t="shared" si="23"/>
        <v>13.849999999999998</v>
      </c>
      <c r="AS83" s="92">
        <f t="shared" si="23"/>
        <v>0.51724137931034486</v>
      </c>
      <c r="AT83" s="93">
        <f t="shared" si="23"/>
        <v>15.32727272727273</v>
      </c>
      <c r="AU83" s="94">
        <f t="shared" si="23"/>
        <v>9.8045454545454547</v>
      </c>
      <c r="AV83" s="91">
        <f t="shared" si="23"/>
        <v>63.005961053677964</v>
      </c>
      <c r="AW83" s="91">
        <f t="shared" si="23"/>
        <v>36.994038946322028</v>
      </c>
      <c r="AX83" s="83" t="str">
        <f t="shared" si="23"/>
        <v/>
      </c>
      <c r="AY83" s="95">
        <f t="shared" si="23"/>
        <v>73.377272727272725</v>
      </c>
      <c r="AZ83" s="96">
        <f t="shared" si="23"/>
        <v>59.69446428571429</v>
      </c>
      <c r="BA83" s="96" t="str">
        <f t="shared" si="23"/>
        <v/>
      </c>
      <c r="BB83" s="96">
        <f t="shared" si="23"/>
        <v>99.642857142857139</v>
      </c>
      <c r="BC83" s="96" t="str">
        <f t="shared" si="23"/>
        <v/>
      </c>
      <c r="BD83" s="97">
        <f>IFERROR(SUBTOTAL(1,BD52:BD80),"")</f>
        <v>69.433103448275872</v>
      </c>
      <c r="BE83" s="87">
        <f t="shared" si="23"/>
        <v>4971.1034482758623</v>
      </c>
      <c r="BF83" s="88">
        <f t="shared" si="23"/>
        <v>75.689655172413794</v>
      </c>
      <c r="BG83" s="98">
        <f t="shared" si="23"/>
        <v>764.37931034482756</v>
      </c>
      <c r="BH83" s="98">
        <f t="shared" si="23"/>
        <v>4131.0344827586205</v>
      </c>
      <c r="BI83" s="98" t="str">
        <f t="shared" si="23"/>
        <v/>
      </c>
      <c r="BJ83" s="98" t="str">
        <f t="shared" si="23"/>
        <v/>
      </c>
      <c r="BK83" s="98" t="str">
        <f t="shared" si="23"/>
        <v/>
      </c>
      <c r="BL83" s="97" t="str">
        <f t="shared" si="23"/>
        <v/>
      </c>
    </row>
    <row r="84" spans="1:64" ht="17.25" outlineLevel="1" thickBot="1" x14ac:dyDescent="0.35">
      <c r="A84" s="99" t="s">
        <v>64</v>
      </c>
      <c r="B84" s="100"/>
      <c r="C84" s="101"/>
      <c r="D84" s="102"/>
      <c r="E84" s="102"/>
      <c r="F84" s="102"/>
      <c r="G84" s="102"/>
      <c r="H84" s="102"/>
      <c r="I84" s="102"/>
      <c r="J84" s="102"/>
      <c r="K84" s="102"/>
      <c r="L84" s="103"/>
      <c r="M84" s="104"/>
      <c r="N84" s="104"/>
      <c r="O84" s="104"/>
      <c r="P84" s="104"/>
      <c r="Q84" s="104"/>
      <c r="R84" s="104"/>
      <c r="S84" s="104"/>
      <c r="T84" s="104"/>
      <c r="U84" s="105"/>
      <c r="V84" s="106"/>
      <c r="W84" s="106"/>
      <c r="X84" s="106"/>
      <c r="Y84" s="106"/>
      <c r="Z84" s="106"/>
      <c r="AA84" s="106"/>
      <c r="AB84" s="106"/>
      <c r="AC84" s="106"/>
      <c r="AD84" s="105"/>
      <c r="AE84" s="106"/>
      <c r="AF84" s="106"/>
      <c r="AG84" s="106"/>
      <c r="AH84" s="106"/>
      <c r="AI84" s="106"/>
      <c r="AJ84" s="106"/>
      <c r="AK84" s="106"/>
      <c r="AL84" s="106"/>
      <c r="AM84" s="106"/>
      <c r="AN84" s="107">
        <f>SUBTOTAL(9,AN52:AN80)</f>
        <v>2013.5600000000002</v>
      </c>
      <c r="AO84" s="108"/>
      <c r="AP84" s="109"/>
      <c r="AQ84" s="110"/>
      <c r="AR84" s="110"/>
      <c r="AS84" s="111">
        <f>SUBTOTAL(9,AS52:AS80)</f>
        <v>15</v>
      </c>
      <c r="AT84" s="112"/>
      <c r="AU84" s="113"/>
      <c r="AV84" s="110"/>
      <c r="AW84" s="110"/>
      <c r="AX84" s="101"/>
      <c r="AY84" s="114"/>
      <c r="AZ84" s="115"/>
      <c r="BA84" s="115"/>
      <c r="BB84" s="115"/>
      <c r="BC84" s="115"/>
      <c r="BD84" s="116">
        <f>SUBTOTAL(9,BD52:BD80)</f>
        <v>2013.5600000000002</v>
      </c>
      <c r="BE84" s="117">
        <f t="shared" ref="BE84:BL84" si="24">SUBTOTAL(9,BE52:BE80)</f>
        <v>144162</v>
      </c>
      <c r="BF84" s="107">
        <f t="shared" si="24"/>
        <v>2195</v>
      </c>
      <c r="BG84" s="118">
        <f t="shared" si="24"/>
        <v>22167</v>
      </c>
      <c r="BH84" s="118">
        <f t="shared" si="24"/>
        <v>119800</v>
      </c>
      <c r="BI84" s="118">
        <f t="shared" si="24"/>
        <v>0</v>
      </c>
      <c r="BJ84" s="118">
        <f t="shared" si="24"/>
        <v>0</v>
      </c>
      <c r="BK84" s="118">
        <f t="shared" si="24"/>
        <v>0</v>
      </c>
      <c r="BL84" s="116">
        <f t="shared" si="24"/>
        <v>0</v>
      </c>
    </row>
    <row r="85" spans="1:64" outlineLevel="5" x14ac:dyDescent="0.3">
      <c r="A85" s="136">
        <f t="shared" si="5"/>
        <v>3</v>
      </c>
      <c r="B85" s="137">
        <v>43891</v>
      </c>
      <c r="C85" s="138"/>
      <c r="D85" s="84">
        <v>38</v>
      </c>
      <c r="E85" s="84">
        <v>38</v>
      </c>
      <c r="F85" s="84"/>
      <c r="G85" s="84"/>
      <c r="H85" s="84"/>
      <c r="I85" s="84"/>
      <c r="J85" s="84"/>
      <c r="K85" s="84"/>
      <c r="L85" s="140" t="str">
        <f>IFERROR(ROUND(AVERAGE(M85:T85),1),"")</f>
        <v/>
      </c>
      <c r="M85" s="86"/>
      <c r="N85" s="86"/>
      <c r="O85" s="86"/>
      <c r="P85" s="86"/>
      <c r="Q85" s="86"/>
      <c r="R85" s="86"/>
      <c r="S85" s="86"/>
      <c r="T85" s="86"/>
      <c r="U85" s="142" t="str">
        <f>IFERROR(ROUND(AVERAGE(V85:AC85),1),"")</f>
        <v/>
      </c>
      <c r="V85" s="88"/>
      <c r="W85" s="88"/>
      <c r="X85" s="88"/>
      <c r="Y85" s="88"/>
      <c r="Z85" s="88"/>
      <c r="AA85" s="88"/>
      <c r="AB85" s="88"/>
      <c r="AC85" s="88"/>
      <c r="AD85" s="142" t="str">
        <f>IFERROR(ROUND(AVERAGE(AE85:AL85),1),"")</f>
        <v/>
      </c>
      <c r="AE85" s="88"/>
      <c r="AF85" s="88"/>
      <c r="AG85" s="88"/>
      <c r="AH85" s="88"/>
      <c r="AI85" s="88"/>
      <c r="AJ85" s="88"/>
      <c r="AK85" s="88"/>
      <c r="AL85" s="88"/>
      <c r="AM85" s="88">
        <v>78.666666666666671</v>
      </c>
      <c r="AN85" s="88">
        <v>60</v>
      </c>
      <c r="AO85" s="89" t="s">
        <v>56</v>
      </c>
      <c r="AP85" s="90" t="s">
        <v>56</v>
      </c>
      <c r="AQ85" s="146" t="str">
        <f t="shared" ref="AQ85:AQ115" si="25">IFERROR(AP85/AO85*100,"")</f>
        <v/>
      </c>
      <c r="AR85" s="146" t="str">
        <f t="shared" ref="AR85:AR115" si="26">IFERROR(100-AQ85,"")</f>
        <v/>
      </c>
      <c r="AS85" s="147">
        <v>0</v>
      </c>
      <c r="AT85" s="148" t="s">
        <v>56</v>
      </c>
      <c r="AU85" s="149" t="s">
        <v>56</v>
      </c>
      <c r="AV85" s="146" t="str">
        <f t="shared" ref="AV85:AV115" si="27">IFERROR(AU85/AT85*100,"")</f>
        <v/>
      </c>
      <c r="AW85" s="146" t="str">
        <f t="shared" ref="AW85:AW115" si="28">IFERROR(100-AV85,"")</f>
        <v/>
      </c>
      <c r="AX85" s="138" t="str">
        <f>IFERROR((1-((AV85*AR85)/(AW85*AQ85)))*100,"")</f>
        <v/>
      </c>
      <c r="AY85" s="95" t="s">
        <v>56</v>
      </c>
      <c r="AZ85" s="96">
        <v>60.150000000000006</v>
      </c>
      <c r="BA85" s="96"/>
      <c r="BB85" s="96">
        <v>94.5</v>
      </c>
      <c r="BC85" s="96"/>
      <c r="BD85" s="97">
        <v>60</v>
      </c>
      <c r="BE85" s="142">
        <f t="shared" ref="BE85:BE115" si="29">IF(SUM(BF85:BL85)=0,"",SUM(BF85:BL85))</f>
        <v>95</v>
      </c>
      <c r="BF85" s="98">
        <v>95</v>
      </c>
      <c r="BG85" s="98">
        <v>0</v>
      </c>
      <c r="BH85" s="98">
        <v>0</v>
      </c>
      <c r="BI85" s="98"/>
      <c r="BJ85" s="98"/>
      <c r="BK85" s="98"/>
      <c r="BL85" s="98"/>
    </row>
    <row r="86" spans="1:64" outlineLevel="5" x14ac:dyDescent="0.3">
      <c r="A86" s="152">
        <f t="shared" si="5"/>
        <v>3</v>
      </c>
      <c r="B86" s="153">
        <f t="shared" ref="B86:B149" si="30">B85+1</f>
        <v>43892</v>
      </c>
      <c r="C86" s="138"/>
      <c r="D86" s="84">
        <v>38</v>
      </c>
      <c r="E86" s="84">
        <v>37</v>
      </c>
      <c r="F86" s="84"/>
      <c r="G86" s="84"/>
      <c r="H86" s="84"/>
      <c r="I86" s="84"/>
      <c r="J86" s="84"/>
      <c r="K86" s="84"/>
      <c r="L86" s="140">
        <f>IFERROR(ROUND(AVERAGE(M86:T86),1),"")</f>
        <v>8</v>
      </c>
      <c r="M86" s="86">
        <v>8.0399999999999991</v>
      </c>
      <c r="N86" s="86">
        <v>7.95</v>
      </c>
      <c r="O86" s="86"/>
      <c r="P86" s="86"/>
      <c r="Q86" s="86"/>
      <c r="R86" s="86"/>
      <c r="S86" s="86"/>
      <c r="T86" s="86"/>
      <c r="U86" s="142">
        <f>IFERROR(ROUND(AVERAGE(V86:AC86),1),"")</f>
        <v>2076.1</v>
      </c>
      <c r="V86" s="88">
        <v>2119.3000000000002</v>
      </c>
      <c r="W86" s="88">
        <v>2032.8</v>
      </c>
      <c r="X86" s="88"/>
      <c r="Y86" s="88"/>
      <c r="Z86" s="88"/>
      <c r="AA86" s="88"/>
      <c r="AB86" s="88"/>
      <c r="AC86" s="88"/>
      <c r="AD86" s="142" t="str">
        <f>IFERROR(ROUND(AVERAGE(AE86:AL86),1),"")</f>
        <v/>
      </c>
      <c r="AE86" s="88"/>
      <c r="AF86" s="88"/>
      <c r="AG86" s="88"/>
      <c r="AH86" s="88"/>
      <c r="AI86" s="88"/>
      <c r="AJ86" s="88"/>
      <c r="AK86" s="88"/>
      <c r="AL86" s="88"/>
      <c r="AM86" s="88">
        <v>59.051670211435002</v>
      </c>
      <c r="AN86" s="88">
        <v>79.930000000000007</v>
      </c>
      <c r="AO86" s="89" t="s">
        <v>56</v>
      </c>
      <c r="AP86" s="90" t="s">
        <v>56</v>
      </c>
      <c r="AQ86" s="146" t="str">
        <f t="shared" si="25"/>
        <v/>
      </c>
      <c r="AR86" s="146" t="str">
        <f t="shared" si="26"/>
        <v/>
      </c>
      <c r="AS86" s="147">
        <v>0</v>
      </c>
      <c r="AT86" s="148">
        <v>14.5</v>
      </c>
      <c r="AU86" s="149">
        <v>8.8000000000000007</v>
      </c>
      <c r="AV86" s="146">
        <f t="shared" si="27"/>
        <v>60.689655172413801</v>
      </c>
      <c r="AW86" s="146">
        <f t="shared" si="28"/>
        <v>39.310344827586199</v>
      </c>
      <c r="AX86" s="138" t="str">
        <f>IFERROR((1-((AV86*AR86)/(AW86*AQ86)))*100,"")</f>
        <v/>
      </c>
      <c r="AY86" s="95">
        <v>74.7</v>
      </c>
      <c r="AZ86" s="96">
        <v>57.995000000000005</v>
      </c>
      <c r="BA86" s="96"/>
      <c r="BB86" s="96">
        <v>78.5</v>
      </c>
      <c r="BC86" s="96"/>
      <c r="BD86" s="97">
        <v>79.930000000000007</v>
      </c>
      <c r="BE86" s="142">
        <f t="shared" si="29"/>
        <v>2553</v>
      </c>
      <c r="BF86" s="98">
        <v>182</v>
      </c>
      <c r="BG86" s="98">
        <v>0</v>
      </c>
      <c r="BH86" s="98">
        <v>2371</v>
      </c>
      <c r="BI86" s="98"/>
      <c r="BJ86" s="98"/>
      <c r="BK86" s="98"/>
      <c r="BL86" s="98"/>
    </row>
    <row r="87" spans="1:64" outlineLevel="5" x14ac:dyDescent="0.3">
      <c r="A87" s="152">
        <f t="shared" si="5"/>
        <v>3</v>
      </c>
      <c r="B87" s="153">
        <f t="shared" si="30"/>
        <v>43893</v>
      </c>
      <c r="C87" s="138"/>
      <c r="D87" s="84">
        <v>37</v>
      </c>
      <c r="E87" s="84">
        <v>37</v>
      </c>
      <c r="F87" s="84"/>
      <c r="G87" s="84"/>
      <c r="H87" s="84"/>
      <c r="I87" s="84"/>
      <c r="J87" s="84"/>
      <c r="K87" s="84"/>
      <c r="L87" s="140" t="str">
        <f>IFERROR(ROUND(AVERAGE(M87:T87),1),"")</f>
        <v/>
      </c>
      <c r="M87" s="86"/>
      <c r="N87" s="86"/>
      <c r="O87" s="86"/>
      <c r="P87" s="86"/>
      <c r="Q87" s="86"/>
      <c r="R87" s="86"/>
      <c r="S87" s="86"/>
      <c r="T87" s="86"/>
      <c r="U87" s="142" t="str">
        <f>IFERROR(ROUND(AVERAGE(V87:AC87),1),"")</f>
        <v/>
      </c>
      <c r="V87" s="88"/>
      <c r="W87" s="88"/>
      <c r="X87" s="88"/>
      <c r="Y87" s="88"/>
      <c r="Z87" s="88"/>
      <c r="AA87" s="88"/>
      <c r="AB87" s="88"/>
      <c r="AC87" s="88"/>
      <c r="AD87" s="142" t="str">
        <f>IFERROR(ROUND(AVERAGE(AE87:AL87),1),"")</f>
        <v/>
      </c>
      <c r="AE87" s="88"/>
      <c r="AF87" s="88"/>
      <c r="AG87" s="88"/>
      <c r="AH87" s="88"/>
      <c r="AI87" s="88"/>
      <c r="AJ87" s="88"/>
      <c r="AK87" s="88"/>
      <c r="AL87" s="88"/>
      <c r="AM87" s="88">
        <v>68.734527450123778</v>
      </c>
      <c r="AN87" s="88">
        <v>68.67</v>
      </c>
      <c r="AO87" s="89" t="s">
        <v>56</v>
      </c>
      <c r="AP87" s="90"/>
      <c r="AQ87" s="146" t="str">
        <f t="shared" si="25"/>
        <v/>
      </c>
      <c r="AR87" s="146" t="str">
        <f t="shared" si="26"/>
        <v/>
      </c>
      <c r="AS87" s="147">
        <v>0</v>
      </c>
      <c r="AT87" s="148" t="s">
        <v>56</v>
      </c>
      <c r="AU87" s="149" t="s">
        <v>56</v>
      </c>
      <c r="AV87" s="146" t="str">
        <f t="shared" si="27"/>
        <v/>
      </c>
      <c r="AW87" s="146" t="str">
        <f t="shared" si="28"/>
        <v/>
      </c>
      <c r="AX87" s="138" t="str">
        <f>IFERROR((1-((AV87*AR87)/(AW87*AQ87)))*100,"")</f>
        <v/>
      </c>
      <c r="AY87" s="95" t="s">
        <v>56</v>
      </c>
      <c r="AZ87" s="96">
        <v>58.505000000000003</v>
      </c>
      <c r="BA87" s="96"/>
      <c r="BB87" s="96">
        <v>69.5</v>
      </c>
      <c r="BC87" s="96"/>
      <c r="BD87" s="97">
        <v>68.67</v>
      </c>
      <c r="BE87" s="142">
        <f t="shared" si="29"/>
        <v>6304</v>
      </c>
      <c r="BF87" s="98">
        <v>132</v>
      </c>
      <c r="BG87" s="98">
        <v>0</v>
      </c>
      <c r="BH87" s="98">
        <v>6172</v>
      </c>
      <c r="BI87" s="98"/>
      <c r="BJ87" s="98"/>
      <c r="BK87" s="98"/>
      <c r="BL87" s="98"/>
    </row>
    <row r="88" spans="1:64" outlineLevel="5" x14ac:dyDescent="0.3">
      <c r="A88" s="152">
        <f t="shared" si="5"/>
        <v>3</v>
      </c>
      <c r="B88" s="153">
        <f t="shared" si="30"/>
        <v>43894</v>
      </c>
      <c r="C88" s="138"/>
      <c r="D88" s="84">
        <v>39</v>
      </c>
      <c r="E88" s="84">
        <v>38</v>
      </c>
      <c r="F88" s="84"/>
      <c r="G88" s="84"/>
      <c r="H88" s="84"/>
      <c r="I88" s="84"/>
      <c r="J88" s="84"/>
      <c r="K88" s="84"/>
      <c r="L88" s="140" t="str">
        <f>IFERROR(ROUND(AVERAGE(M88:T88),1),"")</f>
        <v/>
      </c>
      <c r="M88" s="86"/>
      <c r="N88" s="86"/>
      <c r="O88" s="86"/>
      <c r="P88" s="86"/>
      <c r="Q88" s="86"/>
      <c r="R88" s="86"/>
      <c r="S88" s="86"/>
      <c r="T88" s="86"/>
      <c r="U88" s="142" t="str">
        <f>IFERROR(ROUND(AVERAGE(V88:AC88),1),"")</f>
        <v/>
      </c>
      <c r="V88" s="88"/>
      <c r="W88" s="88"/>
      <c r="X88" s="88"/>
      <c r="Y88" s="88"/>
      <c r="Z88" s="88"/>
      <c r="AA88" s="88"/>
      <c r="AB88" s="88"/>
      <c r="AC88" s="88"/>
      <c r="AD88" s="142" t="str">
        <f>IFERROR(ROUND(AVERAGE(AE88:AL88),1),"")</f>
        <v/>
      </c>
      <c r="AE88" s="88"/>
      <c r="AF88" s="88"/>
      <c r="AG88" s="88"/>
      <c r="AH88" s="88"/>
      <c r="AI88" s="88"/>
      <c r="AJ88" s="88"/>
      <c r="AK88" s="88"/>
      <c r="AL88" s="88"/>
      <c r="AM88" s="88">
        <v>58.97788329376484</v>
      </c>
      <c r="AN88" s="88">
        <v>80.03</v>
      </c>
      <c r="AO88" s="89"/>
      <c r="AP88" s="90"/>
      <c r="AQ88" s="146" t="str">
        <f t="shared" si="25"/>
        <v/>
      </c>
      <c r="AR88" s="146" t="str">
        <f t="shared" si="26"/>
        <v/>
      </c>
      <c r="AS88" s="147">
        <v>0</v>
      </c>
      <c r="AT88" s="148" t="s">
        <v>56</v>
      </c>
      <c r="AU88" s="149" t="s">
        <v>56</v>
      </c>
      <c r="AV88" s="146" t="str">
        <f t="shared" si="27"/>
        <v/>
      </c>
      <c r="AW88" s="146" t="str">
        <f t="shared" si="28"/>
        <v/>
      </c>
      <c r="AX88" s="138" t="str">
        <f>IFERROR((1-((AV88*AR88)/(AW88*AQ88)))*100,"")</f>
        <v/>
      </c>
      <c r="AY88" s="95" t="s">
        <v>56</v>
      </c>
      <c r="AZ88" s="96">
        <v>56.31</v>
      </c>
      <c r="BA88" s="96"/>
      <c r="BB88" s="96">
        <v>89</v>
      </c>
      <c r="BC88" s="96"/>
      <c r="BD88" s="97">
        <v>80.03</v>
      </c>
      <c r="BE88" s="142">
        <f t="shared" si="29"/>
        <v>4210</v>
      </c>
      <c r="BF88" s="98">
        <v>76</v>
      </c>
      <c r="BG88" s="98">
        <v>0</v>
      </c>
      <c r="BH88" s="98">
        <v>4134</v>
      </c>
      <c r="BI88" s="98"/>
      <c r="BJ88" s="98"/>
      <c r="BK88" s="98"/>
      <c r="BL88" s="98"/>
    </row>
    <row r="89" spans="1:64" outlineLevel="5" x14ac:dyDescent="0.3">
      <c r="A89" s="152">
        <f t="shared" si="5"/>
        <v>3</v>
      </c>
      <c r="B89" s="153">
        <f t="shared" si="30"/>
        <v>43895</v>
      </c>
      <c r="C89" s="138"/>
      <c r="D89" s="84">
        <v>40</v>
      </c>
      <c r="E89" s="84">
        <v>39</v>
      </c>
      <c r="F89" s="84"/>
      <c r="G89" s="84"/>
      <c r="H89" s="84"/>
      <c r="I89" s="84"/>
      <c r="J89" s="84"/>
      <c r="K89" s="84"/>
      <c r="L89" s="140">
        <f>IFERROR(ROUND(AVERAGE(M89:T89),1),"")</f>
        <v>8</v>
      </c>
      <c r="M89" s="86">
        <v>8.0500000000000007</v>
      </c>
      <c r="N89" s="86">
        <v>7.94</v>
      </c>
      <c r="O89" s="86"/>
      <c r="P89" s="86"/>
      <c r="Q89" s="86"/>
      <c r="R89" s="86"/>
      <c r="S89" s="86"/>
      <c r="T89" s="86"/>
      <c r="U89" s="142">
        <f>IFERROR(ROUND(AVERAGE(V89:AC89),1),"")</f>
        <v>2205.8000000000002</v>
      </c>
      <c r="V89" s="88">
        <v>2249</v>
      </c>
      <c r="W89" s="88">
        <v>2162.5</v>
      </c>
      <c r="X89" s="88"/>
      <c r="Y89" s="88"/>
      <c r="Z89" s="88"/>
      <c r="AA89" s="88"/>
      <c r="AB89" s="88"/>
      <c r="AC89" s="88"/>
      <c r="AD89" s="142" t="str">
        <f>IFERROR(ROUND(AVERAGE(AE89:AL89),1),"")</f>
        <v/>
      </c>
      <c r="AE89" s="88"/>
      <c r="AF89" s="88"/>
      <c r="AG89" s="88"/>
      <c r="AH89" s="88"/>
      <c r="AI89" s="88"/>
      <c r="AJ89" s="88"/>
      <c r="AK89" s="88"/>
      <c r="AL89" s="88"/>
      <c r="AM89" s="88">
        <v>58.106610858057365</v>
      </c>
      <c r="AN89" s="88">
        <v>81.23</v>
      </c>
      <c r="AO89" s="89"/>
      <c r="AP89" s="90"/>
      <c r="AQ89" s="146" t="str">
        <f t="shared" si="25"/>
        <v/>
      </c>
      <c r="AR89" s="146" t="str">
        <f t="shared" si="26"/>
        <v/>
      </c>
      <c r="AS89" s="147">
        <v>0</v>
      </c>
      <c r="AT89" s="148">
        <v>14.25</v>
      </c>
      <c r="AU89" s="149">
        <v>7.7</v>
      </c>
      <c r="AV89" s="146">
        <f t="shared" si="27"/>
        <v>54.035087719298247</v>
      </c>
      <c r="AW89" s="146">
        <f t="shared" si="28"/>
        <v>45.964912280701753</v>
      </c>
      <c r="AX89" s="138" t="str">
        <f>IFERROR((1-((AV89*AR89)/(AW89*AQ89)))*100,"")</f>
        <v/>
      </c>
      <c r="AY89" s="95">
        <v>75.449999999999989</v>
      </c>
      <c r="AZ89" s="96">
        <v>60.164999999999999</v>
      </c>
      <c r="BA89" s="96"/>
      <c r="BB89" s="96">
        <v>70.5</v>
      </c>
      <c r="BC89" s="96"/>
      <c r="BD89" s="97">
        <v>81.23</v>
      </c>
      <c r="BE89" s="142" t="str">
        <f t="shared" si="29"/>
        <v/>
      </c>
      <c r="BF89" s="98">
        <v>0</v>
      </c>
      <c r="BG89" s="98">
        <v>0</v>
      </c>
      <c r="BH89" s="98">
        <v>0</v>
      </c>
      <c r="BI89" s="98"/>
      <c r="BJ89" s="98"/>
      <c r="BK89" s="98"/>
      <c r="BL89" s="98"/>
    </row>
    <row r="90" spans="1:64" outlineLevel="5" x14ac:dyDescent="0.3">
      <c r="A90" s="152">
        <f t="shared" si="5"/>
        <v>3</v>
      </c>
      <c r="B90" s="153">
        <f t="shared" si="30"/>
        <v>43896</v>
      </c>
      <c r="C90" s="138"/>
      <c r="D90" s="84">
        <v>39</v>
      </c>
      <c r="E90" s="84">
        <v>38</v>
      </c>
      <c r="F90" s="84"/>
      <c r="G90" s="84"/>
      <c r="H90" s="84"/>
      <c r="I90" s="84"/>
      <c r="J90" s="84"/>
      <c r="K90" s="84"/>
      <c r="L90" s="140" t="str">
        <f>IFERROR(ROUND(AVERAGE(M90:T90),1),"")</f>
        <v/>
      </c>
      <c r="M90" s="86"/>
      <c r="N90" s="86"/>
      <c r="O90" s="86"/>
      <c r="P90" s="86"/>
      <c r="Q90" s="86"/>
      <c r="R90" s="86"/>
      <c r="S90" s="86"/>
      <c r="T90" s="86"/>
      <c r="U90" s="142" t="str">
        <f>IFERROR(ROUND(AVERAGE(V90:AC90),1),"")</f>
        <v/>
      </c>
      <c r="V90" s="88"/>
      <c r="W90" s="88"/>
      <c r="X90" s="88"/>
      <c r="Y90" s="88"/>
      <c r="Z90" s="88"/>
      <c r="AA90" s="88"/>
      <c r="AB90" s="88"/>
      <c r="AC90" s="88"/>
      <c r="AD90" s="142" t="str">
        <f>IFERROR(ROUND(AVERAGE(AE90:AL90),1),"")</f>
        <v/>
      </c>
      <c r="AE90" s="88"/>
      <c r="AF90" s="88"/>
      <c r="AG90" s="88"/>
      <c r="AH90" s="88"/>
      <c r="AI90" s="88"/>
      <c r="AJ90" s="88"/>
      <c r="AK90" s="88"/>
      <c r="AL90" s="88"/>
      <c r="AM90" s="88">
        <v>73.853856986387115</v>
      </c>
      <c r="AN90" s="88">
        <v>63.91</v>
      </c>
      <c r="AO90" s="89" t="s">
        <v>56</v>
      </c>
      <c r="AP90" s="90"/>
      <c r="AQ90" s="146" t="str">
        <f t="shared" si="25"/>
        <v/>
      </c>
      <c r="AR90" s="146" t="str">
        <f t="shared" si="26"/>
        <v/>
      </c>
      <c r="AS90" s="147">
        <v>0</v>
      </c>
      <c r="AT90" s="148" t="s">
        <v>56</v>
      </c>
      <c r="AU90" s="149" t="s">
        <v>56</v>
      </c>
      <c r="AV90" s="146" t="str">
        <f t="shared" si="27"/>
        <v/>
      </c>
      <c r="AW90" s="146" t="str">
        <f t="shared" si="28"/>
        <v/>
      </c>
      <c r="AX90" s="138" t="str">
        <f>IFERROR((1-((AV90*AR90)/(AW90*AQ90)))*100,"")</f>
        <v/>
      </c>
      <c r="AY90" s="95" t="s">
        <v>56</v>
      </c>
      <c r="AZ90" s="96">
        <v>60.234999999999999</v>
      </c>
      <c r="BA90" s="96"/>
      <c r="BB90" s="96">
        <v>80.5</v>
      </c>
      <c r="BC90" s="96"/>
      <c r="BD90" s="97">
        <v>63.91</v>
      </c>
      <c r="BE90" s="142">
        <f t="shared" si="29"/>
        <v>7026</v>
      </c>
      <c r="BF90" s="98">
        <v>0</v>
      </c>
      <c r="BG90" s="98">
        <v>899</v>
      </c>
      <c r="BH90" s="98">
        <v>6127</v>
      </c>
      <c r="BI90" s="98"/>
      <c r="BJ90" s="98"/>
      <c r="BK90" s="98"/>
      <c r="BL90" s="98"/>
    </row>
    <row r="91" spans="1:64" outlineLevel="5" x14ac:dyDescent="0.3">
      <c r="A91" s="152">
        <f t="shared" ref="A91:A162" si="31">MONTH(B91)</f>
        <v>3</v>
      </c>
      <c r="B91" s="153">
        <f t="shared" si="30"/>
        <v>43897</v>
      </c>
      <c r="C91" s="138"/>
      <c r="D91" s="84">
        <v>37</v>
      </c>
      <c r="E91" s="84">
        <v>36</v>
      </c>
      <c r="F91" s="84"/>
      <c r="G91" s="84"/>
      <c r="H91" s="84"/>
      <c r="I91" s="84"/>
      <c r="J91" s="84"/>
      <c r="K91" s="84"/>
      <c r="L91" s="140" t="str">
        <f>IFERROR(ROUND(AVERAGE(M91:T91),1),"")</f>
        <v/>
      </c>
      <c r="M91" s="86"/>
      <c r="N91" s="86"/>
      <c r="O91" s="86"/>
      <c r="P91" s="86"/>
      <c r="Q91" s="86"/>
      <c r="R91" s="86"/>
      <c r="S91" s="86"/>
      <c r="T91" s="86"/>
      <c r="U91" s="142" t="str">
        <f>IFERROR(ROUND(AVERAGE(V91:AC91),1),"")</f>
        <v/>
      </c>
      <c r="V91" s="88"/>
      <c r="W91" s="88"/>
      <c r="X91" s="88"/>
      <c r="Y91" s="88"/>
      <c r="Z91" s="88"/>
      <c r="AA91" s="88"/>
      <c r="AB91" s="88"/>
      <c r="AC91" s="88"/>
      <c r="AD91" s="142" t="str">
        <f>IFERROR(ROUND(AVERAGE(AE91:AL91),1),"")</f>
        <v/>
      </c>
      <c r="AE91" s="88"/>
      <c r="AF91" s="88"/>
      <c r="AG91" s="88"/>
      <c r="AH91" s="88"/>
      <c r="AI91" s="88"/>
      <c r="AJ91" s="88"/>
      <c r="AK91" s="88"/>
      <c r="AL91" s="88"/>
      <c r="AM91" s="88">
        <v>66.940859452559934</v>
      </c>
      <c r="AN91" s="88">
        <v>70.509999999999991</v>
      </c>
      <c r="AO91" s="89">
        <v>8.6999999999999993</v>
      </c>
      <c r="AP91" s="90">
        <v>7.4210999999999991</v>
      </c>
      <c r="AQ91" s="146">
        <f t="shared" si="25"/>
        <v>85.3</v>
      </c>
      <c r="AR91" s="146">
        <f t="shared" si="26"/>
        <v>14.700000000000003</v>
      </c>
      <c r="AS91" s="147">
        <v>0</v>
      </c>
      <c r="AT91" s="148" t="s">
        <v>56</v>
      </c>
      <c r="AU91" s="149" t="s">
        <v>56</v>
      </c>
      <c r="AV91" s="146" t="str">
        <f t="shared" si="27"/>
        <v/>
      </c>
      <c r="AW91" s="146" t="str">
        <f t="shared" si="28"/>
        <v/>
      </c>
      <c r="AX91" s="138" t="str">
        <f>IFERROR((1-((AV91*AR91)/(AW91*AQ91)))*100,"")</f>
        <v/>
      </c>
      <c r="AY91" s="95" t="s">
        <v>56</v>
      </c>
      <c r="AZ91" s="96">
        <v>59.274999999999999</v>
      </c>
      <c r="BA91" s="96"/>
      <c r="BB91" s="96">
        <v>73</v>
      </c>
      <c r="BC91" s="96"/>
      <c r="BD91" s="97">
        <v>70.509999999999991</v>
      </c>
      <c r="BE91" s="142">
        <f t="shared" si="29"/>
        <v>5255</v>
      </c>
      <c r="BF91" s="98">
        <v>99</v>
      </c>
      <c r="BG91" s="98">
        <v>0</v>
      </c>
      <c r="BH91" s="98">
        <v>5156</v>
      </c>
      <c r="BI91" s="98"/>
      <c r="BJ91" s="98"/>
      <c r="BK91" s="98"/>
      <c r="BL91" s="98"/>
    </row>
    <row r="92" spans="1:64" outlineLevel="5" x14ac:dyDescent="0.3">
      <c r="A92" s="152">
        <f t="shared" si="31"/>
        <v>3</v>
      </c>
      <c r="B92" s="153">
        <f t="shared" si="30"/>
        <v>43898</v>
      </c>
      <c r="C92" s="138"/>
      <c r="D92" s="84">
        <v>38</v>
      </c>
      <c r="E92" s="84">
        <v>37</v>
      </c>
      <c r="F92" s="84"/>
      <c r="G92" s="84"/>
      <c r="H92" s="84"/>
      <c r="I92" s="84"/>
      <c r="J92" s="84"/>
      <c r="K92" s="84"/>
      <c r="L92" s="140" t="str">
        <f>IFERROR(ROUND(AVERAGE(M92:T92),1),"")</f>
        <v/>
      </c>
      <c r="M92" s="86"/>
      <c r="N92" s="86"/>
      <c r="O92" s="86"/>
      <c r="P92" s="86"/>
      <c r="Q92" s="86"/>
      <c r="R92" s="86"/>
      <c r="S92" s="86"/>
      <c r="T92" s="86"/>
      <c r="U92" s="142" t="str">
        <f>IFERROR(ROUND(AVERAGE(V92:AC92),1),"")</f>
        <v/>
      </c>
      <c r="V92" s="88"/>
      <c r="W92" s="88"/>
      <c r="X92" s="88"/>
      <c r="Y92" s="88"/>
      <c r="Z92" s="88"/>
      <c r="AA92" s="88"/>
      <c r="AB92" s="88"/>
      <c r="AC92" s="88"/>
      <c r="AD92" s="142" t="str">
        <f>IFERROR(ROUND(AVERAGE(AE92:AL92),1),"")</f>
        <v/>
      </c>
      <c r="AE92" s="88"/>
      <c r="AF92" s="88"/>
      <c r="AG92" s="88"/>
      <c r="AH92" s="88"/>
      <c r="AI92" s="88"/>
      <c r="AJ92" s="88"/>
      <c r="AK92" s="88"/>
      <c r="AL92" s="88"/>
      <c r="AM92" s="88">
        <v>77.377049180327873</v>
      </c>
      <c r="AN92" s="88">
        <v>61</v>
      </c>
      <c r="AO92" s="89" t="s">
        <v>56</v>
      </c>
      <c r="AP92" s="90" t="s">
        <v>56</v>
      </c>
      <c r="AQ92" s="146" t="str">
        <f t="shared" si="25"/>
        <v/>
      </c>
      <c r="AR92" s="146" t="str">
        <f t="shared" si="26"/>
        <v/>
      </c>
      <c r="AS92" s="147">
        <v>0</v>
      </c>
      <c r="AT92" s="148" t="s">
        <v>56</v>
      </c>
      <c r="AU92" s="149" t="s">
        <v>56</v>
      </c>
      <c r="AV92" s="146" t="str">
        <f t="shared" si="27"/>
        <v/>
      </c>
      <c r="AW92" s="146" t="str">
        <f t="shared" si="28"/>
        <v/>
      </c>
      <c r="AX92" s="138" t="str">
        <f>IFERROR((1-((AV92*AR92)/(AW92*AQ92)))*100,"")</f>
        <v/>
      </c>
      <c r="AY92" s="95" t="s">
        <v>56</v>
      </c>
      <c r="AZ92" s="96">
        <v>58.234999999999999</v>
      </c>
      <c r="BA92" s="96"/>
      <c r="BB92" s="96">
        <v>121</v>
      </c>
      <c r="BC92" s="96"/>
      <c r="BD92" s="97">
        <v>61</v>
      </c>
      <c r="BE92" s="142">
        <f t="shared" si="29"/>
        <v>155</v>
      </c>
      <c r="BF92" s="98">
        <v>155</v>
      </c>
      <c r="BG92" s="98">
        <v>0</v>
      </c>
      <c r="BH92" s="98">
        <v>0</v>
      </c>
      <c r="BI92" s="98"/>
      <c r="BJ92" s="98"/>
      <c r="BK92" s="98"/>
      <c r="BL92" s="98"/>
    </row>
    <row r="93" spans="1:64" outlineLevel="5" x14ac:dyDescent="0.3">
      <c r="A93" s="152">
        <f t="shared" si="31"/>
        <v>3</v>
      </c>
      <c r="B93" s="153">
        <f t="shared" si="30"/>
        <v>43899</v>
      </c>
      <c r="C93" s="138"/>
      <c r="D93" s="84">
        <v>39</v>
      </c>
      <c r="E93" s="84">
        <v>37</v>
      </c>
      <c r="F93" s="84"/>
      <c r="G93" s="84"/>
      <c r="H93" s="84"/>
      <c r="I93" s="84"/>
      <c r="J93" s="84"/>
      <c r="K93" s="84"/>
      <c r="L93" s="140" t="str">
        <f>IFERROR(ROUND(AVERAGE(M93:T93),1),"")</f>
        <v/>
      </c>
      <c r="M93" s="86"/>
      <c r="N93" s="86"/>
      <c r="O93" s="86"/>
      <c r="P93" s="86"/>
      <c r="Q93" s="86"/>
      <c r="R93" s="86"/>
      <c r="S93" s="86"/>
      <c r="T93" s="86"/>
      <c r="U93" s="142" t="str">
        <f>IFERROR(ROUND(AVERAGE(V93:AC93),1),"")</f>
        <v/>
      </c>
      <c r="V93" s="88"/>
      <c r="W93" s="88"/>
      <c r="X93" s="88"/>
      <c r="Y93" s="88"/>
      <c r="Z93" s="88"/>
      <c r="AA93" s="88"/>
      <c r="AB93" s="88"/>
      <c r="AC93" s="88"/>
      <c r="AD93" s="142" t="str">
        <f>IFERROR(ROUND(AVERAGE(AE93:AL93),1),"")</f>
        <v/>
      </c>
      <c r="AE93" s="88"/>
      <c r="AF93" s="88"/>
      <c r="AG93" s="88"/>
      <c r="AH93" s="88"/>
      <c r="AI93" s="88"/>
      <c r="AJ93" s="88"/>
      <c r="AK93" s="88"/>
      <c r="AL93" s="88"/>
      <c r="AM93" s="88">
        <v>61.314627175889846</v>
      </c>
      <c r="AN93" s="88">
        <v>76.97999999999999</v>
      </c>
      <c r="AO93" s="89" t="s">
        <v>56</v>
      </c>
      <c r="AP93" s="90" t="s">
        <v>56</v>
      </c>
      <c r="AQ93" s="146" t="str">
        <f t="shared" si="25"/>
        <v/>
      </c>
      <c r="AR93" s="146" t="str">
        <f t="shared" si="26"/>
        <v/>
      </c>
      <c r="AS93" s="147">
        <v>0</v>
      </c>
      <c r="AT93" s="148" t="s">
        <v>56</v>
      </c>
      <c r="AU93" s="149" t="s">
        <v>56</v>
      </c>
      <c r="AV93" s="146" t="str">
        <f t="shared" si="27"/>
        <v/>
      </c>
      <c r="AW93" s="146" t="str">
        <f t="shared" si="28"/>
        <v/>
      </c>
      <c r="AX93" s="138" t="str">
        <f>IFERROR((1-((AV93*AR93)/(AW93*AQ93)))*100,"")</f>
        <v/>
      </c>
      <c r="AY93" s="95" t="s">
        <v>56</v>
      </c>
      <c r="AZ93" s="96">
        <v>60.83</v>
      </c>
      <c r="BA93" s="96"/>
      <c r="BB93" s="96">
        <v>76</v>
      </c>
      <c r="BC93" s="96"/>
      <c r="BD93" s="97">
        <v>76.97999999999999</v>
      </c>
      <c r="BE93" s="142">
        <f t="shared" si="29"/>
        <v>3271</v>
      </c>
      <c r="BF93" s="98">
        <v>53</v>
      </c>
      <c r="BG93" s="98">
        <v>222</v>
      </c>
      <c r="BH93" s="98">
        <v>2996</v>
      </c>
      <c r="BI93" s="98"/>
      <c r="BJ93" s="98"/>
      <c r="BK93" s="98"/>
      <c r="BL93" s="98"/>
    </row>
    <row r="94" spans="1:64" outlineLevel="5" x14ac:dyDescent="0.3">
      <c r="A94" s="152">
        <f t="shared" si="31"/>
        <v>3</v>
      </c>
      <c r="B94" s="153">
        <f t="shared" si="30"/>
        <v>43900</v>
      </c>
      <c r="C94" s="138"/>
      <c r="D94" s="84">
        <v>37</v>
      </c>
      <c r="E94" s="84">
        <v>36</v>
      </c>
      <c r="F94" s="84"/>
      <c r="G94" s="84"/>
      <c r="H94" s="84"/>
      <c r="I94" s="84"/>
      <c r="J94" s="84"/>
      <c r="K94" s="84"/>
      <c r="L94" s="140">
        <f>IFERROR(ROUND(AVERAGE(M94:T94),1),"")</f>
        <v>8</v>
      </c>
      <c r="M94" s="86">
        <v>8.02</v>
      </c>
      <c r="N94" s="86">
        <v>7.92</v>
      </c>
      <c r="O94" s="86"/>
      <c r="P94" s="86"/>
      <c r="Q94" s="86"/>
      <c r="R94" s="86"/>
      <c r="S94" s="86"/>
      <c r="T94" s="86"/>
      <c r="U94" s="142">
        <f>IFERROR(ROUND(AVERAGE(V94:AC94),1),"")</f>
        <v>1838.2</v>
      </c>
      <c r="V94" s="88">
        <v>1600.3</v>
      </c>
      <c r="W94" s="88">
        <v>2076</v>
      </c>
      <c r="X94" s="88"/>
      <c r="Y94" s="88"/>
      <c r="Z94" s="88"/>
      <c r="AA94" s="88"/>
      <c r="AB94" s="88"/>
      <c r="AC94" s="88"/>
      <c r="AD94" s="142" t="str">
        <f>IFERROR(ROUND(AVERAGE(AE94:AL94),1),"")</f>
        <v/>
      </c>
      <c r="AE94" s="88"/>
      <c r="AF94" s="88"/>
      <c r="AG94" s="88"/>
      <c r="AH94" s="88"/>
      <c r="AI94" s="88"/>
      <c r="AJ94" s="88"/>
      <c r="AK94" s="88"/>
      <c r="AL94" s="88"/>
      <c r="AM94" s="88">
        <v>59.498298247825538</v>
      </c>
      <c r="AN94" s="88">
        <v>79.33</v>
      </c>
      <c r="AO94" s="89" t="s">
        <v>56</v>
      </c>
      <c r="AP94" s="90"/>
      <c r="AQ94" s="146" t="str">
        <f t="shared" si="25"/>
        <v/>
      </c>
      <c r="AR94" s="146" t="str">
        <f t="shared" si="26"/>
        <v/>
      </c>
      <c r="AS94" s="147">
        <v>0</v>
      </c>
      <c r="AT94" s="148">
        <v>13.8</v>
      </c>
      <c r="AU94" s="149">
        <v>8.4499999999999993</v>
      </c>
      <c r="AV94" s="146">
        <f t="shared" si="27"/>
        <v>61.231884057971008</v>
      </c>
      <c r="AW94" s="146">
        <f t="shared" si="28"/>
        <v>38.768115942028992</v>
      </c>
      <c r="AX94" s="138" t="str">
        <f>IFERROR((1-((AV94*AR94)/(AW94*AQ94)))*100,"")</f>
        <v/>
      </c>
      <c r="AY94" s="95">
        <v>73.800000000000011</v>
      </c>
      <c r="AZ94" s="96">
        <v>59.215000000000003</v>
      </c>
      <c r="BA94" s="96"/>
      <c r="BB94" s="96">
        <v>91.5</v>
      </c>
      <c r="BC94" s="96"/>
      <c r="BD94" s="97">
        <v>79.33</v>
      </c>
      <c r="BE94" s="142">
        <f t="shared" si="29"/>
        <v>6932</v>
      </c>
      <c r="BF94" s="98">
        <v>144</v>
      </c>
      <c r="BG94" s="98">
        <v>1114</v>
      </c>
      <c r="BH94" s="98">
        <v>5674</v>
      </c>
      <c r="BI94" s="98"/>
      <c r="BJ94" s="98"/>
      <c r="BK94" s="98"/>
      <c r="BL94" s="98"/>
    </row>
    <row r="95" spans="1:64" outlineLevel="5" x14ac:dyDescent="0.3">
      <c r="A95" s="152">
        <f t="shared" si="31"/>
        <v>3</v>
      </c>
      <c r="B95" s="153">
        <f t="shared" si="30"/>
        <v>43901</v>
      </c>
      <c r="C95" s="138"/>
      <c r="D95" s="84">
        <v>39</v>
      </c>
      <c r="E95" s="84">
        <v>35</v>
      </c>
      <c r="F95" s="84"/>
      <c r="G95" s="84"/>
      <c r="H95" s="84"/>
      <c r="I95" s="84"/>
      <c r="J95" s="84"/>
      <c r="K95" s="84"/>
      <c r="L95" s="140">
        <f>IFERROR(ROUND(AVERAGE(M95:T95),1),"")</f>
        <v>8</v>
      </c>
      <c r="M95" s="86">
        <v>8.0299999999999994</v>
      </c>
      <c r="N95" s="86">
        <v>7.94</v>
      </c>
      <c r="O95" s="86"/>
      <c r="P95" s="86"/>
      <c r="Q95" s="86"/>
      <c r="R95" s="86"/>
      <c r="S95" s="86"/>
      <c r="T95" s="86"/>
      <c r="U95" s="142">
        <f>IFERROR(ROUND(AVERAGE(V95:AC95),1),"")</f>
        <v>1914.3</v>
      </c>
      <c r="V95" s="88">
        <v>1773.3</v>
      </c>
      <c r="W95" s="88">
        <v>2055.1999999999998</v>
      </c>
      <c r="X95" s="88"/>
      <c r="Y95" s="88"/>
      <c r="Z95" s="88"/>
      <c r="AA95" s="88"/>
      <c r="AB95" s="88"/>
      <c r="AC95" s="88"/>
      <c r="AD95" s="142" t="str">
        <f>IFERROR(ROUND(AVERAGE(AE95:AL95),1),"")</f>
        <v/>
      </c>
      <c r="AE95" s="88"/>
      <c r="AF95" s="88"/>
      <c r="AG95" s="88"/>
      <c r="AH95" s="88"/>
      <c r="AI95" s="88"/>
      <c r="AJ95" s="88"/>
      <c r="AK95" s="88"/>
      <c r="AL95" s="88"/>
      <c r="AM95" s="88">
        <v>60.715204527913549</v>
      </c>
      <c r="AN95" s="88">
        <v>77.740000000000009</v>
      </c>
      <c r="AO95" s="89"/>
      <c r="AP95" s="90"/>
      <c r="AQ95" s="146" t="str">
        <f t="shared" si="25"/>
        <v/>
      </c>
      <c r="AR95" s="146" t="str">
        <f t="shared" si="26"/>
        <v/>
      </c>
      <c r="AS95" s="147">
        <v>0</v>
      </c>
      <c r="AT95" s="148">
        <v>14</v>
      </c>
      <c r="AU95" s="149">
        <v>8.25</v>
      </c>
      <c r="AV95" s="146">
        <f t="shared" si="27"/>
        <v>58.928571428571431</v>
      </c>
      <c r="AW95" s="146">
        <f t="shared" si="28"/>
        <v>41.071428571428569</v>
      </c>
      <c r="AX95" s="138" t="str">
        <f>IFERROR((1-((AV95*AR95)/(AW95*AQ95)))*100,"")</f>
        <v/>
      </c>
      <c r="AY95" s="95">
        <v>76.050000000000011</v>
      </c>
      <c r="AZ95" s="96">
        <v>57.004999999999995</v>
      </c>
      <c r="BA95" s="96"/>
      <c r="BB95" s="96">
        <v>90</v>
      </c>
      <c r="BC95" s="96"/>
      <c r="BD95" s="97">
        <v>77.740000000000009</v>
      </c>
      <c r="BE95" s="142">
        <f t="shared" si="29"/>
        <v>6480</v>
      </c>
      <c r="BF95" s="98">
        <v>148</v>
      </c>
      <c r="BG95" s="98">
        <v>474</v>
      </c>
      <c r="BH95" s="98">
        <v>5858</v>
      </c>
      <c r="BI95" s="98"/>
      <c r="BJ95" s="98"/>
      <c r="BK95" s="98"/>
      <c r="BL95" s="98"/>
    </row>
    <row r="96" spans="1:64" outlineLevel="5" x14ac:dyDescent="0.3">
      <c r="A96" s="152">
        <f t="shared" si="31"/>
        <v>3</v>
      </c>
      <c r="B96" s="153">
        <f t="shared" si="30"/>
        <v>43902</v>
      </c>
      <c r="C96" s="138"/>
      <c r="D96" s="84">
        <v>37</v>
      </c>
      <c r="E96" s="84">
        <v>36</v>
      </c>
      <c r="F96" s="84"/>
      <c r="G96" s="84"/>
      <c r="H96" s="84"/>
      <c r="I96" s="84"/>
      <c r="J96" s="84"/>
      <c r="K96" s="84"/>
      <c r="L96" s="140">
        <f>IFERROR(ROUND(AVERAGE(M96:T96),1),"")</f>
        <v>8</v>
      </c>
      <c r="M96" s="86">
        <v>8.02</v>
      </c>
      <c r="N96" s="86">
        <v>7.93</v>
      </c>
      <c r="O96" s="86"/>
      <c r="P96" s="86"/>
      <c r="Q96" s="86"/>
      <c r="R96" s="86"/>
      <c r="S96" s="86"/>
      <c r="T96" s="86"/>
      <c r="U96" s="142">
        <f>IFERROR(ROUND(AVERAGE(V96:AC96),1),"")</f>
        <v>1903.1</v>
      </c>
      <c r="V96" s="88">
        <v>1686.8</v>
      </c>
      <c r="W96" s="88">
        <v>2119.3000000000002</v>
      </c>
      <c r="X96" s="88"/>
      <c r="Y96" s="88"/>
      <c r="Z96" s="88"/>
      <c r="AA96" s="88"/>
      <c r="AB96" s="88"/>
      <c r="AC96" s="88"/>
      <c r="AD96" s="142" t="str">
        <f>IFERROR(ROUND(AVERAGE(AE96:AL96),1),"")</f>
        <v/>
      </c>
      <c r="AE96" s="88"/>
      <c r="AF96" s="88"/>
      <c r="AG96" s="88"/>
      <c r="AH96" s="88"/>
      <c r="AI96" s="88"/>
      <c r="AJ96" s="88"/>
      <c r="AK96" s="88"/>
      <c r="AL96" s="88"/>
      <c r="AM96" s="88">
        <v>56.764882742032469</v>
      </c>
      <c r="AN96" s="88">
        <v>83.15</v>
      </c>
      <c r="AO96" s="89"/>
      <c r="AP96" s="90"/>
      <c r="AQ96" s="146" t="str">
        <f t="shared" si="25"/>
        <v/>
      </c>
      <c r="AR96" s="146" t="str">
        <f t="shared" si="26"/>
        <v/>
      </c>
      <c r="AS96" s="147">
        <v>0</v>
      </c>
      <c r="AT96" s="148">
        <v>13.899999999999999</v>
      </c>
      <c r="AU96" s="149">
        <v>5.6</v>
      </c>
      <c r="AV96" s="146">
        <f t="shared" si="27"/>
        <v>40.28776978417266</v>
      </c>
      <c r="AW96" s="146">
        <f t="shared" si="28"/>
        <v>59.71223021582734</v>
      </c>
      <c r="AX96" s="138" t="str">
        <f>IFERROR((1-((AV96*AR96)/(AW96*AQ96)))*100,"")</f>
        <v/>
      </c>
      <c r="AY96" s="95">
        <v>73.800000000000011</v>
      </c>
      <c r="AZ96" s="96">
        <v>59.75</v>
      </c>
      <c r="BA96" s="96"/>
      <c r="BB96" s="96">
        <v>104</v>
      </c>
      <c r="BC96" s="96"/>
      <c r="BD96" s="97">
        <v>83.15</v>
      </c>
      <c r="BE96" s="142">
        <f t="shared" si="29"/>
        <v>7497</v>
      </c>
      <c r="BF96" s="98">
        <v>144</v>
      </c>
      <c r="BG96" s="98">
        <v>1169</v>
      </c>
      <c r="BH96" s="98">
        <v>6184</v>
      </c>
      <c r="BI96" s="98"/>
      <c r="BJ96" s="98"/>
      <c r="BK96" s="98"/>
      <c r="BL96" s="98"/>
    </row>
    <row r="97" spans="1:64" outlineLevel="5" x14ac:dyDescent="0.3">
      <c r="A97" s="152">
        <f t="shared" si="31"/>
        <v>3</v>
      </c>
      <c r="B97" s="153">
        <f t="shared" si="30"/>
        <v>43903</v>
      </c>
      <c r="C97" s="138"/>
      <c r="D97" s="84">
        <v>39</v>
      </c>
      <c r="E97" s="84">
        <v>39</v>
      </c>
      <c r="F97" s="84"/>
      <c r="G97" s="84"/>
      <c r="H97" s="84"/>
      <c r="I97" s="84"/>
      <c r="J97" s="84"/>
      <c r="K97" s="84"/>
      <c r="L97" s="140">
        <f>IFERROR(ROUND(AVERAGE(M97:T97),1),"")</f>
        <v>8</v>
      </c>
      <c r="M97" s="86">
        <v>8.02</v>
      </c>
      <c r="N97" s="86">
        <v>7.93</v>
      </c>
      <c r="O97" s="86"/>
      <c r="P97" s="86"/>
      <c r="Q97" s="86"/>
      <c r="R97" s="86"/>
      <c r="S97" s="86"/>
      <c r="T97" s="86"/>
      <c r="U97" s="142">
        <f>IFERROR(ROUND(AVERAGE(V97:AC97),1),"")</f>
        <v>1924.7</v>
      </c>
      <c r="V97" s="88">
        <v>1730</v>
      </c>
      <c r="W97" s="88">
        <v>2119.3000000000002</v>
      </c>
      <c r="X97" s="88"/>
      <c r="Y97" s="88"/>
      <c r="Z97" s="88"/>
      <c r="AA97" s="88"/>
      <c r="AB97" s="88"/>
      <c r="AC97" s="88"/>
      <c r="AD97" s="142" t="str">
        <f>IFERROR(ROUND(AVERAGE(AE97:AL97),1),"")</f>
        <v/>
      </c>
      <c r="AE97" s="88"/>
      <c r="AF97" s="88"/>
      <c r="AG97" s="88"/>
      <c r="AH97" s="88"/>
      <c r="AI97" s="88"/>
      <c r="AJ97" s="88"/>
      <c r="AK97" s="88"/>
      <c r="AL97" s="88"/>
      <c r="AM97" s="88">
        <v>54.737330395454023</v>
      </c>
      <c r="AN97" s="88">
        <v>86.22999999999999</v>
      </c>
      <c r="AO97" s="89">
        <v>20.2</v>
      </c>
      <c r="AP97" s="90">
        <v>17.513400000000001</v>
      </c>
      <c r="AQ97" s="146">
        <f t="shared" si="25"/>
        <v>86.700000000000017</v>
      </c>
      <c r="AR97" s="146">
        <f t="shared" si="26"/>
        <v>13.299999999999983</v>
      </c>
      <c r="AS97" s="147">
        <v>0</v>
      </c>
      <c r="AT97" s="148" t="s">
        <v>56</v>
      </c>
      <c r="AU97" s="149" t="s">
        <v>56</v>
      </c>
      <c r="AV97" s="146" t="str">
        <f t="shared" si="27"/>
        <v/>
      </c>
      <c r="AW97" s="146" t="str">
        <f t="shared" si="28"/>
        <v/>
      </c>
      <c r="AX97" s="138" t="str">
        <f>IFERROR((1-((AV97*AR97)/(AW97*AQ97)))*100,"")</f>
        <v/>
      </c>
      <c r="AY97" s="95" t="s">
        <v>56</v>
      </c>
      <c r="AZ97" s="96">
        <v>62.075000000000003</v>
      </c>
      <c r="BA97" s="96"/>
      <c r="BB97" s="96">
        <v>74.5</v>
      </c>
      <c r="BC97" s="96"/>
      <c r="BD97" s="97">
        <v>86.22999999999999</v>
      </c>
      <c r="BE97" s="142">
        <f t="shared" si="29"/>
        <v>6208</v>
      </c>
      <c r="BF97" s="98">
        <v>76</v>
      </c>
      <c r="BG97" s="98">
        <v>0</v>
      </c>
      <c r="BH97" s="98">
        <v>6132</v>
      </c>
      <c r="BI97" s="98"/>
      <c r="BJ97" s="98"/>
      <c r="BK97" s="98"/>
      <c r="BL97" s="98"/>
    </row>
    <row r="98" spans="1:64" outlineLevel="5" x14ac:dyDescent="0.3">
      <c r="A98" s="152">
        <f t="shared" si="31"/>
        <v>3</v>
      </c>
      <c r="B98" s="153">
        <f t="shared" si="30"/>
        <v>43904</v>
      </c>
      <c r="C98" s="138"/>
      <c r="D98" s="84">
        <v>40</v>
      </c>
      <c r="E98" s="84">
        <v>40</v>
      </c>
      <c r="F98" s="84"/>
      <c r="G98" s="84"/>
      <c r="H98" s="84"/>
      <c r="I98" s="84"/>
      <c r="J98" s="84"/>
      <c r="K98" s="84"/>
      <c r="L98" s="140" t="str">
        <f>IFERROR(ROUND(AVERAGE(M98:T98),1),"")</f>
        <v/>
      </c>
      <c r="M98" s="86"/>
      <c r="N98" s="86"/>
      <c r="O98" s="86"/>
      <c r="P98" s="86"/>
      <c r="Q98" s="86"/>
      <c r="R98" s="86"/>
      <c r="S98" s="86"/>
      <c r="T98" s="86"/>
      <c r="U98" s="142" t="str">
        <f>IFERROR(ROUND(AVERAGE(V98:AC98),1),"")</f>
        <v/>
      </c>
      <c r="V98" s="88"/>
      <c r="W98" s="88"/>
      <c r="X98" s="88"/>
      <c r="Y98" s="88"/>
      <c r="Z98" s="88"/>
      <c r="AA98" s="88"/>
      <c r="AB98" s="88"/>
      <c r="AC98" s="88"/>
      <c r="AD98" s="142" t="str">
        <f>IFERROR(ROUND(AVERAGE(AE98:AL98),1),"")</f>
        <v/>
      </c>
      <c r="AE98" s="88"/>
      <c r="AF98" s="88"/>
      <c r="AG98" s="88"/>
      <c r="AH98" s="88"/>
      <c r="AI98" s="88"/>
      <c r="AJ98" s="88"/>
      <c r="AK98" s="88"/>
      <c r="AL98" s="88"/>
      <c r="AM98" s="88">
        <v>58.128078817734</v>
      </c>
      <c r="AN98" s="88">
        <v>81.199999999999989</v>
      </c>
      <c r="AO98" s="89" t="s">
        <v>56</v>
      </c>
      <c r="AP98" s="90" t="s">
        <v>56</v>
      </c>
      <c r="AQ98" s="146" t="str">
        <f t="shared" si="25"/>
        <v/>
      </c>
      <c r="AR98" s="146" t="str">
        <f t="shared" si="26"/>
        <v/>
      </c>
      <c r="AS98" s="147">
        <v>0</v>
      </c>
      <c r="AT98" s="148" t="s">
        <v>56</v>
      </c>
      <c r="AU98" s="149" t="s">
        <v>56</v>
      </c>
      <c r="AV98" s="146" t="str">
        <f t="shared" si="27"/>
        <v/>
      </c>
      <c r="AW98" s="146" t="str">
        <f t="shared" si="28"/>
        <v/>
      </c>
      <c r="AX98" s="138" t="str">
        <f>IFERROR((1-((AV98*AR98)/(AW98*AQ98)))*100,"")</f>
        <v/>
      </c>
      <c r="AY98" s="95" t="s">
        <v>56</v>
      </c>
      <c r="AZ98" s="96">
        <v>60.08</v>
      </c>
      <c r="BA98" s="96"/>
      <c r="BB98" s="96">
        <v>79</v>
      </c>
      <c r="BC98" s="96"/>
      <c r="BD98" s="97">
        <v>81.199999999999989</v>
      </c>
      <c r="BE98" s="142">
        <f t="shared" si="29"/>
        <v>7563</v>
      </c>
      <c r="BF98" s="98">
        <v>68</v>
      </c>
      <c r="BG98" s="98">
        <v>0</v>
      </c>
      <c r="BH98" s="98">
        <v>7495</v>
      </c>
      <c r="BI98" s="98"/>
      <c r="BJ98" s="98"/>
      <c r="BK98" s="98"/>
      <c r="BL98" s="98"/>
    </row>
    <row r="99" spans="1:64" outlineLevel="5" x14ac:dyDescent="0.3">
      <c r="A99" s="152">
        <f t="shared" si="31"/>
        <v>3</v>
      </c>
      <c r="B99" s="153">
        <f t="shared" si="30"/>
        <v>43905</v>
      </c>
      <c r="C99" s="138"/>
      <c r="D99" s="84">
        <v>40</v>
      </c>
      <c r="E99" s="84">
        <v>40</v>
      </c>
      <c r="F99" s="84"/>
      <c r="G99" s="84"/>
      <c r="H99" s="84"/>
      <c r="I99" s="84"/>
      <c r="J99" s="84"/>
      <c r="K99" s="84"/>
      <c r="L99" s="140" t="str">
        <f>IFERROR(ROUND(AVERAGE(M99:T99),1),"")</f>
        <v/>
      </c>
      <c r="M99" s="86"/>
      <c r="N99" s="86"/>
      <c r="O99" s="86"/>
      <c r="P99" s="86"/>
      <c r="Q99" s="86"/>
      <c r="R99" s="86"/>
      <c r="S99" s="86"/>
      <c r="T99" s="86"/>
      <c r="U99" s="142" t="str">
        <f>IFERROR(ROUND(AVERAGE(V99:AC99),1),"")</f>
        <v/>
      </c>
      <c r="V99" s="88"/>
      <c r="W99" s="88"/>
      <c r="X99" s="88"/>
      <c r="Y99" s="88"/>
      <c r="Z99" s="88"/>
      <c r="AA99" s="88"/>
      <c r="AB99" s="88"/>
      <c r="AC99" s="88"/>
      <c r="AD99" s="142" t="str">
        <f>IFERROR(ROUND(AVERAGE(AE99:AL99),1),"")</f>
        <v/>
      </c>
      <c r="AE99" s="88"/>
      <c r="AF99" s="88"/>
      <c r="AG99" s="88"/>
      <c r="AH99" s="88"/>
      <c r="AI99" s="88"/>
      <c r="AJ99" s="88"/>
      <c r="AK99" s="88"/>
      <c r="AL99" s="88"/>
      <c r="AM99" s="88">
        <v>59</v>
      </c>
      <c r="AN99" s="88">
        <v>80</v>
      </c>
      <c r="AO99" s="89" t="s">
        <v>56</v>
      </c>
      <c r="AP99" s="90" t="s">
        <v>56</v>
      </c>
      <c r="AQ99" s="146" t="str">
        <f t="shared" si="25"/>
        <v/>
      </c>
      <c r="AR99" s="146" t="str">
        <f t="shared" si="26"/>
        <v/>
      </c>
      <c r="AS99" s="147">
        <v>0</v>
      </c>
      <c r="AT99" s="148" t="s">
        <v>56</v>
      </c>
      <c r="AU99" s="149" t="s">
        <v>56</v>
      </c>
      <c r="AV99" s="146" t="str">
        <f t="shared" si="27"/>
        <v/>
      </c>
      <c r="AW99" s="146" t="str">
        <f t="shared" si="28"/>
        <v/>
      </c>
      <c r="AX99" s="138" t="str">
        <f>IFERROR((1-((AV99*AR99)/(AW99*AQ99)))*100,"")</f>
        <v/>
      </c>
      <c r="AY99" s="95" t="s">
        <v>56</v>
      </c>
      <c r="AZ99" s="96">
        <v>63.314999999999998</v>
      </c>
      <c r="BA99" s="96"/>
      <c r="BB99" s="96">
        <v>67</v>
      </c>
      <c r="BC99" s="96"/>
      <c r="BD99" s="97">
        <v>80</v>
      </c>
      <c r="BE99" s="142">
        <f t="shared" si="29"/>
        <v>7411</v>
      </c>
      <c r="BF99" s="98">
        <v>0</v>
      </c>
      <c r="BG99" s="98">
        <v>0</v>
      </c>
      <c r="BH99" s="98">
        <v>7411</v>
      </c>
      <c r="BI99" s="98"/>
      <c r="BJ99" s="98"/>
      <c r="BK99" s="98"/>
      <c r="BL99" s="98"/>
    </row>
    <row r="100" spans="1:64" outlineLevel="5" x14ac:dyDescent="0.3">
      <c r="A100" s="152">
        <f t="shared" si="31"/>
        <v>3</v>
      </c>
      <c r="B100" s="153">
        <f t="shared" si="30"/>
        <v>43906</v>
      </c>
      <c r="C100" s="138"/>
      <c r="D100" s="84">
        <v>39</v>
      </c>
      <c r="E100" s="84">
        <v>38</v>
      </c>
      <c r="F100" s="84"/>
      <c r="G100" s="84"/>
      <c r="H100" s="84"/>
      <c r="I100" s="84"/>
      <c r="J100" s="84"/>
      <c r="K100" s="84"/>
      <c r="L100" s="140">
        <f>IFERROR(ROUND(AVERAGE(M100:T100),1),"")</f>
        <v>8.1</v>
      </c>
      <c r="M100" s="86">
        <v>8.0500000000000007</v>
      </c>
      <c r="N100" s="86"/>
      <c r="O100" s="86"/>
      <c r="P100" s="86"/>
      <c r="Q100" s="86"/>
      <c r="R100" s="86"/>
      <c r="S100" s="86"/>
      <c r="T100" s="86"/>
      <c r="U100" s="142">
        <f>IFERROR(ROUND(AVERAGE(V100:AC100),1),"")</f>
        <v>1522.4</v>
      </c>
      <c r="V100" s="88">
        <v>1522.4</v>
      </c>
      <c r="W100" s="88"/>
      <c r="X100" s="88"/>
      <c r="Y100" s="88"/>
      <c r="Z100" s="88"/>
      <c r="AA100" s="88"/>
      <c r="AB100" s="88"/>
      <c r="AC100" s="88"/>
      <c r="AD100" s="142" t="str">
        <f>IFERROR(ROUND(AVERAGE(AE100:AL100),1),"")</f>
        <v/>
      </c>
      <c r="AE100" s="88"/>
      <c r="AF100" s="88"/>
      <c r="AG100" s="88"/>
      <c r="AH100" s="88"/>
      <c r="AI100" s="88"/>
      <c r="AJ100" s="88"/>
      <c r="AK100" s="88"/>
      <c r="AL100" s="88"/>
      <c r="AM100" s="88">
        <v>97.019527235354573</v>
      </c>
      <c r="AN100" s="88">
        <v>48.65</v>
      </c>
      <c r="AO100" s="89" t="s">
        <v>56</v>
      </c>
      <c r="AP100" s="90" t="s">
        <v>56</v>
      </c>
      <c r="AQ100" s="146" t="str">
        <f t="shared" si="25"/>
        <v/>
      </c>
      <c r="AR100" s="146" t="str">
        <f t="shared" si="26"/>
        <v/>
      </c>
      <c r="AS100" s="147">
        <v>0</v>
      </c>
      <c r="AT100" s="148">
        <v>15.2</v>
      </c>
      <c r="AU100" s="149">
        <v>9.1999999999999993</v>
      </c>
      <c r="AV100" s="146">
        <f t="shared" si="27"/>
        <v>60.526315789473685</v>
      </c>
      <c r="AW100" s="146">
        <f t="shared" si="28"/>
        <v>39.473684210526315</v>
      </c>
      <c r="AX100" s="138" t="str">
        <f>IFERROR((1-((AV100*AR100)/(AW100*AQ100)))*100,"")</f>
        <v/>
      </c>
      <c r="AY100" s="95">
        <v>74.5</v>
      </c>
      <c r="AZ100" s="96">
        <v>60.945</v>
      </c>
      <c r="BA100" s="96"/>
      <c r="BB100" s="96">
        <v>69</v>
      </c>
      <c r="BC100" s="96"/>
      <c r="BD100" s="97">
        <v>48.65</v>
      </c>
      <c r="BE100" s="142">
        <f t="shared" si="29"/>
        <v>6182</v>
      </c>
      <c r="BF100" s="98">
        <v>0</v>
      </c>
      <c r="BG100" s="98">
        <v>0</v>
      </c>
      <c r="BH100" s="98">
        <v>6182</v>
      </c>
      <c r="BI100" s="98"/>
      <c r="BJ100" s="98"/>
      <c r="BK100" s="98"/>
      <c r="BL100" s="98"/>
    </row>
    <row r="101" spans="1:64" outlineLevel="5" x14ac:dyDescent="0.3">
      <c r="A101" s="152">
        <f t="shared" si="31"/>
        <v>3</v>
      </c>
      <c r="B101" s="153">
        <f t="shared" si="30"/>
        <v>43907</v>
      </c>
      <c r="C101" s="138"/>
      <c r="D101" s="84">
        <v>38</v>
      </c>
      <c r="E101" s="84">
        <v>40</v>
      </c>
      <c r="F101" s="84"/>
      <c r="G101" s="84"/>
      <c r="H101" s="84"/>
      <c r="I101" s="84"/>
      <c r="J101" s="84"/>
      <c r="K101" s="84"/>
      <c r="L101" s="140">
        <f>IFERROR(ROUND(AVERAGE(M101:T101),1),"")</f>
        <v>8</v>
      </c>
      <c r="M101" s="86">
        <v>8.01</v>
      </c>
      <c r="N101" s="86">
        <v>7.95</v>
      </c>
      <c r="O101" s="86"/>
      <c r="P101" s="86"/>
      <c r="Q101" s="86"/>
      <c r="R101" s="86"/>
      <c r="S101" s="86"/>
      <c r="T101" s="86"/>
      <c r="U101" s="142">
        <f>IFERROR(ROUND(AVERAGE(V101:AC101),1),"")</f>
        <v>2249</v>
      </c>
      <c r="V101" s="88">
        <v>2162.5</v>
      </c>
      <c r="W101" s="88">
        <v>2335.5</v>
      </c>
      <c r="X101" s="88"/>
      <c r="Y101" s="88"/>
      <c r="Z101" s="88"/>
      <c r="AA101" s="88"/>
      <c r="AB101" s="88"/>
      <c r="AC101" s="88"/>
      <c r="AD101" s="142" t="str">
        <f>IFERROR(ROUND(AVERAGE(AE101:AL101),1),"")</f>
        <v/>
      </c>
      <c r="AE101" s="88"/>
      <c r="AF101" s="88"/>
      <c r="AG101" s="88"/>
      <c r="AH101" s="88"/>
      <c r="AI101" s="88"/>
      <c r="AJ101" s="88"/>
      <c r="AK101" s="88"/>
      <c r="AL101" s="88"/>
      <c r="AM101" s="88">
        <v>56.311142925316162</v>
      </c>
      <c r="AN101" s="88">
        <v>83.82</v>
      </c>
      <c r="AO101" s="89" t="s">
        <v>56</v>
      </c>
      <c r="AP101" s="90"/>
      <c r="AQ101" s="146" t="str">
        <f t="shared" si="25"/>
        <v/>
      </c>
      <c r="AR101" s="146" t="str">
        <f t="shared" si="26"/>
        <v/>
      </c>
      <c r="AS101" s="147">
        <v>0</v>
      </c>
      <c r="AT101" s="148" t="s">
        <v>56</v>
      </c>
      <c r="AU101" s="149" t="s">
        <v>56</v>
      </c>
      <c r="AV101" s="146" t="str">
        <f t="shared" si="27"/>
        <v/>
      </c>
      <c r="AW101" s="146" t="str">
        <f t="shared" si="28"/>
        <v/>
      </c>
      <c r="AX101" s="138" t="str">
        <f>IFERROR((1-((AV101*AR101)/(AW101*AQ101)))*100,"")</f>
        <v/>
      </c>
      <c r="AY101" s="95" t="s">
        <v>56</v>
      </c>
      <c r="AZ101" s="96">
        <v>58.08</v>
      </c>
      <c r="BA101" s="96"/>
      <c r="BB101" s="96">
        <v>67.5</v>
      </c>
      <c r="BC101" s="96"/>
      <c r="BD101" s="97">
        <v>83.82</v>
      </c>
      <c r="BE101" s="142">
        <f t="shared" si="29"/>
        <v>9156</v>
      </c>
      <c r="BF101" s="98">
        <v>64</v>
      </c>
      <c r="BG101" s="98">
        <v>534</v>
      </c>
      <c r="BH101" s="98">
        <v>8558</v>
      </c>
      <c r="BI101" s="98"/>
      <c r="BJ101" s="98"/>
      <c r="BK101" s="98"/>
      <c r="BL101" s="98"/>
    </row>
    <row r="102" spans="1:64" outlineLevel="5" x14ac:dyDescent="0.3">
      <c r="A102" s="152">
        <f t="shared" si="31"/>
        <v>3</v>
      </c>
      <c r="B102" s="153">
        <f t="shared" si="30"/>
        <v>43908</v>
      </c>
      <c r="C102" s="138"/>
      <c r="D102" s="84">
        <v>39</v>
      </c>
      <c r="E102" s="84">
        <v>40</v>
      </c>
      <c r="F102" s="84"/>
      <c r="G102" s="84"/>
      <c r="H102" s="84"/>
      <c r="I102" s="84"/>
      <c r="J102" s="84"/>
      <c r="K102" s="84"/>
      <c r="L102" s="140">
        <f>IFERROR(ROUND(AVERAGE(M102:T102),1),"")</f>
        <v>8</v>
      </c>
      <c r="M102" s="86">
        <v>8</v>
      </c>
      <c r="N102" s="86">
        <v>7.94</v>
      </c>
      <c r="O102" s="86"/>
      <c r="P102" s="86"/>
      <c r="Q102" s="86"/>
      <c r="R102" s="86"/>
      <c r="S102" s="86"/>
      <c r="T102" s="86"/>
      <c r="U102" s="142">
        <f>IFERROR(ROUND(AVERAGE(V102:AC102),1),"")</f>
        <v>1827.4</v>
      </c>
      <c r="V102" s="88">
        <v>1617.6</v>
      </c>
      <c r="W102" s="88">
        <v>2037.1</v>
      </c>
      <c r="X102" s="88"/>
      <c r="Y102" s="88"/>
      <c r="Z102" s="88"/>
      <c r="AA102" s="88"/>
      <c r="AB102" s="88"/>
      <c r="AC102" s="88"/>
      <c r="AD102" s="142" t="str">
        <f>IFERROR(ROUND(AVERAGE(AE102:AL102),1),"")</f>
        <v/>
      </c>
      <c r="AE102" s="88"/>
      <c r="AF102" s="88"/>
      <c r="AG102" s="88"/>
      <c r="AH102" s="88"/>
      <c r="AI102" s="88"/>
      <c r="AJ102" s="88"/>
      <c r="AK102" s="88"/>
      <c r="AL102" s="88"/>
      <c r="AM102" s="88">
        <v>55.230517201029727</v>
      </c>
      <c r="AN102" s="88">
        <v>85.46</v>
      </c>
      <c r="AO102" s="89"/>
      <c r="AP102" s="90"/>
      <c r="AQ102" s="146" t="str">
        <f t="shared" si="25"/>
        <v/>
      </c>
      <c r="AR102" s="146" t="str">
        <f t="shared" si="26"/>
        <v/>
      </c>
      <c r="AS102" s="147">
        <v>0</v>
      </c>
      <c r="AT102" s="148">
        <v>14.5</v>
      </c>
      <c r="AU102" s="149">
        <v>8.85</v>
      </c>
      <c r="AV102" s="146">
        <f t="shared" si="27"/>
        <v>61.03448275862069</v>
      </c>
      <c r="AW102" s="146">
        <f t="shared" si="28"/>
        <v>38.96551724137931</v>
      </c>
      <c r="AX102" s="138" t="str">
        <f>IFERROR((1-((AV102*AR102)/(AW102*AQ102)))*100,"")</f>
        <v/>
      </c>
      <c r="AY102" s="95">
        <v>70.8</v>
      </c>
      <c r="AZ102" s="96">
        <v>58.325000000000003</v>
      </c>
      <c r="BA102" s="96"/>
      <c r="BB102" s="96">
        <v>89</v>
      </c>
      <c r="BC102" s="96"/>
      <c r="BD102" s="97">
        <v>85.46</v>
      </c>
      <c r="BE102" s="142">
        <f t="shared" si="29"/>
        <v>6862</v>
      </c>
      <c r="BF102" s="98">
        <v>75</v>
      </c>
      <c r="BG102" s="98">
        <v>1630</v>
      </c>
      <c r="BH102" s="98">
        <v>5157</v>
      </c>
      <c r="BI102" s="98"/>
      <c r="BJ102" s="98"/>
      <c r="BK102" s="98"/>
      <c r="BL102" s="98"/>
    </row>
    <row r="103" spans="1:64" outlineLevel="5" x14ac:dyDescent="0.3">
      <c r="A103" s="152">
        <f t="shared" si="31"/>
        <v>3</v>
      </c>
      <c r="B103" s="153">
        <f t="shared" si="30"/>
        <v>43909</v>
      </c>
      <c r="C103" s="138"/>
      <c r="D103" s="84">
        <v>39</v>
      </c>
      <c r="E103" s="84">
        <v>38</v>
      </c>
      <c r="F103" s="84"/>
      <c r="G103" s="84"/>
      <c r="H103" s="84"/>
      <c r="I103" s="84"/>
      <c r="J103" s="84"/>
      <c r="K103" s="84"/>
      <c r="L103" s="140">
        <f>IFERROR(ROUND(AVERAGE(M103:T103),1),"")</f>
        <v>8</v>
      </c>
      <c r="M103" s="86">
        <v>8.0299999999999994</v>
      </c>
      <c r="N103" s="86">
        <v>7.97</v>
      </c>
      <c r="O103" s="86"/>
      <c r="P103" s="86"/>
      <c r="Q103" s="86"/>
      <c r="R103" s="86"/>
      <c r="S103" s="86"/>
      <c r="T103" s="86"/>
      <c r="U103" s="142">
        <f>IFERROR(ROUND(AVERAGE(V103:AC103),1),"")</f>
        <v>1448.9</v>
      </c>
      <c r="V103" s="88">
        <v>2032.8</v>
      </c>
      <c r="W103" s="88">
        <v>865</v>
      </c>
      <c r="X103" s="88"/>
      <c r="Y103" s="88"/>
      <c r="Z103" s="88"/>
      <c r="AA103" s="88"/>
      <c r="AB103" s="88"/>
      <c r="AC103" s="88"/>
      <c r="AD103" s="142" t="str">
        <f>IFERROR(ROUND(AVERAGE(AE103:AL103),1),"")</f>
        <v/>
      </c>
      <c r="AE103" s="88"/>
      <c r="AF103" s="88"/>
      <c r="AG103" s="88"/>
      <c r="AH103" s="88"/>
      <c r="AI103" s="88"/>
      <c r="AJ103" s="88"/>
      <c r="AK103" s="88"/>
      <c r="AL103" s="88"/>
      <c r="AM103" s="88">
        <v>53.789173789173788</v>
      </c>
      <c r="AN103" s="88">
        <v>87.75</v>
      </c>
      <c r="AO103" s="89"/>
      <c r="AP103" s="90"/>
      <c r="AQ103" s="146" t="str">
        <f t="shared" si="25"/>
        <v/>
      </c>
      <c r="AR103" s="146" t="str">
        <f t="shared" si="26"/>
        <v/>
      </c>
      <c r="AS103" s="147">
        <v>0</v>
      </c>
      <c r="AT103" s="148">
        <v>14.8</v>
      </c>
      <c r="AU103" s="149">
        <v>8.3999999999999986</v>
      </c>
      <c r="AV103" s="146">
        <f t="shared" si="27"/>
        <v>56.756756756756744</v>
      </c>
      <c r="AW103" s="146">
        <f t="shared" si="28"/>
        <v>43.243243243243256</v>
      </c>
      <c r="AX103" s="138" t="str">
        <f>IFERROR((1-((AV103*AR103)/(AW103*AQ103)))*100,"")</f>
        <v/>
      </c>
      <c r="AY103" s="95">
        <v>76.95</v>
      </c>
      <c r="AZ103" s="96">
        <v>60.625</v>
      </c>
      <c r="BA103" s="96"/>
      <c r="BB103" s="96">
        <v>93.5</v>
      </c>
      <c r="BC103" s="96"/>
      <c r="BD103" s="97">
        <v>87.75</v>
      </c>
      <c r="BE103" s="142">
        <f t="shared" si="29"/>
        <v>4154</v>
      </c>
      <c r="BF103" s="98">
        <v>129</v>
      </c>
      <c r="BG103" s="98">
        <v>216</v>
      </c>
      <c r="BH103" s="98">
        <v>3809</v>
      </c>
      <c r="BI103" s="98"/>
      <c r="BJ103" s="98"/>
      <c r="BK103" s="98"/>
      <c r="BL103" s="98"/>
    </row>
    <row r="104" spans="1:64" outlineLevel="5" x14ac:dyDescent="0.3">
      <c r="A104" s="152">
        <f t="shared" si="31"/>
        <v>3</v>
      </c>
      <c r="B104" s="153">
        <f t="shared" si="30"/>
        <v>43910</v>
      </c>
      <c r="C104" s="138"/>
      <c r="D104" s="84">
        <v>37</v>
      </c>
      <c r="E104" s="84">
        <v>37</v>
      </c>
      <c r="F104" s="84"/>
      <c r="G104" s="84"/>
      <c r="H104" s="84"/>
      <c r="I104" s="84"/>
      <c r="J104" s="84"/>
      <c r="K104" s="84"/>
      <c r="L104" s="140" t="str">
        <f>IFERROR(ROUND(AVERAGE(M104:T104),1),"")</f>
        <v/>
      </c>
      <c r="M104" s="86"/>
      <c r="N104" s="86"/>
      <c r="O104" s="86"/>
      <c r="P104" s="86"/>
      <c r="Q104" s="86"/>
      <c r="R104" s="86"/>
      <c r="S104" s="86"/>
      <c r="T104" s="86"/>
      <c r="U104" s="142" t="str">
        <f>IFERROR(ROUND(AVERAGE(V104:AC104),1),"")</f>
        <v/>
      </c>
      <c r="V104" s="88"/>
      <c r="W104" s="88"/>
      <c r="X104" s="88"/>
      <c r="Y104" s="88"/>
      <c r="Z104" s="88"/>
      <c r="AA104" s="88"/>
      <c r="AB104" s="88"/>
      <c r="AC104" s="88"/>
      <c r="AD104" s="142" t="str">
        <f>IFERROR(ROUND(AVERAGE(AE104:AL104),1),"")</f>
        <v/>
      </c>
      <c r="AE104" s="88"/>
      <c r="AF104" s="88"/>
      <c r="AG104" s="88"/>
      <c r="AH104" s="88"/>
      <c r="AI104" s="88"/>
      <c r="AJ104" s="88"/>
      <c r="AK104" s="88"/>
      <c r="AL104" s="88"/>
      <c r="AM104" s="88">
        <v>58.26441180101223</v>
      </c>
      <c r="AN104" s="88">
        <v>81.009999999999991</v>
      </c>
      <c r="AO104" s="89">
        <v>21</v>
      </c>
      <c r="AP104" s="90">
        <v>16.527000000000001</v>
      </c>
      <c r="AQ104" s="146">
        <f t="shared" si="25"/>
        <v>78.7</v>
      </c>
      <c r="AR104" s="146">
        <f t="shared" si="26"/>
        <v>21.299999999999997</v>
      </c>
      <c r="AS104" s="147">
        <v>0</v>
      </c>
      <c r="AT104" s="148" t="s">
        <v>56</v>
      </c>
      <c r="AU104" s="149" t="s">
        <v>56</v>
      </c>
      <c r="AV104" s="146" t="str">
        <f t="shared" si="27"/>
        <v/>
      </c>
      <c r="AW104" s="146" t="str">
        <f t="shared" si="28"/>
        <v/>
      </c>
      <c r="AX104" s="138" t="str">
        <f>IFERROR((1-((AV104*AR104)/(AW104*AQ104)))*100,"")</f>
        <v/>
      </c>
      <c r="AY104" s="95" t="s">
        <v>56</v>
      </c>
      <c r="AZ104" s="96">
        <v>62.204999999999998</v>
      </c>
      <c r="BA104" s="96"/>
      <c r="BB104" s="96">
        <v>97</v>
      </c>
      <c r="BC104" s="96"/>
      <c r="BD104" s="97">
        <v>81.009999999999991</v>
      </c>
      <c r="BE104" s="142">
        <f t="shared" si="29"/>
        <v>3147</v>
      </c>
      <c r="BF104" s="98">
        <v>72</v>
      </c>
      <c r="BG104" s="98">
        <v>247</v>
      </c>
      <c r="BH104" s="98">
        <v>2828</v>
      </c>
      <c r="BI104" s="98"/>
      <c r="BJ104" s="98"/>
      <c r="BK104" s="98"/>
      <c r="BL104" s="98"/>
    </row>
    <row r="105" spans="1:64" outlineLevel="5" x14ac:dyDescent="0.3">
      <c r="A105" s="152">
        <f t="shared" si="31"/>
        <v>3</v>
      </c>
      <c r="B105" s="153">
        <f t="shared" si="30"/>
        <v>43911</v>
      </c>
      <c r="C105" s="138"/>
      <c r="D105" s="84">
        <v>40</v>
      </c>
      <c r="E105" s="84">
        <v>40</v>
      </c>
      <c r="F105" s="84"/>
      <c r="G105" s="84"/>
      <c r="H105" s="84"/>
      <c r="I105" s="84"/>
      <c r="J105" s="84"/>
      <c r="K105" s="84"/>
      <c r="L105" s="140" t="str">
        <f>IFERROR(ROUND(AVERAGE(M105:T105),1),"")</f>
        <v/>
      </c>
      <c r="M105" s="86"/>
      <c r="N105" s="86"/>
      <c r="O105" s="86"/>
      <c r="P105" s="86"/>
      <c r="Q105" s="86"/>
      <c r="R105" s="86"/>
      <c r="S105" s="86"/>
      <c r="T105" s="86"/>
      <c r="U105" s="142" t="str">
        <f>IFERROR(ROUND(AVERAGE(V105:AC105),1),"")</f>
        <v/>
      </c>
      <c r="V105" s="88"/>
      <c r="W105" s="88"/>
      <c r="X105" s="88"/>
      <c r="Y105" s="88"/>
      <c r="Z105" s="88"/>
      <c r="AA105" s="88"/>
      <c r="AB105" s="88"/>
      <c r="AC105" s="88"/>
      <c r="AD105" s="142" t="str">
        <f>IFERROR(ROUND(AVERAGE(AE105:AL105),1),"")</f>
        <v/>
      </c>
      <c r="AE105" s="88"/>
      <c r="AF105" s="88"/>
      <c r="AG105" s="88"/>
      <c r="AH105" s="88"/>
      <c r="AI105" s="88"/>
      <c r="AJ105" s="88"/>
      <c r="AK105" s="88"/>
      <c r="AL105" s="88"/>
      <c r="AM105" s="88">
        <v>64.897566341262205</v>
      </c>
      <c r="AN105" s="88">
        <v>72.72999999999999</v>
      </c>
      <c r="AO105" s="89" t="s">
        <v>56</v>
      </c>
      <c r="AP105" s="90" t="s">
        <v>56</v>
      </c>
      <c r="AQ105" s="146" t="str">
        <f t="shared" si="25"/>
        <v/>
      </c>
      <c r="AR105" s="146" t="str">
        <f t="shared" si="26"/>
        <v/>
      </c>
      <c r="AS105" s="147">
        <v>0</v>
      </c>
      <c r="AT105" s="148" t="s">
        <v>56</v>
      </c>
      <c r="AU105" s="149" t="s">
        <v>56</v>
      </c>
      <c r="AV105" s="146" t="str">
        <f t="shared" si="27"/>
        <v/>
      </c>
      <c r="AW105" s="146" t="str">
        <f t="shared" si="28"/>
        <v/>
      </c>
      <c r="AX105" s="138" t="str">
        <f>IFERROR((1-((AV105*AR105)/(AW105*AQ105)))*100,"")</f>
        <v/>
      </c>
      <c r="AY105" s="95" t="s">
        <v>56</v>
      </c>
      <c r="AZ105" s="96">
        <v>59.78</v>
      </c>
      <c r="BA105" s="96"/>
      <c r="BB105" s="96">
        <v>91.5</v>
      </c>
      <c r="BC105" s="96"/>
      <c r="BD105" s="97">
        <v>72.72999999999999</v>
      </c>
      <c r="BE105" s="142">
        <f t="shared" si="29"/>
        <v>3971</v>
      </c>
      <c r="BF105" s="98">
        <v>75</v>
      </c>
      <c r="BG105" s="98">
        <v>730</v>
      </c>
      <c r="BH105" s="98">
        <v>3166</v>
      </c>
      <c r="BI105" s="98"/>
      <c r="BJ105" s="98"/>
      <c r="BK105" s="98"/>
      <c r="BL105" s="98"/>
    </row>
    <row r="106" spans="1:64" outlineLevel="5" x14ac:dyDescent="0.3">
      <c r="A106" s="152">
        <f t="shared" si="31"/>
        <v>3</v>
      </c>
      <c r="B106" s="153">
        <f t="shared" si="30"/>
        <v>43912</v>
      </c>
      <c r="C106" s="138"/>
      <c r="D106" s="84">
        <v>39</v>
      </c>
      <c r="E106" s="84">
        <v>39</v>
      </c>
      <c r="F106" s="84"/>
      <c r="G106" s="84"/>
      <c r="H106" s="84"/>
      <c r="I106" s="84"/>
      <c r="J106" s="84"/>
      <c r="K106" s="84"/>
      <c r="L106" s="140" t="str">
        <f>IFERROR(ROUND(AVERAGE(M106:T106),1),"")</f>
        <v/>
      </c>
      <c r="M106" s="86"/>
      <c r="N106" s="86"/>
      <c r="O106" s="86"/>
      <c r="P106" s="86"/>
      <c r="Q106" s="86"/>
      <c r="R106" s="86"/>
      <c r="S106" s="86"/>
      <c r="T106" s="86"/>
      <c r="U106" s="142" t="str">
        <f>IFERROR(ROUND(AVERAGE(V106:AC106),1),"")</f>
        <v/>
      </c>
      <c r="V106" s="88"/>
      <c r="W106" s="88"/>
      <c r="X106" s="88"/>
      <c r="Y106" s="88"/>
      <c r="Z106" s="88"/>
      <c r="AA106" s="88"/>
      <c r="AB106" s="88"/>
      <c r="AC106" s="88"/>
      <c r="AD106" s="142" t="str">
        <f>IFERROR(ROUND(AVERAGE(AE106:AL106),1),"")</f>
        <v/>
      </c>
      <c r="AE106" s="88"/>
      <c r="AF106" s="88"/>
      <c r="AG106" s="88"/>
      <c r="AH106" s="88"/>
      <c r="AI106" s="88"/>
      <c r="AJ106" s="88"/>
      <c r="AK106" s="88"/>
      <c r="AL106" s="88"/>
      <c r="AM106" s="88">
        <v>62.93333333333333</v>
      </c>
      <c r="AN106" s="88">
        <v>75</v>
      </c>
      <c r="AO106" s="89" t="s">
        <v>56</v>
      </c>
      <c r="AP106" s="90" t="s">
        <v>56</v>
      </c>
      <c r="AQ106" s="146" t="str">
        <f t="shared" si="25"/>
        <v/>
      </c>
      <c r="AR106" s="146" t="str">
        <f t="shared" si="26"/>
        <v/>
      </c>
      <c r="AS106" s="147">
        <v>0</v>
      </c>
      <c r="AT106" s="148" t="s">
        <v>56</v>
      </c>
      <c r="AU106" s="149" t="s">
        <v>56</v>
      </c>
      <c r="AV106" s="146" t="str">
        <f t="shared" si="27"/>
        <v/>
      </c>
      <c r="AW106" s="146" t="str">
        <f t="shared" si="28"/>
        <v/>
      </c>
      <c r="AX106" s="138" t="str">
        <f>IFERROR((1-((AV106*AR106)/(AW106*AQ106)))*100,"")</f>
        <v/>
      </c>
      <c r="AY106" s="95" t="s">
        <v>56</v>
      </c>
      <c r="AZ106" s="96">
        <v>63.8</v>
      </c>
      <c r="BA106" s="96"/>
      <c r="BB106" s="96">
        <v>68.5</v>
      </c>
      <c r="BC106" s="96"/>
      <c r="BD106" s="97">
        <v>75</v>
      </c>
      <c r="BE106" s="142">
        <f t="shared" si="29"/>
        <v>3683</v>
      </c>
      <c r="BF106" s="98">
        <v>150</v>
      </c>
      <c r="BG106" s="98">
        <v>139</v>
      </c>
      <c r="BH106" s="98">
        <v>3394</v>
      </c>
      <c r="BI106" s="98"/>
      <c r="BJ106" s="98"/>
      <c r="BK106" s="98"/>
      <c r="BL106" s="98"/>
    </row>
    <row r="107" spans="1:64" outlineLevel="5" x14ac:dyDescent="0.3">
      <c r="A107" s="152">
        <f t="shared" si="31"/>
        <v>3</v>
      </c>
      <c r="B107" s="153">
        <f t="shared" si="30"/>
        <v>43913</v>
      </c>
      <c r="C107" s="138"/>
      <c r="D107" s="84">
        <v>37</v>
      </c>
      <c r="E107" s="84">
        <v>39</v>
      </c>
      <c r="F107" s="84"/>
      <c r="G107" s="84"/>
      <c r="H107" s="84"/>
      <c r="I107" s="84"/>
      <c r="J107" s="84"/>
      <c r="K107" s="84"/>
      <c r="L107" s="140">
        <f>IFERROR(ROUND(AVERAGE(M107:T107),1),"")</f>
        <v>8</v>
      </c>
      <c r="M107" s="86">
        <v>8.0500000000000007</v>
      </c>
      <c r="N107" s="86">
        <v>7.98</v>
      </c>
      <c r="O107" s="86"/>
      <c r="P107" s="86"/>
      <c r="Q107" s="86"/>
      <c r="R107" s="86"/>
      <c r="S107" s="86"/>
      <c r="T107" s="86"/>
      <c r="U107" s="142">
        <f>IFERROR(ROUND(AVERAGE(V107:AC107),1),"")</f>
        <v>1167.8</v>
      </c>
      <c r="V107" s="88">
        <v>1470.5</v>
      </c>
      <c r="W107" s="88">
        <v>865</v>
      </c>
      <c r="X107" s="88"/>
      <c r="Y107" s="88"/>
      <c r="Z107" s="88"/>
      <c r="AA107" s="88"/>
      <c r="AB107" s="88"/>
      <c r="AC107" s="88"/>
      <c r="AD107" s="142" t="str">
        <f>IFERROR(ROUND(AVERAGE(AE107:AL107),1),"")</f>
        <v/>
      </c>
      <c r="AE107" s="88"/>
      <c r="AF107" s="88"/>
      <c r="AG107" s="88"/>
      <c r="AH107" s="88"/>
      <c r="AI107" s="88"/>
      <c r="AJ107" s="88"/>
      <c r="AK107" s="88"/>
      <c r="AL107" s="88"/>
      <c r="AM107" s="88">
        <v>72.292847296676356</v>
      </c>
      <c r="AN107" s="88">
        <v>65.290000000000006</v>
      </c>
      <c r="AO107" s="89" t="s">
        <v>56</v>
      </c>
      <c r="AP107" s="90" t="s">
        <v>56</v>
      </c>
      <c r="AQ107" s="146" t="str">
        <f t="shared" si="25"/>
        <v/>
      </c>
      <c r="AR107" s="146" t="str">
        <f t="shared" si="26"/>
        <v/>
      </c>
      <c r="AS107" s="147">
        <v>0</v>
      </c>
      <c r="AT107" s="148">
        <v>13.95</v>
      </c>
      <c r="AU107" s="149">
        <v>8.6499999999999986</v>
      </c>
      <c r="AV107" s="146">
        <f t="shared" si="27"/>
        <v>62.007168458781358</v>
      </c>
      <c r="AW107" s="146">
        <f t="shared" si="28"/>
        <v>37.992831541218642</v>
      </c>
      <c r="AX107" s="138" t="str">
        <f>IFERROR((1-((AV107*AR107)/(AW107*AQ107)))*100,"")</f>
        <v/>
      </c>
      <c r="AY107" s="95">
        <v>71.699999999999989</v>
      </c>
      <c r="AZ107" s="96">
        <v>60.715000000000003</v>
      </c>
      <c r="BA107" s="96"/>
      <c r="BB107" s="96">
        <v>96.5</v>
      </c>
      <c r="BC107" s="96"/>
      <c r="BD107" s="97">
        <v>65.290000000000006</v>
      </c>
      <c r="BE107" s="142">
        <f t="shared" si="29"/>
        <v>4643</v>
      </c>
      <c r="BF107" s="98">
        <v>64</v>
      </c>
      <c r="BG107" s="98">
        <v>34</v>
      </c>
      <c r="BH107" s="98">
        <v>4545</v>
      </c>
      <c r="BI107" s="98"/>
      <c r="BJ107" s="98"/>
      <c r="BK107" s="98"/>
      <c r="BL107" s="98"/>
    </row>
    <row r="108" spans="1:64" outlineLevel="5" x14ac:dyDescent="0.3">
      <c r="A108" s="152">
        <f t="shared" si="31"/>
        <v>3</v>
      </c>
      <c r="B108" s="153">
        <f t="shared" si="30"/>
        <v>43914</v>
      </c>
      <c r="C108" s="138"/>
      <c r="D108" s="84">
        <v>37</v>
      </c>
      <c r="E108" s="84">
        <v>40</v>
      </c>
      <c r="F108" s="84"/>
      <c r="G108" s="84"/>
      <c r="H108" s="84"/>
      <c r="I108" s="84"/>
      <c r="J108" s="84"/>
      <c r="K108" s="84"/>
      <c r="L108" s="140" t="str">
        <f>IFERROR(ROUND(AVERAGE(M108:T108),1),"")</f>
        <v/>
      </c>
      <c r="M108" s="86"/>
      <c r="N108" s="86"/>
      <c r="O108" s="86"/>
      <c r="P108" s="86"/>
      <c r="Q108" s="86"/>
      <c r="R108" s="86"/>
      <c r="S108" s="86"/>
      <c r="T108" s="86"/>
      <c r="U108" s="142" t="str">
        <f>IFERROR(ROUND(AVERAGE(V108:AC108),1),"")</f>
        <v/>
      </c>
      <c r="V108" s="88"/>
      <c r="W108" s="88"/>
      <c r="X108" s="88"/>
      <c r="Y108" s="88"/>
      <c r="Z108" s="88"/>
      <c r="AA108" s="88"/>
      <c r="AB108" s="88"/>
      <c r="AC108" s="88"/>
      <c r="AD108" s="142" t="str">
        <f>IFERROR(ROUND(AVERAGE(AE108:AL108),1),"")</f>
        <v/>
      </c>
      <c r="AE108" s="88"/>
      <c r="AF108" s="88"/>
      <c r="AG108" s="88"/>
      <c r="AH108" s="88"/>
      <c r="AI108" s="88"/>
      <c r="AJ108" s="88"/>
      <c r="AK108" s="88"/>
      <c r="AL108" s="88"/>
      <c r="AM108" s="88">
        <v>58.502726822012889</v>
      </c>
      <c r="AN108" s="88">
        <v>80.680000000000007</v>
      </c>
      <c r="AO108" s="89" t="s">
        <v>56</v>
      </c>
      <c r="AP108" s="90"/>
      <c r="AQ108" s="146" t="str">
        <f t="shared" si="25"/>
        <v/>
      </c>
      <c r="AR108" s="146" t="str">
        <f t="shared" si="26"/>
        <v/>
      </c>
      <c r="AS108" s="147">
        <v>0</v>
      </c>
      <c r="AT108" s="148" t="s">
        <v>56</v>
      </c>
      <c r="AU108" s="149" t="s">
        <v>56</v>
      </c>
      <c r="AV108" s="146" t="str">
        <f t="shared" si="27"/>
        <v/>
      </c>
      <c r="AW108" s="146" t="str">
        <f t="shared" si="28"/>
        <v/>
      </c>
      <c r="AX108" s="138" t="str">
        <f>IFERROR((1-((AV108*AR108)/(AW108*AQ108)))*100,"")</f>
        <v/>
      </c>
      <c r="AY108" s="95" t="s">
        <v>56</v>
      </c>
      <c r="AZ108" s="96">
        <v>59.715000000000003</v>
      </c>
      <c r="BA108" s="96"/>
      <c r="BB108" s="96">
        <v>107.5</v>
      </c>
      <c r="BC108" s="96"/>
      <c r="BD108" s="97">
        <v>80.680000000000007</v>
      </c>
      <c r="BE108" s="142">
        <f t="shared" si="29"/>
        <v>5722</v>
      </c>
      <c r="BF108" s="98">
        <v>0</v>
      </c>
      <c r="BG108" s="98">
        <v>132</v>
      </c>
      <c r="BH108" s="98">
        <v>5590</v>
      </c>
      <c r="BI108" s="98"/>
      <c r="BJ108" s="98"/>
      <c r="BK108" s="98"/>
      <c r="BL108" s="98"/>
    </row>
    <row r="109" spans="1:64" outlineLevel="5" x14ac:dyDescent="0.3">
      <c r="A109" s="152">
        <f t="shared" si="31"/>
        <v>3</v>
      </c>
      <c r="B109" s="153">
        <f t="shared" si="30"/>
        <v>43915</v>
      </c>
      <c r="C109" s="138"/>
      <c r="D109" s="84">
        <v>39</v>
      </c>
      <c r="E109" s="84">
        <v>40</v>
      </c>
      <c r="F109" s="84"/>
      <c r="G109" s="84"/>
      <c r="H109" s="84"/>
      <c r="I109" s="84"/>
      <c r="J109" s="84"/>
      <c r="K109" s="84"/>
      <c r="L109" s="140">
        <f>IFERROR(ROUND(AVERAGE(M109:T109),1),"")</f>
        <v>8</v>
      </c>
      <c r="M109" s="86">
        <v>8.02</v>
      </c>
      <c r="N109" s="86">
        <v>7.95</v>
      </c>
      <c r="O109" s="86"/>
      <c r="P109" s="86"/>
      <c r="Q109" s="86"/>
      <c r="R109" s="86"/>
      <c r="S109" s="86"/>
      <c r="T109" s="86"/>
      <c r="U109" s="142">
        <f>IFERROR(ROUND(AVERAGE(V109:AC109),1),"")</f>
        <v>929.9</v>
      </c>
      <c r="V109" s="88">
        <v>1081.3</v>
      </c>
      <c r="W109" s="88">
        <v>778.5</v>
      </c>
      <c r="X109" s="88"/>
      <c r="Y109" s="88"/>
      <c r="Z109" s="88"/>
      <c r="AA109" s="88"/>
      <c r="AB109" s="88"/>
      <c r="AC109" s="88"/>
      <c r="AD109" s="142" t="str">
        <f>IFERROR(ROUND(AVERAGE(AE109:AL109),1),"")</f>
        <v/>
      </c>
      <c r="AE109" s="88"/>
      <c r="AF109" s="88"/>
      <c r="AG109" s="88"/>
      <c r="AH109" s="88"/>
      <c r="AI109" s="88"/>
      <c r="AJ109" s="88"/>
      <c r="AK109" s="88"/>
      <c r="AL109" s="88"/>
      <c r="AM109" s="88">
        <v>51.43853530950306</v>
      </c>
      <c r="AN109" s="88">
        <v>91.759999999999991</v>
      </c>
      <c r="AO109" s="89"/>
      <c r="AP109" s="90"/>
      <c r="AQ109" s="146" t="str">
        <f t="shared" si="25"/>
        <v/>
      </c>
      <c r="AR109" s="146" t="str">
        <f t="shared" si="26"/>
        <v/>
      </c>
      <c r="AS109" s="147">
        <v>0</v>
      </c>
      <c r="AT109" s="148">
        <v>14.65</v>
      </c>
      <c r="AU109" s="149">
        <v>8.25</v>
      </c>
      <c r="AV109" s="146">
        <f t="shared" si="27"/>
        <v>56.31399317406143</v>
      </c>
      <c r="AW109" s="146">
        <f t="shared" si="28"/>
        <v>43.68600682593857</v>
      </c>
      <c r="AX109" s="138" t="str">
        <f>IFERROR((1-((AV109*AR109)/(AW109*AQ109)))*100,"")</f>
        <v/>
      </c>
      <c r="AY109" s="95">
        <v>65.400000000000006</v>
      </c>
      <c r="AZ109" s="96">
        <v>60.14</v>
      </c>
      <c r="BA109" s="96"/>
      <c r="BB109" s="96">
        <v>117</v>
      </c>
      <c r="BC109" s="96"/>
      <c r="BD109" s="97">
        <v>91.759999999999991</v>
      </c>
      <c r="BE109" s="142">
        <f t="shared" si="29"/>
        <v>4767</v>
      </c>
      <c r="BF109" s="98">
        <v>23</v>
      </c>
      <c r="BG109" s="98">
        <v>466</v>
      </c>
      <c r="BH109" s="98">
        <v>4278</v>
      </c>
      <c r="BI109" s="98"/>
      <c r="BJ109" s="98"/>
      <c r="BK109" s="98"/>
      <c r="BL109" s="98"/>
    </row>
    <row r="110" spans="1:64" outlineLevel="5" x14ac:dyDescent="0.3">
      <c r="A110" s="152">
        <f t="shared" si="31"/>
        <v>3</v>
      </c>
      <c r="B110" s="153">
        <f t="shared" si="30"/>
        <v>43916</v>
      </c>
      <c r="C110" s="138"/>
      <c r="D110" s="84">
        <v>39</v>
      </c>
      <c r="E110" s="84">
        <v>40</v>
      </c>
      <c r="F110" s="84"/>
      <c r="G110" s="84"/>
      <c r="H110" s="84"/>
      <c r="I110" s="84"/>
      <c r="J110" s="84"/>
      <c r="K110" s="84"/>
      <c r="L110" s="140">
        <f>IFERROR(ROUND(AVERAGE(M110:T110),1),"")</f>
        <v>8</v>
      </c>
      <c r="M110" s="86">
        <v>8</v>
      </c>
      <c r="N110" s="86">
        <v>7.99</v>
      </c>
      <c r="O110" s="86"/>
      <c r="P110" s="86"/>
      <c r="Q110" s="86"/>
      <c r="R110" s="86"/>
      <c r="S110" s="86"/>
      <c r="T110" s="86"/>
      <c r="U110" s="142">
        <f>IFERROR(ROUND(AVERAGE(V110:AC110),1),"")</f>
        <v>1297.5999999999999</v>
      </c>
      <c r="V110" s="88">
        <v>1513.8</v>
      </c>
      <c r="W110" s="88">
        <v>1081.3</v>
      </c>
      <c r="X110" s="88"/>
      <c r="Y110" s="88"/>
      <c r="Z110" s="88"/>
      <c r="AA110" s="88"/>
      <c r="AB110" s="88"/>
      <c r="AC110" s="88"/>
      <c r="AD110" s="142" t="str">
        <f>IFERROR(ROUND(AVERAGE(AE110:AL110),1),"")</f>
        <v/>
      </c>
      <c r="AE110" s="88"/>
      <c r="AF110" s="88"/>
      <c r="AG110" s="88"/>
      <c r="AH110" s="88"/>
      <c r="AI110" s="88"/>
      <c r="AJ110" s="88"/>
      <c r="AK110" s="88"/>
      <c r="AL110" s="88"/>
      <c r="AM110" s="88">
        <v>58.394160583941606</v>
      </c>
      <c r="AN110" s="88">
        <v>80.83</v>
      </c>
      <c r="AO110" s="89"/>
      <c r="AP110" s="90"/>
      <c r="AQ110" s="146" t="str">
        <f t="shared" si="25"/>
        <v/>
      </c>
      <c r="AR110" s="146" t="str">
        <f t="shared" si="26"/>
        <v/>
      </c>
      <c r="AS110" s="147">
        <v>0</v>
      </c>
      <c r="AT110" s="148">
        <v>16.3</v>
      </c>
      <c r="AU110" s="149">
        <v>9.15</v>
      </c>
      <c r="AV110" s="146">
        <f t="shared" si="27"/>
        <v>56.134969325153371</v>
      </c>
      <c r="AW110" s="146">
        <f t="shared" si="28"/>
        <v>43.865030674846629</v>
      </c>
      <c r="AX110" s="138" t="str">
        <f>IFERROR((1-((AV110*AR110)/(AW110*AQ110)))*100,"")</f>
        <v/>
      </c>
      <c r="AY110" s="95">
        <v>61.75</v>
      </c>
      <c r="AZ110" s="96">
        <v>63.414999999999999</v>
      </c>
      <c r="BA110" s="96"/>
      <c r="BB110" s="96">
        <v>101</v>
      </c>
      <c r="BC110" s="96"/>
      <c r="BD110" s="97">
        <v>80.83</v>
      </c>
      <c r="BE110" s="142">
        <f t="shared" si="29"/>
        <v>4181</v>
      </c>
      <c r="BF110" s="98">
        <v>29</v>
      </c>
      <c r="BG110" s="98">
        <v>808</v>
      </c>
      <c r="BH110" s="98">
        <v>3344</v>
      </c>
      <c r="BI110" s="98"/>
      <c r="BJ110" s="98"/>
      <c r="BK110" s="98"/>
      <c r="BL110" s="98"/>
    </row>
    <row r="111" spans="1:64" outlineLevel="5" x14ac:dyDescent="0.3">
      <c r="A111" s="152">
        <f t="shared" si="31"/>
        <v>3</v>
      </c>
      <c r="B111" s="153">
        <f t="shared" si="30"/>
        <v>43917</v>
      </c>
      <c r="C111" s="138"/>
      <c r="D111" s="84">
        <v>39</v>
      </c>
      <c r="E111" s="84">
        <v>39</v>
      </c>
      <c r="F111" s="84"/>
      <c r="G111" s="84"/>
      <c r="H111" s="84"/>
      <c r="I111" s="84"/>
      <c r="J111" s="84"/>
      <c r="K111" s="84"/>
      <c r="L111" s="140" t="str">
        <f>IFERROR(ROUND(AVERAGE(M111:T111),1),"")</f>
        <v/>
      </c>
      <c r="M111" s="86"/>
      <c r="N111" s="86"/>
      <c r="O111" s="86"/>
      <c r="P111" s="86"/>
      <c r="Q111" s="86"/>
      <c r="R111" s="86"/>
      <c r="S111" s="86"/>
      <c r="T111" s="86"/>
      <c r="U111" s="142">
        <f>IFERROR(ROUND(AVERAGE(V111:AC111),1),"")</f>
        <v>1254.3</v>
      </c>
      <c r="V111" s="88">
        <v>1513.8</v>
      </c>
      <c r="W111" s="88">
        <v>994.8</v>
      </c>
      <c r="X111" s="88"/>
      <c r="Y111" s="88"/>
      <c r="Z111" s="88"/>
      <c r="AA111" s="88"/>
      <c r="AB111" s="88"/>
      <c r="AC111" s="88"/>
      <c r="AD111" s="142" t="str">
        <f>IFERROR(ROUND(AVERAGE(AE111:AL111),1),"")</f>
        <v/>
      </c>
      <c r="AE111" s="88"/>
      <c r="AF111" s="88"/>
      <c r="AG111" s="88"/>
      <c r="AH111" s="88"/>
      <c r="AI111" s="88"/>
      <c r="AJ111" s="88"/>
      <c r="AK111" s="88"/>
      <c r="AL111" s="88"/>
      <c r="AM111" s="88">
        <v>72.6936701062683</v>
      </c>
      <c r="AN111" s="88">
        <v>64.929999999999993</v>
      </c>
      <c r="AO111" s="89">
        <v>24.9</v>
      </c>
      <c r="AP111" s="90">
        <v>22.41</v>
      </c>
      <c r="AQ111" s="146">
        <f t="shared" si="25"/>
        <v>90</v>
      </c>
      <c r="AR111" s="146">
        <f t="shared" si="26"/>
        <v>10</v>
      </c>
      <c r="AS111" s="147">
        <v>0</v>
      </c>
      <c r="AT111" s="148" t="s">
        <v>56</v>
      </c>
      <c r="AU111" s="149" t="s">
        <v>56</v>
      </c>
      <c r="AV111" s="146" t="str">
        <f t="shared" si="27"/>
        <v/>
      </c>
      <c r="AW111" s="146" t="str">
        <f t="shared" si="28"/>
        <v/>
      </c>
      <c r="AX111" s="138" t="str">
        <f>IFERROR((1-((AV111*AR111)/(AW111*AQ111)))*100,"")</f>
        <v/>
      </c>
      <c r="AY111" s="95" t="s">
        <v>56</v>
      </c>
      <c r="AZ111" s="96">
        <v>59.364999999999995</v>
      </c>
      <c r="BA111" s="96"/>
      <c r="BB111" s="96">
        <v>91.5</v>
      </c>
      <c r="BC111" s="96"/>
      <c r="BD111" s="97">
        <v>64.929999999999993</v>
      </c>
      <c r="BE111" s="142">
        <f t="shared" si="29"/>
        <v>3235</v>
      </c>
      <c r="BF111" s="98">
        <v>0</v>
      </c>
      <c r="BG111" s="98">
        <v>1448</v>
      </c>
      <c r="BH111" s="98">
        <v>1787</v>
      </c>
      <c r="BI111" s="98"/>
      <c r="BJ111" s="98"/>
      <c r="BK111" s="98"/>
      <c r="BL111" s="98"/>
    </row>
    <row r="112" spans="1:64" outlineLevel="5" x14ac:dyDescent="0.3">
      <c r="A112" s="152">
        <f t="shared" si="31"/>
        <v>3</v>
      </c>
      <c r="B112" s="153">
        <f t="shared" si="30"/>
        <v>43918</v>
      </c>
      <c r="C112" s="138"/>
      <c r="D112" s="84">
        <v>38</v>
      </c>
      <c r="E112" s="84">
        <v>38</v>
      </c>
      <c r="F112" s="84"/>
      <c r="G112" s="84"/>
      <c r="H112" s="84"/>
      <c r="I112" s="84"/>
      <c r="J112" s="84"/>
      <c r="K112" s="84"/>
      <c r="L112" s="140" t="str">
        <f>IFERROR(ROUND(AVERAGE(M112:T112),1),"")</f>
        <v/>
      </c>
      <c r="M112" s="86"/>
      <c r="N112" s="86"/>
      <c r="O112" s="86"/>
      <c r="P112" s="86"/>
      <c r="Q112" s="86"/>
      <c r="R112" s="86"/>
      <c r="S112" s="86"/>
      <c r="T112" s="86"/>
      <c r="U112" s="142" t="str">
        <f>IFERROR(ROUND(AVERAGE(V112:AC112),1),"")</f>
        <v/>
      </c>
      <c r="V112" s="88"/>
      <c r="W112" s="88"/>
      <c r="X112" s="88"/>
      <c r="Y112" s="88"/>
      <c r="Z112" s="88"/>
      <c r="AA112" s="88"/>
      <c r="AB112" s="88"/>
      <c r="AC112" s="88"/>
      <c r="AD112" s="142" t="str">
        <f>IFERROR(ROUND(AVERAGE(AE112:AL112),1),"")</f>
        <v/>
      </c>
      <c r="AE112" s="88"/>
      <c r="AF112" s="88"/>
      <c r="AG112" s="88"/>
      <c r="AH112" s="88"/>
      <c r="AI112" s="88"/>
      <c r="AJ112" s="88"/>
      <c r="AK112" s="88"/>
      <c r="AL112" s="88"/>
      <c r="AM112" s="88">
        <v>59.118236472945888</v>
      </c>
      <c r="AN112" s="88">
        <v>79.84</v>
      </c>
      <c r="AO112" s="89" t="s">
        <v>56</v>
      </c>
      <c r="AP112" s="90" t="s">
        <v>56</v>
      </c>
      <c r="AQ112" s="146" t="str">
        <f t="shared" si="25"/>
        <v/>
      </c>
      <c r="AR112" s="146" t="str">
        <f t="shared" si="26"/>
        <v/>
      </c>
      <c r="AS112" s="147">
        <v>0</v>
      </c>
      <c r="AT112" s="148" t="s">
        <v>56</v>
      </c>
      <c r="AU112" s="149" t="s">
        <v>56</v>
      </c>
      <c r="AV112" s="146" t="str">
        <f t="shared" si="27"/>
        <v/>
      </c>
      <c r="AW112" s="146" t="str">
        <f t="shared" si="28"/>
        <v/>
      </c>
      <c r="AX112" s="138" t="str">
        <f>IFERROR((1-((AV112*AR112)/(AW112*AQ112)))*100,"")</f>
        <v/>
      </c>
      <c r="AY112" s="95" t="s">
        <v>56</v>
      </c>
      <c r="AZ112" s="96">
        <v>61.129999999999995</v>
      </c>
      <c r="BA112" s="96"/>
      <c r="BB112" s="96">
        <v>70.5</v>
      </c>
      <c r="BC112" s="96"/>
      <c r="BD112" s="97">
        <v>79.84</v>
      </c>
      <c r="BE112" s="142">
        <f t="shared" si="29"/>
        <v>5953</v>
      </c>
      <c r="BF112" s="98">
        <v>0</v>
      </c>
      <c r="BG112" s="98">
        <v>744</v>
      </c>
      <c r="BH112" s="98">
        <v>5209</v>
      </c>
      <c r="BI112" s="98"/>
      <c r="BJ112" s="98"/>
      <c r="BK112" s="98"/>
      <c r="BL112" s="98"/>
    </row>
    <row r="113" spans="1:64" outlineLevel="5" x14ac:dyDescent="0.3">
      <c r="A113" s="152">
        <f t="shared" si="31"/>
        <v>3</v>
      </c>
      <c r="B113" s="153">
        <f t="shared" si="30"/>
        <v>43919</v>
      </c>
      <c r="C113" s="138"/>
      <c r="D113" s="84">
        <v>38</v>
      </c>
      <c r="E113" s="84">
        <v>38</v>
      </c>
      <c r="F113" s="84"/>
      <c r="G113" s="84"/>
      <c r="H113" s="84"/>
      <c r="I113" s="84"/>
      <c r="J113" s="84"/>
      <c r="K113" s="84"/>
      <c r="L113" s="140" t="str">
        <f>IFERROR(ROUND(AVERAGE(M113:T113),1),"")</f>
        <v/>
      </c>
      <c r="M113" s="86"/>
      <c r="N113" s="86"/>
      <c r="O113" s="86"/>
      <c r="P113" s="86"/>
      <c r="Q113" s="86"/>
      <c r="R113" s="86"/>
      <c r="S113" s="86"/>
      <c r="T113" s="86"/>
      <c r="U113" s="142" t="str">
        <f>IFERROR(ROUND(AVERAGE(V113:AC113),1),"")</f>
        <v/>
      </c>
      <c r="V113" s="88"/>
      <c r="W113" s="88"/>
      <c r="X113" s="88"/>
      <c r="Y113" s="88"/>
      <c r="Z113" s="88"/>
      <c r="AA113" s="88"/>
      <c r="AB113" s="88"/>
      <c r="AC113" s="88"/>
      <c r="AD113" s="142" t="str">
        <f>IFERROR(ROUND(AVERAGE(AE113:AL113),1),"")</f>
        <v/>
      </c>
      <c r="AE113" s="88"/>
      <c r="AF113" s="88"/>
      <c r="AG113" s="88"/>
      <c r="AH113" s="88"/>
      <c r="AI113" s="88"/>
      <c r="AJ113" s="88"/>
      <c r="AK113" s="88"/>
      <c r="AL113" s="88"/>
      <c r="AM113" s="88">
        <v>51.868131868131869</v>
      </c>
      <c r="AN113" s="88">
        <v>91</v>
      </c>
      <c r="AO113" s="89"/>
      <c r="AP113" s="90"/>
      <c r="AQ113" s="146" t="str">
        <f t="shared" si="25"/>
        <v/>
      </c>
      <c r="AR113" s="146" t="str">
        <f t="shared" si="26"/>
        <v/>
      </c>
      <c r="AS113" s="147">
        <v>0</v>
      </c>
      <c r="AT113" s="148" t="s">
        <v>56</v>
      </c>
      <c r="AU113" s="149" t="s">
        <v>56</v>
      </c>
      <c r="AV113" s="146" t="str">
        <f t="shared" si="27"/>
        <v/>
      </c>
      <c r="AW113" s="146" t="str">
        <f t="shared" si="28"/>
        <v/>
      </c>
      <c r="AX113" s="138" t="str">
        <f>IFERROR((1-((AV113*AR113)/(AW113*AQ113)))*100,"")</f>
        <v/>
      </c>
      <c r="AY113" s="95" t="s">
        <v>56</v>
      </c>
      <c r="AZ113" s="96">
        <v>58.92</v>
      </c>
      <c r="BA113" s="96"/>
      <c r="BB113" s="96">
        <v>80</v>
      </c>
      <c r="BC113" s="96"/>
      <c r="BD113" s="97">
        <v>91</v>
      </c>
      <c r="BE113" s="142">
        <f t="shared" si="29"/>
        <v>6247</v>
      </c>
      <c r="BF113" s="98">
        <v>31</v>
      </c>
      <c r="BG113" s="98">
        <v>687</v>
      </c>
      <c r="BH113" s="98">
        <v>5529</v>
      </c>
      <c r="BI113" s="98"/>
      <c r="BJ113" s="98"/>
      <c r="BK113" s="98"/>
      <c r="BL113" s="98"/>
    </row>
    <row r="114" spans="1:64" outlineLevel="5" x14ac:dyDescent="0.3">
      <c r="A114" s="152">
        <f t="shared" si="31"/>
        <v>3</v>
      </c>
      <c r="B114" s="153">
        <f t="shared" si="30"/>
        <v>43920</v>
      </c>
      <c r="C114" s="138"/>
      <c r="D114" s="84">
        <v>38</v>
      </c>
      <c r="E114" s="84">
        <v>38</v>
      </c>
      <c r="F114" s="84"/>
      <c r="G114" s="84"/>
      <c r="H114" s="84"/>
      <c r="I114" s="84"/>
      <c r="J114" s="84"/>
      <c r="K114" s="84"/>
      <c r="L114" s="140">
        <f>IFERROR(ROUND(AVERAGE(M114:T114),1),"")</f>
        <v>8</v>
      </c>
      <c r="M114" s="86">
        <v>8.02</v>
      </c>
      <c r="N114" s="86">
        <v>7.97</v>
      </c>
      <c r="O114" s="86"/>
      <c r="P114" s="86"/>
      <c r="Q114" s="86"/>
      <c r="R114" s="86"/>
      <c r="S114" s="86"/>
      <c r="T114" s="86"/>
      <c r="U114" s="142">
        <f>IFERROR(ROUND(AVERAGE(V114:AC114),1),"")</f>
        <v>1232.7</v>
      </c>
      <c r="V114" s="88">
        <v>1340.8</v>
      </c>
      <c r="W114" s="88">
        <v>1124.5</v>
      </c>
      <c r="X114" s="88"/>
      <c r="Y114" s="88"/>
      <c r="Z114" s="88"/>
      <c r="AA114" s="88"/>
      <c r="AB114" s="88"/>
      <c r="AC114" s="88"/>
      <c r="AD114" s="142" t="str">
        <f>IFERROR(ROUND(AVERAGE(AE114:AL114),1),"")</f>
        <v/>
      </c>
      <c r="AE114" s="88"/>
      <c r="AF114" s="88"/>
      <c r="AG114" s="88"/>
      <c r="AH114" s="88"/>
      <c r="AI114" s="88"/>
      <c r="AJ114" s="88"/>
      <c r="AK114" s="88"/>
      <c r="AL114" s="88"/>
      <c r="AM114" s="88">
        <v>58.113765082491994</v>
      </c>
      <c r="AN114" s="88">
        <v>81.22</v>
      </c>
      <c r="AO114" s="89" t="s">
        <v>56</v>
      </c>
      <c r="AP114" s="90" t="s">
        <v>56</v>
      </c>
      <c r="AQ114" s="146" t="str">
        <f t="shared" si="25"/>
        <v/>
      </c>
      <c r="AR114" s="146" t="str">
        <f t="shared" si="26"/>
        <v/>
      </c>
      <c r="AS114" s="147">
        <v>0</v>
      </c>
      <c r="AT114" s="148">
        <v>14.2</v>
      </c>
      <c r="AU114" s="149">
        <v>9</v>
      </c>
      <c r="AV114" s="146">
        <f t="shared" si="27"/>
        <v>63.380281690140848</v>
      </c>
      <c r="AW114" s="146">
        <f t="shared" si="28"/>
        <v>36.619718309859152</v>
      </c>
      <c r="AX114" s="138" t="str">
        <f>IFERROR((1-((AV114*AR114)/(AW114*AQ114)))*100,"")</f>
        <v/>
      </c>
      <c r="AY114" s="95">
        <v>64.550000000000011</v>
      </c>
      <c r="AZ114" s="96">
        <v>59.22</v>
      </c>
      <c r="BA114" s="96"/>
      <c r="BB114" s="96">
        <v>80.5</v>
      </c>
      <c r="BC114" s="96"/>
      <c r="BD114" s="97">
        <v>81.22</v>
      </c>
      <c r="BE114" s="142">
        <f t="shared" si="29"/>
        <v>5009</v>
      </c>
      <c r="BF114" s="98">
        <v>53</v>
      </c>
      <c r="BG114" s="98">
        <v>409</v>
      </c>
      <c r="BH114" s="98">
        <v>4547</v>
      </c>
      <c r="BI114" s="98"/>
      <c r="BJ114" s="98"/>
      <c r="BK114" s="98"/>
      <c r="BL114" s="98"/>
    </row>
    <row r="115" spans="1:64" ht="17.25" outlineLevel="5" thickBot="1" x14ac:dyDescent="0.35">
      <c r="A115" s="154">
        <f t="shared" si="31"/>
        <v>3</v>
      </c>
      <c r="B115" s="155">
        <f t="shared" si="30"/>
        <v>43921</v>
      </c>
      <c r="C115" s="138"/>
      <c r="D115" s="84">
        <v>39</v>
      </c>
      <c r="E115" s="84">
        <v>38</v>
      </c>
      <c r="F115" s="84"/>
      <c r="G115" s="84"/>
      <c r="H115" s="84"/>
      <c r="I115" s="84"/>
      <c r="J115" s="84"/>
      <c r="K115" s="84"/>
      <c r="L115" s="140" t="str">
        <f>IFERROR(ROUND(AVERAGE(M115:T115),1),"")</f>
        <v/>
      </c>
      <c r="M115" s="86"/>
      <c r="N115" s="86"/>
      <c r="O115" s="86"/>
      <c r="P115" s="86"/>
      <c r="Q115" s="86"/>
      <c r="R115" s="86"/>
      <c r="S115" s="86"/>
      <c r="T115" s="86"/>
      <c r="U115" s="142" t="str">
        <f>IFERROR(ROUND(AVERAGE(V115:AC115),1),"")</f>
        <v/>
      </c>
      <c r="V115" s="88"/>
      <c r="W115" s="88"/>
      <c r="X115" s="88"/>
      <c r="Y115" s="88"/>
      <c r="Z115" s="88"/>
      <c r="AA115" s="88"/>
      <c r="AB115" s="88"/>
      <c r="AC115" s="88"/>
      <c r="AD115" s="142" t="str">
        <f>IFERROR(ROUND(AVERAGE(AE115:AL115),1),"")</f>
        <v/>
      </c>
      <c r="AE115" s="88"/>
      <c r="AF115" s="88"/>
      <c r="AG115" s="88"/>
      <c r="AH115" s="88"/>
      <c r="AI115" s="88"/>
      <c r="AJ115" s="88"/>
      <c r="AK115" s="88"/>
      <c r="AL115" s="88"/>
      <c r="AM115" s="88">
        <v>55.444614119581821</v>
      </c>
      <c r="AN115" s="88">
        <v>85.13</v>
      </c>
      <c r="AO115" s="89" t="s">
        <v>56</v>
      </c>
      <c r="AP115" s="90" t="s">
        <v>56</v>
      </c>
      <c r="AQ115" s="146" t="str">
        <f t="shared" si="25"/>
        <v/>
      </c>
      <c r="AR115" s="146" t="str">
        <f t="shared" si="26"/>
        <v/>
      </c>
      <c r="AS115" s="147">
        <v>0</v>
      </c>
      <c r="AT115" s="148" t="s">
        <v>56</v>
      </c>
      <c r="AU115" s="149" t="s">
        <v>56</v>
      </c>
      <c r="AV115" s="146" t="str">
        <f t="shared" si="27"/>
        <v/>
      </c>
      <c r="AW115" s="146" t="str">
        <f t="shared" si="28"/>
        <v/>
      </c>
      <c r="AX115" s="138" t="str">
        <f>IFERROR((1-((AV115*AR115)/(AW115*AQ115)))*100,"")</f>
        <v/>
      </c>
      <c r="AY115" s="95" t="s">
        <v>56</v>
      </c>
      <c r="AZ115" s="96">
        <v>58.11</v>
      </c>
      <c r="BA115" s="96"/>
      <c r="BB115" s="96">
        <v>97</v>
      </c>
      <c r="BC115" s="96"/>
      <c r="BD115" s="97">
        <v>85.13</v>
      </c>
      <c r="BE115" s="142">
        <f t="shared" si="29"/>
        <v>7464</v>
      </c>
      <c r="BF115" s="98">
        <v>125</v>
      </c>
      <c r="BG115" s="98">
        <v>1387</v>
      </c>
      <c r="BH115" s="98">
        <v>5952</v>
      </c>
      <c r="BI115" s="98"/>
      <c r="BJ115" s="98"/>
      <c r="BK115" s="98"/>
      <c r="BL115" s="98"/>
    </row>
    <row r="116" spans="1:64" outlineLevel="4" x14ac:dyDescent="0.3">
      <c r="A116" s="63" t="s">
        <v>65</v>
      </c>
      <c r="B116" s="64"/>
      <c r="C116" s="65">
        <f t="shared" ref="C116:BL116" si="32">SUBTOTAL(4,C85:C115)</f>
        <v>0</v>
      </c>
      <c r="D116" s="66">
        <f t="shared" si="32"/>
        <v>40</v>
      </c>
      <c r="E116" s="66">
        <f t="shared" si="32"/>
        <v>40</v>
      </c>
      <c r="F116" s="66">
        <f t="shared" si="32"/>
        <v>0</v>
      </c>
      <c r="G116" s="66">
        <f t="shared" si="32"/>
        <v>0</v>
      </c>
      <c r="H116" s="66">
        <f t="shared" si="32"/>
        <v>0</v>
      </c>
      <c r="I116" s="66">
        <f t="shared" si="32"/>
        <v>0</v>
      </c>
      <c r="J116" s="66">
        <f t="shared" si="32"/>
        <v>0</v>
      </c>
      <c r="K116" s="66">
        <f t="shared" si="32"/>
        <v>0</v>
      </c>
      <c r="L116" s="67">
        <f t="shared" si="32"/>
        <v>8.1</v>
      </c>
      <c r="M116" s="68">
        <f t="shared" si="32"/>
        <v>8.0500000000000007</v>
      </c>
      <c r="N116" s="68">
        <f t="shared" si="32"/>
        <v>7.99</v>
      </c>
      <c r="O116" s="68">
        <f t="shared" si="32"/>
        <v>0</v>
      </c>
      <c r="P116" s="68">
        <f t="shared" si="32"/>
        <v>0</v>
      </c>
      <c r="Q116" s="68">
        <f t="shared" si="32"/>
        <v>0</v>
      </c>
      <c r="R116" s="68">
        <f t="shared" si="32"/>
        <v>0</v>
      </c>
      <c r="S116" s="68">
        <f t="shared" si="32"/>
        <v>0</v>
      </c>
      <c r="T116" s="68">
        <f t="shared" si="32"/>
        <v>0</v>
      </c>
      <c r="U116" s="69">
        <f t="shared" si="32"/>
        <v>2249</v>
      </c>
      <c r="V116" s="70">
        <f t="shared" si="32"/>
        <v>2249</v>
      </c>
      <c r="W116" s="70">
        <f t="shared" si="32"/>
        <v>2335.5</v>
      </c>
      <c r="X116" s="70">
        <f t="shared" si="32"/>
        <v>0</v>
      </c>
      <c r="Y116" s="70">
        <f t="shared" si="32"/>
        <v>0</v>
      </c>
      <c r="Z116" s="70">
        <f t="shared" si="32"/>
        <v>0</v>
      </c>
      <c r="AA116" s="70">
        <f t="shared" si="32"/>
        <v>0</v>
      </c>
      <c r="AB116" s="70">
        <f t="shared" si="32"/>
        <v>0</v>
      </c>
      <c r="AC116" s="70">
        <f t="shared" si="32"/>
        <v>0</v>
      </c>
      <c r="AD116" s="69">
        <f t="shared" si="32"/>
        <v>0</v>
      </c>
      <c r="AE116" s="70">
        <f t="shared" si="32"/>
        <v>0</v>
      </c>
      <c r="AF116" s="70">
        <f t="shared" si="32"/>
        <v>0</v>
      </c>
      <c r="AG116" s="70">
        <f t="shared" si="32"/>
        <v>0</v>
      </c>
      <c r="AH116" s="70">
        <f t="shared" si="32"/>
        <v>0</v>
      </c>
      <c r="AI116" s="70">
        <f t="shared" si="32"/>
        <v>0</v>
      </c>
      <c r="AJ116" s="70">
        <f t="shared" si="32"/>
        <v>0</v>
      </c>
      <c r="AK116" s="70">
        <f t="shared" si="32"/>
        <v>0</v>
      </c>
      <c r="AL116" s="70">
        <f t="shared" si="32"/>
        <v>0</v>
      </c>
      <c r="AM116" s="70">
        <f t="shared" si="32"/>
        <v>97.019527235354573</v>
      </c>
      <c r="AN116" s="70">
        <f t="shared" si="32"/>
        <v>91.759999999999991</v>
      </c>
      <c r="AO116" s="71">
        <f t="shared" si="32"/>
        <v>24.9</v>
      </c>
      <c r="AP116" s="72">
        <f t="shared" si="32"/>
        <v>22.41</v>
      </c>
      <c r="AQ116" s="73">
        <f t="shared" si="32"/>
        <v>90</v>
      </c>
      <c r="AR116" s="73">
        <f t="shared" si="32"/>
        <v>21.299999999999997</v>
      </c>
      <c r="AS116" s="74">
        <f t="shared" si="32"/>
        <v>0</v>
      </c>
      <c r="AT116" s="75">
        <f t="shared" si="32"/>
        <v>16.3</v>
      </c>
      <c r="AU116" s="76">
        <f t="shared" si="32"/>
        <v>9.1999999999999993</v>
      </c>
      <c r="AV116" s="73">
        <f t="shared" si="32"/>
        <v>63.380281690140848</v>
      </c>
      <c r="AW116" s="73">
        <f t="shared" si="32"/>
        <v>59.71223021582734</v>
      </c>
      <c r="AX116" s="65">
        <f t="shared" si="32"/>
        <v>0</v>
      </c>
      <c r="AY116" s="77">
        <f t="shared" si="32"/>
        <v>76.95</v>
      </c>
      <c r="AZ116" s="78">
        <f t="shared" si="32"/>
        <v>63.8</v>
      </c>
      <c r="BA116" s="78">
        <f t="shared" si="32"/>
        <v>0</v>
      </c>
      <c r="BB116" s="78">
        <f t="shared" si="32"/>
        <v>121</v>
      </c>
      <c r="BC116" s="78">
        <f t="shared" si="32"/>
        <v>0</v>
      </c>
      <c r="BD116" s="79">
        <f t="shared" si="32"/>
        <v>91.759999999999991</v>
      </c>
      <c r="BE116" s="69">
        <f t="shared" si="32"/>
        <v>9156</v>
      </c>
      <c r="BF116" s="70">
        <f t="shared" si="32"/>
        <v>182</v>
      </c>
      <c r="BG116" s="80">
        <f t="shared" si="32"/>
        <v>1630</v>
      </c>
      <c r="BH116" s="80">
        <f t="shared" si="32"/>
        <v>8558</v>
      </c>
      <c r="BI116" s="80">
        <f t="shared" si="32"/>
        <v>0</v>
      </c>
      <c r="BJ116" s="80">
        <f t="shared" si="32"/>
        <v>0</v>
      </c>
      <c r="BK116" s="80">
        <f t="shared" si="32"/>
        <v>0</v>
      </c>
      <c r="BL116" s="79">
        <f t="shared" si="32"/>
        <v>0</v>
      </c>
    </row>
    <row r="117" spans="1:64" outlineLevel="3" x14ac:dyDescent="0.3">
      <c r="A117" s="81" t="s">
        <v>66</v>
      </c>
      <c r="B117" s="82"/>
      <c r="C117" s="83">
        <f t="shared" ref="C117:BL117" si="33">SUBTOTAL(5,C85:C115)</f>
        <v>0</v>
      </c>
      <c r="D117" s="84">
        <f t="shared" si="33"/>
        <v>37</v>
      </c>
      <c r="E117" s="84">
        <f t="shared" si="33"/>
        <v>35</v>
      </c>
      <c r="F117" s="84">
        <f t="shared" si="33"/>
        <v>0</v>
      </c>
      <c r="G117" s="84">
        <f t="shared" si="33"/>
        <v>0</v>
      </c>
      <c r="H117" s="84">
        <f t="shared" si="33"/>
        <v>0</v>
      </c>
      <c r="I117" s="84">
        <f t="shared" si="33"/>
        <v>0</v>
      </c>
      <c r="J117" s="84">
        <f t="shared" si="33"/>
        <v>0</v>
      </c>
      <c r="K117" s="84">
        <f t="shared" si="33"/>
        <v>0</v>
      </c>
      <c r="L117" s="85">
        <f t="shared" si="33"/>
        <v>8</v>
      </c>
      <c r="M117" s="86">
        <f t="shared" si="33"/>
        <v>8</v>
      </c>
      <c r="N117" s="86">
        <f t="shared" si="33"/>
        <v>7.92</v>
      </c>
      <c r="O117" s="86">
        <f t="shared" si="33"/>
        <v>0</v>
      </c>
      <c r="P117" s="86">
        <f t="shared" si="33"/>
        <v>0</v>
      </c>
      <c r="Q117" s="86">
        <f t="shared" si="33"/>
        <v>0</v>
      </c>
      <c r="R117" s="86">
        <f t="shared" si="33"/>
        <v>0</v>
      </c>
      <c r="S117" s="86">
        <f t="shared" si="33"/>
        <v>0</v>
      </c>
      <c r="T117" s="86">
        <f t="shared" si="33"/>
        <v>0</v>
      </c>
      <c r="U117" s="87">
        <f t="shared" si="33"/>
        <v>929.9</v>
      </c>
      <c r="V117" s="88">
        <f t="shared" si="33"/>
        <v>1081.3</v>
      </c>
      <c r="W117" s="88">
        <f t="shared" si="33"/>
        <v>778.5</v>
      </c>
      <c r="X117" s="88">
        <f t="shared" si="33"/>
        <v>0</v>
      </c>
      <c r="Y117" s="88">
        <f t="shared" si="33"/>
        <v>0</v>
      </c>
      <c r="Z117" s="88">
        <f t="shared" si="33"/>
        <v>0</v>
      </c>
      <c r="AA117" s="88">
        <f t="shared" si="33"/>
        <v>0</v>
      </c>
      <c r="AB117" s="88">
        <f t="shared" si="33"/>
        <v>0</v>
      </c>
      <c r="AC117" s="88">
        <f t="shared" si="33"/>
        <v>0</v>
      </c>
      <c r="AD117" s="87">
        <f t="shared" si="33"/>
        <v>0</v>
      </c>
      <c r="AE117" s="88">
        <f t="shared" si="33"/>
        <v>0</v>
      </c>
      <c r="AF117" s="88">
        <f t="shared" si="33"/>
        <v>0</v>
      </c>
      <c r="AG117" s="88">
        <f t="shared" si="33"/>
        <v>0</v>
      </c>
      <c r="AH117" s="88">
        <f t="shared" si="33"/>
        <v>0</v>
      </c>
      <c r="AI117" s="88">
        <f t="shared" si="33"/>
        <v>0</v>
      </c>
      <c r="AJ117" s="88">
        <f t="shared" si="33"/>
        <v>0</v>
      </c>
      <c r="AK117" s="88">
        <f t="shared" si="33"/>
        <v>0</v>
      </c>
      <c r="AL117" s="88">
        <f t="shared" si="33"/>
        <v>0</v>
      </c>
      <c r="AM117" s="88">
        <f t="shared" si="33"/>
        <v>51.43853530950306</v>
      </c>
      <c r="AN117" s="88">
        <f t="shared" si="33"/>
        <v>48.65</v>
      </c>
      <c r="AO117" s="89">
        <f t="shared" si="33"/>
        <v>8.6999999999999993</v>
      </c>
      <c r="AP117" s="90">
        <f t="shared" si="33"/>
        <v>7.4210999999999991</v>
      </c>
      <c r="AQ117" s="91">
        <f t="shared" si="33"/>
        <v>78.7</v>
      </c>
      <c r="AR117" s="91">
        <f t="shared" si="33"/>
        <v>10</v>
      </c>
      <c r="AS117" s="92">
        <f t="shared" si="33"/>
        <v>0</v>
      </c>
      <c r="AT117" s="93">
        <f t="shared" si="33"/>
        <v>13.8</v>
      </c>
      <c r="AU117" s="94">
        <f t="shared" si="33"/>
        <v>5.6</v>
      </c>
      <c r="AV117" s="91">
        <f t="shared" si="33"/>
        <v>40.28776978417266</v>
      </c>
      <c r="AW117" s="91">
        <f t="shared" si="33"/>
        <v>36.619718309859152</v>
      </c>
      <c r="AX117" s="83">
        <f t="shared" si="33"/>
        <v>0</v>
      </c>
      <c r="AY117" s="95">
        <f t="shared" si="33"/>
        <v>61.75</v>
      </c>
      <c r="AZ117" s="96">
        <f t="shared" si="33"/>
        <v>56.31</v>
      </c>
      <c r="BA117" s="96">
        <f t="shared" si="33"/>
        <v>0</v>
      </c>
      <c r="BB117" s="96">
        <f t="shared" si="33"/>
        <v>67</v>
      </c>
      <c r="BC117" s="96">
        <f t="shared" si="33"/>
        <v>0</v>
      </c>
      <c r="BD117" s="97">
        <f t="shared" si="33"/>
        <v>48.65</v>
      </c>
      <c r="BE117" s="87">
        <f t="shared" si="33"/>
        <v>95</v>
      </c>
      <c r="BF117" s="88">
        <f t="shared" si="33"/>
        <v>0</v>
      </c>
      <c r="BG117" s="98">
        <f t="shared" si="33"/>
        <v>0</v>
      </c>
      <c r="BH117" s="98">
        <f t="shared" si="33"/>
        <v>0</v>
      </c>
      <c r="BI117" s="98">
        <f t="shared" si="33"/>
        <v>0</v>
      </c>
      <c r="BJ117" s="98">
        <f t="shared" si="33"/>
        <v>0</v>
      </c>
      <c r="BK117" s="98">
        <f t="shared" si="33"/>
        <v>0</v>
      </c>
      <c r="BL117" s="97">
        <f t="shared" si="33"/>
        <v>0</v>
      </c>
    </row>
    <row r="118" spans="1:64" outlineLevel="2" x14ac:dyDescent="0.3">
      <c r="A118" s="81" t="s">
        <v>67</v>
      </c>
      <c r="B118" s="82"/>
      <c r="C118" s="83" t="str">
        <f t="shared" ref="C118:BL118" si="34">IFERROR(SUBTOTAL(1,C85:C115),"")</f>
        <v/>
      </c>
      <c r="D118" s="84">
        <f t="shared" si="34"/>
        <v>38.451612903225808</v>
      </c>
      <c r="E118" s="84">
        <f t="shared" si="34"/>
        <v>38.225806451612904</v>
      </c>
      <c r="F118" s="84" t="str">
        <f t="shared" si="34"/>
        <v/>
      </c>
      <c r="G118" s="84" t="str">
        <f t="shared" si="34"/>
        <v/>
      </c>
      <c r="H118" s="84" t="str">
        <f t="shared" si="34"/>
        <v/>
      </c>
      <c r="I118" s="84" t="str">
        <f t="shared" si="34"/>
        <v/>
      </c>
      <c r="J118" s="84" t="str">
        <f t="shared" si="34"/>
        <v/>
      </c>
      <c r="K118" s="84" t="str">
        <f t="shared" si="34"/>
        <v/>
      </c>
      <c r="L118" s="85">
        <f t="shared" si="34"/>
        <v>8.0071428571428562</v>
      </c>
      <c r="M118" s="86">
        <f t="shared" si="34"/>
        <v>8.0257142857142849</v>
      </c>
      <c r="N118" s="86">
        <f t="shared" si="34"/>
        <v>7.9507692307692315</v>
      </c>
      <c r="O118" s="86" t="str">
        <f t="shared" si="34"/>
        <v/>
      </c>
      <c r="P118" s="86" t="str">
        <f t="shared" si="34"/>
        <v/>
      </c>
      <c r="Q118" s="86" t="str">
        <f t="shared" si="34"/>
        <v/>
      </c>
      <c r="R118" s="86" t="str">
        <f t="shared" si="34"/>
        <v/>
      </c>
      <c r="S118" s="86" t="str">
        <f t="shared" si="34"/>
        <v/>
      </c>
      <c r="T118" s="86" t="str">
        <f t="shared" si="34"/>
        <v/>
      </c>
      <c r="U118" s="87">
        <f t="shared" si="34"/>
        <v>1652.8133333333333</v>
      </c>
      <c r="V118" s="88">
        <f t="shared" si="34"/>
        <v>1694.2799999999997</v>
      </c>
      <c r="W118" s="88">
        <f t="shared" si="34"/>
        <v>1617.6285714285711</v>
      </c>
      <c r="X118" s="88" t="str">
        <f t="shared" si="34"/>
        <v/>
      </c>
      <c r="Y118" s="88" t="str">
        <f t="shared" si="34"/>
        <v/>
      </c>
      <c r="Z118" s="88" t="str">
        <f t="shared" si="34"/>
        <v/>
      </c>
      <c r="AA118" s="88" t="str">
        <f t="shared" si="34"/>
        <v/>
      </c>
      <c r="AB118" s="88" t="str">
        <f t="shared" si="34"/>
        <v/>
      </c>
      <c r="AC118" s="88" t="str">
        <f t="shared" si="34"/>
        <v/>
      </c>
      <c r="AD118" s="87" t="str">
        <f t="shared" si="34"/>
        <v/>
      </c>
      <c r="AE118" s="88" t="str">
        <f t="shared" si="34"/>
        <v/>
      </c>
      <c r="AF118" s="88" t="str">
        <f t="shared" si="34"/>
        <v/>
      </c>
      <c r="AG118" s="88" t="str">
        <f t="shared" si="34"/>
        <v/>
      </c>
      <c r="AH118" s="88" t="str">
        <f t="shared" si="34"/>
        <v/>
      </c>
      <c r="AI118" s="88" t="str">
        <f t="shared" si="34"/>
        <v/>
      </c>
      <c r="AJ118" s="88" t="str">
        <f t="shared" si="34"/>
        <v/>
      </c>
      <c r="AK118" s="88" t="str">
        <f t="shared" si="34"/>
        <v/>
      </c>
      <c r="AL118" s="88" t="str">
        <f t="shared" si="34"/>
        <v/>
      </c>
      <c r="AM118" s="88">
        <f t="shared" si="34"/>
        <v>62.521932461103482</v>
      </c>
      <c r="AN118" s="88">
        <f t="shared" si="34"/>
        <v>76.935806451612905</v>
      </c>
      <c r="AO118" s="89">
        <f t="shared" si="34"/>
        <v>18.7</v>
      </c>
      <c r="AP118" s="90">
        <f t="shared" si="34"/>
        <v>15.967874999999999</v>
      </c>
      <c r="AQ118" s="91">
        <f t="shared" si="34"/>
        <v>85.174999999999997</v>
      </c>
      <c r="AR118" s="91">
        <f t="shared" si="34"/>
        <v>14.824999999999996</v>
      </c>
      <c r="AS118" s="92">
        <f t="shared" si="34"/>
        <v>0</v>
      </c>
      <c r="AT118" s="93">
        <f t="shared" si="34"/>
        <v>14.504166666666665</v>
      </c>
      <c r="AU118" s="94">
        <f t="shared" si="34"/>
        <v>8.3583333333333343</v>
      </c>
      <c r="AV118" s="91">
        <f t="shared" si="34"/>
        <v>57.610578009617946</v>
      </c>
      <c r="AW118" s="91">
        <f t="shared" si="34"/>
        <v>42.389421990382061</v>
      </c>
      <c r="AX118" s="83" t="str">
        <f t="shared" si="34"/>
        <v/>
      </c>
      <c r="AY118" s="95">
        <f t="shared" si="34"/>
        <v>71.620833333333337</v>
      </c>
      <c r="AZ118" s="96">
        <f t="shared" si="34"/>
        <v>59.92354838709678</v>
      </c>
      <c r="BA118" s="96" t="str">
        <f t="shared" si="34"/>
        <v/>
      </c>
      <c r="BB118" s="96">
        <f t="shared" si="34"/>
        <v>86.322580645161295</v>
      </c>
      <c r="BC118" s="96" t="str">
        <f t="shared" si="34"/>
        <v/>
      </c>
      <c r="BD118" s="97">
        <f>IFERROR(SUBTOTAL(1,BD85:BD115),"")</f>
        <v>76.935806451612905</v>
      </c>
      <c r="BE118" s="87">
        <f t="shared" si="34"/>
        <v>5177.8666666666668</v>
      </c>
      <c r="BF118" s="88">
        <f t="shared" si="34"/>
        <v>72.967741935483872</v>
      </c>
      <c r="BG118" s="98">
        <f t="shared" si="34"/>
        <v>435.12903225806451</v>
      </c>
      <c r="BH118" s="98">
        <f t="shared" si="34"/>
        <v>4502.7419354838712</v>
      </c>
      <c r="BI118" s="98" t="str">
        <f t="shared" si="34"/>
        <v/>
      </c>
      <c r="BJ118" s="98" t="str">
        <f t="shared" si="34"/>
        <v/>
      </c>
      <c r="BK118" s="98" t="str">
        <f t="shared" si="34"/>
        <v/>
      </c>
      <c r="BL118" s="97" t="str">
        <f t="shared" si="34"/>
        <v/>
      </c>
    </row>
    <row r="119" spans="1:64" ht="17.25" outlineLevel="1" thickBot="1" x14ac:dyDescent="0.35">
      <c r="A119" s="99" t="s">
        <v>68</v>
      </c>
      <c r="B119" s="100"/>
      <c r="C119" s="101"/>
      <c r="D119" s="102"/>
      <c r="E119" s="102"/>
      <c r="F119" s="102"/>
      <c r="G119" s="102"/>
      <c r="H119" s="102"/>
      <c r="I119" s="102"/>
      <c r="J119" s="102"/>
      <c r="K119" s="102"/>
      <c r="L119" s="103"/>
      <c r="M119" s="104"/>
      <c r="N119" s="104"/>
      <c r="O119" s="104"/>
      <c r="P119" s="104"/>
      <c r="Q119" s="104"/>
      <c r="R119" s="104"/>
      <c r="S119" s="104"/>
      <c r="T119" s="104"/>
      <c r="U119" s="105"/>
      <c r="V119" s="106"/>
      <c r="W119" s="106"/>
      <c r="X119" s="106"/>
      <c r="Y119" s="106"/>
      <c r="Z119" s="106"/>
      <c r="AA119" s="106"/>
      <c r="AB119" s="106"/>
      <c r="AC119" s="106"/>
      <c r="AD119" s="105"/>
      <c r="AE119" s="106"/>
      <c r="AF119" s="106"/>
      <c r="AG119" s="106"/>
      <c r="AH119" s="106"/>
      <c r="AI119" s="106"/>
      <c r="AJ119" s="106"/>
      <c r="AK119" s="106"/>
      <c r="AL119" s="106"/>
      <c r="AM119" s="106"/>
      <c r="AN119" s="107">
        <f>SUBTOTAL(9,AN85:AN115)</f>
        <v>2385.0100000000002</v>
      </c>
      <c r="AO119" s="108"/>
      <c r="AP119" s="109"/>
      <c r="AQ119" s="110"/>
      <c r="AR119" s="110"/>
      <c r="AS119" s="111">
        <f>SUBTOTAL(9,AS85:AS115)</f>
        <v>0</v>
      </c>
      <c r="AT119" s="112"/>
      <c r="AU119" s="113"/>
      <c r="AV119" s="110"/>
      <c r="AW119" s="110"/>
      <c r="AX119" s="101"/>
      <c r="AY119" s="114"/>
      <c r="AZ119" s="115"/>
      <c r="BA119" s="115"/>
      <c r="BB119" s="115"/>
      <c r="BC119" s="115"/>
      <c r="BD119" s="116">
        <f>SUBTOTAL(9,BD85:BD115)</f>
        <v>2385.0100000000002</v>
      </c>
      <c r="BE119" s="117">
        <f t="shared" ref="BE119:BL119" si="35">SUBTOTAL(9,BE85:BE115)</f>
        <v>155336</v>
      </c>
      <c r="BF119" s="107">
        <f t="shared" si="35"/>
        <v>2262</v>
      </c>
      <c r="BG119" s="118">
        <f t="shared" si="35"/>
        <v>13489</v>
      </c>
      <c r="BH119" s="118">
        <f t="shared" si="35"/>
        <v>139585</v>
      </c>
      <c r="BI119" s="118">
        <f t="shared" si="35"/>
        <v>0</v>
      </c>
      <c r="BJ119" s="118">
        <f t="shared" si="35"/>
        <v>0</v>
      </c>
      <c r="BK119" s="118">
        <f t="shared" si="35"/>
        <v>0</v>
      </c>
      <c r="BL119" s="116">
        <f t="shared" si="35"/>
        <v>0</v>
      </c>
    </row>
    <row r="120" spans="1:64" outlineLevel="5" x14ac:dyDescent="0.3">
      <c r="A120" s="136">
        <f t="shared" si="31"/>
        <v>4</v>
      </c>
      <c r="B120" s="165">
        <f>B115+1</f>
        <v>43922</v>
      </c>
      <c r="C120" s="138">
        <f>IFERROR(ROUND(AVERAGE(D120:K120),1),"")</f>
        <v>38.5</v>
      </c>
      <c r="D120" s="84">
        <v>39</v>
      </c>
      <c r="E120" s="84">
        <v>38</v>
      </c>
      <c r="F120" s="84"/>
      <c r="G120" s="84"/>
      <c r="H120" s="84"/>
      <c r="I120" s="84"/>
      <c r="J120" s="84"/>
      <c r="K120" s="84"/>
      <c r="L120" s="140">
        <f>IFERROR(ROUND(AVERAGE(M120:T120),1),"")</f>
        <v>8</v>
      </c>
      <c r="M120" s="86">
        <v>8</v>
      </c>
      <c r="N120" s="86">
        <v>7.95</v>
      </c>
      <c r="O120" s="86"/>
      <c r="P120" s="86"/>
      <c r="Q120" s="86"/>
      <c r="R120" s="86"/>
      <c r="S120" s="86"/>
      <c r="T120" s="86"/>
      <c r="U120" s="142">
        <f>IFERROR(ROUND(AVERAGE(V120:AC120),1),"")</f>
        <v>1297.5</v>
      </c>
      <c r="V120" s="88">
        <v>1730</v>
      </c>
      <c r="W120" s="88">
        <v>865</v>
      </c>
      <c r="X120" s="88"/>
      <c r="Y120" s="88"/>
      <c r="Z120" s="88"/>
      <c r="AA120" s="88"/>
      <c r="AB120" s="88"/>
      <c r="AC120" s="88"/>
      <c r="AD120" s="142" t="str">
        <f>IFERROR(ROUND(AVERAGE(AE120:AL120),1),"")</f>
        <v/>
      </c>
      <c r="AE120" s="88"/>
      <c r="AF120" s="88"/>
      <c r="AG120" s="88"/>
      <c r="AH120" s="88"/>
      <c r="AI120" s="88"/>
      <c r="AJ120" s="88"/>
      <c r="AK120" s="88"/>
      <c r="AL120" s="88"/>
      <c r="AM120" s="88">
        <v>57.073760580411133</v>
      </c>
      <c r="AN120" s="88">
        <v>82.699999999999989</v>
      </c>
      <c r="AO120" s="89"/>
      <c r="AP120" s="90"/>
      <c r="AQ120" s="146" t="str">
        <f t="shared" ref="AQ120:AQ149" si="36">IFERROR(AP120/AO120*100,"")</f>
        <v/>
      </c>
      <c r="AR120" s="146" t="str">
        <f t="shared" ref="AR120:AR149" si="37">IFERROR(100-AQ120,"")</f>
        <v/>
      </c>
      <c r="AS120" s="147">
        <v>0</v>
      </c>
      <c r="AT120" s="148">
        <v>17.149999999999999</v>
      </c>
      <c r="AU120" s="149">
        <v>11.8</v>
      </c>
      <c r="AV120" s="146">
        <f t="shared" ref="AV120:AV149" si="38">IFERROR(AU120/AT120*100,"")</f>
        <v>68.80466472303209</v>
      </c>
      <c r="AW120" s="146">
        <f t="shared" ref="AW120:AW149" si="39">IFERROR(100-AV120,"")</f>
        <v>31.19533527696791</v>
      </c>
      <c r="AX120" s="138" t="str">
        <f>IFERROR((1-((AV120*AR120)/(AW120*AQ120)))*100,"")</f>
        <v/>
      </c>
      <c r="AY120" s="95">
        <v>77.949999999999989</v>
      </c>
      <c r="AZ120" s="96">
        <v>59.9</v>
      </c>
      <c r="BA120" s="96"/>
      <c r="BB120" s="96">
        <v>89</v>
      </c>
      <c r="BC120" s="96"/>
      <c r="BD120" s="97">
        <v>82.699999999999989</v>
      </c>
      <c r="BE120" s="142">
        <f t="shared" ref="BE120:BE149" si="40">IF(SUM(BF120:BL120)=0,"",SUM(BF120:BL120))</f>
        <v>3636</v>
      </c>
      <c r="BF120" s="98">
        <v>121</v>
      </c>
      <c r="BG120" s="98">
        <v>1925</v>
      </c>
      <c r="BH120" s="98">
        <v>1590</v>
      </c>
      <c r="BI120" s="98"/>
      <c r="BJ120" s="98"/>
      <c r="BK120" s="98"/>
      <c r="BL120" s="98"/>
    </row>
    <row r="121" spans="1:64" outlineLevel="5" x14ac:dyDescent="0.3">
      <c r="A121" s="152">
        <f t="shared" si="31"/>
        <v>4</v>
      </c>
      <c r="B121" s="153">
        <f t="shared" si="30"/>
        <v>43923</v>
      </c>
      <c r="C121" s="138">
        <f>IFERROR(ROUND(AVERAGE(D121:K121),1),"")</f>
        <v>39</v>
      </c>
      <c r="D121" s="84">
        <v>39</v>
      </c>
      <c r="E121" s="84">
        <v>39</v>
      </c>
      <c r="F121" s="84"/>
      <c r="G121" s="84"/>
      <c r="H121" s="84"/>
      <c r="I121" s="84"/>
      <c r="J121" s="84"/>
      <c r="K121" s="84"/>
      <c r="L121" s="140">
        <f>IFERROR(ROUND(AVERAGE(M121:T121),1),"")</f>
        <v>8</v>
      </c>
      <c r="M121" s="86">
        <v>7.99</v>
      </c>
      <c r="N121" s="86">
        <v>7.92</v>
      </c>
      <c r="O121" s="86"/>
      <c r="P121" s="86"/>
      <c r="Q121" s="86"/>
      <c r="R121" s="86"/>
      <c r="S121" s="86"/>
      <c r="T121" s="86"/>
      <c r="U121" s="142">
        <f>IFERROR(ROUND(AVERAGE(V121:AC121),1),"")</f>
        <v>1221.8</v>
      </c>
      <c r="V121" s="88">
        <v>1643.5</v>
      </c>
      <c r="W121" s="88">
        <v>800.1</v>
      </c>
      <c r="X121" s="88"/>
      <c r="Y121" s="88"/>
      <c r="Z121" s="88"/>
      <c r="AA121" s="88"/>
      <c r="AB121" s="88"/>
      <c r="AC121" s="88"/>
      <c r="AD121" s="142" t="str">
        <f>IFERROR(ROUND(AVERAGE(AE121:AL121),1),"")</f>
        <v/>
      </c>
      <c r="AE121" s="88"/>
      <c r="AF121" s="88"/>
      <c r="AG121" s="88"/>
      <c r="AH121" s="88"/>
      <c r="AI121" s="88"/>
      <c r="AJ121" s="88"/>
      <c r="AK121" s="88"/>
      <c r="AL121" s="88"/>
      <c r="AM121" s="88">
        <v>55.211135805357344</v>
      </c>
      <c r="AN121" s="88">
        <v>85.490000000000009</v>
      </c>
      <c r="AO121" s="89"/>
      <c r="AP121" s="90"/>
      <c r="AQ121" s="146" t="str">
        <f t="shared" si="36"/>
        <v/>
      </c>
      <c r="AR121" s="146" t="str">
        <f t="shared" si="37"/>
        <v/>
      </c>
      <c r="AS121" s="147">
        <v>0</v>
      </c>
      <c r="AT121" s="148">
        <v>14.15</v>
      </c>
      <c r="AU121" s="149">
        <v>8.65</v>
      </c>
      <c r="AV121" s="146">
        <f t="shared" si="38"/>
        <v>61.130742049469966</v>
      </c>
      <c r="AW121" s="146">
        <f t="shared" si="39"/>
        <v>38.869257950530034</v>
      </c>
      <c r="AX121" s="138" t="str">
        <f>IFERROR((1-((AV121*AR121)/(AW121*AQ121)))*100,"")</f>
        <v/>
      </c>
      <c r="AY121" s="95">
        <v>76.5</v>
      </c>
      <c r="AZ121" s="96">
        <v>60.655000000000001</v>
      </c>
      <c r="BA121" s="96"/>
      <c r="BB121" s="96">
        <v>94</v>
      </c>
      <c r="BC121" s="96"/>
      <c r="BD121" s="97">
        <v>85.490000000000009</v>
      </c>
      <c r="BE121" s="142">
        <f t="shared" si="40"/>
        <v>5751</v>
      </c>
      <c r="BF121" s="98">
        <v>0</v>
      </c>
      <c r="BG121" s="98">
        <v>2386</v>
      </c>
      <c r="BH121" s="98">
        <v>3365</v>
      </c>
      <c r="BI121" s="98"/>
      <c r="BJ121" s="98"/>
      <c r="BK121" s="98"/>
      <c r="BL121" s="98"/>
    </row>
    <row r="122" spans="1:64" outlineLevel="5" x14ac:dyDescent="0.3">
      <c r="A122" s="152">
        <f t="shared" si="31"/>
        <v>4</v>
      </c>
      <c r="B122" s="153">
        <f t="shared" si="30"/>
        <v>43924</v>
      </c>
      <c r="C122" s="138">
        <f>IFERROR(ROUND(AVERAGE(D122:K122),1),"")</f>
        <v>38</v>
      </c>
      <c r="D122" s="84">
        <v>38</v>
      </c>
      <c r="E122" s="84">
        <v>38</v>
      </c>
      <c r="F122" s="84"/>
      <c r="G122" s="84"/>
      <c r="H122" s="84"/>
      <c r="I122" s="84"/>
      <c r="J122" s="84"/>
      <c r="K122" s="84"/>
      <c r="L122" s="140" t="str">
        <f>IFERROR(ROUND(AVERAGE(M122:T122),1),"")</f>
        <v/>
      </c>
      <c r="M122" s="86"/>
      <c r="N122" s="86"/>
      <c r="O122" s="86"/>
      <c r="P122" s="86"/>
      <c r="Q122" s="86"/>
      <c r="R122" s="86"/>
      <c r="S122" s="86"/>
      <c r="T122" s="86"/>
      <c r="U122" s="142" t="str">
        <f>IFERROR(ROUND(AVERAGE(V122:AC122),1),"")</f>
        <v/>
      </c>
      <c r="V122" s="88"/>
      <c r="W122" s="88"/>
      <c r="X122" s="88"/>
      <c r="Y122" s="88"/>
      <c r="Z122" s="88"/>
      <c r="AA122" s="88"/>
      <c r="AB122" s="88"/>
      <c r="AC122" s="88"/>
      <c r="AD122" s="142" t="str">
        <f>IFERROR(ROUND(AVERAGE(AE122:AL122),1),"")</f>
        <v/>
      </c>
      <c r="AE122" s="88"/>
      <c r="AF122" s="88"/>
      <c r="AG122" s="88"/>
      <c r="AH122" s="88"/>
      <c r="AI122" s="88"/>
      <c r="AJ122" s="88"/>
      <c r="AK122" s="88"/>
      <c r="AL122" s="88"/>
      <c r="AM122" s="88">
        <v>68.04093988755946</v>
      </c>
      <c r="AN122" s="88">
        <v>69.37</v>
      </c>
      <c r="AO122" s="89">
        <v>20.6</v>
      </c>
      <c r="AP122" s="90">
        <v>18.210400000000003</v>
      </c>
      <c r="AQ122" s="146">
        <f t="shared" si="36"/>
        <v>88.4</v>
      </c>
      <c r="AR122" s="146">
        <f t="shared" si="37"/>
        <v>11.599999999999994</v>
      </c>
      <c r="AS122" s="147">
        <v>0</v>
      </c>
      <c r="AT122" s="148" t="s">
        <v>56</v>
      </c>
      <c r="AU122" s="149" t="s">
        <v>56</v>
      </c>
      <c r="AV122" s="146" t="str">
        <f t="shared" si="38"/>
        <v/>
      </c>
      <c r="AW122" s="146" t="str">
        <f t="shared" si="39"/>
        <v/>
      </c>
      <c r="AX122" s="138" t="str">
        <f>IFERROR((1-((AV122*AR122)/(AW122*AQ122)))*100,"")</f>
        <v/>
      </c>
      <c r="AY122" s="95" t="s">
        <v>56</v>
      </c>
      <c r="AZ122" s="96">
        <v>62</v>
      </c>
      <c r="BA122" s="96"/>
      <c r="BB122" s="96">
        <v>73</v>
      </c>
      <c r="BC122" s="96"/>
      <c r="BD122" s="97">
        <v>69.37</v>
      </c>
      <c r="BE122" s="142">
        <f t="shared" si="40"/>
        <v>3920</v>
      </c>
      <c r="BF122" s="98">
        <v>125</v>
      </c>
      <c r="BG122" s="98">
        <v>1752</v>
      </c>
      <c r="BH122" s="98">
        <v>2043</v>
      </c>
      <c r="BI122" s="98"/>
      <c r="BJ122" s="98"/>
      <c r="BK122" s="98"/>
      <c r="BL122" s="98"/>
    </row>
    <row r="123" spans="1:64" outlineLevel="5" x14ac:dyDescent="0.3">
      <c r="A123" s="152">
        <f t="shared" si="31"/>
        <v>4</v>
      </c>
      <c r="B123" s="153">
        <f t="shared" si="30"/>
        <v>43925</v>
      </c>
      <c r="C123" s="138">
        <f>IFERROR(ROUND(AVERAGE(D123:K123),1),"")</f>
        <v>39</v>
      </c>
      <c r="D123" s="84">
        <v>39</v>
      </c>
      <c r="E123" s="84">
        <v>39</v>
      </c>
      <c r="F123" s="84"/>
      <c r="G123" s="84"/>
      <c r="H123" s="84"/>
      <c r="I123" s="84"/>
      <c r="J123" s="84"/>
      <c r="K123" s="84"/>
      <c r="L123" s="140" t="str">
        <f>IFERROR(ROUND(AVERAGE(M123:T123),1),"")</f>
        <v/>
      </c>
      <c r="M123" s="86"/>
      <c r="N123" s="86"/>
      <c r="O123" s="86"/>
      <c r="P123" s="86"/>
      <c r="Q123" s="86"/>
      <c r="R123" s="86"/>
      <c r="S123" s="86"/>
      <c r="T123" s="86"/>
      <c r="U123" s="142" t="str">
        <f>IFERROR(ROUND(AVERAGE(V123:AC123),1),"")</f>
        <v/>
      </c>
      <c r="V123" s="88"/>
      <c r="W123" s="88"/>
      <c r="X123" s="88"/>
      <c r="Y123" s="88"/>
      <c r="Z123" s="88"/>
      <c r="AA123" s="88"/>
      <c r="AB123" s="88"/>
      <c r="AC123" s="88"/>
      <c r="AD123" s="142" t="str">
        <f>IFERROR(ROUND(AVERAGE(AE123:AL123),1),"")</f>
        <v/>
      </c>
      <c r="AE123" s="88"/>
      <c r="AF123" s="88"/>
      <c r="AG123" s="88"/>
      <c r="AH123" s="88"/>
      <c r="AI123" s="88"/>
      <c r="AJ123" s="88"/>
      <c r="AK123" s="88"/>
      <c r="AL123" s="88"/>
      <c r="AM123" s="88">
        <v>65.283540802213011</v>
      </c>
      <c r="AN123" s="88">
        <v>72.3</v>
      </c>
      <c r="AO123" s="89" t="s">
        <v>56</v>
      </c>
      <c r="AP123" s="90" t="s">
        <v>56</v>
      </c>
      <c r="AQ123" s="146" t="str">
        <f t="shared" si="36"/>
        <v/>
      </c>
      <c r="AR123" s="146" t="str">
        <f t="shared" si="37"/>
        <v/>
      </c>
      <c r="AS123" s="147">
        <v>0</v>
      </c>
      <c r="AT123" s="148" t="s">
        <v>56</v>
      </c>
      <c r="AU123" s="149" t="s">
        <v>56</v>
      </c>
      <c r="AV123" s="146" t="str">
        <f t="shared" si="38"/>
        <v/>
      </c>
      <c r="AW123" s="146" t="str">
        <f t="shared" si="39"/>
        <v/>
      </c>
      <c r="AX123" s="138" t="str">
        <f>IFERROR((1-((AV123*AR123)/(AW123*AQ123)))*100,"")</f>
        <v/>
      </c>
      <c r="AY123" s="95" t="s">
        <v>56</v>
      </c>
      <c r="AZ123" s="96">
        <v>56.81</v>
      </c>
      <c r="BA123" s="96"/>
      <c r="BB123" s="96">
        <v>75.5</v>
      </c>
      <c r="BC123" s="96"/>
      <c r="BD123" s="97">
        <v>72.3</v>
      </c>
      <c r="BE123" s="142">
        <f t="shared" si="40"/>
        <v>2445</v>
      </c>
      <c r="BF123" s="98">
        <v>0</v>
      </c>
      <c r="BG123" s="98">
        <v>0</v>
      </c>
      <c r="BH123" s="98">
        <v>2445</v>
      </c>
      <c r="BI123" s="98"/>
      <c r="BJ123" s="98"/>
      <c r="BK123" s="98"/>
      <c r="BL123" s="98"/>
    </row>
    <row r="124" spans="1:64" outlineLevel="5" x14ac:dyDescent="0.3">
      <c r="A124" s="152">
        <f t="shared" si="31"/>
        <v>4</v>
      </c>
      <c r="B124" s="153">
        <f t="shared" si="30"/>
        <v>43926</v>
      </c>
      <c r="C124" s="138">
        <f>IFERROR(ROUND(AVERAGE(D124:K124),1),"")</f>
        <v>39</v>
      </c>
      <c r="D124" s="84">
        <v>39</v>
      </c>
      <c r="E124" s="84">
        <v>39</v>
      </c>
      <c r="F124" s="84"/>
      <c r="G124" s="84"/>
      <c r="H124" s="84"/>
      <c r="I124" s="84"/>
      <c r="J124" s="84"/>
      <c r="K124" s="84"/>
      <c r="L124" s="140" t="str">
        <f>IFERROR(ROUND(AVERAGE(M124:T124),1),"")</f>
        <v/>
      </c>
      <c r="M124" s="86"/>
      <c r="N124" s="86"/>
      <c r="O124" s="86"/>
      <c r="P124" s="86"/>
      <c r="Q124" s="86"/>
      <c r="R124" s="86"/>
      <c r="S124" s="86"/>
      <c r="T124" s="86"/>
      <c r="U124" s="142" t="str">
        <f>IFERROR(ROUND(AVERAGE(V124:AC124),1),"")</f>
        <v/>
      </c>
      <c r="V124" s="88"/>
      <c r="W124" s="88"/>
      <c r="X124" s="88"/>
      <c r="Y124" s="88"/>
      <c r="Z124" s="88"/>
      <c r="AA124" s="88"/>
      <c r="AB124" s="88"/>
      <c r="AC124" s="88"/>
      <c r="AD124" s="142" t="str">
        <f>IFERROR(ROUND(AVERAGE(AE124:AL124),1),"")</f>
        <v/>
      </c>
      <c r="AE124" s="88"/>
      <c r="AF124" s="88"/>
      <c r="AG124" s="88"/>
      <c r="AH124" s="88"/>
      <c r="AI124" s="88"/>
      <c r="AJ124" s="88"/>
      <c r="AK124" s="88"/>
      <c r="AL124" s="88"/>
      <c r="AM124" s="88">
        <v>59.746835443037973</v>
      </c>
      <c r="AN124" s="88">
        <v>79</v>
      </c>
      <c r="AO124" s="89" t="s">
        <v>56</v>
      </c>
      <c r="AP124" s="90" t="s">
        <v>56</v>
      </c>
      <c r="AQ124" s="146" t="str">
        <f t="shared" si="36"/>
        <v/>
      </c>
      <c r="AR124" s="146" t="str">
        <f t="shared" si="37"/>
        <v/>
      </c>
      <c r="AS124" s="147">
        <v>0</v>
      </c>
      <c r="AT124" s="148" t="s">
        <v>56</v>
      </c>
      <c r="AU124" s="149" t="s">
        <v>56</v>
      </c>
      <c r="AV124" s="146" t="str">
        <f t="shared" si="38"/>
        <v/>
      </c>
      <c r="AW124" s="146" t="str">
        <f t="shared" si="39"/>
        <v/>
      </c>
      <c r="AX124" s="138" t="str">
        <f>IFERROR((1-((AV124*AR124)/(AW124*AQ124)))*100,"")</f>
        <v/>
      </c>
      <c r="AY124" s="95" t="s">
        <v>56</v>
      </c>
      <c r="AZ124" s="96">
        <v>58.575000000000003</v>
      </c>
      <c r="BA124" s="96"/>
      <c r="BB124" s="96">
        <v>92</v>
      </c>
      <c r="BC124" s="96"/>
      <c r="BD124" s="97">
        <v>79</v>
      </c>
      <c r="BE124" s="142">
        <f t="shared" si="40"/>
        <v>3291</v>
      </c>
      <c r="BF124" s="98">
        <v>0</v>
      </c>
      <c r="BG124" s="98">
        <v>0</v>
      </c>
      <c r="BH124" s="98">
        <v>3291</v>
      </c>
      <c r="BI124" s="98"/>
      <c r="BJ124" s="98"/>
      <c r="BK124" s="98"/>
      <c r="BL124" s="98"/>
    </row>
    <row r="125" spans="1:64" outlineLevel="5" x14ac:dyDescent="0.3">
      <c r="A125" s="152">
        <f t="shared" si="31"/>
        <v>4</v>
      </c>
      <c r="B125" s="153">
        <f t="shared" si="30"/>
        <v>43927</v>
      </c>
      <c r="C125" s="138">
        <f>IFERROR(ROUND(AVERAGE(D125:K125),1),"")</f>
        <v>39</v>
      </c>
      <c r="D125" s="84">
        <v>39</v>
      </c>
      <c r="E125" s="84">
        <v>39</v>
      </c>
      <c r="F125" s="84"/>
      <c r="G125" s="84"/>
      <c r="H125" s="84"/>
      <c r="I125" s="84"/>
      <c r="J125" s="84"/>
      <c r="K125" s="84"/>
      <c r="L125" s="140">
        <f>IFERROR(ROUND(AVERAGE(M125:T125),1),"")</f>
        <v>7.9</v>
      </c>
      <c r="M125" s="86">
        <v>7.92</v>
      </c>
      <c r="N125" s="86">
        <v>7.9</v>
      </c>
      <c r="O125" s="86"/>
      <c r="P125" s="86"/>
      <c r="Q125" s="86"/>
      <c r="R125" s="86"/>
      <c r="S125" s="86"/>
      <c r="T125" s="86"/>
      <c r="U125" s="142">
        <f>IFERROR(ROUND(AVERAGE(V125:AC125),1),"")</f>
        <v>1243.5</v>
      </c>
      <c r="V125" s="88">
        <v>1730</v>
      </c>
      <c r="W125" s="88">
        <v>756.9</v>
      </c>
      <c r="X125" s="88"/>
      <c r="Y125" s="88"/>
      <c r="Z125" s="88"/>
      <c r="AA125" s="88"/>
      <c r="AB125" s="88"/>
      <c r="AC125" s="88"/>
      <c r="AD125" s="142" t="str">
        <f>IFERROR(ROUND(AVERAGE(AE125:AL125),1),"")</f>
        <v/>
      </c>
      <c r="AE125" s="88"/>
      <c r="AF125" s="88"/>
      <c r="AG125" s="88"/>
      <c r="AH125" s="88"/>
      <c r="AI125" s="88"/>
      <c r="AJ125" s="88"/>
      <c r="AK125" s="88"/>
      <c r="AL125" s="88"/>
      <c r="AM125" s="88">
        <v>58.156727451946772</v>
      </c>
      <c r="AN125" s="88">
        <v>81.16</v>
      </c>
      <c r="AO125" s="89" t="s">
        <v>56</v>
      </c>
      <c r="AP125" s="90" t="s">
        <v>56</v>
      </c>
      <c r="AQ125" s="146" t="str">
        <f t="shared" si="36"/>
        <v/>
      </c>
      <c r="AR125" s="146" t="str">
        <f t="shared" si="37"/>
        <v/>
      </c>
      <c r="AS125" s="147">
        <v>0</v>
      </c>
      <c r="AT125" s="148">
        <v>13.7</v>
      </c>
      <c r="AU125" s="149">
        <v>6.85</v>
      </c>
      <c r="AV125" s="146">
        <f t="shared" si="38"/>
        <v>50</v>
      </c>
      <c r="AW125" s="146">
        <f t="shared" si="39"/>
        <v>50</v>
      </c>
      <c r="AX125" s="138" t="str">
        <f>IFERROR((1-((AV125*AR125)/(AW125*AQ125)))*100,"")</f>
        <v/>
      </c>
      <c r="AY125" s="95">
        <v>78.45</v>
      </c>
      <c r="AZ125" s="96">
        <v>61.704999999999998</v>
      </c>
      <c r="BA125" s="96"/>
      <c r="BB125" s="96">
        <v>46</v>
      </c>
      <c r="BC125" s="96"/>
      <c r="BD125" s="97">
        <v>81.16</v>
      </c>
      <c r="BE125" s="142">
        <f t="shared" si="40"/>
        <v>3083</v>
      </c>
      <c r="BF125" s="98">
        <v>0</v>
      </c>
      <c r="BG125" s="98">
        <v>1274</v>
      </c>
      <c r="BH125" s="98">
        <v>1809</v>
      </c>
      <c r="BI125" s="98"/>
      <c r="BJ125" s="98"/>
      <c r="BK125" s="98"/>
      <c r="BL125" s="98"/>
    </row>
    <row r="126" spans="1:64" outlineLevel="5" x14ac:dyDescent="0.3">
      <c r="A126" s="152">
        <f t="shared" si="31"/>
        <v>4</v>
      </c>
      <c r="B126" s="153">
        <f t="shared" si="30"/>
        <v>43928</v>
      </c>
      <c r="C126" s="138">
        <f>IFERROR(ROUND(AVERAGE(D126:K126),1),"")</f>
        <v>38</v>
      </c>
      <c r="D126" s="84">
        <v>38</v>
      </c>
      <c r="E126" s="84">
        <v>38</v>
      </c>
      <c r="F126" s="84"/>
      <c r="G126" s="84"/>
      <c r="H126" s="84"/>
      <c r="I126" s="84"/>
      <c r="J126" s="84"/>
      <c r="K126" s="84"/>
      <c r="L126" s="140" t="str">
        <f>IFERROR(ROUND(AVERAGE(M126:T126),1),"")</f>
        <v/>
      </c>
      <c r="M126" s="86"/>
      <c r="N126" s="86"/>
      <c r="O126" s="86"/>
      <c r="P126" s="86"/>
      <c r="Q126" s="86"/>
      <c r="R126" s="86"/>
      <c r="S126" s="86"/>
      <c r="T126" s="86"/>
      <c r="U126" s="142" t="str">
        <f>IFERROR(ROUND(AVERAGE(V126:AC126),1),"")</f>
        <v/>
      </c>
      <c r="V126" s="88"/>
      <c r="W126" s="88"/>
      <c r="X126" s="88"/>
      <c r="Y126" s="88"/>
      <c r="Z126" s="88"/>
      <c r="AA126" s="88"/>
      <c r="AB126" s="88"/>
      <c r="AC126" s="88"/>
      <c r="AD126" s="142" t="str">
        <f>IFERROR(ROUND(AVERAGE(AE126:AL126),1),"")</f>
        <v/>
      </c>
      <c r="AE126" s="88"/>
      <c r="AF126" s="88"/>
      <c r="AG126" s="88"/>
      <c r="AH126" s="88"/>
      <c r="AI126" s="88"/>
      <c r="AJ126" s="88"/>
      <c r="AK126" s="88"/>
      <c r="AL126" s="88"/>
      <c r="AM126" s="88">
        <v>56.486357108664428</v>
      </c>
      <c r="AN126" s="88">
        <v>83.56</v>
      </c>
      <c r="AO126" s="89" t="s">
        <v>56</v>
      </c>
      <c r="AP126" s="90"/>
      <c r="AQ126" s="146" t="str">
        <f t="shared" si="36"/>
        <v/>
      </c>
      <c r="AR126" s="146" t="str">
        <f t="shared" si="37"/>
        <v/>
      </c>
      <c r="AS126" s="147">
        <v>0</v>
      </c>
      <c r="AT126" s="148" t="s">
        <v>56</v>
      </c>
      <c r="AU126" s="149" t="s">
        <v>56</v>
      </c>
      <c r="AV126" s="146" t="str">
        <f t="shared" si="38"/>
        <v/>
      </c>
      <c r="AW126" s="146" t="str">
        <f t="shared" si="39"/>
        <v/>
      </c>
      <c r="AX126" s="138" t="str">
        <f>IFERROR((1-((AV126*AR126)/(AW126*AQ126)))*100,"")</f>
        <v/>
      </c>
      <c r="AY126" s="95">
        <v>81.3</v>
      </c>
      <c r="AZ126" s="96">
        <v>59.32</v>
      </c>
      <c r="BA126" s="96"/>
      <c r="BB126" s="96">
        <v>63.5</v>
      </c>
      <c r="BC126" s="96"/>
      <c r="BD126" s="97">
        <v>83.56</v>
      </c>
      <c r="BE126" s="142">
        <f t="shared" si="40"/>
        <v>1134</v>
      </c>
      <c r="BF126" s="98">
        <v>0</v>
      </c>
      <c r="BG126" s="98">
        <v>86</v>
      </c>
      <c r="BH126" s="98">
        <v>1048</v>
      </c>
      <c r="BI126" s="98"/>
      <c r="BJ126" s="98"/>
      <c r="BK126" s="98"/>
      <c r="BL126" s="98"/>
    </row>
    <row r="127" spans="1:64" outlineLevel="5" x14ac:dyDescent="0.3">
      <c r="A127" s="152">
        <f t="shared" si="31"/>
        <v>4</v>
      </c>
      <c r="B127" s="153">
        <f t="shared" si="30"/>
        <v>43929</v>
      </c>
      <c r="C127" s="138">
        <f>IFERROR(ROUND(AVERAGE(D127:K127),1),"")</f>
        <v>38.5</v>
      </c>
      <c r="D127" s="84">
        <v>39</v>
      </c>
      <c r="E127" s="84">
        <v>38</v>
      </c>
      <c r="F127" s="84"/>
      <c r="G127" s="84"/>
      <c r="H127" s="84"/>
      <c r="I127" s="84"/>
      <c r="J127" s="84"/>
      <c r="K127" s="84"/>
      <c r="L127" s="140">
        <f>IFERROR(ROUND(AVERAGE(M127:T127),1),"")</f>
        <v>7.9</v>
      </c>
      <c r="M127" s="86">
        <v>7.9</v>
      </c>
      <c r="N127" s="86">
        <v>7.85</v>
      </c>
      <c r="O127" s="86"/>
      <c r="P127" s="86"/>
      <c r="Q127" s="86"/>
      <c r="R127" s="86"/>
      <c r="S127" s="86"/>
      <c r="T127" s="86"/>
      <c r="U127" s="142">
        <f>IFERROR(ROUND(AVERAGE(V127:AC127),1),"")</f>
        <v>1254.3</v>
      </c>
      <c r="V127" s="88">
        <v>1513.8</v>
      </c>
      <c r="W127" s="88">
        <v>994.8</v>
      </c>
      <c r="X127" s="88"/>
      <c r="Y127" s="88"/>
      <c r="Z127" s="88"/>
      <c r="AA127" s="88"/>
      <c r="AB127" s="88"/>
      <c r="AC127" s="88"/>
      <c r="AD127" s="142" t="str">
        <f>IFERROR(ROUND(AVERAGE(AE127:AL127),1),"")</f>
        <v/>
      </c>
      <c r="AE127" s="88"/>
      <c r="AF127" s="88"/>
      <c r="AG127" s="88"/>
      <c r="AH127" s="88"/>
      <c r="AI127" s="88"/>
      <c r="AJ127" s="88"/>
      <c r="AK127" s="88"/>
      <c r="AL127" s="88"/>
      <c r="AM127" s="88">
        <v>54.909260120986502</v>
      </c>
      <c r="AN127" s="88">
        <v>85.960000000000008</v>
      </c>
      <c r="AO127" s="89"/>
      <c r="AP127" s="90"/>
      <c r="AQ127" s="146" t="str">
        <f t="shared" si="36"/>
        <v/>
      </c>
      <c r="AR127" s="146" t="str">
        <f t="shared" si="37"/>
        <v/>
      </c>
      <c r="AS127" s="147">
        <v>0</v>
      </c>
      <c r="AT127" s="148">
        <v>13.649999999999999</v>
      </c>
      <c r="AU127" s="149">
        <v>8.1499999999999986</v>
      </c>
      <c r="AV127" s="146">
        <f t="shared" si="38"/>
        <v>59.706959706959708</v>
      </c>
      <c r="AW127" s="146">
        <f t="shared" si="39"/>
        <v>40.293040293040292</v>
      </c>
      <c r="AX127" s="138" t="str">
        <f>IFERROR((1-((AV127*AR127)/(AW127*AQ127)))*100,"")</f>
        <v/>
      </c>
      <c r="AY127" s="95" t="s">
        <v>56</v>
      </c>
      <c r="AZ127" s="96">
        <v>62.195</v>
      </c>
      <c r="BA127" s="96"/>
      <c r="BB127" s="96">
        <v>61</v>
      </c>
      <c r="BC127" s="96"/>
      <c r="BD127" s="97">
        <v>85.960000000000008</v>
      </c>
      <c r="BE127" s="142">
        <f t="shared" si="40"/>
        <v>1974</v>
      </c>
      <c r="BF127" s="98">
        <v>0</v>
      </c>
      <c r="BG127" s="98">
        <v>0</v>
      </c>
      <c r="BH127" s="98">
        <v>1974</v>
      </c>
      <c r="BI127" s="98"/>
      <c r="BJ127" s="98"/>
      <c r="BK127" s="98"/>
      <c r="BL127" s="98"/>
    </row>
    <row r="128" spans="1:64" outlineLevel="5" x14ac:dyDescent="0.3">
      <c r="A128" s="152">
        <f t="shared" si="31"/>
        <v>4</v>
      </c>
      <c r="B128" s="153">
        <f t="shared" si="30"/>
        <v>43930</v>
      </c>
      <c r="C128" s="138">
        <f>IFERROR(ROUND(AVERAGE(D128:K128),1),"")</f>
        <v>37.5</v>
      </c>
      <c r="D128" s="84">
        <v>39</v>
      </c>
      <c r="E128" s="84">
        <v>36</v>
      </c>
      <c r="F128" s="84"/>
      <c r="G128" s="84"/>
      <c r="H128" s="84"/>
      <c r="I128" s="84"/>
      <c r="J128" s="84"/>
      <c r="K128" s="84"/>
      <c r="L128" s="140">
        <f>IFERROR(ROUND(AVERAGE(M128:T128),1),"")</f>
        <v>7.8</v>
      </c>
      <c r="M128" s="86">
        <v>7.71</v>
      </c>
      <c r="N128" s="86">
        <v>7.82</v>
      </c>
      <c r="O128" s="86"/>
      <c r="P128" s="86"/>
      <c r="Q128" s="86"/>
      <c r="R128" s="86"/>
      <c r="S128" s="86"/>
      <c r="T128" s="86"/>
      <c r="U128" s="142">
        <f>IFERROR(ROUND(AVERAGE(V128:AC128),1),"")</f>
        <v>1297.5999999999999</v>
      </c>
      <c r="V128" s="88">
        <v>1513.8</v>
      </c>
      <c r="W128" s="88">
        <v>1081.3</v>
      </c>
      <c r="X128" s="88"/>
      <c r="Y128" s="88"/>
      <c r="Z128" s="88"/>
      <c r="AA128" s="88"/>
      <c r="AB128" s="88"/>
      <c r="AC128" s="88"/>
      <c r="AD128" s="142" t="str">
        <f>IFERROR(ROUND(AVERAGE(AE128:AL128),1),"")</f>
        <v/>
      </c>
      <c r="AE128" s="88"/>
      <c r="AF128" s="88"/>
      <c r="AG128" s="88"/>
      <c r="AH128" s="88"/>
      <c r="AI128" s="88"/>
      <c r="AJ128" s="88"/>
      <c r="AK128" s="88"/>
      <c r="AL128" s="88"/>
      <c r="AM128" s="88">
        <v>57.011716390868465</v>
      </c>
      <c r="AN128" s="88">
        <v>82.789999999999992</v>
      </c>
      <c r="AO128" s="89">
        <v>19.899999999999999</v>
      </c>
      <c r="AP128" s="90">
        <v>17.014499999999998</v>
      </c>
      <c r="AQ128" s="146">
        <f t="shared" si="36"/>
        <v>85.5</v>
      </c>
      <c r="AR128" s="146">
        <f t="shared" si="37"/>
        <v>14.5</v>
      </c>
      <c r="AS128" s="147">
        <v>0</v>
      </c>
      <c r="AT128" s="148">
        <v>14.100000000000001</v>
      </c>
      <c r="AU128" s="149">
        <v>8.6000000000000014</v>
      </c>
      <c r="AV128" s="146">
        <f t="shared" si="38"/>
        <v>60.99290780141844</v>
      </c>
      <c r="AW128" s="146">
        <f t="shared" si="39"/>
        <v>39.00709219858156</v>
      </c>
      <c r="AX128" s="138">
        <f>IFERROR((1-((AV128*AR128)/(AW128*AQ128)))*100,"")</f>
        <v>73.482190324295587</v>
      </c>
      <c r="AY128" s="95">
        <v>76.3</v>
      </c>
      <c r="AZ128" s="96">
        <v>60.114999999999995</v>
      </c>
      <c r="BA128" s="96"/>
      <c r="BB128" s="96">
        <v>73.5</v>
      </c>
      <c r="BC128" s="96"/>
      <c r="BD128" s="97">
        <v>82.789999999999992</v>
      </c>
      <c r="BE128" s="142">
        <f t="shared" si="40"/>
        <v>3563</v>
      </c>
      <c r="BF128" s="98">
        <v>110</v>
      </c>
      <c r="BG128" s="98">
        <v>0</v>
      </c>
      <c r="BH128" s="98">
        <v>3453</v>
      </c>
      <c r="BI128" s="98"/>
      <c r="BJ128" s="98"/>
      <c r="BK128" s="98"/>
      <c r="BL128" s="98"/>
    </row>
    <row r="129" spans="1:64" outlineLevel="5" x14ac:dyDescent="0.3">
      <c r="A129" s="152">
        <f t="shared" si="31"/>
        <v>4</v>
      </c>
      <c r="B129" s="153">
        <f t="shared" si="30"/>
        <v>43931</v>
      </c>
      <c r="C129" s="138">
        <f>IFERROR(ROUND(AVERAGE(D129:K129),1),"")</f>
        <v>38</v>
      </c>
      <c r="D129" s="84">
        <v>38</v>
      </c>
      <c r="E129" s="84">
        <v>38</v>
      </c>
      <c r="F129" s="84"/>
      <c r="G129" s="84"/>
      <c r="H129" s="84"/>
      <c r="I129" s="84"/>
      <c r="J129" s="84"/>
      <c r="K129" s="84"/>
      <c r="L129" s="140" t="str">
        <f>IFERROR(ROUND(AVERAGE(M129:T129),1),"")</f>
        <v/>
      </c>
      <c r="M129" s="86"/>
      <c r="N129" s="86"/>
      <c r="O129" s="86"/>
      <c r="P129" s="86"/>
      <c r="Q129" s="86"/>
      <c r="R129" s="86"/>
      <c r="S129" s="86"/>
      <c r="T129" s="86"/>
      <c r="U129" s="142" t="str">
        <f>IFERROR(ROUND(AVERAGE(V129:AC129),1),"")</f>
        <v/>
      </c>
      <c r="V129" s="88"/>
      <c r="W129" s="88"/>
      <c r="X129" s="88"/>
      <c r="Y129" s="88"/>
      <c r="Z129" s="88"/>
      <c r="AA129" s="88"/>
      <c r="AB129" s="88"/>
      <c r="AC129" s="88"/>
      <c r="AD129" s="142" t="str">
        <f>IFERROR(ROUND(AVERAGE(AE129:AL129),1),"")</f>
        <v/>
      </c>
      <c r="AE129" s="88"/>
      <c r="AF129" s="88"/>
      <c r="AG129" s="88"/>
      <c r="AH129" s="88"/>
      <c r="AI129" s="88"/>
      <c r="AJ129" s="88"/>
      <c r="AK129" s="88"/>
      <c r="AL129" s="88"/>
      <c r="AM129" s="88">
        <v>60.70739549839228</v>
      </c>
      <c r="AN129" s="88">
        <v>77.75</v>
      </c>
      <c r="AO129" s="89">
        <v>19.899999999999999</v>
      </c>
      <c r="AP129" s="90">
        <v>17.014499999999998</v>
      </c>
      <c r="AQ129" s="146">
        <f t="shared" si="36"/>
        <v>85.5</v>
      </c>
      <c r="AR129" s="146">
        <f t="shared" si="37"/>
        <v>14.5</v>
      </c>
      <c r="AS129" s="147">
        <v>0</v>
      </c>
      <c r="AT129" s="148" t="s">
        <v>56</v>
      </c>
      <c r="AU129" s="149" t="s">
        <v>56</v>
      </c>
      <c r="AV129" s="146" t="str">
        <f t="shared" si="38"/>
        <v/>
      </c>
      <c r="AW129" s="146" t="str">
        <f t="shared" si="39"/>
        <v/>
      </c>
      <c r="AX129" s="138" t="str">
        <f>IFERROR((1-((AV129*AR129)/(AW129*AQ129)))*100,"")</f>
        <v/>
      </c>
      <c r="AY129" s="95" t="s">
        <v>56</v>
      </c>
      <c r="AZ129" s="96">
        <v>60.325000000000003</v>
      </c>
      <c r="BA129" s="96"/>
      <c r="BB129" s="96">
        <v>62.5</v>
      </c>
      <c r="BC129" s="96"/>
      <c r="BD129" s="97">
        <v>77.75</v>
      </c>
      <c r="BE129" s="142">
        <f t="shared" si="40"/>
        <v>4989</v>
      </c>
      <c r="BF129" s="98">
        <v>0</v>
      </c>
      <c r="BG129" s="98">
        <v>0</v>
      </c>
      <c r="BH129" s="98">
        <v>4989</v>
      </c>
      <c r="BI129" s="98"/>
      <c r="BJ129" s="98"/>
      <c r="BK129" s="98"/>
      <c r="BL129" s="98"/>
    </row>
    <row r="130" spans="1:64" outlineLevel="5" x14ac:dyDescent="0.3">
      <c r="A130" s="152">
        <f t="shared" si="31"/>
        <v>4</v>
      </c>
      <c r="B130" s="153">
        <f t="shared" si="30"/>
        <v>43932</v>
      </c>
      <c r="C130" s="138">
        <f>IFERROR(ROUND(AVERAGE(D130:K130),1),"")</f>
        <v>39</v>
      </c>
      <c r="D130" s="84">
        <v>39</v>
      </c>
      <c r="E130" s="84">
        <v>39</v>
      </c>
      <c r="F130" s="84"/>
      <c r="G130" s="84"/>
      <c r="H130" s="84"/>
      <c r="I130" s="84"/>
      <c r="J130" s="84"/>
      <c r="K130" s="84"/>
      <c r="L130" s="140" t="str">
        <f>IFERROR(ROUND(AVERAGE(M130:T130),1),"")</f>
        <v/>
      </c>
      <c r="M130" s="86"/>
      <c r="N130" s="86"/>
      <c r="O130" s="86"/>
      <c r="P130" s="86"/>
      <c r="Q130" s="86"/>
      <c r="R130" s="86"/>
      <c r="S130" s="86"/>
      <c r="T130" s="86"/>
      <c r="U130" s="142" t="str">
        <f>IFERROR(ROUND(AVERAGE(V130:AC130),1),"")</f>
        <v/>
      </c>
      <c r="V130" s="88"/>
      <c r="W130" s="88"/>
      <c r="X130" s="88"/>
      <c r="Y130" s="88"/>
      <c r="Z130" s="88"/>
      <c r="AA130" s="88"/>
      <c r="AB130" s="88"/>
      <c r="AC130" s="88"/>
      <c r="AD130" s="142" t="str">
        <f>IFERROR(ROUND(AVERAGE(AE130:AL130),1),"")</f>
        <v/>
      </c>
      <c r="AE130" s="88"/>
      <c r="AF130" s="88"/>
      <c r="AG130" s="88"/>
      <c r="AH130" s="88"/>
      <c r="AI130" s="88"/>
      <c r="AJ130" s="88"/>
      <c r="AK130" s="88"/>
      <c r="AL130" s="88"/>
      <c r="AM130" s="88">
        <v>52.808234504363398</v>
      </c>
      <c r="AN130" s="88">
        <v>89.38</v>
      </c>
      <c r="AO130" s="89" t="s">
        <v>56</v>
      </c>
      <c r="AP130" s="90" t="s">
        <v>56</v>
      </c>
      <c r="AQ130" s="146" t="str">
        <f t="shared" si="36"/>
        <v/>
      </c>
      <c r="AR130" s="146" t="str">
        <f t="shared" si="37"/>
        <v/>
      </c>
      <c r="AS130" s="147">
        <v>0</v>
      </c>
      <c r="AT130" s="148" t="s">
        <v>56</v>
      </c>
      <c r="AU130" s="149" t="s">
        <v>56</v>
      </c>
      <c r="AV130" s="146" t="str">
        <f t="shared" si="38"/>
        <v/>
      </c>
      <c r="AW130" s="146" t="str">
        <f t="shared" si="39"/>
        <v/>
      </c>
      <c r="AX130" s="138" t="str">
        <f>IFERROR((1-((AV130*AR130)/(AW130*AQ130)))*100,"")</f>
        <v/>
      </c>
      <c r="AY130" s="95" t="s">
        <v>56</v>
      </c>
      <c r="AZ130" s="96">
        <v>61.655000000000001</v>
      </c>
      <c r="BA130" s="96"/>
      <c r="BB130" s="96">
        <v>83</v>
      </c>
      <c r="BC130" s="96"/>
      <c r="BD130" s="97">
        <v>89.38</v>
      </c>
      <c r="BE130" s="142">
        <f t="shared" si="40"/>
        <v>3991</v>
      </c>
      <c r="BF130" s="98">
        <v>112</v>
      </c>
      <c r="BG130" s="98">
        <v>0</v>
      </c>
      <c r="BH130" s="98">
        <v>3879</v>
      </c>
      <c r="BI130" s="98"/>
      <c r="BJ130" s="98"/>
      <c r="BK130" s="98"/>
      <c r="BL130" s="98"/>
    </row>
    <row r="131" spans="1:64" outlineLevel="5" x14ac:dyDescent="0.3">
      <c r="A131" s="152">
        <f t="shared" si="31"/>
        <v>4</v>
      </c>
      <c r="B131" s="153">
        <f t="shared" si="30"/>
        <v>43933</v>
      </c>
      <c r="C131" s="138">
        <f>IFERROR(ROUND(AVERAGE(D131:K131),1),"")</f>
        <v>38</v>
      </c>
      <c r="D131" s="84">
        <v>38</v>
      </c>
      <c r="E131" s="84">
        <v>38</v>
      </c>
      <c r="F131" s="84"/>
      <c r="G131" s="84"/>
      <c r="H131" s="84"/>
      <c r="I131" s="84"/>
      <c r="J131" s="84"/>
      <c r="K131" s="84"/>
      <c r="L131" s="140" t="str">
        <f>IFERROR(ROUND(AVERAGE(M131:T131),1),"")</f>
        <v/>
      </c>
      <c r="M131" s="86"/>
      <c r="N131" s="86"/>
      <c r="O131" s="86"/>
      <c r="P131" s="86"/>
      <c r="Q131" s="86"/>
      <c r="R131" s="86"/>
      <c r="S131" s="86"/>
      <c r="T131" s="86"/>
      <c r="U131" s="142" t="str">
        <f>IFERROR(ROUND(AVERAGE(V131:AC131),1),"")</f>
        <v/>
      </c>
      <c r="V131" s="88"/>
      <c r="W131" s="88"/>
      <c r="X131" s="88"/>
      <c r="Y131" s="88"/>
      <c r="Z131" s="88"/>
      <c r="AA131" s="88"/>
      <c r="AB131" s="88"/>
      <c r="AC131" s="88"/>
      <c r="AD131" s="142" t="str">
        <f>IFERROR(ROUND(AVERAGE(AE131:AL131),1),"")</f>
        <v/>
      </c>
      <c r="AE131" s="88"/>
      <c r="AF131" s="88"/>
      <c r="AG131" s="88"/>
      <c r="AH131" s="88"/>
      <c r="AI131" s="88"/>
      <c r="AJ131" s="88"/>
      <c r="AK131" s="88"/>
      <c r="AL131" s="88"/>
      <c r="AM131" s="88">
        <v>54.252873563218394</v>
      </c>
      <c r="AN131" s="88">
        <v>87</v>
      </c>
      <c r="AO131" s="89" t="s">
        <v>56</v>
      </c>
      <c r="AP131" s="90" t="s">
        <v>56</v>
      </c>
      <c r="AQ131" s="146" t="str">
        <f t="shared" si="36"/>
        <v/>
      </c>
      <c r="AR131" s="146" t="str">
        <f t="shared" si="37"/>
        <v/>
      </c>
      <c r="AS131" s="147">
        <v>0</v>
      </c>
      <c r="AT131" s="148">
        <v>14.350000000000001</v>
      </c>
      <c r="AU131" s="149">
        <v>8.6000000000000014</v>
      </c>
      <c r="AV131" s="146">
        <f t="shared" si="38"/>
        <v>59.930313588850183</v>
      </c>
      <c r="AW131" s="146">
        <f t="shared" si="39"/>
        <v>40.069686411149817</v>
      </c>
      <c r="AX131" s="138" t="str">
        <f>IFERROR((1-((AV131*AR131)/(AW131*AQ131)))*100,"")</f>
        <v/>
      </c>
      <c r="AY131" s="95" t="s">
        <v>56</v>
      </c>
      <c r="AZ131" s="96">
        <v>60.265000000000001</v>
      </c>
      <c r="BA131" s="96"/>
      <c r="BB131" s="96">
        <v>90</v>
      </c>
      <c r="BC131" s="96"/>
      <c r="BD131" s="97">
        <v>87</v>
      </c>
      <c r="BE131" s="142">
        <f t="shared" si="40"/>
        <v>4338</v>
      </c>
      <c r="BF131" s="98">
        <v>120</v>
      </c>
      <c r="BG131" s="98">
        <v>0</v>
      </c>
      <c r="BH131" s="98">
        <v>4218</v>
      </c>
      <c r="BI131" s="98"/>
      <c r="BJ131" s="98"/>
      <c r="BK131" s="98"/>
      <c r="BL131" s="98"/>
    </row>
    <row r="132" spans="1:64" outlineLevel="5" x14ac:dyDescent="0.3">
      <c r="A132" s="152">
        <f t="shared" si="31"/>
        <v>4</v>
      </c>
      <c r="B132" s="153">
        <f t="shared" si="30"/>
        <v>43934</v>
      </c>
      <c r="C132" s="138">
        <f>IFERROR(ROUND(AVERAGE(D132:K132),1),"")</f>
        <v>37.5</v>
      </c>
      <c r="D132" s="84">
        <v>37</v>
      </c>
      <c r="E132" s="84">
        <v>38</v>
      </c>
      <c r="F132" s="84"/>
      <c r="G132" s="84"/>
      <c r="H132" s="84"/>
      <c r="I132" s="84"/>
      <c r="J132" s="84"/>
      <c r="K132" s="84"/>
      <c r="L132" s="140">
        <f>IFERROR(ROUND(AVERAGE(M132:T132),1),"")</f>
        <v>7.9</v>
      </c>
      <c r="M132" s="86">
        <v>7.9</v>
      </c>
      <c r="N132" s="86">
        <v>7.85</v>
      </c>
      <c r="O132" s="86"/>
      <c r="P132" s="86"/>
      <c r="Q132" s="86"/>
      <c r="R132" s="86"/>
      <c r="S132" s="86"/>
      <c r="T132" s="86"/>
      <c r="U132" s="142">
        <f>IFERROR(ROUND(AVERAGE(V132:AC132),1),"")</f>
        <v>1161.3</v>
      </c>
      <c r="V132" s="88">
        <v>1189.4000000000001</v>
      </c>
      <c r="W132" s="88">
        <v>1133.2</v>
      </c>
      <c r="X132" s="88"/>
      <c r="Y132" s="88"/>
      <c r="Z132" s="88"/>
      <c r="AA132" s="88"/>
      <c r="AB132" s="88"/>
      <c r="AC132" s="88"/>
      <c r="AD132" s="142" t="str">
        <f>IFERROR(ROUND(AVERAGE(AE132:AL132),1),"")</f>
        <v/>
      </c>
      <c r="AE132" s="88"/>
      <c r="AF132" s="88"/>
      <c r="AG132" s="88"/>
      <c r="AH132" s="88"/>
      <c r="AI132" s="88"/>
      <c r="AJ132" s="88"/>
      <c r="AK132" s="88"/>
      <c r="AL132" s="88"/>
      <c r="AM132" s="88">
        <v>56.083650190114071</v>
      </c>
      <c r="AN132" s="88">
        <v>84.16</v>
      </c>
      <c r="AO132" s="89" t="s">
        <v>56</v>
      </c>
      <c r="AP132" s="90" t="s">
        <v>56</v>
      </c>
      <c r="AQ132" s="146" t="str">
        <f t="shared" si="36"/>
        <v/>
      </c>
      <c r="AR132" s="146" t="str">
        <f t="shared" si="37"/>
        <v/>
      </c>
      <c r="AS132" s="147">
        <v>0</v>
      </c>
      <c r="AT132" s="148">
        <v>14.350000000000001</v>
      </c>
      <c r="AU132" s="149">
        <v>8.6000000000000014</v>
      </c>
      <c r="AV132" s="146">
        <f t="shared" si="38"/>
        <v>59.930313588850183</v>
      </c>
      <c r="AW132" s="146">
        <f t="shared" si="39"/>
        <v>40.069686411149817</v>
      </c>
      <c r="AX132" s="138" t="str">
        <f>IFERROR((1-((AV132*AR132)/(AW132*AQ132)))*100,"")</f>
        <v/>
      </c>
      <c r="AY132" s="95">
        <v>77.55</v>
      </c>
      <c r="AZ132" s="96">
        <v>61.51</v>
      </c>
      <c r="BA132" s="96"/>
      <c r="BB132" s="96">
        <v>114</v>
      </c>
      <c r="BC132" s="96"/>
      <c r="BD132" s="97">
        <v>84.16</v>
      </c>
      <c r="BE132" s="142">
        <f t="shared" si="40"/>
        <v>4207</v>
      </c>
      <c r="BF132" s="98">
        <v>125</v>
      </c>
      <c r="BG132" s="98">
        <v>0</v>
      </c>
      <c r="BH132" s="98">
        <v>4082</v>
      </c>
      <c r="BI132" s="98"/>
      <c r="BJ132" s="98"/>
      <c r="BK132" s="98"/>
      <c r="BL132" s="98"/>
    </row>
    <row r="133" spans="1:64" outlineLevel="5" x14ac:dyDescent="0.3">
      <c r="A133" s="152">
        <f t="shared" si="31"/>
        <v>4</v>
      </c>
      <c r="B133" s="153">
        <f t="shared" si="30"/>
        <v>43935</v>
      </c>
      <c r="C133" s="138">
        <f>IFERROR(ROUND(AVERAGE(D133:K133),1),"")</f>
        <v>38</v>
      </c>
      <c r="D133" s="84">
        <v>36</v>
      </c>
      <c r="E133" s="84">
        <v>40</v>
      </c>
      <c r="F133" s="84"/>
      <c r="G133" s="84"/>
      <c r="H133" s="84"/>
      <c r="I133" s="84"/>
      <c r="J133" s="84"/>
      <c r="K133" s="84"/>
      <c r="L133" s="140">
        <f>IFERROR(ROUND(AVERAGE(M133:T133),1),"")</f>
        <v>7.9</v>
      </c>
      <c r="M133" s="86">
        <v>7.91</v>
      </c>
      <c r="N133" s="86">
        <v>7.86</v>
      </c>
      <c r="O133" s="86"/>
      <c r="P133" s="86"/>
      <c r="Q133" s="86"/>
      <c r="R133" s="86"/>
      <c r="S133" s="86"/>
      <c r="T133" s="86"/>
      <c r="U133" s="142">
        <f>IFERROR(ROUND(AVERAGE(V133:AC133),1),"")</f>
        <v>1297.5999999999999</v>
      </c>
      <c r="V133" s="88">
        <v>1513.8</v>
      </c>
      <c r="W133" s="88">
        <v>1081.3</v>
      </c>
      <c r="X133" s="88"/>
      <c r="Y133" s="88"/>
      <c r="Z133" s="88"/>
      <c r="AA133" s="88"/>
      <c r="AB133" s="88"/>
      <c r="AC133" s="88"/>
      <c r="AD133" s="142" t="str">
        <f>IFERROR(ROUND(AVERAGE(AE133:AL133),1),"")</f>
        <v/>
      </c>
      <c r="AE133" s="88"/>
      <c r="AF133" s="88"/>
      <c r="AG133" s="88"/>
      <c r="AH133" s="88"/>
      <c r="AI133" s="88"/>
      <c r="AJ133" s="88"/>
      <c r="AK133" s="88"/>
      <c r="AL133" s="88"/>
      <c r="AM133" s="88">
        <v>73.680924133624728</v>
      </c>
      <c r="AN133" s="88">
        <v>64.06</v>
      </c>
      <c r="AO133" s="89" t="s">
        <v>56</v>
      </c>
      <c r="AP133" s="90" t="s">
        <v>56</v>
      </c>
      <c r="AQ133" s="146" t="str">
        <f t="shared" si="36"/>
        <v/>
      </c>
      <c r="AR133" s="146" t="str">
        <f t="shared" si="37"/>
        <v/>
      </c>
      <c r="AS133" s="147">
        <v>0</v>
      </c>
      <c r="AT133" s="148">
        <v>12.45</v>
      </c>
      <c r="AU133" s="149">
        <v>8.1000000000000014</v>
      </c>
      <c r="AV133" s="146">
        <f t="shared" si="38"/>
        <v>65.060240963855435</v>
      </c>
      <c r="AW133" s="146">
        <f t="shared" si="39"/>
        <v>34.939759036144565</v>
      </c>
      <c r="AX133" s="138" t="str">
        <f>IFERROR((1-((AV133*AR133)/(AW133*AQ133)))*100,"")</f>
        <v/>
      </c>
      <c r="AY133" s="95">
        <v>74.900000000000006</v>
      </c>
      <c r="AZ133" s="96">
        <v>55.474999999999994</v>
      </c>
      <c r="BA133" s="96"/>
      <c r="BB133" s="96">
        <v>99.5</v>
      </c>
      <c r="BC133" s="96"/>
      <c r="BD133" s="97">
        <v>64.06</v>
      </c>
      <c r="BE133" s="142">
        <f t="shared" si="40"/>
        <v>4895</v>
      </c>
      <c r="BF133" s="98">
        <v>149</v>
      </c>
      <c r="BG133" s="98">
        <v>0</v>
      </c>
      <c r="BH133" s="98">
        <v>4746</v>
      </c>
      <c r="BI133" s="98"/>
      <c r="BJ133" s="98"/>
      <c r="BK133" s="98"/>
      <c r="BL133" s="98"/>
    </row>
    <row r="134" spans="1:64" outlineLevel="5" x14ac:dyDescent="0.3">
      <c r="A134" s="152">
        <f t="shared" si="31"/>
        <v>4</v>
      </c>
      <c r="B134" s="153">
        <f t="shared" si="30"/>
        <v>43936</v>
      </c>
      <c r="C134" s="138">
        <f>IFERROR(ROUND(AVERAGE(D134:K134),1),"")</f>
        <v>38</v>
      </c>
      <c r="D134" s="84">
        <v>37</v>
      </c>
      <c r="E134" s="84">
        <v>39</v>
      </c>
      <c r="F134" s="84"/>
      <c r="G134" s="84"/>
      <c r="H134" s="84"/>
      <c r="I134" s="84"/>
      <c r="J134" s="84"/>
      <c r="K134" s="84"/>
      <c r="L134" s="140" t="str">
        <f>IFERROR(ROUND(AVERAGE(M134:T134),1),"")</f>
        <v/>
      </c>
      <c r="M134" s="86"/>
      <c r="N134" s="86"/>
      <c r="O134" s="86"/>
      <c r="P134" s="86"/>
      <c r="Q134" s="86"/>
      <c r="R134" s="86"/>
      <c r="S134" s="86"/>
      <c r="T134" s="86"/>
      <c r="U134" s="142" t="str">
        <f>IFERROR(ROUND(AVERAGE(V134:AC134),1),"")</f>
        <v/>
      </c>
      <c r="V134" s="88"/>
      <c r="W134" s="88"/>
      <c r="X134" s="88"/>
      <c r="Y134" s="88"/>
      <c r="Z134" s="88"/>
      <c r="AA134" s="88"/>
      <c r="AB134" s="88"/>
      <c r="AC134" s="88"/>
      <c r="AD134" s="142" t="str">
        <f>IFERROR(ROUND(AVERAGE(AE134:AL134),1),"")</f>
        <v/>
      </c>
      <c r="AE134" s="88"/>
      <c r="AF134" s="88"/>
      <c r="AG134" s="88"/>
      <c r="AH134" s="88"/>
      <c r="AI134" s="88"/>
      <c r="AJ134" s="88"/>
      <c r="AK134" s="88"/>
      <c r="AL134" s="88"/>
      <c r="AM134" s="88">
        <v>53.165127280919123</v>
      </c>
      <c r="AN134" s="88">
        <v>88.78</v>
      </c>
      <c r="AO134" s="89"/>
      <c r="AP134" s="90"/>
      <c r="AQ134" s="146" t="str">
        <f t="shared" si="36"/>
        <v/>
      </c>
      <c r="AR134" s="146" t="str">
        <f t="shared" si="37"/>
        <v/>
      </c>
      <c r="AS134" s="147">
        <v>0</v>
      </c>
      <c r="AT134" s="148" t="s">
        <v>56</v>
      </c>
      <c r="AU134" s="149" t="s">
        <v>56</v>
      </c>
      <c r="AV134" s="146" t="str">
        <f t="shared" si="38"/>
        <v/>
      </c>
      <c r="AW134" s="146" t="str">
        <f t="shared" si="39"/>
        <v/>
      </c>
      <c r="AX134" s="138" t="str">
        <f>IFERROR((1-((AV134*AR134)/(AW134*AQ134)))*100,"")</f>
        <v/>
      </c>
      <c r="AY134" s="95" t="s">
        <v>56</v>
      </c>
      <c r="AZ134" s="96">
        <v>61.125</v>
      </c>
      <c r="BA134" s="96"/>
      <c r="BB134" s="96">
        <v>83.5</v>
      </c>
      <c r="BC134" s="96"/>
      <c r="BD134" s="97">
        <v>88.78</v>
      </c>
      <c r="BE134" s="142">
        <f t="shared" si="40"/>
        <v>6708</v>
      </c>
      <c r="BF134" s="98">
        <v>0</v>
      </c>
      <c r="BG134" s="98">
        <v>0</v>
      </c>
      <c r="BH134" s="98">
        <v>6708</v>
      </c>
      <c r="BI134" s="98"/>
      <c r="BJ134" s="98"/>
      <c r="BK134" s="98"/>
      <c r="BL134" s="98"/>
    </row>
    <row r="135" spans="1:64" outlineLevel="5" x14ac:dyDescent="0.3">
      <c r="A135" s="152">
        <f t="shared" si="31"/>
        <v>4</v>
      </c>
      <c r="B135" s="153">
        <f t="shared" si="30"/>
        <v>43937</v>
      </c>
      <c r="C135" s="138">
        <f>IFERROR(ROUND(AVERAGE(D135:K135),1),"")</f>
        <v>38</v>
      </c>
      <c r="D135" s="84">
        <v>37</v>
      </c>
      <c r="E135" s="84">
        <v>39</v>
      </c>
      <c r="F135" s="84"/>
      <c r="G135" s="84"/>
      <c r="H135" s="84"/>
      <c r="I135" s="84"/>
      <c r="J135" s="84"/>
      <c r="K135" s="84"/>
      <c r="L135" s="140">
        <f>IFERROR(ROUND(AVERAGE(M135:T135),1),"")</f>
        <v>7.9</v>
      </c>
      <c r="M135" s="86">
        <v>7.9</v>
      </c>
      <c r="N135" s="86">
        <v>7.87</v>
      </c>
      <c r="O135" s="86"/>
      <c r="P135" s="86"/>
      <c r="Q135" s="86"/>
      <c r="R135" s="86"/>
      <c r="S135" s="86"/>
      <c r="T135" s="86"/>
      <c r="U135" s="142">
        <f>IFERROR(ROUND(AVERAGE(V135:AC135),1),"")</f>
        <v>1254.3</v>
      </c>
      <c r="V135" s="88">
        <v>1384</v>
      </c>
      <c r="W135" s="88">
        <v>1124.5</v>
      </c>
      <c r="X135" s="88"/>
      <c r="Y135" s="88"/>
      <c r="Z135" s="88"/>
      <c r="AA135" s="88"/>
      <c r="AB135" s="88"/>
      <c r="AC135" s="88"/>
      <c r="AD135" s="142" t="str">
        <f>IFERROR(ROUND(AVERAGE(AE135:AL135),1),"")</f>
        <v/>
      </c>
      <c r="AE135" s="88"/>
      <c r="AF135" s="88"/>
      <c r="AG135" s="88"/>
      <c r="AH135" s="88"/>
      <c r="AI135" s="88"/>
      <c r="AJ135" s="88"/>
      <c r="AK135" s="88"/>
      <c r="AL135" s="88"/>
      <c r="AM135" s="88">
        <v>58.03516537563015</v>
      </c>
      <c r="AN135" s="88">
        <v>81.33</v>
      </c>
      <c r="AO135" s="89"/>
      <c r="AP135" s="90"/>
      <c r="AQ135" s="146" t="str">
        <f t="shared" si="36"/>
        <v/>
      </c>
      <c r="AR135" s="146" t="str">
        <f t="shared" si="37"/>
        <v/>
      </c>
      <c r="AS135" s="147">
        <v>0</v>
      </c>
      <c r="AT135" s="148">
        <v>17.45</v>
      </c>
      <c r="AU135" s="149">
        <v>10.6</v>
      </c>
      <c r="AV135" s="146">
        <f t="shared" si="38"/>
        <v>60.744985673352438</v>
      </c>
      <c r="AW135" s="146">
        <f t="shared" si="39"/>
        <v>39.255014326647562</v>
      </c>
      <c r="AX135" s="138" t="str">
        <f>IFERROR((1-((AV135*AR135)/(AW135*AQ135)))*100,"")</f>
        <v/>
      </c>
      <c r="AY135" s="95">
        <v>81.599999999999994</v>
      </c>
      <c r="AZ135" s="96">
        <v>59.505000000000003</v>
      </c>
      <c r="BA135" s="96"/>
      <c r="BB135" s="96">
        <v>90.5</v>
      </c>
      <c r="BC135" s="96"/>
      <c r="BD135" s="97">
        <v>81.33</v>
      </c>
      <c r="BE135" s="142">
        <f t="shared" si="40"/>
        <v>5685</v>
      </c>
      <c r="BF135" s="98">
        <v>338</v>
      </c>
      <c r="BG135" s="98">
        <v>0</v>
      </c>
      <c r="BH135" s="98">
        <v>5347</v>
      </c>
      <c r="BI135" s="98"/>
      <c r="BJ135" s="98"/>
      <c r="BK135" s="98"/>
      <c r="BL135" s="98"/>
    </row>
    <row r="136" spans="1:64" outlineLevel="5" x14ac:dyDescent="0.3">
      <c r="A136" s="152">
        <f t="shared" si="31"/>
        <v>4</v>
      </c>
      <c r="B136" s="153">
        <f t="shared" si="30"/>
        <v>43938</v>
      </c>
      <c r="C136" s="138">
        <f>IFERROR(ROUND(AVERAGE(D136:K136),1),"")</f>
        <v>38.5</v>
      </c>
      <c r="D136" s="84">
        <v>38</v>
      </c>
      <c r="E136" s="84">
        <v>39</v>
      </c>
      <c r="F136" s="84"/>
      <c r="G136" s="84"/>
      <c r="H136" s="84"/>
      <c r="I136" s="84"/>
      <c r="J136" s="84"/>
      <c r="K136" s="84"/>
      <c r="L136" s="140">
        <f>IFERROR(ROUND(AVERAGE(M136:T136),1),"")</f>
        <v>7.9</v>
      </c>
      <c r="M136" s="86">
        <v>7.91</v>
      </c>
      <c r="N136" s="86">
        <v>7.88</v>
      </c>
      <c r="O136" s="86"/>
      <c r="P136" s="86"/>
      <c r="Q136" s="86"/>
      <c r="R136" s="86"/>
      <c r="S136" s="86"/>
      <c r="T136" s="86"/>
      <c r="U136" s="142">
        <f>IFERROR(ROUND(AVERAGE(V136:AC136),1),"")</f>
        <v>1275.9000000000001</v>
      </c>
      <c r="V136" s="88">
        <v>1470.5</v>
      </c>
      <c r="W136" s="88">
        <v>1081.3</v>
      </c>
      <c r="X136" s="88"/>
      <c r="Y136" s="88"/>
      <c r="Z136" s="88"/>
      <c r="AA136" s="88"/>
      <c r="AB136" s="88"/>
      <c r="AC136" s="88"/>
      <c r="AD136" s="142" t="str">
        <f>IFERROR(ROUND(AVERAGE(AE136:AL136),1),"")</f>
        <v/>
      </c>
      <c r="AE136" s="88"/>
      <c r="AF136" s="88"/>
      <c r="AG136" s="88"/>
      <c r="AH136" s="88"/>
      <c r="AI136" s="88"/>
      <c r="AJ136" s="88"/>
      <c r="AK136" s="88"/>
      <c r="AL136" s="88"/>
      <c r="AM136" s="88">
        <v>48.684889118102113</v>
      </c>
      <c r="AN136" s="88">
        <v>96.95</v>
      </c>
      <c r="AO136" s="89">
        <v>24</v>
      </c>
      <c r="AP136" s="90">
        <v>20.064</v>
      </c>
      <c r="AQ136" s="146">
        <f t="shared" si="36"/>
        <v>83.6</v>
      </c>
      <c r="AR136" s="146">
        <f t="shared" si="37"/>
        <v>16.400000000000006</v>
      </c>
      <c r="AS136" s="147">
        <v>0</v>
      </c>
      <c r="AT136" s="148" t="s">
        <v>56</v>
      </c>
      <c r="AU136" s="149" t="s">
        <v>56</v>
      </c>
      <c r="AV136" s="146" t="str">
        <f t="shared" si="38"/>
        <v/>
      </c>
      <c r="AW136" s="146" t="str">
        <f t="shared" si="39"/>
        <v/>
      </c>
      <c r="AX136" s="138" t="str">
        <f>IFERROR((1-((AV136*AR136)/(AW136*AQ136)))*100,"")</f>
        <v/>
      </c>
      <c r="AY136" s="95" t="s">
        <v>56</v>
      </c>
      <c r="AZ136" s="96">
        <v>59.504999999999995</v>
      </c>
      <c r="BA136" s="96"/>
      <c r="BB136" s="96">
        <v>109.5</v>
      </c>
      <c r="BC136" s="96"/>
      <c r="BD136" s="97">
        <v>96.95</v>
      </c>
      <c r="BE136" s="142">
        <f t="shared" si="40"/>
        <v>5148</v>
      </c>
      <c r="BF136" s="98">
        <v>321</v>
      </c>
      <c r="BG136" s="98">
        <v>0</v>
      </c>
      <c r="BH136" s="98">
        <v>4827</v>
      </c>
      <c r="BI136" s="98"/>
      <c r="BJ136" s="98"/>
      <c r="BK136" s="98"/>
      <c r="BL136" s="98"/>
    </row>
    <row r="137" spans="1:64" outlineLevel="5" x14ac:dyDescent="0.3">
      <c r="A137" s="152">
        <f t="shared" si="31"/>
        <v>4</v>
      </c>
      <c r="B137" s="153">
        <f t="shared" si="30"/>
        <v>43939</v>
      </c>
      <c r="C137" s="138">
        <f>IFERROR(ROUND(AVERAGE(D137:K137),1),"")</f>
        <v>38.5</v>
      </c>
      <c r="D137" s="84">
        <v>38</v>
      </c>
      <c r="E137" s="84">
        <v>39</v>
      </c>
      <c r="F137" s="84"/>
      <c r="G137" s="84"/>
      <c r="H137" s="84"/>
      <c r="I137" s="84"/>
      <c r="J137" s="84"/>
      <c r="K137" s="84"/>
      <c r="L137" s="140" t="str">
        <f>IFERROR(ROUND(AVERAGE(M137:T137),1),"")</f>
        <v/>
      </c>
      <c r="M137" s="86"/>
      <c r="N137" s="86"/>
      <c r="O137" s="86"/>
      <c r="P137" s="86"/>
      <c r="Q137" s="86"/>
      <c r="R137" s="86"/>
      <c r="S137" s="86"/>
      <c r="T137" s="86"/>
      <c r="U137" s="142" t="str">
        <f>IFERROR(ROUND(AVERAGE(V137:AC137),1),"")</f>
        <v/>
      </c>
      <c r="V137" s="88"/>
      <c r="W137" s="88"/>
      <c r="X137" s="88"/>
      <c r="Y137" s="88"/>
      <c r="Z137" s="88"/>
      <c r="AA137" s="88"/>
      <c r="AB137" s="88"/>
      <c r="AC137" s="88"/>
      <c r="AD137" s="142" t="str">
        <f>IFERROR(ROUND(AVERAGE(AE137:AL137),1),"")</f>
        <v/>
      </c>
      <c r="AE137" s="88"/>
      <c r="AF137" s="88"/>
      <c r="AG137" s="88"/>
      <c r="AH137" s="88"/>
      <c r="AI137" s="88"/>
      <c r="AJ137" s="88"/>
      <c r="AK137" s="88"/>
      <c r="AL137" s="88"/>
      <c r="AM137" s="88">
        <v>55.030896583887142</v>
      </c>
      <c r="AN137" s="88">
        <v>85.77</v>
      </c>
      <c r="AO137" s="89" t="s">
        <v>56</v>
      </c>
      <c r="AP137" s="90" t="s">
        <v>56</v>
      </c>
      <c r="AQ137" s="146" t="str">
        <f t="shared" si="36"/>
        <v/>
      </c>
      <c r="AR137" s="146" t="str">
        <f t="shared" si="37"/>
        <v/>
      </c>
      <c r="AS137" s="147">
        <v>0</v>
      </c>
      <c r="AT137" s="148" t="s">
        <v>56</v>
      </c>
      <c r="AU137" s="149" t="s">
        <v>56</v>
      </c>
      <c r="AV137" s="146" t="str">
        <f t="shared" si="38"/>
        <v/>
      </c>
      <c r="AW137" s="146" t="str">
        <f t="shared" si="39"/>
        <v/>
      </c>
      <c r="AX137" s="138" t="str">
        <f>IFERROR((1-((AV137*AR137)/(AW137*AQ137)))*100,"")</f>
        <v/>
      </c>
      <c r="AY137" s="95" t="s">
        <v>56</v>
      </c>
      <c r="AZ137" s="96">
        <v>61.34</v>
      </c>
      <c r="BA137" s="96"/>
      <c r="BB137" s="96">
        <v>96.5</v>
      </c>
      <c r="BC137" s="96"/>
      <c r="BD137" s="97">
        <v>85.77</v>
      </c>
      <c r="BE137" s="142">
        <f t="shared" si="40"/>
        <v>4121</v>
      </c>
      <c r="BF137" s="98">
        <v>171</v>
      </c>
      <c r="BG137" s="98">
        <v>0</v>
      </c>
      <c r="BH137" s="98">
        <v>3950</v>
      </c>
      <c r="BI137" s="98"/>
      <c r="BJ137" s="98"/>
      <c r="BK137" s="98"/>
      <c r="BL137" s="98"/>
    </row>
    <row r="138" spans="1:64" outlineLevel="5" x14ac:dyDescent="0.3">
      <c r="A138" s="152">
        <f t="shared" si="31"/>
        <v>4</v>
      </c>
      <c r="B138" s="153">
        <f t="shared" si="30"/>
        <v>43940</v>
      </c>
      <c r="C138" s="138">
        <f>IFERROR(ROUND(AVERAGE(D138:K138),1),"")</f>
        <v>39</v>
      </c>
      <c r="D138" s="84">
        <v>39</v>
      </c>
      <c r="E138" s="84">
        <v>39</v>
      </c>
      <c r="F138" s="84"/>
      <c r="G138" s="84"/>
      <c r="H138" s="84"/>
      <c r="I138" s="84"/>
      <c r="J138" s="84"/>
      <c r="K138" s="84"/>
      <c r="L138" s="140" t="str">
        <f>IFERROR(ROUND(AVERAGE(M138:T138),1),"")</f>
        <v/>
      </c>
      <c r="M138" s="86"/>
      <c r="N138" s="86"/>
      <c r="O138" s="86"/>
      <c r="P138" s="86"/>
      <c r="Q138" s="86"/>
      <c r="R138" s="86"/>
      <c r="S138" s="86"/>
      <c r="T138" s="86"/>
      <c r="U138" s="142" t="str">
        <f>IFERROR(ROUND(AVERAGE(V138:AC138),1),"")</f>
        <v/>
      </c>
      <c r="V138" s="88"/>
      <c r="W138" s="88"/>
      <c r="X138" s="88"/>
      <c r="Y138" s="88"/>
      <c r="Z138" s="88"/>
      <c r="AA138" s="88"/>
      <c r="AB138" s="88"/>
      <c r="AC138" s="88"/>
      <c r="AD138" s="142" t="str">
        <f>IFERROR(ROUND(AVERAGE(AE138:AL138),1),"")</f>
        <v/>
      </c>
      <c r="AE138" s="88"/>
      <c r="AF138" s="88"/>
      <c r="AG138" s="88"/>
      <c r="AH138" s="88"/>
      <c r="AI138" s="88"/>
      <c r="AJ138" s="88"/>
      <c r="AK138" s="88"/>
      <c r="AL138" s="88"/>
      <c r="AM138" s="88">
        <v>62.10526315789474</v>
      </c>
      <c r="AN138" s="88">
        <v>76</v>
      </c>
      <c r="AO138" s="89" t="s">
        <v>56</v>
      </c>
      <c r="AP138" s="90" t="s">
        <v>56</v>
      </c>
      <c r="AQ138" s="146" t="str">
        <f t="shared" si="36"/>
        <v/>
      </c>
      <c r="AR138" s="146" t="str">
        <f t="shared" si="37"/>
        <v/>
      </c>
      <c r="AS138" s="147">
        <v>0</v>
      </c>
      <c r="AT138" s="148" t="s">
        <v>56</v>
      </c>
      <c r="AU138" s="149" t="s">
        <v>56</v>
      </c>
      <c r="AV138" s="146" t="str">
        <f t="shared" si="38"/>
        <v/>
      </c>
      <c r="AW138" s="146" t="str">
        <f t="shared" si="39"/>
        <v/>
      </c>
      <c r="AX138" s="138" t="str">
        <f>IFERROR((1-((AV138*AR138)/(AW138*AQ138)))*100,"")</f>
        <v/>
      </c>
      <c r="AY138" s="95" t="s">
        <v>56</v>
      </c>
      <c r="AZ138" s="96">
        <v>60.91</v>
      </c>
      <c r="BA138" s="96"/>
      <c r="BB138" s="96">
        <v>87</v>
      </c>
      <c r="BC138" s="96"/>
      <c r="BD138" s="97">
        <v>76</v>
      </c>
      <c r="BE138" s="142">
        <f t="shared" si="40"/>
        <v>4758</v>
      </c>
      <c r="BF138" s="98">
        <v>254</v>
      </c>
      <c r="BG138" s="98">
        <v>0</v>
      </c>
      <c r="BH138" s="98">
        <v>4504</v>
      </c>
      <c r="BI138" s="98"/>
      <c r="BJ138" s="98"/>
      <c r="BK138" s="98"/>
      <c r="BL138" s="98"/>
    </row>
    <row r="139" spans="1:64" outlineLevel="5" x14ac:dyDescent="0.3">
      <c r="A139" s="152">
        <f t="shared" si="31"/>
        <v>4</v>
      </c>
      <c r="B139" s="153">
        <f t="shared" si="30"/>
        <v>43941</v>
      </c>
      <c r="C139" s="138">
        <f>IFERROR(ROUND(AVERAGE(D139:K139),1),"")</f>
        <v>38.5</v>
      </c>
      <c r="D139" s="84">
        <v>38</v>
      </c>
      <c r="E139" s="84">
        <v>39</v>
      </c>
      <c r="F139" s="84"/>
      <c r="G139" s="84"/>
      <c r="H139" s="84"/>
      <c r="I139" s="84"/>
      <c r="J139" s="84"/>
      <c r="K139" s="84"/>
      <c r="L139" s="140">
        <f>IFERROR(ROUND(AVERAGE(M139:T139),1),"")</f>
        <v>7.9</v>
      </c>
      <c r="M139" s="86">
        <v>7.89</v>
      </c>
      <c r="N139" s="86">
        <v>7.85</v>
      </c>
      <c r="O139" s="86"/>
      <c r="P139" s="86"/>
      <c r="Q139" s="86"/>
      <c r="R139" s="86"/>
      <c r="S139" s="86"/>
      <c r="T139" s="86"/>
      <c r="U139" s="142">
        <f>IFERROR(ROUND(AVERAGE(V139:AC139),1),"")</f>
        <v>1306.2</v>
      </c>
      <c r="V139" s="88">
        <v>1405.6</v>
      </c>
      <c r="W139" s="88">
        <v>1206.7</v>
      </c>
      <c r="X139" s="88"/>
      <c r="Y139" s="88"/>
      <c r="Z139" s="88"/>
      <c r="AA139" s="88"/>
      <c r="AB139" s="88"/>
      <c r="AC139" s="88"/>
      <c r="AD139" s="142" t="str">
        <f>IFERROR(ROUND(AVERAGE(AE139:AL139),1),"")</f>
        <v/>
      </c>
      <c r="AE139" s="88"/>
      <c r="AF139" s="88"/>
      <c r="AG139" s="88"/>
      <c r="AH139" s="88"/>
      <c r="AI139" s="88"/>
      <c r="AJ139" s="88"/>
      <c r="AK139" s="88"/>
      <c r="AL139" s="88"/>
      <c r="AM139" s="88">
        <v>54.673925634194369</v>
      </c>
      <c r="AN139" s="88">
        <v>86.33</v>
      </c>
      <c r="AO139" s="89" t="s">
        <v>56</v>
      </c>
      <c r="AP139" s="90" t="s">
        <v>56</v>
      </c>
      <c r="AQ139" s="146" t="str">
        <f t="shared" si="36"/>
        <v/>
      </c>
      <c r="AR139" s="146" t="str">
        <f t="shared" si="37"/>
        <v/>
      </c>
      <c r="AS139" s="147">
        <v>0</v>
      </c>
      <c r="AT139" s="148">
        <v>14.65</v>
      </c>
      <c r="AU139" s="149">
        <v>8.1999999999999993</v>
      </c>
      <c r="AV139" s="146">
        <f t="shared" si="38"/>
        <v>55.972696245733779</v>
      </c>
      <c r="AW139" s="146">
        <f t="shared" si="39"/>
        <v>44.027303754266221</v>
      </c>
      <c r="AX139" s="138" t="str">
        <f>IFERROR((1-((AV139*AR139)/(AW139*AQ139)))*100,"")</f>
        <v/>
      </c>
      <c r="AY139" s="95">
        <v>80.199999999999989</v>
      </c>
      <c r="AZ139" s="96">
        <v>60.83</v>
      </c>
      <c r="BA139" s="96"/>
      <c r="BB139" s="96">
        <v>79</v>
      </c>
      <c r="BC139" s="96"/>
      <c r="BD139" s="97">
        <v>86.33</v>
      </c>
      <c r="BE139" s="142">
        <f t="shared" si="40"/>
        <v>3196</v>
      </c>
      <c r="BF139" s="98">
        <v>0</v>
      </c>
      <c r="BG139" s="98">
        <v>0</v>
      </c>
      <c r="BH139" s="98">
        <v>3196</v>
      </c>
      <c r="BI139" s="98"/>
      <c r="BJ139" s="98"/>
      <c r="BK139" s="98"/>
      <c r="BL139" s="98"/>
    </row>
    <row r="140" spans="1:64" outlineLevel="5" x14ac:dyDescent="0.3">
      <c r="A140" s="152">
        <f t="shared" si="31"/>
        <v>4</v>
      </c>
      <c r="B140" s="153">
        <f t="shared" si="30"/>
        <v>43942</v>
      </c>
      <c r="C140" s="138">
        <f>IFERROR(ROUND(AVERAGE(D140:K140),1),"")</f>
        <v>38.5</v>
      </c>
      <c r="D140" s="84">
        <v>38</v>
      </c>
      <c r="E140" s="84">
        <v>39</v>
      </c>
      <c r="F140" s="84"/>
      <c r="G140" s="84"/>
      <c r="H140" s="84"/>
      <c r="I140" s="84"/>
      <c r="J140" s="84"/>
      <c r="K140" s="84"/>
      <c r="L140" s="140">
        <f>IFERROR(ROUND(AVERAGE(M140:T140),1),"")</f>
        <v>7.8</v>
      </c>
      <c r="M140" s="86">
        <v>7.86</v>
      </c>
      <c r="N140" s="86">
        <v>7.8</v>
      </c>
      <c r="O140" s="86"/>
      <c r="P140" s="86"/>
      <c r="Q140" s="86"/>
      <c r="R140" s="86"/>
      <c r="S140" s="86"/>
      <c r="T140" s="86"/>
      <c r="U140" s="142">
        <f>IFERROR(ROUND(AVERAGE(V140:AC140),1),"")</f>
        <v>1254.3</v>
      </c>
      <c r="V140" s="88">
        <v>1427.3</v>
      </c>
      <c r="W140" s="88">
        <v>1081.3</v>
      </c>
      <c r="X140" s="88"/>
      <c r="Y140" s="88"/>
      <c r="Z140" s="88"/>
      <c r="AA140" s="88"/>
      <c r="AB140" s="88"/>
      <c r="AC140" s="88"/>
      <c r="AD140" s="142" t="str">
        <f>IFERROR(ROUND(AVERAGE(AE140:AL140),1),"")</f>
        <v/>
      </c>
      <c r="AE140" s="88"/>
      <c r="AF140" s="88"/>
      <c r="AG140" s="88"/>
      <c r="AH140" s="88"/>
      <c r="AI140" s="88"/>
      <c r="AJ140" s="88"/>
      <c r="AK140" s="88"/>
      <c r="AL140" s="88"/>
      <c r="AM140" s="88">
        <v>55.379561187375337</v>
      </c>
      <c r="AN140" s="88">
        <v>85.23</v>
      </c>
      <c r="AO140" s="89" t="s">
        <v>56</v>
      </c>
      <c r="AP140" s="90" t="s">
        <v>56</v>
      </c>
      <c r="AQ140" s="146" t="str">
        <f t="shared" si="36"/>
        <v/>
      </c>
      <c r="AR140" s="146" t="str">
        <f t="shared" si="37"/>
        <v/>
      </c>
      <c r="AS140" s="147">
        <v>0</v>
      </c>
      <c r="AT140" s="148" t="s">
        <v>56</v>
      </c>
      <c r="AU140" s="149" t="s">
        <v>56</v>
      </c>
      <c r="AV140" s="146" t="str">
        <f t="shared" si="38"/>
        <v/>
      </c>
      <c r="AW140" s="146" t="str">
        <f t="shared" si="39"/>
        <v/>
      </c>
      <c r="AX140" s="138" t="str">
        <f>IFERROR((1-((AV140*AR140)/(AW140*AQ140)))*100,"")</f>
        <v/>
      </c>
      <c r="AY140" s="95">
        <v>77.400000000000006</v>
      </c>
      <c r="AZ140" s="96">
        <v>61.97</v>
      </c>
      <c r="BA140" s="96"/>
      <c r="BB140" s="96">
        <v>90</v>
      </c>
      <c r="BC140" s="96"/>
      <c r="BD140" s="97">
        <v>85.23</v>
      </c>
      <c r="BE140" s="142">
        <f t="shared" si="40"/>
        <v>4603</v>
      </c>
      <c r="BF140" s="98">
        <v>0</v>
      </c>
      <c r="BG140" s="98">
        <v>0</v>
      </c>
      <c r="BH140" s="98">
        <v>4603</v>
      </c>
      <c r="BI140" s="98"/>
      <c r="BJ140" s="98"/>
      <c r="BK140" s="98"/>
      <c r="BL140" s="98"/>
    </row>
    <row r="141" spans="1:64" outlineLevel="5" x14ac:dyDescent="0.3">
      <c r="A141" s="152">
        <f t="shared" si="31"/>
        <v>4</v>
      </c>
      <c r="B141" s="153">
        <f t="shared" si="30"/>
        <v>43943</v>
      </c>
      <c r="C141" s="138">
        <f>IFERROR(ROUND(AVERAGE(D141:K141),1),"")</f>
        <v>37.5</v>
      </c>
      <c r="D141" s="84">
        <v>37</v>
      </c>
      <c r="E141" s="84">
        <v>38</v>
      </c>
      <c r="F141" s="84"/>
      <c r="G141" s="84"/>
      <c r="H141" s="84"/>
      <c r="I141" s="84"/>
      <c r="J141" s="84"/>
      <c r="K141" s="84"/>
      <c r="L141" s="140">
        <f>IFERROR(ROUND(AVERAGE(M141:T141),1),"")</f>
        <v>7.8</v>
      </c>
      <c r="M141" s="86">
        <v>7.83</v>
      </c>
      <c r="N141" s="86">
        <v>7.82</v>
      </c>
      <c r="O141" s="86"/>
      <c r="P141" s="86"/>
      <c r="Q141" s="86"/>
      <c r="R141" s="86"/>
      <c r="S141" s="86"/>
      <c r="T141" s="86"/>
      <c r="U141" s="142">
        <f>IFERROR(ROUND(AVERAGE(V141:AC141),1),"")</f>
        <v>1066.0999999999999</v>
      </c>
      <c r="V141" s="88">
        <v>1332.1</v>
      </c>
      <c r="W141" s="88">
        <v>800.1</v>
      </c>
      <c r="X141" s="88"/>
      <c r="Y141" s="88"/>
      <c r="Z141" s="88"/>
      <c r="AA141" s="88"/>
      <c r="AB141" s="88"/>
      <c r="AC141" s="88"/>
      <c r="AD141" s="142" t="str">
        <f>IFERROR(ROUND(AVERAGE(AE141:AL141),1),"")</f>
        <v/>
      </c>
      <c r="AE141" s="88"/>
      <c r="AF141" s="88"/>
      <c r="AG141" s="88"/>
      <c r="AH141" s="88"/>
      <c r="AI141" s="88"/>
      <c r="AJ141" s="88"/>
      <c r="AK141" s="88"/>
      <c r="AL141" s="88"/>
      <c r="AM141" s="88">
        <v>55.607917059377947</v>
      </c>
      <c r="AN141" s="88">
        <v>84.88</v>
      </c>
      <c r="AO141" s="89"/>
      <c r="AP141" s="90"/>
      <c r="AQ141" s="146" t="str">
        <f t="shared" si="36"/>
        <v/>
      </c>
      <c r="AR141" s="146" t="str">
        <f t="shared" si="37"/>
        <v/>
      </c>
      <c r="AS141" s="147">
        <v>0</v>
      </c>
      <c r="AT141" s="148">
        <v>13.149999999999999</v>
      </c>
      <c r="AU141" s="149">
        <v>7.4499999999999993</v>
      </c>
      <c r="AV141" s="146">
        <f t="shared" si="38"/>
        <v>56.653992395437257</v>
      </c>
      <c r="AW141" s="146">
        <f t="shared" si="39"/>
        <v>43.346007604562743</v>
      </c>
      <c r="AX141" s="138" t="str">
        <f>IFERROR((1-((AV141*AR141)/(AW141*AQ141)))*100,"")</f>
        <v/>
      </c>
      <c r="AY141" s="95">
        <v>79.55</v>
      </c>
      <c r="AZ141" s="96">
        <v>59.335000000000001</v>
      </c>
      <c r="BA141" s="96"/>
      <c r="BB141" s="96">
        <v>80.5</v>
      </c>
      <c r="BC141" s="96"/>
      <c r="BD141" s="97">
        <v>84.88</v>
      </c>
      <c r="BE141" s="142">
        <f t="shared" si="40"/>
        <v>5270</v>
      </c>
      <c r="BF141" s="98">
        <v>231</v>
      </c>
      <c r="BG141" s="98">
        <v>0</v>
      </c>
      <c r="BH141" s="98">
        <v>5039</v>
      </c>
      <c r="BI141" s="98"/>
      <c r="BJ141" s="98"/>
      <c r="BK141" s="98"/>
      <c r="BL141" s="98"/>
    </row>
    <row r="142" spans="1:64" outlineLevel="5" x14ac:dyDescent="0.3">
      <c r="A142" s="152">
        <f t="shared" si="31"/>
        <v>4</v>
      </c>
      <c r="B142" s="153">
        <f t="shared" si="30"/>
        <v>43944</v>
      </c>
      <c r="C142" s="138">
        <f>IFERROR(ROUND(AVERAGE(D142:K142),1),"")</f>
        <v>38.5</v>
      </c>
      <c r="D142" s="84">
        <v>38</v>
      </c>
      <c r="E142" s="84">
        <v>39</v>
      </c>
      <c r="F142" s="84"/>
      <c r="G142" s="84"/>
      <c r="H142" s="84"/>
      <c r="I142" s="84"/>
      <c r="J142" s="84"/>
      <c r="K142" s="84"/>
      <c r="L142" s="140">
        <f>IFERROR(ROUND(AVERAGE(M142:T142),1),"")</f>
        <v>7.8</v>
      </c>
      <c r="M142" s="86">
        <v>7.86</v>
      </c>
      <c r="N142" s="86">
        <v>7.8</v>
      </c>
      <c r="O142" s="86"/>
      <c r="P142" s="86"/>
      <c r="Q142" s="86"/>
      <c r="R142" s="86"/>
      <c r="S142" s="86"/>
      <c r="T142" s="86"/>
      <c r="U142" s="142">
        <f>IFERROR(ROUND(AVERAGE(V142:AC142),1),"")</f>
        <v>1137.5</v>
      </c>
      <c r="V142" s="88">
        <v>1405.6</v>
      </c>
      <c r="W142" s="88">
        <v>869.3</v>
      </c>
      <c r="X142" s="88"/>
      <c r="Y142" s="88"/>
      <c r="Z142" s="88"/>
      <c r="AA142" s="88"/>
      <c r="AB142" s="88"/>
      <c r="AC142" s="88"/>
      <c r="AD142" s="142" t="str">
        <f>IFERROR(ROUND(AVERAGE(AE142:AL142),1),"")</f>
        <v/>
      </c>
      <c r="AE142" s="88"/>
      <c r="AF142" s="88"/>
      <c r="AG142" s="88"/>
      <c r="AH142" s="88"/>
      <c r="AI142" s="88"/>
      <c r="AJ142" s="88"/>
      <c r="AK142" s="88"/>
      <c r="AL142" s="88"/>
      <c r="AM142" s="88">
        <v>55.483719289996479</v>
      </c>
      <c r="AN142" s="88">
        <v>85.07</v>
      </c>
      <c r="AO142" s="89"/>
      <c r="AP142" s="90"/>
      <c r="AQ142" s="146" t="str">
        <f t="shared" si="36"/>
        <v/>
      </c>
      <c r="AR142" s="146" t="str">
        <f t="shared" si="37"/>
        <v/>
      </c>
      <c r="AS142" s="147">
        <v>0</v>
      </c>
      <c r="AT142" s="148">
        <v>13.600000000000001</v>
      </c>
      <c r="AU142" s="149">
        <v>4.75</v>
      </c>
      <c r="AV142" s="146">
        <f t="shared" si="38"/>
        <v>34.92647058823529</v>
      </c>
      <c r="AW142" s="146">
        <f t="shared" si="39"/>
        <v>65.07352941176471</v>
      </c>
      <c r="AX142" s="138" t="str">
        <f>IFERROR((1-((AV142*AR142)/(AW142*AQ142)))*100,"")</f>
        <v/>
      </c>
      <c r="AY142" s="95">
        <v>79.349999999999994</v>
      </c>
      <c r="AZ142" s="96">
        <v>60.24</v>
      </c>
      <c r="BA142" s="96"/>
      <c r="BB142" s="96">
        <v>71.5</v>
      </c>
      <c r="BC142" s="96"/>
      <c r="BD142" s="97">
        <v>85.07</v>
      </c>
      <c r="BE142" s="142">
        <f t="shared" si="40"/>
        <v>5732</v>
      </c>
      <c r="BF142" s="98">
        <v>214</v>
      </c>
      <c r="BG142" s="98">
        <v>0</v>
      </c>
      <c r="BH142" s="98">
        <v>5518</v>
      </c>
      <c r="BI142" s="98"/>
      <c r="BJ142" s="98"/>
      <c r="BK142" s="98"/>
      <c r="BL142" s="98"/>
    </row>
    <row r="143" spans="1:64" outlineLevel="5" x14ac:dyDescent="0.3">
      <c r="A143" s="152">
        <f t="shared" si="31"/>
        <v>4</v>
      </c>
      <c r="B143" s="153">
        <f t="shared" si="30"/>
        <v>43945</v>
      </c>
      <c r="C143" s="138">
        <f>IFERROR(ROUND(AVERAGE(D143:K143),1),"")</f>
        <v>38.5</v>
      </c>
      <c r="D143" s="84">
        <v>38</v>
      </c>
      <c r="E143" s="84">
        <v>39</v>
      </c>
      <c r="F143" s="84"/>
      <c r="G143" s="84"/>
      <c r="H143" s="84"/>
      <c r="I143" s="84"/>
      <c r="J143" s="84"/>
      <c r="K143" s="84"/>
      <c r="L143" s="140">
        <f>IFERROR(ROUND(AVERAGE(M143:T143),1),"")</f>
        <v>7.8</v>
      </c>
      <c r="M143" s="86">
        <v>7.85</v>
      </c>
      <c r="N143" s="86">
        <v>7.81</v>
      </c>
      <c r="O143" s="86"/>
      <c r="P143" s="86"/>
      <c r="Q143" s="86"/>
      <c r="R143" s="86"/>
      <c r="S143" s="86"/>
      <c r="T143" s="86"/>
      <c r="U143" s="142">
        <f>IFERROR(ROUND(AVERAGE(V143:AC143),1),"")</f>
        <v>1137.5</v>
      </c>
      <c r="V143" s="88">
        <v>1345.1</v>
      </c>
      <c r="W143" s="88">
        <v>929.9</v>
      </c>
      <c r="X143" s="88"/>
      <c r="Y143" s="88"/>
      <c r="Z143" s="88"/>
      <c r="AA143" s="88"/>
      <c r="AB143" s="88"/>
      <c r="AC143" s="88"/>
      <c r="AD143" s="142" t="str">
        <f>IFERROR(ROUND(AVERAGE(AE143:AL143),1),"")</f>
        <v/>
      </c>
      <c r="AE143" s="88"/>
      <c r="AF143" s="88"/>
      <c r="AG143" s="88"/>
      <c r="AH143" s="88"/>
      <c r="AI143" s="88"/>
      <c r="AJ143" s="88"/>
      <c r="AK143" s="88"/>
      <c r="AL143" s="88"/>
      <c r="AM143" s="88">
        <v>50.352037550672065</v>
      </c>
      <c r="AN143" s="88">
        <v>93.740000000000009</v>
      </c>
      <c r="AO143" s="89">
        <v>19.100000000000001</v>
      </c>
      <c r="AP143" s="90">
        <v>16.406900000000004</v>
      </c>
      <c r="AQ143" s="146">
        <f t="shared" si="36"/>
        <v>85.9</v>
      </c>
      <c r="AR143" s="146">
        <f t="shared" si="37"/>
        <v>14.099999999999994</v>
      </c>
      <c r="AS143" s="147">
        <v>0</v>
      </c>
      <c r="AT143" s="148" t="s">
        <v>56</v>
      </c>
      <c r="AU143" s="149" t="s">
        <v>56</v>
      </c>
      <c r="AV143" s="146" t="str">
        <f t="shared" si="38"/>
        <v/>
      </c>
      <c r="AW143" s="146" t="str">
        <f t="shared" si="39"/>
        <v/>
      </c>
      <c r="AX143" s="138" t="str">
        <f>IFERROR((1-((AV143*AR143)/(AW143*AQ143)))*100,"")</f>
        <v/>
      </c>
      <c r="AY143" s="95">
        <v>78.55</v>
      </c>
      <c r="AZ143" s="96">
        <v>63.19</v>
      </c>
      <c r="BA143" s="96"/>
      <c r="BB143" s="96">
        <v>67</v>
      </c>
      <c r="BC143" s="96"/>
      <c r="BD143" s="97">
        <v>93.740000000000009</v>
      </c>
      <c r="BE143" s="142">
        <f t="shared" si="40"/>
        <v>5540</v>
      </c>
      <c r="BF143" s="98">
        <v>1</v>
      </c>
      <c r="BG143" s="98">
        <v>0</v>
      </c>
      <c r="BH143" s="98">
        <v>5539</v>
      </c>
      <c r="BI143" s="98"/>
      <c r="BJ143" s="98"/>
      <c r="BK143" s="98"/>
      <c r="BL143" s="98"/>
    </row>
    <row r="144" spans="1:64" outlineLevel="5" x14ac:dyDescent="0.3">
      <c r="A144" s="152">
        <f t="shared" si="31"/>
        <v>4</v>
      </c>
      <c r="B144" s="153">
        <f t="shared" si="30"/>
        <v>43946</v>
      </c>
      <c r="C144" s="138">
        <f>IFERROR(ROUND(AVERAGE(D144:K144),1),"")</f>
        <v>38</v>
      </c>
      <c r="D144" s="84">
        <v>38</v>
      </c>
      <c r="E144" s="84">
        <v>38</v>
      </c>
      <c r="F144" s="84"/>
      <c r="G144" s="84"/>
      <c r="H144" s="84"/>
      <c r="I144" s="84"/>
      <c r="J144" s="84"/>
      <c r="K144" s="84"/>
      <c r="L144" s="140" t="str">
        <f>IFERROR(ROUND(AVERAGE(M144:T144),1),"")</f>
        <v/>
      </c>
      <c r="M144" s="86"/>
      <c r="N144" s="86"/>
      <c r="O144" s="86"/>
      <c r="P144" s="86"/>
      <c r="Q144" s="86"/>
      <c r="R144" s="86"/>
      <c r="S144" s="86"/>
      <c r="T144" s="86"/>
      <c r="U144" s="142" t="str">
        <f>IFERROR(ROUND(AVERAGE(V144:AC144),1),"")</f>
        <v/>
      </c>
      <c r="V144" s="88"/>
      <c r="W144" s="88"/>
      <c r="X144" s="88"/>
      <c r="Y144" s="88"/>
      <c r="Z144" s="88"/>
      <c r="AA144" s="88"/>
      <c r="AB144" s="88"/>
      <c r="AC144" s="88"/>
      <c r="AD144" s="142" t="str">
        <f>IFERROR(ROUND(AVERAGE(AE144:AL144),1),"")</f>
        <v/>
      </c>
      <c r="AE144" s="88"/>
      <c r="AF144" s="88"/>
      <c r="AG144" s="88"/>
      <c r="AH144" s="88"/>
      <c r="AI144" s="88"/>
      <c r="AJ144" s="88"/>
      <c r="AK144" s="88"/>
      <c r="AL144" s="88"/>
      <c r="AM144" s="88">
        <v>57.99950847874171</v>
      </c>
      <c r="AN144" s="88">
        <v>81.38</v>
      </c>
      <c r="AO144" s="89" t="s">
        <v>56</v>
      </c>
      <c r="AP144" s="90" t="s">
        <v>56</v>
      </c>
      <c r="AQ144" s="146" t="str">
        <f t="shared" si="36"/>
        <v/>
      </c>
      <c r="AR144" s="146" t="str">
        <f t="shared" si="37"/>
        <v/>
      </c>
      <c r="AS144" s="147">
        <v>0</v>
      </c>
      <c r="AT144" s="148" t="s">
        <v>56</v>
      </c>
      <c r="AU144" s="149" t="s">
        <v>56</v>
      </c>
      <c r="AV144" s="146" t="str">
        <f t="shared" si="38"/>
        <v/>
      </c>
      <c r="AW144" s="146" t="str">
        <f t="shared" si="39"/>
        <v/>
      </c>
      <c r="AX144" s="138" t="str">
        <f>IFERROR((1-((AV144*AR144)/(AW144*AQ144)))*100,"")</f>
        <v/>
      </c>
      <c r="AY144" s="95" t="s">
        <v>56</v>
      </c>
      <c r="AZ144" s="96">
        <v>59.76</v>
      </c>
      <c r="BA144" s="96"/>
      <c r="BB144" s="96">
        <v>81.5</v>
      </c>
      <c r="BC144" s="96"/>
      <c r="BD144" s="97">
        <v>81.38</v>
      </c>
      <c r="BE144" s="142">
        <f t="shared" si="40"/>
        <v>4628</v>
      </c>
      <c r="BF144" s="98">
        <v>0</v>
      </c>
      <c r="BG144" s="98">
        <v>0</v>
      </c>
      <c r="BH144" s="98">
        <v>4628</v>
      </c>
      <c r="BI144" s="98"/>
      <c r="BJ144" s="98"/>
      <c r="BK144" s="98"/>
      <c r="BL144" s="98"/>
    </row>
    <row r="145" spans="1:64" outlineLevel="5" x14ac:dyDescent="0.3">
      <c r="A145" s="152">
        <f t="shared" si="31"/>
        <v>4</v>
      </c>
      <c r="B145" s="153">
        <f t="shared" si="30"/>
        <v>43947</v>
      </c>
      <c r="C145" s="138">
        <f>IFERROR(ROUND(AVERAGE(D145:K145),1),"")</f>
        <v>38</v>
      </c>
      <c r="D145" s="84">
        <v>38</v>
      </c>
      <c r="E145" s="84">
        <v>38</v>
      </c>
      <c r="F145" s="84"/>
      <c r="G145" s="84"/>
      <c r="H145" s="84"/>
      <c r="I145" s="84"/>
      <c r="J145" s="84"/>
      <c r="K145" s="84"/>
      <c r="L145" s="140" t="str">
        <f>IFERROR(ROUND(AVERAGE(M145:T145),1),"")</f>
        <v/>
      </c>
      <c r="M145" s="86"/>
      <c r="N145" s="86"/>
      <c r="O145" s="86"/>
      <c r="P145" s="86"/>
      <c r="Q145" s="86"/>
      <c r="R145" s="86"/>
      <c r="S145" s="86"/>
      <c r="T145" s="86"/>
      <c r="U145" s="142" t="str">
        <f>IFERROR(ROUND(AVERAGE(V145:AC145),1),"")</f>
        <v/>
      </c>
      <c r="V145" s="88"/>
      <c r="W145" s="88"/>
      <c r="X145" s="88"/>
      <c r="Y145" s="88"/>
      <c r="Z145" s="88"/>
      <c r="AA145" s="88"/>
      <c r="AB145" s="88"/>
      <c r="AC145" s="88"/>
      <c r="AD145" s="142" t="str">
        <f>IFERROR(ROUND(AVERAGE(AE145:AL145),1),"")</f>
        <v/>
      </c>
      <c r="AE145" s="88"/>
      <c r="AF145" s="88"/>
      <c r="AG145" s="88"/>
      <c r="AH145" s="88"/>
      <c r="AI145" s="88"/>
      <c r="AJ145" s="88"/>
      <c r="AK145" s="88"/>
      <c r="AL145" s="88"/>
      <c r="AM145" s="88">
        <v>59.746835443037973</v>
      </c>
      <c r="AN145" s="88">
        <v>79</v>
      </c>
      <c r="AO145" s="89" t="s">
        <v>56</v>
      </c>
      <c r="AP145" s="90" t="s">
        <v>56</v>
      </c>
      <c r="AQ145" s="146" t="str">
        <f t="shared" si="36"/>
        <v/>
      </c>
      <c r="AR145" s="146" t="str">
        <f t="shared" si="37"/>
        <v/>
      </c>
      <c r="AS145" s="147">
        <v>0</v>
      </c>
      <c r="AT145" s="148" t="s">
        <v>56</v>
      </c>
      <c r="AU145" s="149" t="s">
        <v>56</v>
      </c>
      <c r="AV145" s="146" t="str">
        <f t="shared" si="38"/>
        <v/>
      </c>
      <c r="AW145" s="146" t="str">
        <f t="shared" si="39"/>
        <v/>
      </c>
      <c r="AX145" s="138" t="str">
        <f>IFERROR((1-((AV145*AR145)/(AW145*AQ145)))*100,"")</f>
        <v/>
      </c>
      <c r="AY145" s="95" t="s">
        <v>56</v>
      </c>
      <c r="AZ145" s="96">
        <v>62.59</v>
      </c>
      <c r="BA145" s="96"/>
      <c r="BB145" s="96">
        <v>62.5</v>
      </c>
      <c r="BC145" s="96"/>
      <c r="BD145" s="97">
        <v>79</v>
      </c>
      <c r="BE145" s="142">
        <f t="shared" si="40"/>
        <v>7172</v>
      </c>
      <c r="BF145" s="98">
        <v>213</v>
      </c>
      <c r="BG145" s="98">
        <v>0</v>
      </c>
      <c r="BH145" s="98">
        <v>6959</v>
      </c>
      <c r="BI145" s="98"/>
      <c r="BJ145" s="98"/>
      <c r="BK145" s="98"/>
      <c r="BL145" s="98"/>
    </row>
    <row r="146" spans="1:64" outlineLevel="5" x14ac:dyDescent="0.3">
      <c r="A146" s="152">
        <f t="shared" si="31"/>
        <v>4</v>
      </c>
      <c r="B146" s="153">
        <f t="shared" si="30"/>
        <v>43948</v>
      </c>
      <c r="C146" s="138">
        <f>IFERROR(ROUND(AVERAGE(D146:K146),1),"")</f>
        <v>38</v>
      </c>
      <c r="D146" s="84">
        <v>38</v>
      </c>
      <c r="E146" s="84">
        <v>38</v>
      </c>
      <c r="F146" s="84"/>
      <c r="G146" s="84"/>
      <c r="H146" s="84"/>
      <c r="I146" s="84"/>
      <c r="J146" s="84"/>
      <c r="K146" s="84"/>
      <c r="L146" s="140">
        <f>IFERROR(ROUND(AVERAGE(M146:T146),1),"")</f>
        <v>7.8</v>
      </c>
      <c r="M146" s="86"/>
      <c r="N146" s="86">
        <v>7.78</v>
      </c>
      <c r="O146" s="86"/>
      <c r="P146" s="86"/>
      <c r="Q146" s="86"/>
      <c r="R146" s="86"/>
      <c r="S146" s="86"/>
      <c r="T146" s="86"/>
      <c r="U146" s="142">
        <f>IFERROR(ROUND(AVERAGE(V146:AC146),1),"")</f>
        <v>999.1</v>
      </c>
      <c r="V146" s="88"/>
      <c r="W146" s="88">
        <v>999.1</v>
      </c>
      <c r="X146" s="88"/>
      <c r="Y146" s="88"/>
      <c r="Z146" s="88"/>
      <c r="AA146" s="88"/>
      <c r="AB146" s="88"/>
      <c r="AC146" s="88"/>
      <c r="AD146" s="142" t="str">
        <f>IFERROR(ROUND(AVERAGE(AE146:AL146),1),"")</f>
        <v/>
      </c>
      <c r="AE146" s="88"/>
      <c r="AF146" s="88"/>
      <c r="AG146" s="88"/>
      <c r="AH146" s="88"/>
      <c r="AI146" s="88"/>
      <c r="AJ146" s="88"/>
      <c r="AK146" s="88"/>
      <c r="AL146" s="88"/>
      <c r="AM146" s="88">
        <v>54.794520547945211</v>
      </c>
      <c r="AN146" s="88">
        <v>86.139999999999986</v>
      </c>
      <c r="AO146" s="89"/>
      <c r="AP146" s="90"/>
      <c r="AQ146" s="146" t="str">
        <f t="shared" si="36"/>
        <v/>
      </c>
      <c r="AR146" s="146" t="str">
        <f t="shared" si="37"/>
        <v/>
      </c>
      <c r="AS146" s="147">
        <v>0</v>
      </c>
      <c r="AT146" s="148">
        <v>14.3</v>
      </c>
      <c r="AU146" s="149">
        <v>8.3000000000000007</v>
      </c>
      <c r="AV146" s="146">
        <f t="shared" si="38"/>
        <v>58.04195804195804</v>
      </c>
      <c r="AW146" s="146">
        <f t="shared" si="39"/>
        <v>41.95804195804196</v>
      </c>
      <c r="AX146" s="138" t="str">
        <f>IFERROR((1-((AV146*AR146)/(AW146*AQ146)))*100,"")</f>
        <v/>
      </c>
      <c r="AY146" s="95">
        <v>74.900000000000006</v>
      </c>
      <c r="AZ146" s="96">
        <v>63.08</v>
      </c>
      <c r="BA146" s="96"/>
      <c r="BB146" s="96">
        <v>57</v>
      </c>
      <c r="BC146" s="96"/>
      <c r="BD146" s="97">
        <v>86.139999999999986</v>
      </c>
      <c r="BE146" s="142">
        <f t="shared" si="40"/>
        <v>6140</v>
      </c>
      <c r="BF146" s="98">
        <v>318</v>
      </c>
      <c r="BG146" s="98">
        <v>0</v>
      </c>
      <c r="BH146" s="98">
        <v>5822</v>
      </c>
      <c r="BI146" s="98"/>
      <c r="BJ146" s="98"/>
      <c r="BK146" s="98"/>
      <c r="BL146" s="98"/>
    </row>
    <row r="147" spans="1:64" outlineLevel="5" x14ac:dyDescent="0.3">
      <c r="A147" s="152">
        <f t="shared" si="31"/>
        <v>4</v>
      </c>
      <c r="B147" s="153">
        <f t="shared" si="30"/>
        <v>43949</v>
      </c>
      <c r="C147" s="138">
        <f>IFERROR(ROUND(AVERAGE(D147:K147),1),"")</f>
        <v>38.5</v>
      </c>
      <c r="D147" s="84">
        <v>38</v>
      </c>
      <c r="E147" s="84">
        <v>39</v>
      </c>
      <c r="F147" s="84"/>
      <c r="G147" s="84"/>
      <c r="H147" s="84"/>
      <c r="I147" s="84"/>
      <c r="J147" s="84"/>
      <c r="K147" s="84"/>
      <c r="L147" s="140" t="str">
        <f>IFERROR(ROUND(AVERAGE(M147:T147),1),"")</f>
        <v/>
      </c>
      <c r="M147" s="86"/>
      <c r="N147" s="86"/>
      <c r="O147" s="86"/>
      <c r="P147" s="86"/>
      <c r="Q147" s="86"/>
      <c r="R147" s="86"/>
      <c r="S147" s="86"/>
      <c r="T147" s="86"/>
      <c r="U147" s="142" t="str">
        <f>IFERROR(ROUND(AVERAGE(V147:AC147),1),"")</f>
        <v/>
      </c>
      <c r="V147" s="88"/>
      <c r="W147" s="88"/>
      <c r="X147" s="88"/>
      <c r="Y147" s="88"/>
      <c r="Z147" s="88"/>
      <c r="AA147" s="88"/>
      <c r="AB147" s="88"/>
      <c r="AC147" s="88"/>
      <c r="AD147" s="142" t="str">
        <f>IFERROR(ROUND(AVERAGE(AE147:AL147),1),"")</f>
        <v/>
      </c>
      <c r="AE147" s="88"/>
      <c r="AF147" s="88"/>
      <c r="AG147" s="88"/>
      <c r="AH147" s="88"/>
      <c r="AI147" s="88"/>
      <c r="AJ147" s="88"/>
      <c r="AK147" s="88"/>
      <c r="AL147" s="88"/>
      <c r="AM147" s="88">
        <v>49.003322259136219</v>
      </c>
      <c r="AN147" s="88">
        <v>96.32</v>
      </c>
      <c r="AO147" s="89"/>
      <c r="AP147" s="90"/>
      <c r="AQ147" s="146" t="str">
        <f t="shared" si="36"/>
        <v/>
      </c>
      <c r="AR147" s="146" t="str">
        <f t="shared" si="37"/>
        <v/>
      </c>
      <c r="AS147" s="147">
        <v>0</v>
      </c>
      <c r="AT147" s="148" t="s">
        <v>56</v>
      </c>
      <c r="AU147" s="149" t="s">
        <v>56</v>
      </c>
      <c r="AV147" s="146" t="str">
        <f t="shared" si="38"/>
        <v/>
      </c>
      <c r="AW147" s="146" t="str">
        <f t="shared" si="39"/>
        <v/>
      </c>
      <c r="AX147" s="138" t="str">
        <f>IFERROR((1-((AV147*AR147)/(AW147*AQ147)))*100,"")</f>
        <v/>
      </c>
      <c r="AY147" s="95" t="s">
        <v>56</v>
      </c>
      <c r="AZ147" s="96">
        <v>59.364999999999995</v>
      </c>
      <c r="BA147" s="96"/>
      <c r="BB147" s="96">
        <v>38.5</v>
      </c>
      <c r="BC147" s="96"/>
      <c r="BD147" s="97">
        <v>96.32</v>
      </c>
      <c r="BE147" s="142">
        <f t="shared" si="40"/>
        <v>5924</v>
      </c>
      <c r="BF147" s="98">
        <v>491</v>
      </c>
      <c r="BG147" s="98">
        <v>0</v>
      </c>
      <c r="BH147" s="98">
        <v>5433</v>
      </c>
      <c r="BI147" s="98"/>
      <c r="BJ147" s="98"/>
      <c r="BK147" s="98"/>
      <c r="BL147" s="98"/>
    </row>
    <row r="148" spans="1:64" outlineLevel="5" x14ac:dyDescent="0.3">
      <c r="A148" s="152">
        <f t="shared" si="31"/>
        <v>4</v>
      </c>
      <c r="B148" s="153">
        <f t="shared" si="30"/>
        <v>43950</v>
      </c>
      <c r="C148" s="138">
        <f>IFERROR(ROUND(AVERAGE(D148:K148),1),"")</f>
        <v>39</v>
      </c>
      <c r="D148" s="84">
        <v>38</v>
      </c>
      <c r="E148" s="84">
        <v>40</v>
      </c>
      <c r="F148" s="84"/>
      <c r="G148" s="84"/>
      <c r="H148" s="84"/>
      <c r="I148" s="84"/>
      <c r="J148" s="84"/>
      <c r="K148" s="84"/>
      <c r="L148" s="140">
        <f>IFERROR(ROUND(AVERAGE(M148:T148),1),"")</f>
        <v>7.9</v>
      </c>
      <c r="M148" s="86">
        <v>7.88</v>
      </c>
      <c r="N148" s="86">
        <v>7.85</v>
      </c>
      <c r="O148" s="86"/>
      <c r="P148" s="86"/>
      <c r="Q148" s="86"/>
      <c r="R148" s="86"/>
      <c r="S148" s="86"/>
      <c r="T148" s="86"/>
      <c r="U148" s="142">
        <f>IFERROR(ROUND(AVERAGE(V148:AC148),1),"")</f>
        <v>1124.5</v>
      </c>
      <c r="V148" s="88">
        <v>1297.5</v>
      </c>
      <c r="W148" s="88">
        <v>951.5</v>
      </c>
      <c r="X148" s="88"/>
      <c r="Y148" s="88"/>
      <c r="Z148" s="88"/>
      <c r="AA148" s="88"/>
      <c r="AB148" s="88"/>
      <c r="AC148" s="88"/>
      <c r="AD148" s="142" t="str">
        <f>IFERROR(ROUND(AVERAGE(AE148:AL148),1),"")</f>
        <v/>
      </c>
      <c r="AE148" s="88"/>
      <c r="AF148" s="88"/>
      <c r="AG148" s="88"/>
      <c r="AH148" s="88"/>
      <c r="AI148" s="88"/>
      <c r="AJ148" s="88"/>
      <c r="AK148" s="88"/>
      <c r="AL148" s="88"/>
      <c r="AM148" s="88">
        <v>49.668525728717249</v>
      </c>
      <c r="AN148" s="88">
        <v>95.03</v>
      </c>
      <c r="AO148" s="89"/>
      <c r="AP148" s="90"/>
      <c r="AQ148" s="146" t="str">
        <f t="shared" si="36"/>
        <v/>
      </c>
      <c r="AR148" s="146" t="str">
        <f t="shared" si="37"/>
        <v/>
      </c>
      <c r="AS148" s="147">
        <v>0</v>
      </c>
      <c r="AT148" s="148">
        <v>13.8</v>
      </c>
      <c r="AU148" s="149">
        <v>8.1</v>
      </c>
      <c r="AV148" s="146">
        <f t="shared" si="38"/>
        <v>58.695652173913039</v>
      </c>
      <c r="AW148" s="146">
        <f t="shared" si="39"/>
        <v>41.304347826086961</v>
      </c>
      <c r="AX148" s="138" t="str">
        <f>IFERROR((1-((AV148*AR148)/(AW148*AQ148)))*100,"")</f>
        <v/>
      </c>
      <c r="AY148" s="95">
        <v>78.7</v>
      </c>
      <c r="AZ148" s="96">
        <v>60.44</v>
      </c>
      <c r="BA148" s="96"/>
      <c r="BB148" s="96">
        <v>90.5</v>
      </c>
      <c r="BC148" s="96"/>
      <c r="BD148" s="97">
        <v>95.03</v>
      </c>
      <c r="BE148" s="142">
        <f t="shared" si="40"/>
        <v>5840</v>
      </c>
      <c r="BF148" s="98">
        <v>0</v>
      </c>
      <c r="BG148" s="98">
        <v>0</v>
      </c>
      <c r="BH148" s="98">
        <v>5840</v>
      </c>
      <c r="BI148" s="98"/>
      <c r="BJ148" s="98"/>
      <c r="BK148" s="98"/>
      <c r="BL148" s="98"/>
    </row>
    <row r="149" spans="1:64" ht="17.25" outlineLevel="5" thickBot="1" x14ac:dyDescent="0.35">
      <c r="A149" s="154">
        <f t="shared" si="31"/>
        <v>4</v>
      </c>
      <c r="B149" s="155">
        <f t="shared" si="30"/>
        <v>43951</v>
      </c>
      <c r="C149" s="138">
        <f>IFERROR(ROUND(AVERAGE(D149:K149),1),"")</f>
        <v>38.5</v>
      </c>
      <c r="D149" s="84">
        <v>38</v>
      </c>
      <c r="E149" s="84">
        <v>39</v>
      </c>
      <c r="F149" s="84"/>
      <c r="G149" s="84"/>
      <c r="H149" s="84"/>
      <c r="I149" s="84"/>
      <c r="J149" s="84"/>
      <c r="K149" s="84"/>
      <c r="L149" s="140" t="str">
        <f>IFERROR(ROUND(AVERAGE(M149:T149),1),"")</f>
        <v/>
      </c>
      <c r="M149" s="86"/>
      <c r="N149" s="86"/>
      <c r="O149" s="86"/>
      <c r="P149" s="86"/>
      <c r="Q149" s="86"/>
      <c r="R149" s="86"/>
      <c r="S149" s="86"/>
      <c r="T149" s="86"/>
      <c r="U149" s="142" t="str">
        <f>IFERROR(ROUND(AVERAGE(V149:AC149),1),"")</f>
        <v/>
      </c>
      <c r="V149" s="88"/>
      <c r="W149" s="88"/>
      <c r="X149" s="88"/>
      <c r="Y149" s="88"/>
      <c r="Z149" s="88"/>
      <c r="AA149" s="88"/>
      <c r="AB149" s="88"/>
      <c r="AC149" s="88"/>
      <c r="AD149" s="142" t="str">
        <f>IFERROR(ROUND(AVERAGE(AE149:AL149),1),"")</f>
        <v/>
      </c>
      <c r="AE149" s="88"/>
      <c r="AF149" s="88"/>
      <c r="AG149" s="88"/>
      <c r="AH149" s="88"/>
      <c r="AI149" s="88"/>
      <c r="AJ149" s="88"/>
      <c r="AK149" s="88"/>
      <c r="AL149" s="88"/>
      <c r="AM149" s="88">
        <v>46.053273490096593</v>
      </c>
      <c r="AN149" s="88">
        <v>102.49000000000001</v>
      </c>
      <c r="AO149" s="89"/>
      <c r="AP149" s="90"/>
      <c r="AQ149" s="146" t="str">
        <f t="shared" si="36"/>
        <v/>
      </c>
      <c r="AR149" s="146" t="str">
        <f t="shared" si="37"/>
        <v/>
      </c>
      <c r="AS149" s="147">
        <v>0</v>
      </c>
      <c r="AT149" s="148" t="s">
        <v>56</v>
      </c>
      <c r="AU149" s="149" t="s">
        <v>56</v>
      </c>
      <c r="AV149" s="146" t="str">
        <f t="shared" si="38"/>
        <v/>
      </c>
      <c r="AW149" s="146" t="str">
        <f t="shared" si="39"/>
        <v/>
      </c>
      <c r="AX149" s="138" t="str">
        <f>IFERROR((1-((AV149*AR149)/(AW149*AQ149)))*100,"")</f>
        <v/>
      </c>
      <c r="AY149" s="95" t="s">
        <v>56</v>
      </c>
      <c r="AZ149" s="96">
        <v>60.284999999999997</v>
      </c>
      <c r="BA149" s="96"/>
      <c r="BB149" s="96">
        <v>95.5</v>
      </c>
      <c r="BC149" s="96"/>
      <c r="BD149" s="97">
        <v>102.49000000000001</v>
      </c>
      <c r="BE149" s="142">
        <f t="shared" si="40"/>
        <v>8888</v>
      </c>
      <c r="BF149" s="98">
        <v>5</v>
      </c>
      <c r="BG149" s="98">
        <v>0</v>
      </c>
      <c r="BH149" s="98">
        <v>8883</v>
      </c>
      <c r="BI149" s="98"/>
      <c r="BJ149" s="98"/>
      <c r="BK149" s="98"/>
      <c r="BL149" s="98"/>
    </row>
    <row r="150" spans="1:64" outlineLevel="4" x14ac:dyDescent="0.3">
      <c r="A150" s="63" t="s">
        <v>69</v>
      </c>
      <c r="B150" s="64"/>
      <c r="C150" s="65">
        <f t="shared" ref="C150:BL150" si="41">SUBTOTAL(4,C120:C149)</f>
        <v>39</v>
      </c>
      <c r="D150" s="66">
        <f t="shared" si="41"/>
        <v>39</v>
      </c>
      <c r="E150" s="66">
        <f t="shared" si="41"/>
        <v>40</v>
      </c>
      <c r="F150" s="66">
        <f t="shared" si="41"/>
        <v>0</v>
      </c>
      <c r="G150" s="66">
        <f t="shared" si="41"/>
        <v>0</v>
      </c>
      <c r="H150" s="66">
        <f t="shared" si="41"/>
        <v>0</v>
      </c>
      <c r="I150" s="66">
        <f t="shared" si="41"/>
        <v>0</v>
      </c>
      <c r="J150" s="66">
        <f t="shared" si="41"/>
        <v>0</v>
      </c>
      <c r="K150" s="66">
        <f t="shared" si="41"/>
        <v>0</v>
      </c>
      <c r="L150" s="67">
        <f t="shared" si="41"/>
        <v>8</v>
      </c>
      <c r="M150" s="68">
        <f t="shared" si="41"/>
        <v>8</v>
      </c>
      <c r="N150" s="68">
        <f t="shared" si="41"/>
        <v>7.95</v>
      </c>
      <c r="O150" s="68">
        <f t="shared" si="41"/>
        <v>0</v>
      </c>
      <c r="P150" s="68">
        <f t="shared" si="41"/>
        <v>0</v>
      </c>
      <c r="Q150" s="68">
        <f t="shared" si="41"/>
        <v>0</v>
      </c>
      <c r="R150" s="68">
        <f t="shared" si="41"/>
        <v>0</v>
      </c>
      <c r="S150" s="68">
        <f t="shared" si="41"/>
        <v>0</v>
      </c>
      <c r="T150" s="68">
        <f t="shared" si="41"/>
        <v>0</v>
      </c>
      <c r="U150" s="69">
        <f t="shared" si="41"/>
        <v>1306.2</v>
      </c>
      <c r="V150" s="70">
        <f t="shared" si="41"/>
        <v>1730</v>
      </c>
      <c r="W150" s="70">
        <f t="shared" si="41"/>
        <v>1206.7</v>
      </c>
      <c r="X150" s="70">
        <f t="shared" si="41"/>
        <v>0</v>
      </c>
      <c r="Y150" s="70">
        <f t="shared" si="41"/>
        <v>0</v>
      </c>
      <c r="Z150" s="70">
        <f t="shared" si="41"/>
        <v>0</v>
      </c>
      <c r="AA150" s="70">
        <f t="shared" si="41"/>
        <v>0</v>
      </c>
      <c r="AB150" s="70">
        <f t="shared" si="41"/>
        <v>0</v>
      </c>
      <c r="AC150" s="70">
        <f t="shared" si="41"/>
        <v>0</v>
      </c>
      <c r="AD150" s="69">
        <f t="shared" si="41"/>
        <v>0</v>
      </c>
      <c r="AE150" s="70">
        <f t="shared" si="41"/>
        <v>0</v>
      </c>
      <c r="AF150" s="70">
        <f t="shared" si="41"/>
        <v>0</v>
      </c>
      <c r="AG150" s="70">
        <f t="shared" si="41"/>
        <v>0</v>
      </c>
      <c r="AH150" s="70">
        <f t="shared" si="41"/>
        <v>0</v>
      </c>
      <c r="AI150" s="70">
        <f t="shared" si="41"/>
        <v>0</v>
      </c>
      <c r="AJ150" s="70">
        <f t="shared" si="41"/>
        <v>0</v>
      </c>
      <c r="AK150" s="70">
        <f t="shared" si="41"/>
        <v>0</v>
      </c>
      <c r="AL150" s="70">
        <f t="shared" si="41"/>
        <v>0</v>
      </c>
      <c r="AM150" s="70">
        <f t="shared" si="41"/>
        <v>73.680924133624728</v>
      </c>
      <c r="AN150" s="70">
        <f t="shared" si="41"/>
        <v>102.49000000000001</v>
      </c>
      <c r="AO150" s="71">
        <f t="shared" si="41"/>
        <v>24</v>
      </c>
      <c r="AP150" s="72">
        <f t="shared" si="41"/>
        <v>20.064</v>
      </c>
      <c r="AQ150" s="73">
        <f t="shared" si="41"/>
        <v>88.4</v>
      </c>
      <c r="AR150" s="73">
        <f t="shared" si="41"/>
        <v>16.400000000000006</v>
      </c>
      <c r="AS150" s="74">
        <f t="shared" si="41"/>
        <v>0</v>
      </c>
      <c r="AT150" s="75">
        <f t="shared" si="41"/>
        <v>17.45</v>
      </c>
      <c r="AU150" s="76">
        <f t="shared" si="41"/>
        <v>11.8</v>
      </c>
      <c r="AV150" s="73">
        <f t="shared" si="41"/>
        <v>68.80466472303209</v>
      </c>
      <c r="AW150" s="73">
        <f t="shared" si="41"/>
        <v>65.07352941176471</v>
      </c>
      <c r="AX150" s="65">
        <f t="shared" si="41"/>
        <v>73.482190324295587</v>
      </c>
      <c r="AY150" s="77">
        <f t="shared" si="41"/>
        <v>81.599999999999994</v>
      </c>
      <c r="AZ150" s="78">
        <f t="shared" si="41"/>
        <v>63.19</v>
      </c>
      <c r="BA150" s="78">
        <f t="shared" si="41"/>
        <v>0</v>
      </c>
      <c r="BB150" s="78">
        <f t="shared" si="41"/>
        <v>114</v>
      </c>
      <c r="BC150" s="78">
        <f t="shared" si="41"/>
        <v>0</v>
      </c>
      <c r="BD150" s="79">
        <f t="shared" si="41"/>
        <v>102.49000000000001</v>
      </c>
      <c r="BE150" s="69">
        <f t="shared" si="41"/>
        <v>8888</v>
      </c>
      <c r="BF150" s="70">
        <f t="shared" si="41"/>
        <v>491</v>
      </c>
      <c r="BG150" s="80">
        <f t="shared" si="41"/>
        <v>2386</v>
      </c>
      <c r="BH150" s="80">
        <f t="shared" si="41"/>
        <v>8883</v>
      </c>
      <c r="BI150" s="80">
        <f t="shared" si="41"/>
        <v>0</v>
      </c>
      <c r="BJ150" s="80">
        <f t="shared" si="41"/>
        <v>0</v>
      </c>
      <c r="BK150" s="80">
        <f t="shared" si="41"/>
        <v>0</v>
      </c>
      <c r="BL150" s="79">
        <f t="shared" si="41"/>
        <v>0</v>
      </c>
    </row>
    <row r="151" spans="1:64" outlineLevel="3" x14ac:dyDescent="0.3">
      <c r="A151" s="81" t="s">
        <v>70</v>
      </c>
      <c r="B151" s="82"/>
      <c r="C151" s="83">
        <f t="shared" ref="C151:BL151" si="42">SUBTOTAL(5,C120:C149)</f>
        <v>37.5</v>
      </c>
      <c r="D151" s="84">
        <f t="shared" si="42"/>
        <v>36</v>
      </c>
      <c r="E151" s="84">
        <f t="shared" si="42"/>
        <v>36</v>
      </c>
      <c r="F151" s="84">
        <f t="shared" si="42"/>
        <v>0</v>
      </c>
      <c r="G151" s="84">
        <f t="shared" si="42"/>
        <v>0</v>
      </c>
      <c r="H151" s="84">
        <f t="shared" si="42"/>
        <v>0</v>
      </c>
      <c r="I151" s="84">
        <f t="shared" si="42"/>
        <v>0</v>
      </c>
      <c r="J151" s="84">
        <f t="shared" si="42"/>
        <v>0</v>
      </c>
      <c r="K151" s="84">
        <f t="shared" si="42"/>
        <v>0</v>
      </c>
      <c r="L151" s="85">
        <f t="shared" si="42"/>
        <v>7.8</v>
      </c>
      <c r="M151" s="86">
        <f t="shared" si="42"/>
        <v>7.71</v>
      </c>
      <c r="N151" s="86">
        <f t="shared" si="42"/>
        <v>7.78</v>
      </c>
      <c r="O151" s="86">
        <f t="shared" si="42"/>
        <v>0</v>
      </c>
      <c r="P151" s="86">
        <f t="shared" si="42"/>
        <v>0</v>
      </c>
      <c r="Q151" s="86">
        <f t="shared" si="42"/>
        <v>0</v>
      </c>
      <c r="R151" s="86">
        <f t="shared" si="42"/>
        <v>0</v>
      </c>
      <c r="S151" s="86">
        <f t="shared" si="42"/>
        <v>0</v>
      </c>
      <c r="T151" s="86">
        <f t="shared" si="42"/>
        <v>0</v>
      </c>
      <c r="U151" s="87">
        <f t="shared" si="42"/>
        <v>999.1</v>
      </c>
      <c r="V151" s="88">
        <f t="shared" si="42"/>
        <v>1189.4000000000001</v>
      </c>
      <c r="W151" s="88">
        <f t="shared" si="42"/>
        <v>756.9</v>
      </c>
      <c r="X151" s="88">
        <f t="shared" si="42"/>
        <v>0</v>
      </c>
      <c r="Y151" s="88">
        <f t="shared" si="42"/>
        <v>0</v>
      </c>
      <c r="Z151" s="88">
        <f t="shared" si="42"/>
        <v>0</v>
      </c>
      <c r="AA151" s="88">
        <f t="shared" si="42"/>
        <v>0</v>
      </c>
      <c r="AB151" s="88">
        <f t="shared" si="42"/>
        <v>0</v>
      </c>
      <c r="AC151" s="88">
        <f t="shared" si="42"/>
        <v>0</v>
      </c>
      <c r="AD151" s="87">
        <f t="shared" si="42"/>
        <v>0</v>
      </c>
      <c r="AE151" s="88">
        <f t="shared" si="42"/>
        <v>0</v>
      </c>
      <c r="AF151" s="88">
        <f t="shared" si="42"/>
        <v>0</v>
      </c>
      <c r="AG151" s="88">
        <f t="shared" si="42"/>
        <v>0</v>
      </c>
      <c r="AH151" s="88">
        <f t="shared" si="42"/>
        <v>0</v>
      </c>
      <c r="AI151" s="88">
        <f t="shared" si="42"/>
        <v>0</v>
      </c>
      <c r="AJ151" s="88">
        <f t="shared" si="42"/>
        <v>0</v>
      </c>
      <c r="AK151" s="88">
        <f t="shared" si="42"/>
        <v>0</v>
      </c>
      <c r="AL151" s="88">
        <f t="shared" si="42"/>
        <v>0</v>
      </c>
      <c r="AM151" s="88">
        <f t="shared" si="42"/>
        <v>46.053273490096593</v>
      </c>
      <c r="AN151" s="88">
        <f t="shared" si="42"/>
        <v>64.06</v>
      </c>
      <c r="AO151" s="89">
        <f t="shared" si="42"/>
        <v>19.100000000000001</v>
      </c>
      <c r="AP151" s="90">
        <f t="shared" si="42"/>
        <v>16.406900000000004</v>
      </c>
      <c r="AQ151" s="91">
        <f t="shared" si="42"/>
        <v>83.6</v>
      </c>
      <c r="AR151" s="91">
        <f t="shared" si="42"/>
        <v>11.599999999999994</v>
      </c>
      <c r="AS151" s="92">
        <f t="shared" si="42"/>
        <v>0</v>
      </c>
      <c r="AT151" s="93">
        <f t="shared" si="42"/>
        <v>12.45</v>
      </c>
      <c r="AU151" s="94">
        <f t="shared" si="42"/>
        <v>4.75</v>
      </c>
      <c r="AV151" s="91">
        <f t="shared" si="42"/>
        <v>34.92647058823529</v>
      </c>
      <c r="AW151" s="91">
        <f t="shared" si="42"/>
        <v>31.19533527696791</v>
      </c>
      <c r="AX151" s="83">
        <f t="shared" si="42"/>
        <v>73.482190324295587</v>
      </c>
      <c r="AY151" s="95">
        <f t="shared" si="42"/>
        <v>74.900000000000006</v>
      </c>
      <c r="AZ151" s="96">
        <f t="shared" si="42"/>
        <v>55.474999999999994</v>
      </c>
      <c r="BA151" s="96">
        <f t="shared" si="42"/>
        <v>0</v>
      </c>
      <c r="BB151" s="96">
        <f t="shared" si="42"/>
        <v>38.5</v>
      </c>
      <c r="BC151" s="96">
        <f t="shared" si="42"/>
        <v>0</v>
      </c>
      <c r="BD151" s="97">
        <f t="shared" si="42"/>
        <v>64.06</v>
      </c>
      <c r="BE151" s="87">
        <f t="shared" si="42"/>
        <v>1134</v>
      </c>
      <c r="BF151" s="88">
        <f t="shared" si="42"/>
        <v>0</v>
      </c>
      <c r="BG151" s="98">
        <f t="shared" si="42"/>
        <v>0</v>
      </c>
      <c r="BH151" s="98">
        <f t="shared" si="42"/>
        <v>1048</v>
      </c>
      <c r="BI151" s="98">
        <f t="shared" si="42"/>
        <v>0</v>
      </c>
      <c r="BJ151" s="98">
        <f t="shared" si="42"/>
        <v>0</v>
      </c>
      <c r="BK151" s="98">
        <f t="shared" si="42"/>
        <v>0</v>
      </c>
      <c r="BL151" s="97">
        <f t="shared" si="42"/>
        <v>0</v>
      </c>
    </row>
    <row r="152" spans="1:64" outlineLevel="2" x14ac:dyDescent="0.3">
      <c r="A152" s="81" t="s">
        <v>71</v>
      </c>
      <c r="B152" s="82"/>
      <c r="C152" s="83">
        <f t="shared" ref="C152:BL152" si="43">IFERROR(SUBTOTAL(1,C120:C149),"")</f>
        <v>38.35</v>
      </c>
      <c r="D152" s="84">
        <f t="shared" si="43"/>
        <v>38.1</v>
      </c>
      <c r="E152" s="84">
        <f t="shared" si="43"/>
        <v>38.6</v>
      </c>
      <c r="F152" s="84" t="str">
        <f t="shared" si="43"/>
        <v/>
      </c>
      <c r="G152" s="84" t="str">
        <f t="shared" si="43"/>
        <v/>
      </c>
      <c r="H152" s="84" t="str">
        <f t="shared" si="43"/>
        <v/>
      </c>
      <c r="I152" s="84" t="str">
        <f t="shared" si="43"/>
        <v/>
      </c>
      <c r="J152" s="84" t="str">
        <f t="shared" si="43"/>
        <v/>
      </c>
      <c r="K152" s="84" t="str">
        <f t="shared" si="43"/>
        <v/>
      </c>
      <c r="L152" s="85">
        <f t="shared" si="43"/>
        <v>7.8749999999999991</v>
      </c>
      <c r="M152" s="86">
        <f t="shared" si="43"/>
        <v>7.8873333333333324</v>
      </c>
      <c r="N152" s="86">
        <f t="shared" si="43"/>
        <v>7.850625</v>
      </c>
      <c r="O152" s="86" t="str">
        <f t="shared" si="43"/>
        <v/>
      </c>
      <c r="P152" s="86" t="str">
        <f t="shared" si="43"/>
        <v/>
      </c>
      <c r="Q152" s="86" t="str">
        <f t="shared" si="43"/>
        <v/>
      </c>
      <c r="R152" s="86" t="str">
        <f t="shared" si="43"/>
        <v/>
      </c>
      <c r="S152" s="86" t="str">
        <f t="shared" si="43"/>
        <v/>
      </c>
      <c r="T152" s="86" t="str">
        <f t="shared" si="43"/>
        <v/>
      </c>
      <c r="U152" s="87">
        <f t="shared" si="43"/>
        <v>1208.0625</v>
      </c>
      <c r="V152" s="88">
        <f t="shared" si="43"/>
        <v>1460.133333333333</v>
      </c>
      <c r="W152" s="88">
        <f t="shared" si="43"/>
        <v>984.76874999999995</v>
      </c>
      <c r="X152" s="88" t="str">
        <f t="shared" si="43"/>
        <v/>
      </c>
      <c r="Y152" s="88" t="str">
        <f t="shared" si="43"/>
        <v/>
      </c>
      <c r="Z152" s="88" t="str">
        <f t="shared" si="43"/>
        <v/>
      </c>
      <c r="AA152" s="88" t="str">
        <f t="shared" si="43"/>
        <v/>
      </c>
      <c r="AB152" s="88" t="str">
        <f t="shared" si="43"/>
        <v/>
      </c>
      <c r="AC152" s="88" t="str">
        <f t="shared" si="43"/>
        <v/>
      </c>
      <c r="AD152" s="87" t="str">
        <f t="shared" si="43"/>
        <v/>
      </c>
      <c r="AE152" s="88" t="str">
        <f t="shared" si="43"/>
        <v/>
      </c>
      <c r="AF152" s="88" t="str">
        <f t="shared" si="43"/>
        <v/>
      </c>
      <c r="AG152" s="88" t="str">
        <f t="shared" si="43"/>
        <v/>
      </c>
      <c r="AH152" s="88" t="str">
        <f t="shared" si="43"/>
        <v/>
      </c>
      <c r="AI152" s="88" t="str">
        <f t="shared" si="43"/>
        <v/>
      </c>
      <c r="AJ152" s="88" t="str">
        <f t="shared" si="43"/>
        <v/>
      </c>
      <c r="AK152" s="88" t="str">
        <f t="shared" si="43"/>
        <v/>
      </c>
      <c r="AL152" s="88" t="str">
        <f t="shared" si="43"/>
        <v/>
      </c>
      <c r="AM152" s="88">
        <f t="shared" si="43"/>
        <v>56.507927988882763</v>
      </c>
      <c r="AN152" s="88">
        <f t="shared" si="43"/>
        <v>84.304000000000002</v>
      </c>
      <c r="AO152" s="89">
        <f t="shared" si="43"/>
        <v>20.7</v>
      </c>
      <c r="AP152" s="90">
        <f t="shared" si="43"/>
        <v>17.742060000000002</v>
      </c>
      <c r="AQ152" s="91">
        <f t="shared" si="43"/>
        <v>85.78</v>
      </c>
      <c r="AR152" s="91">
        <f t="shared" si="43"/>
        <v>14.219999999999999</v>
      </c>
      <c r="AS152" s="92">
        <f t="shared" si="43"/>
        <v>0</v>
      </c>
      <c r="AT152" s="93">
        <f t="shared" si="43"/>
        <v>14.346428571428573</v>
      </c>
      <c r="AU152" s="94">
        <f t="shared" si="43"/>
        <v>8.3392857142857135</v>
      </c>
      <c r="AV152" s="91">
        <f t="shared" si="43"/>
        <v>57.89942125293328</v>
      </c>
      <c r="AW152" s="91">
        <f t="shared" si="43"/>
        <v>42.10057874706672</v>
      </c>
      <c r="AX152" s="83">
        <f t="shared" si="43"/>
        <v>73.482190324295587</v>
      </c>
      <c r="AY152" s="95">
        <f t="shared" si="43"/>
        <v>78.213333333333338</v>
      </c>
      <c r="AZ152" s="96">
        <f t="shared" si="43"/>
        <v>60.465833333333336</v>
      </c>
      <c r="BA152" s="96" t="str">
        <f t="shared" si="43"/>
        <v/>
      </c>
      <c r="BB152" s="96">
        <f t="shared" si="43"/>
        <v>79.900000000000006</v>
      </c>
      <c r="BC152" s="96" t="str">
        <f t="shared" si="43"/>
        <v/>
      </c>
      <c r="BD152" s="97">
        <f>IFERROR(SUBTOTAL(1,BD120:BD149),"")</f>
        <v>84.304000000000002</v>
      </c>
      <c r="BE152" s="87">
        <f t="shared" si="43"/>
        <v>4685.666666666667</v>
      </c>
      <c r="BF152" s="88">
        <f t="shared" si="43"/>
        <v>113.96666666666667</v>
      </c>
      <c r="BG152" s="98">
        <f t="shared" si="43"/>
        <v>247.43333333333334</v>
      </c>
      <c r="BH152" s="98">
        <f t="shared" si="43"/>
        <v>4324.2666666666664</v>
      </c>
      <c r="BI152" s="98" t="str">
        <f t="shared" si="43"/>
        <v/>
      </c>
      <c r="BJ152" s="98" t="str">
        <f t="shared" si="43"/>
        <v/>
      </c>
      <c r="BK152" s="98" t="str">
        <f t="shared" si="43"/>
        <v/>
      </c>
      <c r="BL152" s="97" t="str">
        <f t="shared" si="43"/>
        <v/>
      </c>
    </row>
    <row r="153" spans="1:64" ht="17.25" outlineLevel="1" thickBot="1" x14ac:dyDescent="0.35">
      <c r="A153" s="99" t="s">
        <v>72</v>
      </c>
      <c r="B153" s="100"/>
      <c r="C153" s="101"/>
      <c r="D153" s="102"/>
      <c r="E153" s="102"/>
      <c r="F153" s="102"/>
      <c r="G153" s="102"/>
      <c r="H153" s="102"/>
      <c r="I153" s="102"/>
      <c r="J153" s="102"/>
      <c r="K153" s="102"/>
      <c r="L153" s="103"/>
      <c r="M153" s="104"/>
      <c r="N153" s="104"/>
      <c r="O153" s="104"/>
      <c r="P153" s="104"/>
      <c r="Q153" s="104"/>
      <c r="R153" s="104"/>
      <c r="S153" s="104"/>
      <c r="T153" s="104"/>
      <c r="U153" s="105"/>
      <c r="V153" s="106"/>
      <c r="W153" s="106"/>
      <c r="X153" s="106"/>
      <c r="Y153" s="106"/>
      <c r="Z153" s="106"/>
      <c r="AA153" s="106"/>
      <c r="AB153" s="106"/>
      <c r="AC153" s="106"/>
      <c r="AD153" s="105"/>
      <c r="AE153" s="106"/>
      <c r="AF153" s="106"/>
      <c r="AG153" s="106"/>
      <c r="AH153" s="106"/>
      <c r="AI153" s="106"/>
      <c r="AJ153" s="106"/>
      <c r="AK153" s="106"/>
      <c r="AL153" s="106"/>
      <c r="AM153" s="106"/>
      <c r="AN153" s="107">
        <f>SUBTOTAL(9,AN120:AN149)</f>
        <v>2529.12</v>
      </c>
      <c r="AO153" s="108"/>
      <c r="AP153" s="109"/>
      <c r="AQ153" s="110"/>
      <c r="AR153" s="110"/>
      <c r="AS153" s="111">
        <f>SUBTOTAL(9,AS120:AS149)</f>
        <v>0</v>
      </c>
      <c r="AT153" s="112"/>
      <c r="AU153" s="113"/>
      <c r="AV153" s="110"/>
      <c r="AW153" s="110"/>
      <c r="AX153" s="101"/>
      <c r="AY153" s="114"/>
      <c r="AZ153" s="115"/>
      <c r="BA153" s="115"/>
      <c r="BB153" s="115"/>
      <c r="BC153" s="115"/>
      <c r="BD153" s="116">
        <f>SUBTOTAL(9,BD120:BD149)</f>
        <v>2529.12</v>
      </c>
      <c r="BE153" s="117">
        <f t="shared" ref="BE153:BL153" si="44">SUBTOTAL(9,BE120:BE149)</f>
        <v>140570</v>
      </c>
      <c r="BF153" s="107">
        <f t="shared" si="44"/>
        <v>3419</v>
      </c>
      <c r="BG153" s="118">
        <f t="shared" si="44"/>
        <v>7423</v>
      </c>
      <c r="BH153" s="118">
        <f t="shared" si="44"/>
        <v>129728</v>
      </c>
      <c r="BI153" s="118">
        <f t="shared" si="44"/>
        <v>0</v>
      </c>
      <c r="BJ153" s="118">
        <f t="shared" si="44"/>
        <v>0</v>
      </c>
      <c r="BK153" s="118">
        <f t="shared" si="44"/>
        <v>0</v>
      </c>
      <c r="BL153" s="116">
        <f t="shared" si="44"/>
        <v>0</v>
      </c>
    </row>
    <row r="154" spans="1:64" outlineLevel="5" x14ac:dyDescent="0.3">
      <c r="A154" s="136">
        <f t="shared" si="31"/>
        <v>5</v>
      </c>
      <c r="B154" s="165">
        <f>B149+1</f>
        <v>43952</v>
      </c>
      <c r="C154" s="138">
        <f>IFERROR(ROUND(AVERAGE(D154:K154),1),"")</f>
        <v>38</v>
      </c>
      <c r="D154" s="84">
        <v>38</v>
      </c>
      <c r="E154" s="84">
        <v>38</v>
      </c>
      <c r="F154" s="84"/>
      <c r="G154" s="84"/>
      <c r="H154" s="84"/>
      <c r="I154" s="84"/>
      <c r="J154" s="84"/>
      <c r="K154" s="84"/>
      <c r="L154" s="140" t="str">
        <f>IFERROR(ROUND(AVERAGE(M154:T154),1),"")</f>
        <v/>
      </c>
      <c r="M154" s="86"/>
      <c r="N154" s="86"/>
      <c r="O154" s="86"/>
      <c r="P154" s="86"/>
      <c r="Q154" s="86"/>
      <c r="R154" s="86"/>
      <c r="S154" s="86"/>
      <c r="T154" s="86"/>
      <c r="U154" s="142" t="str">
        <f>IFERROR(ROUND(AVERAGE(V154:AC154),1),"")</f>
        <v/>
      </c>
      <c r="V154" s="88"/>
      <c r="W154" s="88"/>
      <c r="X154" s="88"/>
      <c r="Y154" s="88"/>
      <c r="Z154" s="88"/>
      <c r="AA154" s="88"/>
      <c r="AB154" s="88"/>
      <c r="AC154" s="88"/>
      <c r="AD154" s="142" t="str">
        <f>IFERROR(ROUND(AVERAGE(AE154:AL154),1),"")</f>
        <v/>
      </c>
      <c r="AE154" s="88"/>
      <c r="AF154" s="88"/>
      <c r="AG154" s="88"/>
      <c r="AH154" s="88"/>
      <c r="AI154" s="88"/>
      <c r="AJ154" s="88"/>
      <c r="AK154" s="88"/>
      <c r="AL154" s="88"/>
      <c r="AM154" s="88">
        <v>51.348999129677978</v>
      </c>
      <c r="AN154" s="88">
        <v>91.92</v>
      </c>
      <c r="AO154" s="89">
        <v>20.3</v>
      </c>
      <c r="AP154" s="90">
        <v>17.701599999999999</v>
      </c>
      <c r="AQ154" s="146">
        <f t="shared" ref="AQ154:AQ184" si="45">IFERROR(AP154/AO154*100,"")</f>
        <v>87.199999999999989</v>
      </c>
      <c r="AR154" s="146">
        <f t="shared" ref="AR154:AR184" si="46">IFERROR(100-AQ154,"")</f>
        <v>12.800000000000011</v>
      </c>
      <c r="AS154" s="147">
        <v>0</v>
      </c>
      <c r="AT154" s="148" t="s">
        <v>56</v>
      </c>
      <c r="AU154" s="149" t="s">
        <v>56</v>
      </c>
      <c r="AV154" s="146" t="str">
        <f t="shared" ref="AV154:AV184" si="47">IFERROR(AU154/AT154*100,"")</f>
        <v/>
      </c>
      <c r="AW154" s="146" t="str">
        <f t="shared" ref="AW154:AW184" si="48">IFERROR(100-AV154,"")</f>
        <v/>
      </c>
      <c r="AX154" s="138" t="str">
        <f>IFERROR((1-((AV154*AR154)/(AW154*AQ154)))*100,"")</f>
        <v/>
      </c>
      <c r="AY154" s="95" t="s">
        <v>56</v>
      </c>
      <c r="AZ154" s="96">
        <v>65.63</v>
      </c>
      <c r="BA154" s="96"/>
      <c r="BB154" s="96">
        <v>68</v>
      </c>
      <c r="BC154" s="96"/>
      <c r="BD154" s="97">
        <v>91.92</v>
      </c>
      <c r="BE154" s="142">
        <f t="shared" ref="BE154:BE184" si="49">IF(SUM(BF154:BL154)=0,"",SUM(BF154:BL154))</f>
        <v>2787</v>
      </c>
      <c r="BF154" s="98">
        <v>29</v>
      </c>
      <c r="BG154" s="98">
        <v>0</v>
      </c>
      <c r="BH154" s="98">
        <v>2758</v>
      </c>
      <c r="BI154" s="98"/>
      <c r="BJ154" s="98"/>
      <c r="BK154" s="98"/>
      <c r="BL154" s="97"/>
    </row>
    <row r="155" spans="1:64" outlineLevel="5" x14ac:dyDescent="0.3">
      <c r="A155" s="152">
        <f t="shared" si="31"/>
        <v>5</v>
      </c>
      <c r="B155" s="153">
        <f t="shared" ref="B155:B218" si="50">B154+1</f>
        <v>43953</v>
      </c>
      <c r="C155" s="138">
        <f>IFERROR(ROUND(AVERAGE(D155:K155),1),"")</f>
        <v>39</v>
      </c>
      <c r="D155" s="84">
        <v>38</v>
      </c>
      <c r="E155" s="84">
        <v>40</v>
      </c>
      <c r="F155" s="84"/>
      <c r="G155" s="84"/>
      <c r="H155" s="84"/>
      <c r="I155" s="84"/>
      <c r="J155" s="84"/>
      <c r="K155" s="84"/>
      <c r="L155" s="140" t="str">
        <f>IFERROR(ROUND(AVERAGE(M155:T155),1),"")</f>
        <v/>
      </c>
      <c r="M155" s="86"/>
      <c r="N155" s="86"/>
      <c r="O155" s="86"/>
      <c r="P155" s="86"/>
      <c r="Q155" s="86"/>
      <c r="R155" s="86"/>
      <c r="S155" s="86"/>
      <c r="T155" s="86"/>
      <c r="U155" s="142" t="str">
        <f>IFERROR(ROUND(AVERAGE(V155:AC155),1),"")</f>
        <v/>
      </c>
      <c r="V155" s="88"/>
      <c r="W155" s="88"/>
      <c r="X155" s="88"/>
      <c r="Y155" s="88"/>
      <c r="Z155" s="88"/>
      <c r="AA155" s="88"/>
      <c r="AB155" s="88"/>
      <c r="AC155" s="88"/>
      <c r="AD155" s="142" t="str">
        <f>IFERROR(ROUND(AVERAGE(AE155:AL155),1),"")</f>
        <v/>
      </c>
      <c r="AE155" s="88"/>
      <c r="AF155" s="88"/>
      <c r="AG155" s="88"/>
      <c r="AH155" s="88"/>
      <c r="AI155" s="88"/>
      <c r="AJ155" s="88"/>
      <c r="AK155" s="88"/>
      <c r="AL155" s="88"/>
      <c r="AM155" s="88">
        <v>74.354127284183988</v>
      </c>
      <c r="AN155" s="88">
        <v>63.480000000000004</v>
      </c>
      <c r="AO155" s="89" t="s">
        <v>56</v>
      </c>
      <c r="AP155" s="90" t="s">
        <v>56</v>
      </c>
      <c r="AQ155" s="146" t="str">
        <f t="shared" si="45"/>
        <v/>
      </c>
      <c r="AR155" s="146" t="str">
        <f t="shared" si="46"/>
        <v/>
      </c>
      <c r="AS155" s="147">
        <v>0</v>
      </c>
      <c r="AT155" s="148" t="s">
        <v>56</v>
      </c>
      <c r="AU155" s="149" t="s">
        <v>56</v>
      </c>
      <c r="AV155" s="146" t="str">
        <f t="shared" si="47"/>
        <v/>
      </c>
      <c r="AW155" s="146" t="str">
        <f t="shared" si="48"/>
        <v/>
      </c>
      <c r="AX155" s="138" t="str">
        <f>IFERROR((1-((AV155*AR155)/(AW155*AQ155)))*100,"")</f>
        <v/>
      </c>
      <c r="AY155" s="95" t="s">
        <v>56</v>
      </c>
      <c r="AZ155" s="96">
        <v>64.540000000000006</v>
      </c>
      <c r="BA155" s="96"/>
      <c r="BB155" s="96">
        <v>74</v>
      </c>
      <c r="BC155" s="96"/>
      <c r="BD155" s="97">
        <v>63.480000000000004</v>
      </c>
      <c r="BE155" s="142">
        <f t="shared" si="49"/>
        <v>6310</v>
      </c>
      <c r="BF155" s="98">
        <v>0</v>
      </c>
      <c r="BG155" s="98">
        <v>0</v>
      </c>
      <c r="BH155" s="98">
        <v>6310</v>
      </c>
      <c r="BI155" s="98"/>
      <c r="BJ155" s="98"/>
      <c r="BK155" s="98"/>
      <c r="BL155" s="97"/>
    </row>
    <row r="156" spans="1:64" outlineLevel="5" x14ac:dyDescent="0.3">
      <c r="A156" s="152">
        <f t="shared" si="31"/>
        <v>5</v>
      </c>
      <c r="B156" s="153">
        <f t="shared" si="50"/>
        <v>43954</v>
      </c>
      <c r="C156" s="138">
        <f>IFERROR(ROUND(AVERAGE(D156:K156),1),"")</f>
        <v>38.5</v>
      </c>
      <c r="D156" s="84">
        <v>38</v>
      </c>
      <c r="E156" s="84">
        <v>39</v>
      </c>
      <c r="F156" s="84"/>
      <c r="G156" s="84"/>
      <c r="H156" s="84"/>
      <c r="I156" s="84"/>
      <c r="J156" s="84"/>
      <c r="K156" s="84"/>
      <c r="L156" s="140" t="str">
        <f>IFERROR(ROUND(AVERAGE(M156:T156),1),"")</f>
        <v/>
      </c>
      <c r="M156" s="86"/>
      <c r="N156" s="86"/>
      <c r="O156" s="86"/>
      <c r="P156" s="86"/>
      <c r="Q156" s="86"/>
      <c r="R156" s="86"/>
      <c r="S156" s="86"/>
      <c r="T156" s="86"/>
      <c r="U156" s="142" t="str">
        <f>IFERROR(ROUND(AVERAGE(V156:AC156),1),"")</f>
        <v/>
      </c>
      <c r="V156" s="88"/>
      <c r="W156" s="88"/>
      <c r="X156" s="88"/>
      <c r="Y156" s="88"/>
      <c r="Z156" s="88"/>
      <c r="AA156" s="88"/>
      <c r="AB156" s="88"/>
      <c r="AC156" s="88"/>
      <c r="AD156" s="142" t="str">
        <f>IFERROR(ROUND(AVERAGE(AE156:AL156),1),"")</f>
        <v/>
      </c>
      <c r="AE156" s="88"/>
      <c r="AF156" s="88"/>
      <c r="AG156" s="88"/>
      <c r="AH156" s="88"/>
      <c r="AI156" s="88"/>
      <c r="AJ156" s="88"/>
      <c r="AK156" s="88"/>
      <c r="AL156" s="88"/>
      <c r="AM156" s="88">
        <v>78.666666666666671</v>
      </c>
      <c r="AN156" s="88">
        <v>60</v>
      </c>
      <c r="AO156" s="89" t="s">
        <v>56</v>
      </c>
      <c r="AP156" s="90"/>
      <c r="AQ156" s="146" t="str">
        <f t="shared" si="45"/>
        <v/>
      </c>
      <c r="AR156" s="146" t="str">
        <f t="shared" si="46"/>
        <v/>
      </c>
      <c r="AS156" s="147">
        <v>0</v>
      </c>
      <c r="AT156" s="148" t="s">
        <v>56</v>
      </c>
      <c r="AU156" s="149" t="s">
        <v>56</v>
      </c>
      <c r="AV156" s="146" t="str">
        <f t="shared" si="47"/>
        <v/>
      </c>
      <c r="AW156" s="146" t="str">
        <f t="shared" si="48"/>
        <v/>
      </c>
      <c r="AX156" s="138" t="str">
        <f>IFERROR((1-((AV156*AR156)/(AW156*AQ156)))*100,"")</f>
        <v/>
      </c>
      <c r="AY156" s="95" t="s">
        <v>56</v>
      </c>
      <c r="AZ156" s="96">
        <v>53.784999999999997</v>
      </c>
      <c r="BA156" s="96"/>
      <c r="BB156" s="96">
        <v>94</v>
      </c>
      <c r="BC156" s="96"/>
      <c r="BD156" s="97">
        <v>60</v>
      </c>
      <c r="BE156" s="142">
        <f t="shared" si="49"/>
        <v>6310</v>
      </c>
      <c r="BF156" s="98">
        <v>0</v>
      </c>
      <c r="BG156" s="98">
        <v>0</v>
      </c>
      <c r="BH156" s="98">
        <v>6310</v>
      </c>
      <c r="BI156" s="98"/>
      <c r="BJ156" s="98"/>
      <c r="BK156" s="98"/>
      <c r="BL156" s="97"/>
    </row>
    <row r="157" spans="1:64" outlineLevel="5" x14ac:dyDescent="0.3">
      <c r="A157" s="152">
        <f t="shared" si="31"/>
        <v>5</v>
      </c>
      <c r="B157" s="153">
        <f t="shared" si="50"/>
        <v>43955</v>
      </c>
      <c r="C157" s="138">
        <f>IFERROR(ROUND(AVERAGE(D157:K157),1),"")</f>
        <v>39</v>
      </c>
      <c r="D157" s="84">
        <v>39</v>
      </c>
      <c r="E157" s="84">
        <v>39</v>
      </c>
      <c r="F157" s="84"/>
      <c r="G157" s="84"/>
      <c r="H157" s="84"/>
      <c r="I157" s="84"/>
      <c r="J157" s="84"/>
      <c r="K157" s="84"/>
      <c r="L157" s="140">
        <f>IFERROR(ROUND(AVERAGE(M157:T157),1),"")</f>
        <v>7.9</v>
      </c>
      <c r="M157" s="86">
        <v>7.92</v>
      </c>
      <c r="N157" s="86">
        <v>7.83</v>
      </c>
      <c r="O157" s="86"/>
      <c r="P157" s="86"/>
      <c r="Q157" s="86"/>
      <c r="R157" s="86"/>
      <c r="S157" s="86"/>
      <c r="T157" s="86"/>
      <c r="U157" s="142">
        <f>IFERROR(ROUND(AVERAGE(V157:AC157),1),"")</f>
        <v>1146.2</v>
      </c>
      <c r="V157" s="88">
        <v>1384</v>
      </c>
      <c r="W157" s="88">
        <v>908.3</v>
      </c>
      <c r="X157" s="88"/>
      <c r="Y157" s="88"/>
      <c r="Z157" s="88"/>
      <c r="AA157" s="88"/>
      <c r="AB157" s="88"/>
      <c r="AC157" s="88"/>
      <c r="AD157" s="142" t="str">
        <f>IFERROR(ROUND(AVERAGE(AE157:AL157),1),"")</f>
        <v/>
      </c>
      <c r="AE157" s="88"/>
      <c r="AF157" s="88"/>
      <c r="AG157" s="88"/>
      <c r="AH157" s="88"/>
      <c r="AI157" s="88"/>
      <c r="AJ157" s="88"/>
      <c r="AK157" s="88"/>
      <c r="AL157" s="88"/>
      <c r="AM157" s="88">
        <v>51.354586008051356</v>
      </c>
      <c r="AN157" s="88">
        <v>91.91</v>
      </c>
      <c r="AO157" s="89" t="s">
        <v>56</v>
      </c>
      <c r="AP157" s="90"/>
      <c r="AQ157" s="146" t="str">
        <f t="shared" si="45"/>
        <v/>
      </c>
      <c r="AR157" s="146" t="str">
        <f t="shared" si="46"/>
        <v/>
      </c>
      <c r="AS157" s="147">
        <v>0</v>
      </c>
      <c r="AT157" s="148">
        <v>15.5</v>
      </c>
      <c r="AU157" s="149">
        <v>10.35</v>
      </c>
      <c r="AV157" s="146">
        <f t="shared" si="47"/>
        <v>66.774193548387089</v>
      </c>
      <c r="AW157" s="146">
        <f t="shared" si="48"/>
        <v>33.225806451612911</v>
      </c>
      <c r="AX157" s="138" t="str">
        <f>IFERROR((1-((AV157*AR157)/(AW157*AQ157)))*100,"")</f>
        <v/>
      </c>
      <c r="AY157" s="95">
        <v>78.849999999999994</v>
      </c>
      <c r="AZ157" s="96">
        <v>56.87</v>
      </c>
      <c r="BA157" s="96"/>
      <c r="BB157" s="96">
        <v>145</v>
      </c>
      <c r="BC157" s="96"/>
      <c r="BD157" s="97">
        <v>91.91</v>
      </c>
      <c r="BE157" s="142">
        <f t="shared" si="49"/>
        <v>5537</v>
      </c>
      <c r="BF157" s="98">
        <v>0</v>
      </c>
      <c r="BG157" s="98">
        <v>0</v>
      </c>
      <c r="BH157" s="98">
        <v>5537</v>
      </c>
      <c r="BI157" s="98"/>
      <c r="BJ157" s="98"/>
      <c r="BK157" s="98"/>
      <c r="BL157" s="97"/>
    </row>
    <row r="158" spans="1:64" outlineLevel="5" x14ac:dyDescent="0.3">
      <c r="A158" s="152">
        <f t="shared" si="31"/>
        <v>5</v>
      </c>
      <c r="B158" s="153">
        <f t="shared" si="50"/>
        <v>43956</v>
      </c>
      <c r="C158" s="138">
        <f>IFERROR(ROUND(AVERAGE(D158:K158),1),"")</f>
        <v>39</v>
      </c>
      <c r="D158" s="84">
        <v>39</v>
      </c>
      <c r="E158" s="84">
        <v>39</v>
      </c>
      <c r="F158" s="84"/>
      <c r="G158" s="84"/>
      <c r="H158" s="84"/>
      <c r="I158" s="84"/>
      <c r="J158" s="84"/>
      <c r="K158" s="84"/>
      <c r="L158" s="140" t="str">
        <f>IFERROR(ROUND(AVERAGE(M158:T158),1),"")</f>
        <v/>
      </c>
      <c r="M158" s="86"/>
      <c r="N158" s="86"/>
      <c r="O158" s="86"/>
      <c r="P158" s="86"/>
      <c r="Q158" s="86"/>
      <c r="R158" s="86"/>
      <c r="S158" s="86"/>
      <c r="T158" s="86"/>
      <c r="U158" s="142" t="str">
        <f>IFERROR(ROUND(AVERAGE(V158:AC158),1),"")</f>
        <v/>
      </c>
      <c r="V158" s="88"/>
      <c r="W158" s="88"/>
      <c r="X158" s="88"/>
      <c r="Y158" s="88"/>
      <c r="Z158" s="88"/>
      <c r="AA158" s="88"/>
      <c r="AB158" s="88"/>
      <c r="AC158" s="88"/>
      <c r="AD158" s="142" t="str">
        <f>IFERROR(ROUND(AVERAGE(AE158:AL158),1),"")</f>
        <v/>
      </c>
      <c r="AE158" s="88"/>
      <c r="AF158" s="88"/>
      <c r="AG158" s="88"/>
      <c r="AH158" s="88"/>
      <c r="AI158" s="88"/>
      <c r="AJ158" s="88"/>
      <c r="AK158" s="88"/>
      <c r="AL158" s="88"/>
      <c r="AM158" s="88">
        <v>50.357409580710552</v>
      </c>
      <c r="AN158" s="88">
        <v>93.73</v>
      </c>
      <c r="AO158" s="89" t="s">
        <v>56</v>
      </c>
      <c r="AP158" s="90"/>
      <c r="AQ158" s="146" t="str">
        <f t="shared" si="45"/>
        <v/>
      </c>
      <c r="AR158" s="146" t="str">
        <f t="shared" si="46"/>
        <v/>
      </c>
      <c r="AS158" s="147">
        <v>0</v>
      </c>
      <c r="AT158" s="148" t="s">
        <v>56</v>
      </c>
      <c r="AU158" s="149" t="s">
        <v>56</v>
      </c>
      <c r="AV158" s="146" t="str">
        <f t="shared" si="47"/>
        <v/>
      </c>
      <c r="AW158" s="146" t="str">
        <f t="shared" si="48"/>
        <v/>
      </c>
      <c r="AX158" s="138" t="str">
        <f>IFERROR((1-((AV158*AR158)/(AW158*AQ158)))*100,"")</f>
        <v/>
      </c>
      <c r="AY158" s="95" t="s">
        <v>56</v>
      </c>
      <c r="AZ158" s="96">
        <v>58.730000000000004</v>
      </c>
      <c r="BA158" s="96"/>
      <c r="BB158" s="96">
        <v>73.5</v>
      </c>
      <c r="BC158" s="96"/>
      <c r="BD158" s="97">
        <v>93.73</v>
      </c>
      <c r="BE158" s="142">
        <f t="shared" si="49"/>
        <v>7245</v>
      </c>
      <c r="BF158" s="98">
        <v>63</v>
      </c>
      <c r="BG158" s="98">
        <v>0</v>
      </c>
      <c r="BH158" s="98">
        <v>7182</v>
      </c>
      <c r="BI158" s="98"/>
      <c r="BJ158" s="98"/>
      <c r="BK158" s="98"/>
      <c r="BL158" s="97"/>
    </row>
    <row r="159" spans="1:64" outlineLevel="5" x14ac:dyDescent="0.3">
      <c r="A159" s="152">
        <f t="shared" si="31"/>
        <v>5</v>
      </c>
      <c r="B159" s="153">
        <f t="shared" si="50"/>
        <v>43957</v>
      </c>
      <c r="C159" s="138">
        <f>IFERROR(ROUND(AVERAGE(D159:K159),1),"")</f>
        <v>38.5</v>
      </c>
      <c r="D159" s="84">
        <v>38</v>
      </c>
      <c r="E159" s="84">
        <v>39</v>
      </c>
      <c r="F159" s="84"/>
      <c r="G159" s="84"/>
      <c r="H159" s="84"/>
      <c r="I159" s="84"/>
      <c r="J159" s="84"/>
      <c r="K159" s="84"/>
      <c r="L159" s="140">
        <f>IFERROR(ROUND(AVERAGE(M159:T159),1),"")</f>
        <v>7.9</v>
      </c>
      <c r="M159" s="86">
        <v>7.9</v>
      </c>
      <c r="N159" s="86">
        <v>7.8</v>
      </c>
      <c r="O159" s="86"/>
      <c r="P159" s="86"/>
      <c r="Q159" s="86"/>
      <c r="R159" s="86"/>
      <c r="S159" s="86"/>
      <c r="T159" s="86"/>
      <c r="U159" s="142">
        <f>IFERROR(ROUND(AVERAGE(V159:AC159),1),"")</f>
        <v>1124.5</v>
      </c>
      <c r="V159" s="88">
        <v>1297.5</v>
      </c>
      <c r="W159" s="88">
        <v>951.5</v>
      </c>
      <c r="X159" s="88"/>
      <c r="Y159" s="88"/>
      <c r="Z159" s="88"/>
      <c r="AA159" s="88"/>
      <c r="AB159" s="88"/>
      <c r="AC159" s="88"/>
      <c r="AD159" s="142" t="str">
        <f>IFERROR(ROUND(AVERAGE(AE159:AL159),1),"")</f>
        <v/>
      </c>
      <c r="AE159" s="88"/>
      <c r="AF159" s="88"/>
      <c r="AG159" s="88"/>
      <c r="AH159" s="88"/>
      <c r="AI159" s="88"/>
      <c r="AJ159" s="88"/>
      <c r="AK159" s="88"/>
      <c r="AL159" s="88"/>
      <c r="AM159" s="88">
        <v>43.506313945985802</v>
      </c>
      <c r="AN159" s="88">
        <v>108.49000000000001</v>
      </c>
      <c r="AO159" s="89"/>
      <c r="AP159" s="90"/>
      <c r="AQ159" s="146" t="str">
        <f t="shared" si="45"/>
        <v/>
      </c>
      <c r="AR159" s="146" t="str">
        <f t="shared" si="46"/>
        <v/>
      </c>
      <c r="AS159" s="147">
        <v>20</v>
      </c>
      <c r="AT159" s="148">
        <v>13.8</v>
      </c>
      <c r="AU159" s="149">
        <v>8.0500000000000007</v>
      </c>
      <c r="AV159" s="146">
        <f t="shared" si="47"/>
        <v>58.333333333333336</v>
      </c>
      <c r="AW159" s="146">
        <f t="shared" si="48"/>
        <v>41.666666666666664</v>
      </c>
      <c r="AX159" s="138" t="str">
        <f>IFERROR((1-((AV159*AR159)/(AW159*AQ159)))*100,"")</f>
        <v/>
      </c>
      <c r="AY159" s="95">
        <v>78.599999999999994</v>
      </c>
      <c r="AZ159" s="96">
        <v>61.09</v>
      </c>
      <c r="BA159" s="96"/>
      <c r="BB159" s="96">
        <v>94.5</v>
      </c>
      <c r="BC159" s="96"/>
      <c r="BD159" s="97">
        <v>108.49000000000001</v>
      </c>
      <c r="BE159" s="142">
        <f t="shared" si="49"/>
        <v>4475</v>
      </c>
      <c r="BF159" s="98">
        <v>25</v>
      </c>
      <c r="BG159" s="98">
        <v>0</v>
      </c>
      <c r="BH159" s="98">
        <v>4450</v>
      </c>
      <c r="BI159" s="98"/>
      <c r="BJ159" s="98"/>
      <c r="BK159" s="98"/>
      <c r="BL159" s="97"/>
    </row>
    <row r="160" spans="1:64" outlineLevel="5" x14ac:dyDescent="0.3">
      <c r="A160" s="152">
        <f t="shared" si="31"/>
        <v>5</v>
      </c>
      <c r="B160" s="153">
        <f t="shared" si="50"/>
        <v>43958</v>
      </c>
      <c r="C160" s="138">
        <f>IFERROR(ROUND(AVERAGE(D160:K160),1),"")</f>
        <v>37</v>
      </c>
      <c r="D160" s="84">
        <v>37</v>
      </c>
      <c r="E160" s="84">
        <v>37</v>
      </c>
      <c r="F160" s="84"/>
      <c r="G160" s="84"/>
      <c r="H160" s="84"/>
      <c r="I160" s="84"/>
      <c r="J160" s="84"/>
      <c r="K160" s="84"/>
      <c r="L160" s="140">
        <f>IFERROR(ROUND(AVERAGE(M160:T160),1),"")</f>
        <v>7.9</v>
      </c>
      <c r="M160" s="86">
        <v>7.91</v>
      </c>
      <c r="N160" s="86">
        <v>7.83</v>
      </c>
      <c r="O160" s="86"/>
      <c r="P160" s="86"/>
      <c r="Q160" s="86"/>
      <c r="R160" s="86"/>
      <c r="S160" s="86"/>
      <c r="T160" s="86"/>
      <c r="U160" s="142">
        <f>IFERROR(ROUND(AVERAGE(V160:AC160),1),"")</f>
        <v>1314.9</v>
      </c>
      <c r="V160" s="88">
        <v>1306.2</v>
      </c>
      <c r="W160" s="88">
        <v>1323.5</v>
      </c>
      <c r="X160" s="88"/>
      <c r="Y160" s="88"/>
      <c r="Z160" s="88"/>
      <c r="AA160" s="88"/>
      <c r="AB160" s="88"/>
      <c r="AC160" s="88"/>
      <c r="AD160" s="142" t="str">
        <f>IFERROR(ROUND(AVERAGE(AE160:AL160),1),"")</f>
        <v/>
      </c>
      <c r="AE160" s="88"/>
      <c r="AF160" s="88"/>
      <c r="AG160" s="88"/>
      <c r="AH160" s="88"/>
      <c r="AI160" s="88"/>
      <c r="AJ160" s="88"/>
      <c r="AK160" s="88"/>
      <c r="AL160" s="88"/>
      <c r="AM160" s="88">
        <v>51.265341587922236</v>
      </c>
      <c r="AN160" s="88">
        <v>92.07</v>
      </c>
      <c r="AO160" s="89"/>
      <c r="AP160" s="90"/>
      <c r="AQ160" s="146" t="str">
        <f t="shared" si="45"/>
        <v/>
      </c>
      <c r="AR160" s="146" t="str">
        <f t="shared" si="46"/>
        <v/>
      </c>
      <c r="AS160" s="147">
        <v>20</v>
      </c>
      <c r="AT160" s="148">
        <v>13.8</v>
      </c>
      <c r="AU160" s="149">
        <v>8.1499999999999986</v>
      </c>
      <c r="AV160" s="146">
        <f t="shared" si="47"/>
        <v>59.057971014492736</v>
      </c>
      <c r="AW160" s="146">
        <f t="shared" si="48"/>
        <v>40.942028985507264</v>
      </c>
      <c r="AX160" s="138" t="str">
        <f>IFERROR((1-((AV160*AR160)/(AW160*AQ160)))*100,"")</f>
        <v/>
      </c>
      <c r="AY160" s="95">
        <v>81.05</v>
      </c>
      <c r="AZ160" s="96">
        <v>65.39500000000001</v>
      </c>
      <c r="BA160" s="96"/>
      <c r="BB160" s="96">
        <v>47.5</v>
      </c>
      <c r="BC160" s="96"/>
      <c r="BD160" s="97">
        <v>92.07</v>
      </c>
      <c r="BE160" s="142">
        <f t="shared" si="49"/>
        <v>4646</v>
      </c>
      <c r="BF160" s="98">
        <v>0</v>
      </c>
      <c r="BG160" s="98">
        <v>0</v>
      </c>
      <c r="BH160" s="98">
        <v>4646</v>
      </c>
      <c r="BI160" s="98"/>
      <c r="BJ160" s="98"/>
      <c r="BK160" s="98"/>
      <c r="BL160" s="97"/>
    </row>
    <row r="161" spans="1:64" outlineLevel="5" x14ac:dyDescent="0.3">
      <c r="A161" s="152">
        <f t="shared" si="31"/>
        <v>5</v>
      </c>
      <c r="B161" s="153">
        <f t="shared" si="50"/>
        <v>43959</v>
      </c>
      <c r="C161" s="138">
        <f>IFERROR(ROUND(AVERAGE(D161:K161),1),"")</f>
        <v>37.5</v>
      </c>
      <c r="D161" s="84">
        <v>37</v>
      </c>
      <c r="E161" s="84">
        <v>38</v>
      </c>
      <c r="F161" s="84"/>
      <c r="G161" s="84"/>
      <c r="H161" s="84"/>
      <c r="I161" s="84"/>
      <c r="J161" s="84"/>
      <c r="K161" s="84"/>
      <c r="L161" s="140">
        <f>IFERROR(ROUND(AVERAGE(M161:T161),1),"")</f>
        <v>7.9</v>
      </c>
      <c r="M161" s="86">
        <v>7.9</v>
      </c>
      <c r="N161" s="86">
        <v>7.81</v>
      </c>
      <c r="O161" s="86"/>
      <c r="P161" s="86"/>
      <c r="Q161" s="86"/>
      <c r="R161" s="86"/>
      <c r="S161" s="86"/>
      <c r="T161" s="86"/>
      <c r="U161" s="142">
        <f>IFERROR(ROUND(AVERAGE(V161:AC161),1),"")</f>
        <v>1267.3</v>
      </c>
      <c r="V161" s="88">
        <v>1293.2</v>
      </c>
      <c r="W161" s="88">
        <v>1241.3</v>
      </c>
      <c r="X161" s="88"/>
      <c r="Y161" s="88"/>
      <c r="Z161" s="88"/>
      <c r="AA161" s="88"/>
      <c r="AB161" s="88"/>
      <c r="AC161" s="88"/>
      <c r="AD161" s="142" t="str">
        <f>IFERROR(ROUND(AVERAGE(AE161:AL161),1),"")</f>
        <v/>
      </c>
      <c r="AE161" s="88"/>
      <c r="AF161" s="88"/>
      <c r="AG161" s="88"/>
      <c r="AH161" s="88"/>
      <c r="AI161" s="88"/>
      <c r="AJ161" s="88"/>
      <c r="AK161" s="88"/>
      <c r="AL161" s="88"/>
      <c r="AM161" s="88">
        <v>52.619843924191748</v>
      </c>
      <c r="AN161" s="88">
        <v>89.7</v>
      </c>
      <c r="AO161" s="89" t="s">
        <v>56</v>
      </c>
      <c r="AP161" s="90"/>
      <c r="AQ161" s="146" t="str">
        <f t="shared" si="45"/>
        <v/>
      </c>
      <c r="AR161" s="146" t="str">
        <f t="shared" si="46"/>
        <v/>
      </c>
      <c r="AS161" s="147">
        <v>20</v>
      </c>
      <c r="AT161" s="148" t="s">
        <v>56</v>
      </c>
      <c r="AU161" s="149" t="s">
        <v>56</v>
      </c>
      <c r="AV161" s="146" t="str">
        <f t="shared" si="47"/>
        <v/>
      </c>
      <c r="AW161" s="146" t="str">
        <f t="shared" si="48"/>
        <v/>
      </c>
      <c r="AX161" s="138" t="str">
        <f>IFERROR((1-((AV161*AR161)/(AW161*AQ161)))*100,"")</f>
        <v/>
      </c>
      <c r="AY161" s="95">
        <v>75.449999999999989</v>
      </c>
      <c r="AZ161" s="96">
        <v>60.9</v>
      </c>
      <c r="BA161" s="96"/>
      <c r="BB161" s="96">
        <v>78</v>
      </c>
      <c r="BC161" s="96"/>
      <c r="BD161" s="97">
        <v>89.7</v>
      </c>
      <c r="BE161" s="142">
        <f t="shared" si="49"/>
        <v>5421</v>
      </c>
      <c r="BF161" s="98">
        <v>42</v>
      </c>
      <c r="BG161" s="98">
        <v>0</v>
      </c>
      <c r="BH161" s="98">
        <v>5379</v>
      </c>
      <c r="BI161" s="98"/>
      <c r="BJ161" s="98"/>
      <c r="BK161" s="98"/>
      <c r="BL161" s="97"/>
    </row>
    <row r="162" spans="1:64" outlineLevel="5" x14ac:dyDescent="0.3">
      <c r="A162" s="152">
        <f t="shared" si="31"/>
        <v>5</v>
      </c>
      <c r="B162" s="153">
        <f t="shared" si="50"/>
        <v>43960</v>
      </c>
      <c r="C162" s="138">
        <f>IFERROR(ROUND(AVERAGE(D162:K162),1),"")</f>
        <v>38</v>
      </c>
      <c r="D162" s="84">
        <v>38</v>
      </c>
      <c r="E162" s="84">
        <v>38</v>
      </c>
      <c r="F162" s="84"/>
      <c r="G162" s="84"/>
      <c r="H162" s="84"/>
      <c r="I162" s="84"/>
      <c r="J162" s="84"/>
      <c r="K162" s="84"/>
      <c r="L162" s="140" t="str">
        <f>IFERROR(ROUND(AVERAGE(M162:T162),1),"")</f>
        <v/>
      </c>
      <c r="M162" s="86"/>
      <c r="N162" s="86"/>
      <c r="O162" s="86"/>
      <c r="P162" s="86"/>
      <c r="Q162" s="86"/>
      <c r="R162" s="86"/>
      <c r="S162" s="86"/>
      <c r="T162" s="86"/>
      <c r="U162" s="142" t="str">
        <f>IFERROR(ROUND(AVERAGE(V162:AC162),1),"")</f>
        <v/>
      </c>
      <c r="V162" s="88"/>
      <c r="W162" s="88"/>
      <c r="X162" s="88"/>
      <c r="Y162" s="88"/>
      <c r="Z162" s="88"/>
      <c r="AA162" s="88"/>
      <c r="AB162" s="88"/>
      <c r="AC162" s="88"/>
      <c r="AD162" s="142" t="str">
        <f>IFERROR(ROUND(AVERAGE(AE162:AL162),1),"")</f>
        <v/>
      </c>
      <c r="AE162" s="88"/>
      <c r="AF162" s="88"/>
      <c r="AG162" s="88"/>
      <c r="AH162" s="88"/>
      <c r="AI162" s="88"/>
      <c r="AJ162" s="88"/>
      <c r="AK162" s="88"/>
      <c r="AL162" s="88"/>
      <c r="AM162" s="88">
        <v>53.679062890935967</v>
      </c>
      <c r="AN162" s="88">
        <v>87.93</v>
      </c>
      <c r="AO162" s="89" t="s">
        <v>56</v>
      </c>
      <c r="AP162" s="90"/>
      <c r="AQ162" s="146" t="str">
        <f t="shared" si="45"/>
        <v/>
      </c>
      <c r="AR162" s="146" t="str">
        <f t="shared" si="46"/>
        <v/>
      </c>
      <c r="AS162" s="147">
        <v>0</v>
      </c>
      <c r="AT162" s="148" t="s">
        <v>56</v>
      </c>
      <c r="AU162" s="149" t="s">
        <v>56</v>
      </c>
      <c r="AV162" s="146" t="str">
        <f t="shared" si="47"/>
        <v/>
      </c>
      <c r="AW162" s="146" t="str">
        <f t="shared" si="48"/>
        <v/>
      </c>
      <c r="AX162" s="138" t="str">
        <f>IFERROR((1-((AV162*AR162)/(AW162*AQ162)))*100,"")</f>
        <v/>
      </c>
      <c r="AY162" s="95" t="s">
        <v>56</v>
      </c>
      <c r="AZ162" s="96">
        <v>62.144999999999996</v>
      </c>
      <c r="BA162" s="96"/>
      <c r="BB162" s="96">
        <v>87.5</v>
      </c>
      <c r="BC162" s="96"/>
      <c r="BD162" s="97">
        <v>87.93</v>
      </c>
      <c r="BE162" s="142">
        <f t="shared" si="49"/>
        <v>5781</v>
      </c>
      <c r="BF162" s="98">
        <v>60</v>
      </c>
      <c r="BG162" s="98">
        <v>0</v>
      </c>
      <c r="BH162" s="98">
        <v>5721</v>
      </c>
      <c r="BI162" s="98"/>
      <c r="BJ162" s="98"/>
      <c r="BK162" s="98"/>
      <c r="BL162" s="97"/>
    </row>
    <row r="163" spans="1:64" outlineLevel="5" x14ac:dyDescent="0.3">
      <c r="A163" s="152">
        <f t="shared" ref="A163:A234" si="51">MONTH(B163)</f>
        <v>5</v>
      </c>
      <c r="B163" s="153">
        <f t="shared" si="50"/>
        <v>43961</v>
      </c>
      <c r="C163" s="138">
        <f>IFERROR(ROUND(AVERAGE(D163:K163),1),"")</f>
        <v>38</v>
      </c>
      <c r="D163" s="84">
        <v>38</v>
      </c>
      <c r="E163" s="84">
        <v>38</v>
      </c>
      <c r="F163" s="84"/>
      <c r="G163" s="84"/>
      <c r="H163" s="84"/>
      <c r="I163" s="84"/>
      <c r="J163" s="84"/>
      <c r="K163" s="84"/>
      <c r="L163" s="140" t="str">
        <f>IFERROR(ROUND(AVERAGE(M163:T163),1),"")</f>
        <v/>
      </c>
      <c r="M163" s="86"/>
      <c r="N163" s="86"/>
      <c r="O163" s="86"/>
      <c r="P163" s="86"/>
      <c r="Q163" s="86"/>
      <c r="R163" s="86"/>
      <c r="S163" s="86"/>
      <c r="T163" s="86"/>
      <c r="U163" s="142" t="str">
        <f>IFERROR(ROUND(AVERAGE(V163:AC163),1),"")</f>
        <v/>
      </c>
      <c r="V163" s="88"/>
      <c r="W163" s="88"/>
      <c r="X163" s="88"/>
      <c r="Y163" s="88"/>
      <c r="Z163" s="88"/>
      <c r="AA163" s="88"/>
      <c r="AB163" s="88"/>
      <c r="AC163" s="88"/>
      <c r="AD163" s="142" t="str">
        <f>IFERROR(ROUND(AVERAGE(AE163:AL163),1),"")</f>
        <v/>
      </c>
      <c r="AE163" s="88"/>
      <c r="AF163" s="88"/>
      <c r="AG163" s="88"/>
      <c r="AH163" s="88"/>
      <c r="AI163" s="88"/>
      <c r="AJ163" s="88"/>
      <c r="AK163" s="88"/>
      <c r="AL163" s="88"/>
      <c r="AM163" s="88">
        <v>52.444444444444443</v>
      </c>
      <c r="AN163" s="88">
        <v>90</v>
      </c>
      <c r="AO163" s="89" t="s">
        <v>56</v>
      </c>
      <c r="AP163" s="90"/>
      <c r="AQ163" s="146" t="str">
        <f t="shared" si="45"/>
        <v/>
      </c>
      <c r="AR163" s="146" t="str">
        <f t="shared" si="46"/>
        <v/>
      </c>
      <c r="AS163" s="147">
        <v>0</v>
      </c>
      <c r="AT163" s="148" t="s">
        <v>56</v>
      </c>
      <c r="AU163" s="149" t="s">
        <v>56</v>
      </c>
      <c r="AV163" s="146" t="str">
        <f t="shared" si="47"/>
        <v/>
      </c>
      <c r="AW163" s="146" t="str">
        <f t="shared" si="48"/>
        <v/>
      </c>
      <c r="AX163" s="138" t="str">
        <f>IFERROR((1-((AV163*AR163)/(AW163*AQ163)))*100,"")</f>
        <v/>
      </c>
      <c r="AY163" s="95" t="s">
        <v>56</v>
      </c>
      <c r="AZ163" s="96">
        <v>62.905000000000001</v>
      </c>
      <c r="BA163" s="96"/>
      <c r="BB163" s="96">
        <v>79</v>
      </c>
      <c r="BC163" s="96"/>
      <c r="BD163" s="97">
        <v>90</v>
      </c>
      <c r="BE163" s="142">
        <f t="shared" si="49"/>
        <v>4718</v>
      </c>
      <c r="BF163" s="98">
        <v>14</v>
      </c>
      <c r="BG163" s="98">
        <v>0</v>
      </c>
      <c r="BH163" s="98">
        <v>4704</v>
      </c>
      <c r="BI163" s="98"/>
      <c r="BJ163" s="98"/>
      <c r="BK163" s="98"/>
      <c r="BL163" s="97"/>
    </row>
    <row r="164" spans="1:64" outlineLevel="5" x14ac:dyDescent="0.3">
      <c r="A164" s="152">
        <f t="shared" si="51"/>
        <v>5</v>
      </c>
      <c r="B164" s="153">
        <f t="shared" si="50"/>
        <v>43962</v>
      </c>
      <c r="C164" s="138">
        <f>IFERROR(ROUND(AVERAGE(D164:K164),1),"")</f>
        <v>38</v>
      </c>
      <c r="D164" s="84">
        <v>38</v>
      </c>
      <c r="E164" s="84">
        <v>38</v>
      </c>
      <c r="F164" s="84"/>
      <c r="G164" s="84"/>
      <c r="H164" s="84"/>
      <c r="I164" s="84"/>
      <c r="J164" s="84"/>
      <c r="K164" s="84"/>
      <c r="L164" s="140" t="str">
        <f>IFERROR(ROUND(AVERAGE(M164:T164),1),"")</f>
        <v/>
      </c>
      <c r="M164" s="86"/>
      <c r="N164" s="86"/>
      <c r="O164" s="86"/>
      <c r="P164" s="86"/>
      <c r="Q164" s="86"/>
      <c r="R164" s="86"/>
      <c r="S164" s="86"/>
      <c r="T164" s="86"/>
      <c r="U164" s="142" t="str">
        <f>IFERROR(ROUND(AVERAGE(V164:AC164),1),"")</f>
        <v/>
      </c>
      <c r="V164" s="88"/>
      <c r="W164" s="88"/>
      <c r="X164" s="88"/>
      <c r="Y164" s="88"/>
      <c r="Z164" s="88"/>
      <c r="AA164" s="88"/>
      <c r="AB164" s="88"/>
      <c r="AC164" s="88"/>
      <c r="AD164" s="142" t="str">
        <f>IFERROR(ROUND(AVERAGE(AE164:AL164),1),"")</f>
        <v/>
      </c>
      <c r="AE164" s="88"/>
      <c r="AF164" s="88"/>
      <c r="AG164" s="88"/>
      <c r="AH164" s="88"/>
      <c r="AI164" s="88"/>
      <c r="AJ164" s="88"/>
      <c r="AK164" s="88"/>
      <c r="AL164" s="88"/>
      <c r="AM164" s="88">
        <v>56.929200337715599</v>
      </c>
      <c r="AN164" s="88">
        <v>82.91</v>
      </c>
      <c r="AO164" s="89" t="s">
        <v>56</v>
      </c>
      <c r="AP164" s="90"/>
      <c r="AQ164" s="146" t="str">
        <f t="shared" si="45"/>
        <v/>
      </c>
      <c r="AR164" s="146" t="str">
        <f t="shared" si="46"/>
        <v/>
      </c>
      <c r="AS164" s="147">
        <v>20</v>
      </c>
      <c r="AT164" s="148" t="s">
        <v>56</v>
      </c>
      <c r="AU164" s="149" t="s">
        <v>56</v>
      </c>
      <c r="AV164" s="146" t="str">
        <f t="shared" si="47"/>
        <v/>
      </c>
      <c r="AW164" s="146" t="str">
        <f t="shared" si="48"/>
        <v/>
      </c>
      <c r="AX164" s="138" t="str">
        <f>IFERROR((1-((AV164*AR164)/(AW164*AQ164)))*100,"")</f>
        <v/>
      </c>
      <c r="AY164" s="95" t="s">
        <v>56</v>
      </c>
      <c r="AZ164" s="96">
        <v>58.995000000000005</v>
      </c>
      <c r="BA164" s="96"/>
      <c r="BB164" s="96">
        <v>107.5</v>
      </c>
      <c r="BC164" s="96"/>
      <c r="BD164" s="97">
        <v>82.91</v>
      </c>
      <c r="BE164" s="142">
        <f t="shared" si="49"/>
        <v>4544</v>
      </c>
      <c r="BF164" s="98">
        <v>44</v>
      </c>
      <c r="BG164" s="98">
        <v>0</v>
      </c>
      <c r="BH164" s="98">
        <v>4500</v>
      </c>
      <c r="BI164" s="98"/>
      <c r="BJ164" s="98"/>
      <c r="BK164" s="98"/>
      <c r="BL164" s="97"/>
    </row>
    <row r="165" spans="1:64" outlineLevel="5" x14ac:dyDescent="0.3">
      <c r="A165" s="152">
        <f t="shared" si="51"/>
        <v>5</v>
      </c>
      <c r="B165" s="153">
        <f t="shared" si="50"/>
        <v>43963</v>
      </c>
      <c r="C165" s="138">
        <f>IFERROR(ROUND(AVERAGE(D165:K165),1),"")</f>
        <v>38.5</v>
      </c>
      <c r="D165" s="84">
        <v>38</v>
      </c>
      <c r="E165" s="84">
        <v>39</v>
      </c>
      <c r="F165" s="84"/>
      <c r="G165" s="84"/>
      <c r="H165" s="84"/>
      <c r="I165" s="84"/>
      <c r="J165" s="84"/>
      <c r="K165" s="84"/>
      <c r="L165" s="140">
        <f>IFERROR(ROUND(AVERAGE(M165:T165),1),"")</f>
        <v>7.9</v>
      </c>
      <c r="M165" s="86">
        <v>7.92</v>
      </c>
      <c r="N165" s="86">
        <v>7.83</v>
      </c>
      <c r="O165" s="86"/>
      <c r="P165" s="86"/>
      <c r="Q165" s="86"/>
      <c r="R165" s="86"/>
      <c r="S165" s="86"/>
      <c r="T165" s="86"/>
      <c r="U165" s="142">
        <f>IFERROR(ROUND(AVERAGE(V165:AC165),1),"")</f>
        <v>1319.2</v>
      </c>
      <c r="V165" s="88">
        <v>1340.8</v>
      </c>
      <c r="W165" s="88">
        <v>1297.5</v>
      </c>
      <c r="X165" s="88"/>
      <c r="Y165" s="88"/>
      <c r="Z165" s="88"/>
      <c r="AA165" s="88"/>
      <c r="AB165" s="88"/>
      <c r="AC165" s="88"/>
      <c r="AD165" s="142" t="str">
        <f>IFERROR(ROUND(AVERAGE(AE165:AL165),1),"")</f>
        <v/>
      </c>
      <c r="AE165" s="88"/>
      <c r="AF165" s="88"/>
      <c r="AG165" s="88"/>
      <c r="AH165" s="88"/>
      <c r="AI165" s="88"/>
      <c r="AJ165" s="88"/>
      <c r="AK165" s="88"/>
      <c r="AL165" s="88"/>
      <c r="AM165" s="88">
        <v>50.352037550672065</v>
      </c>
      <c r="AN165" s="88">
        <v>93.740000000000009</v>
      </c>
      <c r="AO165" s="89" t="s">
        <v>56</v>
      </c>
      <c r="AP165" s="90"/>
      <c r="AQ165" s="146" t="str">
        <f t="shared" si="45"/>
        <v/>
      </c>
      <c r="AR165" s="146" t="str">
        <f t="shared" si="46"/>
        <v/>
      </c>
      <c r="AS165" s="147">
        <v>20</v>
      </c>
      <c r="AT165" s="148">
        <v>17.649999999999999</v>
      </c>
      <c r="AU165" s="149">
        <v>11.95</v>
      </c>
      <c r="AV165" s="146">
        <f t="shared" si="47"/>
        <v>67.705382436260621</v>
      </c>
      <c r="AW165" s="146">
        <f t="shared" si="48"/>
        <v>32.294617563739379</v>
      </c>
      <c r="AX165" s="138" t="str">
        <f>IFERROR((1-((AV165*AR165)/(AW165*AQ165)))*100,"")</f>
        <v/>
      </c>
      <c r="AY165" s="95">
        <v>74</v>
      </c>
      <c r="AZ165" s="96">
        <v>59.355000000000004</v>
      </c>
      <c r="BA165" s="96"/>
      <c r="BB165" s="96">
        <v>102</v>
      </c>
      <c r="BC165" s="96"/>
      <c r="BD165" s="97">
        <v>93.740000000000009</v>
      </c>
      <c r="BE165" s="142">
        <f t="shared" si="49"/>
        <v>5969</v>
      </c>
      <c r="BF165" s="98">
        <v>0</v>
      </c>
      <c r="BG165" s="98">
        <v>0</v>
      </c>
      <c r="BH165" s="98">
        <v>5969</v>
      </c>
      <c r="BI165" s="98"/>
      <c r="BJ165" s="98"/>
      <c r="BK165" s="98"/>
      <c r="BL165" s="97"/>
    </row>
    <row r="166" spans="1:64" outlineLevel="5" x14ac:dyDescent="0.3">
      <c r="A166" s="152">
        <f t="shared" si="51"/>
        <v>5</v>
      </c>
      <c r="B166" s="153">
        <f t="shared" si="50"/>
        <v>43964</v>
      </c>
      <c r="C166" s="138">
        <f>IFERROR(ROUND(AVERAGE(D166:K166),1),"")</f>
        <v>38</v>
      </c>
      <c r="D166" s="84">
        <v>38</v>
      </c>
      <c r="E166" s="84">
        <v>38</v>
      </c>
      <c r="F166" s="84"/>
      <c r="G166" s="84"/>
      <c r="H166" s="84"/>
      <c r="I166" s="84"/>
      <c r="J166" s="84"/>
      <c r="K166" s="84"/>
      <c r="L166" s="140">
        <f>IFERROR(ROUND(AVERAGE(M166:T166),1),"")</f>
        <v>7.9</v>
      </c>
      <c r="M166" s="86">
        <v>7.93</v>
      </c>
      <c r="N166" s="86">
        <v>7.81</v>
      </c>
      <c r="O166" s="86"/>
      <c r="P166" s="86"/>
      <c r="Q166" s="86"/>
      <c r="R166" s="86"/>
      <c r="S166" s="86"/>
      <c r="T166" s="86"/>
      <c r="U166" s="142">
        <f>IFERROR(ROUND(AVERAGE(V166:AC166),1),"")</f>
        <v>1427.3</v>
      </c>
      <c r="V166" s="88">
        <v>1513.8</v>
      </c>
      <c r="W166" s="88">
        <v>1340.8</v>
      </c>
      <c r="X166" s="88"/>
      <c r="Y166" s="88"/>
      <c r="Z166" s="88"/>
      <c r="AA166" s="88"/>
      <c r="AB166" s="88"/>
      <c r="AC166" s="88"/>
      <c r="AD166" s="142" t="str">
        <f>IFERROR(ROUND(AVERAGE(AE166:AL166),1),"")</f>
        <v/>
      </c>
      <c r="AE166" s="88"/>
      <c r="AF166" s="88"/>
      <c r="AG166" s="88"/>
      <c r="AH166" s="88"/>
      <c r="AI166" s="88"/>
      <c r="AJ166" s="88"/>
      <c r="AK166" s="88"/>
      <c r="AL166" s="88"/>
      <c r="AM166" s="88">
        <v>50.271594419000955</v>
      </c>
      <c r="AN166" s="88">
        <v>93.89</v>
      </c>
      <c r="AO166" s="89"/>
      <c r="AP166" s="90"/>
      <c r="AQ166" s="146" t="str">
        <f t="shared" si="45"/>
        <v/>
      </c>
      <c r="AR166" s="146" t="str">
        <f t="shared" si="46"/>
        <v/>
      </c>
      <c r="AS166" s="147">
        <v>20</v>
      </c>
      <c r="AT166" s="148">
        <v>15.55</v>
      </c>
      <c r="AU166" s="149">
        <v>8.8000000000000007</v>
      </c>
      <c r="AV166" s="146">
        <f t="shared" si="47"/>
        <v>56.59163987138264</v>
      </c>
      <c r="AW166" s="146">
        <f t="shared" si="48"/>
        <v>43.40836012861736</v>
      </c>
      <c r="AX166" s="138" t="str">
        <f>IFERROR((1-((AV166*AR166)/(AW166*AQ166)))*100,"")</f>
        <v/>
      </c>
      <c r="AY166" s="95">
        <v>77.150000000000006</v>
      </c>
      <c r="AZ166" s="96">
        <v>63.234999999999999</v>
      </c>
      <c r="BA166" s="96"/>
      <c r="BB166" s="96">
        <v>105.5</v>
      </c>
      <c r="BC166" s="96"/>
      <c r="BD166" s="97">
        <v>93.89</v>
      </c>
      <c r="BE166" s="142">
        <f t="shared" si="49"/>
        <v>4620</v>
      </c>
      <c r="BF166" s="98">
        <v>0</v>
      </c>
      <c r="BG166" s="98">
        <v>0</v>
      </c>
      <c r="BH166" s="98">
        <v>4620</v>
      </c>
      <c r="BI166" s="98"/>
      <c r="BJ166" s="98"/>
      <c r="BK166" s="98"/>
      <c r="BL166" s="97"/>
    </row>
    <row r="167" spans="1:64" outlineLevel="5" x14ac:dyDescent="0.3">
      <c r="A167" s="152">
        <f t="shared" si="51"/>
        <v>5</v>
      </c>
      <c r="B167" s="153">
        <f t="shared" si="50"/>
        <v>43965</v>
      </c>
      <c r="C167" s="138">
        <f>IFERROR(ROUND(AVERAGE(D167:K167),1),"")</f>
        <v>37</v>
      </c>
      <c r="D167" s="84">
        <v>37</v>
      </c>
      <c r="E167" s="84">
        <v>37</v>
      </c>
      <c r="F167" s="84"/>
      <c r="G167" s="84"/>
      <c r="H167" s="84"/>
      <c r="I167" s="84"/>
      <c r="J167" s="84"/>
      <c r="K167" s="84"/>
      <c r="L167" s="140">
        <f>IFERROR(ROUND(AVERAGE(M167:T167),1),"")</f>
        <v>7.8</v>
      </c>
      <c r="M167" s="86">
        <v>7.9</v>
      </c>
      <c r="N167" s="86">
        <v>7.79</v>
      </c>
      <c r="O167" s="86"/>
      <c r="P167" s="86"/>
      <c r="Q167" s="86"/>
      <c r="R167" s="86"/>
      <c r="S167" s="86"/>
      <c r="T167" s="86"/>
      <c r="U167" s="142">
        <f>IFERROR(ROUND(AVERAGE(V167:AC167),1),"")</f>
        <v>1427.3</v>
      </c>
      <c r="V167" s="88">
        <v>1470.5</v>
      </c>
      <c r="W167" s="88">
        <v>1384</v>
      </c>
      <c r="X167" s="88"/>
      <c r="Y167" s="88"/>
      <c r="Z167" s="88"/>
      <c r="AA167" s="88"/>
      <c r="AB167" s="88"/>
      <c r="AC167" s="88"/>
      <c r="AD167" s="142" t="str">
        <f>IFERROR(ROUND(AVERAGE(AE167:AL167),1),"")</f>
        <v/>
      </c>
      <c r="AE167" s="88"/>
      <c r="AF167" s="88"/>
      <c r="AG167" s="88"/>
      <c r="AH167" s="88"/>
      <c r="AI167" s="88"/>
      <c r="AJ167" s="88"/>
      <c r="AK167" s="88"/>
      <c r="AL167" s="88"/>
      <c r="AM167" s="88">
        <v>49.018589677017346</v>
      </c>
      <c r="AN167" s="88">
        <v>96.289999999999992</v>
      </c>
      <c r="AO167" s="89"/>
      <c r="AP167" s="90"/>
      <c r="AQ167" s="146" t="str">
        <f t="shared" si="45"/>
        <v/>
      </c>
      <c r="AR167" s="146" t="str">
        <f t="shared" si="46"/>
        <v/>
      </c>
      <c r="AS167" s="147">
        <v>0</v>
      </c>
      <c r="AT167" s="148">
        <v>14.649999999999999</v>
      </c>
      <c r="AU167" s="149">
        <v>8.5500000000000007</v>
      </c>
      <c r="AV167" s="146">
        <f t="shared" si="47"/>
        <v>58.361774744027315</v>
      </c>
      <c r="AW167" s="146">
        <f t="shared" si="48"/>
        <v>41.638225255972685</v>
      </c>
      <c r="AX167" s="138" t="str">
        <f>IFERROR((1-((AV167*AR167)/(AW167*AQ167)))*100,"")</f>
        <v/>
      </c>
      <c r="AY167" s="95">
        <v>79.400000000000006</v>
      </c>
      <c r="AZ167" s="96">
        <v>62.445</v>
      </c>
      <c r="BA167" s="96"/>
      <c r="BB167" s="96">
        <v>90</v>
      </c>
      <c r="BC167" s="96"/>
      <c r="BD167" s="97">
        <v>96.289999999999992</v>
      </c>
      <c r="BE167" s="142">
        <f t="shared" si="49"/>
        <v>5035</v>
      </c>
      <c r="BF167" s="98">
        <v>23</v>
      </c>
      <c r="BG167" s="98">
        <v>0</v>
      </c>
      <c r="BH167" s="98">
        <v>5012</v>
      </c>
      <c r="BI167" s="98"/>
      <c r="BJ167" s="98"/>
      <c r="BK167" s="98"/>
      <c r="BL167" s="97"/>
    </row>
    <row r="168" spans="1:64" outlineLevel="5" x14ac:dyDescent="0.3">
      <c r="A168" s="152">
        <f t="shared" si="51"/>
        <v>5</v>
      </c>
      <c r="B168" s="153">
        <f t="shared" si="50"/>
        <v>43966</v>
      </c>
      <c r="C168" s="138">
        <f>IFERROR(ROUND(AVERAGE(D168:K168),1),"")</f>
        <v>37</v>
      </c>
      <c r="D168" s="84">
        <v>37</v>
      </c>
      <c r="E168" s="84">
        <v>37</v>
      </c>
      <c r="F168" s="84"/>
      <c r="G168" s="84"/>
      <c r="H168" s="84"/>
      <c r="I168" s="84"/>
      <c r="J168" s="84"/>
      <c r="K168" s="84"/>
      <c r="L168" s="140">
        <f>IFERROR(ROUND(AVERAGE(M168:T168),1),"")</f>
        <v>7.8</v>
      </c>
      <c r="M168" s="86">
        <v>7.89</v>
      </c>
      <c r="N168" s="86">
        <v>7.78</v>
      </c>
      <c r="O168" s="86"/>
      <c r="P168" s="86"/>
      <c r="Q168" s="86"/>
      <c r="R168" s="86"/>
      <c r="S168" s="86"/>
      <c r="T168" s="86"/>
      <c r="U168" s="142">
        <f>IFERROR(ROUND(AVERAGE(V168:AC168),1),"")</f>
        <v>1427.3</v>
      </c>
      <c r="V168" s="88">
        <v>1557</v>
      </c>
      <c r="W168" s="88">
        <v>1297.5</v>
      </c>
      <c r="X168" s="88"/>
      <c r="Y168" s="88"/>
      <c r="Z168" s="88"/>
      <c r="AA168" s="88"/>
      <c r="AB168" s="88"/>
      <c r="AC168" s="88"/>
      <c r="AD168" s="142" t="str">
        <f>IFERROR(ROUND(AVERAGE(AE168:AL168),1),"")</f>
        <v/>
      </c>
      <c r="AE168" s="88"/>
      <c r="AF168" s="88"/>
      <c r="AG168" s="88"/>
      <c r="AH168" s="88"/>
      <c r="AI168" s="88"/>
      <c r="AJ168" s="88"/>
      <c r="AK168" s="88"/>
      <c r="AL168" s="88"/>
      <c r="AM168" s="88">
        <v>50.497485824328663</v>
      </c>
      <c r="AN168" s="88">
        <v>93.47</v>
      </c>
      <c r="AO168" s="89">
        <v>15.6</v>
      </c>
      <c r="AP168" s="90">
        <v>12.573599999999999</v>
      </c>
      <c r="AQ168" s="146">
        <f t="shared" si="45"/>
        <v>80.599999999999994</v>
      </c>
      <c r="AR168" s="146">
        <f t="shared" si="46"/>
        <v>19.400000000000006</v>
      </c>
      <c r="AS168" s="147">
        <v>10</v>
      </c>
      <c r="AT168" s="148" t="s">
        <v>56</v>
      </c>
      <c r="AU168" s="149" t="s">
        <v>56</v>
      </c>
      <c r="AV168" s="146" t="str">
        <f t="shared" si="47"/>
        <v/>
      </c>
      <c r="AW168" s="146" t="str">
        <f t="shared" si="48"/>
        <v/>
      </c>
      <c r="AX168" s="138" t="str">
        <f>IFERROR((1-((AV168*AR168)/(AW168*AQ168)))*100,"")</f>
        <v/>
      </c>
      <c r="AY168" s="95">
        <v>78.55</v>
      </c>
      <c r="AZ168" s="96">
        <v>62.084999999999994</v>
      </c>
      <c r="BA168" s="96"/>
      <c r="BB168" s="96">
        <v>88.5</v>
      </c>
      <c r="BC168" s="96"/>
      <c r="BD168" s="97">
        <v>93.47</v>
      </c>
      <c r="BE168" s="142">
        <f t="shared" si="49"/>
        <v>5407</v>
      </c>
      <c r="BF168" s="98">
        <v>81</v>
      </c>
      <c r="BG168" s="98">
        <v>0</v>
      </c>
      <c r="BH168" s="98">
        <v>5326</v>
      </c>
      <c r="BI168" s="98"/>
      <c r="BJ168" s="98"/>
      <c r="BK168" s="98"/>
      <c r="BL168" s="97"/>
    </row>
    <row r="169" spans="1:64" outlineLevel="5" x14ac:dyDescent="0.3">
      <c r="A169" s="152">
        <f t="shared" si="51"/>
        <v>5</v>
      </c>
      <c r="B169" s="153">
        <f t="shared" si="50"/>
        <v>43967</v>
      </c>
      <c r="C169" s="138">
        <f>IFERROR(ROUND(AVERAGE(D169:K169),1),"")</f>
        <v>38</v>
      </c>
      <c r="D169" s="84">
        <v>38</v>
      </c>
      <c r="E169" s="84">
        <v>38</v>
      </c>
      <c r="F169" s="84"/>
      <c r="G169" s="84"/>
      <c r="H169" s="84"/>
      <c r="I169" s="84"/>
      <c r="J169" s="84"/>
      <c r="K169" s="84"/>
      <c r="L169" s="140" t="str">
        <f>IFERROR(ROUND(AVERAGE(M169:T169),1),"")</f>
        <v/>
      </c>
      <c r="M169" s="86"/>
      <c r="N169" s="86"/>
      <c r="O169" s="86"/>
      <c r="P169" s="86"/>
      <c r="Q169" s="86"/>
      <c r="R169" s="86"/>
      <c r="S169" s="86"/>
      <c r="T169" s="86"/>
      <c r="U169" s="142" t="str">
        <f>IFERROR(ROUND(AVERAGE(V169:AC169),1),"")</f>
        <v/>
      </c>
      <c r="V169" s="88"/>
      <c r="W169" s="88"/>
      <c r="X169" s="88"/>
      <c r="Y169" s="88"/>
      <c r="Z169" s="88"/>
      <c r="AA169" s="88"/>
      <c r="AB169" s="88"/>
      <c r="AC169" s="88"/>
      <c r="AD169" s="142" t="str">
        <f>IFERROR(ROUND(AVERAGE(AE169:AL169),1),"")</f>
        <v/>
      </c>
      <c r="AE169" s="88"/>
      <c r="AF169" s="88"/>
      <c r="AG169" s="88"/>
      <c r="AH169" s="88"/>
      <c r="AI169" s="88"/>
      <c r="AJ169" s="88"/>
      <c r="AK169" s="88"/>
      <c r="AL169" s="88"/>
      <c r="AM169" s="88">
        <v>44.888254873989538</v>
      </c>
      <c r="AN169" s="88">
        <v>105.15</v>
      </c>
      <c r="AO169" s="89" t="s">
        <v>56</v>
      </c>
      <c r="AP169" s="90" t="s">
        <v>56</v>
      </c>
      <c r="AQ169" s="146" t="str">
        <f t="shared" si="45"/>
        <v/>
      </c>
      <c r="AR169" s="146" t="str">
        <f t="shared" si="46"/>
        <v/>
      </c>
      <c r="AS169" s="147">
        <v>10</v>
      </c>
      <c r="AT169" s="148" t="s">
        <v>56</v>
      </c>
      <c r="AU169" s="149" t="s">
        <v>56</v>
      </c>
      <c r="AV169" s="146" t="str">
        <f t="shared" si="47"/>
        <v/>
      </c>
      <c r="AW169" s="146" t="str">
        <f t="shared" si="48"/>
        <v/>
      </c>
      <c r="AX169" s="138" t="str">
        <f>IFERROR((1-((AV169*AR169)/(AW169*AQ169)))*100,"")</f>
        <v/>
      </c>
      <c r="AY169" s="95" t="s">
        <v>56</v>
      </c>
      <c r="AZ169" s="96">
        <v>62.984999999999999</v>
      </c>
      <c r="BA169" s="96"/>
      <c r="BB169" s="96">
        <v>100.5</v>
      </c>
      <c r="BC169" s="96"/>
      <c r="BD169" s="97">
        <v>105.15</v>
      </c>
      <c r="BE169" s="142">
        <f t="shared" si="49"/>
        <v>3360</v>
      </c>
      <c r="BF169" s="98">
        <v>38</v>
      </c>
      <c r="BG169" s="98">
        <v>0</v>
      </c>
      <c r="BH169" s="98">
        <v>3322</v>
      </c>
      <c r="BI169" s="98"/>
      <c r="BJ169" s="98"/>
      <c r="BK169" s="98"/>
      <c r="BL169" s="97"/>
    </row>
    <row r="170" spans="1:64" outlineLevel="5" x14ac:dyDescent="0.3">
      <c r="A170" s="152">
        <f t="shared" si="51"/>
        <v>5</v>
      </c>
      <c r="B170" s="153">
        <f t="shared" si="50"/>
        <v>43968</v>
      </c>
      <c r="C170" s="138">
        <f>IFERROR(ROUND(AVERAGE(D170:K170),1),"")</f>
        <v>38</v>
      </c>
      <c r="D170" s="84">
        <v>38</v>
      </c>
      <c r="E170" s="84">
        <v>38</v>
      </c>
      <c r="F170" s="84"/>
      <c r="G170" s="84"/>
      <c r="H170" s="84"/>
      <c r="I170" s="84"/>
      <c r="J170" s="84"/>
      <c r="K170" s="84"/>
      <c r="L170" s="140" t="str">
        <f>IFERROR(ROUND(AVERAGE(M170:T170),1),"")</f>
        <v/>
      </c>
      <c r="M170" s="86"/>
      <c r="N170" s="86"/>
      <c r="O170" s="86"/>
      <c r="P170" s="86"/>
      <c r="Q170" s="86"/>
      <c r="R170" s="86"/>
      <c r="S170" s="86"/>
      <c r="T170" s="86"/>
      <c r="U170" s="142" t="str">
        <f>IFERROR(ROUND(AVERAGE(V170:AC170),1),"")</f>
        <v/>
      </c>
      <c r="V170" s="88"/>
      <c r="W170" s="88"/>
      <c r="X170" s="88"/>
      <c r="Y170" s="88"/>
      <c r="Z170" s="88"/>
      <c r="AA170" s="88"/>
      <c r="AB170" s="88"/>
      <c r="AC170" s="88"/>
      <c r="AD170" s="142" t="str">
        <f>IFERROR(ROUND(AVERAGE(AE170:AL170),1),"")</f>
        <v/>
      </c>
      <c r="AE170" s="88"/>
      <c r="AF170" s="88"/>
      <c r="AG170" s="88"/>
      <c r="AH170" s="88"/>
      <c r="AI170" s="88"/>
      <c r="AJ170" s="88"/>
      <c r="AK170" s="88"/>
      <c r="AL170" s="88"/>
      <c r="AM170" s="88">
        <v>49.684210526315788</v>
      </c>
      <c r="AN170" s="88">
        <v>95</v>
      </c>
      <c r="AO170" s="89" t="s">
        <v>56</v>
      </c>
      <c r="AP170" s="90" t="s">
        <v>56</v>
      </c>
      <c r="AQ170" s="146" t="str">
        <f t="shared" si="45"/>
        <v/>
      </c>
      <c r="AR170" s="146" t="str">
        <f t="shared" si="46"/>
        <v/>
      </c>
      <c r="AS170" s="147">
        <v>0</v>
      </c>
      <c r="AT170" s="148" t="s">
        <v>56</v>
      </c>
      <c r="AU170" s="149" t="s">
        <v>56</v>
      </c>
      <c r="AV170" s="146" t="str">
        <f t="shared" si="47"/>
        <v/>
      </c>
      <c r="AW170" s="146" t="str">
        <f t="shared" si="48"/>
        <v/>
      </c>
      <c r="AX170" s="138" t="str">
        <f>IFERROR((1-((AV170*AR170)/(AW170*AQ170)))*100,"")</f>
        <v/>
      </c>
      <c r="AY170" s="95" t="s">
        <v>56</v>
      </c>
      <c r="AZ170" s="96">
        <v>63.274999999999999</v>
      </c>
      <c r="BA170" s="96"/>
      <c r="BB170" s="96">
        <v>86.5</v>
      </c>
      <c r="BC170" s="96"/>
      <c r="BD170" s="97">
        <v>95</v>
      </c>
      <c r="BE170" s="142">
        <f t="shared" si="49"/>
        <v>2326</v>
      </c>
      <c r="BF170" s="98">
        <v>46</v>
      </c>
      <c r="BG170" s="98">
        <v>0</v>
      </c>
      <c r="BH170" s="98">
        <v>2280</v>
      </c>
      <c r="BI170" s="98"/>
      <c r="BJ170" s="98"/>
      <c r="BK170" s="98"/>
      <c r="BL170" s="97"/>
    </row>
    <row r="171" spans="1:64" outlineLevel="5" x14ac:dyDescent="0.3">
      <c r="A171" s="152">
        <f t="shared" si="51"/>
        <v>5</v>
      </c>
      <c r="B171" s="153">
        <f t="shared" si="50"/>
        <v>43969</v>
      </c>
      <c r="C171" s="138">
        <f>IFERROR(ROUND(AVERAGE(D171:K171),1),"")</f>
        <v>39</v>
      </c>
      <c r="D171" s="84">
        <v>39</v>
      </c>
      <c r="E171" s="84">
        <v>39</v>
      </c>
      <c r="F171" s="84"/>
      <c r="G171" s="84"/>
      <c r="H171" s="84"/>
      <c r="I171" s="84"/>
      <c r="J171" s="84"/>
      <c r="K171" s="84"/>
      <c r="L171" s="140">
        <f>IFERROR(ROUND(AVERAGE(M171:T171),1),"")</f>
        <v>7.8</v>
      </c>
      <c r="M171" s="86">
        <v>7.9</v>
      </c>
      <c r="N171" s="86">
        <v>7.78</v>
      </c>
      <c r="O171" s="86"/>
      <c r="P171" s="86"/>
      <c r="Q171" s="86"/>
      <c r="R171" s="86"/>
      <c r="S171" s="86"/>
      <c r="T171" s="86"/>
      <c r="U171" s="142">
        <f>IFERROR(ROUND(AVERAGE(V171:AC171),1),"")</f>
        <v>1211.0999999999999</v>
      </c>
      <c r="V171" s="88">
        <v>1167.8</v>
      </c>
      <c r="W171" s="88">
        <v>1254.3</v>
      </c>
      <c r="X171" s="88"/>
      <c r="Y171" s="88"/>
      <c r="Z171" s="88"/>
      <c r="AA171" s="88"/>
      <c r="AB171" s="88"/>
      <c r="AC171" s="88"/>
      <c r="AD171" s="142" t="str">
        <f>IFERROR(ROUND(AVERAGE(AE171:AL171),1),"")</f>
        <v/>
      </c>
      <c r="AE171" s="88"/>
      <c r="AF171" s="88"/>
      <c r="AG171" s="88"/>
      <c r="AH171" s="88"/>
      <c r="AI171" s="88"/>
      <c r="AJ171" s="88"/>
      <c r="AK171" s="88"/>
      <c r="AL171" s="88"/>
      <c r="AM171" s="88">
        <v>57.267653482164519</v>
      </c>
      <c r="AN171" s="88">
        <v>82.42</v>
      </c>
      <c r="AO171" s="89" t="s">
        <v>56</v>
      </c>
      <c r="AP171" s="90" t="s">
        <v>56</v>
      </c>
      <c r="AQ171" s="146" t="str">
        <f t="shared" si="45"/>
        <v/>
      </c>
      <c r="AR171" s="146" t="str">
        <f t="shared" si="46"/>
        <v/>
      </c>
      <c r="AS171" s="147">
        <v>10</v>
      </c>
      <c r="AT171" s="148">
        <v>13.600000000000001</v>
      </c>
      <c r="AU171" s="149">
        <v>9.6</v>
      </c>
      <c r="AV171" s="146">
        <f t="shared" si="47"/>
        <v>70.588235294117638</v>
      </c>
      <c r="AW171" s="146">
        <f t="shared" si="48"/>
        <v>29.411764705882362</v>
      </c>
      <c r="AX171" s="138" t="str">
        <f>IFERROR((1-((AV171*AR171)/(AW171*AQ171)))*100,"")</f>
        <v/>
      </c>
      <c r="AY171" s="95">
        <v>71.050000000000011</v>
      </c>
      <c r="AZ171" s="96">
        <v>62.87</v>
      </c>
      <c r="BA171" s="96"/>
      <c r="BB171" s="96">
        <v>74</v>
      </c>
      <c r="BC171" s="96"/>
      <c r="BD171" s="97">
        <v>82.42</v>
      </c>
      <c r="BE171" s="142">
        <f t="shared" si="49"/>
        <v>3308</v>
      </c>
      <c r="BF171" s="98">
        <v>0</v>
      </c>
      <c r="BG171" s="98">
        <v>0</v>
      </c>
      <c r="BH171" s="98">
        <v>3308</v>
      </c>
      <c r="BI171" s="98"/>
      <c r="BJ171" s="98"/>
      <c r="BK171" s="98"/>
      <c r="BL171" s="97"/>
    </row>
    <row r="172" spans="1:64" outlineLevel="5" x14ac:dyDescent="0.3">
      <c r="A172" s="152">
        <f t="shared" si="51"/>
        <v>5</v>
      </c>
      <c r="B172" s="153">
        <f t="shared" si="50"/>
        <v>43970</v>
      </c>
      <c r="C172" s="138">
        <f>IFERROR(ROUND(AVERAGE(D172:K172),1),"")</f>
        <v>39</v>
      </c>
      <c r="D172" s="84">
        <v>39</v>
      </c>
      <c r="E172" s="84">
        <v>39</v>
      </c>
      <c r="F172" s="84"/>
      <c r="G172" s="84"/>
      <c r="H172" s="84"/>
      <c r="I172" s="84"/>
      <c r="J172" s="84"/>
      <c r="K172" s="84"/>
      <c r="L172" s="140">
        <f>IFERROR(ROUND(AVERAGE(M172:T172),1),"")</f>
        <v>7.8</v>
      </c>
      <c r="M172" s="86">
        <v>7.88</v>
      </c>
      <c r="N172" s="86">
        <v>7.81</v>
      </c>
      <c r="O172" s="86"/>
      <c r="P172" s="86"/>
      <c r="Q172" s="86"/>
      <c r="R172" s="86"/>
      <c r="S172" s="86"/>
      <c r="T172" s="86"/>
      <c r="U172" s="142">
        <f>IFERROR(ROUND(AVERAGE(V172:AC172),1),"")</f>
        <v>1038.0999999999999</v>
      </c>
      <c r="V172" s="88">
        <v>994.8</v>
      </c>
      <c r="W172" s="88">
        <v>1081.3</v>
      </c>
      <c r="X172" s="88"/>
      <c r="Y172" s="88"/>
      <c r="Z172" s="88"/>
      <c r="AA172" s="88"/>
      <c r="AB172" s="88"/>
      <c r="AC172" s="88"/>
      <c r="AD172" s="142" t="str">
        <f>IFERROR(ROUND(AVERAGE(AE172:AL172),1),"")</f>
        <v/>
      </c>
      <c r="AE172" s="88"/>
      <c r="AF172" s="88"/>
      <c r="AG172" s="88"/>
      <c r="AH172" s="88"/>
      <c r="AI172" s="88"/>
      <c r="AJ172" s="88"/>
      <c r="AK172" s="88"/>
      <c r="AL172" s="88"/>
      <c r="AM172" s="88">
        <v>47.957732168258481</v>
      </c>
      <c r="AN172" s="88">
        <v>98.42</v>
      </c>
      <c r="AO172" s="89" t="s">
        <v>56</v>
      </c>
      <c r="AP172" s="90"/>
      <c r="AQ172" s="146" t="str">
        <f t="shared" si="45"/>
        <v/>
      </c>
      <c r="AR172" s="146" t="str">
        <f t="shared" si="46"/>
        <v/>
      </c>
      <c r="AS172" s="147">
        <v>10</v>
      </c>
      <c r="AT172" s="148">
        <v>13.649999999999999</v>
      </c>
      <c r="AU172" s="149">
        <v>7.75</v>
      </c>
      <c r="AV172" s="146">
        <f t="shared" si="47"/>
        <v>56.776556776556788</v>
      </c>
      <c r="AW172" s="146">
        <f t="shared" si="48"/>
        <v>43.223443223443212</v>
      </c>
      <c r="AX172" s="138" t="str">
        <f>IFERROR((1-((AV172*AR172)/(AW172*AQ172)))*100,"")</f>
        <v/>
      </c>
      <c r="AY172" s="95">
        <v>79.099999999999994</v>
      </c>
      <c r="AZ172" s="96">
        <v>53.875</v>
      </c>
      <c r="BA172" s="96"/>
      <c r="BB172" s="96">
        <v>39</v>
      </c>
      <c r="BC172" s="96"/>
      <c r="BD172" s="97">
        <v>98.42</v>
      </c>
      <c r="BE172" s="142">
        <f t="shared" si="49"/>
        <v>4828</v>
      </c>
      <c r="BF172" s="98">
        <v>0</v>
      </c>
      <c r="BG172" s="98">
        <v>0</v>
      </c>
      <c r="BH172" s="98">
        <v>4828</v>
      </c>
      <c r="BI172" s="98"/>
      <c r="BJ172" s="98"/>
      <c r="BK172" s="98"/>
      <c r="BL172" s="97"/>
    </row>
    <row r="173" spans="1:64" outlineLevel="5" x14ac:dyDescent="0.3">
      <c r="A173" s="152">
        <f t="shared" si="51"/>
        <v>5</v>
      </c>
      <c r="B173" s="153">
        <f t="shared" si="50"/>
        <v>43971</v>
      </c>
      <c r="C173" s="138">
        <f>IFERROR(ROUND(AVERAGE(D173:K173),1),"")</f>
        <v>39</v>
      </c>
      <c r="D173" s="84">
        <v>39</v>
      </c>
      <c r="E173" s="84">
        <v>39</v>
      </c>
      <c r="F173" s="84"/>
      <c r="G173" s="84"/>
      <c r="H173" s="84"/>
      <c r="I173" s="84"/>
      <c r="J173" s="84"/>
      <c r="K173" s="84"/>
      <c r="L173" s="140">
        <f>IFERROR(ROUND(AVERAGE(M173:T173),1),"")</f>
        <v>7.9</v>
      </c>
      <c r="M173" s="86">
        <v>7.91</v>
      </c>
      <c r="N173" s="86">
        <v>7.88</v>
      </c>
      <c r="O173" s="86"/>
      <c r="P173" s="86"/>
      <c r="Q173" s="86"/>
      <c r="R173" s="86"/>
      <c r="S173" s="86"/>
      <c r="T173" s="86"/>
      <c r="U173" s="142">
        <f>IFERROR(ROUND(AVERAGE(V173:AC173),1),"")</f>
        <v>1297.5999999999999</v>
      </c>
      <c r="V173" s="88">
        <v>1340.8</v>
      </c>
      <c r="W173" s="88">
        <v>1254.3</v>
      </c>
      <c r="X173" s="88"/>
      <c r="Y173" s="88"/>
      <c r="Z173" s="88"/>
      <c r="AA173" s="88"/>
      <c r="AB173" s="88"/>
      <c r="AC173" s="88"/>
      <c r="AD173" s="142" t="str">
        <f>IFERROR(ROUND(AVERAGE(AE173:AL173),1),"")</f>
        <v/>
      </c>
      <c r="AE173" s="88"/>
      <c r="AF173" s="88"/>
      <c r="AG173" s="88"/>
      <c r="AH173" s="88"/>
      <c r="AI173" s="88"/>
      <c r="AJ173" s="88"/>
      <c r="AK173" s="88"/>
      <c r="AL173" s="88"/>
      <c r="AM173" s="88">
        <v>51.703362909409577</v>
      </c>
      <c r="AN173" s="88">
        <v>91.289999999999992</v>
      </c>
      <c r="AO173" s="89"/>
      <c r="AP173" s="90"/>
      <c r="AQ173" s="146" t="str">
        <f t="shared" si="45"/>
        <v/>
      </c>
      <c r="AR173" s="146" t="str">
        <f t="shared" si="46"/>
        <v/>
      </c>
      <c r="AS173" s="147">
        <v>10</v>
      </c>
      <c r="AT173" s="148">
        <v>17.2</v>
      </c>
      <c r="AU173" s="149">
        <v>10.3</v>
      </c>
      <c r="AV173" s="146">
        <f t="shared" si="47"/>
        <v>59.883720930232563</v>
      </c>
      <c r="AW173" s="146">
        <f t="shared" si="48"/>
        <v>40.116279069767437</v>
      </c>
      <c r="AX173" s="138" t="str">
        <f>IFERROR((1-((AV173*AR173)/(AW173*AQ173)))*100,"")</f>
        <v/>
      </c>
      <c r="AY173" s="95">
        <v>75.099999999999994</v>
      </c>
      <c r="AZ173" s="96">
        <v>62.430000000000007</v>
      </c>
      <c r="BA173" s="96"/>
      <c r="BB173" s="96">
        <v>102.5</v>
      </c>
      <c r="BC173" s="96"/>
      <c r="BD173" s="97">
        <v>91.289999999999992</v>
      </c>
      <c r="BE173" s="142">
        <f t="shared" si="49"/>
        <v>4194</v>
      </c>
      <c r="BF173" s="98">
        <v>0</v>
      </c>
      <c r="BG173" s="98">
        <v>0</v>
      </c>
      <c r="BH173" s="98">
        <v>4194</v>
      </c>
      <c r="BI173" s="98"/>
      <c r="BJ173" s="98"/>
      <c r="BK173" s="98"/>
      <c r="BL173" s="97"/>
    </row>
    <row r="174" spans="1:64" outlineLevel="5" x14ac:dyDescent="0.3">
      <c r="A174" s="152">
        <f t="shared" si="51"/>
        <v>5</v>
      </c>
      <c r="B174" s="153">
        <f t="shared" si="50"/>
        <v>43972</v>
      </c>
      <c r="C174" s="138">
        <f>IFERROR(ROUND(AVERAGE(D174:K174),1),"")</f>
        <v>38</v>
      </c>
      <c r="D174" s="84">
        <v>38</v>
      </c>
      <c r="E174" s="84">
        <v>38</v>
      </c>
      <c r="F174" s="84"/>
      <c r="G174" s="84"/>
      <c r="H174" s="84"/>
      <c r="I174" s="84"/>
      <c r="J174" s="84"/>
      <c r="K174" s="84"/>
      <c r="L174" s="140">
        <f>IFERROR(ROUND(AVERAGE(M174:T174),1),"")</f>
        <v>7.9</v>
      </c>
      <c r="M174" s="86">
        <v>7.92</v>
      </c>
      <c r="N174" s="86">
        <v>7.89</v>
      </c>
      <c r="O174" s="86"/>
      <c r="P174" s="86"/>
      <c r="Q174" s="86"/>
      <c r="R174" s="86"/>
      <c r="S174" s="86"/>
      <c r="T174" s="86"/>
      <c r="U174" s="142">
        <f>IFERROR(ROUND(AVERAGE(V174:AC174),1),"")</f>
        <v>1351.6</v>
      </c>
      <c r="V174" s="88">
        <v>1319.1</v>
      </c>
      <c r="W174" s="88">
        <v>1384</v>
      </c>
      <c r="X174" s="88"/>
      <c r="Y174" s="88"/>
      <c r="Z174" s="88"/>
      <c r="AA174" s="88"/>
      <c r="AB174" s="88"/>
      <c r="AC174" s="88"/>
      <c r="AD174" s="142" t="str">
        <f>IFERROR(ROUND(AVERAGE(AE174:AL174),1),"")</f>
        <v/>
      </c>
      <c r="AE174" s="88"/>
      <c r="AF174" s="88"/>
      <c r="AG174" s="88"/>
      <c r="AH174" s="88"/>
      <c r="AI174" s="88"/>
      <c r="AJ174" s="88"/>
      <c r="AK174" s="88"/>
      <c r="AL174" s="88"/>
      <c r="AM174" s="88">
        <v>45.280122793553339</v>
      </c>
      <c r="AN174" s="88">
        <v>104.24</v>
      </c>
      <c r="AO174" s="89" t="s">
        <v>56</v>
      </c>
      <c r="AP174" s="90"/>
      <c r="AQ174" s="146" t="str">
        <f t="shared" si="45"/>
        <v/>
      </c>
      <c r="AR174" s="146" t="str">
        <f t="shared" si="46"/>
        <v/>
      </c>
      <c r="AS174" s="147">
        <v>10</v>
      </c>
      <c r="AT174" s="148">
        <v>16</v>
      </c>
      <c r="AU174" s="149">
        <v>9.5</v>
      </c>
      <c r="AV174" s="146">
        <f t="shared" si="47"/>
        <v>59.375</v>
      </c>
      <c r="AW174" s="146">
        <f t="shared" si="48"/>
        <v>40.625</v>
      </c>
      <c r="AX174" s="138" t="str">
        <f>IFERROR((1-((AV174*AR174)/(AW174*AQ174)))*100,"")</f>
        <v/>
      </c>
      <c r="AY174" s="95">
        <v>75.05</v>
      </c>
      <c r="AZ174" s="96">
        <v>61.975000000000001</v>
      </c>
      <c r="BA174" s="96"/>
      <c r="BB174" s="96">
        <v>110</v>
      </c>
      <c r="BC174" s="96"/>
      <c r="BD174" s="97">
        <v>104.24</v>
      </c>
      <c r="BE174" s="142">
        <f t="shared" si="49"/>
        <v>1637</v>
      </c>
      <c r="BF174" s="98">
        <v>26</v>
      </c>
      <c r="BG174" s="98">
        <v>0</v>
      </c>
      <c r="BH174" s="98">
        <v>1611</v>
      </c>
      <c r="BI174" s="98"/>
      <c r="BJ174" s="98"/>
      <c r="BK174" s="98"/>
      <c r="BL174" s="97"/>
    </row>
    <row r="175" spans="1:64" outlineLevel="5" x14ac:dyDescent="0.3">
      <c r="A175" s="152">
        <f t="shared" si="51"/>
        <v>5</v>
      </c>
      <c r="B175" s="153">
        <f t="shared" si="50"/>
        <v>43973</v>
      </c>
      <c r="C175" s="138">
        <f>IFERROR(ROUND(AVERAGE(D175:K175),1),"")</f>
        <v>38</v>
      </c>
      <c r="D175" s="84">
        <v>38</v>
      </c>
      <c r="E175" s="84">
        <v>38</v>
      </c>
      <c r="F175" s="84"/>
      <c r="G175" s="84"/>
      <c r="H175" s="84"/>
      <c r="I175" s="84"/>
      <c r="J175" s="84"/>
      <c r="K175" s="84"/>
      <c r="L175" s="140" t="str">
        <f>IFERROR(ROUND(AVERAGE(M175:T175),1),"")</f>
        <v/>
      </c>
      <c r="M175" s="86"/>
      <c r="N175" s="86"/>
      <c r="O175" s="86"/>
      <c r="P175" s="86"/>
      <c r="Q175" s="86"/>
      <c r="R175" s="86"/>
      <c r="S175" s="86"/>
      <c r="T175" s="86"/>
      <c r="U175" s="142" t="str">
        <f>IFERROR(ROUND(AVERAGE(V175:AC175),1),"")</f>
        <v/>
      </c>
      <c r="V175" s="88"/>
      <c r="W175" s="88"/>
      <c r="X175" s="88"/>
      <c r="Y175" s="88"/>
      <c r="Z175" s="88"/>
      <c r="AA175" s="88"/>
      <c r="AB175" s="88"/>
      <c r="AC175" s="88"/>
      <c r="AD175" s="142" t="str">
        <f>IFERROR(ROUND(AVERAGE(AE175:AL175),1),"")</f>
        <v/>
      </c>
      <c r="AE175" s="88"/>
      <c r="AF175" s="88"/>
      <c r="AG175" s="88"/>
      <c r="AH175" s="88"/>
      <c r="AI175" s="88"/>
      <c r="AJ175" s="88"/>
      <c r="AK175" s="88"/>
      <c r="AL175" s="88"/>
      <c r="AM175" s="88">
        <v>47.223611805902955</v>
      </c>
      <c r="AN175" s="88">
        <v>99.949999999999989</v>
      </c>
      <c r="AO175" s="89">
        <v>16.8</v>
      </c>
      <c r="AP175" s="90">
        <v>13.692</v>
      </c>
      <c r="AQ175" s="146">
        <f t="shared" si="45"/>
        <v>81.5</v>
      </c>
      <c r="AR175" s="146">
        <f t="shared" si="46"/>
        <v>18.5</v>
      </c>
      <c r="AS175" s="147">
        <v>10</v>
      </c>
      <c r="AT175" s="148" t="s">
        <v>56</v>
      </c>
      <c r="AU175" s="149" t="s">
        <v>56</v>
      </c>
      <c r="AV175" s="146" t="str">
        <f t="shared" si="47"/>
        <v/>
      </c>
      <c r="AW175" s="146" t="str">
        <f t="shared" si="48"/>
        <v/>
      </c>
      <c r="AX175" s="138" t="str">
        <f>IFERROR((1-((AV175*AR175)/(AW175*AQ175)))*100,"")</f>
        <v/>
      </c>
      <c r="AY175" s="95" t="s">
        <v>56</v>
      </c>
      <c r="AZ175" s="96">
        <v>61.924999999999997</v>
      </c>
      <c r="BA175" s="96"/>
      <c r="BB175" s="96">
        <v>106.5</v>
      </c>
      <c r="BC175" s="96"/>
      <c r="BD175" s="97">
        <v>99.949999999999989</v>
      </c>
      <c r="BE175" s="142">
        <f t="shared" si="49"/>
        <v>2844</v>
      </c>
      <c r="BF175" s="98">
        <v>37</v>
      </c>
      <c r="BG175" s="98">
        <v>0</v>
      </c>
      <c r="BH175" s="98">
        <v>2807</v>
      </c>
      <c r="BI175" s="98"/>
      <c r="BJ175" s="98"/>
      <c r="BK175" s="98"/>
      <c r="BL175" s="97"/>
    </row>
    <row r="176" spans="1:64" outlineLevel="5" x14ac:dyDescent="0.3">
      <c r="A176" s="152">
        <f t="shared" si="51"/>
        <v>5</v>
      </c>
      <c r="B176" s="153">
        <f t="shared" si="50"/>
        <v>43974</v>
      </c>
      <c r="C176" s="138">
        <f>IFERROR(ROUND(AVERAGE(D176:K176),1),"")</f>
        <v>38</v>
      </c>
      <c r="D176" s="84">
        <v>38</v>
      </c>
      <c r="E176" s="84">
        <v>38</v>
      </c>
      <c r="F176" s="84"/>
      <c r="G176" s="84"/>
      <c r="H176" s="84"/>
      <c r="I176" s="84"/>
      <c r="J176" s="84"/>
      <c r="K176" s="84"/>
      <c r="L176" s="140" t="str">
        <f>IFERROR(ROUND(AVERAGE(M176:T176),1),"")</f>
        <v/>
      </c>
      <c r="M176" s="86"/>
      <c r="N176" s="86"/>
      <c r="O176" s="86"/>
      <c r="P176" s="86"/>
      <c r="Q176" s="86"/>
      <c r="R176" s="86"/>
      <c r="S176" s="86"/>
      <c r="T176" s="86"/>
      <c r="U176" s="142" t="str">
        <f>IFERROR(ROUND(AVERAGE(V176:AC176),1),"")</f>
        <v/>
      </c>
      <c r="V176" s="88"/>
      <c r="W176" s="88"/>
      <c r="X176" s="88"/>
      <c r="Y176" s="88"/>
      <c r="Z176" s="88"/>
      <c r="AA176" s="88"/>
      <c r="AB176" s="88"/>
      <c r="AC176" s="88"/>
      <c r="AD176" s="142" t="str">
        <f>IFERROR(ROUND(AVERAGE(AE176:AL176),1),"")</f>
        <v/>
      </c>
      <c r="AE176" s="88"/>
      <c r="AF176" s="88"/>
      <c r="AG176" s="88"/>
      <c r="AH176" s="88"/>
      <c r="AI176" s="88"/>
      <c r="AJ176" s="88"/>
      <c r="AK176" s="88"/>
      <c r="AL176" s="88"/>
      <c r="AM176" s="88">
        <v>45.621496230427212</v>
      </c>
      <c r="AN176" s="88">
        <v>103.46000000000001</v>
      </c>
      <c r="AO176" s="89" t="s">
        <v>56</v>
      </c>
      <c r="AP176" s="90" t="s">
        <v>56</v>
      </c>
      <c r="AQ176" s="146" t="str">
        <f t="shared" si="45"/>
        <v/>
      </c>
      <c r="AR176" s="146" t="str">
        <f t="shared" si="46"/>
        <v/>
      </c>
      <c r="AS176" s="147">
        <v>10</v>
      </c>
      <c r="AT176" s="148" t="s">
        <v>56</v>
      </c>
      <c r="AU176" s="149" t="s">
        <v>56</v>
      </c>
      <c r="AV176" s="146" t="str">
        <f t="shared" si="47"/>
        <v/>
      </c>
      <c r="AW176" s="146" t="str">
        <f t="shared" si="48"/>
        <v/>
      </c>
      <c r="AX176" s="138" t="str">
        <f>IFERROR((1-((AV176*AR176)/(AW176*AQ176)))*100,"")</f>
        <v/>
      </c>
      <c r="AY176" s="95" t="s">
        <v>56</v>
      </c>
      <c r="AZ176" s="96">
        <v>63.055000000000007</v>
      </c>
      <c r="BA176" s="96"/>
      <c r="BB176" s="96">
        <v>98.5</v>
      </c>
      <c r="BC176" s="96"/>
      <c r="BD176" s="97">
        <v>103.46000000000001</v>
      </c>
      <c r="BE176" s="142">
        <f t="shared" si="49"/>
        <v>3280</v>
      </c>
      <c r="BF176" s="98">
        <v>0</v>
      </c>
      <c r="BG176" s="98">
        <v>0</v>
      </c>
      <c r="BH176" s="98">
        <v>3280</v>
      </c>
      <c r="BI176" s="98"/>
      <c r="BJ176" s="98"/>
      <c r="BK176" s="98"/>
      <c r="BL176" s="97"/>
    </row>
    <row r="177" spans="1:64" outlineLevel="5" x14ac:dyDescent="0.3">
      <c r="A177" s="152">
        <f t="shared" si="51"/>
        <v>5</v>
      </c>
      <c r="B177" s="153">
        <f t="shared" si="50"/>
        <v>43975</v>
      </c>
      <c r="C177" s="138">
        <f>IFERROR(ROUND(AVERAGE(D177:K177),1),"")</f>
        <v>38</v>
      </c>
      <c r="D177" s="84">
        <v>38</v>
      </c>
      <c r="E177" s="84">
        <v>38</v>
      </c>
      <c r="F177" s="84"/>
      <c r="G177" s="84"/>
      <c r="H177" s="84"/>
      <c r="I177" s="84"/>
      <c r="J177" s="84"/>
      <c r="K177" s="84"/>
      <c r="L177" s="140" t="str">
        <f>IFERROR(ROUND(AVERAGE(M177:T177),1),"")</f>
        <v/>
      </c>
      <c r="M177" s="86"/>
      <c r="N177" s="86"/>
      <c r="O177" s="86"/>
      <c r="P177" s="86"/>
      <c r="Q177" s="86"/>
      <c r="R177" s="86"/>
      <c r="S177" s="86"/>
      <c r="T177" s="86"/>
      <c r="U177" s="142" t="str">
        <f>IFERROR(ROUND(AVERAGE(V177:AC177),1),"")</f>
        <v/>
      </c>
      <c r="V177" s="88"/>
      <c r="W177" s="88"/>
      <c r="X177" s="88"/>
      <c r="Y177" s="88"/>
      <c r="Z177" s="88"/>
      <c r="AA177" s="88"/>
      <c r="AB177" s="88"/>
      <c r="AC177" s="88"/>
      <c r="AD177" s="142" t="str">
        <f>IFERROR(ROUND(AVERAGE(AE177:AL177),1),"")</f>
        <v/>
      </c>
      <c r="AE177" s="88"/>
      <c r="AF177" s="88"/>
      <c r="AG177" s="88"/>
      <c r="AH177" s="88"/>
      <c r="AI177" s="88"/>
      <c r="AJ177" s="88"/>
      <c r="AK177" s="88"/>
      <c r="AL177" s="88"/>
      <c r="AM177" s="88">
        <v>47.2</v>
      </c>
      <c r="AN177" s="88">
        <v>100</v>
      </c>
      <c r="AO177" s="89" t="s">
        <v>56</v>
      </c>
      <c r="AP177" s="90" t="s">
        <v>56</v>
      </c>
      <c r="AQ177" s="146" t="str">
        <f t="shared" si="45"/>
        <v/>
      </c>
      <c r="AR177" s="146" t="str">
        <f t="shared" si="46"/>
        <v/>
      </c>
      <c r="AS177" s="147">
        <v>0</v>
      </c>
      <c r="AT177" s="148" t="s">
        <v>56</v>
      </c>
      <c r="AU177" s="149" t="s">
        <v>56</v>
      </c>
      <c r="AV177" s="146" t="str">
        <f t="shared" si="47"/>
        <v/>
      </c>
      <c r="AW177" s="146" t="str">
        <f t="shared" si="48"/>
        <v/>
      </c>
      <c r="AX177" s="138" t="str">
        <f>IFERROR((1-((AV177*AR177)/(AW177*AQ177)))*100,"")</f>
        <v/>
      </c>
      <c r="AY177" s="95" t="s">
        <v>56</v>
      </c>
      <c r="AZ177" s="96">
        <v>63.575000000000003</v>
      </c>
      <c r="BA177" s="96"/>
      <c r="BB177" s="96">
        <v>65</v>
      </c>
      <c r="BC177" s="96"/>
      <c r="BD177" s="97">
        <v>100</v>
      </c>
      <c r="BE177" s="142">
        <f t="shared" si="49"/>
        <v>3156</v>
      </c>
      <c r="BF177" s="98">
        <v>43</v>
      </c>
      <c r="BG177" s="98">
        <v>0</v>
      </c>
      <c r="BH177" s="98">
        <v>3113</v>
      </c>
      <c r="BI177" s="98"/>
      <c r="BJ177" s="98"/>
      <c r="BK177" s="98"/>
      <c r="BL177" s="97"/>
    </row>
    <row r="178" spans="1:64" outlineLevel="5" x14ac:dyDescent="0.3">
      <c r="A178" s="152">
        <f t="shared" si="51"/>
        <v>5</v>
      </c>
      <c r="B178" s="153">
        <f t="shared" si="50"/>
        <v>43976</v>
      </c>
      <c r="C178" s="138">
        <f>IFERROR(ROUND(AVERAGE(D178:K178),1),"")</f>
        <v>38</v>
      </c>
      <c r="D178" s="84">
        <v>38</v>
      </c>
      <c r="E178" s="84">
        <v>38</v>
      </c>
      <c r="F178" s="84"/>
      <c r="G178" s="84"/>
      <c r="H178" s="84"/>
      <c r="I178" s="84"/>
      <c r="J178" s="84"/>
      <c r="K178" s="84"/>
      <c r="L178" s="140">
        <f>IFERROR(ROUND(AVERAGE(M178:T178),1),"")</f>
        <v>7.9</v>
      </c>
      <c r="M178" s="86">
        <v>7.9</v>
      </c>
      <c r="N178" s="86">
        <v>7.87</v>
      </c>
      <c r="O178" s="86"/>
      <c r="P178" s="86"/>
      <c r="Q178" s="86"/>
      <c r="R178" s="86"/>
      <c r="S178" s="86"/>
      <c r="T178" s="86"/>
      <c r="U178" s="142">
        <f>IFERROR(ROUND(AVERAGE(V178:AC178),1),"")</f>
        <v>1427.3</v>
      </c>
      <c r="V178" s="88">
        <v>1513.8</v>
      </c>
      <c r="W178" s="88">
        <v>1340.8</v>
      </c>
      <c r="X178" s="88"/>
      <c r="Y178" s="88"/>
      <c r="Z178" s="88"/>
      <c r="AA178" s="88"/>
      <c r="AB178" s="88"/>
      <c r="AC178" s="88"/>
      <c r="AD178" s="142" t="str">
        <f>IFERROR(ROUND(AVERAGE(AE178:AL178),1),"")</f>
        <v/>
      </c>
      <c r="AE178" s="88"/>
      <c r="AF178" s="88"/>
      <c r="AG178" s="88"/>
      <c r="AH178" s="88"/>
      <c r="AI178" s="88"/>
      <c r="AJ178" s="88"/>
      <c r="AK178" s="88"/>
      <c r="AL178" s="88"/>
      <c r="AM178" s="88">
        <v>50.100838552170678</v>
      </c>
      <c r="AN178" s="88">
        <v>94.210000000000008</v>
      </c>
      <c r="AO178" s="89" t="s">
        <v>56</v>
      </c>
      <c r="AP178" s="90" t="s">
        <v>56</v>
      </c>
      <c r="AQ178" s="146" t="str">
        <f t="shared" si="45"/>
        <v/>
      </c>
      <c r="AR178" s="146" t="str">
        <f t="shared" si="46"/>
        <v/>
      </c>
      <c r="AS178" s="147">
        <v>20</v>
      </c>
      <c r="AT178" s="148">
        <v>15.2</v>
      </c>
      <c r="AU178" s="149">
        <v>9.5500000000000007</v>
      </c>
      <c r="AV178" s="146">
        <f t="shared" si="47"/>
        <v>62.828947368421062</v>
      </c>
      <c r="AW178" s="146">
        <f t="shared" si="48"/>
        <v>37.171052631578938</v>
      </c>
      <c r="AX178" s="138" t="str">
        <f>IFERROR((1-((AV178*AR178)/(AW178*AQ178)))*100,"")</f>
        <v/>
      </c>
      <c r="AY178" s="95">
        <v>75.550000000000011</v>
      </c>
      <c r="AZ178" s="96">
        <v>57.055</v>
      </c>
      <c r="BA178" s="96"/>
      <c r="BB178" s="96">
        <v>164</v>
      </c>
      <c r="BC178" s="96"/>
      <c r="BD178" s="97">
        <v>94.210000000000008</v>
      </c>
      <c r="BE178" s="142">
        <f t="shared" si="49"/>
        <v>5113</v>
      </c>
      <c r="BF178" s="98">
        <v>0</v>
      </c>
      <c r="BG178" s="98">
        <v>0</v>
      </c>
      <c r="BH178" s="98">
        <v>5113</v>
      </c>
      <c r="BI178" s="98"/>
      <c r="BJ178" s="98"/>
      <c r="BK178" s="98"/>
      <c r="BL178" s="97"/>
    </row>
    <row r="179" spans="1:64" outlineLevel="5" x14ac:dyDescent="0.3">
      <c r="A179" s="152">
        <f t="shared" si="51"/>
        <v>5</v>
      </c>
      <c r="B179" s="153">
        <f t="shared" si="50"/>
        <v>43977</v>
      </c>
      <c r="C179" s="138">
        <f>IFERROR(ROUND(AVERAGE(D179:K179),1),"")</f>
        <v>38.5</v>
      </c>
      <c r="D179" s="84">
        <v>38</v>
      </c>
      <c r="E179" s="84">
        <v>39</v>
      </c>
      <c r="F179" s="84"/>
      <c r="G179" s="84"/>
      <c r="H179" s="84"/>
      <c r="I179" s="84"/>
      <c r="J179" s="84"/>
      <c r="K179" s="84"/>
      <c r="L179" s="140" t="str">
        <f>IFERROR(ROUND(AVERAGE(M179:T179),1),"")</f>
        <v/>
      </c>
      <c r="M179" s="86"/>
      <c r="N179" s="86"/>
      <c r="O179" s="86"/>
      <c r="P179" s="86"/>
      <c r="Q179" s="86"/>
      <c r="R179" s="86"/>
      <c r="S179" s="86"/>
      <c r="T179" s="86"/>
      <c r="U179" s="142" t="str">
        <f>IFERROR(ROUND(AVERAGE(V179:AC179),1),"")</f>
        <v/>
      </c>
      <c r="V179" s="88"/>
      <c r="W179" s="88"/>
      <c r="X179" s="88"/>
      <c r="Y179" s="88"/>
      <c r="Z179" s="88"/>
      <c r="AA179" s="88"/>
      <c r="AB179" s="88"/>
      <c r="AC179" s="88"/>
      <c r="AD179" s="142" t="str">
        <f>IFERROR(ROUND(AVERAGE(AE179:AL179),1),"")</f>
        <v/>
      </c>
      <c r="AE179" s="88"/>
      <c r="AF179" s="88"/>
      <c r="AG179" s="88"/>
      <c r="AH179" s="88"/>
      <c r="AI179" s="88"/>
      <c r="AJ179" s="88"/>
      <c r="AK179" s="88"/>
      <c r="AL179" s="88"/>
      <c r="AM179" s="88">
        <v>44.108027287169428</v>
      </c>
      <c r="AN179" s="88">
        <v>107.00999999999999</v>
      </c>
      <c r="AO179" s="89" t="s">
        <v>56</v>
      </c>
      <c r="AP179" s="90"/>
      <c r="AQ179" s="146" t="str">
        <f t="shared" si="45"/>
        <v/>
      </c>
      <c r="AR179" s="146" t="str">
        <f t="shared" si="46"/>
        <v/>
      </c>
      <c r="AS179" s="147">
        <v>20</v>
      </c>
      <c r="AT179" s="148" t="s">
        <v>56</v>
      </c>
      <c r="AU179" s="149" t="s">
        <v>56</v>
      </c>
      <c r="AV179" s="146" t="str">
        <f t="shared" si="47"/>
        <v/>
      </c>
      <c r="AW179" s="146" t="str">
        <f t="shared" si="48"/>
        <v/>
      </c>
      <c r="AX179" s="138" t="str">
        <f>IFERROR((1-((AV179*AR179)/(AW179*AQ179)))*100,"")</f>
        <v/>
      </c>
      <c r="AY179" s="95" t="s">
        <v>56</v>
      </c>
      <c r="AZ179" s="96">
        <v>62.225000000000001</v>
      </c>
      <c r="BA179" s="96"/>
      <c r="BB179" s="96">
        <v>91</v>
      </c>
      <c r="BC179" s="96"/>
      <c r="BD179" s="97">
        <v>107.00999999999999</v>
      </c>
      <c r="BE179" s="142">
        <f t="shared" si="49"/>
        <v>4231</v>
      </c>
      <c r="BF179" s="98">
        <v>77</v>
      </c>
      <c r="BG179" s="98">
        <v>0</v>
      </c>
      <c r="BH179" s="98">
        <v>4154</v>
      </c>
      <c r="BI179" s="98"/>
      <c r="BJ179" s="98"/>
      <c r="BK179" s="98"/>
      <c r="BL179" s="97"/>
    </row>
    <row r="180" spans="1:64" outlineLevel="5" x14ac:dyDescent="0.3">
      <c r="A180" s="152">
        <f t="shared" si="51"/>
        <v>5</v>
      </c>
      <c r="B180" s="153">
        <f t="shared" si="50"/>
        <v>43978</v>
      </c>
      <c r="C180" s="138">
        <f>IFERROR(ROUND(AVERAGE(D180:K180),1),"")</f>
        <v>38.5</v>
      </c>
      <c r="D180" s="84">
        <v>38</v>
      </c>
      <c r="E180" s="84">
        <v>39</v>
      </c>
      <c r="F180" s="84"/>
      <c r="G180" s="84"/>
      <c r="H180" s="84"/>
      <c r="I180" s="84"/>
      <c r="J180" s="84"/>
      <c r="K180" s="84"/>
      <c r="L180" s="140" t="str">
        <f>IFERROR(ROUND(AVERAGE(M180:T180),1),"")</f>
        <v/>
      </c>
      <c r="M180" s="86"/>
      <c r="N180" s="86"/>
      <c r="O180" s="86"/>
      <c r="P180" s="86"/>
      <c r="Q180" s="86"/>
      <c r="R180" s="86"/>
      <c r="S180" s="86"/>
      <c r="T180" s="86"/>
      <c r="U180" s="142" t="str">
        <f>IFERROR(ROUND(AVERAGE(V180:AC180),1),"")</f>
        <v/>
      </c>
      <c r="V180" s="88"/>
      <c r="W180" s="88"/>
      <c r="X180" s="88"/>
      <c r="Y180" s="88"/>
      <c r="Z180" s="88"/>
      <c r="AA180" s="88"/>
      <c r="AB180" s="88"/>
      <c r="AC180" s="88"/>
      <c r="AD180" s="142" t="str">
        <f>IFERROR(ROUND(AVERAGE(AE180:AL180),1),"")</f>
        <v/>
      </c>
      <c r="AE180" s="88"/>
      <c r="AF180" s="88"/>
      <c r="AG180" s="88"/>
      <c r="AH180" s="88"/>
      <c r="AI180" s="88"/>
      <c r="AJ180" s="88"/>
      <c r="AK180" s="88"/>
      <c r="AL180" s="88"/>
      <c r="AM180" s="88">
        <v>42.056491134277827</v>
      </c>
      <c r="AN180" s="88">
        <v>112.22999999999999</v>
      </c>
      <c r="AO180" s="89"/>
      <c r="AP180" s="90"/>
      <c r="AQ180" s="146" t="str">
        <f t="shared" si="45"/>
        <v/>
      </c>
      <c r="AR180" s="146" t="str">
        <f t="shared" si="46"/>
        <v/>
      </c>
      <c r="AS180" s="147">
        <v>20</v>
      </c>
      <c r="AT180" s="148" t="s">
        <v>56</v>
      </c>
      <c r="AU180" s="149" t="s">
        <v>56</v>
      </c>
      <c r="AV180" s="146" t="str">
        <f t="shared" si="47"/>
        <v/>
      </c>
      <c r="AW180" s="146" t="str">
        <f t="shared" si="48"/>
        <v/>
      </c>
      <c r="AX180" s="138" t="str">
        <f>IFERROR((1-((AV180*AR180)/(AW180*AQ180)))*100,"")</f>
        <v/>
      </c>
      <c r="AY180" s="95" t="s">
        <v>56</v>
      </c>
      <c r="AZ180" s="96">
        <v>62.68</v>
      </c>
      <c r="BA180" s="96"/>
      <c r="BB180" s="96">
        <v>78.5</v>
      </c>
      <c r="BC180" s="96"/>
      <c r="BD180" s="97">
        <v>112.22999999999999</v>
      </c>
      <c r="BE180" s="142">
        <f t="shared" si="49"/>
        <v>3739</v>
      </c>
      <c r="BF180" s="98">
        <v>0</v>
      </c>
      <c r="BG180" s="98">
        <v>0</v>
      </c>
      <c r="BH180" s="98">
        <v>3739</v>
      </c>
      <c r="BI180" s="98"/>
      <c r="BJ180" s="98"/>
      <c r="BK180" s="98"/>
      <c r="BL180" s="97"/>
    </row>
    <row r="181" spans="1:64" outlineLevel="5" x14ac:dyDescent="0.3">
      <c r="A181" s="152">
        <f t="shared" si="51"/>
        <v>5</v>
      </c>
      <c r="B181" s="153">
        <f t="shared" si="50"/>
        <v>43979</v>
      </c>
      <c r="C181" s="138">
        <f>IFERROR(ROUND(AVERAGE(D181:K181),1),"")</f>
        <v>38</v>
      </c>
      <c r="D181" s="84">
        <v>38</v>
      </c>
      <c r="E181" s="84">
        <v>38</v>
      </c>
      <c r="F181" s="84"/>
      <c r="G181" s="84"/>
      <c r="H181" s="84"/>
      <c r="I181" s="84"/>
      <c r="J181" s="84"/>
      <c r="K181" s="84"/>
      <c r="L181" s="140" t="str">
        <f>IFERROR(ROUND(AVERAGE(M181:T181),1),"")</f>
        <v/>
      </c>
      <c r="M181" s="86"/>
      <c r="N181" s="86"/>
      <c r="O181" s="86"/>
      <c r="P181" s="86"/>
      <c r="Q181" s="86"/>
      <c r="R181" s="86"/>
      <c r="S181" s="86"/>
      <c r="T181" s="86"/>
      <c r="U181" s="142" t="str">
        <f>IFERROR(ROUND(AVERAGE(V181:AC181),1),"")</f>
        <v/>
      </c>
      <c r="V181" s="88"/>
      <c r="W181" s="88"/>
      <c r="X181" s="88"/>
      <c r="Y181" s="88"/>
      <c r="Z181" s="88"/>
      <c r="AA181" s="88"/>
      <c r="AB181" s="88"/>
      <c r="AC181" s="88"/>
      <c r="AD181" s="142" t="str">
        <f>IFERROR(ROUND(AVERAGE(AE181:AL181),1),"")</f>
        <v/>
      </c>
      <c r="AE181" s="88"/>
      <c r="AF181" s="88"/>
      <c r="AG181" s="88"/>
      <c r="AH181" s="88"/>
      <c r="AI181" s="88"/>
      <c r="AJ181" s="88"/>
      <c r="AK181" s="88"/>
      <c r="AL181" s="88"/>
      <c r="AM181" s="88">
        <v>42.553191489361708</v>
      </c>
      <c r="AN181" s="88">
        <v>110.91999999999999</v>
      </c>
      <c r="AO181" s="89"/>
      <c r="AP181" s="90"/>
      <c r="AQ181" s="146" t="str">
        <f t="shared" si="45"/>
        <v/>
      </c>
      <c r="AR181" s="146" t="str">
        <f t="shared" si="46"/>
        <v/>
      </c>
      <c r="AS181" s="147">
        <v>20</v>
      </c>
      <c r="AT181" s="148" t="s">
        <v>56</v>
      </c>
      <c r="AU181" s="149" t="s">
        <v>56</v>
      </c>
      <c r="AV181" s="146" t="str">
        <f t="shared" si="47"/>
        <v/>
      </c>
      <c r="AW181" s="146" t="str">
        <f t="shared" si="48"/>
        <v/>
      </c>
      <c r="AX181" s="138" t="str">
        <f>IFERROR((1-((AV181*AR181)/(AW181*AQ181)))*100,"")</f>
        <v/>
      </c>
      <c r="AY181" s="95" t="s">
        <v>56</v>
      </c>
      <c r="AZ181" s="96">
        <v>60.79</v>
      </c>
      <c r="BA181" s="96"/>
      <c r="BB181" s="96">
        <v>90</v>
      </c>
      <c r="BC181" s="96"/>
      <c r="BD181" s="97">
        <v>110.91999999999999</v>
      </c>
      <c r="BE181" s="142">
        <f t="shared" si="49"/>
        <v>4396</v>
      </c>
      <c r="BF181" s="98">
        <v>0</v>
      </c>
      <c r="BG181" s="98">
        <v>0</v>
      </c>
      <c r="BH181" s="98">
        <v>4396</v>
      </c>
      <c r="BI181" s="98"/>
      <c r="BJ181" s="98"/>
      <c r="BK181" s="98"/>
      <c r="BL181" s="97"/>
    </row>
    <row r="182" spans="1:64" outlineLevel="5" x14ac:dyDescent="0.3">
      <c r="A182" s="152">
        <f t="shared" si="51"/>
        <v>5</v>
      </c>
      <c r="B182" s="153">
        <f t="shared" si="50"/>
        <v>43980</v>
      </c>
      <c r="C182" s="138">
        <f>IFERROR(ROUND(AVERAGE(D182:K182),1),"")</f>
        <v>39</v>
      </c>
      <c r="D182" s="84">
        <v>39</v>
      </c>
      <c r="E182" s="84">
        <v>39</v>
      </c>
      <c r="F182" s="84"/>
      <c r="G182" s="84"/>
      <c r="H182" s="84"/>
      <c r="I182" s="84"/>
      <c r="J182" s="84"/>
      <c r="K182" s="84"/>
      <c r="L182" s="140">
        <f>IFERROR(ROUND(AVERAGE(M182:T182),1),"")</f>
        <v>7.9</v>
      </c>
      <c r="M182" s="86">
        <v>7.91</v>
      </c>
      <c r="N182" s="86">
        <v>7.81</v>
      </c>
      <c r="O182" s="86"/>
      <c r="P182" s="86"/>
      <c r="Q182" s="86"/>
      <c r="R182" s="86"/>
      <c r="S182" s="86"/>
      <c r="T182" s="86"/>
      <c r="U182" s="142">
        <f>IFERROR(ROUND(AVERAGE(V182:AC182),1),"")</f>
        <v>1427.3</v>
      </c>
      <c r="V182" s="88">
        <v>1557</v>
      </c>
      <c r="W182" s="88">
        <v>1297.5</v>
      </c>
      <c r="X182" s="88"/>
      <c r="Y182" s="88"/>
      <c r="Z182" s="88"/>
      <c r="AA182" s="88"/>
      <c r="AB182" s="88"/>
      <c r="AC182" s="88"/>
      <c r="AD182" s="142" t="str">
        <f>IFERROR(ROUND(AVERAGE(AE182:AL182),1),"")</f>
        <v/>
      </c>
      <c r="AE182" s="88"/>
      <c r="AF182" s="88"/>
      <c r="AG182" s="88"/>
      <c r="AH182" s="88"/>
      <c r="AI182" s="88"/>
      <c r="AJ182" s="88"/>
      <c r="AK182" s="88"/>
      <c r="AL182" s="88"/>
      <c r="AM182" s="88">
        <v>41.215508208173247</v>
      </c>
      <c r="AN182" s="88">
        <v>114.52</v>
      </c>
      <c r="AO182" s="89"/>
      <c r="AP182" s="90"/>
      <c r="AQ182" s="146" t="str">
        <f t="shared" si="45"/>
        <v/>
      </c>
      <c r="AR182" s="146" t="str">
        <f t="shared" si="46"/>
        <v/>
      </c>
      <c r="AS182" s="147">
        <v>20</v>
      </c>
      <c r="AT182" s="148" t="s">
        <v>56</v>
      </c>
      <c r="AU182" s="149" t="s">
        <v>56</v>
      </c>
      <c r="AV182" s="146" t="str">
        <f t="shared" si="47"/>
        <v/>
      </c>
      <c r="AW182" s="146" t="str">
        <f t="shared" si="48"/>
        <v/>
      </c>
      <c r="AX182" s="138" t="str">
        <f>IFERROR((1-((AV182*AR182)/(AW182*AQ182)))*100,"")</f>
        <v/>
      </c>
      <c r="AY182" s="95">
        <v>72.25</v>
      </c>
      <c r="AZ182" s="96">
        <v>61.67</v>
      </c>
      <c r="BA182" s="96"/>
      <c r="BB182" s="96">
        <v>120.5</v>
      </c>
      <c r="BC182" s="96"/>
      <c r="BD182" s="97">
        <v>114.52</v>
      </c>
      <c r="BE182" s="142">
        <f t="shared" si="49"/>
        <v>5013</v>
      </c>
      <c r="BF182" s="98">
        <v>0</v>
      </c>
      <c r="BG182" s="98">
        <v>0</v>
      </c>
      <c r="BH182" s="98">
        <v>5013</v>
      </c>
      <c r="BI182" s="98"/>
      <c r="BJ182" s="98"/>
      <c r="BK182" s="98"/>
      <c r="BL182" s="97"/>
    </row>
    <row r="183" spans="1:64" outlineLevel="5" x14ac:dyDescent="0.3">
      <c r="A183" s="152">
        <f t="shared" si="51"/>
        <v>5</v>
      </c>
      <c r="B183" s="153">
        <f t="shared" si="50"/>
        <v>43981</v>
      </c>
      <c r="C183" s="138">
        <f>IFERROR(ROUND(AVERAGE(D183:K183),1),"")</f>
        <v>39</v>
      </c>
      <c r="D183" s="84">
        <v>39</v>
      </c>
      <c r="E183" s="84">
        <v>39</v>
      </c>
      <c r="F183" s="84"/>
      <c r="G183" s="84"/>
      <c r="H183" s="84"/>
      <c r="I183" s="84"/>
      <c r="J183" s="84"/>
      <c r="K183" s="84"/>
      <c r="L183" s="140" t="str">
        <f>IFERROR(ROUND(AVERAGE(M183:T183),1),"")</f>
        <v/>
      </c>
      <c r="M183" s="86"/>
      <c r="N183" s="86"/>
      <c r="O183" s="86"/>
      <c r="P183" s="86"/>
      <c r="Q183" s="86"/>
      <c r="R183" s="86"/>
      <c r="S183" s="86"/>
      <c r="T183" s="86"/>
      <c r="U183" s="142" t="str">
        <f>IFERROR(ROUND(AVERAGE(V183:AC183),1),"")</f>
        <v/>
      </c>
      <c r="V183" s="88"/>
      <c r="W183" s="88"/>
      <c r="X183" s="88"/>
      <c r="Y183" s="88"/>
      <c r="Z183" s="88"/>
      <c r="AA183" s="88"/>
      <c r="AB183" s="88"/>
      <c r="AC183" s="88"/>
      <c r="AD183" s="142" t="str">
        <f>IFERROR(ROUND(AVERAGE(AE183:AL183),1),"")</f>
        <v/>
      </c>
      <c r="AE183" s="88"/>
      <c r="AF183" s="88"/>
      <c r="AG183" s="88"/>
      <c r="AH183" s="88"/>
      <c r="AI183" s="88"/>
      <c r="AJ183" s="88"/>
      <c r="AK183" s="88"/>
      <c r="AL183" s="88"/>
      <c r="AM183" s="88">
        <v>45.310550062398008</v>
      </c>
      <c r="AN183" s="88">
        <v>104.16999999999999</v>
      </c>
      <c r="AO183" s="89">
        <v>10.1</v>
      </c>
      <c r="AP183" s="90">
        <v>8.6152999999999995</v>
      </c>
      <c r="AQ183" s="146">
        <f t="shared" si="45"/>
        <v>85.3</v>
      </c>
      <c r="AR183" s="146">
        <f t="shared" si="46"/>
        <v>14.700000000000003</v>
      </c>
      <c r="AS183" s="147">
        <v>20</v>
      </c>
      <c r="AT183" s="148" t="s">
        <v>56</v>
      </c>
      <c r="AU183" s="149" t="s">
        <v>56</v>
      </c>
      <c r="AV183" s="146" t="str">
        <f t="shared" si="47"/>
        <v/>
      </c>
      <c r="AW183" s="146" t="str">
        <f t="shared" si="48"/>
        <v/>
      </c>
      <c r="AX183" s="138" t="str">
        <f>IFERROR((1-((AV183*AR183)/(AW183*AQ183)))*100,"")</f>
        <v/>
      </c>
      <c r="AY183" s="95" t="s">
        <v>56</v>
      </c>
      <c r="AZ183" s="96">
        <v>64.58</v>
      </c>
      <c r="BA183" s="96"/>
      <c r="BB183" s="96">
        <v>100.5</v>
      </c>
      <c r="BC183" s="96"/>
      <c r="BD183" s="97">
        <v>104.16999999999999</v>
      </c>
      <c r="BE183" s="142">
        <f t="shared" si="49"/>
        <v>3816</v>
      </c>
      <c r="BF183" s="98">
        <v>38</v>
      </c>
      <c r="BG183" s="98">
        <v>0</v>
      </c>
      <c r="BH183" s="98">
        <v>3778</v>
      </c>
      <c r="BI183" s="98"/>
      <c r="BJ183" s="98"/>
      <c r="BK183" s="98"/>
      <c r="BL183" s="97"/>
    </row>
    <row r="184" spans="1:64" ht="17.25" outlineLevel="5" thickBot="1" x14ac:dyDescent="0.35">
      <c r="A184" s="154">
        <f t="shared" si="51"/>
        <v>5</v>
      </c>
      <c r="B184" s="155">
        <f t="shared" si="50"/>
        <v>43982</v>
      </c>
      <c r="C184" s="138">
        <f>IFERROR(ROUND(AVERAGE(D184:K184),1),"")</f>
        <v>39</v>
      </c>
      <c r="D184" s="84">
        <v>39</v>
      </c>
      <c r="E184" s="84">
        <v>39</v>
      </c>
      <c r="F184" s="84"/>
      <c r="G184" s="84"/>
      <c r="H184" s="84"/>
      <c r="I184" s="84"/>
      <c r="J184" s="84"/>
      <c r="K184" s="84"/>
      <c r="L184" s="140" t="str">
        <f>IFERROR(ROUND(AVERAGE(M184:T184),1),"")</f>
        <v/>
      </c>
      <c r="M184" s="86"/>
      <c r="N184" s="86"/>
      <c r="O184" s="86"/>
      <c r="P184" s="86"/>
      <c r="Q184" s="86"/>
      <c r="R184" s="86"/>
      <c r="S184" s="86"/>
      <c r="T184" s="86"/>
      <c r="U184" s="142" t="str">
        <f>IFERROR(ROUND(AVERAGE(V184:AC184),1),"")</f>
        <v/>
      </c>
      <c r="V184" s="88"/>
      <c r="W184" s="88"/>
      <c r="X184" s="88"/>
      <c r="Y184" s="88"/>
      <c r="Z184" s="88"/>
      <c r="AA184" s="88"/>
      <c r="AB184" s="88"/>
      <c r="AC184" s="88"/>
      <c r="AD184" s="142" t="str">
        <f>IFERROR(ROUND(AVERAGE(AE184:AL184),1),"")</f>
        <v/>
      </c>
      <c r="AE184" s="88"/>
      <c r="AF184" s="88"/>
      <c r="AG184" s="88"/>
      <c r="AH184" s="88"/>
      <c r="AI184" s="88"/>
      <c r="AJ184" s="88"/>
      <c r="AK184" s="88"/>
      <c r="AL184" s="88"/>
      <c r="AM184" s="88">
        <v>48.163265306122447</v>
      </c>
      <c r="AN184" s="88">
        <v>98</v>
      </c>
      <c r="AO184" s="89" t="s">
        <v>56</v>
      </c>
      <c r="AP184" s="90" t="s">
        <v>56</v>
      </c>
      <c r="AQ184" s="146" t="str">
        <f t="shared" si="45"/>
        <v/>
      </c>
      <c r="AR184" s="146" t="str">
        <f t="shared" si="46"/>
        <v/>
      </c>
      <c r="AS184" s="147">
        <v>0</v>
      </c>
      <c r="AT184" s="148" t="s">
        <v>56</v>
      </c>
      <c r="AU184" s="149" t="s">
        <v>56</v>
      </c>
      <c r="AV184" s="146" t="str">
        <f t="shared" si="47"/>
        <v/>
      </c>
      <c r="AW184" s="146" t="str">
        <f t="shared" si="48"/>
        <v/>
      </c>
      <c r="AX184" s="138" t="str">
        <f>IFERROR((1-((AV184*AR184)/(AW184*AQ184)))*100,"")</f>
        <v/>
      </c>
      <c r="AY184" s="95" t="s">
        <v>56</v>
      </c>
      <c r="AZ184" s="96">
        <v>65.664999999999992</v>
      </c>
      <c r="BA184" s="96"/>
      <c r="BB184" s="96">
        <v>47.5</v>
      </c>
      <c r="BC184" s="96"/>
      <c r="BD184" s="97">
        <v>98</v>
      </c>
      <c r="BE184" s="142">
        <f t="shared" si="49"/>
        <v>6638</v>
      </c>
      <c r="BF184" s="98">
        <v>28</v>
      </c>
      <c r="BG184" s="98">
        <v>0</v>
      </c>
      <c r="BH184" s="98">
        <v>6610</v>
      </c>
      <c r="BI184" s="98"/>
      <c r="BJ184" s="98"/>
      <c r="BK184" s="98"/>
      <c r="BL184" s="97"/>
    </row>
    <row r="185" spans="1:64" outlineLevel="4" x14ac:dyDescent="0.3">
      <c r="A185" s="63" t="s">
        <v>73</v>
      </c>
      <c r="B185" s="64"/>
      <c r="C185" s="65">
        <f t="shared" ref="C185:BL185" si="52">SUBTOTAL(4,C154:C184)</f>
        <v>39</v>
      </c>
      <c r="D185" s="66">
        <f t="shared" si="52"/>
        <v>39</v>
      </c>
      <c r="E185" s="66">
        <f t="shared" si="52"/>
        <v>40</v>
      </c>
      <c r="F185" s="66">
        <f t="shared" si="52"/>
        <v>0</v>
      </c>
      <c r="G185" s="66">
        <f t="shared" si="52"/>
        <v>0</v>
      </c>
      <c r="H185" s="66">
        <f t="shared" si="52"/>
        <v>0</v>
      </c>
      <c r="I185" s="66">
        <f t="shared" si="52"/>
        <v>0</v>
      </c>
      <c r="J185" s="66">
        <f t="shared" si="52"/>
        <v>0</v>
      </c>
      <c r="K185" s="66">
        <f t="shared" si="52"/>
        <v>0</v>
      </c>
      <c r="L185" s="67">
        <f t="shared" si="52"/>
        <v>7.9</v>
      </c>
      <c r="M185" s="68">
        <f t="shared" si="52"/>
        <v>7.93</v>
      </c>
      <c r="N185" s="68">
        <f t="shared" si="52"/>
        <v>7.89</v>
      </c>
      <c r="O185" s="68">
        <f t="shared" si="52"/>
        <v>0</v>
      </c>
      <c r="P185" s="68">
        <f t="shared" si="52"/>
        <v>0</v>
      </c>
      <c r="Q185" s="68">
        <f t="shared" si="52"/>
        <v>0</v>
      </c>
      <c r="R185" s="68">
        <f t="shared" si="52"/>
        <v>0</v>
      </c>
      <c r="S185" s="68">
        <f t="shared" si="52"/>
        <v>0</v>
      </c>
      <c r="T185" s="68">
        <f t="shared" si="52"/>
        <v>0</v>
      </c>
      <c r="U185" s="69">
        <f t="shared" si="52"/>
        <v>1427.3</v>
      </c>
      <c r="V185" s="70">
        <f t="shared" si="52"/>
        <v>1557</v>
      </c>
      <c r="W185" s="70">
        <f t="shared" si="52"/>
        <v>1384</v>
      </c>
      <c r="X185" s="70">
        <f t="shared" si="52"/>
        <v>0</v>
      </c>
      <c r="Y185" s="70">
        <f t="shared" si="52"/>
        <v>0</v>
      </c>
      <c r="Z185" s="70">
        <f t="shared" si="52"/>
        <v>0</v>
      </c>
      <c r="AA185" s="70">
        <f t="shared" si="52"/>
        <v>0</v>
      </c>
      <c r="AB185" s="70">
        <f t="shared" si="52"/>
        <v>0</v>
      </c>
      <c r="AC185" s="70">
        <f t="shared" si="52"/>
        <v>0</v>
      </c>
      <c r="AD185" s="69">
        <f t="shared" si="52"/>
        <v>0</v>
      </c>
      <c r="AE185" s="70">
        <f t="shared" si="52"/>
        <v>0</v>
      </c>
      <c r="AF185" s="70">
        <f t="shared" si="52"/>
        <v>0</v>
      </c>
      <c r="AG185" s="70">
        <f t="shared" si="52"/>
        <v>0</v>
      </c>
      <c r="AH185" s="70">
        <f t="shared" si="52"/>
        <v>0</v>
      </c>
      <c r="AI185" s="70">
        <f t="shared" si="52"/>
        <v>0</v>
      </c>
      <c r="AJ185" s="70">
        <f t="shared" si="52"/>
        <v>0</v>
      </c>
      <c r="AK185" s="70">
        <f t="shared" si="52"/>
        <v>0</v>
      </c>
      <c r="AL185" s="70">
        <f t="shared" si="52"/>
        <v>0</v>
      </c>
      <c r="AM185" s="70">
        <f t="shared" si="52"/>
        <v>78.666666666666671</v>
      </c>
      <c r="AN185" s="70">
        <f t="shared" si="52"/>
        <v>114.52</v>
      </c>
      <c r="AO185" s="71">
        <f t="shared" si="52"/>
        <v>20.3</v>
      </c>
      <c r="AP185" s="72">
        <f t="shared" si="52"/>
        <v>17.701599999999999</v>
      </c>
      <c r="AQ185" s="73">
        <f t="shared" si="52"/>
        <v>87.199999999999989</v>
      </c>
      <c r="AR185" s="73">
        <f t="shared" si="52"/>
        <v>19.400000000000006</v>
      </c>
      <c r="AS185" s="74">
        <f t="shared" si="52"/>
        <v>20</v>
      </c>
      <c r="AT185" s="75">
        <f t="shared" si="52"/>
        <v>17.649999999999999</v>
      </c>
      <c r="AU185" s="76">
        <f t="shared" si="52"/>
        <v>11.95</v>
      </c>
      <c r="AV185" s="73">
        <f t="shared" si="52"/>
        <v>70.588235294117638</v>
      </c>
      <c r="AW185" s="73">
        <f t="shared" si="52"/>
        <v>43.40836012861736</v>
      </c>
      <c r="AX185" s="65">
        <f t="shared" si="52"/>
        <v>0</v>
      </c>
      <c r="AY185" s="77">
        <f t="shared" si="52"/>
        <v>81.05</v>
      </c>
      <c r="AZ185" s="78">
        <f t="shared" si="52"/>
        <v>65.664999999999992</v>
      </c>
      <c r="BA185" s="78">
        <f t="shared" si="52"/>
        <v>0</v>
      </c>
      <c r="BB185" s="78">
        <f t="shared" si="52"/>
        <v>164</v>
      </c>
      <c r="BC185" s="78">
        <f t="shared" si="52"/>
        <v>0</v>
      </c>
      <c r="BD185" s="79">
        <f t="shared" si="52"/>
        <v>114.52</v>
      </c>
      <c r="BE185" s="69">
        <f t="shared" si="52"/>
        <v>7245</v>
      </c>
      <c r="BF185" s="70">
        <f t="shared" si="52"/>
        <v>81</v>
      </c>
      <c r="BG185" s="80">
        <f t="shared" si="52"/>
        <v>0</v>
      </c>
      <c r="BH185" s="80">
        <f t="shared" si="52"/>
        <v>7182</v>
      </c>
      <c r="BI185" s="80">
        <f t="shared" si="52"/>
        <v>0</v>
      </c>
      <c r="BJ185" s="80">
        <f t="shared" si="52"/>
        <v>0</v>
      </c>
      <c r="BK185" s="80">
        <f t="shared" si="52"/>
        <v>0</v>
      </c>
      <c r="BL185" s="79">
        <f t="shared" si="52"/>
        <v>0</v>
      </c>
    </row>
    <row r="186" spans="1:64" outlineLevel="3" x14ac:dyDescent="0.3">
      <c r="A186" s="81" t="s">
        <v>74</v>
      </c>
      <c r="B186" s="82"/>
      <c r="C186" s="83">
        <f t="shared" ref="C186:BL186" si="53">SUBTOTAL(5,C154:C184)</f>
        <v>37</v>
      </c>
      <c r="D186" s="84">
        <f t="shared" si="53"/>
        <v>37</v>
      </c>
      <c r="E186" s="84">
        <f t="shared" si="53"/>
        <v>37</v>
      </c>
      <c r="F186" s="84">
        <f t="shared" si="53"/>
        <v>0</v>
      </c>
      <c r="G186" s="84">
        <f t="shared" si="53"/>
        <v>0</v>
      </c>
      <c r="H186" s="84">
        <f t="shared" si="53"/>
        <v>0</v>
      </c>
      <c r="I186" s="84">
        <f t="shared" si="53"/>
        <v>0</v>
      </c>
      <c r="J186" s="84">
        <f t="shared" si="53"/>
        <v>0</v>
      </c>
      <c r="K186" s="84">
        <f t="shared" si="53"/>
        <v>0</v>
      </c>
      <c r="L186" s="85">
        <f t="shared" si="53"/>
        <v>7.8</v>
      </c>
      <c r="M186" s="86">
        <f t="shared" si="53"/>
        <v>7.88</v>
      </c>
      <c r="N186" s="86">
        <f t="shared" si="53"/>
        <v>7.78</v>
      </c>
      <c r="O186" s="86">
        <f t="shared" si="53"/>
        <v>0</v>
      </c>
      <c r="P186" s="86">
        <f t="shared" si="53"/>
        <v>0</v>
      </c>
      <c r="Q186" s="86">
        <f t="shared" si="53"/>
        <v>0</v>
      </c>
      <c r="R186" s="86">
        <f t="shared" si="53"/>
        <v>0</v>
      </c>
      <c r="S186" s="86">
        <f t="shared" si="53"/>
        <v>0</v>
      </c>
      <c r="T186" s="86">
        <f t="shared" si="53"/>
        <v>0</v>
      </c>
      <c r="U186" s="87">
        <f t="shared" si="53"/>
        <v>1038.0999999999999</v>
      </c>
      <c r="V186" s="88">
        <f t="shared" si="53"/>
        <v>994.8</v>
      </c>
      <c r="W186" s="88">
        <f t="shared" si="53"/>
        <v>908.3</v>
      </c>
      <c r="X186" s="88">
        <f t="shared" si="53"/>
        <v>0</v>
      </c>
      <c r="Y186" s="88">
        <f t="shared" si="53"/>
        <v>0</v>
      </c>
      <c r="Z186" s="88">
        <f t="shared" si="53"/>
        <v>0</v>
      </c>
      <c r="AA186" s="88">
        <f t="shared" si="53"/>
        <v>0</v>
      </c>
      <c r="AB186" s="88">
        <f t="shared" si="53"/>
        <v>0</v>
      </c>
      <c r="AC186" s="88">
        <f t="shared" si="53"/>
        <v>0</v>
      </c>
      <c r="AD186" s="87">
        <f t="shared" si="53"/>
        <v>0</v>
      </c>
      <c r="AE186" s="88">
        <f t="shared" si="53"/>
        <v>0</v>
      </c>
      <c r="AF186" s="88">
        <f t="shared" si="53"/>
        <v>0</v>
      </c>
      <c r="AG186" s="88">
        <f t="shared" si="53"/>
        <v>0</v>
      </c>
      <c r="AH186" s="88">
        <f t="shared" si="53"/>
        <v>0</v>
      </c>
      <c r="AI186" s="88">
        <f t="shared" si="53"/>
        <v>0</v>
      </c>
      <c r="AJ186" s="88">
        <f t="shared" si="53"/>
        <v>0</v>
      </c>
      <c r="AK186" s="88">
        <f t="shared" si="53"/>
        <v>0</v>
      </c>
      <c r="AL186" s="88">
        <f t="shared" si="53"/>
        <v>0</v>
      </c>
      <c r="AM186" s="88">
        <f t="shared" si="53"/>
        <v>41.215508208173247</v>
      </c>
      <c r="AN186" s="88">
        <f t="shared" si="53"/>
        <v>60</v>
      </c>
      <c r="AO186" s="89">
        <f t="shared" si="53"/>
        <v>10.1</v>
      </c>
      <c r="AP186" s="90">
        <f t="shared" si="53"/>
        <v>8.6152999999999995</v>
      </c>
      <c r="AQ186" s="91">
        <f t="shared" si="53"/>
        <v>80.599999999999994</v>
      </c>
      <c r="AR186" s="91">
        <f t="shared" si="53"/>
        <v>12.800000000000011</v>
      </c>
      <c r="AS186" s="92">
        <f t="shared" si="53"/>
        <v>0</v>
      </c>
      <c r="AT186" s="93">
        <f t="shared" si="53"/>
        <v>13.600000000000001</v>
      </c>
      <c r="AU186" s="94">
        <f t="shared" si="53"/>
        <v>7.75</v>
      </c>
      <c r="AV186" s="91">
        <f t="shared" si="53"/>
        <v>56.59163987138264</v>
      </c>
      <c r="AW186" s="91">
        <f t="shared" si="53"/>
        <v>29.411764705882362</v>
      </c>
      <c r="AX186" s="83">
        <f t="shared" si="53"/>
        <v>0</v>
      </c>
      <c r="AY186" s="95">
        <f t="shared" si="53"/>
        <v>71.050000000000011</v>
      </c>
      <c r="AZ186" s="96">
        <f t="shared" si="53"/>
        <v>53.784999999999997</v>
      </c>
      <c r="BA186" s="96">
        <f t="shared" si="53"/>
        <v>0</v>
      </c>
      <c r="BB186" s="96">
        <f t="shared" si="53"/>
        <v>39</v>
      </c>
      <c r="BC186" s="96">
        <f t="shared" si="53"/>
        <v>0</v>
      </c>
      <c r="BD186" s="97">
        <f t="shared" si="53"/>
        <v>60</v>
      </c>
      <c r="BE186" s="87">
        <f t="shared" si="53"/>
        <v>1637</v>
      </c>
      <c r="BF186" s="88">
        <f t="shared" si="53"/>
        <v>0</v>
      </c>
      <c r="BG186" s="98">
        <f t="shared" si="53"/>
        <v>0</v>
      </c>
      <c r="BH186" s="98">
        <f t="shared" si="53"/>
        <v>1611</v>
      </c>
      <c r="BI186" s="98">
        <f t="shared" si="53"/>
        <v>0</v>
      </c>
      <c r="BJ186" s="98">
        <f t="shared" si="53"/>
        <v>0</v>
      </c>
      <c r="BK186" s="98">
        <f t="shared" si="53"/>
        <v>0</v>
      </c>
      <c r="BL186" s="97">
        <f t="shared" si="53"/>
        <v>0</v>
      </c>
    </row>
    <row r="187" spans="1:64" outlineLevel="2" x14ac:dyDescent="0.3">
      <c r="A187" s="81" t="s">
        <v>75</v>
      </c>
      <c r="B187" s="82"/>
      <c r="C187" s="83">
        <f t="shared" ref="C187:BL187" si="54">IFERROR(SUBTOTAL(1,C154:C184),"")</f>
        <v>38.258064516129032</v>
      </c>
      <c r="D187" s="84">
        <f t="shared" si="54"/>
        <v>38.12903225806452</v>
      </c>
      <c r="E187" s="84">
        <f t="shared" si="54"/>
        <v>38.387096774193552</v>
      </c>
      <c r="F187" s="84" t="str">
        <f t="shared" si="54"/>
        <v/>
      </c>
      <c r="G187" s="84" t="str">
        <f t="shared" si="54"/>
        <v/>
      </c>
      <c r="H187" s="84" t="str">
        <f t="shared" si="54"/>
        <v/>
      </c>
      <c r="I187" s="84" t="str">
        <f t="shared" si="54"/>
        <v/>
      </c>
      <c r="J187" s="84" t="str">
        <f t="shared" si="54"/>
        <v/>
      </c>
      <c r="K187" s="84" t="str">
        <f t="shared" si="54"/>
        <v/>
      </c>
      <c r="L187" s="85">
        <f t="shared" si="54"/>
        <v>7.8714285714285728</v>
      </c>
      <c r="M187" s="86">
        <f t="shared" si="54"/>
        <v>7.9064285714285711</v>
      </c>
      <c r="N187" s="86">
        <f t="shared" si="54"/>
        <v>7.8228571428571438</v>
      </c>
      <c r="O187" s="86" t="str">
        <f t="shared" si="54"/>
        <v/>
      </c>
      <c r="P187" s="86" t="str">
        <f t="shared" si="54"/>
        <v/>
      </c>
      <c r="Q187" s="86" t="str">
        <f t="shared" si="54"/>
        <v/>
      </c>
      <c r="R187" s="86" t="str">
        <f t="shared" si="54"/>
        <v/>
      </c>
      <c r="S187" s="86" t="str">
        <f t="shared" si="54"/>
        <v/>
      </c>
      <c r="T187" s="86" t="str">
        <f t="shared" si="54"/>
        <v/>
      </c>
      <c r="U187" s="87">
        <f t="shared" si="54"/>
        <v>1300.5</v>
      </c>
      <c r="V187" s="88">
        <f t="shared" si="54"/>
        <v>1361.1642857142856</v>
      </c>
      <c r="W187" s="88">
        <f t="shared" si="54"/>
        <v>1239.7571428571428</v>
      </c>
      <c r="X187" s="88" t="str">
        <f t="shared" si="54"/>
        <v/>
      </c>
      <c r="Y187" s="88" t="str">
        <f t="shared" si="54"/>
        <v/>
      </c>
      <c r="Z187" s="88" t="str">
        <f t="shared" si="54"/>
        <v/>
      </c>
      <c r="AA187" s="88" t="str">
        <f t="shared" si="54"/>
        <v/>
      </c>
      <c r="AB187" s="88" t="str">
        <f t="shared" si="54"/>
        <v/>
      </c>
      <c r="AC187" s="88" t="str">
        <f t="shared" si="54"/>
        <v/>
      </c>
      <c r="AD187" s="87" t="str">
        <f t="shared" si="54"/>
        <v/>
      </c>
      <c r="AE187" s="88" t="str">
        <f t="shared" si="54"/>
        <v/>
      </c>
      <c r="AF187" s="88" t="str">
        <f t="shared" si="54"/>
        <v/>
      </c>
      <c r="AG187" s="88" t="str">
        <f t="shared" si="54"/>
        <v/>
      </c>
      <c r="AH187" s="88" t="str">
        <f t="shared" si="54"/>
        <v/>
      </c>
      <c r="AI187" s="88" t="str">
        <f t="shared" si="54"/>
        <v/>
      </c>
      <c r="AJ187" s="88" t="str">
        <f t="shared" si="54"/>
        <v/>
      </c>
      <c r="AK187" s="88" t="str">
        <f t="shared" si="54"/>
        <v/>
      </c>
      <c r="AL187" s="88" t="str">
        <f t="shared" si="54"/>
        <v/>
      </c>
      <c r="AM187" s="88">
        <f t="shared" si="54"/>
        <v>50.548387745200024</v>
      </c>
      <c r="AN187" s="88">
        <f t="shared" si="54"/>
        <v>95.178064516129041</v>
      </c>
      <c r="AO187" s="89">
        <f t="shared" si="54"/>
        <v>15.700000000000001</v>
      </c>
      <c r="AP187" s="90">
        <f t="shared" si="54"/>
        <v>13.145624999999999</v>
      </c>
      <c r="AQ187" s="91">
        <f t="shared" si="54"/>
        <v>83.649999999999991</v>
      </c>
      <c r="AR187" s="91">
        <f t="shared" si="54"/>
        <v>16.350000000000005</v>
      </c>
      <c r="AS187" s="92">
        <f t="shared" si="54"/>
        <v>10.32258064516129</v>
      </c>
      <c r="AT187" s="93">
        <f t="shared" si="54"/>
        <v>15.145454545454543</v>
      </c>
      <c r="AU187" s="94">
        <f t="shared" si="54"/>
        <v>9.3227272727272705</v>
      </c>
      <c r="AV187" s="91">
        <f t="shared" si="54"/>
        <v>61.479705028837429</v>
      </c>
      <c r="AW187" s="91">
        <f t="shared" si="54"/>
        <v>38.520294971162564</v>
      </c>
      <c r="AX187" s="83" t="str">
        <f t="shared" si="54"/>
        <v/>
      </c>
      <c r="AY187" s="95">
        <f t="shared" si="54"/>
        <v>76.510714285714272</v>
      </c>
      <c r="AZ187" s="96">
        <f t="shared" si="54"/>
        <v>61.572096774193547</v>
      </c>
      <c r="BA187" s="96" t="str">
        <f t="shared" si="54"/>
        <v/>
      </c>
      <c r="BB187" s="96">
        <f t="shared" si="54"/>
        <v>90.612903225806448</v>
      </c>
      <c r="BC187" s="96" t="str">
        <f t="shared" si="54"/>
        <v/>
      </c>
      <c r="BD187" s="97">
        <f>IFERROR(SUBTOTAL(1,BD154:BD184),"")</f>
        <v>95.178064516129041</v>
      </c>
      <c r="BE187" s="87">
        <f t="shared" si="54"/>
        <v>4538.1935483870966</v>
      </c>
      <c r="BF187" s="88">
        <f t="shared" si="54"/>
        <v>23.032258064516128</v>
      </c>
      <c r="BG187" s="98">
        <f t="shared" si="54"/>
        <v>0</v>
      </c>
      <c r="BH187" s="98">
        <f t="shared" si="54"/>
        <v>4515.1612903225805</v>
      </c>
      <c r="BI187" s="98" t="str">
        <f t="shared" si="54"/>
        <v/>
      </c>
      <c r="BJ187" s="98" t="str">
        <f t="shared" si="54"/>
        <v/>
      </c>
      <c r="BK187" s="98" t="str">
        <f t="shared" si="54"/>
        <v/>
      </c>
      <c r="BL187" s="97" t="str">
        <f t="shared" si="54"/>
        <v/>
      </c>
    </row>
    <row r="188" spans="1:64" ht="17.25" outlineLevel="1" thickBot="1" x14ac:dyDescent="0.35">
      <c r="A188" s="99" t="s">
        <v>76</v>
      </c>
      <c r="B188" s="100"/>
      <c r="C188" s="101"/>
      <c r="D188" s="102"/>
      <c r="E188" s="102"/>
      <c r="F188" s="102"/>
      <c r="G188" s="102"/>
      <c r="H188" s="102"/>
      <c r="I188" s="102"/>
      <c r="J188" s="102"/>
      <c r="K188" s="102"/>
      <c r="L188" s="103"/>
      <c r="M188" s="104"/>
      <c r="N188" s="104"/>
      <c r="O188" s="104"/>
      <c r="P188" s="104"/>
      <c r="Q188" s="104"/>
      <c r="R188" s="104"/>
      <c r="S188" s="104"/>
      <c r="T188" s="104"/>
      <c r="U188" s="105"/>
      <c r="V188" s="106"/>
      <c r="W188" s="106"/>
      <c r="X188" s="106"/>
      <c r="Y188" s="106"/>
      <c r="Z188" s="106"/>
      <c r="AA188" s="106"/>
      <c r="AB188" s="106"/>
      <c r="AC188" s="106"/>
      <c r="AD188" s="105"/>
      <c r="AE188" s="106"/>
      <c r="AF188" s="106"/>
      <c r="AG188" s="106"/>
      <c r="AH188" s="106"/>
      <c r="AI188" s="106"/>
      <c r="AJ188" s="106"/>
      <c r="AK188" s="106"/>
      <c r="AL188" s="106"/>
      <c r="AM188" s="106"/>
      <c r="AN188" s="107">
        <f>SUBTOTAL(9,AN154:AN184)</f>
        <v>2950.5200000000004</v>
      </c>
      <c r="AO188" s="108"/>
      <c r="AP188" s="109"/>
      <c r="AQ188" s="110"/>
      <c r="AR188" s="110"/>
      <c r="AS188" s="111">
        <f>SUBTOTAL(9,AS154:AS184)</f>
        <v>320</v>
      </c>
      <c r="AT188" s="112"/>
      <c r="AU188" s="113"/>
      <c r="AV188" s="110"/>
      <c r="AW188" s="110"/>
      <c r="AX188" s="101"/>
      <c r="AY188" s="114"/>
      <c r="AZ188" s="115"/>
      <c r="BA188" s="115"/>
      <c r="BB188" s="115"/>
      <c r="BC188" s="115"/>
      <c r="BD188" s="116">
        <f>SUBTOTAL(9,BD154:BD184)</f>
        <v>2950.5200000000004</v>
      </c>
      <c r="BE188" s="117">
        <f t="shared" ref="BE188:BL188" si="55">SUBTOTAL(9,BE154:BE184)</f>
        <v>140684</v>
      </c>
      <c r="BF188" s="107">
        <f t="shared" si="55"/>
        <v>714</v>
      </c>
      <c r="BG188" s="118">
        <f t="shared" si="55"/>
        <v>0</v>
      </c>
      <c r="BH188" s="118">
        <f t="shared" si="55"/>
        <v>139970</v>
      </c>
      <c r="BI188" s="118">
        <f t="shared" si="55"/>
        <v>0</v>
      </c>
      <c r="BJ188" s="118">
        <f t="shared" si="55"/>
        <v>0</v>
      </c>
      <c r="BK188" s="118">
        <f t="shared" si="55"/>
        <v>0</v>
      </c>
      <c r="BL188" s="116">
        <f t="shared" si="55"/>
        <v>0</v>
      </c>
    </row>
    <row r="189" spans="1:64" outlineLevel="5" x14ac:dyDescent="0.3">
      <c r="A189" s="136">
        <f t="shared" si="51"/>
        <v>6</v>
      </c>
      <c r="B189" s="165">
        <f>B184+1</f>
        <v>43983</v>
      </c>
      <c r="C189" s="138">
        <f>IFERROR(ROUND(AVERAGE(D189:K189),1),"")</f>
        <v>39</v>
      </c>
      <c r="D189" s="84">
        <v>39</v>
      </c>
      <c r="E189" s="84">
        <v>39</v>
      </c>
      <c r="F189" s="84"/>
      <c r="G189" s="84"/>
      <c r="H189" s="84"/>
      <c r="I189" s="84"/>
      <c r="J189" s="84"/>
      <c r="K189" s="84"/>
      <c r="L189" s="140">
        <f>IFERROR(ROUND(AVERAGE(M189:T189),1),"")</f>
        <v>7.8</v>
      </c>
      <c r="M189" s="86">
        <v>7.72</v>
      </c>
      <c r="N189" s="86">
        <v>7.78</v>
      </c>
      <c r="O189" s="86"/>
      <c r="P189" s="86"/>
      <c r="Q189" s="86"/>
      <c r="R189" s="86"/>
      <c r="S189" s="86"/>
      <c r="T189" s="86"/>
      <c r="U189" s="142">
        <f>IFERROR(ROUND(AVERAGE(V189:AC189),1),"")</f>
        <v>1254.3</v>
      </c>
      <c r="V189" s="88">
        <v>1340.8</v>
      </c>
      <c r="W189" s="88">
        <v>1167.8</v>
      </c>
      <c r="X189" s="88"/>
      <c r="Y189" s="88"/>
      <c r="Z189" s="88"/>
      <c r="AA189" s="88"/>
      <c r="AB189" s="88"/>
      <c r="AC189" s="88"/>
      <c r="AD189" s="142" t="str">
        <f>IFERROR(ROUND(AVERAGE(AE189:AL189),1),"")</f>
        <v/>
      </c>
      <c r="AE189" s="88"/>
      <c r="AF189" s="88"/>
      <c r="AG189" s="88"/>
      <c r="AH189" s="88"/>
      <c r="AI189" s="88"/>
      <c r="AJ189" s="88"/>
      <c r="AK189" s="88"/>
      <c r="AL189" s="88"/>
      <c r="AM189" s="88">
        <v>38.729794042832523</v>
      </c>
      <c r="AN189" s="88">
        <v>121.87</v>
      </c>
      <c r="AO189" s="89" t="s">
        <v>56</v>
      </c>
      <c r="AP189" s="90" t="s">
        <v>56</v>
      </c>
      <c r="AQ189" s="146" t="str">
        <f t="shared" ref="AQ189:AQ218" si="56">IFERROR(AP189/AO189*100,"")</f>
        <v/>
      </c>
      <c r="AR189" s="146" t="str">
        <f t="shared" ref="AR189:AR218" si="57">IFERROR(100-AQ189,"")</f>
        <v/>
      </c>
      <c r="AS189" s="147">
        <v>20</v>
      </c>
      <c r="AT189" s="148">
        <v>14.75</v>
      </c>
      <c r="AU189" s="149">
        <v>8.15</v>
      </c>
      <c r="AV189" s="146">
        <f t="shared" ref="AV189:AV218" si="58">IFERROR(AU189/AT189*100,"")</f>
        <v>55.254237288135599</v>
      </c>
      <c r="AW189" s="146">
        <f t="shared" ref="AW189:AW218" si="59">IFERROR(100-AV189,"")</f>
        <v>44.745762711864401</v>
      </c>
      <c r="AX189" s="138" t="str">
        <f>IFERROR((1-((AV189*AR189)/(AW189*AQ189)))*100,"")</f>
        <v/>
      </c>
      <c r="AY189" s="95">
        <v>79.8</v>
      </c>
      <c r="AZ189" s="96">
        <v>59.885000000000005</v>
      </c>
      <c r="BA189" s="96"/>
      <c r="BB189" s="96">
        <v>112</v>
      </c>
      <c r="BC189" s="96"/>
      <c r="BD189" s="97">
        <v>121.87</v>
      </c>
      <c r="BE189" s="142">
        <f t="shared" ref="BE189:BE218" si="60">IF(SUM(BF189:BL189)=0,"",SUM(BF189:BL189))</f>
        <v>1437</v>
      </c>
      <c r="BF189" s="98">
        <v>36</v>
      </c>
      <c r="BG189" s="98">
        <v>0</v>
      </c>
      <c r="BH189" s="98">
        <v>1401</v>
      </c>
      <c r="BI189" s="98"/>
      <c r="BJ189" s="98"/>
      <c r="BK189" s="98"/>
      <c r="BL189" s="98"/>
    </row>
    <row r="190" spans="1:64" outlineLevel="5" x14ac:dyDescent="0.3">
      <c r="A190" s="152">
        <f t="shared" si="51"/>
        <v>6</v>
      </c>
      <c r="B190" s="153">
        <f t="shared" si="50"/>
        <v>43984</v>
      </c>
      <c r="C190" s="138">
        <f>IFERROR(ROUND(AVERAGE(D190:K190),1),"")</f>
        <v>38.5</v>
      </c>
      <c r="D190" s="84">
        <v>39</v>
      </c>
      <c r="E190" s="84">
        <v>38</v>
      </c>
      <c r="F190" s="84"/>
      <c r="G190" s="84"/>
      <c r="H190" s="84"/>
      <c r="I190" s="84"/>
      <c r="J190" s="84"/>
      <c r="K190" s="84"/>
      <c r="L190" s="140" t="str">
        <f>IFERROR(ROUND(AVERAGE(M190:T190),1),"")</f>
        <v/>
      </c>
      <c r="M190" s="86"/>
      <c r="N190" s="86"/>
      <c r="O190" s="86"/>
      <c r="P190" s="86"/>
      <c r="Q190" s="86"/>
      <c r="R190" s="86"/>
      <c r="S190" s="86"/>
      <c r="T190" s="86"/>
      <c r="U190" s="142" t="str">
        <f>IFERROR(ROUND(AVERAGE(V190:AC190),1),"")</f>
        <v/>
      </c>
      <c r="V190" s="88"/>
      <c r="W190" s="88"/>
      <c r="X190" s="88"/>
      <c r="Y190" s="88"/>
      <c r="Z190" s="88"/>
      <c r="AA190" s="88"/>
      <c r="AB190" s="88"/>
      <c r="AC190" s="88"/>
      <c r="AD190" s="142" t="str">
        <f>IFERROR(ROUND(AVERAGE(AE190:AL190),1),"")</f>
        <v/>
      </c>
      <c r="AE190" s="88"/>
      <c r="AF190" s="88"/>
      <c r="AG190" s="88"/>
      <c r="AH190" s="88"/>
      <c r="AI190" s="88"/>
      <c r="AJ190" s="88"/>
      <c r="AK190" s="88"/>
      <c r="AL190" s="88"/>
      <c r="AM190" s="88">
        <v>36.052551176290869</v>
      </c>
      <c r="AN190" s="88">
        <v>130.91999999999999</v>
      </c>
      <c r="AO190" s="89" t="s">
        <v>56</v>
      </c>
      <c r="AP190" s="90" t="s">
        <v>56</v>
      </c>
      <c r="AQ190" s="146" t="str">
        <f t="shared" si="56"/>
        <v/>
      </c>
      <c r="AR190" s="146" t="str">
        <f t="shared" si="57"/>
        <v/>
      </c>
      <c r="AS190" s="147">
        <v>20</v>
      </c>
      <c r="AT190" s="148" t="s">
        <v>56</v>
      </c>
      <c r="AU190" s="149" t="s">
        <v>56</v>
      </c>
      <c r="AV190" s="146" t="str">
        <f t="shared" si="58"/>
        <v/>
      </c>
      <c r="AW190" s="146" t="str">
        <f t="shared" si="59"/>
        <v/>
      </c>
      <c r="AX190" s="138" t="str">
        <f>IFERROR((1-((AV190*AR190)/(AW190*AQ190)))*100,"")</f>
        <v/>
      </c>
      <c r="AY190" s="95" t="s">
        <v>56</v>
      </c>
      <c r="AZ190" s="96">
        <v>62.370000000000005</v>
      </c>
      <c r="BA190" s="96"/>
      <c r="BB190" s="96">
        <v>79.5</v>
      </c>
      <c r="BC190" s="96"/>
      <c r="BD190" s="97">
        <v>130.91999999999999</v>
      </c>
      <c r="BE190" s="142">
        <f t="shared" si="60"/>
        <v>4706</v>
      </c>
      <c r="BF190" s="98">
        <v>48</v>
      </c>
      <c r="BG190" s="98">
        <v>0</v>
      </c>
      <c r="BH190" s="98">
        <v>4658</v>
      </c>
      <c r="BI190" s="98"/>
      <c r="BJ190" s="98"/>
      <c r="BK190" s="98"/>
      <c r="BL190" s="98"/>
    </row>
    <row r="191" spans="1:64" outlineLevel="5" x14ac:dyDescent="0.3">
      <c r="A191" s="152">
        <f t="shared" si="51"/>
        <v>6</v>
      </c>
      <c r="B191" s="153">
        <f t="shared" si="50"/>
        <v>43985</v>
      </c>
      <c r="C191" s="138">
        <f>IFERROR(ROUND(AVERAGE(D191:K191),1),"")</f>
        <v>39</v>
      </c>
      <c r="D191" s="84">
        <v>39</v>
      </c>
      <c r="E191" s="84">
        <v>39</v>
      </c>
      <c r="F191" s="84"/>
      <c r="G191" s="84"/>
      <c r="H191" s="84"/>
      <c r="I191" s="84"/>
      <c r="J191" s="84"/>
      <c r="K191" s="84"/>
      <c r="L191" s="140">
        <f>IFERROR(ROUND(AVERAGE(M191:T191),1),"")</f>
        <v>7.8</v>
      </c>
      <c r="M191" s="86">
        <v>7.89</v>
      </c>
      <c r="N191" s="86">
        <v>7.71</v>
      </c>
      <c r="O191" s="86"/>
      <c r="P191" s="86"/>
      <c r="Q191" s="86"/>
      <c r="R191" s="86"/>
      <c r="S191" s="86"/>
      <c r="T191" s="86"/>
      <c r="U191" s="142">
        <f>IFERROR(ROUND(AVERAGE(V191:AC191),1),"")</f>
        <v>1254.3</v>
      </c>
      <c r="V191" s="88">
        <v>1297.5</v>
      </c>
      <c r="W191" s="88">
        <v>1211</v>
      </c>
      <c r="X191" s="88"/>
      <c r="Y191" s="88"/>
      <c r="Z191" s="88"/>
      <c r="AA191" s="88"/>
      <c r="AB191" s="88"/>
      <c r="AC191" s="88"/>
      <c r="AD191" s="142" t="str">
        <f>IFERROR(ROUND(AVERAGE(AE191:AL191),1),"")</f>
        <v/>
      </c>
      <c r="AE191" s="88"/>
      <c r="AF191" s="88"/>
      <c r="AG191" s="88"/>
      <c r="AH191" s="88"/>
      <c r="AI191" s="88"/>
      <c r="AJ191" s="88"/>
      <c r="AK191" s="88"/>
      <c r="AL191" s="88"/>
      <c r="AM191" s="88">
        <v>36.492964280191742</v>
      </c>
      <c r="AN191" s="88">
        <v>129.34</v>
      </c>
      <c r="AO191" s="89"/>
      <c r="AP191" s="90"/>
      <c r="AQ191" s="146" t="str">
        <f t="shared" si="56"/>
        <v/>
      </c>
      <c r="AR191" s="146" t="str">
        <f t="shared" si="57"/>
        <v/>
      </c>
      <c r="AS191" s="147">
        <v>30</v>
      </c>
      <c r="AT191" s="148">
        <v>15.55</v>
      </c>
      <c r="AU191" s="149">
        <v>8.8000000000000007</v>
      </c>
      <c r="AV191" s="146">
        <f t="shared" si="58"/>
        <v>56.59163987138264</v>
      </c>
      <c r="AW191" s="146">
        <f t="shared" si="59"/>
        <v>43.40836012861736</v>
      </c>
      <c r="AX191" s="138" t="str">
        <f>IFERROR((1-((AV191*AR191)/(AW191*AQ191)))*100,"")</f>
        <v/>
      </c>
      <c r="AY191" s="95">
        <v>77.099999999999994</v>
      </c>
      <c r="AZ191" s="96">
        <v>61.96</v>
      </c>
      <c r="BA191" s="96"/>
      <c r="BB191" s="96">
        <v>99</v>
      </c>
      <c r="BC191" s="96"/>
      <c r="BD191" s="97">
        <v>129.34</v>
      </c>
      <c r="BE191" s="142">
        <f t="shared" si="60"/>
        <v>5446</v>
      </c>
      <c r="BF191" s="98">
        <v>31</v>
      </c>
      <c r="BG191" s="98">
        <v>0</v>
      </c>
      <c r="BH191" s="98">
        <v>5415</v>
      </c>
      <c r="BI191" s="98"/>
      <c r="BJ191" s="98"/>
      <c r="BK191" s="98"/>
      <c r="BL191" s="98"/>
    </row>
    <row r="192" spans="1:64" outlineLevel="5" x14ac:dyDescent="0.3">
      <c r="A192" s="152">
        <f t="shared" si="51"/>
        <v>6</v>
      </c>
      <c r="B192" s="153">
        <f t="shared" si="50"/>
        <v>43986</v>
      </c>
      <c r="C192" s="138">
        <f>IFERROR(ROUND(AVERAGE(D192:K192),1),"")</f>
        <v>39</v>
      </c>
      <c r="D192" s="84">
        <v>39</v>
      </c>
      <c r="E192" s="84">
        <v>39</v>
      </c>
      <c r="F192" s="84"/>
      <c r="G192" s="84"/>
      <c r="H192" s="84"/>
      <c r="I192" s="84"/>
      <c r="J192" s="84"/>
      <c r="K192" s="84"/>
      <c r="L192" s="140">
        <f>IFERROR(ROUND(AVERAGE(M192:T192),1),"")</f>
        <v>7.9</v>
      </c>
      <c r="M192" s="86">
        <v>7.9</v>
      </c>
      <c r="N192" s="86">
        <v>7.8</v>
      </c>
      <c r="O192" s="86"/>
      <c r="P192" s="86"/>
      <c r="Q192" s="86"/>
      <c r="R192" s="86"/>
      <c r="S192" s="86"/>
      <c r="T192" s="86"/>
      <c r="U192" s="142">
        <f>IFERROR(ROUND(AVERAGE(V192:AC192),1),"")</f>
        <v>1254.3</v>
      </c>
      <c r="V192" s="88">
        <v>1340.8</v>
      </c>
      <c r="W192" s="88">
        <v>1167.8</v>
      </c>
      <c r="X192" s="88"/>
      <c r="Y192" s="88"/>
      <c r="Z192" s="88"/>
      <c r="AA192" s="88"/>
      <c r="AB192" s="88"/>
      <c r="AC192" s="88"/>
      <c r="AD192" s="142" t="str">
        <f>IFERROR(ROUND(AVERAGE(AE192:AL192),1),"")</f>
        <v/>
      </c>
      <c r="AE192" s="88"/>
      <c r="AF192" s="88"/>
      <c r="AG192" s="88"/>
      <c r="AH192" s="88"/>
      <c r="AI192" s="88"/>
      <c r="AJ192" s="88"/>
      <c r="AK192" s="88"/>
      <c r="AL192" s="88"/>
      <c r="AM192" s="88">
        <v>36.165811048961771</v>
      </c>
      <c r="AN192" s="88">
        <v>130.51</v>
      </c>
      <c r="AO192" s="89"/>
      <c r="AP192" s="90"/>
      <c r="AQ192" s="146" t="str">
        <f t="shared" si="56"/>
        <v/>
      </c>
      <c r="AR192" s="146" t="str">
        <f t="shared" si="57"/>
        <v/>
      </c>
      <c r="AS192" s="147">
        <v>30</v>
      </c>
      <c r="AT192" s="148">
        <v>14.55</v>
      </c>
      <c r="AU192" s="149">
        <v>9.35</v>
      </c>
      <c r="AV192" s="146">
        <f t="shared" si="58"/>
        <v>64.261168384879724</v>
      </c>
      <c r="AW192" s="146">
        <f t="shared" si="59"/>
        <v>35.738831615120276</v>
      </c>
      <c r="AX192" s="138" t="str">
        <f>IFERROR((1-((AV192*AR192)/(AW192*AQ192)))*100,"")</f>
        <v/>
      </c>
      <c r="AY192" s="95">
        <v>78.800000000000011</v>
      </c>
      <c r="AZ192" s="96">
        <v>62.099999999999994</v>
      </c>
      <c r="BA192" s="96"/>
      <c r="BB192" s="96">
        <v>83.5</v>
      </c>
      <c r="BC192" s="96"/>
      <c r="BD192" s="97">
        <v>130.51</v>
      </c>
      <c r="BE192" s="142">
        <f t="shared" si="60"/>
        <v>4126</v>
      </c>
      <c r="BF192" s="98">
        <v>0</v>
      </c>
      <c r="BG192" s="98">
        <v>0</v>
      </c>
      <c r="BH192" s="98">
        <v>4126</v>
      </c>
      <c r="BI192" s="98"/>
      <c r="BJ192" s="98"/>
      <c r="BK192" s="98"/>
      <c r="BL192" s="98"/>
    </row>
    <row r="193" spans="1:64" outlineLevel="5" x14ac:dyDescent="0.3">
      <c r="A193" s="152">
        <f t="shared" si="51"/>
        <v>6</v>
      </c>
      <c r="B193" s="153">
        <f t="shared" si="50"/>
        <v>43987</v>
      </c>
      <c r="C193" s="138">
        <f>IFERROR(ROUND(AVERAGE(D193:K193),1),"")</f>
        <v>38.5</v>
      </c>
      <c r="D193" s="84">
        <v>39</v>
      </c>
      <c r="E193" s="84">
        <v>38</v>
      </c>
      <c r="F193" s="84"/>
      <c r="G193" s="84"/>
      <c r="H193" s="84"/>
      <c r="I193" s="84"/>
      <c r="J193" s="84"/>
      <c r="K193" s="84"/>
      <c r="L193" s="140" t="str">
        <f>IFERROR(ROUND(AVERAGE(M193:T193),1),"")</f>
        <v/>
      </c>
      <c r="M193" s="86"/>
      <c r="N193" s="86"/>
      <c r="O193" s="86"/>
      <c r="P193" s="86"/>
      <c r="Q193" s="86"/>
      <c r="R193" s="86"/>
      <c r="S193" s="86"/>
      <c r="T193" s="86"/>
      <c r="U193" s="142" t="str">
        <f>IFERROR(ROUND(AVERAGE(V193:AC193),1),"")</f>
        <v/>
      </c>
      <c r="V193" s="88"/>
      <c r="W193" s="88"/>
      <c r="X193" s="88"/>
      <c r="Y193" s="88"/>
      <c r="Z193" s="88"/>
      <c r="AA193" s="88"/>
      <c r="AB193" s="88"/>
      <c r="AC193" s="88"/>
      <c r="AD193" s="142" t="str">
        <f>IFERROR(ROUND(AVERAGE(AE193:AL193),1),"")</f>
        <v/>
      </c>
      <c r="AE193" s="88"/>
      <c r="AF193" s="88"/>
      <c r="AG193" s="88"/>
      <c r="AH193" s="88"/>
      <c r="AI193" s="88"/>
      <c r="AJ193" s="88"/>
      <c r="AK193" s="88"/>
      <c r="AL193" s="88"/>
      <c r="AM193" s="88">
        <v>50.933419661163278</v>
      </c>
      <c r="AN193" s="88">
        <v>92.669999999999987</v>
      </c>
      <c r="AO193" s="89">
        <v>13.7</v>
      </c>
      <c r="AP193" s="90">
        <v>11.6998</v>
      </c>
      <c r="AQ193" s="146">
        <f t="shared" si="56"/>
        <v>85.399999999999991</v>
      </c>
      <c r="AR193" s="146">
        <f t="shared" si="57"/>
        <v>14.600000000000009</v>
      </c>
      <c r="AS193" s="147">
        <v>30</v>
      </c>
      <c r="AT193" s="148" t="s">
        <v>56</v>
      </c>
      <c r="AU193" s="149" t="s">
        <v>56</v>
      </c>
      <c r="AV193" s="146" t="str">
        <f t="shared" si="58"/>
        <v/>
      </c>
      <c r="AW193" s="146" t="str">
        <f t="shared" si="59"/>
        <v/>
      </c>
      <c r="AX193" s="138" t="str">
        <f>IFERROR((1-((AV193*AR193)/(AW193*AQ193)))*100,"")</f>
        <v/>
      </c>
      <c r="AY193" s="95" t="s">
        <v>56</v>
      </c>
      <c r="AZ193" s="96">
        <v>60.975000000000001</v>
      </c>
      <c r="BA193" s="96"/>
      <c r="BB193" s="96">
        <v>100</v>
      </c>
      <c r="BC193" s="96"/>
      <c r="BD193" s="97">
        <v>92.669999999999987</v>
      </c>
      <c r="BE193" s="142">
        <f t="shared" si="60"/>
        <v>5772</v>
      </c>
      <c r="BF193" s="98">
        <v>0</v>
      </c>
      <c r="BG193" s="98">
        <v>0</v>
      </c>
      <c r="BH193" s="98">
        <v>5772</v>
      </c>
      <c r="BI193" s="98"/>
      <c r="BJ193" s="98"/>
      <c r="BK193" s="98"/>
      <c r="BL193" s="98"/>
    </row>
    <row r="194" spans="1:64" outlineLevel="5" x14ac:dyDescent="0.3">
      <c r="A194" s="152">
        <f t="shared" si="51"/>
        <v>6</v>
      </c>
      <c r="B194" s="153">
        <f t="shared" si="50"/>
        <v>43988</v>
      </c>
      <c r="C194" s="138">
        <f>IFERROR(ROUND(AVERAGE(D194:K194),1),"")</f>
        <v>39</v>
      </c>
      <c r="D194" s="84">
        <v>39</v>
      </c>
      <c r="E194" s="84">
        <v>39</v>
      </c>
      <c r="F194" s="84"/>
      <c r="G194" s="84"/>
      <c r="H194" s="84"/>
      <c r="I194" s="84"/>
      <c r="J194" s="84"/>
      <c r="K194" s="84"/>
      <c r="L194" s="140" t="str">
        <f>IFERROR(ROUND(AVERAGE(M194:T194),1),"")</f>
        <v/>
      </c>
      <c r="M194" s="86"/>
      <c r="N194" s="86"/>
      <c r="O194" s="86"/>
      <c r="P194" s="86"/>
      <c r="Q194" s="86"/>
      <c r="R194" s="86"/>
      <c r="S194" s="86"/>
      <c r="T194" s="86"/>
      <c r="U194" s="142" t="str">
        <f>IFERROR(ROUND(AVERAGE(V194:AC194),1),"")</f>
        <v/>
      </c>
      <c r="V194" s="88"/>
      <c r="W194" s="88"/>
      <c r="X194" s="88"/>
      <c r="Y194" s="88"/>
      <c r="Z194" s="88"/>
      <c r="AA194" s="88"/>
      <c r="AB194" s="88"/>
      <c r="AC194" s="88"/>
      <c r="AD194" s="142" t="str">
        <f>IFERROR(ROUND(AVERAGE(AE194:AL194),1),"")</f>
        <v/>
      </c>
      <c r="AE194" s="88"/>
      <c r="AF194" s="88"/>
      <c r="AG194" s="88"/>
      <c r="AH194" s="88"/>
      <c r="AI194" s="88"/>
      <c r="AJ194" s="88"/>
      <c r="AK194" s="88"/>
      <c r="AL194" s="88"/>
      <c r="AM194" s="88">
        <v>46.274509803921568</v>
      </c>
      <c r="AN194" s="88">
        <v>102</v>
      </c>
      <c r="AO194" s="89" t="s">
        <v>56</v>
      </c>
      <c r="AP194" s="90" t="s">
        <v>56</v>
      </c>
      <c r="AQ194" s="146" t="str">
        <f t="shared" si="56"/>
        <v/>
      </c>
      <c r="AR194" s="146" t="str">
        <f t="shared" si="57"/>
        <v/>
      </c>
      <c r="AS194" s="147">
        <v>30</v>
      </c>
      <c r="AT194" s="148" t="s">
        <v>56</v>
      </c>
      <c r="AU194" s="149" t="s">
        <v>56</v>
      </c>
      <c r="AV194" s="146" t="str">
        <f t="shared" si="58"/>
        <v/>
      </c>
      <c r="AW194" s="146" t="str">
        <f t="shared" si="59"/>
        <v/>
      </c>
      <c r="AX194" s="138" t="str">
        <f>IFERROR((1-((AV194*AR194)/(AW194*AQ194)))*100,"")</f>
        <v/>
      </c>
      <c r="AY194" s="95" t="s">
        <v>56</v>
      </c>
      <c r="AZ194" s="96">
        <v>62.83</v>
      </c>
      <c r="BA194" s="96"/>
      <c r="BB194" s="96">
        <v>68</v>
      </c>
      <c r="BC194" s="96"/>
      <c r="BD194" s="97">
        <v>102</v>
      </c>
      <c r="BE194" s="142">
        <f t="shared" si="60"/>
        <v>3937</v>
      </c>
      <c r="BF194" s="98">
        <v>30</v>
      </c>
      <c r="BG194" s="98">
        <v>0</v>
      </c>
      <c r="BH194" s="98">
        <v>3907</v>
      </c>
      <c r="BI194" s="98"/>
      <c r="BJ194" s="98"/>
      <c r="BK194" s="98"/>
      <c r="BL194" s="98"/>
    </row>
    <row r="195" spans="1:64" outlineLevel="5" x14ac:dyDescent="0.3">
      <c r="A195" s="152">
        <f t="shared" si="51"/>
        <v>6</v>
      </c>
      <c r="B195" s="153">
        <f t="shared" si="50"/>
        <v>43989</v>
      </c>
      <c r="C195" s="138">
        <f>IFERROR(ROUND(AVERAGE(D195:K195),1),"")</f>
        <v>39</v>
      </c>
      <c r="D195" s="84">
        <v>39</v>
      </c>
      <c r="E195" s="84">
        <v>39</v>
      </c>
      <c r="F195" s="84"/>
      <c r="G195" s="84"/>
      <c r="H195" s="84"/>
      <c r="I195" s="84"/>
      <c r="J195" s="84"/>
      <c r="K195" s="84"/>
      <c r="L195" s="140" t="str">
        <f>IFERROR(ROUND(AVERAGE(M195:T195),1),"")</f>
        <v/>
      </c>
      <c r="M195" s="86"/>
      <c r="N195" s="86"/>
      <c r="O195" s="86"/>
      <c r="P195" s="86"/>
      <c r="Q195" s="86"/>
      <c r="R195" s="86"/>
      <c r="S195" s="86"/>
      <c r="T195" s="86"/>
      <c r="U195" s="142" t="str">
        <f>IFERROR(ROUND(AVERAGE(V195:AC195),1),"")</f>
        <v/>
      </c>
      <c r="V195" s="88"/>
      <c r="W195" s="88"/>
      <c r="X195" s="88"/>
      <c r="Y195" s="88"/>
      <c r="Z195" s="88"/>
      <c r="AA195" s="88"/>
      <c r="AB195" s="88"/>
      <c r="AC195" s="88"/>
      <c r="AD195" s="142" t="str">
        <f>IFERROR(ROUND(AVERAGE(AE195:AL195),1),"")</f>
        <v/>
      </c>
      <c r="AE195" s="88"/>
      <c r="AF195" s="88"/>
      <c r="AG195" s="88"/>
      <c r="AH195" s="88"/>
      <c r="AI195" s="88"/>
      <c r="AJ195" s="88"/>
      <c r="AK195" s="88"/>
      <c r="AL195" s="88"/>
      <c r="AM195" s="88">
        <v>59.746835443037973</v>
      </c>
      <c r="AN195" s="88">
        <v>79</v>
      </c>
      <c r="AO195" s="89" t="s">
        <v>56</v>
      </c>
      <c r="AP195" s="90" t="s">
        <v>56</v>
      </c>
      <c r="AQ195" s="146" t="str">
        <f t="shared" si="56"/>
        <v/>
      </c>
      <c r="AR195" s="146" t="str">
        <f t="shared" si="57"/>
        <v/>
      </c>
      <c r="AS195" s="147">
        <v>0</v>
      </c>
      <c r="AT195" s="148" t="s">
        <v>56</v>
      </c>
      <c r="AU195" s="149" t="s">
        <v>56</v>
      </c>
      <c r="AV195" s="146" t="str">
        <f t="shared" si="58"/>
        <v/>
      </c>
      <c r="AW195" s="146" t="str">
        <f t="shared" si="59"/>
        <v/>
      </c>
      <c r="AX195" s="138" t="str">
        <f>IFERROR((1-((AV195*AR195)/(AW195*AQ195)))*100,"")</f>
        <v/>
      </c>
      <c r="AY195" s="95" t="s">
        <v>56</v>
      </c>
      <c r="AZ195" s="96">
        <v>62.585000000000001</v>
      </c>
      <c r="BA195" s="96"/>
      <c r="BB195" s="96">
        <v>108.5</v>
      </c>
      <c r="BC195" s="96"/>
      <c r="BD195" s="97">
        <v>79</v>
      </c>
      <c r="BE195" s="142">
        <f t="shared" si="60"/>
        <v>4859</v>
      </c>
      <c r="BF195" s="98">
        <v>42</v>
      </c>
      <c r="BG195" s="98">
        <v>0</v>
      </c>
      <c r="BH195" s="98">
        <v>4817</v>
      </c>
      <c r="BI195" s="98"/>
      <c r="BJ195" s="98"/>
      <c r="BK195" s="98"/>
      <c r="BL195" s="98"/>
    </row>
    <row r="196" spans="1:64" outlineLevel="5" x14ac:dyDescent="0.3">
      <c r="A196" s="152">
        <f t="shared" si="51"/>
        <v>6</v>
      </c>
      <c r="B196" s="153">
        <f t="shared" si="50"/>
        <v>43990</v>
      </c>
      <c r="C196" s="138">
        <f>IFERROR(ROUND(AVERAGE(D196:K196),1),"")</f>
        <v>39</v>
      </c>
      <c r="D196" s="84">
        <v>39</v>
      </c>
      <c r="E196" s="84">
        <v>39</v>
      </c>
      <c r="F196" s="84"/>
      <c r="G196" s="84"/>
      <c r="H196" s="84"/>
      <c r="I196" s="84"/>
      <c r="J196" s="84"/>
      <c r="K196" s="84"/>
      <c r="L196" s="140">
        <f>IFERROR(ROUND(AVERAGE(M196:T196),1),"")</f>
        <v>7.9</v>
      </c>
      <c r="M196" s="86">
        <v>7.91</v>
      </c>
      <c r="N196" s="86">
        <v>7.83</v>
      </c>
      <c r="O196" s="86"/>
      <c r="P196" s="86"/>
      <c r="Q196" s="86"/>
      <c r="R196" s="86"/>
      <c r="S196" s="86"/>
      <c r="T196" s="86"/>
      <c r="U196" s="142">
        <f>IFERROR(ROUND(AVERAGE(V196:AC196),1),"")</f>
        <v>1256.5</v>
      </c>
      <c r="V196" s="88">
        <v>1444.6</v>
      </c>
      <c r="W196" s="88">
        <v>1068.3</v>
      </c>
      <c r="X196" s="88"/>
      <c r="Y196" s="88"/>
      <c r="Z196" s="88"/>
      <c r="AA196" s="88"/>
      <c r="AB196" s="88"/>
      <c r="AC196" s="88"/>
      <c r="AD196" s="142" t="str">
        <f>IFERROR(ROUND(AVERAGE(AE196:AL196),1),"")</f>
        <v/>
      </c>
      <c r="AE196" s="88"/>
      <c r="AF196" s="88"/>
      <c r="AG196" s="88"/>
      <c r="AH196" s="88"/>
      <c r="AI196" s="88"/>
      <c r="AJ196" s="88"/>
      <c r="AK196" s="88"/>
      <c r="AL196" s="88"/>
      <c r="AM196" s="88">
        <v>38.302361437961537</v>
      </c>
      <c r="AN196" s="88">
        <v>123.22999999999999</v>
      </c>
      <c r="AO196" s="89" t="s">
        <v>56</v>
      </c>
      <c r="AP196" s="90" t="s">
        <v>56</v>
      </c>
      <c r="AQ196" s="146" t="str">
        <f t="shared" si="56"/>
        <v/>
      </c>
      <c r="AR196" s="146" t="str">
        <f t="shared" si="57"/>
        <v/>
      </c>
      <c r="AS196" s="147">
        <v>33</v>
      </c>
      <c r="AT196" s="148">
        <v>14</v>
      </c>
      <c r="AU196" s="149">
        <v>8.0500000000000007</v>
      </c>
      <c r="AV196" s="146">
        <f t="shared" si="58"/>
        <v>57.500000000000007</v>
      </c>
      <c r="AW196" s="146">
        <f t="shared" si="59"/>
        <v>42.499999999999993</v>
      </c>
      <c r="AX196" s="138" t="str">
        <f>IFERROR((1-((AV196*AR196)/(AW196*AQ196)))*100,"")</f>
        <v/>
      </c>
      <c r="AY196" s="95">
        <v>78.8</v>
      </c>
      <c r="AZ196" s="96">
        <v>60.094999999999999</v>
      </c>
      <c r="BA196" s="96"/>
      <c r="BB196" s="96">
        <v>126.5</v>
      </c>
      <c r="BC196" s="96"/>
      <c r="BD196" s="97">
        <v>123.22999999999999</v>
      </c>
      <c r="BE196" s="142">
        <f t="shared" si="60"/>
        <v>4662</v>
      </c>
      <c r="BF196" s="98">
        <v>0</v>
      </c>
      <c r="BG196" s="98">
        <v>0</v>
      </c>
      <c r="BH196" s="98">
        <v>4662</v>
      </c>
      <c r="BI196" s="98"/>
      <c r="BJ196" s="98"/>
      <c r="BK196" s="98"/>
      <c r="BL196" s="98"/>
    </row>
    <row r="197" spans="1:64" outlineLevel="5" x14ac:dyDescent="0.3">
      <c r="A197" s="152">
        <f t="shared" si="51"/>
        <v>6</v>
      </c>
      <c r="B197" s="153">
        <f t="shared" si="50"/>
        <v>43991</v>
      </c>
      <c r="C197" s="138">
        <f>IFERROR(ROUND(AVERAGE(D197:K197),1),"")</f>
        <v>38.5</v>
      </c>
      <c r="D197" s="84">
        <v>37</v>
      </c>
      <c r="E197" s="84">
        <v>40</v>
      </c>
      <c r="F197" s="84"/>
      <c r="G197" s="84"/>
      <c r="H197" s="84"/>
      <c r="I197" s="84"/>
      <c r="J197" s="84"/>
      <c r="K197" s="84"/>
      <c r="L197" s="140" t="str">
        <f>IFERROR(ROUND(AVERAGE(M197:T197),1),"")</f>
        <v/>
      </c>
      <c r="M197" s="86"/>
      <c r="N197" s="86"/>
      <c r="O197" s="86"/>
      <c r="P197" s="86"/>
      <c r="Q197" s="86"/>
      <c r="R197" s="86"/>
      <c r="S197" s="86"/>
      <c r="T197" s="86"/>
      <c r="U197" s="142" t="str">
        <f>IFERROR(ROUND(AVERAGE(V197:AC197),1),"")</f>
        <v/>
      </c>
      <c r="V197" s="88"/>
      <c r="W197" s="88"/>
      <c r="X197" s="88"/>
      <c r="Y197" s="88"/>
      <c r="Z197" s="88"/>
      <c r="AA197" s="88"/>
      <c r="AB197" s="88"/>
      <c r="AC197" s="88"/>
      <c r="AD197" s="142" t="str">
        <f>IFERROR(ROUND(AVERAGE(AE197:AL197),1),"")</f>
        <v/>
      </c>
      <c r="AE197" s="88"/>
      <c r="AF197" s="88"/>
      <c r="AG197" s="88"/>
      <c r="AH197" s="88"/>
      <c r="AI197" s="88"/>
      <c r="AJ197" s="88"/>
      <c r="AK197" s="88"/>
      <c r="AL197" s="88"/>
      <c r="AM197" s="88">
        <v>38.985710745849509</v>
      </c>
      <c r="AN197" s="88">
        <v>121.07</v>
      </c>
      <c r="AO197" s="89" t="s">
        <v>56</v>
      </c>
      <c r="AP197" s="90"/>
      <c r="AQ197" s="146" t="str">
        <f t="shared" si="56"/>
        <v/>
      </c>
      <c r="AR197" s="146" t="str">
        <f t="shared" si="57"/>
        <v/>
      </c>
      <c r="AS197" s="147">
        <v>40</v>
      </c>
      <c r="AT197" s="148" t="s">
        <v>56</v>
      </c>
      <c r="AU197" s="149" t="s">
        <v>56</v>
      </c>
      <c r="AV197" s="146" t="str">
        <f t="shared" si="58"/>
        <v/>
      </c>
      <c r="AW197" s="146" t="str">
        <f t="shared" si="59"/>
        <v/>
      </c>
      <c r="AX197" s="138" t="str">
        <f>IFERROR((1-((AV197*AR197)/(AW197*AQ197)))*100,"")</f>
        <v/>
      </c>
      <c r="AY197" s="95" t="s">
        <v>56</v>
      </c>
      <c r="AZ197" s="96">
        <v>62.075000000000003</v>
      </c>
      <c r="BA197" s="96"/>
      <c r="BB197" s="96">
        <v>103</v>
      </c>
      <c r="BC197" s="96"/>
      <c r="BD197" s="97">
        <v>121.07</v>
      </c>
      <c r="BE197" s="142">
        <f t="shared" si="60"/>
        <v>4038</v>
      </c>
      <c r="BF197" s="98">
        <v>52</v>
      </c>
      <c r="BG197" s="98">
        <v>0</v>
      </c>
      <c r="BH197" s="98">
        <v>3986</v>
      </c>
      <c r="BI197" s="98"/>
      <c r="BJ197" s="98"/>
      <c r="BK197" s="98"/>
      <c r="BL197" s="98"/>
    </row>
    <row r="198" spans="1:64" outlineLevel="5" x14ac:dyDescent="0.3">
      <c r="A198" s="152">
        <f t="shared" si="51"/>
        <v>6</v>
      </c>
      <c r="B198" s="153">
        <f t="shared" si="50"/>
        <v>43992</v>
      </c>
      <c r="C198" s="138">
        <f>IFERROR(ROUND(AVERAGE(D198:K198),1),"")</f>
        <v>39.5</v>
      </c>
      <c r="D198" s="84">
        <v>39</v>
      </c>
      <c r="E198" s="84">
        <v>40</v>
      </c>
      <c r="F198" s="84"/>
      <c r="G198" s="84"/>
      <c r="H198" s="84"/>
      <c r="I198" s="84"/>
      <c r="J198" s="84"/>
      <c r="K198" s="84"/>
      <c r="L198" s="140">
        <f>IFERROR(ROUND(AVERAGE(M198:T198),1),"")</f>
        <v>7.9</v>
      </c>
      <c r="M198" s="86">
        <v>7.9</v>
      </c>
      <c r="N198" s="86">
        <v>7.8</v>
      </c>
      <c r="O198" s="86"/>
      <c r="P198" s="86"/>
      <c r="Q198" s="86"/>
      <c r="R198" s="86"/>
      <c r="S198" s="86"/>
      <c r="T198" s="86"/>
      <c r="U198" s="142">
        <f>IFERROR(ROUND(AVERAGE(V198:AC198),1),"")</f>
        <v>1319.2</v>
      </c>
      <c r="V198" s="88">
        <v>1513.8</v>
      </c>
      <c r="W198" s="88">
        <v>1124.5</v>
      </c>
      <c r="X198" s="88"/>
      <c r="Y198" s="88"/>
      <c r="Z198" s="88"/>
      <c r="AA198" s="88"/>
      <c r="AB198" s="88"/>
      <c r="AC198" s="88"/>
      <c r="AD198" s="142" t="str">
        <f>IFERROR(ROUND(AVERAGE(AE198:AL198),1),"")</f>
        <v/>
      </c>
      <c r="AE198" s="88"/>
      <c r="AF198" s="88"/>
      <c r="AG198" s="88"/>
      <c r="AH198" s="88"/>
      <c r="AI198" s="88"/>
      <c r="AJ198" s="88"/>
      <c r="AK198" s="88"/>
      <c r="AL198" s="88"/>
      <c r="AM198" s="88">
        <v>35.265989240884636</v>
      </c>
      <c r="AN198" s="88">
        <v>133.84</v>
      </c>
      <c r="AO198" s="89"/>
      <c r="AP198" s="90"/>
      <c r="AQ198" s="146" t="str">
        <f t="shared" si="56"/>
        <v/>
      </c>
      <c r="AR198" s="146" t="str">
        <f t="shared" si="57"/>
        <v/>
      </c>
      <c r="AS198" s="147">
        <v>40</v>
      </c>
      <c r="AT198" s="148">
        <v>15.2</v>
      </c>
      <c r="AU198" s="149">
        <v>8.0500000000000007</v>
      </c>
      <c r="AV198" s="146">
        <f t="shared" si="58"/>
        <v>52.96052631578948</v>
      </c>
      <c r="AW198" s="146">
        <f t="shared" si="59"/>
        <v>47.03947368421052</v>
      </c>
      <c r="AX198" s="138" t="str">
        <f>IFERROR((1-((AV198*AR198)/(AW198*AQ198)))*100,"")</f>
        <v/>
      </c>
      <c r="AY198" s="95">
        <v>78.5</v>
      </c>
      <c r="AZ198" s="96">
        <v>61.33</v>
      </c>
      <c r="BA198" s="96"/>
      <c r="BB198" s="96">
        <v>71.5</v>
      </c>
      <c r="BC198" s="96"/>
      <c r="BD198" s="97">
        <v>133.84</v>
      </c>
      <c r="BE198" s="142">
        <f t="shared" si="60"/>
        <v>5267</v>
      </c>
      <c r="BF198" s="98">
        <v>59</v>
      </c>
      <c r="BG198" s="98">
        <v>0</v>
      </c>
      <c r="BH198" s="98">
        <v>5208</v>
      </c>
      <c r="BI198" s="98"/>
      <c r="BJ198" s="98"/>
      <c r="BK198" s="98"/>
      <c r="BL198" s="98"/>
    </row>
    <row r="199" spans="1:64" outlineLevel="5" x14ac:dyDescent="0.3">
      <c r="A199" s="152">
        <f t="shared" si="51"/>
        <v>6</v>
      </c>
      <c r="B199" s="153">
        <f t="shared" si="50"/>
        <v>43993</v>
      </c>
      <c r="C199" s="138">
        <f>IFERROR(ROUND(AVERAGE(D199:K199),1),"")</f>
        <v>39</v>
      </c>
      <c r="D199" s="84">
        <v>39</v>
      </c>
      <c r="E199" s="84">
        <v>39</v>
      </c>
      <c r="F199" s="84"/>
      <c r="G199" s="84"/>
      <c r="H199" s="84"/>
      <c r="I199" s="84"/>
      <c r="J199" s="84"/>
      <c r="K199" s="84"/>
      <c r="L199" s="140">
        <f>IFERROR(ROUND(AVERAGE(M199:T199),1),"")</f>
        <v>7.9</v>
      </c>
      <c r="M199" s="86">
        <v>7.93</v>
      </c>
      <c r="N199" s="86">
        <v>7.79</v>
      </c>
      <c r="O199" s="86"/>
      <c r="P199" s="86"/>
      <c r="Q199" s="86"/>
      <c r="R199" s="86"/>
      <c r="S199" s="86"/>
      <c r="T199" s="86"/>
      <c r="U199" s="142">
        <f>IFERROR(ROUND(AVERAGE(V199:AC199),1),"")</f>
        <v>1368.9</v>
      </c>
      <c r="V199" s="88">
        <v>1461.9</v>
      </c>
      <c r="W199" s="88">
        <v>1275.9000000000001</v>
      </c>
      <c r="X199" s="88"/>
      <c r="Y199" s="88"/>
      <c r="Z199" s="88"/>
      <c r="AA199" s="88"/>
      <c r="AB199" s="88"/>
      <c r="AC199" s="88"/>
      <c r="AD199" s="142" t="str">
        <f>IFERROR(ROUND(AVERAGE(AE199:AL199),1),"")</f>
        <v/>
      </c>
      <c r="AE199" s="88"/>
      <c r="AF199" s="88"/>
      <c r="AG199" s="88"/>
      <c r="AH199" s="88"/>
      <c r="AI199" s="88"/>
      <c r="AJ199" s="88"/>
      <c r="AK199" s="88"/>
      <c r="AL199" s="88"/>
      <c r="AM199" s="88">
        <v>41.388986320589268</v>
      </c>
      <c r="AN199" s="88">
        <v>114.03999999999999</v>
      </c>
      <c r="AO199" s="89"/>
      <c r="AP199" s="90"/>
      <c r="AQ199" s="146" t="str">
        <f t="shared" si="56"/>
        <v/>
      </c>
      <c r="AR199" s="146" t="str">
        <f t="shared" si="57"/>
        <v/>
      </c>
      <c r="AS199" s="147">
        <v>40</v>
      </c>
      <c r="AT199" s="148">
        <v>14.600000000000001</v>
      </c>
      <c r="AU199" s="149">
        <v>9</v>
      </c>
      <c r="AV199" s="146">
        <f t="shared" si="58"/>
        <v>61.643835616438345</v>
      </c>
      <c r="AW199" s="146">
        <f t="shared" si="59"/>
        <v>38.356164383561655</v>
      </c>
      <c r="AX199" s="138" t="str">
        <f>IFERROR((1-((AV199*AR199)/(AW199*AQ199)))*100,"")</f>
        <v/>
      </c>
      <c r="AY199" s="95">
        <v>77.150000000000006</v>
      </c>
      <c r="AZ199" s="96">
        <v>62.894999999999996</v>
      </c>
      <c r="BA199" s="96"/>
      <c r="BB199" s="96">
        <v>78</v>
      </c>
      <c r="BC199" s="96"/>
      <c r="BD199" s="97">
        <v>114.03999999999999</v>
      </c>
      <c r="BE199" s="142">
        <f t="shared" si="60"/>
        <v>5074</v>
      </c>
      <c r="BF199" s="98">
        <v>36</v>
      </c>
      <c r="BG199" s="98">
        <v>0</v>
      </c>
      <c r="BH199" s="98">
        <v>5038</v>
      </c>
      <c r="BI199" s="98"/>
      <c r="BJ199" s="98"/>
      <c r="BK199" s="98"/>
      <c r="BL199" s="98"/>
    </row>
    <row r="200" spans="1:64" outlineLevel="5" x14ac:dyDescent="0.3">
      <c r="A200" s="152">
        <f t="shared" si="51"/>
        <v>6</v>
      </c>
      <c r="B200" s="153">
        <f t="shared" si="50"/>
        <v>43994</v>
      </c>
      <c r="C200" s="138">
        <f>IFERROR(ROUND(AVERAGE(D200:K200),1),"")</f>
        <v>39</v>
      </c>
      <c r="D200" s="84">
        <v>39</v>
      </c>
      <c r="E200" s="84">
        <v>39</v>
      </c>
      <c r="F200" s="84"/>
      <c r="G200" s="84"/>
      <c r="H200" s="84"/>
      <c r="I200" s="84"/>
      <c r="J200" s="84"/>
      <c r="K200" s="84"/>
      <c r="L200" s="140" t="str">
        <f>IFERROR(ROUND(AVERAGE(M200:T200),1),"")</f>
        <v/>
      </c>
      <c r="M200" s="86"/>
      <c r="N200" s="86"/>
      <c r="O200" s="86"/>
      <c r="P200" s="86"/>
      <c r="Q200" s="86"/>
      <c r="R200" s="86"/>
      <c r="S200" s="86"/>
      <c r="T200" s="86"/>
      <c r="U200" s="142" t="str">
        <f>IFERROR(ROUND(AVERAGE(V200:AC200),1),"")</f>
        <v/>
      </c>
      <c r="V200" s="88"/>
      <c r="W200" s="88"/>
      <c r="X200" s="88"/>
      <c r="Y200" s="88"/>
      <c r="Z200" s="88"/>
      <c r="AA200" s="88"/>
      <c r="AB200" s="88"/>
      <c r="AC200" s="88"/>
      <c r="AD200" s="142" t="str">
        <f>IFERROR(ROUND(AVERAGE(AE200:AL200),1),"")</f>
        <v/>
      </c>
      <c r="AE200" s="88"/>
      <c r="AF200" s="88"/>
      <c r="AG200" s="88"/>
      <c r="AH200" s="88"/>
      <c r="AI200" s="88"/>
      <c r="AJ200" s="88"/>
      <c r="AK200" s="88"/>
      <c r="AL200" s="88"/>
      <c r="AM200" s="88">
        <v>40.644105743563252</v>
      </c>
      <c r="AN200" s="88">
        <v>116.13</v>
      </c>
      <c r="AO200" s="89">
        <v>9.6</v>
      </c>
      <c r="AP200" s="90">
        <v>8.2560000000000002</v>
      </c>
      <c r="AQ200" s="146">
        <f t="shared" si="56"/>
        <v>86.000000000000014</v>
      </c>
      <c r="AR200" s="146">
        <f t="shared" si="57"/>
        <v>13.999999999999986</v>
      </c>
      <c r="AS200" s="147">
        <v>25</v>
      </c>
      <c r="AT200" s="148" t="s">
        <v>56</v>
      </c>
      <c r="AU200" s="149" t="s">
        <v>56</v>
      </c>
      <c r="AV200" s="146" t="str">
        <f t="shared" si="58"/>
        <v/>
      </c>
      <c r="AW200" s="146" t="str">
        <f t="shared" si="59"/>
        <v/>
      </c>
      <c r="AX200" s="138" t="str">
        <f>IFERROR((1-((AV200*AR200)/(AW200*AQ200)))*100,"")</f>
        <v/>
      </c>
      <c r="AY200" s="95" t="s">
        <v>56</v>
      </c>
      <c r="AZ200" s="96">
        <v>62.135000000000005</v>
      </c>
      <c r="BA200" s="96"/>
      <c r="BB200" s="96">
        <v>96</v>
      </c>
      <c r="BC200" s="96"/>
      <c r="BD200" s="97">
        <v>116.13</v>
      </c>
      <c r="BE200" s="142">
        <f t="shared" si="60"/>
        <v>3343</v>
      </c>
      <c r="BF200" s="98">
        <v>0</v>
      </c>
      <c r="BG200" s="98">
        <v>0</v>
      </c>
      <c r="BH200" s="98">
        <v>3343</v>
      </c>
      <c r="BI200" s="98"/>
      <c r="BJ200" s="98"/>
      <c r="BK200" s="98"/>
      <c r="BL200" s="98"/>
    </row>
    <row r="201" spans="1:64" outlineLevel="5" x14ac:dyDescent="0.3">
      <c r="A201" s="152">
        <f t="shared" si="51"/>
        <v>6</v>
      </c>
      <c r="B201" s="153">
        <f t="shared" si="50"/>
        <v>43995</v>
      </c>
      <c r="C201" s="138">
        <f>IFERROR(ROUND(AVERAGE(D201:K201),1),"")</f>
        <v>39</v>
      </c>
      <c r="D201" s="84">
        <v>39</v>
      </c>
      <c r="E201" s="84">
        <v>39</v>
      </c>
      <c r="F201" s="84"/>
      <c r="G201" s="84"/>
      <c r="H201" s="84"/>
      <c r="I201" s="84"/>
      <c r="J201" s="84"/>
      <c r="K201" s="84"/>
      <c r="L201" s="140" t="str">
        <f>IFERROR(ROUND(AVERAGE(M201:T201),1),"")</f>
        <v/>
      </c>
      <c r="M201" s="86"/>
      <c r="N201" s="86"/>
      <c r="O201" s="86"/>
      <c r="P201" s="86"/>
      <c r="Q201" s="86"/>
      <c r="R201" s="86"/>
      <c r="S201" s="86"/>
      <c r="T201" s="86"/>
      <c r="U201" s="142" t="str">
        <f>IFERROR(ROUND(AVERAGE(V201:AC201),1),"")</f>
        <v/>
      </c>
      <c r="V201" s="88"/>
      <c r="W201" s="88"/>
      <c r="X201" s="88"/>
      <c r="Y201" s="88"/>
      <c r="Z201" s="88"/>
      <c r="AA201" s="88"/>
      <c r="AB201" s="88"/>
      <c r="AC201" s="88"/>
      <c r="AD201" s="142" t="str">
        <f>IFERROR(ROUND(AVERAGE(AE201:AL201),1),"")</f>
        <v/>
      </c>
      <c r="AE201" s="88"/>
      <c r="AF201" s="88"/>
      <c r="AG201" s="88"/>
      <c r="AH201" s="88"/>
      <c r="AI201" s="88"/>
      <c r="AJ201" s="88"/>
      <c r="AK201" s="88"/>
      <c r="AL201" s="88"/>
      <c r="AM201" s="88">
        <v>40.341880341880341</v>
      </c>
      <c r="AN201" s="88">
        <v>117</v>
      </c>
      <c r="AO201" s="89" t="s">
        <v>56</v>
      </c>
      <c r="AP201" s="90" t="s">
        <v>56</v>
      </c>
      <c r="AQ201" s="146" t="str">
        <f t="shared" si="56"/>
        <v/>
      </c>
      <c r="AR201" s="146" t="str">
        <f t="shared" si="57"/>
        <v/>
      </c>
      <c r="AS201" s="147">
        <v>20</v>
      </c>
      <c r="AT201" s="148" t="s">
        <v>56</v>
      </c>
      <c r="AU201" s="149" t="s">
        <v>56</v>
      </c>
      <c r="AV201" s="146" t="str">
        <f t="shared" si="58"/>
        <v/>
      </c>
      <c r="AW201" s="146" t="str">
        <f t="shared" si="59"/>
        <v/>
      </c>
      <c r="AX201" s="138" t="str">
        <f>IFERROR((1-((AV201*AR201)/(AW201*AQ201)))*100,"")</f>
        <v/>
      </c>
      <c r="AY201" s="95" t="s">
        <v>56</v>
      </c>
      <c r="AZ201" s="96">
        <v>61.905000000000001</v>
      </c>
      <c r="BA201" s="96"/>
      <c r="BB201" s="96">
        <v>89.5</v>
      </c>
      <c r="BC201" s="96"/>
      <c r="BD201" s="97">
        <v>117</v>
      </c>
      <c r="BE201" s="142">
        <f t="shared" si="60"/>
        <v>5082</v>
      </c>
      <c r="BF201" s="98">
        <v>29</v>
      </c>
      <c r="BG201" s="98">
        <v>0</v>
      </c>
      <c r="BH201" s="98">
        <v>5053</v>
      </c>
      <c r="BI201" s="98"/>
      <c r="BJ201" s="98"/>
      <c r="BK201" s="98"/>
      <c r="BL201" s="98"/>
    </row>
    <row r="202" spans="1:64" outlineLevel="5" x14ac:dyDescent="0.3">
      <c r="A202" s="152">
        <f t="shared" si="51"/>
        <v>6</v>
      </c>
      <c r="B202" s="153">
        <f t="shared" si="50"/>
        <v>43996</v>
      </c>
      <c r="C202" s="138">
        <f>IFERROR(ROUND(AVERAGE(D202:K202),1),"")</f>
        <v>38.5</v>
      </c>
      <c r="D202" s="84">
        <v>38</v>
      </c>
      <c r="E202" s="84">
        <v>39</v>
      </c>
      <c r="F202" s="84"/>
      <c r="G202" s="84"/>
      <c r="H202" s="84"/>
      <c r="I202" s="84"/>
      <c r="J202" s="84"/>
      <c r="K202" s="84"/>
      <c r="L202" s="140" t="str">
        <f>IFERROR(ROUND(AVERAGE(M202:T202),1),"")</f>
        <v/>
      </c>
      <c r="M202" s="86"/>
      <c r="N202" s="86"/>
      <c r="O202" s="86"/>
      <c r="P202" s="86"/>
      <c r="Q202" s="86"/>
      <c r="R202" s="86"/>
      <c r="S202" s="86"/>
      <c r="T202" s="86"/>
      <c r="U202" s="142" t="str">
        <f>IFERROR(ROUND(AVERAGE(V202:AC202),1),"")</f>
        <v/>
      </c>
      <c r="V202" s="88"/>
      <c r="W202" s="88"/>
      <c r="X202" s="88"/>
      <c r="Y202" s="88"/>
      <c r="Z202" s="88"/>
      <c r="AA202" s="88"/>
      <c r="AB202" s="88"/>
      <c r="AC202" s="88"/>
      <c r="AD202" s="142" t="str">
        <f>IFERROR(ROUND(AVERAGE(AE202:AL202),1),"")</f>
        <v/>
      </c>
      <c r="AE202" s="88"/>
      <c r="AF202" s="88"/>
      <c r="AG202" s="88"/>
      <c r="AH202" s="88"/>
      <c r="AI202" s="88"/>
      <c r="AJ202" s="88"/>
      <c r="AK202" s="88"/>
      <c r="AL202" s="88"/>
      <c r="AM202" s="88">
        <v>48.659793814432987</v>
      </c>
      <c r="AN202" s="88">
        <v>97</v>
      </c>
      <c r="AO202" s="89" t="s">
        <v>56</v>
      </c>
      <c r="AP202" s="90" t="s">
        <v>56</v>
      </c>
      <c r="AQ202" s="146" t="str">
        <f t="shared" si="56"/>
        <v/>
      </c>
      <c r="AR202" s="146" t="str">
        <f t="shared" si="57"/>
        <v/>
      </c>
      <c r="AS202" s="147">
        <v>0</v>
      </c>
      <c r="AT202" s="148" t="s">
        <v>56</v>
      </c>
      <c r="AU202" s="149" t="s">
        <v>56</v>
      </c>
      <c r="AV202" s="146" t="str">
        <f t="shared" si="58"/>
        <v/>
      </c>
      <c r="AW202" s="146" t="str">
        <f t="shared" si="59"/>
        <v/>
      </c>
      <c r="AX202" s="138" t="str">
        <f>IFERROR((1-((AV202*AR202)/(AW202*AQ202)))*100,"")</f>
        <v/>
      </c>
      <c r="AY202" s="95" t="s">
        <v>56</v>
      </c>
      <c r="AZ202" s="96">
        <v>61.75</v>
      </c>
      <c r="BA202" s="96"/>
      <c r="BB202" s="96">
        <v>92</v>
      </c>
      <c r="BC202" s="96"/>
      <c r="BD202" s="97">
        <v>97</v>
      </c>
      <c r="BE202" s="142">
        <f t="shared" si="60"/>
        <v>3422</v>
      </c>
      <c r="BF202" s="98">
        <v>29</v>
      </c>
      <c r="BG202" s="98">
        <v>0</v>
      </c>
      <c r="BH202" s="98">
        <v>3393</v>
      </c>
      <c r="BI202" s="98"/>
      <c r="BJ202" s="98"/>
      <c r="BK202" s="98"/>
      <c r="BL202" s="98"/>
    </row>
    <row r="203" spans="1:64" outlineLevel="5" x14ac:dyDescent="0.3">
      <c r="A203" s="152">
        <f t="shared" si="51"/>
        <v>6</v>
      </c>
      <c r="B203" s="153">
        <f t="shared" si="50"/>
        <v>43997</v>
      </c>
      <c r="C203" s="138">
        <f>IFERROR(ROUND(AVERAGE(D203:K203),1),"")</f>
        <v>39.5</v>
      </c>
      <c r="D203" s="84">
        <v>40</v>
      </c>
      <c r="E203" s="84">
        <v>39</v>
      </c>
      <c r="F203" s="84"/>
      <c r="G203" s="84"/>
      <c r="H203" s="84"/>
      <c r="I203" s="84"/>
      <c r="J203" s="84"/>
      <c r="K203" s="84"/>
      <c r="L203" s="140">
        <f>IFERROR(ROUND(AVERAGE(M203:T203),1),"")</f>
        <v>7.8</v>
      </c>
      <c r="M203" s="86">
        <v>7.9</v>
      </c>
      <c r="N203" s="86">
        <v>7.78</v>
      </c>
      <c r="O203" s="86"/>
      <c r="P203" s="86"/>
      <c r="Q203" s="86"/>
      <c r="R203" s="86"/>
      <c r="S203" s="86"/>
      <c r="T203" s="86"/>
      <c r="U203" s="142">
        <f>IFERROR(ROUND(AVERAGE(V203:AC203),1),"")</f>
        <v>1405.7</v>
      </c>
      <c r="V203" s="88">
        <v>1513.8</v>
      </c>
      <c r="W203" s="88">
        <v>1297.5</v>
      </c>
      <c r="X203" s="88"/>
      <c r="Y203" s="88"/>
      <c r="Z203" s="88"/>
      <c r="AA203" s="88"/>
      <c r="AB203" s="88"/>
      <c r="AC203" s="88"/>
      <c r="AD203" s="142" t="str">
        <f>IFERROR(ROUND(AVERAGE(AE203:AL203),1),"")</f>
        <v/>
      </c>
      <c r="AE203" s="88"/>
      <c r="AF203" s="88"/>
      <c r="AG203" s="88"/>
      <c r="AH203" s="88"/>
      <c r="AI203" s="88"/>
      <c r="AJ203" s="88"/>
      <c r="AK203" s="88"/>
      <c r="AL203" s="88"/>
      <c r="AM203" s="88">
        <v>36.464771322620521</v>
      </c>
      <c r="AN203" s="88">
        <v>129.44</v>
      </c>
      <c r="AO203" s="89" t="s">
        <v>56</v>
      </c>
      <c r="AP203" s="90" t="s">
        <v>56</v>
      </c>
      <c r="AQ203" s="146" t="str">
        <f t="shared" si="56"/>
        <v/>
      </c>
      <c r="AR203" s="146" t="str">
        <f t="shared" si="57"/>
        <v/>
      </c>
      <c r="AS203" s="147">
        <v>40</v>
      </c>
      <c r="AT203" s="148">
        <v>14.4</v>
      </c>
      <c r="AU203" s="149">
        <v>8.25</v>
      </c>
      <c r="AV203" s="146">
        <f t="shared" si="58"/>
        <v>57.291666666666664</v>
      </c>
      <c r="AW203" s="146">
        <f t="shared" si="59"/>
        <v>42.708333333333336</v>
      </c>
      <c r="AX203" s="138" t="str">
        <f>IFERROR((1-((AV203*AR203)/(AW203*AQ203)))*100,"")</f>
        <v/>
      </c>
      <c r="AY203" s="95">
        <v>77.55</v>
      </c>
      <c r="AZ203" s="96">
        <v>60.784999999999997</v>
      </c>
      <c r="BA203" s="96"/>
      <c r="BB203" s="96">
        <v>89.5</v>
      </c>
      <c r="BC203" s="96"/>
      <c r="BD203" s="97">
        <v>129.44</v>
      </c>
      <c r="BE203" s="142">
        <f t="shared" si="60"/>
        <v>3106</v>
      </c>
      <c r="BF203" s="98">
        <v>38</v>
      </c>
      <c r="BG203" s="98">
        <v>0</v>
      </c>
      <c r="BH203" s="98">
        <v>3068</v>
      </c>
      <c r="BI203" s="98"/>
      <c r="BJ203" s="98"/>
      <c r="BK203" s="98"/>
      <c r="BL203" s="98"/>
    </row>
    <row r="204" spans="1:64" outlineLevel="5" x14ac:dyDescent="0.3">
      <c r="A204" s="152">
        <f t="shared" si="51"/>
        <v>6</v>
      </c>
      <c r="B204" s="153">
        <f t="shared" si="50"/>
        <v>43998</v>
      </c>
      <c r="C204" s="138">
        <f>IFERROR(ROUND(AVERAGE(D204:K204),1),"")</f>
        <v>39</v>
      </c>
      <c r="D204" s="84">
        <v>39</v>
      </c>
      <c r="E204" s="84">
        <v>39</v>
      </c>
      <c r="F204" s="84"/>
      <c r="G204" s="84"/>
      <c r="H204" s="84"/>
      <c r="I204" s="84"/>
      <c r="J204" s="84"/>
      <c r="K204" s="84"/>
      <c r="L204" s="140" t="str">
        <f>IFERROR(ROUND(AVERAGE(M204:T204),1),"")</f>
        <v/>
      </c>
      <c r="M204" s="86"/>
      <c r="N204" s="86"/>
      <c r="O204" s="86"/>
      <c r="P204" s="86"/>
      <c r="Q204" s="86"/>
      <c r="R204" s="86"/>
      <c r="S204" s="86"/>
      <c r="T204" s="86"/>
      <c r="U204" s="142" t="str">
        <f>IFERROR(ROUND(AVERAGE(V204:AC204),1),"")</f>
        <v/>
      </c>
      <c r="V204" s="88"/>
      <c r="W204" s="88"/>
      <c r="X204" s="88"/>
      <c r="Y204" s="88"/>
      <c r="Z204" s="88"/>
      <c r="AA204" s="88"/>
      <c r="AB204" s="88"/>
      <c r="AC204" s="88"/>
      <c r="AD204" s="142" t="str">
        <f>IFERROR(ROUND(AVERAGE(AE204:AL204),1),"")</f>
        <v/>
      </c>
      <c r="AE204" s="88"/>
      <c r="AF204" s="88"/>
      <c r="AG204" s="88"/>
      <c r="AH204" s="88"/>
      <c r="AI204" s="88"/>
      <c r="AJ204" s="88"/>
      <c r="AK204" s="88"/>
      <c r="AL204" s="88"/>
      <c r="AM204" s="88">
        <v>36.138121123956815</v>
      </c>
      <c r="AN204" s="88">
        <v>130.61000000000001</v>
      </c>
      <c r="AO204" s="89" t="s">
        <v>56</v>
      </c>
      <c r="AP204" s="90"/>
      <c r="AQ204" s="146" t="str">
        <f t="shared" si="56"/>
        <v/>
      </c>
      <c r="AR204" s="146" t="str">
        <f t="shared" si="57"/>
        <v/>
      </c>
      <c r="AS204" s="147">
        <v>40</v>
      </c>
      <c r="AT204" s="148" t="s">
        <v>56</v>
      </c>
      <c r="AU204" s="149" t="s">
        <v>56</v>
      </c>
      <c r="AV204" s="146" t="str">
        <f t="shared" si="58"/>
        <v/>
      </c>
      <c r="AW204" s="146" t="str">
        <f t="shared" si="59"/>
        <v/>
      </c>
      <c r="AX204" s="138" t="str">
        <f>IFERROR((1-((AV204*AR204)/(AW204*AQ204)))*100,"")</f>
        <v/>
      </c>
      <c r="AY204" s="95" t="s">
        <v>56</v>
      </c>
      <c r="AZ204" s="96">
        <v>60.92</v>
      </c>
      <c r="BA204" s="96"/>
      <c r="BB204" s="96">
        <v>91</v>
      </c>
      <c r="BC204" s="96"/>
      <c r="BD204" s="97">
        <v>130.61000000000001</v>
      </c>
      <c r="BE204" s="142">
        <f t="shared" si="60"/>
        <v>1650</v>
      </c>
      <c r="BF204" s="98">
        <v>0</v>
      </c>
      <c r="BG204" s="98">
        <v>0</v>
      </c>
      <c r="BH204" s="98">
        <v>1650</v>
      </c>
      <c r="BI204" s="98"/>
      <c r="BJ204" s="98"/>
      <c r="BK204" s="98"/>
      <c r="BL204" s="98"/>
    </row>
    <row r="205" spans="1:64" outlineLevel="5" x14ac:dyDescent="0.3">
      <c r="A205" s="152">
        <f t="shared" si="51"/>
        <v>6</v>
      </c>
      <c r="B205" s="153">
        <f t="shared" si="50"/>
        <v>43999</v>
      </c>
      <c r="C205" s="138">
        <f>IFERROR(ROUND(AVERAGE(D205:K205),1),"")</f>
        <v>40</v>
      </c>
      <c r="D205" s="84">
        <v>40</v>
      </c>
      <c r="E205" s="84">
        <v>40</v>
      </c>
      <c r="F205" s="84"/>
      <c r="G205" s="84"/>
      <c r="H205" s="84"/>
      <c r="I205" s="84"/>
      <c r="J205" s="84"/>
      <c r="K205" s="84"/>
      <c r="L205" s="140">
        <f>IFERROR(ROUND(AVERAGE(M205:T205),1),"")</f>
        <v>7.8</v>
      </c>
      <c r="M205" s="86">
        <v>7.88</v>
      </c>
      <c r="N205" s="86">
        <v>7.79</v>
      </c>
      <c r="O205" s="86"/>
      <c r="P205" s="86"/>
      <c r="Q205" s="86"/>
      <c r="R205" s="86"/>
      <c r="S205" s="86"/>
      <c r="T205" s="86"/>
      <c r="U205" s="142">
        <f>IFERROR(ROUND(AVERAGE(V205:AC205),1),"")</f>
        <v>1362.4</v>
      </c>
      <c r="V205" s="88">
        <v>1470.5</v>
      </c>
      <c r="W205" s="88">
        <v>1254.3</v>
      </c>
      <c r="X205" s="88"/>
      <c r="Y205" s="88"/>
      <c r="Z205" s="88"/>
      <c r="AA205" s="88"/>
      <c r="AB205" s="88"/>
      <c r="AC205" s="88"/>
      <c r="AD205" s="142" t="str">
        <f>IFERROR(ROUND(AVERAGE(AE205:AL205),1),"")</f>
        <v/>
      </c>
      <c r="AE205" s="88"/>
      <c r="AF205" s="88"/>
      <c r="AG205" s="88"/>
      <c r="AH205" s="88"/>
      <c r="AI205" s="88"/>
      <c r="AJ205" s="88"/>
      <c r="AK205" s="88"/>
      <c r="AL205" s="88"/>
      <c r="AM205" s="88">
        <v>36.538163802446199</v>
      </c>
      <c r="AN205" s="88">
        <v>129.18</v>
      </c>
      <c r="AO205" s="89"/>
      <c r="AP205" s="90"/>
      <c r="AQ205" s="146" t="str">
        <f t="shared" si="56"/>
        <v/>
      </c>
      <c r="AR205" s="146" t="str">
        <f t="shared" si="57"/>
        <v/>
      </c>
      <c r="AS205" s="147">
        <v>40</v>
      </c>
      <c r="AT205" s="148">
        <v>13.899999999999999</v>
      </c>
      <c r="AU205" s="149">
        <v>7.65</v>
      </c>
      <c r="AV205" s="146">
        <f t="shared" si="58"/>
        <v>55.035971223021598</v>
      </c>
      <c r="AW205" s="146">
        <f t="shared" si="59"/>
        <v>44.964028776978402</v>
      </c>
      <c r="AX205" s="138" t="str">
        <f>IFERROR((1-((AV205*AR205)/(AW205*AQ205)))*100,"")</f>
        <v/>
      </c>
      <c r="AY205" s="95">
        <v>77.95</v>
      </c>
      <c r="AZ205" s="96">
        <v>60.54</v>
      </c>
      <c r="BA205" s="96"/>
      <c r="BB205" s="96">
        <v>114</v>
      </c>
      <c r="BC205" s="96"/>
      <c r="BD205" s="97">
        <v>129.18</v>
      </c>
      <c r="BE205" s="142">
        <f t="shared" si="60"/>
        <v>4321</v>
      </c>
      <c r="BF205" s="98">
        <v>0</v>
      </c>
      <c r="BG205" s="98">
        <v>0</v>
      </c>
      <c r="BH205" s="98">
        <v>4321</v>
      </c>
      <c r="BI205" s="98"/>
      <c r="BJ205" s="98"/>
      <c r="BK205" s="98"/>
      <c r="BL205" s="98"/>
    </row>
    <row r="206" spans="1:64" outlineLevel="5" x14ac:dyDescent="0.3">
      <c r="A206" s="152">
        <f t="shared" si="51"/>
        <v>6</v>
      </c>
      <c r="B206" s="153">
        <f t="shared" si="50"/>
        <v>44000</v>
      </c>
      <c r="C206" s="138">
        <f>IFERROR(ROUND(AVERAGE(D206:K206),1),"")</f>
        <v>39.5</v>
      </c>
      <c r="D206" s="84">
        <v>39</v>
      </c>
      <c r="E206" s="84">
        <v>40</v>
      </c>
      <c r="F206" s="84"/>
      <c r="G206" s="84"/>
      <c r="H206" s="84"/>
      <c r="I206" s="84"/>
      <c r="J206" s="84"/>
      <c r="K206" s="84"/>
      <c r="L206" s="140">
        <f>IFERROR(ROUND(AVERAGE(M206:T206),1),"")</f>
        <v>7.8</v>
      </c>
      <c r="M206" s="86">
        <v>7.89</v>
      </c>
      <c r="N206" s="86">
        <v>7.8</v>
      </c>
      <c r="O206" s="86"/>
      <c r="P206" s="86"/>
      <c r="Q206" s="86"/>
      <c r="R206" s="86"/>
      <c r="S206" s="86"/>
      <c r="T206" s="86"/>
      <c r="U206" s="142">
        <f>IFERROR(ROUND(AVERAGE(V206:AC206),1),"")</f>
        <v>1373.2</v>
      </c>
      <c r="V206" s="88">
        <v>1461.9</v>
      </c>
      <c r="W206" s="88">
        <v>1284.5</v>
      </c>
      <c r="X206" s="88"/>
      <c r="Y206" s="88"/>
      <c r="Z206" s="88"/>
      <c r="AA206" s="88"/>
      <c r="AB206" s="88"/>
      <c r="AC206" s="88"/>
      <c r="AD206" s="142" t="str">
        <f>IFERROR(ROUND(AVERAGE(AE206:AL206),1),"")</f>
        <v/>
      </c>
      <c r="AE206" s="88"/>
      <c r="AF206" s="88"/>
      <c r="AG206" s="88"/>
      <c r="AH206" s="88"/>
      <c r="AI206" s="88"/>
      <c r="AJ206" s="88"/>
      <c r="AK206" s="88"/>
      <c r="AL206" s="88"/>
      <c r="AM206" s="88">
        <v>36.976106541323929</v>
      </c>
      <c r="AN206" s="88">
        <v>127.65</v>
      </c>
      <c r="AO206" s="89"/>
      <c r="AP206" s="90"/>
      <c r="AQ206" s="146" t="str">
        <f t="shared" si="56"/>
        <v/>
      </c>
      <c r="AR206" s="146" t="str">
        <f t="shared" si="57"/>
        <v/>
      </c>
      <c r="AS206" s="147">
        <v>40</v>
      </c>
      <c r="AT206" s="148">
        <v>14.4</v>
      </c>
      <c r="AU206" s="149">
        <v>8.4</v>
      </c>
      <c r="AV206" s="146">
        <f t="shared" si="58"/>
        <v>58.333333333333336</v>
      </c>
      <c r="AW206" s="146">
        <f t="shared" si="59"/>
        <v>41.666666666666664</v>
      </c>
      <c r="AX206" s="138" t="str">
        <f>IFERROR((1-((AV206*AR206)/(AW206*AQ206)))*100,"")</f>
        <v/>
      </c>
      <c r="AY206" s="95">
        <v>78.849999999999994</v>
      </c>
      <c r="AZ206" s="96">
        <v>61.034999999999997</v>
      </c>
      <c r="BA206" s="96"/>
      <c r="BB206" s="96">
        <v>100</v>
      </c>
      <c r="BC206" s="96"/>
      <c r="BD206" s="97">
        <v>127.65</v>
      </c>
      <c r="BE206" s="142">
        <f t="shared" si="60"/>
        <v>3836</v>
      </c>
      <c r="BF206" s="98">
        <v>0</v>
      </c>
      <c r="BG206" s="98">
        <v>0</v>
      </c>
      <c r="BH206" s="98">
        <v>3836</v>
      </c>
      <c r="BI206" s="98"/>
      <c r="BJ206" s="98"/>
      <c r="BK206" s="98"/>
      <c r="BL206" s="98"/>
    </row>
    <row r="207" spans="1:64" outlineLevel="5" x14ac:dyDescent="0.3">
      <c r="A207" s="152">
        <f t="shared" si="51"/>
        <v>6</v>
      </c>
      <c r="B207" s="153">
        <f t="shared" si="50"/>
        <v>44001</v>
      </c>
      <c r="C207" s="138">
        <f>IFERROR(ROUND(AVERAGE(D207:K207),1),"")</f>
        <v>39</v>
      </c>
      <c r="D207" s="84">
        <v>39</v>
      </c>
      <c r="E207" s="84">
        <v>39</v>
      </c>
      <c r="F207" s="84"/>
      <c r="G207" s="84"/>
      <c r="H207" s="84"/>
      <c r="I207" s="84"/>
      <c r="J207" s="84"/>
      <c r="K207" s="84"/>
      <c r="L207" s="140" t="str">
        <f>IFERROR(ROUND(AVERAGE(M207:T207),1),"")</f>
        <v/>
      </c>
      <c r="M207" s="86"/>
      <c r="N207" s="86"/>
      <c r="O207" s="86"/>
      <c r="P207" s="86"/>
      <c r="Q207" s="86"/>
      <c r="R207" s="86"/>
      <c r="S207" s="86"/>
      <c r="T207" s="86"/>
      <c r="U207" s="142" t="str">
        <f>IFERROR(ROUND(AVERAGE(V207:AC207),1),"")</f>
        <v/>
      </c>
      <c r="V207" s="88"/>
      <c r="W207" s="88"/>
      <c r="X207" s="88"/>
      <c r="Y207" s="88"/>
      <c r="Z207" s="88"/>
      <c r="AA207" s="88"/>
      <c r="AB207" s="88"/>
      <c r="AC207" s="88"/>
      <c r="AD207" s="142" t="str">
        <f>IFERROR(ROUND(AVERAGE(AE207:AL207),1),"")</f>
        <v/>
      </c>
      <c r="AE207" s="88"/>
      <c r="AF207" s="88"/>
      <c r="AG207" s="88"/>
      <c r="AH207" s="88"/>
      <c r="AI207" s="88"/>
      <c r="AJ207" s="88"/>
      <c r="AK207" s="88"/>
      <c r="AL207" s="88"/>
      <c r="AM207" s="88">
        <v>42.909090909090907</v>
      </c>
      <c r="AN207" s="88">
        <v>110</v>
      </c>
      <c r="AO207" s="89">
        <v>23.1</v>
      </c>
      <c r="AP207" s="90">
        <v>20.859299999999998</v>
      </c>
      <c r="AQ207" s="146">
        <f t="shared" si="56"/>
        <v>90.299999999999983</v>
      </c>
      <c r="AR207" s="146">
        <f t="shared" si="57"/>
        <v>9.7000000000000171</v>
      </c>
      <c r="AS207" s="147">
        <v>43</v>
      </c>
      <c r="AT207" s="148" t="s">
        <v>56</v>
      </c>
      <c r="AU207" s="149" t="s">
        <v>56</v>
      </c>
      <c r="AV207" s="146" t="str">
        <f t="shared" si="58"/>
        <v/>
      </c>
      <c r="AW207" s="146" t="str">
        <f t="shared" si="59"/>
        <v/>
      </c>
      <c r="AX207" s="138" t="str">
        <f>IFERROR((1-((AV207*AR207)/(AW207*AQ207)))*100,"")</f>
        <v/>
      </c>
      <c r="AY207" s="95" t="s">
        <v>56</v>
      </c>
      <c r="AZ207" s="96">
        <v>59.914999999999999</v>
      </c>
      <c r="BA207" s="96"/>
      <c r="BB207" s="96">
        <v>111.5</v>
      </c>
      <c r="BC207" s="96"/>
      <c r="BD207" s="97">
        <v>110</v>
      </c>
      <c r="BE207" s="142">
        <f t="shared" si="60"/>
        <v>224</v>
      </c>
      <c r="BF207" s="98">
        <v>0</v>
      </c>
      <c r="BG207" s="98">
        <v>0</v>
      </c>
      <c r="BH207" s="98">
        <v>224</v>
      </c>
      <c r="BI207" s="98"/>
      <c r="BJ207" s="98"/>
      <c r="BK207" s="98"/>
      <c r="BL207" s="98"/>
    </row>
    <row r="208" spans="1:64" outlineLevel="5" x14ac:dyDescent="0.3">
      <c r="A208" s="152">
        <f t="shared" si="51"/>
        <v>6</v>
      </c>
      <c r="B208" s="153">
        <f t="shared" si="50"/>
        <v>44002</v>
      </c>
      <c r="C208" s="138">
        <f>IFERROR(ROUND(AVERAGE(D208:K208),1),"")</f>
        <v>39</v>
      </c>
      <c r="D208" s="84">
        <v>39</v>
      </c>
      <c r="E208" s="84">
        <v>39</v>
      </c>
      <c r="F208" s="84"/>
      <c r="G208" s="84"/>
      <c r="H208" s="84"/>
      <c r="I208" s="84"/>
      <c r="J208" s="84"/>
      <c r="K208" s="84"/>
      <c r="L208" s="140" t="str">
        <f>IFERROR(ROUND(AVERAGE(M208:T208),1),"")</f>
        <v/>
      </c>
      <c r="M208" s="86"/>
      <c r="N208" s="86"/>
      <c r="O208" s="86"/>
      <c r="P208" s="86"/>
      <c r="Q208" s="86"/>
      <c r="R208" s="86"/>
      <c r="S208" s="86"/>
      <c r="T208" s="86"/>
      <c r="U208" s="142" t="str">
        <f>IFERROR(ROUND(AVERAGE(V208:AC208),1),"")</f>
        <v/>
      </c>
      <c r="V208" s="88"/>
      <c r="W208" s="88"/>
      <c r="X208" s="88"/>
      <c r="Y208" s="88"/>
      <c r="Z208" s="88"/>
      <c r="AA208" s="88"/>
      <c r="AB208" s="88"/>
      <c r="AC208" s="88"/>
      <c r="AD208" s="142" t="str">
        <f>IFERROR(ROUND(AVERAGE(AE208:AL208),1),"")</f>
        <v/>
      </c>
      <c r="AE208" s="88"/>
      <c r="AF208" s="88"/>
      <c r="AG208" s="88"/>
      <c r="AH208" s="88"/>
      <c r="AI208" s="88"/>
      <c r="AJ208" s="88"/>
      <c r="AK208" s="88"/>
      <c r="AL208" s="88"/>
      <c r="AM208" s="88">
        <v>52.415324819544701</v>
      </c>
      <c r="AN208" s="88">
        <v>90.05</v>
      </c>
      <c r="AO208" s="89" t="s">
        <v>56</v>
      </c>
      <c r="AP208" s="90" t="s">
        <v>56</v>
      </c>
      <c r="AQ208" s="146" t="str">
        <f t="shared" si="56"/>
        <v/>
      </c>
      <c r="AR208" s="146" t="str">
        <f t="shared" si="57"/>
        <v/>
      </c>
      <c r="AS208" s="147">
        <v>15</v>
      </c>
      <c r="AT208" s="148" t="s">
        <v>56</v>
      </c>
      <c r="AU208" s="149" t="s">
        <v>56</v>
      </c>
      <c r="AV208" s="146" t="str">
        <f t="shared" si="58"/>
        <v/>
      </c>
      <c r="AW208" s="146" t="str">
        <f t="shared" si="59"/>
        <v/>
      </c>
      <c r="AX208" s="138" t="str">
        <f>IFERROR((1-((AV208*AR208)/(AW208*AQ208)))*100,"")</f>
        <v/>
      </c>
      <c r="AY208" s="95" t="s">
        <v>56</v>
      </c>
      <c r="AZ208" s="96">
        <v>61.745000000000005</v>
      </c>
      <c r="BA208" s="96"/>
      <c r="BB208" s="96">
        <v>93</v>
      </c>
      <c r="BC208" s="96"/>
      <c r="BD208" s="97">
        <v>90.05</v>
      </c>
      <c r="BE208" s="142">
        <f t="shared" si="60"/>
        <v>1350</v>
      </c>
      <c r="BF208" s="98">
        <v>0</v>
      </c>
      <c r="BG208" s="98">
        <v>0</v>
      </c>
      <c r="BH208" s="98">
        <v>1350</v>
      </c>
      <c r="BI208" s="98"/>
      <c r="BJ208" s="98"/>
      <c r="BK208" s="98"/>
      <c r="BL208" s="98"/>
    </row>
    <row r="209" spans="1:64" outlineLevel="5" x14ac:dyDescent="0.3">
      <c r="A209" s="152">
        <f t="shared" si="51"/>
        <v>6</v>
      </c>
      <c r="B209" s="153">
        <f t="shared" si="50"/>
        <v>44003</v>
      </c>
      <c r="C209" s="138">
        <f>IFERROR(ROUND(AVERAGE(D209:K209),1),"")</f>
        <v>39</v>
      </c>
      <c r="D209" s="84">
        <v>39</v>
      </c>
      <c r="E209" s="84">
        <v>39</v>
      </c>
      <c r="F209" s="84"/>
      <c r="G209" s="84"/>
      <c r="H209" s="84"/>
      <c r="I209" s="84"/>
      <c r="J209" s="84"/>
      <c r="K209" s="84"/>
      <c r="L209" s="140" t="str">
        <f>IFERROR(ROUND(AVERAGE(M209:T209),1),"")</f>
        <v/>
      </c>
      <c r="M209" s="86"/>
      <c r="N209" s="86"/>
      <c r="O209" s="86"/>
      <c r="P209" s="86"/>
      <c r="Q209" s="86"/>
      <c r="R209" s="86"/>
      <c r="S209" s="86"/>
      <c r="T209" s="86"/>
      <c r="U209" s="142" t="str">
        <f>IFERROR(ROUND(AVERAGE(V209:AC209),1),"")</f>
        <v/>
      </c>
      <c r="V209" s="88"/>
      <c r="W209" s="88"/>
      <c r="X209" s="88"/>
      <c r="Y209" s="88"/>
      <c r="Z209" s="88"/>
      <c r="AA209" s="88"/>
      <c r="AB209" s="88"/>
      <c r="AC209" s="88"/>
      <c r="AD209" s="142" t="str">
        <f>IFERROR(ROUND(AVERAGE(AE209:AL209),1),"")</f>
        <v/>
      </c>
      <c r="AE209" s="88"/>
      <c r="AF209" s="88"/>
      <c r="AG209" s="88"/>
      <c r="AH209" s="88"/>
      <c r="AI209" s="88"/>
      <c r="AJ209" s="88"/>
      <c r="AK209" s="88"/>
      <c r="AL209" s="88"/>
      <c r="AM209" s="88">
        <v>50.752688172043008</v>
      </c>
      <c r="AN209" s="88">
        <v>93</v>
      </c>
      <c r="AO209" s="89" t="s">
        <v>56</v>
      </c>
      <c r="AP209" s="90" t="s">
        <v>56</v>
      </c>
      <c r="AQ209" s="146" t="str">
        <f t="shared" si="56"/>
        <v/>
      </c>
      <c r="AR209" s="146" t="str">
        <f t="shared" si="57"/>
        <v/>
      </c>
      <c r="AS209" s="147">
        <v>21</v>
      </c>
      <c r="AT209" s="148" t="s">
        <v>56</v>
      </c>
      <c r="AU209" s="149" t="s">
        <v>56</v>
      </c>
      <c r="AV209" s="146" t="str">
        <f t="shared" si="58"/>
        <v/>
      </c>
      <c r="AW209" s="146" t="str">
        <f t="shared" si="59"/>
        <v/>
      </c>
      <c r="AX209" s="138" t="str">
        <f>IFERROR((1-((AV209*AR209)/(AW209*AQ209)))*100,"")</f>
        <v/>
      </c>
      <c r="AY209" s="95" t="s">
        <v>56</v>
      </c>
      <c r="AZ209" s="96">
        <v>60.825000000000003</v>
      </c>
      <c r="BA209" s="96"/>
      <c r="BB209" s="96">
        <v>79</v>
      </c>
      <c r="BC209" s="96"/>
      <c r="BD209" s="97">
        <v>93</v>
      </c>
      <c r="BE209" s="142">
        <f t="shared" si="60"/>
        <v>3510</v>
      </c>
      <c r="BF209" s="98">
        <v>36</v>
      </c>
      <c r="BG209" s="98">
        <v>0</v>
      </c>
      <c r="BH209" s="98">
        <v>3474</v>
      </c>
      <c r="BI209" s="98"/>
      <c r="BJ209" s="98"/>
      <c r="BK209" s="98"/>
      <c r="BL209" s="98"/>
    </row>
    <row r="210" spans="1:64" outlineLevel="5" x14ac:dyDescent="0.3">
      <c r="A210" s="152">
        <f t="shared" si="51"/>
        <v>6</v>
      </c>
      <c r="B210" s="153">
        <f t="shared" si="50"/>
        <v>44004</v>
      </c>
      <c r="C210" s="138">
        <f>IFERROR(ROUND(AVERAGE(D210:K210),1),"")</f>
        <v>39.5</v>
      </c>
      <c r="D210" s="84">
        <v>40</v>
      </c>
      <c r="E210" s="84">
        <v>39</v>
      </c>
      <c r="F210" s="84"/>
      <c r="G210" s="84"/>
      <c r="H210" s="84"/>
      <c r="I210" s="84"/>
      <c r="J210" s="84"/>
      <c r="K210" s="84"/>
      <c r="L210" s="140">
        <f>IFERROR(ROUND(AVERAGE(M210:T210),1),"")</f>
        <v>7.8</v>
      </c>
      <c r="M210" s="86">
        <v>7.85</v>
      </c>
      <c r="N210" s="86">
        <v>7.78</v>
      </c>
      <c r="O210" s="86"/>
      <c r="P210" s="86"/>
      <c r="Q210" s="86"/>
      <c r="R210" s="86"/>
      <c r="S210" s="86"/>
      <c r="T210" s="86"/>
      <c r="U210" s="142">
        <f>IFERROR(ROUND(AVERAGE(V210:AC210),1),"")</f>
        <v>1557.1</v>
      </c>
      <c r="V210" s="88">
        <v>1773.3</v>
      </c>
      <c r="W210" s="88">
        <v>1340.8</v>
      </c>
      <c r="X210" s="88"/>
      <c r="Y210" s="88"/>
      <c r="Z210" s="88"/>
      <c r="AA210" s="88"/>
      <c r="AB210" s="88"/>
      <c r="AC210" s="88"/>
      <c r="AD210" s="142" t="str">
        <f>IFERROR(ROUND(AVERAGE(AE210:AL210),1),"")</f>
        <v/>
      </c>
      <c r="AE210" s="88"/>
      <c r="AF210" s="88"/>
      <c r="AG210" s="88"/>
      <c r="AH210" s="88"/>
      <c r="AI210" s="88"/>
      <c r="AJ210" s="88"/>
      <c r="AK210" s="88"/>
      <c r="AL210" s="88"/>
      <c r="AM210" s="88">
        <v>36.924039740280058</v>
      </c>
      <c r="AN210" s="88">
        <v>127.83</v>
      </c>
      <c r="AO210" s="89" t="s">
        <v>56</v>
      </c>
      <c r="AP210" s="90" t="s">
        <v>56</v>
      </c>
      <c r="AQ210" s="146" t="str">
        <f t="shared" si="56"/>
        <v/>
      </c>
      <c r="AR210" s="146" t="str">
        <f t="shared" si="57"/>
        <v/>
      </c>
      <c r="AS210" s="147">
        <v>40</v>
      </c>
      <c r="AT210" s="148">
        <v>13.85</v>
      </c>
      <c r="AU210" s="149">
        <v>7.6999999999999993</v>
      </c>
      <c r="AV210" s="146">
        <f t="shared" si="58"/>
        <v>55.595667870036102</v>
      </c>
      <c r="AW210" s="146">
        <f t="shared" si="59"/>
        <v>44.404332129963898</v>
      </c>
      <c r="AX210" s="138" t="str">
        <f>IFERROR((1-((AV210*AR210)/(AW210*AQ210)))*100,"")</f>
        <v/>
      </c>
      <c r="AY210" s="95">
        <v>80</v>
      </c>
      <c r="AZ210" s="96">
        <v>60.629999999999995</v>
      </c>
      <c r="BA210" s="96"/>
      <c r="BB210" s="96">
        <v>88.5</v>
      </c>
      <c r="BC210" s="96"/>
      <c r="BD210" s="97">
        <v>127.83</v>
      </c>
      <c r="BE210" s="142">
        <f t="shared" si="60"/>
        <v>3705</v>
      </c>
      <c r="BF210" s="98">
        <v>38</v>
      </c>
      <c r="BG210" s="98">
        <v>0</v>
      </c>
      <c r="BH210" s="98">
        <v>3667</v>
      </c>
      <c r="BI210" s="98"/>
      <c r="BJ210" s="98"/>
      <c r="BK210" s="98"/>
      <c r="BL210" s="98"/>
    </row>
    <row r="211" spans="1:64" outlineLevel="5" x14ac:dyDescent="0.3">
      <c r="A211" s="152">
        <f t="shared" si="51"/>
        <v>6</v>
      </c>
      <c r="B211" s="153">
        <f t="shared" si="50"/>
        <v>44005</v>
      </c>
      <c r="C211" s="138">
        <f>IFERROR(ROUND(AVERAGE(D211:K211),1),"")</f>
        <v>39.5</v>
      </c>
      <c r="D211" s="84">
        <v>40</v>
      </c>
      <c r="E211" s="84">
        <v>39</v>
      </c>
      <c r="F211" s="84"/>
      <c r="G211" s="84"/>
      <c r="H211" s="84"/>
      <c r="I211" s="84"/>
      <c r="J211" s="84"/>
      <c r="K211" s="84"/>
      <c r="L211" s="140" t="str">
        <f>IFERROR(ROUND(AVERAGE(M211:T211),1),"")</f>
        <v/>
      </c>
      <c r="M211" s="86"/>
      <c r="N211" s="86"/>
      <c r="O211" s="86"/>
      <c r="P211" s="86"/>
      <c r="Q211" s="86"/>
      <c r="R211" s="86"/>
      <c r="S211" s="86"/>
      <c r="T211" s="86"/>
      <c r="U211" s="142" t="str">
        <f>IFERROR(ROUND(AVERAGE(V211:AC211),1),"")</f>
        <v/>
      </c>
      <c r="V211" s="88"/>
      <c r="W211" s="88"/>
      <c r="X211" s="88"/>
      <c r="Y211" s="88"/>
      <c r="Z211" s="88"/>
      <c r="AA211" s="88"/>
      <c r="AB211" s="88"/>
      <c r="AC211" s="88"/>
      <c r="AD211" s="142" t="str">
        <f>IFERROR(ROUND(AVERAGE(AE211:AL211),1),"")</f>
        <v/>
      </c>
      <c r="AE211" s="88"/>
      <c r="AF211" s="88"/>
      <c r="AG211" s="88"/>
      <c r="AH211" s="88"/>
      <c r="AI211" s="88"/>
      <c r="AJ211" s="88"/>
      <c r="AK211" s="88"/>
      <c r="AL211" s="88"/>
      <c r="AM211" s="88">
        <v>38.355273850154397</v>
      </c>
      <c r="AN211" s="88">
        <v>123.06</v>
      </c>
      <c r="AO211" s="89" t="s">
        <v>56</v>
      </c>
      <c r="AP211" s="90"/>
      <c r="AQ211" s="146" t="str">
        <f t="shared" si="56"/>
        <v/>
      </c>
      <c r="AR211" s="146" t="str">
        <f t="shared" si="57"/>
        <v/>
      </c>
      <c r="AS211" s="147">
        <v>40</v>
      </c>
      <c r="AT211" s="148" t="s">
        <v>56</v>
      </c>
      <c r="AU211" s="149" t="s">
        <v>56</v>
      </c>
      <c r="AV211" s="146" t="str">
        <f t="shared" si="58"/>
        <v/>
      </c>
      <c r="AW211" s="146" t="str">
        <f t="shared" si="59"/>
        <v/>
      </c>
      <c r="AX211" s="138" t="str">
        <f>IFERROR((1-((AV211*AR211)/(AW211*AQ211)))*100,"")</f>
        <v/>
      </c>
      <c r="AY211" s="95" t="s">
        <v>56</v>
      </c>
      <c r="AZ211" s="96">
        <v>61.28</v>
      </c>
      <c r="BA211" s="96"/>
      <c r="BB211" s="96">
        <v>98</v>
      </c>
      <c r="BC211" s="96"/>
      <c r="BD211" s="97">
        <v>123.06</v>
      </c>
      <c r="BE211" s="142">
        <f t="shared" si="60"/>
        <v>4262</v>
      </c>
      <c r="BF211" s="98">
        <v>0</v>
      </c>
      <c r="BG211" s="98">
        <v>0</v>
      </c>
      <c r="BH211" s="98">
        <v>4262</v>
      </c>
      <c r="BI211" s="98"/>
      <c r="BJ211" s="98"/>
      <c r="BK211" s="98"/>
      <c r="BL211" s="98"/>
    </row>
    <row r="212" spans="1:64" outlineLevel="5" x14ac:dyDescent="0.3">
      <c r="A212" s="152">
        <f t="shared" si="51"/>
        <v>6</v>
      </c>
      <c r="B212" s="153">
        <f t="shared" si="50"/>
        <v>44006</v>
      </c>
      <c r="C212" s="138">
        <f>IFERROR(ROUND(AVERAGE(D212:K212),1),"")</f>
        <v>39</v>
      </c>
      <c r="D212" s="84">
        <v>39</v>
      </c>
      <c r="E212" s="84">
        <v>39</v>
      </c>
      <c r="F212" s="84"/>
      <c r="G212" s="84"/>
      <c r="H212" s="84"/>
      <c r="I212" s="84"/>
      <c r="J212" s="84"/>
      <c r="K212" s="84"/>
      <c r="L212" s="140">
        <f>IFERROR(ROUND(AVERAGE(M212:T212),1),"")</f>
        <v>7.8</v>
      </c>
      <c r="M212" s="86">
        <v>7.84</v>
      </c>
      <c r="N212" s="86">
        <v>7.75</v>
      </c>
      <c r="O212" s="86"/>
      <c r="P212" s="86"/>
      <c r="Q212" s="86"/>
      <c r="R212" s="86"/>
      <c r="S212" s="86"/>
      <c r="T212" s="86"/>
      <c r="U212" s="142">
        <f>IFERROR(ROUND(AVERAGE(V212:AC212),1),"")</f>
        <v>1600.3</v>
      </c>
      <c r="V212" s="88">
        <v>1816.5</v>
      </c>
      <c r="W212" s="88">
        <v>1384</v>
      </c>
      <c r="X212" s="88"/>
      <c r="Y212" s="88"/>
      <c r="Z212" s="88"/>
      <c r="AA212" s="88"/>
      <c r="AB212" s="88"/>
      <c r="AC212" s="88"/>
      <c r="AD212" s="142" t="str">
        <f>IFERROR(ROUND(AVERAGE(AE212:AL212),1),"")</f>
        <v/>
      </c>
      <c r="AE212" s="88"/>
      <c r="AF212" s="88"/>
      <c r="AG212" s="88"/>
      <c r="AH212" s="88"/>
      <c r="AI212" s="88"/>
      <c r="AJ212" s="88"/>
      <c r="AK212" s="88"/>
      <c r="AL212" s="88"/>
      <c r="AM212" s="88">
        <v>44.854129050650954</v>
      </c>
      <c r="AN212" s="88">
        <v>105.23</v>
      </c>
      <c r="AO212" s="89"/>
      <c r="AP212" s="90"/>
      <c r="AQ212" s="146" t="str">
        <f t="shared" si="56"/>
        <v/>
      </c>
      <c r="AR212" s="146" t="str">
        <f t="shared" si="57"/>
        <v/>
      </c>
      <c r="AS212" s="147">
        <v>34</v>
      </c>
      <c r="AT212" s="148">
        <v>20.3</v>
      </c>
      <c r="AU212" s="149">
        <v>14.65</v>
      </c>
      <c r="AV212" s="146">
        <f t="shared" si="58"/>
        <v>72.167487684729053</v>
      </c>
      <c r="AW212" s="146">
        <f t="shared" si="59"/>
        <v>27.832512315270947</v>
      </c>
      <c r="AX212" s="138" t="str">
        <f>IFERROR((1-((AV212*AR212)/(AW212*AQ212)))*100,"")</f>
        <v/>
      </c>
      <c r="AY212" s="95">
        <v>75.599999999999994</v>
      </c>
      <c r="AZ212" s="96">
        <v>61.11</v>
      </c>
      <c r="BA212" s="96"/>
      <c r="BB212" s="96">
        <v>96</v>
      </c>
      <c r="BC212" s="96"/>
      <c r="BD212" s="97">
        <v>105.23</v>
      </c>
      <c r="BE212" s="142">
        <f t="shared" si="60"/>
        <v>5583</v>
      </c>
      <c r="BF212" s="98">
        <v>0</v>
      </c>
      <c r="BG212" s="98">
        <v>0</v>
      </c>
      <c r="BH212" s="98">
        <v>5583</v>
      </c>
      <c r="BI212" s="98"/>
      <c r="BJ212" s="98"/>
      <c r="BK212" s="98"/>
      <c r="BL212" s="98"/>
    </row>
    <row r="213" spans="1:64" outlineLevel="5" x14ac:dyDescent="0.3">
      <c r="A213" s="152">
        <f t="shared" si="51"/>
        <v>6</v>
      </c>
      <c r="B213" s="153">
        <f t="shared" si="50"/>
        <v>44007</v>
      </c>
      <c r="C213" s="138">
        <f>IFERROR(ROUND(AVERAGE(D213:K213),1),"")</f>
        <v>38</v>
      </c>
      <c r="D213" s="84">
        <v>38</v>
      </c>
      <c r="E213" s="84">
        <v>38</v>
      </c>
      <c r="F213" s="84"/>
      <c r="G213" s="84"/>
      <c r="H213" s="84"/>
      <c r="I213" s="84"/>
      <c r="J213" s="84"/>
      <c r="K213" s="84"/>
      <c r="L213" s="140" t="str">
        <f>IFERROR(ROUND(AVERAGE(M213:T213),1),"")</f>
        <v/>
      </c>
      <c r="M213" s="86"/>
      <c r="N213" s="86"/>
      <c r="O213" s="86"/>
      <c r="P213" s="86"/>
      <c r="Q213" s="86"/>
      <c r="R213" s="86"/>
      <c r="S213" s="86"/>
      <c r="T213" s="86"/>
      <c r="U213" s="142" t="str">
        <f>IFERROR(ROUND(AVERAGE(V213:AC213),1),"")</f>
        <v/>
      </c>
      <c r="V213" s="88"/>
      <c r="W213" s="88"/>
      <c r="X213" s="88"/>
      <c r="Y213" s="88"/>
      <c r="Z213" s="88"/>
      <c r="AA213" s="88"/>
      <c r="AB213" s="88"/>
      <c r="AC213" s="88"/>
      <c r="AD213" s="142" t="str">
        <f>IFERROR(ROUND(AVERAGE(AE213:AL213),1),"")</f>
        <v/>
      </c>
      <c r="AE213" s="88"/>
      <c r="AF213" s="88"/>
      <c r="AG213" s="88"/>
      <c r="AH213" s="88"/>
      <c r="AI213" s="88"/>
      <c r="AJ213" s="88"/>
      <c r="AK213" s="88"/>
      <c r="AL213" s="88"/>
      <c r="AM213" s="88">
        <v>91.278282730613029</v>
      </c>
      <c r="AN213" s="88">
        <v>51.71</v>
      </c>
      <c r="AO213" s="89"/>
      <c r="AP213" s="90"/>
      <c r="AQ213" s="146" t="str">
        <f t="shared" si="56"/>
        <v/>
      </c>
      <c r="AR213" s="146" t="str">
        <f t="shared" si="57"/>
        <v/>
      </c>
      <c r="AS213" s="147">
        <v>44</v>
      </c>
      <c r="AT213" s="148" t="s">
        <v>56</v>
      </c>
      <c r="AU213" s="149" t="s">
        <v>56</v>
      </c>
      <c r="AV213" s="146" t="str">
        <f t="shared" si="58"/>
        <v/>
      </c>
      <c r="AW213" s="146" t="str">
        <f t="shared" si="59"/>
        <v/>
      </c>
      <c r="AX213" s="138" t="str">
        <f>IFERROR((1-((AV213*AR213)/(AW213*AQ213)))*100,"")</f>
        <v/>
      </c>
      <c r="AY213" s="95" t="s">
        <v>56</v>
      </c>
      <c r="AZ213" s="96">
        <v>61.265000000000001</v>
      </c>
      <c r="BA213" s="96"/>
      <c r="BB213" s="96">
        <v>95.5</v>
      </c>
      <c r="BC213" s="96"/>
      <c r="BD213" s="97">
        <v>51.71</v>
      </c>
      <c r="BE213" s="142">
        <f t="shared" si="60"/>
        <v>5534</v>
      </c>
      <c r="BF213" s="98">
        <v>0</v>
      </c>
      <c r="BG213" s="98">
        <v>0</v>
      </c>
      <c r="BH213" s="98">
        <v>5534</v>
      </c>
      <c r="BI213" s="98"/>
      <c r="BJ213" s="98"/>
      <c r="BK213" s="98"/>
      <c r="BL213" s="98"/>
    </row>
    <row r="214" spans="1:64" outlineLevel="5" x14ac:dyDescent="0.3">
      <c r="A214" s="152">
        <f t="shared" si="51"/>
        <v>6</v>
      </c>
      <c r="B214" s="153">
        <f t="shared" si="50"/>
        <v>44008</v>
      </c>
      <c r="C214" s="138">
        <f>IFERROR(ROUND(AVERAGE(D214:K214),1),"")</f>
        <v>38</v>
      </c>
      <c r="D214" s="84">
        <v>38</v>
      </c>
      <c r="E214" s="84">
        <v>38</v>
      </c>
      <c r="F214" s="84"/>
      <c r="G214" s="84"/>
      <c r="H214" s="84"/>
      <c r="I214" s="84"/>
      <c r="J214" s="84"/>
      <c r="K214" s="84"/>
      <c r="L214" s="140" t="str">
        <f>IFERROR(ROUND(AVERAGE(M214:T214),1),"")</f>
        <v/>
      </c>
      <c r="M214" s="86"/>
      <c r="N214" s="86"/>
      <c r="O214" s="86"/>
      <c r="P214" s="86"/>
      <c r="Q214" s="86"/>
      <c r="R214" s="86"/>
      <c r="S214" s="86"/>
      <c r="T214" s="86"/>
      <c r="U214" s="142" t="str">
        <f>IFERROR(ROUND(AVERAGE(V214:AC214),1),"")</f>
        <v/>
      </c>
      <c r="V214" s="88"/>
      <c r="W214" s="88"/>
      <c r="X214" s="88"/>
      <c r="Y214" s="88"/>
      <c r="Z214" s="88"/>
      <c r="AA214" s="88"/>
      <c r="AB214" s="88"/>
      <c r="AC214" s="88"/>
      <c r="AD214" s="142" t="str">
        <f>IFERROR(ROUND(AVERAGE(AE214:AL214),1),"")</f>
        <v/>
      </c>
      <c r="AE214" s="88"/>
      <c r="AF214" s="88"/>
      <c r="AG214" s="88"/>
      <c r="AH214" s="88"/>
      <c r="AI214" s="88"/>
      <c r="AJ214" s="88"/>
      <c r="AK214" s="88"/>
      <c r="AL214" s="88"/>
      <c r="AM214" s="88">
        <v>43.906976744186046</v>
      </c>
      <c r="AN214" s="88">
        <v>107.5</v>
      </c>
      <c r="AO214" s="89">
        <v>7.9</v>
      </c>
      <c r="AP214" s="90">
        <v>5.9803000000000006</v>
      </c>
      <c r="AQ214" s="146">
        <f t="shared" si="56"/>
        <v>75.7</v>
      </c>
      <c r="AR214" s="146">
        <f t="shared" si="57"/>
        <v>24.299999999999997</v>
      </c>
      <c r="AS214" s="147">
        <v>23</v>
      </c>
      <c r="AT214" s="148" t="s">
        <v>56</v>
      </c>
      <c r="AU214" s="149" t="s">
        <v>56</v>
      </c>
      <c r="AV214" s="146" t="str">
        <f t="shared" si="58"/>
        <v/>
      </c>
      <c r="AW214" s="146" t="str">
        <f t="shared" si="59"/>
        <v/>
      </c>
      <c r="AX214" s="138" t="str">
        <f>IFERROR((1-((AV214*AR214)/(AW214*AQ214)))*100,"")</f>
        <v/>
      </c>
      <c r="AY214" s="95" t="s">
        <v>56</v>
      </c>
      <c r="AZ214" s="96">
        <v>61.95</v>
      </c>
      <c r="BA214" s="96"/>
      <c r="BB214" s="96">
        <v>100.5</v>
      </c>
      <c r="BC214" s="96"/>
      <c r="BD214" s="97">
        <v>107.5</v>
      </c>
      <c r="BE214" s="142">
        <f t="shared" si="60"/>
        <v>3888</v>
      </c>
      <c r="BF214" s="98">
        <v>0</v>
      </c>
      <c r="BG214" s="98">
        <v>0</v>
      </c>
      <c r="BH214" s="98">
        <v>3888</v>
      </c>
      <c r="BI214" s="98"/>
      <c r="BJ214" s="98"/>
      <c r="BK214" s="98"/>
      <c r="BL214" s="98"/>
    </row>
    <row r="215" spans="1:64" outlineLevel="5" x14ac:dyDescent="0.3">
      <c r="A215" s="152">
        <f t="shared" si="51"/>
        <v>6</v>
      </c>
      <c r="B215" s="153">
        <f t="shared" si="50"/>
        <v>44009</v>
      </c>
      <c r="C215" s="138">
        <f>IFERROR(ROUND(AVERAGE(D215:K215),1),"")</f>
        <v>38</v>
      </c>
      <c r="D215" s="84">
        <v>38</v>
      </c>
      <c r="E215" s="84">
        <v>38</v>
      </c>
      <c r="F215" s="84"/>
      <c r="G215" s="84"/>
      <c r="H215" s="84"/>
      <c r="I215" s="84"/>
      <c r="J215" s="84"/>
      <c r="K215" s="84"/>
      <c r="L215" s="140" t="str">
        <f>IFERROR(ROUND(AVERAGE(M215:T215),1),"")</f>
        <v/>
      </c>
      <c r="M215" s="86"/>
      <c r="N215" s="86"/>
      <c r="O215" s="86"/>
      <c r="P215" s="86"/>
      <c r="Q215" s="86"/>
      <c r="R215" s="86"/>
      <c r="S215" s="86"/>
      <c r="T215" s="86"/>
      <c r="U215" s="142" t="str">
        <f>IFERROR(ROUND(AVERAGE(V215:AC215),1),"")</f>
        <v/>
      </c>
      <c r="V215" s="88"/>
      <c r="W215" s="88"/>
      <c r="X215" s="88"/>
      <c r="Y215" s="88"/>
      <c r="Z215" s="88"/>
      <c r="AA215" s="88"/>
      <c r="AB215" s="88"/>
      <c r="AC215" s="88"/>
      <c r="AD215" s="142" t="str">
        <f>IFERROR(ROUND(AVERAGE(AE215:AL215),1),"")</f>
        <v/>
      </c>
      <c r="AE215" s="88"/>
      <c r="AF215" s="88"/>
      <c r="AG215" s="88"/>
      <c r="AH215" s="88"/>
      <c r="AI215" s="88"/>
      <c r="AJ215" s="88"/>
      <c r="AK215" s="88"/>
      <c r="AL215" s="88"/>
      <c r="AM215" s="88">
        <v>49.310488926034267</v>
      </c>
      <c r="AN215" s="88">
        <v>95.72</v>
      </c>
      <c r="AO215" s="89" t="s">
        <v>56</v>
      </c>
      <c r="AP215" s="90" t="s">
        <v>56</v>
      </c>
      <c r="AQ215" s="146" t="str">
        <f t="shared" si="56"/>
        <v/>
      </c>
      <c r="AR215" s="146" t="str">
        <f t="shared" si="57"/>
        <v/>
      </c>
      <c r="AS215" s="147">
        <v>10</v>
      </c>
      <c r="AT215" s="148" t="s">
        <v>56</v>
      </c>
      <c r="AU215" s="149" t="s">
        <v>56</v>
      </c>
      <c r="AV215" s="146" t="str">
        <f t="shared" si="58"/>
        <v/>
      </c>
      <c r="AW215" s="146" t="str">
        <f t="shared" si="59"/>
        <v/>
      </c>
      <c r="AX215" s="138" t="str">
        <f>IFERROR((1-((AV215*AR215)/(AW215*AQ215)))*100,"")</f>
        <v/>
      </c>
      <c r="AY215" s="95" t="s">
        <v>56</v>
      </c>
      <c r="AZ215" s="96">
        <v>61.875</v>
      </c>
      <c r="BA215" s="96"/>
      <c r="BB215" s="96">
        <v>90</v>
      </c>
      <c r="BC215" s="96"/>
      <c r="BD215" s="97">
        <v>95.72</v>
      </c>
      <c r="BE215" s="142">
        <f t="shared" si="60"/>
        <v>4601</v>
      </c>
      <c r="BF215" s="98">
        <v>0</v>
      </c>
      <c r="BG215" s="98">
        <v>0</v>
      </c>
      <c r="BH215" s="98">
        <v>4601</v>
      </c>
      <c r="BI215" s="98"/>
      <c r="BJ215" s="98"/>
      <c r="BK215" s="98"/>
      <c r="BL215" s="98"/>
    </row>
    <row r="216" spans="1:64" outlineLevel="5" x14ac:dyDescent="0.3">
      <c r="A216" s="152">
        <f t="shared" si="51"/>
        <v>6</v>
      </c>
      <c r="B216" s="153">
        <f t="shared" si="50"/>
        <v>44010</v>
      </c>
      <c r="C216" s="138">
        <f>IFERROR(ROUND(AVERAGE(D216:K216),1),"")</f>
        <v>38</v>
      </c>
      <c r="D216" s="84">
        <v>38</v>
      </c>
      <c r="E216" s="84">
        <v>38</v>
      </c>
      <c r="F216" s="84"/>
      <c r="G216" s="84"/>
      <c r="H216" s="84"/>
      <c r="I216" s="84"/>
      <c r="J216" s="84"/>
      <c r="K216" s="84"/>
      <c r="L216" s="140" t="str">
        <f>IFERROR(ROUND(AVERAGE(M216:T216),1),"")</f>
        <v/>
      </c>
      <c r="M216" s="86"/>
      <c r="N216" s="86"/>
      <c r="O216" s="86"/>
      <c r="P216" s="86"/>
      <c r="Q216" s="86"/>
      <c r="R216" s="86"/>
      <c r="S216" s="86"/>
      <c r="T216" s="86"/>
      <c r="U216" s="142" t="str">
        <f>IFERROR(ROUND(AVERAGE(V216:AC216),1),"")</f>
        <v/>
      </c>
      <c r="V216" s="88"/>
      <c r="W216" s="88"/>
      <c r="X216" s="88"/>
      <c r="Y216" s="88"/>
      <c r="Z216" s="88"/>
      <c r="AA216" s="88"/>
      <c r="AB216" s="88"/>
      <c r="AC216" s="88"/>
      <c r="AD216" s="142" t="str">
        <f>IFERROR(ROUND(AVERAGE(AE216:AL216),1),"")</f>
        <v/>
      </c>
      <c r="AE216" s="88"/>
      <c r="AF216" s="88"/>
      <c r="AG216" s="88"/>
      <c r="AH216" s="88"/>
      <c r="AI216" s="88"/>
      <c r="AJ216" s="88"/>
      <c r="AK216" s="88"/>
      <c r="AL216" s="88"/>
      <c r="AM216" s="88">
        <v>52.444444444444443</v>
      </c>
      <c r="AN216" s="88">
        <v>90</v>
      </c>
      <c r="AO216" s="89"/>
      <c r="AP216" s="90"/>
      <c r="AQ216" s="146" t="str">
        <f t="shared" si="56"/>
        <v/>
      </c>
      <c r="AR216" s="146" t="str">
        <f t="shared" si="57"/>
        <v/>
      </c>
      <c r="AS216" s="147">
        <v>10</v>
      </c>
      <c r="AT216" s="148" t="s">
        <v>56</v>
      </c>
      <c r="AU216" s="149" t="s">
        <v>56</v>
      </c>
      <c r="AV216" s="146" t="str">
        <f t="shared" si="58"/>
        <v/>
      </c>
      <c r="AW216" s="146" t="str">
        <f t="shared" si="59"/>
        <v/>
      </c>
      <c r="AX216" s="138" t="str">
        <f>IFERROR((1-((AV216*AR216)/(AW216*AQ216)))*100,"")</f>
        <v/>
      </c>
      <c r="AY216" s="95" t="s">
        <v>56</v>
      </c>
      <c r="AZ216" s="96">
        <v>61.265000000000001</v>
      </c>
      <c r="BA216" s="96"/>
      <c r="BB216" s="96">
        <v>81</v>
      </c>
      <c r="BC216" s="96"/>
      <c r="BD216" s="97">
        <v>90</v>
      </c>
      <c r="BE216" s="142">
        <f t="shared" si="60"/>
        <v>3167</v>
      </c>
      <c r="BF216" s="98">
        <v>0</v>
      </c>
      <c r="BG216" s="98">
        <v>0</v>
      </c>
      <c r="BH216" s="98">
        <v>3167</v>
      </c>
      <c r="BI216" s="98"/>
      <c r="BJ216" s="98"/>
      <c r="BK216" s="98"/>
      <c r="BL216" s="98"/>
    </row>
    <row r="217" spans="1:64" outlineLevel="5" x14ac:dyDescent="0.3">
      <c r="A217" s="152">
        <f t="shared" si="51"/>
        <v>6</v>
      </c>
      <c r="B217" s="153">
        <f t="shared" si="50"/>
        <v>44011</v>
      </c>
      <c r="C217" s="138">
        <f>IFERROR(ROUND(AVERAGE(D217:K217),1),"")</f>
        <v>38.5</v>
      </c>
      <c r="D217" s="84">
        <v>39</v>
      </c>
      <c r="E217" s="84">
        <v>38</v>
      </c>
      <c r="F217" s="84"/>
      <c r="G217" s="84"/>
      <c r="H217" s="84"/>
      <c r="I217" s="84"/>
      <c r="J217" s="84"/>
      <c r="K217" s="84"/>
      <c r="L217" s="140">
        <f>IFERROR(ROUND(AVERAGE(M217:T217),1),"")</f>
        <v>7.8</v>
      </c>
      <c r="M217" s="86">
        <v>7.81</v>
      </c>
      <c r="N217" s="86">
        <v>7.7</v>
      </c>
      <c r="O217" s="86"/>
      <c r="P217" s="86"/>
      <c r="Q217" s="86"/>
      <c r="R217" s="86"/>
      <c r="S217" s="86"/>
      <c r="T217" s="86"/>
      <c r="U217" s="142">
        <f>IFERROR(ROUND(AVERAGE(V217:AC217),1),"")</f>
        <v>1146.2</v>
      </c>
      <c r="V217" s="88">
        <v>1340.8</v>
      </c>
      <c r="W217" s="88">
        <v>951.5</v>
      </c>
      <c r="X217" s="88"/>
      <c r="Y217" s="88"/>
      <c r="Z217" s="88"/>
      <c r="AA217" s="88"/>
      <c r="AB217" s="88"/>
      <c r="AC217" s="88"/>
      <c r="AD217" s="142" t="str">
        <f>IFERROR(ROUND(AVERAGE(AE217:AL217),1),"")</f>
        <v/>
      </c>
      <c r="AE217" s="88"/>
      <c r="AF217" s="88"/>
      <c r="AG217" s="88"/>
      <c r="AH217" s="88"/>
      <c r="AI217" s="88"/>
      <c r="AJ217" s="88"/>
      <c r="AK217" s="88"/>
      <c r="AL217" s="88"/>
      <c r="AM217" s="88">
        <v>47.962605426277818</v>
      </c>
      <c r="AN217" s="88">
        <v>98.41</v>
      </c>
      <c r="AO217" s="89" t="s">
        <v>56</v>
      </c>
      <c r="AP217" s="90" t="s">
        <v>56</v>
      </c>
      <c r="AQ217" s="146" t="str">
        <f t="shared" si="56"/>
        <v/>
      </c>
      <c r="AR217" s="146" t="str">
        <f t="shared" si="57"/>
        <v/>
      </c>
      <c r="AS217" s="147">
        <v>34</v>
      </c>
      <c r="AT217" s="148">
        <v>13.7</v>
      </c>
      <c r="AU217" s="149">
        <v>8.1</v>
      </c>
      <c r="AV217" s="146">
        <f t="shared" si="58"/>
        <v>59.12408759124088</v>
      </c>
      <c r="AW217" s="146">
        <f t="shared" si="59"/>
        <v>40.87591240875912</v>
      </c>
      <c r="AX217" s="138" t="str">
        <f>IFERROR((1-((AV217*AR217)/(AW217*AQ217)))*100,"")</f>
        <v/>
      </c>
      <c r="AY217" s="95">
        <v>80.099999999999994</v>
      </c>
      <c r="AZ217" s="96">
        <v>62.534999999999997</v>
      </c>
      <c r="BA217" s="96"/>
      <c r="BB217" s="96">
        <v>106.5</v>
      </c>
      <c r="BC217" s="96"/>
      <c r="BD217" s="97">
        <v>98.41</v>
      </c>
      <c r="BE217" s="142">
        <f t="shared" si="60"/>
        <v>4864</v>
      </c>
      <c r="BF217" s="98">
        <v>0</v>
      </c>
      <c r="BG217" s="98">
        <v>0</v>
      </c>
      <c r="BH217" s="98">
        <v>4864</v>
      </c>
      <c r="BI217" s="98"/>
      <c r="BJ217" s="98"/>
      <c r="BK217" s="98"/>
      <c r="BL217" s="98"/>
    </row>
    <row r="218" spans="1:64" ht="17.25" outlineLevel="5" thickBot="1" x14ac:dyDescent="0.35">
      <c r="A218" s="154">
        <f t="shared" si="51"/>
        <v>6</v>
      </c>
      <c r="B218" s="155">
        <f t="shared" si="50"/>
        <v>44012</v>
      </c>
      <c r="C218" s="138">
        <f>IFERROR(ROUND(AVERAGE(D218:K218),1),"")</f>
        <v>38.5</v>
      </c>
      <c r="D218" s="84">
        <v>39</v>
      </c>
      <c r="E218" s="84">
        <v>38</v>
      </c>
      <c r="F218" s="84"/>
      <c r="G218" s="84"/>
      <c r="H218" s="84"/>
      <c r="I218" s="84"/>
      <c r="J218" s="84"/>
      <c r="K218" s="84"/>
      <c r="L218" s="140" t="str">
        <f>IFERROR(ROUND(AVERAGE(M218:T218),1),"")</f>
        <v/>
      </c>
      <c r="M218" s="86"/>
      <c r="N218" s="86"/>
      <c r="O218" s="86"/>
      <c r="P218" s="86"/>
      <c r="Q218" s="86"/>
      <c r="R218" s="86"/>
      <c r="S218" s="86"/>
      <c r="T218" s="86"/>
      <c r="U218" s="142" t="str">
        <f>IFERROR(ROUND(AVERAGE(V218:AC218),1),"")</f>
        <v/>
      </c>
      <c r="V218" s="88"/>
      <c r="W218" s="88"/>
      <c r="X218" s="88"/>
      <c r="Y218" s="88"/>
      <c r="Z218" s="88"/>
      <c r="AA218" s="88"/>
      <c r="AB218" s="88"/>
      <c r="AC218" s="88"/>
      <c r="AD218" s="142" t="str">
        <f>IFERROR(ROUND(AVERAGE(AE218:AL218),1),"")</f>
        <v/>
      </c>
      <c r="AE218" s="88"/>
      <c r="AF218" s="88"/>
      <c r="AG218" s="88"/>
      <c r="AH218" s="88"/>
      <c r="AI218" s="88"/>
      <c r="AJ218" s="88"/>
      <c r="AK218" s="88"/>
      <c r="AL218" s="88"/>
      <c r="AM218" s="88">
        <v>45.327955440314994</v>
      </c>
      <c r="AN218" s="88">
        <v>104.13</v>
      </c>
      <c r="AO218" s="89" t="s">
        <v>56</v>
      </c>
      <c r="AP218" s="90" t="s">
        <v>56</v>
      </c>
      <c r="AQ218" s="146" t="str">
        <f t="shared" si="56"/>
        <v/>
      </c>
      <c r="AR218" s="146" t="str">
        <f t="shared" si="57"/>
        <v/>
      </c>
      <c r="AS218" s="147">
        <v>35</v>
      </c>
      <c r="AT218" s="148" t="s">
        <v>56</v>
      </c>
      <c r="AU218" s="149" t="s">
        <v>56</v>
      </c>
      <c r="AV218" s="146" t="str">
        <f t="shared" si="58"/>
        <v/>
      </c>
      <c r="AW218" s="146" t="str">
        <f t="shared" si="59"/>
        <v/>
      </c>
      <c r="AX218" s="138" t="str">
        <f>IFERROR((1-((AV218*AR218)/(AW218*AQ218)))*100,"")</f>
        <v/>
      </c>
      <c r="AY218" s="95" t="s">
        <v>56</v>
      </c>
      <c r="AZ218" s="96">
        <v>61.89</v>
      </c>
      <c r="BA218" s="96"/>
      <c r="BB218" s="96">
        <v>75.5</v>
      </c>
      <c r="BC218" s="96"/>
      <c r="BD218" s="97">
        <v>104.13</v>
      </c>
      <c r="BE218" s="142">
        <f t="shared" si="60"/>
        <v>3822</v>
      </c>
      <c r="BF218" s="98">
        <v>0</v>
      </c>
      <c r="BG218" s="98">
        <v>0</v>
      </c>
      <c r="BH218" s="98">
        <v>3822</v>
      </c>
      <c r="BI218" s="98"/>
      <c r="BJ218" s="98"/>
      <c r="BK218" s="98"/>
      <c r="BL218" s="98"/>
    </row>
    <row r="219" spans="1:64" outlineLevel="4" x14ac:dyDescent="0.3">
      <c r="A219" s="63" t="s">
        <v>77</v>
      </c>
      <c r="B219" s="64"/>
      <c r="C219" s="65">
        <f t="shared" ref="C219:BL219" si="61">SUBTOTAL(4,C189:C218)</f>
        <v>40</v>
      </c>
      <c r="D219" s="66">
        <f t="shared" si="61"/>
        <v>40</v>
      </c>
      <c r="E219" s="66">
        <f t="shared" si="61"/>
        <v>40</v>
      </c>
      <c r="F219" s="66">
        <f t="shared" si="61"/>
        <v>0</v>
      </c>
      <c r="G219" s="66">
        <f t="shared" si="61"/>
        <v>0</v>
      </c>
      <c r="H219" s="66">
        <f t="shared" si="61"/>
        <v>0</v>
      </c>
      <c r="I219" s="66">
        <f t="shared" si="61"/>
        <v>0</v>
      </c>
      <c r="J219" s="66">
        <f t="shared" si="61"/>
        <v>0</v>
      </c>
      <c r="K219" s="66">
        <f t="shared" si="61"/>
        <v>0</v>
      </c>
      <c r="L219" s="67">
        <f t="shared" si="61"/>
        <v>7.9</v>
      </c>
      <c r="M219" s="68">
        <f t="shared" si="61"/>
        <v>7.93</v>
      </c>
      <c r="N219" s="68">
        <f t="shared" si="61"/>
        <v>7.83</v>
      </c>
      <c r="O219" s="68">
        <f t="shared" si="61"/>
        <v>0</v>
      </c>
      <c r="P219" s="68">
        <f t="shared" si="61"/>
        <v>0</v>
      </c>
      <c r="Q219" s="68">
        <f t="shared" si="61"/>
        <v>0</v>
      </c>
      <c r="R219" s="68">
        <f t="shared" si="61"/>
        <v>0</v>
      </c>
      <c r="S219" s="68">
        <f t="shared" si="61"/>
        <v>0</v>
      </c>
      <c r="T219" s="68">
        <f t="shared" si="61"/>
        <v>0</v>
      </c>
      <c r="U219" s="69">
        <f t="shared" si="61"/>
        <v>1600.3</v>
      </c>
      <c r="V219" s="70">
        <f t="shared" si="61"/>
        <v>1816.5</v>
      </c>
      <c r="W219" s="70">
        <f t="shared" si="61"/>
        <v>1384</v>
      </c>
      <c r="X219" s="70">
        <f t="shared" si="61"/>
        <v>0</v>
      </c>
      <c r="Y219" s="70">
        <f t="shared" si="61"/>
        <v>0</v>
      </c>
      <c r="Z219" s="70">
        <f t="shared" si="61"/>
        <v>0</v>
      </c>
      <c r="AA219" s="70">
        <f t="shared" si="61"/>
        <v>0</v>
      </c>
      <c r="AB219" s="70">
        <f t="shared" si="61"/>
        <v>0</v>
      </c>
      <c r="AC219" s="70">
        <f t="shared" si="61"/>
        <v>0</v>
      </c>
      <c r="AD219" s="69">
        <f t="shared" si="61"/>
        <v>0</v>
      </c>
      <c r="AE219" s="70">
        <f t="shared" si="61"/>
        <v>0</v>
      </c>
      <c r="AF219" s="70">
        <f t="shared" si="61"/>
        <v>0</v>
      </c>
      <c r="AG219" s="70">
        <f t="shared" si="61"/>
        <v>0</v>
      </c>
      <c r="AH219" s="70">
        <f t="shared" si="61"/>
        <v>0</v>
      </c>
      <c r="AI219" s="70">
        <f t="shared" si="61"/>
        <v>0</v>
      </c>
      <c r="AJ219" s="70">
        <f t="shared" si="61"/>
        <v>0</v>
      </c>
      <c r="AK219" s="70">
        <f t="shared" si="61"/>
        <v>0</v>
      </c>
      <c r="AL219" s="70">
        <f t="shared" si="61"/>
        <v>0</v>
      </c>
      <c r="AM219" s="70">
        <f t="shared" si="61"/>
        <v>91.278282730613029</v>
      </c>
      <c r="AN219" s="70">
        <f t="shared" si="61"/>
        <v>133.84</v>
      </c>
      <c r="AO219" s="71">
        <f t="shared" si="61"/>
        <v>23.1</v>
      </c>
      <c r="AP219" s="72">
        <f t="shared" si="61"/>
        <v>20.859299999999998</v>
      </c>
      <c r="AQ219" s="73">
        <f t="shared" si="61"/>
        <v>90.299999999999983</v>
      </c>
      <c r="AR219" s="73">
        <f t="shared" si="61"/>
        <v>24.299999999999997</v>
      </c>
      <c r="AS219" s="74">
        <f t="shared" si="61"/>
        <v>44</v>
      </c>
      <c r="AT219" s="75">
        <f t="shared" si="61"/>
        <v>20.3</v>
      </c>
      <c r="AU219" s="76">
        <f t="shared" si="61"/>
        <v>14.65</v>
      </c>
      <c r="AV219" s="73">
        <f t="shared" si="61"/>
        <v>72.167487684729053</v>
      </c>
      <c r="AW219" s="73">
        <f t="shared" si="61"/>
        <v>47.03947368421052</v>
      </c>
      <c r="AX219" s="65">
        <f t="shared" si="61"/>
        <v>0</v>
      </c>
      <c r="AY219" s="77">
        <f t="shared" si="61"/>
        <v>80.099999999999994</v>
      </c>
      <c r="AZ219" s="78">
        <f t="shared" si="61"/>
        <v>62.894999999999996</v>
      </c>
      <c r="BA219" s="78">
        <f t="shared" si="61"/>
        <v>0</v>
      </c>
      <c r="BB219" s="78">
        <f t="shared" si="61"/>
        <v>126.5</v>
      </c>
      <c r="BC219" s="78">
        <f t="shared" si="61"/>
        <v>0</v>
      </c>
      <c r="BD219" s="79">
        <f t="shared" si="61"/>
        <v>133.84</v>
      </c>
      <c r="BE219" s="69">
        <f t="shared" si="61"/>
        <v>5772</v>
      </c>
      <c r="BF219" s="70">
        <f t="shared" si="61"/>
        <v>59</v>
      </c>
      <c r="BG219" s="80">
        <f t="shared" si="61"/>
        <v>0</v>
      </c>
      <c r="BH219" s="80">
        <f t="shared" si="61"/>
        <v>5772</v>
      </c>
      <c r="BI219" s="80">
        <f t="shared" si="61"/>
        <v>0</v>
      </c>
      <c r="BJ219" s="80">
        <f t="shared" si="61"/>
        <v>0</v>
      </c>
      <c r="BK219" s="80">
        <f t="shared" si="61"/>
        <v>0</v>
      </c>
      <c r="BL219" s="79">
        <f t="shared" si="61"/>
        <v>0</v>
      </c>
    </row>
    <row r="220" spans="1:64" outlineLevel="3" x14ac:dyDescent="0.3">
      <c r="A220" s="81" t="s">
        <v>78</v>
      </c>
      <c r="B220" s="82"/>
      <c r="C220" s="83">
        <f t="shared" ref="C220:BL220" si="62">SUBTOTAL(5,C189:C218)</f>
        <v>38</v>
      </c>
      <c r="D220" s="84">
        <f t="shared" si="62"/>
        <v>37</v>
      </c>
      <c r="E220" s="84">
        <f t="shared" si="62"/>
        <v>38</v>
      </c>
      <c r="F220" s="84">
        <f t="shared" si="62"/>
        <v>0</v>
      </c>
      <c r="G220" s="84">
        <f t="shared" si="62"/>
        <v>0</v>
      </c>
      <c r="H220" s="84">
        <f t="shared" si="62"/>
        <v>0</v>
      </c>
      <c r="I220" s="84">
        <f t="shared" si="62"/>
        <v>0</v>
      </c>
      <c r="J220" s="84">
        <f t="shared" si="62"/>
        <v>0</v>
      </c>
      <c r="K220" s="84">
        <f t="shared" si="62"/>
        <v>0</v>
      </c>
      <c r="L220" s="85">
        <f t="shared" si="62"/>
        <v>7.8</v>
      </c>
      <c r="M220" s="86">
        <f t="shared" si="62"/>
        <v>7.72</v>
      </c>
      <c r="N220" s="86">
        <f t="shared" si="62"/>
        <v>7.7</v>
      </c>
      <c r="O220" s="86">
        <f t="shared" si="62"/>
        <v>0</v>
      </c>
      <c r="P220" s="86">
        <f t="shared" si="62"/>
        <v>0</v>
      </c>
      <c r="Q220" s="86">
        <f t="shared" si="62"/>
        <v>0</v>
      </c>
      <c r="R220" s="86">
        <f t="shared" si="62"/>
        <v>0</v>
      </c>
      <c r="S220" s="86">
        <f t="shared" si="62"/>
        <v>0</v>
      </c>
      <c r="T220" s="86">
        <f t="shared" si="62"/>
        <v>0</v>
      </c>
      <c r="U220" s="87">
        <f t="shared" si="62"/>
        <v>1146.2</v>
      </c>
      <c r="V220" s="88">
        <f t="shared" si="62"/>
        <v>1297.5</v>
      </c>
      <c r="W220" s="88">
        <f t="shared" si="62"/>
        <v>951.5</v>
      </c>
      <c r="X220" s="88">
        <f t="shared" si="62"/>
        <v>0</v>
      </c>
      <c r="Y220" s="88">
        <f t="shared" si="62"/>
        <v>0</v>
      </c>
      <c r="Z220" s="88">
        <f t="shared" si="62"/>
        <v>0</v>
      </c>
      <c r="AA220" s="88">
        <f t="shared" si="62"/>
        <v>0</v>
      </c>
      <c r="AB220" s="88">
        <f t="shared" si="62"/>
        <v>0</v>
      </c>
      <c r="AC220" s="88">
        <f t="shared" si="62"/>
        <v>0</v>
      </c>
      <c r="AD220" s="87">
        <f t="shared" si="62"/>
        <v>0</v>
      </c>
      <c r="AE220" s="88">
        <f t="shared" si="62"/>
        <v>0</v>
      </c>
      <c r="AF220" s="88">
        <f t="shared" si="62"/>
        <v>0</v>
      </c>
      <c r="AG220" s="88">
        <f t="shared" si="62"/>
        <v>0</v>
      </c>
      <c r="AH220" s="88">
        <f t="shared" si="62"/>
        <v>0</v>
      </c>
      <c r="AI220" s="88">
        <f t="shared" si="62"/>
        <v>0</v>
      </c>
      <c r="AJ220" s="88">
        <f t="shared" si="62"/>
        <v>0</v>
      </c>
      <c r="AK220" s="88">
        <f t="shared" si="62"/>
        <v>0</v>
      </c>
      <c r="AL220" s="88">
        <f t="shared" si="62"/>
        <v>0</v>
      </c>
      <c r="AM220" s="88">
        <f t="shared" si="62"/>
        <v>35.265989240884636</v>
      </c>
      <c r="AN220" s="88">
        <f t="shared" si="62"/>
        <v>51.71</v>
      </c>
      <c r="AO220" s="89">
        <f t="shared" si="62"/>
        <v>7.9</v>
      </c>
      <c r="AP220" s="90">
        <f t="shared" si="62"/>
        <v>5.9803000000000006</v>
      </c>
      <c r="AQ220" s="91">
        <f t="shared" si="62"/>
        <v>75.7</v>
      </c>
      <c r="AR220" s="91">
        <f t="shared" si="62"/>
        <v>9.7000000000000171</v>
      </c>
      <c r="AS220" s="92">
        <f t="shared" si="62"/>
        <v>0</v>
      </c>
      <c r="AT220" s="93">
        <f t="shared" si="62"/>
        <v>13.7</v>
      </c>
      <c r="AU220" s="94">
        <f t="shared" si="62"/>
        <v>7.65</v>
      </c>
      <c r="AV220" s="91">
        <f t="shared" si="62"/>
        <v>52.96052631578948</v>
      </c>
      <c r="AW220" s="91">
        <f t="shared" si="62"/>
        <v>27.832512315270947</v>
      </c>
      <c r="AX220" s="83">
        <f t="shared" si="62"/>
        <v>0</v>
      </c>
      <c r="AY220" s="95">
        <f t="shared" si="62"/>
        <v>75.599999999999994</v>
      </c>
      <c r="AZ220" s="96">
        <f t="shared" si="62"/>
        <v>59.885000000000005</v>
      </c>
      <c r="BA220" s="96">
        <f t="shared" si="62"/>
        <v>0</v>
      </c>
      <c r="BB220" s="96">
        <f t="shared" si="62"/>
        <v>68</v>
      </c>
      <c r="BC220" s="96">
        <f t="shared" si="62"/>
        <v>0</v>
      </c>
      <c r="BD220" s="97">
        <f t="shared" si="62"/>
        <v>51.71</v>
      </c>
      <c r="BE220" s="87">
        <f t="shared" si="62"/>
        <v>224</v>
      </c>
      <c r="BF220" s="88">
        <f t="shared" si="62"/>
        <v>0</v>
      </c>
      <c r="BG220" s="98">
        <f t="shared" si="62"/>
        <v>0</v>
      </c>
      <c r="BH220" s="98">
        <f t="shared" si="62"/>
        <v>224</v>
      </c>
      <c r="BI220" s="98">
        <f t="shared" si="62"/>
        <v>0</v>
      </c>
      <c r="BJ220" s="98">
        <f t="shared" si="62"/>
        <v>0</v>
      </c>
      <c r="BK220" s="98">
        <f t="shared" si="62"/>
        <v>0</v>
      </c>
      <c r="BL220" s="97">
        <f t="shared" si="62"/>
        <v>0</v>
      </c>
    </row>
    <row r="221" spans="1:64" outlineLevel="2" x14ac:dyDescent="0.3">
      <c r="A221" s="81" t="s">
        <v>79</v>
      </c>
      <c r="B221" s="82"/>
      <c r="C221" s="83">
        <f t="shared" ref="C221:BL221" si="63">IFERROR(SUBTOTAL(1,C189:C218),"")</f>
        <v>38.883333333333333</v>
      </c>
      <c r="D221" s="84">
        <f t="shared" si="63"/>
        <v>38.9</v>
      </c>
      <c r="E221" s="84">
        <f t="shared" si="63"/>
        <v>38.866666666666667</v>
      </c>
      <c r="F221" s="84" t="str">
        <f t="shared" si="63"/>
        <v/>
      </c>
      <c r="G221" s="84" t="str">
        <f t="shared" si="63"/>
        <v/>
      </c>
      <c r="H221" s="84" t="str">
        <f t="shared" si="63"/>
        <v/>
      </c>
      <c r="I221" s="84" t="str">
        <f t="shared" si="63"/>
        <v/>
      </c>
      <c r="J221" s="84" t="str">
        <f t="shared" si="63"/>
        <v/>
      </c>
      <c r="K221" s="84" t="str">
        <f t="shared" si="63"/>
        <v/>
      </c>
      <c r="L221" s="85">
        <f t="shared" si="63"/>
        <v>7.8333333333333321</v>
      </c>
      <c r="M221" s="86">
        <f t="shared" si="63"/>
        <v>7.8683333333333332</v>
      </c>
      <c r="N221" s="86">
        <f t="shared" si="63"/>
        <v>7.7758333333333338</v>
      </c>
      <c r="O221" s="86" t="str">
        <f t="shared" si="63"/>
        <v/>
      </c>
      <c r="P221" s="86" t="str">
        <f t="shared" si="63"/>
        <v/>
      </c>
      <c r="Q221" s="86" t="str">
        <f t="shared" si="63"/>
        <v/>
      </c>
      <c r="R221" s="86" t="str">
        <f t="shared" si="63"/>
        <v/>
      </c>
      <c r="S221" s="86" t="str">
        <f t="shared" si="63"/>
        <v/>
      </c>
      <c r="T221" s="86" t="str">
        <f t="shared" si="63"/>
        <v/>
      </c>
      <c r="U221" s="87">
        <f t="shared" si="63"/>
        <v>1346.0333333333335</v>
      </c>
      <c r="V221" s="88">
        <f t="shared" si="63"/>
        <v>1481.3500000000001</v>
      </c>
      <c r="W221" s="88">
        <f t="shared" si="63"/>
        <v>1210.6583333333333</v>
      </c>
      <c r="X221" s="88" t="str">
        <f t="shared" si="63"/>
        <v/>
      </c>
      <c r="Y221" s="88" t="str">
        <f t="shared" si="63"/>
        <v/>
      </c>
      <c r="Z221" s="88" t="str">
        <f t="shared" si="63"/>
        <v/>
      </c>
      <c r="AA221" s="88" t="str">
        <f t="shared" si="63"/>
        <v/>
      </c>
      <c r="AB221" s="88" t="str">
        <f t="shared" si="63"/>
        <v/>
      </c>
      <c r="AC221" s="88" t="str">
        <f t="shared" si="63"/>
        <v/>
      </c>
      <c r="AD221" s="87" t="str">
        <f t="shared" si="63"/>
        <v/>
      </c>
      <c r="AE221" s="88" t="str">
        <f t="shared" si="63"/>
        <v/>
      </c>
      <c r="AF221" s="88" t="str">
        <f t="shared" si="63"/>
        <v/>
      </c>
      <c r="AG221" s="88" t="str">
        <f t="shared" si="63"/>
        <v/>
      </c>
      <c r="AH221" s="88" t="str">
        <f t="shared" si="63"/>
        <v/>
      </c>
      <c r="AI221" s="88" t="str">
        <f t="shared" si="63"/>
        <v/>
      </c>
      <c r="AJ221" s="88" t="str">
        <f t="shared" si="63"/>
        <v/>
      </c>
      <c r="AK221" s="88" t="str">
        <f t="shared" si="63"/>
        <v/>
      </c>
      <c r="AL221" s="88" t="str">
        <f t="shared" si="63"/>
        <v/>
      </c>
      <c r="AM221" s="88">
        <f t="shared" si="63"/>
        <v>44.351439204851438</v>
      </c>
      <c r="AN221" s="88">
        <f t="shared" si="63"/>
        <v>110.738</v>
      </c>
      <c r="AO221" s="89">
        <f t="shared" si="63"/>
        <v>13.574999999999999</v>
      </c>
      <c r="AP221" s="90">
        <f t="shared" si="63"/>
        <v>11.69885</v>
      </c>
      <c r="AQ221" s="91">
        <f t="shared" si="63"/>
        <v>84.35</v>
      </c>
      <c r="AR221" s="91">
        <f t="shared" si="63"/>
        <v>15.650000000000002</v>
      </c>
      <c r="AS221" s="92">
        <f t="shared" si="63"/>
        <v>28.9</v>
      </c>
      <c r="AT221" s="93">
        <f t="shared" si="63"/>
        <v>14.933333333333335</v>
      </c>
      <c r="AU221" s="94">
        <f t="shared" si="63"/>
        <v>8.845833333333335</v>
      </c>
      <c r="AV221" s="91">
        <f t="shared" si="63"/>
        <v>58.813301820471132</v>
      </c>
      <c r="AW221" s="91">
        <f t="shared" si="63"/>
        <v>41.186698179528882</v>
      </c>
      <c r="AX221" s="83" t="str">
        <f t="shared" si="63"/>
        <v/>
      </c>
      <c r="AY221" s="95">
        <f t="shared" si="63"/>
        <v>78.350000000000009</v>
      </c>
      <c r="AZ221" s="96">
        <f t="shared" si="63"/>
        <v>61.481833333333341</v>
      </c>
      <c r="BA221" s="96" t="str">
        <f t="shared" si="63"/>
        <v/>
      </c>
      <c r="BB221" s="96">
        <f t="shared" si="63"/>
        <v>93.88333333333334</v>
      </c>
      <c r="BC221" s="96" t="str">
        <f t="shared" si="63"/>
        <v/>
      </c>
      <c r="BD221" s="97">
        <f>IFERROR(SUBTOTAL(1,BD189:BD218),"")</f>
        <v>110.738</v>
      </c>
      <c r="BE221" s="87">
        <f t="shared" si="63"/>
        <v>3953.1333333333332</v>
      </c>
      <c r="BF221" s="88">
        <f t="shared" si="63"/>
        <v>16.8</v>
      </c>
      <c r="BG221" s="98">
        <f t="shared" si="63"/>
        <v>0</v>
      </c>
      <c r="BH221" s="98">
        <f t="shared" si="63"/>
        <v>3936.3333333333335</v>
      </c>
      <c r="BI221" s="98" t="str">
        <f t="shared" si="63"/>
        <v/>
      </c>
      <c r="BJ221" s="98" t="str">
        <f t="shared" si="63"/>
        <v/>
      </c>
      <c r="BK221" s="98" t="str">
        <f t="shared" si="63"/>
        <v/>
      </c>
      <c r="BL221" s="97" t="str">
        <f t="shared" si="63"/>
        <v/>
      </c>
    </row>
    <row r="222" spans="1:64" ht="17.25" outlineLevel="1" thickBot="1" x14ac:dyDescent="0.35">
      <c r="A222" s="99" t="s">
        <v>80</v>
      </c>
      <c r="B222" s="100"/>
      <c r="C222" s="101"/>
      <c r="D222" s="102"/>
      <c r="E222" s="102"/>
      <c r="F222" s="102"/>
      <c r="G222" s="102"/>
      <c r="H222" s="102"/>
      <c r="I222" s="102"/>
      <c r="J222" s="102"/>
      <c r="K222" s="102"/>
      <c r="L222" s="103"/>
      <c r="M222" s="104"/>
      <c r="N222" s="104"/>
      <c r="O222" s="104"/>
      <c r="P222" s="104"/>
      <c r="Q222" s="104"/>
      <c r="R222" s="104"/>
      <c r="S222" s="104"/>
      <c r="T222" s="104"/>
      <c r="U222" s="105"/>
      <c r="V222" s="106"/>
      <c r="W222" s="106"/>
      <c r="X222" s="106"/>
      <c r="Y222" s="106"/>
      <c r="Z222" s="106"/>
      <c r="AA222" s="106"/>
      <c r="AB222" s="106"/>
      <c r="AC222" s="106"/>
      <c r="AD222" s="105"/>
      <c r="AE222" s="106"/>
      <c r="AF222" s="106"/>
      <c r="AG222" s="106"/>
      <c r="AH222" s="106"/>
      <c r="AI222" s="106"/>
      <c r="AJ222" s="106"/>
      <c r="AK222" s="106"/>
      <c r="AL222" s="106"/>
      <c r="AM222" s="106"/>
      <c r="AN222" s="107">
        <f>SUBTOTAL(9,AN189:AN218)</f>
        <v>3322.14</v>
      </c>
      <c r="AO222" s="108"/>
      <c r="AP222" s="109"/>
      <c r="AQ222" s="110"/>
      <c r="AR222" s="110"/>
      <c r="AS222" s="111">
        <f>SUBTOTAL(9,AS189:AS218)</f>
        <v>867</v>
      </c>
      <c r="AT222" s="112"/>
      <c r="AU222" s="113"/>
      <c r="AV222" s="110"/>
      <c r="AW222" s="110"/>
      <c r="AX222" s="101"/>
      <c r="AY222" s="114"/>
      <c r="AZ222" s="115"/>
      <c r="BA222" s="115"/>
      <c r="BB222" s="115"/>
      <c r="BC222" s="115"/>
      <c r="BD222" s="116">
        <f>SUBTOTAL(9,BD189:BD218)</f>
        <v>3322.14</v>
      </c>
      <c r="BE222" s="117">
        <f t="shared" ref="BE222:BL222" si="64">SUBTOTAL(9,BE189:BE218)</f>
        <v>118594</v>
      </c>
      <c r="BF222" s="107">
        <f t="shared" si="64"/>
        <v>504</v>
      </c>
      <c r="BG222" s="118">
        <f t="shared" si="64"/>
        <v>0</v>
      </c>
      <c r="BH222" s="118">
        <f t="shared" si="64"/>
        <v>118090</v>
      </c>
      <c r="BI222" s="118">
        <f t="shared" si="64"/>
        <v>0</v>
      </c>
      <c r="BJ222" s="118">
        <f t="shared" si="64"/>
        <v>0</v>
      </c>
      <c r="BK222" s="118">
        <f t="shared" si="64"/>
        <v>0</v>
      </c>
      <c r="BL222" s="116">
        <f t="shared" si="64"/>
        <v>0</v>
      </c>
    </row>
    <row r="223" spans="1:64" outlineLevel="5" x14ac:dyDescent="0.3">
      <c r="A223" s="136">
        <f t="shared" si="51"/>
        <v>7</v>
      </c>
      <c r="B223" s="165">
        <f>B218+1</f>
        <v>44013</v>
      </c>
      <c r="C223" s="138">
        <f>IFERROR(ROUND(AVERAGE(D223:K223),1),"")</f>
        <v>38</v>
      </c>
      <c r="D223" s="84">
        <v>38</v>
      </c>
      <c r="E223" s="84">
        <v>38</v>
      </c>
      <c r="F223" s="84"/>
      <c r="G223" s="84"/>
      <c r="H223" s="84"/>
      <c r="I223" s="84"/>
      <c r="J223" s="84"/>
      <c r="K223" s="84"/>
      <c r="L223" s="140">
        <f>IFERROR(ROUND(AVERAGE(M223:T223),1),"")</f>
        <v>7.8</v>
      </c>
      <c r="M223" s="86">
        <v>7.8</v>
      </c>
      <c r="N223" s="86">
        <v>7.72</v>
      </c>
      <c r="O223" s="86"/>
      <c r="P223" s="86"/>
      <c r="Q223" s="86"/>
      <c r="R223" s="86"/>
      <c r="S223" s="86"/>
      <c r="T223" s="86"/>
      <c r="U223" s="142">
        <f>IFERROR(ROUND(AVERAGE(V223:AC223),1),"")</f>
        <v>1319.2</v>
      </c>
      <c r="V223" s="88">
        <v>1470.5</v>
      </c>
      <c r="W223" s="88">
        <v>1167.8</v>
      </c>
      <c r="X223" s="88"/>
      <c r="Y223" s="88"/>
      <c r="Z223" s="88"/>
      <c r="AA223" s="88"/>
      <c r="AB223" s="88"/>
      <c r="AC223" s="88"/>
      <c r="AD223" s="142" t="str">
        <f>IFERROR(ROUND(AVERAGE(AE223:AL223),1),"")</f>
        <v/>
      </c>
      <c r="AE223" s="88"/>
      <c r="AF223" s="88"/>
      <c r="AG223" s="88"/>
      <c r="AH223" s="88"/>
      <c r="AI223" s="88"/>
      <c r="AJ223" s="88"/>
      <c r="AK223" s="88"/>
      <c r="AL223" s="88"/>
      <c r="AM223" s="88">
        <v>58.91898639370865</v>
      </c>
      <c r="AN223" s="88">
        <v>80.11</v>
      </c>
      <c r="AO223" s="89"/>
      <c r="AP223" s="90"/>
      <c r="AQ223" s="146" t="str">
        <f t="shared" ref="AQ223:AQ253" si="65">IFERROR(AP223/AO223*100,"")</f>
        <v/>
      </c>
      <c r="AR223" s="146" t="str">
        <f t="shared" ref="AR223:AR253" si="66">IFERROR(100-AQ223,"")</f>
        <v/>
      </c>
      <c r="AS223" s="147">
        <v>20</v>
      </c>
      <c r="AT223" s="148">
        <v>13.7</v>
      </c>
      <c r="AU223" s="149">
        <v>8.1</v>
      </c>
      <c r="AV223" s="146">
        <f t="shared" ref="AV223:AV253" si="67">IFERROR(AU223/AT223*100,"")</f>
        <v>59.12408759124088</v>
      </c>
      <c r="AW223" s="146">
        <f t="shared" ref="AW223:AW253" si="68">IFERROR(100-AV223,"")</f>
        <v>40.87591240875912</v>
      </c>
      <c r="AX223" s="168" t="str">
        <f>IFERROR((1-((AV223*AR223)/(AW223*AQ223)))*100,"")</f>
        <v/>
      </c>
      <c r="AY223" s="95">
        <v>74.099999999999994</v>
      </c>
      <c r="AZ223" s="96">
        <v>60.79</v>
      </c>
      <c r="BA223" s="96"/>
      <c r="BB223" s="96">
        <v>76</v>
      </c>
      <c r="BC223" s="96"/>
      <c r="BD223" s="97">
        <v>80.11</v>
      </c>
      <c r="BE223" s="142">
        <f t="shared" ref="BE223:BE253" si="69">IF(SUM(BF223:BL223)=0,"",SUM(BF223:BL223))</f>
        <v>59</v>
      </c>
      <c r="BF223" s="98">
        <v>0</v>
      </c>
      <c r="BG223" s="98">
        <v>0</v>
      </c>
      <c r="BH223" s="98">
        <v>59</v>
      </c>
      <c r="BI223" s="98"/>
      <c r="BJ223" s="98"/>
      <c r="BK223" s="98"/>
      <c r="BL223" s="97"/>
    </row>
    <row r="224" spans="1:64" outlineLevel="5" x14ac:dyDescent="0.3">
      <c r="A224" s="152">
        <f t="shared" si="51"/>
        <v>7</v>
      </c>
      <c r="B224" s="153">
        <f t="shared" ref="B224:B287" si="70">B223+1</f>
        <v>44014</v>
      </c>
      <c r="C224" s="138">
        <f>IFERROR(ROUND(AVERAGE(D224:K224),1),"")</f>
        <v>37</v>
      </c>
      <c r="D224" s="84">
        <v>37</v>
      </c>
      <c r="E224" s="84">
        <v>37</v>
      </c>
      <c r="F224" s="84"/>
      <c r="G224" s="84"/>
      <c r="H224" s="84"/>
      <c r="I224" s="84"/>
      <c r="J224" s="84"/>
      <c r="K224" s="84"/>
      <c r="L224" s="140">
        <f>IFERROR(ROUND(AVERAGE(M224:T224),1),"")</f>
        <v>7.7</v>
      </c>
      <c r="M224" s="86">
        <v>7.79</v>
      </c>
      <c r="N224" s="86">
        <v>7.7</v>
      </c>
      <c r="O224" s="86"/>
      <c r="P224" s="86"/>
      <c r="Q224" s="86"/>
      <c r="R224" s="86"/>
      <c r="S224" s="86"/>
      <c r="T224" s="86"/>
      <c r="U224" s="142">
        <f>IFERROR(ROUND(AVERAGE(V224:AC224),1),"")</f>
        <v>1189.4000000000001</v>
      </c>
      <c r="V224" s="88">
        <v>1297.5</v>
      </c>
      <c r="W224" s="88">
        <v>1081.3</v>
      </c>
      <c r="X224" s="88"/>
      <c r="Y224" s="88"/>
      <c r="Z224" s="88"/>
      <c r="AA224" s="88"/>
      <c r="AB224" s="88"/>
      <c r="AC224" s="88"/>
      <c r="AD224" s="142" t="str">
        <f>IFERROR(ROUND(AVERAGE(AE224:AL224),1),"")</f>
        <v/>
      </c>
      <c r="AE224" s="88"/>
      <c r="AF224" s="88"/>
      <c r="AG224" s="88"/>
      <c r="AH224" s="88"/>
      <c r="AI224" s="88"/>
      <c r="AJ224" s="88"/>
      <c r="AK224" s="88"/>
      <c r="AL224" s="88"/>
      <c r="AM224" s="88">
        <v>41.699796801837621</v>
      </c>
      <c r="AN224" s="88">
        <v>113.19</v>
      </c>
      <c r="AO224" s="89" t="s">
        <v>56</v>
      </c>
      <c r="AP224" s="90" t="s">
        <v>56</v>
      </c>
      <c r="AQ224" s="146" t="str">
        <f t="shared" si="65"/>
        <v/>
      </c>
      <c r="AR224" s="146" t="str">
        <f t="shared" si="66"/>
        <v/>
      </c>
      <c r="AS224" s="147">
        <v>20</v>
      </c>
      <c r="AT224" s="148">
        <v>13.65</v>
      </c>
      <c r="AU224" s="149">
        <v>7.9</v>
      </c>
      <c r="AV224" s="146">
        <f t="shared" si="67"/>
        <v>57.875457875457883</v>
      </c>
      <c r="AW224" s="146">
        <f t="shared" si="68"/>
        <v>42.124542124542117</v>
      </c>
      <c r="AX224" s="168" t="str">
        <f>IFERROR((1-((AV224*AR224)/(AW224*AQ224)))*100,"")</f>
        <v/>
      </c>
      <c r="AY224" s="95">
        <v>80.449999999999989</v>
      </c>
      <c r="AZ224" s="96">
        <v>60.394999999999996</v>
      </c>
      <c r="BA224" s="96"/>
      <c r="BB224" s="96">
        <v>90</v>
      </c>
      <c r="BC224" s="96"/>
      <c r="BD224" s="97">
        <v>113.19</v>
      </c>
      <c r="BE224" s="142">
        <f t="shared" si="69"/>
        <v>1201</v>
      </c>
      <c r="BF224" s="98">
        <v>0</v>
      </c>
      <c r="BG224" s="98">
        <v>0</v>
      </c>
      <c r="BH224" s="98">
        <v>1201</v>
      </c>
      <c r="BI224" s="98"/>
      <c r="BJ224" s="98"/>
      <c r="BK224" s="98"/>
      <c r="BL224" s="97"/>
    </row>
    <row r="225" spans="1:64" outlineLevel="5" x14ac:dyDescent="0.3">
      <c r="A225" s="152">
        <f t="shared" si="51"/>
        <v>7</v>
      </c>
      <c r="B225" s="153">
        <f t="shared" si="70"/>
        <v>44015</v>
      </c>
      <c r="C225" s="138">
        <f>IFERROR(ROUND(AVERAGE(D225:K225),1),"")</f>
        <v>38</v>
      </c>
      <c r="D225" s="84">
        <v>38</v>
      </c>
      <c r="E225" s="84">
        <v>38</v>
      </c>
      <c r="F225" s="84"/>
      <c r="G225" s="84"/>
      <c r="H225" s="84"/>
      <c r="I225" s="84"/>
      <c r="J225" s="84"/>
      <c r="K225" s="84"/>
      <c r="L225" s="140" t="str">
        <f>IFERROR(ROUND(AVERAGE(M225:T225),1),"")</f>
        <v/>
      </c>
      <c r="M225" s="86"/>
      <c r="N225" s="86"/>
      <c r="O225" s="86"/>
      <c r="P225" s="86"/>
      <c r="Q225" s="86"/>
      <c r="R225" s="86"/>
      <c r="S225" s="86"/>
      <c r="T225" s="86"/>
      <c r="U225" s="142" t="str">
        <f>IFERROR(ROUND(AVERAGE(V225:AC225),1),"")</f>
        <v/>
      </c>
      <c r="V225" s="88"/>
      <c r="W225" s="88"/>
      <c r="X225" s="88"/>
      <c r="Y225" s="88"/>
      <c r="Z225" s="88"/>
      <c r="AA225" s="88"/>
      <c r="AB225" s="88"/>
      <c r="AC225" s="88"/>
      <c r="AD225" s="142" t="str">
        <f>IFERROR(ROUND(AVERAGE(AE225:AL225),1),"")</f>
        <v/>
      </c>
      <c r="AE225" s="88"/>
      <c r="AF225" s="88"/>
      <c r="AG225" s="88"/>
      <c r="AH225" s="88"/>
      <c r="AI225" s="88"/>
      <c r="AJ225" s="88"/>
      <c r="AK225" s="88"/>
      <c r="AL225" s="88"/>
      <c r="AM225" s="88">
        <v>106.37818345729097</v>
      </c>
      <c r="AN225" s="88">
        <v>44.37</v>
      </c>
      <c r="AO225" s="89" t="s">
        <v>56</v>
      </c>
      <c r="AP225" s="90" t="s">
        <v>56</v>
      </c>
      <c r="AQ225" s="146" t="str">
        <f t="shared" si="65"/>
        <v/>
      </c>
      <c r="AR225" s="146" t="str">
        <f t="shared" si="66"/>
        <v/>
      </c>
      <c r="AS225" s="147">
        <v>20</v>
      </c>
      <c r="AT225" s="148" t="s">
        <v>56</v>
      </c>
      <c r="AU225" s="149" t="s">
        <v>56</v>
      </c>
      <c r="AV225" s="146" t="str">
        <f t="shared" si="67"/>
        <v/>
      </c>
      <c r="AW225" s="146" t="str">
        <f t="shared" si="68"/>
        <v/>
      </c>
      <c r="AX225" s="168" t="str">
        <f>IFERROR((1-((AV225*AR225)/(AW225*AQ225)))*100,"")</f>
        <v/>
      </c>
      <c r="AY225" s="95" t="s">
        <v>56</v>
      </c>
      <c r="AZ225" s="96">
        <v>61.06</v>
      </c>
      <c r="BA225" s="96"/>
      <c r="BB225" s="96">
        <v>83</v>
      </c>
      <c r="BC225" s="96"/>
      <c r="BD225" s="97">
        <v>44.37</v>
      </c>
      <c r="BE225" s="142">
        <f t="shared" si="69"/>
        <v>14</v>
      </c>
      <c r="BF225" s="98">
        <v>14</v>
      </c>
      <c r="BG225" s="98">
        <v>0</v>
      </c>
      <c r="BH225" s="98">
        <v>0</v>
      </c>
      <c r="BI225" s="98"/>
      <c r="BJ225" s="98"/>
      <c r="BK225" s="98"/>
      <c r="BL225" s="97"/>
    </row>
    <row r="226" spans="1:64" outlineLevel="5" x14ac:dyDescent="0.3">
      <c r="A226" s="152">
        <f t="shared" si="51"/>
        <v>7</v>
      </c>
      <c r="B226" s="153">
        <f t="shared" si="70"/>
        <v>44016</v>
      </c>
      <c r="C226" s="138">
        <f>IFERROR(ROUND(AVERAGE(D226:K226),1),"")</f>
        <v>39</v>
      </c>
      <c r="D226" s="84">
        <v>39</v>
      </c>
      <c r="E226" s="84">
        <v>39</v>
      </c>
      <c r="F226" s="84"/>
      <c r="G226" s="84"/>
      <c r="H226" s="84"/>
      <c r="I226" s="84"/>
      <c r="J226" s="84"/>
      <c r="K226" s="84"/>
      <c r="L226" s="140" t="str">
        <f>IFERROR(ROUND(AVERAGE(M226:T226),1),"")</f>
        <v/>
      </c>
      <c r="M226" s="86"/>
      <c r="N226" s="86"/>
      <c r="O226" s="86"/>
      <c r="P226" s="86"/>
      <c r="Q226" s="86"/>
      <c r="R226" s="86"/>
      <c r="S226" s="86"/>
      <c r="T226" s="86"/>
      <c r="U226" s="142" t="str">
        <f>IFERROR(ROUND(AVERAGE(V226:AC226),1),"")</f>
        <v/>
      </c>
      <c r="V226" s="88"/>
      <c r="W226" s="88"/>
      <c r="X226" s="88"/>
      <c r="Y226" s="88"/>
      <c r="Z226" s="88"/>
      <c r="AA226" s="88"/>
      <c r="AB226" s="88"/>
      <c r="AC226" s="88"/>
      <c r="AD226" s="142" t="str">
        <f>IFERROR(ROUND(AVERAGE(AE226:AL226),1),"")</f>
        <v/>
      </c>
      <c r="AE226" s="88"/>
      <c r="AF226" s="88"/>
      <c r="AG226" s="88"/>
      <c r="AH226" s="88"/>
      <c r="AI226" s="88"/>
      <c r="AJ226" s="88"/>
      <c r="AK226" s="88"/>
      <c r="AL226" s="88"/>
      <c r="AM226" s="88">
        <v>93.669378845008936</v>
      </c>
      <c r="AN226" s="88">
        <v>50.39</v>
      </c>
      <c r="AO226" s="89" t="s">
        <v>56</v>
      </c>
      <c r="AP226" s="90" t="s">
        <v>56</v>
      </c>
      <c r="AQ226" s="146" t="str">
        <f t="shared" si="65"/>
        <v/>
      </c>
      <c r="AR226" s="146" t="str">
        <f t="shared" si="66"/>
        <v/>
      </c>
      <c r="AS226" s="147">
        <v>10</v>
      </c>
      <c r="AT226" s="148" t="s">
        <v>56</v>
      </c>
      <c r="AU226" s="149" t="s">
        <v>56</v>
      </c>
      <c r="AV226" s="146" t="str">
        <f t="shared" si="67"/>
        <v/>
      </c>
      <c r="AW226" s="146" t="str">
        <f t="shared" si="68"/>
        <v/>
      </c>
      <c r="AX226" s="168" t="str">
        <f>IFERROR((1-((AV226*AR226)/(AW226*AQ226)))*100,"")</f>
        <v/>
      </c>
      <c r="AY226" s="95" t="s">
        <v>56</v>
      </c>
      <c r="AZ226" s="96">
        <v>66.55</v>
      </c>
      <c r="BA226" s="96"/>
      <c r="BB226" s="96">
        <v>79.5</v>
      </c>
      <c r="BC226" s="96"/>
      <c r="BD226" s="97">
        <v>50.39</v>
      </c>
      <c r="BE226" s="142">
        <f t="shared" si="69"/>
        <v>55</v>
      </c>
      <c r="BF226" s="98">
        <v>55</v>
      </c>
      <c r="BG226" s="98">
        <v>0</v>
      </c>
      <c r="BH226" s="98">
        <v>0</v>
      </c>
      <c r="BI226" s="98"/>
      <c r="BJ226" s="98"/>
      <c r="BK226" s="98"/>
      <c r="BL226" s="97"/>
    </row>
    <row r="227" spans="1:64" outlineLevel="5" x14ac:dyDescent="0.3">
      <c r="A227" s="152">
        <f t="shared" si="51"/>
        <v>7</v>
      </c>
      <c r="B227" s="153">
        <f t="shared" si="70"/>
        <v>44017</v>
      </c>
      <c r="C227" s="138">
        <f>IFERROR(ROUND(AVERAGE(D227:K227),1),"")</f>
        <v>39</v>
      </c>
      <c r="D227" s="84">
        <v>39</v>
      </c>
      <c r="E227" s="84">
        <v>39</v>
      </c>
      <c r="F227" s="84"/>
      <c r="G227" s="84"/>
      <c r="H227" s="84"/>
      <c r="I227" s="84"/>
      <c r="J227" s="84"/>
      <c r="K227" s="84"/>
      <c r="L227" s="140" t="str">
        <f>IFERROR(ROUND(AVERAGE(M227:T227),1),"")</f>
        <v/>
      </c>
      <c r="M227" s="86"/>
      <c r="N227" s="86"/>
      <c r="O227" s="86"/>
      <c r="P227" s="86"/>
      <c r="Q227" s="86"/>
      <c r="R227" s="86"/>
      <c r="S227" s="86"/>
      <c r="T227" s="86"/>
      <c r="U227" s="142" t="str">
        <f>IFERROR(ROUND(AVERAGE(V227:AC227),1),"")</f>
        <v/>
      </c>
      <c r="V227" s="88"/>
      <c r="W227" s="88"/>
      <c r="X227" s="88"/>
      <c r="Y227" s="88"/>
      <c r="Z227" s="88"/>
      <c r="AA227" s="88"/>
      <c r="AB227" s="88"/>
      <c r="AC227" s="88"/>
      <c r="AD227" s="142" t="str">
        <f>IFERROR(ROUND(AVERAGE(AE227:AL227),1),"")</f>
        <v/>
      </c>
      <c r="AE227" s="88"/>
      <c r="AF227" s="88"/>
      <c r="AG227" s="88"/>
      <c r="AH227" s="88"/>
      <c r="AI227" s="88"/>
      <c r="AJ227" s="88"/>
      <c r="AK227" s="88"/>
      <c r="AL227" s="88"/>
      <c r="AM227" s="88">
        <v>62.10526315789474</v>
      </c>
      <c r="AN227" s="88">
        <v>76</v>
      </c>
      <c r="AO227" s="89">
        <v>39.4</v>
      </c>
      <c r="AP227" s="90">
        <v>36.523800000000001</v>
      </c>
      <c r="AQ227" s="146">
        <f t="shared" si="65"/>
        <v>92.7</v>
      </c>
      <c r="AR227" s="146">
        <f t="shared" si="66"/>
        <v>7.2999999999999972</v>
      </c>
      <c r="AS227" s="147">
        <v>10</v>
      </c>
      <c r="AT227" s="148">
        <v>14</v>
      </c>
      <c r="AU227" s="149">
        <v>8.1000000000000014</v>
      </c>
      <c r="AV227" s="146">
        <f t="shared" si="67"/>
        <v>57.857142857142861</v>
      </c>
      <c r="AW227" s="146">
        <f t="shared" si="68"/>
        <v>42.142857142857139</v>
      </c>
      <c r="AX227" s="168">
        <f>IFERROR((1-((AV227*AR227)/(AW227*AQ227)))*100,"")</f>
        <v>89.188744446272835</v>
      </c>
      <c r="AY227" s="95" t="s">
        <v>56</v>
      </c>
      <c r="AZ227" s="96">
        <v>59.625</v>
      </c>
      <c r="BA227" s="96"/>
      <c r="BB227" s="96">
        <v>107.5</v>
      </c>
      <c r="BC227" s="96"/>
      <c r="BD227" s="97">
        <v>76</v>
      </c>
      <c r="BE227" s="142" t="str">
        <f t="shared" si="69"/>
        <v/>
      </c>
      <c r="BF227" s="98">
        <v>0</v>
      </c>
      <c r="BG227" s="98">
        <v>0</v>
      </c>
      <c r="BH227" s="98">
        <v>0</v>
      </c>
      <c r="BI227" s="98"/>
      <c r="BJ227" s="98"/>
      <c r="BK227" s="98"/>
      <c r="BL227" s="97"/>
    </row>
    <row r="228" spans="1:64" outlineLevel="5" x14ac:dyDescent="0.3">
      <c r="A228" s="152">
        <f t="shared" si="51"/>
        <v>7</v>
      </c>
      <c r="B228" s="153">
        <f t="shared" si="70"/>
        <v>44018</v>
      </c>
      <c r="C228" s="138">
        <f>IFERROR(ROUND(AVERAGE(D228:K228),1),"")</f>
        <v>38</v>
      </c>
      <c r="D228" s="84">
        <v>38</v>
      </c>
      <c r="E228" s="84">
        <v>38</v>
      </c>
      <c r="F228" s="84"/>
      <c r="G228" s="84"/>
      <c r="H228" s="84"/>
      <c r="I228" s="84"/>
      <c r="J228" s="84"/>
      <c r="K228" s="84"/>
      <c r="L228" s="140">
        <f>IFERROR(ROUND(AVERAGE(M228:T228),1),"")</f>
        <v>7.8</v>
      </c>
      <c r="M228" s="86">
        <v>7.8</v>
      </c>
      <c r="N228" s="86">
        <v>7.71</v>
      </c>
      <c r="O228" s="86"/>
      <c r="P228" s="86"/>
      <c r="Q228" s="86"/>
      <c r="R228" s="86"/>
      <c r="S228" s="86"/>
      <c r="T228" s="86"/>
      <c r="U228" s="142">
        <f>IFERROR(ROUND(AVERAGE(V228:AC228),1),"")</f>
        <v>1124.5</v>
      </c>
      <c r="V228" s="88">
        <v>1232.5999999999999</v>
      </c>
      <c r="W228" s="88">
        <v>1016.4</v>
      </c>
      <c r="X228" s="88"/>
      <c r="Y228" s="88"/>
      <c r="Z228" s="88"/>
      <c r="AA228" s="88"/>
      <c r="AB228" s="88"/>
      <c r="AC228" s="88"/>
      <c r="AD228" s="142" t="str">
        <f>IFERROR(ROUND(AVERAGE(AE228:AL228),1),"")</f>
        <v/>
      </c>
      <c r="AE228" s="88"/>
      <c r="AF228" s="88"/>
      <c r="AG228" s="88"/>
      <c r="AH228" s="88"/>
      <c r="AI228" s="88"/>
      <c r="AJ228" s="88"/>
      <c r="AK228" s="88"/>
      <c r="AL228" s="88"/>
      <c r="AM228" s="88">
        <v>49.71560985885823</v>
      </c>
      <c r="AN228" s="88">
        <v>94.94</v>
      </c>
      <c r="AO228" s="89" t="s">
        <v>56</v>
      </c>
      <c r="AP228" s="90" t="s">
        <v>56</v>
      </c>
      <c r="AQ228" s="146" t="str">
        <f t="shared" si="65"/>
        <v/>
      </c>
      <c r="AR228" s="146" t="str">
        <f t="shared" si="66"/>
        <v/>
      </c>
      <c r="AS228" s="147">
        <v>13</v>
      </c>
      <c r="AT228" s="148">
        <v>14</v>
      </c>
      <c r="AU228" s="149">
        <v>8.1000000000000014</v>
      </c>
      <c r="AV228" s="146">
        <f t="shared" si="67"/>
        <v>57.857142857142861</v>
      </c>
      <c r="AW228" s="146">
        <f t="shared" si="68"/>
        <v>42.142857142857139</v>
      </c>
      <c r="AX228" s="168" t="str">
        <f>IFERROR((1-((AV228*AR228)/(AW228*AQ228)))*100,"")</f>
        <v/>
      </c>
      <c r="AY228" s="95">
        <v>73.3</v>
      </c>
      <c r="AZ228" s="96">
        <v>61.400000000000006</v>
      </c>
      <c r="BA228" s="96"/>
      <c r="BB228" s="96">
        <v>98.5</v>
      </c>
      <c r="BC228" s="96"/>
      <c r="BD228" s="97">
        <v>94.94</v>
      </c>
      <c r="BE228" s="142" t="str">
        <f t="shared" si="69"/>
        <v/>
      </c>
      <c r="BF228" s="98">
        <v>0</v>
      </c>
      <c r="BG228" s="98">
        <v>0</v>
      </c>
      <c r="BH228" s="98">
        <v>0</v>
      </c>
      <c r="BI228" s="98"/>
      <c r="BJ228" s="98"/>
      <c r="BK228" s="98"/>
      <c r="BL228" s="97"/>
    </row>
    <row r="229" spans="1:64" outlineLevel="5" x14ac:dyDescent="0.3">
      <c r="A229" s="152">
        <f t="shared" si="51"/>
        <v>7</v>
      </c>
      <c r="B229" s="153">
        <f t="shared" si="70"/>
        <v>44019</v>
      </c>
      <c r="C229" s="138">
        <f>IFERROR(ROUND(AVERAGE(D229:K229),1),"")</f>
        <v>38</v>
      </c>
      <c r="D229" s="84">
        <v>38</v>
      </c>
      <c r="E229" s="84">
        <v>38</v>
      </c>
      <c r="F229" s="84"/>
      <c r="G229" s="84"/>
      <c r="H229" s="84"/>
      <c r="I229" s="84"/>
      <c r="J229" s="84"/>
      <c r="K229" s="84"/>
      <c r="L229" s="140" t="str">
        <f>IFERROR(ROUND(AVERAGE(M229:T229),1),"")</f>
        <v/>
      </c>
      <c r="M229" s="86"/>
      <c r="N229" s="86"/>
      <c r="O229" s="86"/>
      <c r="P229" s="86"/>
      <c r="Q229" s="86"/>
      <c r="R229" s="86"/>
      <c r="S229" s="86"/>
      <c r="T229" s="86"/>
      <c r="U229" s="142" t="str">
        <f>IFERROR(ROUND(AVERAGE(V229:AC229),1),"")</f>
        <v/>
      </c>
      <c r="V229" s="88"/>
      <c r="W229" s="88"/>
      <c r="X229" s="88"/>
      <c r="Y229" s="88"/>
      <c r="Z229" s="88"/>
      <c r="AA229" s="88"/>
      <c r="AB229" s="88"/>
      <c r="AC229" s="88"/>
      <c r="AD229" s="142" t="str">
        <f>IFERROR(ROUND(AVERAGE(AE229:AL229),1),"")</f>
        <v/>
      </c>
      <c r="AE229" s="88"/>
      <c r="AF229" s="88"/>
      <c r="AG229" s="88"/>
      <c r="AH229" s="88"/>
      <c r="AI229" s="88"/>
      <c r="AJ229" s="88"/>
      <c r="AK229" s="88"/>
      <c r="AL229" s="88"/>
      <c r="AM229" s="88">
        <v>42.94032023289666</v>
      </c>
      <c r="AN229" s="88">
        <v>109.91999999999999</v>
      </c>
      <c r="AO229" s="89" t="s">
        <v>56</v>
      </c>
      <c r="AP229" s="90" t="s">
        <v>56</v>
      </c>
      <c r="AQ229" s="146" t="str">
        <f t="shared" si="65"/>
        <v/>
      </c>
      <c r="AR229" s="146" t="str">
        <f t="shared" si="66"/>
        <v/>
      </c>
      <c r="AS229" s="147">
        <v>20</v>
      </c>
      <c r="AT229" s="148" t="s">
        <v>56</v>
      </c>
      <c r="AU229" s="149" t="s">
        <v>56</v>
      </c>
      <c r="AV229" s="146" t="str">
        <f t="shared" si="67"/>
        <v/>
      </c>
      <c r="AW229" s="146" t="str">
        <f t="shared" si="68"/>
        <v/>
      </c>
      <c r="AX229" s="168" t="str">
        <f>IFERROR((1-((AV229*AR229)/(AW229*AQ229)))*100,"")</f>
        <v/>
      </c>
      <c r="AY229" s="95" t="s">
        <v>56</v>
      </c>
      <c r="AZ229" s="96">
        <v>67.004999999999995</v>
      </c>
      <c r="BA229" s="96"/>
      <c r="BB229" s="96">
        <v>100</v>
      </c>
      <c r="BC229" s="96"/>
      <c r="BD229" s="97">
        <v>109.91999999999999</v>
      </c>
      <c r="BE229" s="142" t="str">
        <f t="shared" si="69"/>
        <v/>
      </c>
      <c r="BF229" s="98">
        <v>0</v>
      </c>
      <c r="BG229" s="98">
        <v>0</v>
      </c>
      <c r="BH229" s="98">
        <v>0</v>
      </c>
      <c r="BI229" s="98"/>
      <c r="BJ229" s="98"/>
      <c r="BK229" s="98"/>
      <c r="BL229" s="97"/>
    </row>
    <row r="230" spans="1:64" outlineLevel="5" x14ac:dyDescent="0.3">
      <c r="A230" s="152">
        <f t="shared" si="51"/>
        <v>7</v>
      </c>
      <c r="B230" s="153">
        <f t="shared" si="70"/>
        <v>44020</v>
      </c>
      <c r="C230" s="138">
        <f>IFERROR(ROUND(AVERAGE(D230:K230),1),"")</f>
        <v>38.5</v>
      </c>
      <c r="D230" s="84">
        <v>39</v>
      </c>
      <c r="E230" s="84">
        <v>38</v>
      </c>
      <c r="F230" s="84"/>
      <c r="G230" s="84"/>
      <c r="H230" s="84"/>
      <c r="I230" s="84"/>
      <c r="J230" s="84"/>
      <c r="K230" s="84"/>
      <c r="L230" s="140">
        <f>IFERROR(ROUND(AVERAGE(M230:T230),1),"")</f>
        <v>7.7</v>
      </c>
      <c r="M230" s="86">
        <v>7.75</v>
      </c>
      <c r="N230" s="86">
        <v>7.7</v>
      </c>
      <c r="O230" s="86"/>
      <c r="P230" s="86"/>
      <c r="Q230" s="86"/>
      <c r="R230" s="86"/>
      <c r="S230" s="86"/>
      <c r="T230" s="86"/>
      <c r="U230" s="142">
        <f>IFERROR(ROUND(AVERAGE(V230:AC230),1),"")</f>
        <v>1102.9000000000001</v>
      </c>
      <c r="V230" s="88">
        <v>1254.3</v>
      </c>
      <c r="W230" s="88">
        <v>951.5</v>
      </c>
      <c r="X230" s="88"/>
      <c r="Y230" s="88"/>
      <c r="Z230" s="88"/>
      <c r="AA230" s="88"/>
      <c r="AB230" s="88"/>
      <c r="AC230" s="88"/>
      <c r="AD230" s="142" t="str">
        <f>IFERROR(ROUND(AVERAGE(AE230:AL230),1),"")</f>
        <v/>
      </c>
      <c r="AE230" s="88"/>
      <c r="AF230" s="88"/>
      <c r="AG230" s="88"/>
      <c r="AH230" s="88"/>
      <c r="AI230" s="88"/>
      <c r="AJ230" s="88"/>
      <c r="AK230" s="88"/>
      <c r="AL230" s="88"/>
      <c r="AM230" s="88">
        <v>44.149284444860164</v>
      </c>
      <c r="AN230" s="88">
        <v>106.91</v>
      </c>
      <c r="AO230" s="89"/>
      <c r="AP230" s="90"/>
      <c r="AQ230" s="146" t="str">
        <f t="shared" si="65"/>
        <v/>
      </c>
      <c r="AR230" s="146" t="str">
        <f t="shared" si="66"/>
        <v/>
      </c>
      <c r="AS230" s="147">
        <v>20</v>
      </c>
      <c r="AT230" s="148">
        <v>15.850000000000001</v>
      </c>
      <c r="AU230" s="149">
        <v>9.3500000000000014</v>
      </c>
      <c r="AV230" s="146">
        <f t="shared" si="67"/>
        <v>58.990536277602523</v>
      </c>
      <c r="AW230" s="146">
        <f t="shared" si="68"/>
        <v>41.009463722397477</v>
      </c>
      <c r="AX230" s="168" t="str">
        <f>IFERROR((1-((AV230*AR230)/(AW230*AQ230)))*100,"")</f>
        <v/>
      </c>
      <c r="AY230" s="95">
        <v>71.45</v>
      </c>
      <c r="AZ230" s="96">
        <v>61.1</v>
      </c>
      <c r="BA230" s="96"/>
      <c r="BB230" s="96">
        <v>106</v>
      </c>
      <c r="BC230" s="96"/>
      <c r="BD230" s="97">
        <v>106.91</v>
      </c>
      <c r="BE230" s="142">
        <f t="shared" si="69"/>
        <v>37</v>
      </c>
      <c r="BF230" s="98">
        <v>37</v>
      </c>
      <c r="BG230" s="98">
        <v>0</v>
      </c>
      <c r="BH230" s="98">
        <v>0</v>
      </c>
      <c r="BI230" s="98"/>
      <c r="BJ230" s="98"/>
      <c r="BK230" s="98"/>
      <c r="BL230" s="97"/>
    </row>
    <row r="231" spans="1:64" outlineLevel="5" x14ac:dyDescent="0.3">
      <c r="A231" s="152">
        <f t="shared" si="51"/>
        <v>7</v>
      </c>
      <c r="B231" s="153">
        <f t="shared" si="70"/>
        <v>44021</v>
      </c>
      <c r="C231" s="138">
        <f>IFERROR(ROUND(AVERAGE(D231:K231),1),"")</f>
        <v>37.5</v>
      </c>
      <c r="D231" s="84">
        <v>38</v>
      </c>
      <c r="E231" s="84">
        <v>37</v>
      </c>
      <c r="F231" s="84"/>
      <c r="G231" s="84"/>
      <c r="H231" s="84"/>
      <c r="I231" s="84"/>
      <c r="J231" s="84"/>
      <c r="K231" s="84"/>
      <c r="L231" s="140">
        <f>IFERROR(ROUND(AVERAGE(M231:T231),1),"")</f>
        <v>7.7</v>
      </c>
      <c r="M231" s="86">
        <v>7.78</v>
      </c>
      <c r="N231" s="86">
        <v>7.71</v>
      </c>
      <c r="O231" s="86"/>
      <c r="P231" s="86"/>
      <c r="Q231" s="86"/>
      <c r="R231" s="86"/>
      <c r="S231" s="86"/>
      <c r="T231" s="86"/>
      <c r="U231" s="142">
        <f>IFERROR(ROUND(AVERAGE(V231:AC231),1),"")</f>
        <v>994.8</v>
      </c>
      <c r="V231" s="88">
        <v>1081.3</v>
      </c>
      <c r="W231" s="88">
        <v>908.3</v>
      </c>
      <c r="X231" s="88"/>
      <c r="Y231" s="88"/>
      <c r="Z231" s="88"/>
      <c r="AA231" s="88"/>
      <c r="AB231" s="88"/>
      <c r="AC231" s="88"/>
      <c r="AD231" s="142" t="str">
        <f>IFERROR(ROUND(AVERAGE(AE231:AL231),1),"")</f>
        <v/>
      </c>
      <c r="AE231" s="88"/>
      <c r="AF231" s="88"/>
      <c r="AG231" s="88"/>
      <c r="AH231" s="88"/>
      <c r="AI231" s="88"/>
      <c r="AJ231" s="88"/>
      <c r="AK231" s="88"/>
      <c r="AL231" s="88"/>
      <c r="AM231" s="88">
        <v>73.86541471048514</v>
      </c>
      <c r="AN231" s="88">
        <v>63.9</v>
      </c>
      <c r="AO231" s="89"/>
      <c r="AP231" s="90"/>
      <c r="AQ231" s="146" t="str">
        <f t="shared" si="65"/>
        <v/>
      </c>
      <c r="AR231" s="146" t="str">
        <f t="shared" si="66"/>
        <v/>
      </c>
      <c r="AS231" s="147">
        <v>20</v>
      </c>
      <c r="AT231" s="148">
        <v>14.45</v>
      </c>
      <c r="AU231" s="149">
        <v>8.25</v>
      </c>
      <c r="AV231" s="146">
        <f t="shared" si="67"/>
        <v>57.093425605536332</v>
      </c>
      <c r="AW231" s="146">
        <f t="shared" si="68"/>
        <v>42.906574394463668</v>
      </c>
      <c r="AX231" s="168" t="str">
        <f>IFERROR((1-((AV231*AR231)/(AW231*AQ231)))*100,"")</f>
        <v/>
      </c>
      <c r="AY231" s="95">
        <v>77.95</v>
      </c>
      <c r="AZ231" s="96">
        <v>61.505000000000003</v>
      </c>
      <c r="BA231" s="96"/>
      <c r="BB231" s="96">
        <v>83</v>
      </c>
      <c r="BC231" s="96"/>
      <c r="BD231" s="97">
        <v>63.9</v>
      </c>
      <c r="BE231" s="142" t="str">
        <f t="shared" si="69"/>
        <v/>
      </c>
      <c r="BF231" s="98">
        <v>0</v>
      </c>
      <c r="BG231" s="98">
        <v>0</v>
      </c>
      <c r="BH231" s="98">
        <v>0</v>
      </c>
      <c r="BI231" s="98"/>
      <c r="BJ231" s="98"/>
      <c r="BK231" s="98"/>
      <c r="BL231" s="97"/>
    </row>
    <row r="232" spans="1:64" outlineLevel="5" x14ac:dyDescent="0.3">
      <c r="A232" s="152">
        <f t="shared" si="51"/>
        <v>7</v>
      </c>
      <c r="B232" s="153">
        <f t="shared" si="70"/>
        <v>44022</v>
      </c>
      <c r="C232" s="138">
        <f>IFERROR(ROUND(AVERAGE(D232:K232),1),"")</f>
        <v>38</v>
      </c>
      <c r="D232" s="84">
        <v>38</v>
      </c>
      <c r="E232" s="84">
        <v>38</v>
      </c>
      <c r="F232" s="84"/>
      <c r="G232" s="84"/>
      <c r="H232" s="84"/>
      <c r="I232" s="84"/>
      <c r="J232" s="84"/>
      <c r="K232" s="84"/>
      <c r="L232" s="140" t="str">
        <f>IFERROR(ROUND(AVERAGE(M232:T232),1),"")</f>
        <v/>
      </c>
      <c r="M232" s="86"/>
      <c r="N232" s="86"/>
      <c r="O232" s="86"/>
      <c r="P232" s="86"/>
      <c r="Q232" s="86"/>
      <c r="R232" s="86"/>
      <c r="S232" s="86"/>
      <c r="T232" s="86"/>
      <c r="U232" s="142" t="str">
        <f>IFERROR(ROUND(AVERAGE(V232:AC232),1),"")</f>
        <v/>
      </c>
      <c r="V232" s="88"/>
      <c r="W232" s="88"/>
      <c r="X232" s="88"/>
      <c r="Y232" s="88"/>
      <c r="Z232" s="88"/>
      <c r="AA232" s="88"/>
      <c r="AB232" s="88"/>
      <c r="AC232" s="88"/>
      <c r="AD232" s="142" t="str">
        <f>IFERROR(ROUND(AVERAGE(AE232:AL232),1),"")</f>
        <v/>
      </c>
      <c r="AE232" s="88"/>
      <c r="AF232" s="88"/>
      <c r="AG232" s="88"/>
      <c r="AH232" s="88"/>
      <c r="AI232" s="88"/>
      <c r="AJ232" s="88"/>
      <c r="AK232" s="88"/>
      <c r="AL232" s="88"/>
      <c r="AM232" s="88">
        <v>92.494611013129528</v>
      </c>
      <c r="AN232" s="88">
        <v>51.03</v>
      </c>
      <c r="AO232" s="89">
        <v>9</v>
      </c>
      <c r="AP232" s="90">
        <v>7.38</v>
      </c>
      <c r="AQ232" s="146">
        <f t="shared" si="65"/>
        <v>82</v>
      </c>
      <c r="AR232" s="146">
        <f t="shared" si="66"/>
        <v>18</v>
      </c>
      <c r="AS232" s="147">
        <v>20</v>
      </c>
      <c r="AT232" s="148" t="s">
        <v>56</v>
      </c>
      <c r="AU232" s="149" t="s">
        <v>56</v>
      </c>
      <c r="AV232" s="146" t="str">
        <f t="shared" si="67"/>
        <v/>
      </c>
      <c r="AW232" s="146" t="str">
        <f t="shared" si="68"/>
        <v/>
      </c>
      <c r="AX232" s="168" t="str">
        <f>IFERROR((1-((AV232*AR232)/(AW232*AQ232)))*100,"")</f>
        <v/>
      </c>
      <c r="AY232" s="95" t="s">
        <v>56</v>
      </c>
      <c r="AZ232" s="96">
        <v>61.010000000000005</v>
      </c>
      <c r="BA232" s="96"/>
      <c r="BB232" s="96">
        <v>100</v>
      </c>
      <c r="BC232" s="96"/>
      <c r="BD232" s="97">
        <v>51.03</v>
      </c>
      <c r="BE232" s="142">
        <f t="shared" si="69"/>
        <v>51</v>
      </c>
      <c r="BF232" s="98">
        <v>51</v>
      </c>
      <c r="BG232" s="98">
        <v>0</v>
      </c>
      <c r="BH232" s="98">
        <v>0</v>
      </c>
      <c r="BI232" s="98"/>
      <c r="BJ232" s="98"/>
      <c r="BK232" s="98"/>
      <c r="BL232" s="97"/>
    </row>
    <row r="233" spans="1:64" outlineLevel="5" x14ac:dyDescent="0.3">
      <c r="A233" s="152">
        <f t="shared" si="51"/>
        <v>7</v>
      </c>
      <c r="B233" s="153">
        <f t="shared" si="70"/>
        <v>44023</v>
      </c>
      <c r="C233" s="138">
        <f>IFERROR(ROUND(AVERAGE(D233:K233),1),"")</f>
        <v>38</v>
      </c>
      <c r="D233" s="84">
        <v>38</v>
      </c>
      <c r="E233" s="84">
        <v>38</v>
      </c>
      <c r="F233" s="84"/>
      <c r="G233" s="84"/>
      <c r="H233" s="84"/>
      <c r="I233" s="84"/>
      <c r="J233" s="84"/>
      <c r="K233" s="84"/>
      <c r="L233" s="140" t="str">
        <f>IFERROR(ROUND(AVERAGE(M233:T233),1),"")</f>
        <v/>
      </c>
      <c r="M233" s="86"/>
      <c r="N233" s="86"/>
      <c r="O233" s="86"/>
      <c r="P233" s="86"/>
      <c r="Q233" s="86"/>
      <c r="R233" s="86"/>
      <c r="S233" s="86"/>
      <c r="T233" s="86"/>
      <c r="U233" s="142" t="str">
        <f>IFERROR(ROUND(AVERAGE(V233:AC233),1),"")</f>
        <v/>
      </c>
      <c r="V233" s="88"/>
      <c r="W233" s="88"/>
      <c r="X233" s="88"/>
      <c r="Y233" s="88"/>
      <c r="Z233" s="88"/>
      <c r="AA233" s="88"/>
      <c r="AB233" s="88"/>
      <c r="AC233" s="88"/>
      <c r="AD233" s="142" t="str">
        <f>IFERROR(ROUND(AVERAGE(AE233:AL233),1),"")</f>
        <v/>
      </c>
      <c r="AE233" s="88"/>
      <c r="AF233" s="88"/>
      <c r="AG233" s="88"/>
      <c r="AH233" s="88"/>
      <c r="AI233" s="88"/>
      <c r="AJ233" s="88"/>
      <c r="AK233" s="88"/>
      <c r="AL233" s="88"/>
      <c r="AM233" s="88">
        <v>81.660899653979243</v>
      </c>
      <c r="AN233" s="88">
        <v>57.8</v>
      </c>
      <c r="AO233" s="89" t="s">
        <v>56</v>
      </c>
      <c r="AP233" s="90" t="s">
        <v>56</v>
      </c>
      <c r="AQ233" s="146" t="str">
        <f t="shared" si="65"/>
        <v/>
      </c>
      <c r="AR233" s="146" t="str">
        <f t="shared" si="66"/>
        <v/>
      </c>
      <c r="AS233" s="147">
        <v>10</v>
      </c>
      <c r="AT233" s="148" t="s">
        <v>56</v>
      </c>
      <c r="AU233" s="149" t="s">
        <v>56</v>
      </c>
      <c r="AV233" s="146" t="str">
        <f t="shared" si="67"/>
        <v/>
      </c>
      <c r="AW233" s="146" t="str">
        <f t="shared" si="68"/>
        <v/>
      </c>
      <c r="AX233" s="168" t="str">
        <f>IFERROR((1-((AV233*AR233)/(AW233*AQ233)))*100,"")</f>
        <v/>
      </c>
      <c r="AY233" s="95" t="s">
        <v>56</v>
      </c>
      <c r="AZ233" s="96">
        <v>63.739999999999995</v>
      </c>
      <c r="BA233" s="96"/>
      <c r="BB233" s="96">
        <v>78.5</v>
      </c>
      <c r="BC233" s="96"/>
      <c r="BD233" s="97">
        <v>57.8</v>
      </c>
      <c r="BE233" s="142" t="str">
        <f t="shared" si="69"/>
        <v/>
      </c>
      <c r="BF233" s="98">
        <v>0</v>
      </c>
      <c r="BG233" s="98">
        <v>0</v>
      </c>
      <c r="BH233" s="98">
        <v>0</v>
      </c>
      <c r="BI233" s="98"/>
      <c r="BJ233" s="98"/>
      <c r="BK233" s="98"/>
      <c r="BL233" s="97"/>
    </row>
    <row r="234" spans="1:64" outlineLevel="5" x14ac:dyDescent="0.3">
      <c r="A234" s="152">
        <f t="shared" si="51"/>
        <v>7</v>
      </c>
      <c r="B234" s="153">
        <f t="shared" si="70"/>
        <v>44024</v>
      </c>
      <c r="C234" s="138">
        <f>IFERROR(ROUND(AVERAGE(D234:K234),1),"")</f>
        <v>38</v>
      </c>
      <c r="D234" s="84">
        <v>38</v>
      </c>
      <c r="E234" s="84">
        <v>38</v>
      </c>
      <c r="F234" s="84"/>
      <c r="G234" s="84"/>
      <c r="H234" s="84"/>
      <c r="I234" s="84"/>
      <c r="J234" s="84"/>
      <c r="K234" s="84"/>
      <c r="L234" s="140" t="str">
        <f>IFERROR(ROUND(AVERAGE(M234:T234),1),"")</f>
        <v/>
      </c>
      <c r="M234" s="86"/>
      <c r="N234" s="86"/>
      <c r="O234" s="86"/>
      <c r="P234" s="86"/>
      <c r="Q234" s="86"/>
      <c r="R234" s="86"/>
      <c r="S234" s="86"/>
      <c r="T234" s="86"/>
      <c r="U234" s="142" t="str">
        <f>IFERROR(ROUND(AVERAGE(V234:AC234),1),"")</f>
        <v/>
      </c>
      <c r="V234" s="88"/>
      <c r="W234" s="88"/>
      <c r="X234" s="88"/>
      <c r="Y234" s="88"/>
      <c r="Z234" s="88"/>
      <c r="AA234" s="88"/>
      <c r="AB234" s="88"/>
      <c r="AC234" s="88"/>
      <c r="AD234" s="142" t="str">
        <f>IFERROR(ROUND(AVERAGE(AE234:AL234),1),"")</f>
        <v/>
      </c>
      <c r="AE234" s="88"/>
      <c r="AF234" s="88"/>
      <c r="AG234" s="88"/>
      <c r="AH234" s="88"/>
      <c r="AI234" s="88"/>
      <c r="AJ234" s="88"/>
      <c r="AK234" s="88"/>
      <c r="AL234" s="88"/>
      <c r="AM234" s="88">
        <v>104.88888888888889</v>
      </c>
      <c r="AN234" s="88">
        <v>45</v>
      </c>
      <c r="AO234" s="89" t="s">
        <v>56</v>
      </c>
      <c r="AP234" s="90" t="s">
        <v>56</v>
      </c>
      <c r="AQ234" s="146" t="str">
        <f t="shared" si="65"/>
        <v/>
      </c>
      <c r="AR234" s="146" t="str">
        <f t="shared" si="66"/>
        <v/>
      </c>
      <c r="AS234" s="147">
        <v>10</v>
      </c>
      <c r="AT234" s="148" t="s">
        <v>56</v>
      </c>
      <c r="AU234" s="149" t="s">
        <v>56</v>
      </c>
      <c r="AV234" s="146" t="str">
        <f t="shared" si="67"/>
        <v/>
      </c>
      <c r="AW234" s="146" t="str">
        <f t="shared" si="68"/>
        <v/>
      </c>
      <c r="AX234" s="168" t="str">
        <f>IFERROR((1-((AV234*AR234)/(AW234*AQ234)))*100,"")</f>
        <v/>
      </c>
      <c r="AY234" s="95" t="s">
        <v>56</v>
      </c>
      <c r="AZ234" s="96">
        <v>60.784999999999997</v>
      </c>
      <c r="BA234" s="96"/>
      <c r="BB234" s="96">
        <v>116</v>
      </c>
      <c r="BC234" s="96"/>
      <c r="BD234" s="97">
        <v>45</v>
      </c>
      <c r="BE234" s="142" t="str">
        <f t="shared" si="69"/>
        <v/>
      </c>
      <c r="BF234" s="98">
        <v>0</v>
      </c>
      <c r="BG234" s="98">
        <v>0</v>
      </c>
      <c r="BH234" s="98">
        <v>0</v>
      </c>
      <c r="BI234" s="98"/>
      <c r="BJ234" s="98"/>
      <c r="BK234" s="98"/>
      <c r="BL234" s="97"/>
    </row>
    <row r="235" spans="1:64" outlineLevel="5" x14ac:dyDescent="0.3">
      <c r="A235" s="152">
        <f t="shared" ref="A235:A306" si="71">MONTH(B235)</f>
        <v>7</v>
      </c>
      <c r="B235" s="153">
        <f t="shared" si="70"/>
        <v>44025</v>
      </c>
      <c r="C235" s="138">
        <f>IFERROR(ROUND(AVERAGE(D235:K235),1),"")</f>
        <v>37</v>
      </c>
      <c r="D235" s="84">
        <v>37</v>
      </c>
      <c r="E235" s="84">
        <v>37</v>
      </c>
      <c r="F235" s="84"/>
      <c r="G235" s="84"/>
      <c r="H235" s="84"/>
      <c r="I235" s="84"/>
      <c r="J235" s="84"/>
      <c r="K235" s="84"/>
      <c r="L235" s="140">
        <f>IFERROR(ROUND(AVERAGE(M235:T235),1),"")</f>
        <v>7.8</v>
      </c>
      <c r="M235" s="86">
        <v>7.79</v>
      </c>
      <c r="N235" s="86">
        <v>7.72</v>
      </c>
      <c r="O235" s="86"/>
      <c r="P235" s="86"/>
      <c r="Q235" s="86"/>
      <c r="R235" s="86"/>
      <c r="S235" s="86"/>
      <c r="T235" s="86"/>
      <c r="U235" s="142">
        <f>IFERROR(ROUND(AVERAGE(V235:AC235),1),"")</f>
        <v>1193.7</v>
      </c>
      <c r="V235" s="88">
        <v>1405.6</v>
      </c>
      <c r="W235" s="88">
        <v>981.8</v>
      </c>
      <c r="X235" s="88"/>
      <c r="Y235" s="88"/>
      <c r="Z235" s="88"/>
      <c r="AA235" s="88"/>
      <c r="AB235" s="88"/>
      <c r="AC235" s="88"/>
      <c r="AD235" s="142" t="str">
        <f>IFERROR(ROUND(AVERAGE(AE235:AL235),1),"")</f>
        <v/>
      </c>
      <c r="AE235" s="88"/>
      <c r="AF235" s="88"/>
      <c r="AG235" s="88"/>
      <c r="AH235" s="88"/>
      <c r="AI235" s="88"/>
      <c r="AJ235" s="88"/>
      <c r="AK235" s="88"/>
      <c r="AL235" s="88"/>
      <c r="AM235" s="88">
        <v>68.714514485369051</v>
      </c>
      <c r="AN235" s="88">
        <v>68.69</v>
      </c>
      <c r="AO235" s="89" t="s">
        <v>56</v>
      </c>
      <c r="AP235" s="90" t="s">
        <v>56</v>
      </c>
      <c r="AQ235" s="146" t="str">
        <f t="shared" si="65"/>
        <v/>
      </c>
      <c r="AR235" s="146" t="str">
        <f t="shared" si="66"/>
        <v/>
      </c>
      <c r="AS235" s="147">
        <v>40</v>
      </c>
      <c r="AT235" s="148">
        <v>13.65</v>
      </c>
      <c r="AU235" s="149">
        <v>7.4</v>
      </c>
      <c r="AV235" s="146">
        <f t="shared" si="67"/>
        <v>54.212454212454212</v>
      </c>
      <c r="AW235" s="146">
        <f t="shared" si="68"/>
        <v>45.787545787545788</v>
      </c>
      <c r="AX235" s="168" t="str">
        <f>IFERROR((1-((AV235*AR235)/(AW235*AQ235)))*100,"")</f>
        <v/>
      </c>
      <c r="AY235" s="95">
        <v>77.849999999999994</v>
      </c>
      <c r="AZ235" s="96">
        <v>61.075000000000003</v>
      </c>
      <c r="BA235" s="96"/>
      <c r="BB235" s="96">
        <v>107.5</v>
      </c>
      <c r="BC235" s="96"/>
      <c r="BD235" s="97">
        <v>68.69</v>
      </c>
      <c r="BE235" s="142">
        <f t="shared" si="69"/>
        <v>28</v>
      </c>
      <c r="BF235" s="98">
        <v>28</v>
      </c>
      <c r="BG235" s="98">
        <v>0</v>
      </c>
      <c r="BH235" s="98">
        <v>0</v>
      </c>
      <c r="BI235" s="98"/>
      <c r="BJ235" s="98"/>
      <c r="BK235" s="98"/>
      <c r="BL235" s="97"/>
    </row>
    <row r="236" spans="1:64" outlineLevel="5" x14ac:dyDescent="0.3">
      <c r="A236" s="152">
        <f t="shared" si="71"/>
        <v>7</v>
      </c>
      <c r="B236" s="153">
        <f t="shared" si="70"/>
        <v>44026</v>
      </c>
      <c r="C236" s="138">
        <f>IFERROR(ROUND(AVERAGE(D236:K236),1),"")</f>
        <v>37</v>
      </c>
      <c r="D236" s="84">
        <v>37</v>
      </c>
      <c r="E236" s="84">
        <v>37</v>
      </c>
      <c r="F236" s="84"/>
      <c r="G236" s="84"/>
      <c r="H236" s="84"/>
      <c r="I236" s="84"/>
      <c r="J236" s="84"/>
      <c r="K236" s="84"/>
      <c r="L236" s="140" t="str">
        <f>IFERROR(ROUND(AVERAGE(M236:T236),1),"")</f>
        <v/>
      </c>
      <c r="M236" s="86"/>
      <c r="N236" s="86"/>
      <c r="O236" s="86"/>
      <c r="P236" s="86"/>
      <c r="Q236" s="86"/>
      <c r="R236" s="86"/>
      <c r="S236" s="86"/>
      <c r="T236" s="86"/>
      <c r="U236" s="142" t="str">
        <f>IFERROR(ROUND(AVERAGE(V236:AC236),1),"")</f>
        <v/>
      </c>
      <c r="V236" s="88"/>
      <c r="W236" s="88"/>
      <c r="X236" s="88"/>
      <c r="Y236" s="88"/>
      <c r="Z236" s="88"/>
      <c r="AA236" s="88"/>
      <c r="AB236" s="88"/>
      <c r="AC236" s="88"/>
      <c r="AD236" s="142" t="str">
        <f>IFERROR(ROUND(AVERAGE(AE236:AL236),1),"")</f>
        <v/>
      </c>
      <c r="AE236" s="88"/>
      <c r="AF236" s="88"/>
      <c r="AG236" s="88"/>
      <c r="AH236" s="88"/>
      <c r="AI236" s="88"/>
      <c r="AJ236" s="88"/>
      <c r="AK236" s="88"/>
      <c r="AL236" s="88"/>
      <c r="AM236" s="88">
        <v>74.707185818296935</v>
      </c>
      <c r="AN236" s="88">
        <v>63.18</v>
      </c>
      <c r="AO236" s="89" t="s">
        <v>56</v>
      </c>
      <c r="AP236" s="90"/>
      <c r="AQ236" s="146" t="str">
        <f t="shared" si="65"/>
        <v/>
      </c>
      <c r="AR236" s="146" t="str">
        <f t="shared" si="66"/>
        <v/>
      </c>
      <c r="AS236" s="147">
        <v>27</v>
      </c>
      <c r="AT236" s="148" t="s">
        <v>56</v>
      </c>
      <c r="AU236" s="149" t="s">
        <v>56</v>
      </c>
      <c r="AV236" s="146" t="str">
        <f t="shared" si="67"/>
        <v/>
      </c>
      <c r="AW236" s="146" t="str">
        <f t="shared" si="68"/>
        <v/>
      </c>
      <c r="AX236" s="168" t="str">
        <f>IFERROR((1-((AV236*AR236)/(AW236*AQ236)))*100,"")</f>
        <v/>
      </c>
      <c r="AY236" s="95" t="s">
        <v>56</v>
      </c>
      <c r="AZ236" s="96">
        <v>62.18</v>
      </c>
      <c r="BA236" s="96"/>
      <c r="BB236" s="96">
        <v>99.5</v>
      </c>
      <c r="BC236" s="96"/>
      <c r="BD236" s="97">
        <v>63.18</v>
      </c>
      <c r="BE236" s="142">
        <f t="shared" si="69"/>
        <v>63</v>
      </c>
      <c r="BF236" s="98">
        <v>63</v>
      </c>
      <c r="BG236" s="98">
        <v>0</v>
      </c>
      <c r="BH236" s="98">
        <v>0</v>
      </c>
      <c r="BI236" s="98"/>
      <c r="BJ236" s="98"/>
      <c r="BK236" s="98"/>
      <c r="BL236" s="97"/>
    </row>
    <row r="237" spans="1:64" outlineLevel="5" x14ac:dyDescent="0.3">
      <c r="A237" s="152">
        <f t="shared" si="71"/>
        <v>7</v>
      </c>
      <c r="B237" s="153">
        <f t="shared" si="70"/>
        <v>44027</v>
      </c>
      <c r="C237" s="138">
        <f>IFERROR(ROUND(AVERAGE(D237:K237),1),"")</f>
        <v>38</v>
      </c>
      <c r="D237" s="84">
        <v>38</v>
      </c>
      <c r="E237" s="84">
        <v>38</v>
      </c>
      <c r="F237" s="84"/>
      <c r="G237" s="84"/>
      <c r="H237" s="84"/>
      <c r="I237" s="84"/>
      <c r="J237" s="84"/>
      <c r="K237" s="84"/>
      <c r="L237" s="140">
        <f>IFERROR(ROUND(AVERAGE(M237:T237),1),"")</f>
        <v>7.7</v>
      </c>
      <c r="M237" s="86"/>
      <c r="N237" s="86">
        <v>7.7</v>
      </c>
      <c r="O237" s="86"/>
      <c r="P237" s="86"/>
      <c r="Q237" s="86"/>
      <c r="R237" s="86"/>
      <c r="S237" s="86"/>
      <c r="T237" s="86"/>
      <c r="U237" s="142">
        <f>IFERROR(ROUND(AVERAGE(V237:AC237),1),"")</f>
        <v>1513.8</v>
      </c>
      <c r="V237" s="88"/>
      <c r="W237" s="88">
        <v>1513.8</v>
      </c>
      <c r="X237" s="88"/>
      <c r="Y237" s="88"/>
      <c r="Z237" s="88"/>
      <c r="AA237" s="88"/>
      <c r="AB237" s="88"/>
      <c r="AC237" s="88"/>
      <c r="AD237" s="142" t="str">
        <f>IFERROR(ROUND(AVERAGE(AE237:AL237),1),"")</f>
        <v/>
      </c>
      <c r="AE237" s="88"/>
      <c r="AF237" s="88"/>
      <c r="AG237" s="88"/>
      <c r="AH237" s="88"/>
      <c r="AI237" s="88"/>
      <c r="AJ237" s="88"/>
      <c r="AK237" s="88"/>
      <c r="AL237" s="88"/>
      <c r="AM237" s="88">
        <v>64.817357868717394</v>
      </c>
      <c r="AN237" s="88">
        <v>72.819999999999993</v>
      </c>
      <c r="AO237" s="89"/>
      <c r="AP237" s="90"/>
      <c r="AQ237" s="146" t="str">
        <f t="shared" si="65"/>
        <v/>
      </c>
      <c r="AR237" s="146" t="str">
        <f t="shared" si="66"/>
        <v/>
      </c>
      <c r="AS237" s="147">
        <v>20</v>
      </c>
      <c r="AT237" s="148">
        <v>14.6</v>
      </c>
      <c r="AU237" s="149">
        <v>8.9</v>
      </c>
      <c r="AV237" s="146">
        <f t="shared" si="67"/>
        <v>60.958904109589042</v>
      </c>
      <c r="AW237" s="146">
        <f t="shared" si="68"/>
        <v>39.041095890410958</v>
      </c>
      <c r="AX237" s="168" t="str">
        <f>IFERROR((1-((AV237*AR237)/(AW237*AQ237)))*100,"")</f>
        <v/>
      </c>
      <c r="AY237" s="95">
        <v>78.599999999999994</v>
      </c>
      <c r="AZ237" s="96">
        <v>57.754999999999995</v>
      </c>
      <c r="BA237" s="96"/>
      <c r="BB237" s="96">
        <v>109</v>
      </c>
      <c r="BC237" s="96"/>
      <c r="BD237" s="97">
        <v>72.819999999999993</v>
      </c>
      <c r="BE237" s="142">
        <f t="shared" si="69"/>
        <v>32</v>
      </c>
      <c r="BF237" s="98">
        <v>32</v>
      </c>
      <c r="BG237" s="98">
        <v>0</v>
      </c>
      <c r="BH237" s="98">
        <v>0</v>
      </c>
      <c r="BI237" s="98"/>
      <c r="BJ237" s="98"/>
      <c r="BK237" s="98"/>
      <c r="BL237" s="97"/>
    </row>
    <row r="238" spans="1:64" outlineLevel="5" x14ac:dyDescent="0.3">
      <c r="A238" s="152">
        <f t="shared" si="71"/>
        <v>7</v>
      </c>
      <c r="B238" s="153">
        <f t="shared" si="70"/>
        <v>44028</v>
      </c>
      <c r="C238" s="138">
        <f>IFERROR(ROUND(AVERAGE(D238:K238),1),"")</f>
        <v>38</v>
      </c>
      <c r="D238" s="84">
        <v>38</v>
      </c>
      <c r="E238" s="84">
        <v>38</v>
      </c>
      <c r="F238" s="84"/>
      <c r="G238" s="84"/>
      <c r="H238" s="84"/>
      <c r="I238" s="84"/>
      <c r="J238" s="84"/>
      <c r="K238" s="84"/>
      <c r="L238" s="140">
        <f>IFERROR(ROUND(AVERAGE(M238:T238),1),"")</f>
        <v>7.7</v>
      </c>
      <c r="M238" s="86"/>
      <c r="N238" s="86">
        <v>7.71</v>
      </c>
      <c r="O238" s="86"/>
      <c r="P238" s="86"/>
      <c r="Q238" s="86"/>
      <c r="R238" s="86"/>
      <c r="S238" s="86"/>
      <c r="T238" s="86"/>
      <c r="U238" s="142">
        <f>IFERROR(ROUND(AVERAGE(V238:AC238),1),"")</f>
        <v>2162.5</v>
      </c>
      <c r="V238" s="88"/>
      <c r="W238" s="88">
        <v>2162.5</v>
      </c>
      <c r="X238" s="88"/>
      <c r="Y238" s="88"/>
      <c r="Z238" s="88"/>
      <c r="AA238" s="88"/>
      <c r="AB238" s="88"/>
      <c r="AC238" s="88"/>
      <c r="AD238" s="142" t="str">
        <f>IFERROR(ROUND(AVERAGE(AE238:AL238),1),"")</f>
        <v/>
      </c>
      <c r="AE238" s="88"/>
      <c r="AF238" s="88"/>
      <c r="AG238" s="88"/>
      <c r="AH238" s="88"/>
      <c r="AI238" s="88"/>
      <c r="AJ238" s="88"/>
      <c r="AK238" s="88"/>
      <c r="AL238" s="88"/>
      <c r="AM238" s="88">
        <v>61.474342276634538</v>
      </c>
      <c r="AN238" s="88">
        <v>76.78</v>
      </c>
      <c r="AO238" s="89"/>
      <c r="AP238" s="90"/>
      <c r="AQ238" s="146" t="str">
        <f t="shared" si="65"/>
        <v/>
      </c>
      <c r="AR238" s="146" t="str">
        <f t="shared" si="66"/>
        <v/>
      </c>
      <c r="AS238" s="147">
        <v>0</v>
      </c>
      <c r="AT238" s="148">
        <v>15</v>
      </c>
      <c r="AU238" s="149">
        <v>9.3000000000000007</v>
      </c>
      <c r="AV238" s="146">
        <f t="shared" si="67"/>
        <v>62</v>
      </c>
      <c r="AW238" s="146">
        <f t="shared" si="68"/>
        <v>38</v>
      </c>
      <c r="AX238" s="168" t="str">
        <f>IFERROR((1-((AV238*AR238)/(AW238*AQ238)))*100,"")</f>
        <v/>
      </c>
      <c r="AY238" s="95">
        <v>78</v>
      </c>
      <c r="AZ238" s="96">
        <v>58.745000000000005</v>
      </c>
      <c r="BA238" s="96"/>
      <c r="BB238" s="96">
        <v>103</v>
      </c>
      <c r="BC238" s="96"/>
      <c r="BD238" s="97">
        <v>76.78</v>
      </c>
      <c r="BE238" s="142">
        <f t="shared" si="69"/>
        <v>36</v>
      </c>
      <c r="BF238" s="98">
        <v>36</v>
      </c>
      <c r="BG238" s="98">
        <v>0</v>
      </c>
      <c r="BH238" s="98">
        <v>0</v>
      </c>
      <c r="BI238" s="98"/>
      <c r="BJ238" s="98"/>
      <c r="BK238" s="98"/>
      <c r="BL238" s="97"/>
    </row>
    <row r="239" spans="1:64" outlineLevel="5" x14ac:dyDescent="0.3">
      <c r="A239" s="152">
        <f t="shared" si="71"/>
        <v>7</v>
      </c>
      <c r="B239" s="153">
        <f t="shared" si="70"/>
        <v>44029</v>
      </c>
      <c r="C239" s="138">
        <f>IFERROR(ROUND(AVERAGE(D239:K239),1),"")</f>
        <v>38</v>
      </c>
      <c r="D239" s="84">
        <v>38</v>
      </c>
      <c r="E239" s="84">
        <v>38</v>
      </c>
      <c r="F239" s="84"/>
      <c r="G239" s="84"/>
      <c r="H239" s="84"/>
      <c r="I239" s="84"/>
      <c r="J239" s="84"/>
      <c r="K239" s="84"/>
      <c r="L239" s="140" t="str">
        <f>IFERROR(ROUND(AVERAGE(M239:T239),1),"")</f>
        <v/>
      </c>
      <c r="M239" s="86"/>
      <c r="N239" s="86"/>
      <c r="O239" s="86"/>
      <c r="P239" s="86"/>
      <c r="Q239" s="86"/>
      <c r="R239" s="86"/>
      <c r="S239" s="86"/>
      <c r="T239" s="86"/>
      <c r="U239" s="142" t="str">
        <f>IFERROR(ROUND(AVERAGE(V239:AC239),1),"")</f>
        <v/>
      </c>
      <c r="V239" s="88"/>
      <c r="W239" s="88"/>
      <c r="X239" s="88"/>
      <c r="Y239" s="88"/>
      <c r="Z239" s="88"/>
      <c r="AA239" s="88"/>
      <c r="AB239" s="88"/>
      <c r="AC239" s="88"/>
      <c r="AD239" s="142" t="str">
        <f>IFERROR(ROUND(AVERAGE(AE239:AL239),1),"")</f>
        <v/>
      </c>
      <c r="AE239" s="88"/>
      <c r="AF239" s="88"/>
      <c r="AG239" s="88"/>
      <c r="AH239" s="88"/>
      <c r="AI239" s="88"/>
      <c r="AJ239" s="88"/>
      <c r="AK239" s="88"/>
      <c r="AL239" s="88"/>
      <c r="AM239" s="88">
        <v>61.514401146878662</v>
      </c>
      <c r="AN239" s="88">
        <v>76.73</v>
      </c>
      <c r="AO239" s="89">
        <v>16.7</v>
      </c>
      <c r="AP239" s="90">
        <v>14.362</v>
      </c>
      <c r="AQ239" s="146">
        <f t="shared" si="65"/>
        <v>86.000000000000014</v>
      </c>
      <c r="AR239" s="146">
        <f t="shared" si="66"/>
        <v>13.999999999999986</v>
      </c>
      <c r="AS239" s="147">
        <v>0</v>
      </c>
      <c r="AT239" s="148" t="s">
        <v>56</v>
      </c>
      <c r="AU239" s="149" t="s">
        <v>56</v>
      </c>
      <c r="AV239" s="146" t="str">
        <f t="shared" si="67"/>
        <v/>
      </c>
      <c r="AW239" s="146" t="str">
        <f t="shared" si="68"/>
        <v/>
      </c>
      <c r="AX239" s="168" t="str">
        <f>IFERROR((1-((AV239*AR239)/(AW239*AQ239)))*100,"")</f>
        <v/>
      </c>
      <c r="AY239" s="95" t="s">
        <v>56</v>
      </c>
      <c r="AZ239" s="96">
        <v>58.82</v>
      </c>
      <c r="BA239" s="96"/>
      <c r="BB239" s="96">
        <v>125.5</v>
      </c>
      <c r="BC239" s="96"/>
      <c r="BD239" s="97">
        <v>76.73</v>
      </c>
      <c r="BE239" s="142" t="str">
        <f t="shared" si="69"/>
        <v/>
      </c>
      <c r="BF239" s="98">
        <v>0</v>
      </c>
      <c r="BG239" s="98">
        <v>0</v>
      </c>
      <c r="BH239" s="98">
        <v>0</v>
      </c>
      <c r="BI239" s="98"/>
      <c r="BJ239" s="98"/>
      <c r="BK239" s="98"/>
      <c r="BL239" s="97"/>
    </row>
    <row r="240" spans="1:64" outlineLevel="5" x14ac:dyDescent="0.3">
      <c r="A240" s="152">
        <f t="shared" si="71"/>
        <v>7</v>
      </c>
      <c r="B240" s="153">
        <f t="shared" si="70"/>
        <v>44030</v>
      </c>
      <c r="C240" s="138">
        <f>IFERROR(ROUND(AVERAGE(D240:K240),1),"")</f>
        <v>38</v>
      </c>
      <c r="D240" s="84">
        <v>38</v>
      </c>
      <c r="E240" s="84">
        <v>38</v>
      </c>
      <c r="F240" s="84"/>
      <c r="G240" s="84"/>
      <c r="H240" s="84"/>
      <c r="I240" s="84"/>
      <c r="J240" s="84"/>
      <c r="K240" s="84"/>
      <c r="L240" s="140" t="str">
        <f>IFERROR(ROUND(AVERAGE(M240:T240),1),"")</f>
        <v/>
      </c>
      <c r="M240" s="86"/>
      <c r="N240" s="86"/>
      <c r="O240" s="86"/>
      <c r="P240" s="86"/>
      <c r="Q240" s="86"/>
      <c r="R240" s="86"/>
      <c r="S240" s="86"/>
      <c r="T240" s="86"/>
      <c r="U240" s="142" t="str">
        <f>IFERROR(ROUND(AVERAGE(V240:AC240),1),"")</f>
        <v/>
      </c>
      <c r="V240" s="88"/>
      <c r="W240" s="88"/>
      <c r="X240" s="88"/>
      <c r="Y240" s="88"/>
      <c r="Z240" s="88"/>
      <c r="AA240" s="88"/>
      <c r="AB240" s="88"/>
      <c r="AC240" s="88"/>
      <c r="AD240" s="142" t="str">
        <f>IFERROR(ROUND(AVERAGE(AE240:AL240),1),"")</f>
        <v/>
      </c>
      <c r="AE240" s="88"/>
      <c r="AF240" s="88"/>
      <c r="AG240" s="88"/>
      <c r="AH240" s="88"/>
      <c r="AI240" s="88"/>
      <c r="AJ240" s="88"/>
      <c r="AK240" s="88"/>
      <c r="AL240" s="88"/>
      <c r="AM240" s="88">
        <v>62.891405729513657</v>
      </c>
      <c r="AN240" s="88">
        <v>75.05</v>
      </c>
      <c r="AO240" s="89" t="s">
        <v>56</v>
      </c>
      <c r="AP240" s="90" t="s">
        <v>56</v>
      </c>
      <c r="AQ240" s="146" t="str">
        <f t="shared" si="65"/>
        <v/>
      </c>
      <c r="AR240" s="146" t="str">
        <f t="shared" si="66"/>
        <v/>
      </c>
      <c r="AS240" s="147">
        <v>8</v>
      </c>
      <c r="AT240" s="148" t="s">
        <v>56</v>
      </c>
      <c r="AU240" s="149" t="s">
        <v>56</v>
      </c>
      <c r="AV240" s="146" t="str">
        <f t="shared" si="67"/>
        <v/>
      </c>
      <c r="AW240" s="146" t="str">
        <f t="shared" si="68"/>
        <v/>
      </c>
      <c r="AX240" s="168" t="str">
        <f>IFERROR((1-((AV240*AR240)/(AW240*AQ240)))*100,"")</f>
        <v/>
      </c>
      <c r="AY240" s="95" t="s">
        <v>56</v>
      </c>
      <c r="AZ240" s="96" t="s">
        <v>56</v>
      </c>
      <c r="BA240" s="96"/>
      <c r="BB240" s="96" t="s">
        <v>56</v>
      </c>
      <c r="BC240" s="96"/>
      <c r="BD240" s="97">
        <v>75.05</v>
      </c>
      <c r="BE240" s="142" t="str">
        <f t="shared" si="69"/>
        <v/>
      </c>
      <c r="BF240" s="98">
        <v>0</v>
      </c>
      <c r="BG240" s="98">
        <v>0</v>
      </c>
      <c r="BH240" s="98">
        <v>0</v>
      </c>
      <c r="BI240" s="98"/>
      <c r="BJ240" s="98"/>
      <c r="BK240" s="98"/>
      <c r="BL240" s="97"/>
    </row>
    <row r="241" spans="1:64" outlineLevel="5" x14ac:dyDescent="0.3">
      <c r="A241" s="152">
        <f t="shared" si="71"/>
        <v>7</v>
      </c>
      <c r="B241" s="153">
        <f t="shared" si="70"/>
        <v>44031</v>
      </c>
      <c r="C241" s="138">
        <f>IFERROR(ROUND(AVERAGE(D241:K241),1),"")</f>
        <v>38</v>
      </c>
      <c r="D241" s="84">
        <v>38</v>
      </c>
      <c r="E241" s="84">
        <v>38</v>
      </c>
      <c r="F241" s="84"/>
      <c r="G241" s="84"/>
      <c r="H241" s="84"/>
      <c r="I241" s="84"/>
      <c r="J241" s="84"/>
      <c r="K241" s="84"/>
      <c r="L241" s="140" t="str">
        <f>IFERROR(ROUND(AVERAGE(M241:T241),1),"")</f>
        <v/>
      </c>
      <c r="M241" s="86"/>
      <c r="N241" s="86"/>
      <c r="O241" s="86"/>
      <c r="P241" s="86"/>
      <c r="Q241" s="86"/>
      <c r="R241" s="86"/>
      <c r="S241" s="86"/>
      <c r="T241" s="86"/>
      <c r="U241" s="142" t="str">
        <f>IFERROR(ROUND(AVERAGE(V241:AC241),1),"")</f>
        <v/>
      </c>
      <c r="V241" s="88"/>
      <c r="W241" s="88"/>
      <c r="X241" s="88"/>
      <c r="Y241" s="88"/>
      <c r="Z241" s="88"/>
      <c r="AA241" s="88"/>
      <c r="AB241" s="88"/>
      <c r="AC241" s="88"/>
      <c r="AD241" s="142" t="str">
        <f>IFERROR(ROUND(AVERAGE(AE241:AL241),1),"")</f>
        <v/>
      </c>
      <c r="AE241" s="88"/>
      <c r="AF241" s="88"/>
      <c r="AG241" s="88"/>
      <c r="AH241" s="88"/>
      <c r="AI241" s="88"/>
      <c r="AJ241" s="88"/>
      <c r="AK241" s="88"/>
      <c r="AL241" s="88"/>
      <c r="AM241" s="88">
        <v>73.75</v>
      </c>
      <c r="AN241" s="88">
        <v>64</v>
      </c>
      <c r="AO241" s="89" t="s">
        <v>56</v>
      </c>
      <c r="AP241" s="90" t="s">
        <v>56</v>
      </c>
      <c r="AQ241" s="146" t="str">
        <f t="shared" si="65"/>
        <v/>
      </c>
      <c r="AR241" s="146" t="str">
        <f t="shared" si="66"/>
        <v/>
      </c>
      <c r="AS241" s="147">
        <v>0</v>
      </c>
      <c r="AT241" s="148" t="s">
        <v>56</v>
      </c>
      <c r="AU241" s="149" t="s">
        <v>56</v>
      </c>
      <c r="AV241" s="146" t="str">
        <f t="shared" si="67"/>
        <v/>
      </c>
      <c r="AW241" s="146" t="str">
        <f t="shared" si="68"/>
        <v/>
      </c>
      <c r="AX241" s="168" t="str">
        <f>IFERROR((1-((AV241*AR241)/(AW241*AQ241)))*100,"")</f>
        <v/>
      </c>
      <c r="AY241" s="95" t="s">
        <v>56</v>
      </c>
      <c r="AZ241" s="96" t="s">
        <v>56</v>
      </c>
      <c r="BA241" s="96"/>
      <c r="BB241" s="96" t="s">
        <v>56</v>
      </c>
      <c r="BC241" s="96"/>
      <c r="BD241" s="97">
        <v>64</v>
      </c>
      <c r="BE241" s="142" t="str">
        <f t="shared" si="69"/>
        <v/>
      </c>
      <c r="BF241" s="98">
        <v>0</v>
      </c>
      <c r="BG241" s="98">
        <v>0</v>
      </c>
      <c r="BH241" s="98">
        <v>0</v>
      </c>
      <c r="BI241" s="98"/>
      <c r="BJ241" s="98"/>
      <c r="BK241" s="98"/>
      <c r="BL241" s="97"/>
    </row>
    <row r="242" spans="1:64" outlineLevel="5" x14ac:dyDescent="0.3">
      <c r="A242" s="152">
        <f t="shared" si="71"/>
        <v>7</v>
      </c>
      <c r="B242" s="153">
        <f t="shared" si="70"/>
        <v>44032</v>
      </c>
      <c r="C242" s="138">
        <f>IFERROR(ROUND(AVERAGE(D242:K242),1),"")</f>
        <v>38</v>
      </c>
      <c r="D242" s="84">
        <v>38</v>
      </c>
      <c r="E242" s="84">
        <v>38</v>
      </c>
      <c r="F242" s="84"/>
      <c r="G242" s="84"/>
      <c r="H242" s="84"/>
      <c r="I242" s="84"/>
      <c r="J242" s="84"/>
      <c r="K242" s="84"/>
      <c r="L242" s="140">
        <f>IFERROR(ROUND(AVERAGE(M242:T242),1),"")</f>
        <v>7.8</v>
      </c>
      <c r="M242" s="86">
        <v>7.87</v>
      </c>
      <c r="N242" s="86">
        <v>7.7</v>
      </c>
      <c r="O242" s="86"/>
      <c r="P242" s="86"/>
      <c r="Q242" s="86"/>
      <c r="R242" s="86"/>
      <c r="S242" s="86"/>
      <c r="T242" s="86"/>
      <c r="U242" s="142">
        <f>IFERROR(ROUND(AVERAGE(V242:AC242),1),"")</f>
        <v>2272.8000000000002</v>
      </c>
      <c r="V242" s="88">
        <v>2469.6</v>
      </c>
      <c r="W242" s="88">
        <v>2076</v>
      </c>
      <c r="X242" s="88"/>
      <c r="Y242" s="88"/>
      <c r="Z242" s="88"/>
      <c r="AA242" s="88"/>
      <c r="AB242" s="88"/>
      <c r="AC242" s="88"/>
      <c r="AD242" s="142" t="str">
        <f>IFERROR(ROUND(AVERAGE(AE242:AL242),1),"")</f>
        <v/>
      </c>
      <c r="AE242" s="88"/>
      <c r="AF242" s="88"/>
      <c r="AG242" s="88"/>
      <c r="AH242" s="88"/>
      <c r="AI242" s="88"/>
      <c r="AJ242" s="88"/>
      <c r="AK242" s="88"/>
      <c r="AL242" s="88"/>
      <c r="AM242" s="88"/>
      <c r="AN242" s="88">
        <v>17.45</v>
      </c>
      <c r="AO242" s="89" t="s">
        <v>56</v>
      </c>
      <c r="AP242" s="90" t="s">
        <v>56</v>
      </c>
      <c r="AQ242" s="146" t="str">
        <f t="shared" si="65"/>
        <v/>
      </c>
      <c r="AR242" s="146" t="str">
        <f t="shared" si="66"/>
        <v/>
      </c>
      <c r="AS242" s="147">
        <v>0</v>
      </c>
      <c r="AT242" s="148">
        <v>13.95</v>
      </c>
      <c r="AU242" s="149">
        <v>8</v>
      </c>
      <c r="AV242" s="146">
        <f t="shared" si="67"/>
        <v>57.347670250896066</v>
      </c>
      <c r="AW242" s="146">
        <f t="shared" si="68"/>
        <v>42.652329749103934</v>
      </c>
      <c r="AX242" s="168" t="str">
        <f>IFERROR((1-((AV242*AR242)/(AW242*AQ242)))*100,"")</f>
        <v/>
      </c>
      <c r="AY242" s="95">
        <v>77.2</v>
      </c>
      <c r="AZ242" s="96" t="s">
        <v>56</v>
      </c>
      <c r="BA242" s="96"/>
      <c r="BB242" s="96" t="s">
        <v>56</v>
      </c>
      <c r="BC242" s="96"/>
      <c r="BD242" s="97">
        <v>17.45</v>
      </c>
      <c r="BE242" s="142" t="str">
        <f t="shared" si="69"/>
        <v/>
      </c>
      <c r="BF242" s="98">
        <v>0</v>
      </c>
      <c r="BG242" s="98">
        <v>0</v>
      </c>
      <c r="BH242" s="98">
        <v>0</v>
      </c>
      <c r="BI242" s="98"/>
      <c r="BJ242" s="98"/>
      <c r="BK242" s="98"/>
      <c r="BL242" s="97"/>
    </row>
    <row r="243" spans="1:64" outlineLevel="5" x14ac:dyDescent="0.3">
      <c r="A243" s="152">
        <f t="shared" si="71"/>
        <v>7</v>
      </c>
      <c r="B243" s="153">
        <f t="shared" si="70"/>
        <v>44033</v>
      </c>
      <c r="C243" s="138">
        <f>IFERROR(ROUND(AVERAGE(D243:K243),1),"")</f>
        <v>38</v>
      </c>
      <c r="D243" s="84">
        <v>38</v>
      </c>
      <c r="E243" s="84">
        <v>38</v>
      </c>
      <c r="F243" s="84"/>
      <c r="G243" s="84"/>
      <c r="H243" s="84"/>
      <c r="I243" s="84"/>
      <c r="J243" s="84"/>
      <c r="K243" s="84"/>
      <c r="L243" s="140" t="str">
        <f>IFERROR(ROUND(AVERAGE(M243:T243),1),"")</f>
        <v/>
      </c>
      <c r="M243" s="86"/>
      <c r="N243" s="86"/>
      <c r="O243" s="86"/>
      <c r="P243" s="86"/>
      <c r="Q243" s="86"/>
      <c r="R243" s="86"/>
      <c r="S243" s="86"/>
      <c r="T243" s="86"/>
      <c r="U243" s="142" t="str">
        <f>IFERROR(ROUND(AVERAGE(V243:AC243),1),"")</f>
        <v/>
      </c>
      <c r="V243" s="88"/>
      <c r="W243" s="88"/>
      <c r="X243" s="88"/>
      <c r="Y243" s="88"/>
      <c r="Z243" s="88"/>
      <c r="AA243" s="88"/>
      <c r="AB243" s="88"/>
      <c r="AC243" s="88"/>
      <c r="AD243" s="142" t="str">
        <f>IFERROR(ROUND(AVERAGE(AE243:AL243),1),"")</f>
        <v/>
      </c>
      <c r="AE243" s="88"/>
      <c r="AF243" s="88"/>
      <c r="AG243" s="88"/>
      <c r="AH243" s="88"/>
      <c r="AI243" s="88"/>
      <c r="AJ243" s="88"/>
      <c r="AK243" s="88"/>
      <c r="AL243" s="88"/>
      <c r="AM243" s="88">
        <v>61.554512258737603</v>
      </c>
      <c r="AN243" s="88">
        <v>76.680000000000007</v>
      </c>
      <c r="AO243" s="89" t="s">
        <v>56</v>
      </c>
      <c r="AP243" s="90"/>
      <c r="AQ243" s="146" t="str">
        <f t="shared" si="65"/>
        <v/>
      </c>
      <c r="AR243" s="146" t="str">
        <f t="shared" si="66"/>
        <v/>
      </c>
      <c r="AS243" s="147">
        <v>0</v>
      </c>
      <c r="AT243" s="148" t="s">
        <v>56</v>
      </c>
      <c r="AU243" s="149" t="s">
        <v>56</v>
      </c>
      <c r="AV243" s="146" t="str">
        <f t="shared" si="67"/>
        <v/>
      </c>
      <c r="AW243" s="146" t="str">
        <f t="shared" si="68"/>
        <v/>
      </c>
      <c r="AX243" s="168" t="str">
        <f>IFERROR((1-((AV243*AR243)/(AW243*AQ243)))*100,"")</f>
        <v/>
      </c>
      <c r="AY243" s="95" t="s">
        <v>56</v>
      </c>
      <c r="AZ243" s="96" t="s">
        <v>56</v>
      </c>
      <c r="BA243" s="96"/>
      <c r="BB243" s="96" t="s">
        <v>56</v>
      </c>
      <c r="BC243" s="96"/>
      <c r="BD243" s="97">
        <v>76.680000000000007</v>
      </c>
      <c r="BE243" s="142" t="str">
        <f t="shared" si="69"/>
        <v/>
      </c>
      <c r="BF243" s="98">
        <v>0</v>
      </c>
      <c r="BG243" s="98">
        <v>0</v>
      </c>
      <c r="BH243" s="98">
        <v>0</v>
      </c>
      <c r="BI243" s="98"/>
      <c r="BJ243" s="98"/>
      <c r="BK243" s="98"/>
      <c r="BL243" s="97"/>
    </row>
    <row r="244" spans="1:64" outlineLevel="5" x14ac:dyDescent="0.3">
      <c r="A244" s="152">
        <f t="shared" si="71"/>
        <v>7</v>
      </c>
      <c r="B244" s="153">
        <f t="shared" si="70"/>
        <v>44034</v>
      </c>
      <c r="C244" s="138">
        <f>IFERROR(ROUND(AVERAGE(D244:K244),1),"")</f>
        <v>38</v>
      </c>
      <c r="D244" s="84">
        <v>38</v>
      </c>
      <c r="E244" s="84">
        <v>38</v>
      </c>
      <c r="F244" s="84"/>
      <c r="G244" s="84"/>
      <c r="H244" s="84"/>
      <c r="I244" s="84"/>
      <c r="J244" s="84"/>
      <c r="K244" s="84"/>
      <c r="L244" s="140">
        <f>IFERROR(ROUND(AVERAGE(M244:T244),1),"")</f>
        <v>7.9</v>
      </c>
      <c r="M244" s="86">
        <v>7.88</v>
      </c>
      <c r="N244" s="86"/>
      <c r="O244" s="86"/>
      <c r="P244" s="86"/>
      <c r="Q244" s="86"/>
      <c r="R244" s="86"/>
      <c r="S244" s="86"/>
      <c r="T244" s="86"/>
      <c r="U244" s="142">
        <f>IFERROR(ROUND(AVERAGE(V244:AC244),1),"")</f>
        <v>2011.1</v>
      </c>
      <c r="V244" s="88">
        <v>2011.1</v>
      </c>
      <c r="W244" s="88"/>
      <c r="X244" s="88"/>
      <c r="Y244" s="88"/>
      <c r="Z244" s="88"/>
      <c r="AA244" s="88"/>
      <c r="AB244" s="88"/>
      <c r="AC244" s="88"/>
      <c r="AD244" s="142" t="str">
        <f>IFERROR(ROUND(AVERAGE(AE244:AL244),1),"")</f>
        <v/>
      </c>
      <c r="AE244" s="88"/>
      <c r="AF244" s="88"/>
      <c r="AG244" s="88"/>
      <c r="AH244" s="88"/>
      <c r="AI244" s="88"/>
      <c r="AJ244" s="88"/>
      <c r="AK244" s="88"/>
      <c r="AL244" s="88"/>
      <c r="AM244" s="88">
        <v>52.016751157152306</v>
      </c>
      <c r="AN244" s="88">
        <v>90.74</v>
      </c>
      <c r="AO244" s="89"/>
      <c r="AP244" s="90"/>
      <c r="AQ244" s="146" t="str">
        <f t="shared" si="65"/>
        <v/>
      </c>
      <c r="AR244" s="146" t="str">
        <f t="shared" si="66"/>
        <v/>
      </c>
      <c r="AS244" s="147">
        <v>0</v>
      </c>
      <c r="AT244" s="148">
        <v>14</v>
      </c>
      <c r="AU244" s="149">
        <v>7.7</v>
      </c>
      <c r="AV244" s="146">
        <f t="shared" si="67"/>
        <v>55.000000000000007</v>
      </c>
      <c r="AW244" s="146">
        <f t="shared" si="68"/>
        <v>44.999999999999993</v>
      </c>
      <c r="AX244" s="168" t="str">
        <f>IFERROR((1-((AV244*AR244)/(AW244*AQ244)))*100,"")</f>
        <v/>
      </c>
      <c r="AY244" s="95">
        <v>73.400000000000006</v>
      </c>
      <c r="AZ244" s="96" t="s">
        <v>56</v>
      </c>
      <c r="BA244" s="96"/>
      <c r="BB244" s="96" t="s">
        <v>56</v>
      </c>
      <c r="BC244" s="96"/>
      <c r="BD244" s="97">
        <v>90.74</v>
      </c>
      <c r="BE244" s="142" t="str">
        <f t="shared" si="69"/>
        <v/>
      </c>
      <c r="BF244" s="98">
        <v>0</v>
      </c>
      <c r="BG244" s="98">
        <v>0</v>
      </c>
      <c r="BH244" s="98">
        <v>0</v>
      </c>
      <c r="BI244" s="98"/>
      <c r="BJ244" s="98"/>
      <c r="BK244" s="98"/>
      <c r="BL244" s="97"/>
    </row>
    <row r="245" spans="1:64" outlineLevel="5" x14ac:dyDescent="0.3">
      <c r="A245" s="152">
        <f t="shared" si="71"/>
        <v>7</v>
      </c>
      <c r="B245" s="153">
        <f t="shared" si="70"/>
        <v>44035</v>
      </c>
      <c r="C245" s="138">
        <f>IFERROR(ROUND(AVERAGE(D245:K245),1),"")</f>
        <v>37.5</v>
      </c>
      <c r="D245" s="84">
        <v>38</v>
      </c>
      <c r="E245" s="84">
        <v>37</v>
      </c>
      <c r="F245" s="84"/>
      <c r="G245" s="84"/>
      <c r="H245" s="84"/>
      <c r="I245" s="84"/>
      <c r="J245" s="84"/>
      <c r="K245" s="84"/>
      <c r="L245" s="140">
        <f>IFERROR(ROUND(AVERAGE(M245:T245),1),"")</f>
        <v>7.8</v>
      </c>
      <c r="M245" s="86">
        <v>7.89</v>
      </c>
      <c r="N245" s="86">
        <v>7.71</v>
      </c>
      <c r="O245" s="86"/>
      <c r="P245" s="86"/>
      <c r="Q245" s="86"/>
      <c r="R245" s="86"/>
      <c r="S245" s="86"/>
      <c r="T245" s="86"/>
      <c r="U245" s="142">
        <f>IFERROR(ROUND(AVERAGE(V245:AC245),1),"")</f>
        <v>1881.4</v>
      </c>
      <c r="V245" s="88">
        <v>2378.8000000000002</v>
      </c>
      <c r="W245" s="88">
        <v>1384</v>
      </c>
      <c r="X245" s="88"/>
      <c r="Y245" s="88"/>
      <c r="Z245" s="88"/>
      <c r="AA245" s="88"/>
      <c r="AB245" s="88"/>
      <c r="AC245" s="88"/>
      <c r="AD245" s="142" t="str">
        <f>IFERROR(ROUND(AVERAGE(AE245:AL245),1),"")</f>
        <v/>
      </c>
      <c r="AE245" s="88"/>
      <c r="AF245" s="88"/>
      <c r="AG245" s="88"/>
      <c r="AH245" s="88"/>
      <c r="AI245" s="88"/>
      <c r="AJ245" s="88"/>
      <c r="AK245" s="88"/>
      <c r="AL245" s="88"/>
      <c r="AM245" s="88">
        <v>63.457918795375107</v>
      </c>
      <c r="AN245" s="88">
        <v>74.38</v>
      </c>
      <c r="AO245" s="89"/>
      <c r="AP245" s="90"/>
      <c r="AQ245" s="146" t="str">
        <f t="shared" si="65"/>
        <v/>
      </c>
      <c r="AR245" s="146" t="str">
        <f t="shared" si="66"/>
        <v/>
      </c>
      <c r="AS245" s="147">
        <v>0</v>
      </c>
      <c r="AT245" s="148">
        <v>13.899999999999999</v>
      </c>
      <c r="AU245" s="149">
        <v>8.1999999999999993</v>
      </c>
      <c r="AV245" s="146">
        <f t="shared" si="67"/>
        <v>58.992805755395686</v>
      </c>
      <c r="AW245" s="146">
        <f t="shared" si="68"/>
        <v>41.007194244604314</v>
      </c>
      <c r="AX245" s="168" t="str">
        <f>IFERROR((1-((AV245*AR245)/(AW245*AQ245)))*100,"")</f>
        <v/>
      </c>
      <c r="AY245" s="95">
        <v>78.3</v>
      </c>
      <c r="AZ245" s="96" t="s">
        <v>56</v>
      </c>
      <c r="BA245" s="96"/>
      <c r="BB245" s="96" t="s">
        <v>56</v>
      </c>
      <c r="BC245" s="96"/>
      <c r="BD245" s="97">
        <v>74.38</v>
      </c>
      <c r="BE245" s="142">
        <f t="shared" si="69"/>
        <v>578</v>
      </c>
      <c r="BF245" s="98">
        <v>27</v>
      </c>
      <c r="BG245" s="98">
        <v>0</v>
      </c>
      <c r="BH245" s="98">
        <v>551</v>
      </c>
      <c r="BI245" s="98"/>
      <c r="BJ245" s="98"/>
      <c r="BK245" s="98"/>
      <c r="BL245" s="97"/>
    </row>
    <row r="246" spans="1:64" outlineLevel="5" x14ac:dyDescent="0.3">
      <c r="A246" s="152">
        <f t="shared" si="71"/>
        <v>7</v>
      </c>
      <c r="B246" s="153">
        <f t="shared" si="70"/>
        <v>44036</v>
      </c>
      <c r="C246" s="138">
        <f>IFERROR(ROUND(AVERAGE(D246:K246),1),"")</f>
        <v>38</v>
      </c>
      <c r="D246" s="84">
        <v>38</v>
      </c>
      <c r="E246" s="84">
        <v>38</v>
      </c>
      <c r="F246" s="84"/>
      <c r="G246" s="84"/>
      <c r="H246" s="84"/>
      <c r="I246" s="84"/>
      <c r="J246" s="84"/>
      <c r="K246" s="84"/>
      <c r="L246" s="140" t="str">
        <f>IFERROR(ROUND(AVERAGE(M246:T246),1),"")</f>
        <v/>
      </c>
      <c r="M246" s="86"/>
      <c r="N246" s="86"/>
      <c r="O246" s="86"/>
      <c r="P246" s="86"/>
      <c r="Q246" s="86"/>
      <c r="R246" s="86"/>
      <c r="S246" s="86"/>
      <c r="T246" s="86"/>
      <c r="U246" s="142" t="str">
        <f>IFERROR(ROUND(AVERAGE(V246:AC246),1),"")</f>
        <v/>
      </c>
      <c r="V246" s="88"/>
      <c r="W246" s="88"/>
      <c r="X246" s="88"/>
      <c r="Y246" s="88"/>
      <c r="Z246" s="88"/>
      <c r="AA246" s="88"/>
      <c r="AB246" s="88"/>
      <c r="AC246" s="88"/>
      <c r="AD246" s="142" t="str">
        <f>IFERROR(ROUND(AVERAGE(AE246:AL246),1),"")</f>
        <v/>
      </c>
      <c r="AE246" s="88"/>
      <c r="AF246" s="88"/>
      <c r="AG246" s="88"/>
      <c r="AH246" s="88"/>
      <c r="AI246" s="88"/>
      <c r="AJ246" s="88"/>
      <c r="AK246" s="88"/>
      <c r="AL246" s="88"/>
      <c r="AM246" s="88">
        <v>57.722881252293021</v>
      </c>
      <c r="AN246" s="88">
        <v>81.77</v>
      </c>
      <c r="AO246" s="89">
        <v>18.899999999999999</v>
      </c>
      <c r="AP246" s="90">
        <v>15.838199999999999</v>
      </c>
      <c r="AQ246" s="146">
        <f t="shared" si="65"/>
        <v>83.8</v>
      </c>
      <c r="AR246" s="146">
        <f t="shared" si="66"/>
        <v>16.200000000000003</v>
      </c>
      <c r="AS246" s="147">
        <v>0</v>
      </c>
      <c r="AT246" s="148" t="s">
        <v>56</v>
      </c>
      <c r="AU246" s="149" t="s">
        <v>56</v>
      </c>
      <c r="AV246" s="146" t="str">
        <f t="shared" si="67"/>
        <v/>
      </c>
      <c r="AW246" s="146" t="str">
        <f t="shared" si="68"/>
        <v/>
      </c>
      <c r="AX246" s="168" t="str">
        <f>IFERROR((1-((AV246*AR246)/(AW246*AQ246)))*100,"")</f>
        <v/>
      </c>
      <c r="AY246" s="95" t="s">
        <v>56</v>
      </c>
      <c r="AZ246" s="96">
        <v>67.594999999999999</v>
      </c>
      <c r="BA246" s="96"/>
      <c r="BB246" s="96">
        <v>61</v>
      </c>
      <c r="BC246" s="96"/>
      <c r="BD246" s="97">
        <v>81.77</v>
      </c>
      <c r="BE246" s="142">
        <f t="shared" si="69"/>
        <v>511</v>
      </c>
      <c r="BF246" s="98">
        <v>20</v>
      </c>
      <c r="BG246" s="98">
        <v>0</v>
      </c>
      <c r="BH246" s="98">
        <v>491</v>
      </c>
      <c r="BI246" s="98"/>
      <c r="BJ246" s="98"/>
      <c r="BK246" s="98"/>
      <c r="BL246" s="97"/>
    </row>
    <row r="247" spans="1:64" outlineLevel="5" x14ac:dyDescent="0.3">
      <c r="A247" s="152">
        <f t="shared" si="71"/>
        <v>7</v>
      </c>
      <c r="B247" s="153">
        <f t="shared" si="70"/>
        <v>44037</v>
      </c>
      <c r="C247" s="138">
        <f>IFERROR(ROUND(AVERAGE(D247:K247),1),"")</f>
        <v>38</v>
      </c>
      <c r="D247" s="84">
        <v>38</v>
      </c>
      <c r="E247" s="84">
        <v>38</v>
      </c>
      <c r="F247" s="84"/>
      <c r="G247" s="84"/>
      <c r="H247" s="84"/>
      <c r="I247" s="84"/>
      <c r="J247" s="84"/>
      <c r="K247" s="84"/>
      <c r="L247" s="140" t="str">
        <f>IFERROR(ROUND(AVERAGE(M247:T247),1),"")</f>
        <v/>
      </c>
      <c r="M247" s="86"/>
      <c r="N247" s="86"/>
      <c r="O247" s="86"/>
      <c r="P247" s="86"/>
      <c r="Q247" s="86"/>
      <c r="R247" s="86"/>
      <c r="S247" s="86"/>
      <c r="T247" s="86"/>
      <c r="U247" s="142" t="str">
        <f>IFERROR(ROUND(AVERAGE(V247:AC247),1),"")</f>
        <v/>
      </c>
      <c r="V247" s="88"/>
      <c r="W247" s="88"/>
      <c r="X247" s="88"/>
      <c r="Y247" s="88"/>
      <c r="Z247" s="88"/>
      <c r="AA247" s="88"/>
      <c r="AB247" s="88"/>
      <c r="AC247" s="88"/>
      <c r="AD247" s="142" t="str">
        <f>IFERROR(ROUND(AVERAGE(AE247:AL247),1),"")</f>
        <v/>
      </c>
      <c r="AE247" s="88"/>
      <c r="AF247" s="88"/>
      <c r="AG247" s="88"/>
      <c r="AH247" s="88"/>
      <c r="AI247" s="88"/>
      <c r="AJ247" s="88"/>
      <c r="AK247" s="88"/>
      <c r="AL247" s="88"/>
      <c r="AM247" s="88">
        <v>57.956777996070727</v>
      </c>
      <c r="AN247" s="88">
        <v>81.44</v>
      </c>
      <c r="AO247" s="89" t="s">
        <v>56</v>
      </c>
      <c r="AP247" s="90" t="s">
        <v>56</v>
      </c>
      <c r="AQ247" s="146" t="str">
        <f t="shared" si="65"/>
        <v/>
      </c>
      <c r="AR247" s="146" t="str">
        <f t="shared" si="66"/>
        <v/>
      </c>
      <c r="AS247" s="147">
        <v>0</v>
      </c>
      <c r="AT247" s="148" t="s">
        <v>56</v>
      </c>
      <c r="AU247" s="149" t="s">
        <v>56</v>
      </c>
      <c r="AV247" s="146" t="str">
        <f t="shared" si="67"/>
        <v/>
      </c>
      <c r="AW247" s="146" t="str">
        <f t="shared" si="68"/>
        <v/>
      </c>
      <c r="AX247" s="168" t="str">
        <f>IFERROR((1-((AV247*AR247)/(AW247*AQ247)))*100,"")</f>
        <v/>
      </c>
      <c r="AY247" s="95" t="s">
        <v>56</v>
      </c>
      <c r="AZ247" s="96">
        <v>66.44</v>
      </c>
      <c r="BA247" s="96"/>
      <c r="BB247" s="96">
        <v>61</v>
      </c>
      <c r="BC247" s="96"/>
      <c r="BD247" s="97">
        <v>81.44</v>
      </c>
      <c r="BE247" s="142">
        <f t="shared" si="69"/>
        <v>1195</v>
      </c>
      <c r="BF247" s="98">
        <v>0</v>
      </c>
      <c r="BG247" s="98">
        <v>0</v>
      </c>
      <c r="BH247" s="98">
        <v>1195</v>
      </c>
      <c r="BI247" s="98"/>
      <c r="BJ247" s="98"/>
      <c r="BK247" s="98"/>
      <c r="BL247" s="97"/>
    </row>
    <row r="248" spans="1:64" outlineLevel="5" x14ac:dyDescent="0.3">
      <c r="A248" s="152">
        <f t="shared" si="71"/>
        <v>7</v>
      </c>
      <c r="B248" s="153">
        <f t="shared" si="70"/>
        <v>44038</v>
      </c>
      <c r="C248" s="138">
        <f>IFERROR(ROUND(AVERAGE(D248:K248),1),"")</f>
        <v>38</v>
      </c>
      <c r="D248" s="84">
        <v>38</v>
      </c>
      <c r="E248" s="84">
        <v>38</v>
      </c>
      <c r="F248" s="84"/>
      <c r="G248" s="84"/>
      <c r="H248" s="84"/>
      <c r="I248" s="84"/>
      <c r="J248" s="84"/>
      <c r="K248" s="84"/>
      <c r="L248" s="140" t="str">
        <f>IFERROR(ROUND(AVERAGE(M248:T248),1),"")</f>
        <v/>
      </c>
      <c r="M248" s="86"/>
      <c r="N248" s="86"/>
      <c r="O248" s="86"/>
      <c r="P248" s="86"/>
      <c r="Q248" s="86"/>
      <c r="R248" s="86"/>
      <c r="S248" s="86"/>
      <c r="T248" s="86"/>
      <c r="U248" s="142" t="str">
        <f>IFERROR(ROUND(AVERAGE(V248:AC248),1),"")</f>
        <v/>
      </c>
      <c r="V248" s="88"/>
      <c r="W248" s="88"/>
      <c r="X248" s="88"/>
      <c r="Y248" s="88"/>
      <c r="Z248" s="88"/>
      <c r="AA248" s="88"/>
      <c r="AB248" s="88"/>
      <c r="AC248" s="88"/>
      <c r="AD248" s="142" t="str">
        <f>IFERROR(ROUND(AVERAGE(AE248:AL248),1),"")</f>
        <v/>
      </c>
      <c r="AE248" s="88"/>
      <c r="AF248" s="88"/>
      <c r="AG248" s="88"/>
      <c r="AH248" s="88"/>
      <c r="AI248" s="88"/>
      <c r="AJ248" s="88"/>
      <c r="AK248" s="88"/>
      <c r="AL248" s="88"/>
      <c r="AM248" s="88">
        <v>67.428571428571431</v>
      </c>
      <c r="AN248" s="88">
        <v>70</v>
      </c>
      <c r="AO248" s="89" t="s">
        <v>56</v>
      </c>
      <c r="AP248" s="90" t="s">
        <v>56</v>
      </c>
      <c r="AQ248" s="146" t="str">
        <f t="shared" si="65"/>
        <v/>
      </c>
      <c r="AR248" s="146" t="str">
        <f t="shared" si="66"/>
        <v/>
      </c>
      <c r="AS248" s="147">
        <v>0</v>
      </c>
      <c r="AT248" s="148" t="s">
        <v>56</v>
      </c>
      <c r="AU248" s="149" t="s">
        <v>56</v>
      </c>
      <c r="AV248" s="146" t="str">
        <f t="shared" si="67"/>
        <v/>
      </c>
      <c r="AW248" s="146" t="str">
        <f t="shared" si="68"/>
        <v/>
      </c>
      <c r="AX248" s="168" t="str">
        <f>IFERROR((1-((AV248*AR248)/(AW248*AQ248)))*100,"")</f>
        <v/>
      </c>
      <c r="AY248" s="95" t="s">
        <v>56</v>
      </c>
      <c r="AZ248" s="96">
        <v>67.78</v>
      </c>
      <c r="BA248" s="96"/>
      <c r="BB248" s="96">
        <v>53.5</v>
      </c>
      <c r="BC248" s="96"/>
      <c r="BD248" s="97">
        <v>70</v>
      </c>
      <c r="BE248" s="142" t="str">
        <f t="shared" si="69"/>
        <v/>
      </c>
      <c r="BF248" s="98">
        <v>0</v>
      </c>
      <c r="BG248" s="98">
        <v>0</v>
      </c>
      <c r="BH248" s="98">
        <v>0</v>
      </c>
      <c r="BI248" s="98"/>
      <c r="BJ248" s="98"/>
      <c r="BK248" s="98"/>
      <c r="BL248" s="97"/>
    </row>
    <row r="249" spans="1:64" outlineLevel="5" x14ac:dyDescent="0.3">
      <c r="A249" s="152">
        <f t="shared" si="71"/>
        <v>7</v>
      </c>
      <c r="B249" s="153">
        <f t="shared" si="70"/>
        <v>44039</v>
      </c>
      <c r="C249" s="138">
        <f>IFERROR(ROUND(AVERAGE(D249:K249),1),"")</f>
        <v>38</v>
      </c>
      <c r="D249" s="84">
        <v>38</v>
      </c>
      <c r="E249" s="84">
        <v>38</v>
      </c>
      <c r="F249" s="84"/>
      <c r="G249" s="84"/>
      <c r="H249" s="84"/>
      <c r="I249" s="84"/>
      <c r="J249" s="84"/>
      <c r="K249" s="84"/>
      <c r="L249" s="140">
        <f>IFERROR(ROUND(AVERAGE(M249:T249),1),"")</f>
        <v>7.9</v>
      </c>
      <c r="M249" s="86">
        <v>7.9</v>
      </c>
      <c r="N249" s="86"/>
      <c r="O249" s="86"/>
      <c r="P249" s="86"/>
      <c r="Q249" s="86"/>
      <c r="R249" s="86"/>
      <c r="S249" s="86"/>
      <c r="T249" s="86"/>
      <c r="U249" s="142">
        <f>IFERROR(ROUND(AVERAGE(V249:AC249),1),"")</f>
        <v>1691.1</v>
      </c>
      <c r="V249" s="88">
        <v>1691.1</v>
      </c>
      <c r="W249" s="88"/>
      <c r="X249" s="88"/>
      <c r="Y249" s="88"/>
      <c r="Z249" s="88"/>
      <c r="AA249" s="88"/>
      <c r="AB249" s="88"/>
      <c r="AC249" s="88"/>
      <c r="AD249" s="142" t="str">
        <f>IFERROR(ROUND(AVERAGE(AE249:AL249),1),"")</f>
        <v/>
      </c>
      <c r="AE249" s="88"/>
      <c r="AF249" s="88"/>
      <c r="AG249" s="88"/>
      <c r="AH249" s="88"/>
      <c r="AI249" s="88"/>
      <c r="AJ249" s="88"/>
      <c r="AK249" s="88"/>
      <c r="AL249" s="88"/>
      <c r="AM249" s="88">
        <v>60.832581518236886</v>
      </c>
      <c r="AN249" s="88">
        <v>77.59</v>
      </c>
      <c r="AO249" s="89" t="s">
        <v>56</v>
      </c>
      <c r="AP249" s="90" t="s">
        <v>56</v>
      </c>
      <c r="AQ249" s="146" t="str">
        <f t="shared" si="65"/>
        <v/>
      </c>
      <c r="AR249" s="146" t="str">
        <f t="shared" si="66"/>
        <v/>
      </c>
      <c r="AS249" s="147">
        <v>0</v>
      </c>
      <c r="AT249" s="148">
        <v>13.3</v>
      </c>
      <c r="AU249" s="149">
        <v>4.9000000000000004</v>
      </c>
      <c r="AV249" s="146">
        <f t="shared" si="67"/>
        <v>36.84210526315789</v>
      </c>
      <c r="AW249" s="146">
        <f t="shared" si="68"/>
        <v>63.15789473684211</v>
      </c>
      <c r="AX249" s="168" t="str">
        <f>IFERROR((1-((AV249*AR249)/(AW249*AQ249)))*100,"")</f>
        <v/>
      </c>
      <c r="AY249" s="95">
        <v>75.599999999999994</v>
      </c>
      <c r="AZ249" s="96">
        <v>67.569999999999993</v>
      </c>
      <c r="BA249" s="96"/>
      <c r="BB249" s="96">
        <v>39.5</v>
      </c>
      <c r="BC249" s="96"/>
      <c r="BD249" s="97">
        <v>77.59</v>
      </c>
      <c r="BE249" s="142" t="str">
        <f t="shared" si="69"/>
        <v/>
      </c>
      <c r="BF249" s="98">
        <v>0</v>
      </c>
      <c r="BG249" s="98">
        <v>0</v>
      </c>
      <c r="BH249" s="98">
        <v>0</v>
      </c>
      <c r="BI249" s="98"/>
      <c r="BJ249" s="98"/>
      <c r="BK249" s="98"/>
      <c r="BL249" s="97"/>
    </row>
    <row r="250" spans="1:64" outlineLevel="5" x14ac:dyDescent="0.3">
      <c r="A250" s="152">
        <f t="shared" si="71"/>
        <v>7</v>
      </c>
      <c r="B250" s="153">
        <f t="shared" si="70"/>
        <v>44040</v>
      </c>
      <c r="C250" s="138">
        <f>IFERROR(ROUND(AVERAGE(D250:K250),1),"")</f>
        <v>38</v>
      </c>
      <c r="D250" s="84">
        <v>38</v>
      </c>
      <c r="E250" s="84">
        <v>38</v>
      </c>
      <c r="F250" s="84"/>
      <c r="G250" s="84"/>
      <c r="H250" s="84"/>
      <c r="I250" s="84"/>
      <c r="J250" s="84"/>
      <c r="K250" s="84"/>
      <c r="L250" s="140" t="str">
        <f>IFERROR(ROUND(AVERAGE(M250:T250),1),"")</f>
        <v/>
      </c>
      <c r="M250" s="86"/>
      <c r="N250" s="86"/>
      <c r="O250" s="86"/>
      <c r="P250" s="86"/>
      <c r="Q250" s="86"/>
      <c r="R250" s="86"/>
      <c r="S250" s="86"/>
      <c r="T250" s="86"/>
      <c r="U250" s="142" t="str">
        <f>IFERROR(ROUND(AVERAGE(V250:AC250),1),"")</f>
        <v/>
      </c>
      <c r="V250" s="88"/>
      <c r="W250" s="88"/>
      <c r="X250" s="88"/>
      <c r="Y250" s="88"/>
      <c r="Z250" s="88"/>
      <c r="AA250" s="88"/>
      <c r="AB250" s="88"/>
      <c r="AC250" s="88"/>
      <c r="AD250" s="142" t="str">
        <f>IFERROR(ROUND(AVERAGE(AE250:AL250),1),"")</f>
        <v/>
      </c>
      <c r="AE250" s="88"/>
      <c r="AF250" s="88"/>
      <c r="AG250" s="88"/>
      <c r="AH250" s="88"/>
      <c r="AI250" s="88"/>
      <c r="AJ250" s="88"/>
      <c r="AK250" s="88"/>
      <c r="AL250" s="88"/>
      <c r="AM250" s="88">
        <v>42.772995015858633</v>
      </c>
      <c r="AN250" s="88">
        <v>110.35</v>
      </c>
      <c r="AO250" s="89" t="s">
        <v>56</v>
      </c>
      <c r="AP250" s="90"/>
      <c r="AQ250" s="146" t="str">
        <f t="shared" si="65"/>
        <v/>
      </c>
      <c r="AR250" s="146" t="str">
        <f t="shared" si="66"/>
        <v/>
      </c>
      <c r="AS250" s="147">
        <v>0</v>
      </c>
      <c r="AT250" s="148" t="s">
        <v>56</v>
      </c>
      <c r="AU250" s="149" t="s">
        <v>56</v>
      </c>
      <c r="AV250" s="146" t="str">
        <f t="shared" si="67"/>
        <v/>
      </c>
      <c r="AW250" s="146" t="str">
        <f t="shared" si="68"/>
        <v/>
      </c>
      <c r="AX250" s="168" t="str">
        <f>IFERROR((1-((AV250*AR250)/(AW250*AQ250)))*100,"")</f>
        <v/>
      </c>
      <c r="AY250" s="95" t="s">
        <v>56</v>
      </c>
      <c r="AZ250" s="96">
        <v>65.995000000000005</v>
      </c>
      <c r="BA250" s="96"/>
      <c r="BB250" s="96">
        <v>81</v>
      </c>
      <c r="BC250" s="96"/>
      <c r="BD250" s="97">
        <v>110.35</v>
      </c>
      <c r="BE250" s="142">
        <f t="shared" si="69"/>
        <v>1007</v>
      </c>
      <c r="BF250" s="98">
        <v>0</v>
      </c>
      <c r="BG250" s="98">
        <v>1007</v>
      </c>
      <c r="BH250" s="98">
        <v>0</v>
      </c>
      <c r="BI250" s="98"/>
      <c r="BJ250" s="98"/>
      <c r="BK250" s="98"/>
      <c r="BL250" s="97"/>
    </row>
    <row r="251" spans="1:64" outlineLevel="5" x14ac:dyDescent="0.3">
      <c r="A251" s="152">
        <f t="shared" si="71"/>
        <v>7</v>
      </c>
      <c r="B251" s="153">
        <f t="shared" si="70"/>
        <v>44041</v>
      </c>
      <c r="C251" s="138">
        <f>IFERROR(ROUND(AVERAGE(D251:K251),1),"")</f>
        <v>38</v>
      </c>
      <c r="D251" s="84">
        <v>38</v>
      </c>
      <c r="E251" s="84">
        <v>38</v>
      </c>
      <c r="F251" s="84"/>
      <c r="G251" s="84"/>
      <c r="H251" s="84"/>
      <c r="I251" s="84"/>
      <c r="J251" s="84"/>
      <c r="K251" s="84"/>
      <c r="L251" s="140">
        <f>IFERROR(ROUND(AVERAGE(M251:T251),1),"")</f>
        <v>7.9</v>
      </c>
      <c r="M251" s="86">
        <v>7.91</v>
      </c>
      <c r="N251" s="86"/>
      <c r="O251" s="86"/>
      <c r="P251" s="86"/>
      <c r="Q251" s="86"/>
      <c r="R251" s="86"/>
      <c r="S251" s="86"/>
      <c r="T251" s="86"/>
      <c r="U251" s="142">
        <f>IFERROR(ROUND(AVERAGE(V251:AC251),1),"")</f>
        <v>1816.5</v>
      </c>
      <c r="V251" s="88">
        <v>1816.5</v>
      </c>
      <c r="W251" s="88"/>
      <c r="X251" s="88"/>
      <c r="Y251" s="88"/>
      <c r="Z251" s="88"/>
      <c r="AA251" s="88"/>
      <c r="AB251" s="88"/>
      <c r="AC251" s="88"/>
      <c r="AD251" s="142" t="str">
        <f>IFERROR(ROUND(AVERAGE(AE251:AL251),1),"")</f>
        <v/>
      </c>
      <c r="AE251" s="88"/>
      <c r="AF251" s="88"/>
      <c r="AG251" s="88"/>
      <c r="AH251" s="88"/>
      <c r="AI251" s="88"/>
      <c r="AJ251" s="88"/>
      <c r="AK251" s="88"/>
      <c r="AL251" s="88"/>
      <c r="AM251" s="88">
        <v>45.959104186952288</v>
      </c>
      <c r="AN251" s="88">
        <v>102.7</v>
      </c>
      <c r="AO251" s="89"/>
      <c r="AP251" s="90"/>
      <c r="AQ251" s="146" t="str">
        <f t="shared" si="65"/>
        <v/>
      </c>
      <c r="AR251" s="146" t="str">
        <f t="shared" si="66"/>
        <v/>
      </c>
      <c r="AS251" s="147">
        <v>0</v>
      </c>
      <c r="AT251" s="148">
        <v>13</v>
      </c>
      <c r="AU251" s="149">
        <v>7.5</v>
      </c>
      <c r="AV251" s="146">
        <f t="shared" si="67"/>
        <v>57.692307692307686</v>
      </c>
      <c r="AW251" s="146">
        <f t="shared" si="68"/>
        <v>42.307692307692314</v>
      </c>
      <c r="AX251" s="168" t="str">
        <f>IFERROR((1-((AV251*AR251)/(AW251*AQ251)))*100,"")</f>
        <v/>
      </c>
      <c r="AY251" s="95">
        <v>76.7</v>
      </c>
      <c r="AZ251" s="96">
        <v>64.949999999999989</v>
      </c>
      <c r="BA251" s="96"/>
      <c r="BB251" s="96">
        <v>81.5</v>
      </c>
      <c r="BC251" s="96"/>
      <c r="BD251" s="97">
        <v>102.7</v>
      </c>
      <c r="BE251" s="142">
        <f t="shared" si="69"/>
        <v>25</v>
      </c>
      <c r="BF251" s="98">
        <v>25</v>
      </c>
      <c r="BG251" s="98">
        <v>0</v>
      </c>
      <c r="BH251" s="98">
        <v>0</v>
      </c>
      <c r="BI251" s="98"/>
      <c r="BJ251" s="98"/>
      <c r="BK251" s="98"/>
      <c r="BL251" s="97"/>
    </row>
    <row r="252" spans="1:64" outlineLevel="5" x14ac:dyDescent="0.3">
      <c r="A252" s="152">
        <f t="shared" si="71"/>
        <v>7</v>
      </c>
      <c r="B252" s="153">
        <f t="shared" si="70"/>
        <v>44042</v>
      </c>
      <c r="C252" s="138">
        <f>IFERROR(ROUND(AVERAGE(D252:K252),1),"")</f>
        <v>37</v>
      </c>
      <c r="D252" s="84">
        <v>37</v>
      </c>
      <c r="E252" s="84">
        <v>37</v>
      </c>
      <c r="F252" s="84"/>
      <c r="G252" s="84"/>
      <c r="H252" s="84"/>
      <c r="I252" s="84"/>
      <c r="J252" s="84"/>
      <c r="K252" s="84"/>
      <c r="L252" s="140" t="str">
        <f>IFERROR(ROUND(AVERAGE(M252:T252),1),"")</f>
        <v/>
      </c>
      <c r="M252" s="86"/>
      <c r="N252" s="86"/>
      <c r="O252" s="86"/>
      <c r="P252" s="86"/>
      <c r="Q252" s="86"/>
      <c r="R252" s="86"/>
      <c r="S252" s="86"/>
      <c r="T252" s="86"/>
      <c r="U252" s="142" t="str">
        <f>IFERROR(ROUND(AVERAGE(V252:AC252),1),"")</f>
        <v/>
      </c>
      <c r="V252" s="88"/>
      <c r="W252" s="88"/>
      <c r="X252" s="88"/>
      <c r="Y252" s="88"/>
      <c r="Z252" s="88"/>
      <c r="AA252" s="88"/>
      <c r="AB252" s="88"/>
      <c r="AC252" s="88"/>
      <c r="AD252" s="142" t="str">
        <f>IFERROR(ROUND(AVERAGE(AE252:AL252),1),"")</f>
        <v/>
      </c>
      <c r="AE252" s="88"/>
      <c r="AF252" s="88"/>
      <c r="AG252" s="88"/>
      <c r="AH252" s="88"/>
      <c r="AI252" s="88"/>
      <c r="AJ252" s="88"/>
      <c r="AK252" s="88"/>
      <c r="AL252" s="88"/>
      <c r="AM252" s="88">
        <v>55.024481231056193</v>
      </c>
      <c r="AN252" s="88">
        <v>85.78</v>
      </c>
      <c r="AO252" s="89"/>
      <c r="AP252" s="90"/>
      <c r="AQ252" s="146" t="str">
        <f t="shared" si="65"/>
        <v/>
      </c>
      <c r="AR252" s="146" t="str">
        <f t="shared" si="66"/>
        <v/>
      </c>
      <c r="AS252" s="147">
        <v>0</v>
      </c>
      <c r="AT252" s="148" t="s">
        <v>56</v>
      </c>
      <c r="AU252" s="149" t="s">
        <v>56</v>
      </c>
      <c r="AV252" s="146" t="str">
        <f t="shared" si="67"/>
        <v/>
      </c>
      <c r="AW252" s="146" t="str">
        <f t="shared" si="68"/>
        <v/>
      </c>
      <c r="AX252" s="168" t="str">
        <f>IFERROR((1-((AV252*AR252)/(AW252*AQ252)))*100,"")</f>
        <v/>
      </c>
      <c r="AY252" s="95" t="s">
        <v>56</v>
      </c>
      <c r="AZ252" s="96">
        <v>65.83</v>
      </c>
      <c r="BA252" s="96"/>
      <c r="BB252" s="96">
        <v>84</v>
      </c>
      <c r="BC252" s="96"/>
      <c r="BD252" s="97">
        <v>85.78</v>
      </c>
      <c r="BE252" s="142">
        <f t="shared" si="69"/>
        <v>71</v>
      </c>
      <c r="BF252" s="98">
        <v>71</v>
      </c>
      <c r="BG252" s="98">
        <v>0</v>
      </c>
      <c r="BH252" s="98">
        <v>0</v>
      </c>
      <c r="BI252" s="98"/>
      <c r="BJ252" s="98"/>
      <c r="BK252" s="98"/>
      <c r="BL252" s="97"/>
    </row>
    <row r="253" spans="1:64" ht="17.25" outlineLevel="5" thickBot="1" x14ac:dyDescent="0.35">
      <c r="A253" s="154">
        <f t="shared" si="71"/>
        <v>7</v>
      </c>
      <c r="B253" s="155">
        <f t="shared" si="70"/>
        <v>44043</v>
      </c>
      <c r="C253" s="138">
        <f>IFERROR(ROUND(AVERAGE(D253:K253),1),"")</f>
        <v>39</v>
      </c>
      <c r="D253" s="84">
        <v>39</v>
      </c>
      <c r="E253" s="84">
        <v>39</v>
      </c>
      <c r="F253" s="84"/>
      <c r="G253" s="84"/>
      <c r="H253" s="84"/>
      <c r="I253" s="84"/>
      <c r="J253" s="84"/>
      <c r="K253" s="84"/>
      <c r="L253" s="140" t="str">
        <f>IFERROR(ROUND(AVERAGE(M253:T253),1),"")</f>
        <v/>
      </c>
      <c r="M253" s="86"/>
      <c r="N253" s="86"/>
      <c r="O253" s="86"/>
      <c r="P253" s="86"/>
      <c r="Q253" s="86"/>
      <c r="R253" s="86"/>
      <c r="S253" s="86"/>
      <c r="T253" s="86"/>
      <c r="U253" s="142" t="str">
        <f>IFERROR(ROUND(AVERAGE(V253:AC253),1),"")</f>
        <v/>
      </c>
      <c r="V253" s="88"/>
      <c r="W253" s="88"/>
      <c r="X253" s="88"/>
      <c r="Y253" s="88"/>
      <c r="Z253" s="88"/>
      <c r="AA253" s="88"/>
      <c r="AB253" s="88"/>
      <c r="AC253" s="88"/>
      <c r="AD253" s="142" t="str">
        <f>IFERROR(ROUND(AVERAGE(AE253:AL253),1),"")</f>
        <v/>
      </c>
      <c r="AE253" s="88"/>
      <c r="AF253" s="88"/>
      <c r="AG253" s="88"/>
      <c r="AH253" s="88"/>
      <c r="AI253" s="88"/>
      <c r="AJ253" s="88"/>
      <c r="AK253" s="88"/>
      <c r="AL253" s="88"/>
      <c r="AM253" s="88">
        <v>57.992382356554856</v>
      </c>
      <c r="AN253" s="88">
        <v>81.39</v>
      </c>
      <c r="AO253" s="89"/>
      <c r="AP253" s="90"/>
      <c r="AQ253" s="146" t="str">
        <f t="shared" si="65"/>
        <v/>
      </c>
      <c r="AR253" s="146" t="str">
        <f t="shared" si="66"/>
        <v/>
      </c>
      <c r="AS253" s="147">
        <v>0</v>
      </c>
      <c r="AT253" s="148" t="s">
        <v>56</v>
      </c>
      <c r="AU253" s="149" t="s">
        <v>56</v>
      </c>
      <c r="AV253" s="146" t="str">
        <f t="shared" si="67"/>
        <v/>
      </c>
      <c r="AW253" s="146" t="str">
        <f t="shared" si="68"/>
        <v/>
      </c>
      <c r="AX253" s="168" t="str">
        <f>IFERROR((1-((AV253*AR253)/(AW253*AQ253)))*100,"")</f>
        <v/>
      </c>
      <c r="AY253" s="95" t="s">
        <v>56</v>
      </c>
      <c r="AZ253" s="96">
        <v>64.89</v>
      </c>
      <c r="BA253" s="96"/>
      <c r="BB253" s="96">
        <v>75.5</v>
      </c>
      <c r="BC253" s="96"/>
      <c r="BD253" s="97">
        <v>81.39</v>
      </c>
      <c r="BE253" s="142">
        <f t="shared" si="69"/>
        <v>55</v>
      </c>
      <c r="BF253" s="98">
        <v>55</v>
      </c>
      <c r="BG253" s="98">
        <v>0</v>
      </c>
      <c r="BH253" s="98">
        <v>0</v>
      </c>
      <c r="BI253" s="98"/>
      <c r="BJ253" s="98"/>
      <c r="BK253" s="98"/>
      <c r="BL253" s="97"/>
    </row>
    <row r="254" spans="1:64" outlineLevel="4" x14ac:dyDescent="0.3">
      <c r="A254" s="63" t="s">
        <v>81</v>
      </c>
      <c r="B254" s="64"/>
      <c r="C254" s="65">
        <f t="shared" ref="C254:BL254" si="72">SUBTOTAL(4,C223:C253)</f>
        <v>39</v>
      </c>
      <c r="D254" s="66">
        <f t="shared" si="72"/>
        <v>39</v>
      </c>
      <c r="E254" s="66">
        <f t="shared" si="72"/>
        <v>39</v>
      </c>
      <c r="F254" s="66">
        <f t="shared" si="72"/>
        <v>0</v>
      </c>
      <c r="G254" s="66">
        <f t="shared" si="72"/>
        <v>0</v>
      </c>
      <c r="H254" s="66">
        <f t="shared" si="72"/>
        <v>0</v>
      </c>
      <c r="I254" s="66">
        <f t="shared" si="72"/>
        <v>0</v>
      </c>
      <c r="J254" s="66">
        <f t="shared" si="72"/>
        <v>0</v>
      </c>
      <c r="K254" s="66">
        <f t="shared" si="72"/>
        <v>0</v>
      </c>
      <c r="L254" s="67">
        <f t="shared" si="72"/>
        <v>7.9</v>
      </c>
      <c r="M254" s="68">
        <f t="shared" si="72"/>
        <v>7.91</v>
      </c>
      <c r="N254" s="68">
        <f t="shared" si="72"/>
        <v>7.72</v>
      </c>
      <c r="O254" s="68">
        <f t="shared" si="72"/>
        <v>0</v>
      </c>
      <c r="P254" s="68">
        <f t="shared" si="72"/>
        <v>0</v>
      </c>
      <c r="Q254" s="68">
        <f t="shared" si="72"/>
        <v>0</v>
      </c>
      <c r="R254" s="68">
        <f t="shared" si="72"/>
        <v>0</v>
      </c>
      <c r="S254" s="68">
        <f t="shared" si="72"/>
        <v>0</v>
      </c>
      <c r="T254" s="68">
        <f t="shared" si="72"/>
        <v>0</v>
      </c>
      <c r="U254" s="69">
        <f t="shared" si="72"/>
        <v>2272.8000000000002</v>
      </c>
      <c r="V254" s="70">
        <f t="shared" si="72"/>
        <v>2469.6</v>
      </c>
      <c r="W254" s="70">
        <f t="shared" si="72"/>
        <v>2162.5</v>
      </c>
      <c r="X254" s="70">
        <f t="shared" si="72"/>
        <v>0</v>
      </c>
      <c r="Y254" s="70">
        <f t="shared" si="72"/>
        <v>0</v>
      </c>
      <c r="Z254" s="70">
        <f t="shared" si="72"/>
        <v>0</v>
      </c>
      <c r="AA254" s="70">
        <f t="shared" si="72"/>
        <v>0</v>
      </c>
      <c r="AB254" s="70">
        <f t="shared" si="72"/>
        <v>0</v>
      </c>
      <c r="AC254" s="70">
        <f t="shared" si="72"/>
        <v>0</v>
      </c>
      <c r="AD254" s="69">
        <f t="shared" si="72"/>
        <v>0</v>
      </c>
      <c r="AE254" s="70">
        <f t="shared" si="72"/>
        <v>0</v>
      </c>
      <c r="AF254" s="70">
        <f t="shared" si="72"/>
        <v>0</v>
      </c>
      <c r="AG254" s="70">
        <f t="shared" si="72"/>
        <v>0</v>
      </c>
      <c r="AH254" s="70">
        <f t="shared" si="72"/>
        <v>0</v>
      </c>
      <c r="AI254" s="70">
        <f t="shared" si="72"/>
        <v>0</v>
      </c>
      <c r="AJ254" s="70">
        <f t="shared" si="72"/>
        <v>0</v>
      </c>
      <c r="AK254" s="70">
        <f t="shared" si="72"/>
        <v>0</v>
      </c>
      <c r="AL254" s="70">
        <f t="shared" si="72"/>
        <v>0</v>
      </c>
      <c r="AM254" s="70">
        <f t="shared" si="72"/>
        <v>106.37818345729097</v>
      </c>
      <c r="AN254" s="70">
        <f t="shared" si="72"/>
        <v>113.19</v>
      </c>
      <c r="AO254" s="71">
        <f t="shared" si="72"/>
        <v>39.4</v>
      </c>
      <c r="AP254" s="72">
        <f t="shared" si="72"/>
        <v>36.523800000000001</v>
      </c>
      <c r="AQ254" s="73">
        <f t="shared" si="72"/>
        <v>92.7</v>
      </c>
      <c r="AR254" s="73">
        <f t="shared" si="72"/>
        <v>18</v>
      </c>
      <c r="AS254" s="74">
        <f t="shared" si="72"/>
        <v>40</v>
      </c>
      <c r="AT254" s="75">
        <f t="shared" si="72"/>
        <v>15.850000000000001</v>
      </c>
      <c r="AU254" s="76">
        <f t="shared" si="72"/>
        <v>9.3500000000000014</v>
      </c>
      <c r="AV254" s="73">
        <f t="shared" si="72"/>
        <v>62</v>
      </c>
      <c r="AW254" s="73">
        <f t="shared" si="72"/>
        <v>63.15789473684211</v>
      </c>
      <c r="AX254" s="65">
        <f t="shared" si="72"/>
        <v>89.188744446272835</v>
      </c>
      <c r="AY254" s="77">
        <f t="shared" si="72"/>
        <v>80.449999999999989</v>
      </c>
      <c r="AZ254" s="78">
        <f t="shared" si="72"/>
        <v>67.78</v>
      </c>
      <c r="BA254" s="78">
        <f t="shared" si="72"/>
        <v>0</v>
      </c>
      <c r="BB254" s="78">
        <f t="shared" si="72"/>
        <v>125.5</v>
      </c>
      <c r="BC254" s="78">
        <f t="shared" si="72"/>
        <v>0</v>
      </c>
      <c r="BD254" s="79">
        <f t="shared" si="72"/>
        <v>113.19</v>
      </c>
      <c r="BE254" s="69">
        <f t="shared" si="72"/>
        <v>1201</v>
      </c>
      <c r="BF254" s="70">
        <f t="shared" si="72"/>
        <v>71</v>
      </c>
      <c r="BG254" s="80">
        <f t="shared" si="72"/>
        <v>1007</v>
      </c>
      <c r="BH254" s="80">
        <f t="shared" si="72"/>
        <v>1201</v>
      </c>
      <c r="BI254" s="80">
        <f t="shared" si="72"/>
        <v>0</v>
      </c>
      <c r="BJ254" s="80">
        <f t="shared" si="72"/>
        <v>0</v>
      </c>
      <c r="BK254" s="80">
        <f t="shared" si="72"/>
        <v>0</v>
      </c>
      <c r="BL254" s="79">
        <f t="shared" si="72"/>
        <v>0</v>
      </c>
    </row>
    <row r="255" spans="1:64" outlineLevel="3" x14ac:dyDescent="0.3">
      <c r="A255" s="81" t="s">
        <v>82</v>
      </c>
      <c r="B255" s="82"/>
      <c r="C255" s="83">
        <f t="shared" ref="C255:BL255" si="73">SUBTOTAL(5,C223:C253)</f>
        <v>37</v>
      </c>
      <c r="D255" s="84">
        <f t="shared" si="73"/>
        <v>37</v>
      </c>
      <c r="E255" s="84">
        <f t="shared" si="73"/>
        <v>37</v>
      </c>
      <c r="F255" s="84">
        <f t="shared" si="73"/>
        <v>0</v>
      </c>
      <c r="G255" s="84">
        <f t="shared" si="73"/>
        <v>0</v>
      </c>
      <c r="H255" s="84">
        <f t="shared" si="73"/>
        <v>0</v>
      </c>
      <c r="I255" s="84">
        <f t="shared" si="73"/>
        <v>0</v>
      </c>
      <c r="J255" s="84">
        <f t="shared" si="73"/>
        <v>0</v>
      </c>
      <c r="K255" s="84">
        <f t="shared" si="73"/>
        <v>0</v>
      </c>
      <c r="L255" s="85">
        <f t="shared" si="73"/>
        <v>7.7</v>
      </c>
      <c r="M255" s="86">
        <f t="shared" si="73"/>
        <v>7.75</v>
      </c>
      <c r="N255" s="86">
        <f t="shared" si="73"/>
        <v>7.7</v>
      </c>
      <c r="O255" s="86">
        <f t="shared" si="73"/>
        <v>0</v>
      </c>
      <c r="P255" s="86">
        <f t="shared" si="73"/>
        <v>0</v>
      </c>
      <c r="Q255" s="86">
        <f t="shared" si="73"/>
        <v>0</v>
      </c>
      <c r="R255" s="86">
        <f t="shared" si="73"/>
        <v>0</v>
      </c>
      <c r="S255" s="86">
        <f t="shared" si="73"/>
        <v>0</v>
      </c>
      <c r="T255" s="86">
        <f t="shared" si="73"/>
        <v>0</v>
      </c>
      <c r="U255" s="87">
        <f t="shared" si="73"/>
        <v>994.8</v>
      </c>
      <c r="V255" s="88">
        <f t="shared" si="73"/>
        <v>1081.3</v>
      </c>
      <c r="W255" s="88">
        <f t="shared" si="73"/>
        <v>908.3</v>
      </c>
      <c r="X255" s="88">
        <f t="shared" si="73"/>
        <v>0</v>
      </c>
      <c r="Y255" s="88">
        <f t="shared" si="73"/>
        <v>0</v>
      </c>
      <c r="Z255" s="88">
        <f t="shared" si="73"/>
        <v>0</v>
      </c>
      <c r="AA255" s="88">
        <f t="shared" si="73"/>
        <v>0</v>
      </c>
      <c r="AB255" s="88">
        <f t="shared" si="73"/>
        <v>0</v>
      </c>
      <c r="AC255" s="88">
        <f t="shared" si="73"/>
        <v>0</v>
      </c>
      <c r="AD255" s="87">
        <f t="shared" si="73"/>
        <v>0</v>
      </c>
      <c r="AE255" s="88">
        <f t="shared" si="73"/>
        <v>0</v>
      </c>
      <c r="AF255" s="88">
        <f t="shared" si="73"/>
        <v>0</v>
      </c>
      <c r="AG255" s="88">
        <f t="shared" si="73"/>
        <v>0</v>
      </c>
      <c r="AH255" s="88">
        <f t="shared" si="73"/>
        <v>0</v>
      </c>
      <c r="AI255" s="88">
        <f t="shared" si="73"/>
        <v>0</v>
      </c>
      <c r="AJ255" s="88">
        <f t="shared" si="73"/>
        <v>0</v>
      </c>
      <c r="AK255" s="88">
        <f t="shared" si="73"/>
        <v>0</v>
      </c>
      <c r="AL255" s="88">
        <f t="shared" si="73"/>
        <v>0</v>
      </c>
      <c r="AM255" s="88">
        <f t="shared" si="73"/>
        <v>41.699796801837621</v>
      </c>
      <c r="AN255" s="88">
        <f t="shared" si="73"/>
        <v>17.45</v>
      </c>
      <c r="AO255" s="89">
        <f t="shared" si="73"/>
        <v>9</v>
      </c>
      <c r="AP255" s="90">
        <f t="shared" si="73"/>
        <v>7.38</v>
      </c>
      <c r="AQ255" s="91">
        <f t="shared" si="73"/>
        <v>82</v>
      </c>
      <c r="AR255" s="91">
        <f t="shared" si="73"/>
        <v>7.2999999999999972</v>
      </c>
      <c r="AS255" s="92">
        <f t="shared" si="73"/>
        <v>0</v>
      </c>
      <c r="AT255" s="93">
        <f t="shared" si="73"/>
        <v>13</v>
      </c>
      <c r="AU255" s="94">
        <f t="shared" si="73"/>
        <v>4.9000000000000004</v>
      </c>
      <c r="AV255" s="91">
        <f t="shared" si="73"/>
        <v>36.84210526315789</v>
      </c>
      <c r="AW255" s="91">
        <f t="shared" si="73"/>
        <v>38</v>
      </c>
      <c r="AX255" s="83">
        <f t="shared" si="73"/>
        <v>89.188744446272835</v>
      </c>
      <c r="AY255" s="95">
        <f t="shared" si="73"/>
        <v>71.45</v>
      </c>
      <c r="AZ255" s="96">
        <f t="shared" si="73"/>
        <v>57.754999999999995</v>
      </c>
      <c r="BA255" s="96">
        <f t="shared" si="73"/>
        <v>0</v>
      </c>
      <c r="BB255" s="96">
        <f t="shared" si="73"/>
        <v>39.5</v>
      </c>
      <c r="BC255" s="96">
        <f t="shared" si="73"/>
        <v>0</v>
      </c>
      <c r="BD255" s="97">
        <f t="shared" si="73"/>
        <v>17.45</v>
      </c>
      <c r="BE255" s="87">
        <f t="shared" si="73"/>
        <v>14</v>
      </c>
      <c r="BF255" s="88">
        <f t="shared" si="73"/>
        <v>0</v>
      </c>
      <c r="BG255" s="98">
        <f t="shared" si="73"/>
        <v>0</v>
      </c>
      <c r="BH255" s="98">
        <f t="shared" si="73"/>
        <v>0</v>
      </c>
      <c r="BI255" s="98">
        <f t="shared" si="73"/>
        <v>0</v>
      </c>
      <c r="BJ255" s="98">
        <f t="shared" si="73"/>
        <v>0</v>
      </c>
      <c r="BK255" s="98">
        <f t="shared" si="73"/>
        <v>0</v>
      </c>
      <c r="BL255" s="97">
        <f t="shared" si="73"/>
        <v>0</v>
      </c>
    </row>
    <row r="256" spans="1:64" outlineLevel="2" x14ac:dyDescent="0.3">
      <c r="A256" s="81" t="s">
        <v>83</v>
      </c>
      <c r="B256" s="82"/>
      <c r="C256" s="83">
        <f t="shared" ref="C256:BL256" si="74">IFERROR(SUBTOTAL(1,C223:C253),"")</f>
        <v>37.951612903225808</v>
      </c>
      <c r="D256" s="84">
        <f t="shared" si="74"/>
        <v>38</v>
      </c>
      <c r="E256" s="84">
        <f t="shared" si="74"/>
        <v>37.903225806451616</v>
      </c>
      <c r="F256" s="84" t="str">
        <f t="shared" si="74"/>
        <v/>
      </c>
      <c r="G256" s="84" t="str">
        <f t="shared" si="74"/>
        <v/>
      </c>
      <c r="H256" s="84" t="str">
        <f t="shared" si="74"/>
        <v/>
      </c>
      <c r="I256" s="84" t="str">
        <f t="shared" si="74"/>
        <v/>
      </c>
      <c r="J256" s="84" t="str">
        <f t="shared" si="74"/>
        <v/>
      </c>
      <c r="K256" s="84" t="str">
        <f t="shared" si="74"/>
        <v/>
      </c>
      <c r="L256" s="85">
        <f t="shared" si="74"/>
        <v>7.7846153846153863</v>
      </c>
      <c r="M256" s="86">
        <f t="shared" si="74"/>
        <v>7.8327272727272721</v>
      </c>
      <c r="N256" s="86">
        <f t="shared" si="74"/>
        <v>7.7080000000000002</v>
      </c>
      <c r="O256" s="86" t="str">
        <f t="shared" si="74"/>
        <v/>
      </c>
      <c r="P256" s="86" t="str">
        <f t="shared" si="74"/>
        <v/>
      </c>
      <c r="Q256" s="86" t="str">
        <f t="shared" si="74"/>
        <v/>
      </c>
      <c r="R256" s="86" t="str">
        <f t="shared" si="74"/>
        <v/>
      </c>
      <c r="S256" s="86" t="str">
        <f t="shared" si="74"/>
        <v/>
      </c>
      <c r="T256" s="86" t="str">
        <f t="shared" si="74"/>
        <v/>
      </c>
      <c r="U256" s="87">
        <f t="shared" si="74"/>
        <v>1559.5153846153844</v>
      </c>
      <c r="V256" s="88">
        <f t="shared" si="74"/>
        <v>1646.2636363636366</v>
      </c>
      <c r="W256" s="88">
        <f t="shared" si="74"/>
        <v>1324.3400000000001</v>
      </c>
      <c r="X256" s="88" t="str">
        <f t="shared" si="74"/>
        <v/>
      </c>
      <c r="Y256" s="88" t="str">
        <f t="shared" si="74"/>
        <v/>
      </c>
      <c r="Z256" s="88" t="str">
        <f t="shared" si="74"/>
        <v/>
      </c>
      <c r="AA256" s="88" t="str">
        <f t="shared" si="74"/>
        <v/>
      </c>
      <c r="AB256" s="88" t="str">
        <f t="shared" si="74"/>
        <v/>
      </c>
      <c r="AC256" s="88" t="str">
        <f t="shared" si="74"/>
        <v/>
      </c>
      <c r="AD256" s="87" t="str">
        <f t="shared" si="74"/>
        <v/>
      </c>
      <c r="AE256" s="88" t="str">
        <f t="shared" si="74"/>
        <v/>
      </c>
      <c r="AF256" s="88" t="str">
        <f t="shared" si="74"/>
        <v/>
      </c>
      <c r="AG256" s="88" t="str">
        <f t="shared" si="74"/>
        <v/>
      </c>
      <c r="AH256" s="88" t="str">
        <f t="shared" si="74"/>
        <v/>
      </c>
      <c r="AI256" s="88" t="str">
        <f t="shared" si="74"/>
        <v/>
      </c>
      <c r="AJ256" s="88" t="str">
        <f t="shared" si="74"/>
        <v/>
      </c>
      <c r="AK256" s="88" t="str">
        <f t="shared" si="74"/>
        <v/>
      </c>
      <c r="AL256" s="88" t="str">
        <f t="shared" si="74"/>
        <v/>
      </c>
      <c r="AM256" s="88">
        <f t="shared" si="74"/>
        <v>64.769160066036932</v>
      </c>
      <c r="AN256" s="88">
        <f t="shared" si="74"/>
        <v>75.518709677419352</v>
      </c>
      <c r="AO256" s="89">
        <f t="shared" si="74"/>
        <v>21</v>
      </c>
      <c r="AP256" s="90">
        <f t="shared" si="74"/>
        <v>18.526</v>
      </c>
      <c r="AQ256" s="91">
        <f t="shared" si="74"/>
        <v>86.125</v>
      </c>
      <c r="AR256" s="91">
        <f t="shared" si="74"/>
        <v>13.874999999999996</v>
      </c>
      <c r="AS256" s="92">
        <f t="shared" si="74"/>
        <v>9.2903225806451619</v>
      </c>
      <c r="AT256" s="93">
        <f t="shared" si="74"/>
        <v>14.075000000000001</v>
      </c>
      <c r="AU256" s="94">
        <f t="shared" si="74"/>
        <v>7.9785714285714295</v>
      </c>
      <c r="AV256" s="91">
        <f t="shared" si="74"/>
        <v>56.56028859628028</v>
      </c>
      <c r="AW256" s="91">
        <f t="shared" si="74"/>
        <v>43.43971140371972</v>
      </c>
      <c r="AX256" s="83">
        <f t="shared" si="74"/>
        <v>89.188744446272835</v>
      </c>
      <c r="AY256" s="95">
        <f t="shared" si="74"/>
        <v>76.376923076923077</v>
      </c>
      <c r="AZ256" s="96">
        <f t="shared" si="74"/>
        <v>62.983600000000003</v>
      </c>
      <c r="BA256" s="96" t="str">
        <f t="shared" si="74"/>
        <v/>
      </c>
      <c r="BB256" s="96">
        <f t="shared" si="74"/>
        <v>87.98</v>
      </c>
      <c r="BC256" s="96" t="str">
        <f t="shared" si="74"/>
        <v/>
      </c>
      <c r="BD256" s="97">
        <f>IFERROR(SUBTOTAL(1,BD223:BD253),"")</f>
        <v>75.518709677419352</v>
      </c>
      <c r="BE256" s="87">
        <f t="shared" si="74"/>
        <v>295.1764705882353</v>
      </c>
      <c r="BF256" s="88">
        <f t="shared" si="74"/>
        <v>16.580645161290324</v>
      </c>
      <c r="BG256" s="98">
        <f t="shared" si="74"/>
        <v>32.483870967741936</v>
      </c>
      <c r="BH256" s="98">
        <f t="shared" si="74"/>
        <v>112.80645161290323</v>
      </c>
      <c r="BI256" s="98" t="str">
        <f t="shared" si="74"/>
        <v/>
      </c>
      <c r="BJ256" s="98" t="str">
        <f t="shared" si="74"/>
        <v/>
      </c>
      <c r="BK256" s="98" t="str">
        <f t="shared" si="74"/>
        <v/>
      </c>
      <c r="BL256" s="97" t="str">
        <f t="shared" si="74"/>
        <v/>
      </c>
    </row>
    <row r="257" spans="1:64" ht="17.25" outlineLevel="1" thickBot="1" x14ac:dyDescent="0.35">
      <c r="A257" s="99" t="s">
        <v>84</v>
      </c>
      <c r="B257" s="100"/>
      <c r="C257" s="101"/>
      <c r="D257" s="102"/>
      <c r="E257" s="102"/>
      <c r="F257" s="102"/>
      <c r="G257" s="102"/>
      <c r="H257" s="102"/>
      <c r="I257" s="102"/>
      <c r="J257" s="102"/>
      <c r="K257" s="102"/>
      <c r="L257" s="103"/>
      <c r="M257" s="104"/>
      <c r="N257" s="104"/>
      <c r="O257" s="104"/>
      <c r="P257" s="104"/>
      <c r="Q257" s="104"/>
      <c r="R257" s="104"/>
      <c r="S257" s="104"/>
      <c r="T257" s="104"/>
      <c r="U257" s="105"/>
      <c r="V257" s="106"/>
      <c r="W257" s="106"/>
      <c r="X257" s="106"/>
      <c r="Y257" s="106"/>
      <c r="Z257" s="106"/>
      <c r="AA257" s="106"/>
      <c r="AB257" s="106"/>
      <c r="AC257" s="106"/>
      <c r="AD257" s="105"/>
      <c r="AE257" s="106"/>
      <c r="AF257" s="106"/>
      <c r="AG257" s="106"/>
      <c r="AH257" s="106"/>
      <c r="AI257" s="106"/>
      <c r="AJ257" s="106"/>
      <c r="AK257" s="106"/>
      <c r="AL257" s="106"/>
      <c r="AM257" s="106"/>
      <c r="AN257" s="107">
        <f>SUBTOTAL(9,AN223:AN253)</f>
        <v>2341.08</v>
      </c>
      <c r="AO257" s="108"/>
      <c r="AP257" s="109"/>
      <c r="AQ257" s="110"/>
      <c r="AR257" s="110"/>
      <c r="AS257" s="111">
        <f>SUBTOTAL(9,AS223:AS253)</f>
        <v>288</v>
      </c>
      <c r="AT257" s="112"/>
      <c r="AU257" s="113"/>
      <c r="AV257" s="110"/>
      <c r="AW257" s="110"/>
      <c r="AX257" s="101"/>
      <c r="AY257" s="114"/>
      <c r="AZ257" s="115"/>
      <c r="BA257" s="115"/>
      <c r="BB257" s="115"/>
      <c r="BC257" s="115"/>
      <c r="BD257" s="116">
        <f>SUBTOTAL(9,BD223:BD253)</f>
        <v>2341.08</v>
      </c>
      <c r="BE257" s="117">
        <f t="shared" ref="BE257:BL257" si="75">SUBTOTAL(9,BE223:BE253)</f>
        <v>5018</v>
      </c>
      <c r="BF257" s="107">
        <f t="shared" si="75"/>
        <v>514</v>
      </c>
      <c r="BG257" s="118">
        <f t="shared" si="75"/>
        <v>1007</v>
      </c>
      <c r="BH257" s="118">
        <f t="shared" si="75"/>
        <v>3497</v>
      </c>
      <c r="BI257" s="118">
        <f t="shared" si="75"/>
        <v>0</v>
      </c>
      <c r="BJ257" s="118">
        <f t="shared" si="75"/>
        <v>0</v>
      </c>
      <c r="BK257" s="118">
        <f t="shared" si="75"/>
        <v>0</v>
      </c>
      <c r="BL257" s="116">
        <f t="shared" si="75"/>
        <v>0</v>
      </c>
    </row>
    <row r="258" spans="1:64" outlineLevel="5" x14ac:dyDescent="0.3">
      <c r="A258" s="136">
        <f t="shared" si="71"/>
        <v>8</v>
      </c>
      <c r="B258" s="165">
        <f>B253+1</f>
        <v>44044</v>
      </c>
      <c r="C258" s="138">
        <f>IFERROR(ROUND(AVERAGE(D258:K258),1),"")</f>
        <v>39</v>
      </c>
      <c r="D258" s="84">
        <v>39</v>
      </c>
      <c r="E258" s="84">
        <v>39</v>
      </c>
      <c r="F258" s="84"/>
      <c r="G258" s="84"/>
      <c r="H258" s="84"/>
      <c r="I258" s="84"/>
      <c r="J258" s="84"/>
      <c r="K258" s="84"/>
      <c r="L258" s="140" t="str">
        <f>IFERROR(ROUND(AVERAGE(M258:T258),1),"")</f>
        <v/>
      </c>
      <c r="M258" s="86"/>
      <c r="N258" s="86"/>
      <c r="O258" s="86"/>
      <c r="P258" s="86"/>
      <c r="Q258" s="86"/>
      <c r="R258" s="86"/>
      <c r="S258" s="86"/>
      <c r="T258" s="86"/>
      <c r="U258" s="142" t="str">
        <f>IFERROR(ROUND(AVERAGE(V258:AC258),1),"")</f>
        <v/>
      </c>
      <c r="V258" s="88"/>
      <c r="W258" s="88"/>
      <c r="X258" s="88"/>
      <c r="Y258" s="88"/>
      <c r="Z258" s="88"/>
      <c r="AA258" s="88"/>
      <c r="AB258" s="88"/>
      <c r="AC258" s="88"/>
      <c r="AD258" s="142" t="str">
        <f>IFERROR(ROUND(AVERAGE(AE258:AL258),1),"")</f>
        <v/>
      </c>
      <c r="AE258" s="88"/>
      <c r="AF258" s="88"/>
      <c r="AG258" s="88"/>
      <c r="AH258" s="88"/>
      <c r="AI258" s="88"/>
      <c r="AJ258" s="88"/>
      <c r="AK258" s="88"/>
      <c r="AL258" s="88"/>
      <c r="AM258" s="88">
        <v>58.618976651763532</v>
      </c>
      <c r="AN258" s="88">
        <v>80.52000000000001</v>
      </c>
      <c r="AO258" s="89" t="s">
        <v>56</v>
      </c>
      <c r="AP258" s="90" t="s">
        <v>56</v>
      </c>
      <c r="AQ258" s="146" t="str">
        <f t="shared" ref="AQ258:AQ288" si="76">IFERROR(AP258/AO258*100,"")</f>
        <v/>
      </c>
      <c r="AR258" s="146" t="str">
        <f t="shared" ref="AR258:AR288" si="77">IFERROR(100-AQ258,"")</f>
        <v/>
      </c>
      <c r="AS258" s="147">
        <v>11</v>
      </c>
      <c r="AT258" s="148" t="s">
        <v>56</v>
      </c>
      <c r="AU258" s="149" t="s">
        <v>56</v>
      </c>
      <c r="AV258" s="146" t="str">
        <f t="shared" ref="AV258:AV288" si="78">IFERROR(AU258/AT258*100,"")</f>
        <v/>
      </c>
      <c r="AW258" s="146" t="str">
        <f t="shared" ref="AW258:AW288" si="79">IFERROR(100-AV258,"")</f>
        <v/>
      </c>
      <c r="AX258" s="138" t="str">
        <f>IFERROR((1-((AV258*AR258)/(AW258*AQ258)))*100,"")</f>
        <v/>
      </c>
      <c r="AY258" s="95" t="s">
        <v>56</v>
      </c>
      <c r="AZ258" s="96">
        <v>64.070000000000007</v>
      </c>
      <c r="BA258" s="96"/>
      <c r="BB258" s="96">
        <v>83</v>
      </c>
      <c r="BC258" s="96"/>
      <c r="BD258" s="97">
        <v>80.52000000000001</v>
      </c>
      <c r="BE258" s="142" t="str">
        <f t="shared" ref="BE258:BE288" si="80">IF(SUM(BF258:BL258)=0,"",SUM(BF258:BL258))</f>
        <v/>
      </c>
      <c r="BF258" s="98">
        <v>0</v>
      </c>
      <c r="BG258" s="98">
        <v>0</v>
      </c>
      <c r="BH258" s="98">
        <v>0</v>
      </c>
      <c r="BI258" s="98"/>
      <c r="BJ258" s="98"/>
      <c r="BK258" s="98"/>
      <c r="BL258" s="97"/>
    </row>
    <row r="259" spans="1:64" outlineLevel="5" x14ac:dyDescent="0.3">
      <c r="A259" s="152">
        <f t="shared" si="71"/>
        <v>8</v>
      </c>
      <c r="B259" s="153">
        <f t="shared" si="70"/>
        <v>44045</v>
      </c>
      <c r="C259" s="138">
        <f>IFERROR(ROUND(AVERAGE(D259:K259),1),"")</f>
        <v>38</v>
      </c>
      <c r="D259" s="84">
        <v>38</v>
      </c>
      <c r="E259" s="84">
        <v>38</v>
      </c>
      <c r="F259" s="84"/>
      <c r="G259" s="84"/>
      <c r="H259" s="84"/>
      <c r="I259" s="84"/>
      <c r="J259" s="84"/>
      <c r="K259" s="84"/>
      <c r="L259" s="140" t="str">
        <f>IFERROR(ROUND(AVERAGE(M259:T259),1),"")</f>
        <v/>
      </c>
      <c r="M259" s="86"/>
      <c r="N259" s="86"/>
      <c r="O259" s="86"/>
      <c r="P259" s="86"/>
      <c r="Q259" s="86"/>
      <c r="R259" s="86"/>
      <c r="S259" s="86"/>
      <c r="T259" s="86"/>
      <c r="U259" s="142" t="str">
        <f>IFERROR(ROUND(AVERAGE(V259:AC259),1),"")</f>
        <v/>
      </c>
      <c r="V259" s="88"/>
      <c r="W259" s="88"/>
      <c r="X259" s="88"/>
      <c r="Y259" s="88"/>
      <c r="Z259" s="88"/>
      <c r="AA259" s="88"/>
      <c r="AB259" s="88"/>
      <c r="AC259" s="88"/>
      <c r="AD259" s="142" t="str">
        <f>IFERROR(ROUND(AVERAGE(AE259:AL259),1),"")</f>
        <v/>
      </c>
      <c r="AE259" s="88"/>
      <c r="AF259" s="88"/>
      <c r="AG259" s="88"/>
      <c r="AH259" s="88"/>
      <c r="AI259" s="88"/>
      <c r="AJ259" s="88"/>
      <c r="AK259" s="88"/>
      <c r="AL259" s="88"/>
      <c r="AM259" s="88">
        <v>65.555555555555557</v>
      </c>
      <c r="AN259" s="88">
        <v>72</v>
      </c>
      <c r="AO259" s="89" t="s">
        <v>56</v>
      </c>
      <c r="AP259" s="90" t="s">
        <v>56</v>
      </c>
      <c r="AQ259" s="146" t="str">
        <f t="shared" si="76"/>
        <v/>
      </c>
      <c r="AR259" s="146" t="str">
        <f t="shared" si="77"/>
        <v/>
      </c>
      <c r="AS259" s="147">
        <v>6</v>
      </c>
      <c r="AT259" s="148" t="s">
        <v>56</v>
      </c>
      <c r="AU259" s="149" t="s">
        <v>56</v>
      </c>
      <c r="AV259" s="146" t="str">
        <f t="shared" si="78"/>
        <v/>
      </c>
      <c r="AW259" s="146" t="str">
        <f t="shared" si="79"/>
        <v/>
      </c>
      <c r="AX259" s="138" t="str">
        <f>IFERROR((1-((AV259*AR259)/(AW259*AQ259)))*100,"")</f>
        <v/>
      </c>
      <c r="AY259" s="95" t="s">
        <v>56</v>
      </c>
      <c r="AZ259" s="96">
        <v>64.305000000000007</v>
      </c>
      <c r="BA259" s="96"/>
      <c r="BB259" s="96">
        <v>74</v>
      </c>
      <c r="BC259" s="96"/>
      <c r="BD259" s="97">
        <v>72</v>
      </c>
      <c r="BE259" s="142" t="str">
        <f t="shared" si="80"/>
        <v/>
      </c>
      <c r="BF259" s="98">
        <v>0</v>
      </c>
      <c r="BG259" s="98">
        <v>0</v>
      </c>
      <c r="BH259" s="98">
        <v>0</v>
      </c>
      <c r="BI259" s="98"/>
      <c r="BJ259" s="98"/>
      <c r="BK259" s="98"/>
      <c r="BL259" s="97"/>
    </row>
    <row r="260" spans="1:64" outlineLevel="5" x14ac:dyDescent="0.3">
      <c r="A260" s="152">
        <f t="shared" si="71"/>
        <v>8</v>
      </c>
      <c r="B260" s="153">
        <f t="shared" si="70"/>
        <v>44046</v>
      </c>
      <c r="C260" s="138">
        <f>IFERROR(ROUND(AVERAGE(D260:K260),1),"")</f>
        <v>38.5</v>
      </c>
      <c r="D260" s="84">
        <v>38</v>
      </c>
      <c r="E260" s="84">
        <v>39</v>
      </c>
      <c r="F260" s="84"/>
      <c r="G260" s="84"/>
      <c r="H260" s="84"/>
      <c r="I260" s="84"/>
      <c r="J260" s="84"/>
      <c r="K260" s="84"/>
      <c r="L260" s="140">
        <f>IFERROR(ROUND(AVERAGE(M260:T260),1),"")</f>
        <v>7.9</v>
      </c>
      <c r="M260" s="86">
        <v>7.95</v>
      </c>
      <c r="N260" s="86">
        <v>7.88</v>
      </c>
      <c r="O260" s="86"/>
      <c r="P260" s="86"/>
      <c r="Q260" s="86"/>
      <c r="R260" s="86"/>
      <c r="S260" s="86"/>
      <c r="T260" s="86"/>
      <c r="U260" s="142">
        <f>IFERROR(ROUND(AVERAGE(V260:AC260),1),"")</f>
        <v>1481.3</v>
      </c>
      <c r="V260" s="88">
        <v>1730</v>
      </c>
      <c r="W260" s="88">
        <v>1232.5999999999999</v>
      </c>
      <c r="X260" s="88"/>
      <c r="Y260" s="88"/>
      <c r="Z260" s="88"/>
      <c r="AA260" s="88"/>
      <c r="AB260" s="88"/>
      <c r="AC260" s="88"/>
      <c r="AD260" s="142" t="str">
        <f>IFERROR(ROUND(AVERAGE(AE260:AL260),1),"")</f>
        <v/>
      </c>
      <c r="AE260" s="88"/>
      <c r="AF260" s="88"/>
      <c r="AG260" s="88"/>
      <c r="AH260" s="88"/>
      <c r="AI260" s="88"/>
      <c r="AJ260" s="88"/>
      <c r="AK260" s="88"/>
      <c r="AL260" s="88"/>
      <c r="AM260" s="88">
        <v>36.880762619159242</v>
      </c>
      <c r="AN260" s="88">
        <v>127.98</v>
      </c>
      <c r="AO260" s="89">
        <v>16.600000000000001</v>
      </c>
      <c r="AP260" s="90">
        <v>14.5748</v>
      </c>
      <c r="AQ260" s="146">
        <f t="shared" si="76"/>
        <v>87.799999999999983</v>
      </c>
      <c r="AR260" s="146">
        <f t="shared" si="77"/>
        <v>12.200000000000017</v>
      </c>
      <c r="AS260" s="147">
        <v>0</v>
      </c>
      <c r="AT260" s="148">
        <v>14.850000000000001</v>
      </c>
      <c r="AU260" s="149">
        <v>8.4499999999999993</v>
      </c>
      <c r="AV260" s="146">
        <f t="shared" si="78"/>
        <v>56.902356902356885</v>
      </c>
      <c r="AW260" s="146">
        <f t="shared" si="79"/>
        <v>43.097643097643115</v>
      </c>
      <c r="AX260" s="138">
        <f>IFERROR((1-((AV260*AR260)/(AW260*AQ260)))*100,"")</f>
        <v>81.653972095671961</v>
      </c>
      <c r="AY260" s="95">
        <v>73.900000000000006</v>
      </c>
      <c r="AZ260" s="96">
        <v>64.735000000000014</v>
      </c>
      <c r="BA260" s="96"/>
      <c r="BB260" s="96">
        <v>66</v>
      </c>
      <c r="BC260" s="96"/>
      <c r="BD260" s="97">
        <v>127.98</v>
      </c>
      <c r="BE260" s="142" t="str">
        <f t="shared" si="80"/>
        <v/>
      </c>
      <c r="BF260" s="98">
        <v>0</v>
      </c>
      <c r="BG260" s="98">
        <v>0</v>
      </c>
      <c r="BH260" s="98">
        <v>0</v>
      </c>
      <c r="BI260" s="98"/>
      <c r="BJ260" s="98"/>
      <c r="BK260" s="98"/>
      <c r="BL260" s="97"/>
    </row>
    <row r="261" spans="1:64" outlineLevel="5" x14ac:dyDescent="0.3">
      <c r="A261" s="152">
        <f t="shared" si="71"/>
        <v>8</v>
      </c>
      <c r="B261" s="153">
        <f t="shared" si="70"/>
        <v>44047</v>
      </c>
      <c r="C261" s="138">
        <f>IFERROR(ROUND(AVERAGE(D261:K261),1),"")</f>
        <v>39.5</v>
      </c>
      <c r="D261" s="84">
        <v>39</v>
      </c>
      <c r="E261" s="84">
        <v>40</v>
      </c>
      <c r="F261" s="84"/>
      <c r="G261" s="84"/>
      <c r="H261" s="84"/>
      <c r="I261" s="84"/>
      <c r="J261" s="84"/>
      <c r="K261" s="84"/>
      <c r="L261" s="140" t="str">
        <f>IFERROR(ROUND(AVERAGE(M261:T261),1),"")</f>
        <v/>
      </c>
      <c r="M261" s="86"/>
      <c r="N261" s="86"/>
      <c r="O261" s="86"/>
      <c r="P261" s="86"/>
      <c r="Q261" s="86"/>
      <c r="R261" s="86"/>
      <c r="S261" s="86"/>
      <c r="T261" s="86"/>
      <c r="U261" s="142" t="str">
        <f>IFERROR(ROUND(AVERAGE(V261:AC261),1),"")</f>
        <v/>
      </c>
      <c r="V261" s="88"/>
      <c r="W261" s="88"/>
      <c r="X261" s="88"/>
      <c r="Y261" s="88"/>
      <c r="Z261" s="88"/>
      <c r="AA261" s="88"/>
      <c r="AB261" s="88"/>
      <c r="AC261" s="88"/>
      <c r="AD261" s="142" t="str">
        <f>IFERROR(ROUND(AVERAGE(AE261:AL261),1),"")</f>
        <v/>
      </c>
      <c r="AE261" s="88"/>
      <c r="AF261" s="88"/>
      <c r="AG261" s="88"/>
      <c r="AH261" s="88"/>
      <c r="AI261" s="88"/>
      <c r="AJ261" s="88"/>
      <c r="AK261" s="88"/>
      <c r="AL261" s="88"/>
      <c r="AM261" s="88">
        <v>36.386062288004936</v>
      </c>
      <c r="AN261" s="88">
        <v>129.72</v>
      </c>
      <c r="AO261" s="89" t="s">
        <v>56</v>
      </c>
      <c r="AP261" s="90" t="s">
        <v>56</v>
      </c>
      <c r="AQ261" s="146" t="str">
        <f t="shared" si="76"/>
        <v/>
      </c>
      <c r="AR261" s="146" t="str">
        <f t="shared" si="77"/>
        <v/>
      </c>
      <c r="AS261" s="147">
        <v>0</v>
      </c>
      <c r="AT261" s="148" t="s">
        <v>56</v>
      </c>
      <c r="AU261" s="149" t="s">
        <v>56</v>
      </c>
      <c r="AV261" s="146" t="str">
        <f t="shared" si="78"/>
        <v/>
      </c>
      <c r="AW261" s="146" t="str">
        <f t="shared" si="79"/>
        <v/>
      </c>
      <c r="AX261" s="138" t="str">
        <f>IFERROR((1-((AV261*AR261)/(AW261*AQ261)))*100,"")</f>
        <v/>
      </c>
      <c r="AY261" s="95" t="s">
        <v>56</v>
      </c>
      <c r="AZ261" s="96" t="s">
        <v>56</v>
      </c>
      <c r="BA261" s="96"/>
      <c r="BB261" s="96" t="s">
        <v>56</v>
      </c>
      <c r="BC261" s="96"/>
      <c r="BD261" s="97">
        <v>129.72</v>
      </c>
      <c r="BE261" s="142" t="str">
        <f t="shared" si="80"/>
        <v/>
      </c>
      <c r="BF261" s="98">
        <v>0</v>
      </c>
      <c r="BG261" s="98">
        <v>0</v>
      </c>
      <c r="BH261" s="98">
        <v>0</v>
      </c>
      <c r="BI261" s="98"/>
      <c r="BJ261" s="98"/>
      <c r="BK261" s="98"/>
      <c r="BL261" s="97"/>
    </row>
    <row r="262" spans="1:64" outlineLevel="5" x14ac:dyDescent="0.3">
      <c r="A262" s="152">
        <f t="shared" si="71"/>
        <v>8</v>
      </c>
      <c r="B262" s="153">
        <f t="shared" si="70"/>
        <v>44048</v>
      </c>
      <c r="C262" s="138">
        <f>IFERROR(ROUND(AVERAGE(D262:K262),1),"")</f>
        <v>39</v>
      </c>
      <c r="D262" s="84">
        <v>39</v>
      </c>
      <c r="E262" s="84">
        <v>39</v>
      </c>
      <c r="F262" s="84"/>
      <c r="G262" s="84"/>
      <c r="H262" s="84"/>
      <c r="I262" s="84"/>
      <c r="J262" s="84"/>
      <c r="K262" s="84"/>
      <c r="L262" s="140">
        <f>IFERROR(ROUND(AVERAGE(M262:T262),1),"")</f>
        <v>7.9</v>
      </c>
      <c r="M262" s="86">
        <v>7.9</v>
      </c>
      <c r="N262" s="86">
        <v>7.86</v>
      </c>
      <c r="O262" s="86"/>
      <c r="P262" s="86"/>
      <c r="Q262" s="86"/>
      <c r="R262" s="86"/>
      <c r="S262" s="86"/>
      <c r="T262" s="86"/>
      <c r="U262" s="142">
        <f>IFERROR(ROUND(AVERAGE(V262:AC262),1),"")</f>
        <v>1368.9</v>
      </c>
      <c r="V262" s="88">
        <v>1591.6</v>
      </c>
      <c r="W262" s="88">
        <v>1146.0999999999999</v>
      </c>
      <c r="X262" s="88"/>
      <c r="Y262" s="88"/>
      <c r="Z262" s="88"/>
      <c r="AA262" s="88"/>
      <c r="AB262" s="88"/>
      <c r="AC262" s="88"/>
      <c r="AD262" s="142" t="str">
        <f>IFERROR(ROUND(AVERAGE(AE262:AL262),1),"")</f>
        <v/>
      </c>
      <c r="AE262" s="88"/>
      <c r="AF262" s="88"/>
      <c r="AG262" s="88"/>
      <c r="AH262" s="88"/>
      <c r="AI262" s="88"/>
      <c r="AJ262" s="88"/>
      <c r="AK262" s="88"/>
      <c r="AL262" s="88"/>
      <c r="AM262" s="88">
        <v>41.99661891627369</v>
      </c>
      <c r="AN262" s="88">
        <v>112.39</v>
      </c>
      <c r="AO262" s="89"/>
      <c r="AP262" s="90"/>
      <c r="AQ262" s="146" t="str">
        <f t="shared" si="76"/>
        <v/>
      </c>
      <c r="AR262" s="146" t="str">
        <f t="shared" si="77"/>
        <v/>
      </c>
      <c r="AS262" s="147">
        <v>10</v>
      </c>
      <c r="AT262" s="148">
        <v>14.55</v>
      </c>
      <c r="AU262" s="149">
        <v>8.8000000000000007</v>
      </c>
      <c r="AV262" s="146">
        <f t="shared" si="78"/>
        <v>60.481099656357394</v>
      </c>
      <c r="AW262" s="146">
        <f t="shared" si="79"/>
        <v>39.518900343642606</v>
      </c>
      <c r="AX262" s="138" t="str">
        <f>IFERROR((1-((AV262*AR262)/(AW262*AQ262)))*100,"")</f>
        <v/>
      </c>
      <c r="AY262" s="95">
        <v>73.3</v>
      </c>
      <c r="AZ262" s="96" t="s">
        <v>56</v>
      </c>
      <c r="BA262" s="96"/>
      <c r="BB262" s="96" t="s">
        <v>56</v>
      </c>
      <c r="BC262" s="96"/>
      <c r="BD262" s="97">
        <v>112.39</v>
      </c>
      <c r="BE262" s="142" t="str">
        <f t="shared" si="80"/>
        <v/>
      </c>
      <c r="BF262" s="98">
        <v>0</v>
      </c>
      <c r="BG262" s="98">
        <v>0</v>
      </c>
      <c r="BH262" s="98">
        <v>0</v>
      </c>
      <c r="BI262" s="98"/>
      <c r="BJ262" s="98"/>
      <c r="BK262" s="98"/>
      <c r="BL262" s="97"/>
    </row>
    <row r="263" spans="1:64" outlineLevel="5" x14ac:dyDescent="0.3">
      <c r="A263" s="152">
        <f t="shared" si="71"/>
        <v>8</v>
      </c>
      <c r="B263" s="153">
        <f t="shared" si="70"/>
        <v>44049</v>
      </c>
      <c r="C263" s="138">
        <f>IFERROR(ROUND(AVERAGE(D263:K263),1),"")</f>
        <v>38.5</v>
      </c>
      <c r="D263" s="84">
        <v>38</v>
      </c>
      <c r="E263" s="84">
        <v>39</v>
      </c>
      <c r="F263" s="84"/>
      <c r="G263" s="84"/>
      <c r="H263" s="84"/>
      <c r="I263" s="84"/>
      <c r="J263" s="84"/>
      <c r="K263" s="84"/>
      <c r="L263" s="140">
        <f>IFERROR(ROUND(AVERAGE(M263:T263),1),"")</f>
        <v>7.9</v>
      </c>
      <c r="M263" s="86">
        <v>7.92</v>
      </c>
      <c r="N263" s="86">
        <v>7.87</v>
      </c>
      <c r="O263" s="86"/>
      <c r="P263" s="86"/>
      <c r="Q263" s="86"/>
      <c r="R263" s="86"/>
      <c r="S263" s="86"/>
      <c r="T263" s="86"/>
      <c r="U263" s="142">
        <f>IFERROR(ROUND(AVERAGE(V263:AC263),1),"")</f>
        <v>1405.7</v>
      </c>
      <c r="V263" s="88">
        <v>1643.5</v>
      </c>
      <c r="W263" s="88">
        <v>1167.8</v>
      </c>
      <c r="X263" s="88"/>
      <c r="Y263" s="88"/>
      <c r="Z263" s="88"/>
      <c r="AA263" s="88"/>
      <c r="AB263" s="88"/>
      <c r="AC263" s="88"/>
      <c r="AD263" s="142" t="str">
        <f>IFERROR(ROUND(AVERAGE(AE263:AL263),1),"")</f>
        <v/>
      </c>
      <c r="AE263" s="88"/>
      <c r="AF263" s="88"/>
      <c r="AG263" s="88"/>
      <c r="AH263" s="88"/>
      <c r="AI263" s="88"/>
      <c r="AJ263" s="88"/>
      <c r="AK263" s="88"/>
      <c r="AL263" s="88"/>
      <c r="AM263" s="88">
        <v>47.356275709842478</v>
      </c>
      <c r="AN263" s="88">
        <v>99.67</v>
      </c>
      <c r="AO263" s="89">
        <v>25.8</v>
      </c>
      <c r="AP263" s="90">
        <v>23.968200000000003</v>
      </c>
      <c r="AQ263" s="146">
        <f t="shared" si="76"/>
        <v>92.9</v>
      </c>
      <c r="AR263" s="146">
        <f t="shared" si="77"/>
        <v>7.0999999999999943</v>
      </c>
      <c r="AS263" s="147">
        <v>20</v>
      </c>
      <c r="AT263" s="148">
        <v>14.55</v>
      </c>
      <c r="AU263" s="149">
        <v>8.6000000000000014</v>
      </c>
      <c r="AV263" s="146">
        <f t="shared" si="78"/>
        <v>59.106529209622003</v>
      </c>
      <c r="AW263" s="146">
        <f t="shared" si="79"/>
        <v>40.893470790377997</v>
      </c>
      <c r="AX263" s="138">
        <f>IFERROR((1-((AV263*AR263)/(AW263*AQ263)))*100,"")</f>
        <v>88.953514667438554</v>
      </c>
      <c r="AY263" s="95">
        <v>75.7</v>
      </c>
      <c r="AZ263" s="96" t="s">
        <v>56</v>
      </c>
      <c r="BA263" s="96"/>
      <c r="BB263" s="96" t="s">
        <v>56</v>
      </c>
      <c r="BC263" s="96"/>
      <c r="BD263" s="97">
        <v>99.67</v>
      </c>
      <c r="BE263" s="142" t="str">
        <f t="shared" si="80"/>
        <v/>
      </c>
      <c r="BF263" s="98">
        <v>0</v>
      </c>
      <c r="BG263" s="98">
        <v>0</v>
      </c>
      <c r="BH263" s="98">
        <v>0</v>
      </c>
      <c r="BI263" s="98"/>
      <c r="BJ263" s="98"/>
      <c r="BK263" s="98"/>
      <c r="BL263" s="97"/>
    </row>
    <row r="264" spans="1:64" outlineLevel="5" x14ac:dyDescent="0.3">
      <c r="A264" s="152">
        <f t="shared" si="71"/>
        <v>8</v>
      </c>
      <c r="B264" s="153">
        <f t="shared" si="70"/>
        <v>44050</v>
      </c>
      <c r="C264" s="138">
        <f>IFERROR(ROUND(AVERAGE(D264:K264),1),"")</f>
        <v>38</v>
      </c>
      <c r="D264" s="84">
        <v>38</v>
      </c>
      <c r="E264" s="84">
        <v>38</v>
      </c>
      <c r="F264" s="84"/>
      <c r="G264" s="84"/>
      <c r="H264" s="84"/>
      <c r="I264" s="84"/>
      <c r="J264" s="84"/>
      <c r="K264" s="84"/>
      <c r="L264" s="140" t="str">
        <f>IFERROR(ROUND(AVERAGE(M264:T264),1),"")</f>
        <v/>
      </c>
      <c r="M264" s="86"/>
      <c r="N264" s="86"/>
      <c r="O264" s="86"/>
      <c r="P264" s="86"/>
      <c r="Q264" s="86"/>
      <c r="R264" s="86"/>
      <c r="S264" s="86"/>
      <c r="T264" s="86"/>
      <c r="U264" s="142" t="str">
        <f>IFERROR(ROUND(AVERAGE(V264:AC264),1),"")</f>
        <v/>
      </c>
      <c r="V264" s="88"/>
      <c r="W264" s="88"/>
      <c r="X264" s="88"/>
      <c r="Y264" s="88"/>
      <c r="Z264" s="88"/>
      <c r="AA264" s="88"/>
      <c r="AB264" s="88"/>
      <c r="AC264" s="88"/>
      <c r="AD264" s="142" t="str">
        <f>IFERROR(ROUND(AVERAGE(AE264:AL264),1),"")</f>
        <v/>
      </c>
      <c r="AE264" s="88"/>
      <c r="AF264" s="88"/>
      <c r="AG264" s="88"/>
      <c r="AH264" s="88"/>
      <c r="AI264" s="88"/>
      <c r="AJ264" s="88"/>
      <c r="AK264" s="88"/>
      <c r="AL264" s="88"/>
      <c r="AM264" s="88">
        <v>56.418838154434617</v>
      </c>
      <c r="AN264" s="88">
        <v>83.66</v>
      </c>
      <c r="AO264" s="89">
        <v>25.8</v>
      </c>
      <c r="AP264" s="90">
        <v>23.994</v>
      </c>
      <c r="AQ264" s="146">
        <f t="shared" si="76"/>
        <v>93</v>
      </c>
      <c r="AR264" s="146">
        <f t="shared" si="77"/>
        <v>7</v>
      </c>
      <c r="AS264" s="147">
        <v>0</v>
      </c>
      <c r="AT264" s="148" t="s">
        <v>56</v>
      </c>
      <c r="AU264" s="149" t="s">
        <v>56</v>
      </c>
      <c r="AV264" s="146" t="str">
        <f t="shared" si="78"/>
        <v/>
      </c>
      <c r="AW264" s="146" t="str">
        <f t="shared" si="79"/>
        <v/>
      </c>
      <c r="AX264" s="138" t="str">
        <f>IFERROR((1-((AV264*AR264)/(AW264*AQ264)))*100,"")</f>
        <v/>
      </c>
      <c r="AY264" s="95" t="s">
        <v>56</v>
      </c>
      <c r="AZ264" s="96" t="s">
        <v>56</v>
      </c>
      <c r="BA264" s="96"/>
      <c r="BB264" s="96" t="s">
        <v>56</v>
      </c>
      <c r="BC264" s="96"/>
      <c r="BD264" s="97">
        <v>83.66</v>
      </c>
      <c r="BE264" s="142" t="str">
        <f t="shared" si="80"/>
        <v/>
      </c>
      <c r="BF264" s="98">
        <v>0</v>
      </c>
      <c r="BG264" s="98">
        <v>0</v>
      </c>
      <c r="BH264" s="98">
        <v>0</v>
      </c>
      <c r="BI264" s="98"/>
      <c r="BJ264" s="98"/>
      <c r="BK264" s="98"/>
      <c r="BL264" s="97"/>
    </row>
    <row r="265" spans="1:64" outlineLevel="5" x14ac:dyDescent="0.3">
      <c r="A265" s="152">
        <f t="shared" si="71"/>
        <v>8</v>
      </c>
      <c r="B265" s="153">
        <f t="shared" si="70"/>
        <v>44051</v>
      </c>
      <c r="C265" s="138">
        <f>IFERROR(ROUND(AVERAGE(D265:K265),1),"")</f>
        <v>38</v>
      </c>
      <c r="D265" s="84">
        <v>38</v>
      </c>
      <c r="E265" s="84">
        <v>38</v>
      </c>
      <c r="F265" s="84"/>
      <c r="G265" s="84"/>
      <c r="H265" s="84"/>
      <c r="I265" s="84"/>
      <c r="J265" s="84"/>
      <c r="K265" s="84"/>
      <c r="L265" s="140" t="str">
        <f>IFERROR(ROUND(AVERAGE(M265:T265),1),"")</f>
        <v/>
      </c>
      <c r="M265" s="86"/>
      <c r="N265" s="86"/>
      <c r="O265" s="86"/>
      <c r="P265" s="86"/>
      <c r="Q265" s="86"/>
      <c r="R265" s="86"/>
      <c r="S265" s="86"/>
      <c r="T265" s="86"/>
      <c r="U265" s="142" t="str">
        <f>IFERROR(ROUND(AVERAGE(V265:AC265),1),"")</f>
        <v/>
      </c>
      <c r="V265" s="88"/>
      <c r="W265" s="88"/>
      <c r="X265" s="88"/>
      <c r="Y265" s="88"/>
      <c r="Z265" s="88"/>
      <c r="AA265" s="88"/>
      <c r="AB265" s="88"/>
      <c r="AC265" s="88"/>
      <c r="AD265" s="142" t="str">
        <f>IFERROR(ROUND(AVERAGE(AE265:AL265),1),"")</f>
        <v/>
      </c>
      <c r="AE265" s="88"/>
      <c r="AF265" s="88"/>
      <c r="AG265" s="88"/>
      <c r="AH265" s="88"/>
      <c r="AI265" s="88"/>
      <c r="AJ265" s="88"/>
      <c r="AK265" s="88"/>
      <c r="AL265" s="88"/>
      <c r="AM265" s="88">
        <v>45.520300896904232</v>
      </c>
      <c r="AN265" s="88">
        <v>103.69</v>
      </c>
      <c r="AO265" s="89" t="s">
        <v>56</v>
      </c>
      <c r="AP265" s="90" t="s">
        <v>56</v>
      </c>
      <c r="AQ265" s="146" t="str">
        <f t="shared" si="76"/>
        <v/>
      </c>
      <c r="AR265" s="146" t="str">
        <f t="shared" si="77"/>
        <v/>
      </c>
      <c r="AS265" s="147">
        <v>0</v>
      </c>
      <c r="AT265" s="148" t="s">
        <v>56</v>
      </c>
      <c r="AU265" s="149" t="s">
        <v>56</v>
      </c>
      <c r="AV265" s="146" t="str">
        <f t="shared" si="78"/>
        <v/>
      </c>
      <c r="AW265" s="146" t="str">
        <f t="shared" si="79"/>
        <v/>
      </c>
      <c r="AX265" s="138" t="str">
        <f>IFERROR((1-((AV265*AR265)/(AW265*AQ265)))*100,"")</f>
        <v/>
      </c>
      <c r="AY265" s="95" t="s">
        <v>56</v>
      </c>
      <c r="AZ265" s="96" t="s">
        <v>56</v>
      </c>
      <c r="BA265" s="96"/>
      <c r="BB265" s="96" t="s">
        <v>56</v>
      </c>
      <c r="BC265" s="96"/>
      <c r="BD265" s="97">
        <v>103.69</v>
      </c>
      <c r="BE265" s="142" t="str">
        <f t="shared" si="80"/>
        <v/>
      </c>
      <c r="BF265" s="98">
        <v>0</v>
      </c>
      <c r="BG265" s="98">
        <v>0</v>
      </c>
      <c r="BH265" s="98">
        <v>0</v>
      </c>
      <c r="BI265" s="98"/>
      <c r="BJ265" s="98"/>
      <c r="BK265" s="98"/>
      <c r="BL265" s="97"/>
    </row>
    <row r="266" spans="1:64" outlineLevel="5" x14ac:dyDescent="0.3">
      <c r="A266" s="152">
        <f t="shared" si="71"/>
        <v>8</v>
      </c>
      <c r="B266" s="153">
        <f t="shared" si="70"/>
        <v>44052</v>
      </c>
      <c r="C266" s="138">
        <f>IFERROR(ROUND(AVERAGE(D266:K266),1),"")</f>
        <v>38</v>
      </c>
      <c r="D266" s="84">
        <v>38</v>
      </c>
      <c r="E266" s="84">
        <v>38</v>
      </c>
      <c r="F266" s="84"/>
      <c r="G266" s="84"/>
      <c r="H266" s="84"/>
      <c r="I266" s="84"/>
      <c r="J266" s="84"/>
      <c r="K266" s="84"/>
      <c r="L266" s="140" t="str">
        <f>IFERROR(ROUND(AVERAGE(M266:T266),1),"")</f>
        <v/>
      </c>
      <c r="M266" s="86"/>
      <c r="N266" s="86"/>
      <c r="O266" s="86"/>
      <c r="P266" s="86"/>
      <c r="Q266" s="86"/>
      <c r="R266" s="86"/>
      <c r="S266" s="86"/>
      <c r="T266" s="86"/>
      <c r="U266" s="142" t="str">
        <f>IFERROR(ROUND(AVERAGE(V266:AC266),1),"")</f>
        <v/>
      </c>
      <c r="V266" s="88"/>
      <c r="W266" s="88"/>
      <c r="X266" s="88"/>
      <c r="Y266" s="88"/>
      <c r="Z266" s="88"/>
      <c r="AA266" s="88"/>
      <c r="AB266" s="88"/>
      <c r="AC266" s="88"/>
      <c r="AD266" s="142" t="str">
        <f>IFERROR(ROUND(AVERAGE(AE266:AL266),1),"")</f>
        <v/>
      </c>
      <c r="AE266" s="88"/>
      <c r="AF266" s="88"/>
      <c r="AG266" s="88"/>
      <c r="AH266" s="88"/>
      <c r="AI266" s="88"/>
      <c r="AJ266" s="88"/>
      <c r="AK266" s="88"/>
      <c r="AL266" s="88"/>
      <c r="AM266" s="88">
        <v>59.746835443037973</v>
      </c>
      <c r="AN266" s="88">
        <v>79</v>
      </c>
      <c r="AO266" s="89" t="s">
        <v>56</v>
      </c>
      <c r="AP266" s="90" t="s">
        <v>56</v>
      </c>
      <c r="AQ266" s="146" t="str">
        <f t="shared" si="76"/>
        <v/>
      </c>
      <c r="AR266" s="146" t="str">
        <f t="shared" si="77"/>
        <v/>
      </c>
      <c r="AS266" s="147">
        <v>0</v>
      </c>
      <c r="AT266" s="148">
        <v>13.8</v>
      </c>
      <c r="AU266" s="149">
        <v>8.35</v>
      </c>
      <c r="AV266" s="146">
        <f t="shared" si="78"/>
        <v>60.507246376811587</v>
      </c>
      <c r="AW266" s="146">
        <f t="shared" si="79"/>
        <v>39.492753623188413</v>
      </c>
      <c r="AX266" s="138" t="str">
        <f>IFERROR((1-((AV266*AR266)/(AW266*AQ266)))*100,"")</f>
        <v/>
      </c>
      <c r="AY266" s="95" t="s">
        <v>56</v>
      </c>
      <c r="AZ266" s="96" t="s">
        <v>56</v>
      </c>
      <c r="BA266" s="96"/>
      <c r="BB266" s="96" t="s">
        <v>56</v>
      </c>
      <c r="BC266" s="96"/>
      <c r="BD266" s="97">
        <v>79</v>
      </c>
      <c r="BE266" s="142" t="str">
        <f t="shared" si="80"/>
        <v/>
      </c>
      <c r="BF266" s="98">
        <v>0</v>
      </c>
      <c r="BG266" s="98">
        <v>0</v>
      </c>
      <c r="BH266" s="98">
        <v>0</v>
      </c>
      <c r="BI266" s="98"/>
      <c r="BJ266" s="98"/>
      <c r="BK266" s="98"/>
      <c r="BL266" s="97"/>
    </row>
    <row r="267" spans="1:64" outlineLevel="5" x14ac:dyDescent="0.3">
      <c r="A267" s="152">
        <f t="shared" si="71"/>
        <v>8</v>
      </c>
      <c r="B267" s="153">
        <f t="shared" si="70"/>
        <v>44053</v>
      </c>
      <c r="C267" s="138">
        <f>IFERROR(ROUND(AVERAGE(D267:K267),1),"")</f>
        <v>38.5</v>
      </c>
      <c r="D267" s="84">
        <v>38</v>
      </c>
      <c r="E267" s="84">
        <v>39</v>
      </c>
      <c r="F267" s="84"/>
      <c r="G267" s="84"/>
      <c r="H267" s="84"/>
      <c r="I267" s="84"/>
      <c r="J267" s="84"/>
      <c r="K267" s="84"/>
      <c r="L267" s="140">
        <f>IFERROR(ROUND(AVERAGE(M267:T267),1),"")</f>
        <v>7.9</v>
      </c>
      <c r="M267" s="86">
        <v>7.9</v>
      </c>
      <c r="N267" s="86">
        <v>7.85</v>
      </c>
      <c r="O267" s="86"/>
      <c r="P267" s="86"/>
      <c r="Q267" s="86"/>
      <c r="R267" s="86"/>
      <c r="S267" s="86"/>
      <c r="T267" s="86"/>
      <c r="U267" s="142">
        <f>IFERROR(ROUND(AVERAGE(V267:AC267),1),"")</f>
        <v>1589.5</v>
      </c>
      <c r="V267" s="88">
        <v>1751.6</v>
      </c>
      <c r="W267" s="88">
        <v>1427.3</v>
      </c>
      <c r="X267" s="88"/>
      <c r="Y267" s="88"/>
      <c r="Z267" s="88"/>
      <c r="AA267" s="88"/>
      <c r="AB267" s="88"/>
      <c r="AC267" s="88"/>
      <c r="AD267" s="142" t="str">
        <f>IFERROR(ROUND(AVERAGE(AE267:AL267),1),"")</f>
        <v/>
      </c>
      <c r="AE267" s="88"/>
      <c r="AF267" s="88"/>
      <c r="AG267" s="88"/>
      <c r="AH267" s="88"/>
      <c r="AI267" s="88"/>
      <c r="AJ267" s="88"/>
      <c r="AK267" s="88"/>
      <c r="AL267" s="88"/>
      <c r="AM267" s="88">
        <v>43.065693430656935</v>
      </c>
      <c r="AN267" s="88">
        <v>109.6</v>
      </c>
      <c r="AO267" s="89" t="s">
        <v>56</v>
      </c>
      <c r="AP267" s="90" t="s">
        <v>56</v>
      </c>
      <c r="AQ267" s="146" t="str">
        <f t="shared" si="76"/>
        <v/>
      </c>
      <c r="AR267" s="146" t="str">
        <f t="shared" si="77"/>
        <v/>
      </c>
      <c r="AS267" s="147">
        <v>0</v>
      </c>
      <c r="AT267" s="148">
        <v>13.8</v>
      </c>
      <c r="AU267" s="149">
        <v>8.35</v>
      </c>
      <c r="AV267" s="146">
        <f t="shared" si="78"/>
        <v>60.507246376811587</v>
      </c>
      <c r="AW267" s="146">
        <f t="shared" si="79"/>
        <v>39.492753623188413</v>
      </c>
      <c r="AX267" s="138" t="str">
        <f>IFERROR((1-((AV267*AR267)/(AW267*AQ267)))*100,"")</f>
        <v/>
      </c>
      <c r="AY267" s="95">
        <v>74.900000000000006</v>
      </c>
      <c r="AZ267" s="96" t="s">
        <v>56</v>
      </c>
      <c r="BA267" s="96"/>
      <c r="BB267" s="96" t="s">
        <v>56</v>
      </c>
      <c r="BC267" s="96"/>
      <c r="BD267" s="97">
        <v>109.6</v>
      </c>
      <c r="BE267" s="142" t="str">
        <f t="shared" si="80"/>
        <v/>
      </c>
      <c r="BF267" s="98">
        <v>0</v>
      </c>
      <c r="BG267" s="98">
        <v>0</v>
      </c>
      <c r="BH267" s="98">
        <v>0</v>
      </c>
      <c r="BI267" s="98"/>
      <c r="BJ267" s="98"/>
      <c r="BK267" s="98"/>
      <c r="BL267" s="97"/>
    </row>
    <row r="268" spans="1:64" outlineLevel="5" x14ac:dyDescent="0.3">
      <c r="A268" s="152">
        <f t="shared" si="71"/>
        <v>8</v>
      </c>
      <c r="B268" s="153">
        <f t="shared" si="70"/>
        <v>44054</v>
      </c>
      <c r="C268" s="138">
        <f>IFERROR(ROUND(AVERAGE(D268:K268),1),"")</f>
        <v>38.5</v>
      </c>
      <c r="D268" s="84">
        <v>38</v>
      </c>
      <c r="E268" s="84">
        <v>39</v>
      </c>
      <c r="F268" s="84"/>
      <c r="G268" s="84"/>
      <c r="H268" s="84"/>
      <c r="I268" s="84"/>
      <c r="J268" s="84"/>
      <c r="K268" s="84"/>
      <c r="L268" s="140" t="str">
        <f>IFERROR(ROUND(AVERAGE(M268:T268),1),"")</f>
        <v/>
      </c>
      <c r="M268" s="86"/>
      <c r="N268" s="86"/>
      <c r="O268" s="86"/>
      <c r="P268" s="86"/>
      <c r="Q268" s="86"/>
      <c r="R268" s="86"/>
      <c r="S268" s="86"/>
      <c r="T268" s="86"/>
      <c r="U268" s="142" t="str">
        <f>IFERROR(ROUND(AVERAGE(V268:AC268),1),"")</f>
        <v/>
      </c>
      <c r="V268" s="88"/>
      <c r="W268" s="88"/>
      <c r="X268" s="88"/>
      <c r="Y268" s="88"/>
      <c r="Z268" s="88"/>
      <c r="AA268" s="88"/>
      <c r="AB268" s="88"/>
      <c r="AC268" s="88"/>
      <c r="AD268" s="142" t="str">
        <f>IFERROR(ROUND(AVERAGE(AE268:AL268),1),"")</f>
        <v/>
      </c>
      <c r="AE268" s="88"/>
      <c r="AF268" s="88"/>
      <c r="AG268" s="88"/>
      <c r="AH268" s="88"/>
      <c r="AI268" s="88"/>
      <c r="AJ268" s="88"/>
      <c r="AK268" s="88"/>
      <c r="AL268" s="88"/>
      <c r="AM268" s="88">
        <v>40.570740931751764</v>
      </c>
      <c r="AN268" s="88">
        <v>116.34</v>
      </c>
      <c r="AO268" s="89" t="s">
        <v>56</v>
      </c>
      <c r="AP268" s="90"/>
      <c r="AQ268" s="146" t="str">
        <f t="shared" si="76"/>
        <v/>
      </c>
      <c r="AR268" s="146" t="str">
        <f t="shared" si="77"/>
        <v/>
      </c>
      <c r="AS268" s="147">
        <v>0</v>
      </c>
      <c r="AT268" s="148" t="s">
        <v>56</v>
      </c>
      <c r="AU268" s="149" t="s">
        <v>56</v>
      </c>
      <c r="AV268" s="146" t="str">
        <f t="shared" si="78"/>
        <v/>
      </c>
      <c r="AW268" s="146" t="str">
        <f t="shared" si="79"/>
        <v/>
      </c>
      <c r="AX268" s="138" t="str">
        <f>IFERROR((1-((AV268*AR268)/(AW268*AQ268)))*100,"")</f>
        <v/>
      </c>
      <c r="AY268" s="95" t="s">
        <v>56</v>
      </c>
      <c r="AZ268" s="96" t="s">
        <v>56</v>
      </c>
      <c r="BA268" s="96"/>
      <c r="BB268" s="96" t="s">
        <v>56</v>
      </c>
      <c r="BC268" s="96"/>
      <c r="BD268" s="97">
        <v>116.34</v>
      </c>
      <c r="BE268" s="142" t="str">
        <f t="shared" si="80"/>
        <v/>
      </c>
      <c r="BF268" s="98">
        <v>0</v>
      </c>
      <c r="BG268" s="98">
        <v>0</v>
      </c>
      <c r="BH268" s="98">
        <v>0</v>
      </c>
      <c r="BI268" s="98"/>
      <c r="BJ268" s="98"/>
      <c r="BK268" s="98"/>
      <c r="BL268" s="97"/>
    </row>
    <row r="269" spans="1:64" outlineLevel="5" x14ac:dyDescent="0.3">
      <c r="A269" s="152">
        <f t="shared" si="71"/>
        <v>8</v>
      </c>
      <c r="B269" s="153">
        <f t="shared" si="70"/>
        <v>44055</v>
      </c>
      <c r="C269" s="138">
        <f>IFERROR(ROUND(AVERAGE(D269:K269),1),"")</f>
        <v>38.5</v>
      </c>
      <c r="D269" s="84">
        <v>38</v>
      </c>
      <c r="E269" s="84">
        <v>39</v>
      </c>
      <c r="F269" s="84"/>
      <c r="G269" s="84"/>
      <c r="H269" s="84"/>
      <c r="I269" s="84"/>
      <c r="J269" s="84"/>
      <c r="K269" s="84"/>
      <c r="L269" s="140">
        <f>IFERROR(ROUND(AVERAGE(M269:T269),1),"")</f>
        <v>7.8</v>
      </c>
      <c r="M269" s="86">
        <v>7.8</v>
      </c>
      <c r="N269" s="86">
        <v>7.72</v>
      </c>
      <c r="O269" s="86"/>
      <c r="P269" s="86"/>
      <c r="Q269" s="86"/>
      <c r="R269" s="86"/>
      <c r="S269" s="86"/>
      <c r="T269" s="86"/>
      <c r="U269" s="142">
        <f>IFERROR(ROUND(AVERAGE(V269:AC269),1),"")</f>
        <v>1319.2</v>
      </c>
      <c r="V269" s="88">
        <v>1470.5</v>
      </c>
      <c r="W269" s="88">
        <v>1167.8</v>
      </c>
      <c r="X269" s="88"/>
      <c r="Y269" s="88"/>
      <c r="Z269" s="88"/>
      <c r="AA269" s="88"/>
      <c r="AB269" s="88"/>
      <c r="AC269" s="88"/>
      <c r="AD269" s="142" t="str">
        <f>IFERROR(ROUND(AVERAGE(AE269:AL269),1),"")</f>
        <v/>
      </c>
      <c r="AE269" s="88"/>
      <c r="AF269" s="88"/>
      <c r="AG269" s="88"/>
      <c r="AH269" s="88"/>
      <c r="AI269" s="88"/>
      <c r="AJ269" s="88"/>
      <c r="AK269" s="88"/>
      <c r="AL269" s="88"/>
      <c r="AM269" s="88">
        <v>35.901726629649353</v>
      </c>
      <c r="AN269" s="88">
        <v>131.47</v>
      </c>
      <c r="AO269" s="89"/>
      <c r="AP269" s="90"/>
      <c r="AQ269" s="146" t="str">
        <f t="shared" si="76"/>
        <v/>
      </c>
      <c r="AR269" s="146" t="str">
        <f t="shared" si="77"/>
        <v/>
      </c>
      <c r="AS269" s="147">
        <v>0</v>
      </c>
      <c r="AT269" s="148">
        <v>13.7</v>
      </c>
      <c r="AU269" s="149">
        <v>8.1</v>
      </c>
      <c r="AV269" s="146">
        <f t="shared" si="78"/>
        <v>59.12408759124088</v>
      </c>
      <c r="AW269" s="146">
        <f t="shared" si="79"/>
        <v>40.87591240875912</v>
      </c>
      <c r="AX269" s="138" t="str">
        <f>IFERROR((1-((AV269*AR269)/(AW269*AQ269)))*100,"")</f>
        <v/>
      </c>
      <c r="AY269" s="95">
        <v>74.099999999999994</v>
      </c>
      <c r="AZ269" s="96" t="s">
        <v>56</v>
      </c>
      <c r="BA269" s="96"/>
      <c r="BB269" s="96" t="s">
        <v>56</v>
      </c>
      <c r="BC269" s="96"/>
      <c r="BD269" s="97">
        <v>131.47</v>
      </c>
      <c r="BE269" s="142" t="str">
        <f t="shared" si="80"/>
        <v/>
      </c>
      <c r="BF269" s="98">
        <v>0</v>
      </c>
      <c r="BG269" s="98">
        <v>0</v>
      </c>
      <c r="BH269" s="98">
        <v>0</v>
      </c>
      <c r="BI269" s="98"/>
      <c r="BJ269" s="98"/>
      <c r="BK269" s="98"/>
      <c r="BL269" s="97"/>
    </row>
    <row r="270" spans="1:64" outlineLevel="5" x14ac:dyDescent="0.3">
      <c r="A270" s="152">
        <f t="shared" si="71"/>
        <v>8</v>
      </c>
      <c r="B270" s="153">
        <f t="shared" si="70"/>
        <v>44056</v>
      </c>
      <c r="C270" s="138">
        <f>IFERROR(ROUND(AVERAGE(D270:K270),1),"")</f>
        <v>38.5</v>
      </c>
      <c r="D270" s="84">
        <v>38</v>
      </c>
      <c r="E270" s="84">
        <v>39</v>
      </c>
      <c r="F270" s="84"/>
      <c r="G270" s="84"/>
      <c r="H270" s="84"/>
      <c r="I270" s="84"/>
      <c r="J270" s="84"/>
      <c r="K270" s="84"/>
      <c r="L270" s="140">
        <f>IFERROR(ROUND(AVERAGE(M270:T270),1),"")</f>
        <v>7.8</v>
      </c>
      <c r="M270" s="86">
        <v>7.85</v>
      </c>
      <c r="N270" s="86">
        <v>7.74</v>
      </c>
      <c r="O270" s="86"/>
      <c r="P270" s="86"/>
      <c r="Q270" s="86"/>
      <c r="R270" s="86"/>
      <c r="S270" s="86"/>
      <c r="T270" s="86"/>
      <c r="U270" s="142">
        <f>IFERROR(ROUND(AVERAGE(V270:AC270),1),"")</f>
        <v>1427.3</v>
      </c>
      <c r="V270" s="88">
        <v>1557</v>
      </c>
      <c r="W270" s="88">
        <v>1297.5</v>
      </c>
      <c r="X270" s="88"/>
      <c r="Y270" s="88"/>
      <c r="Z270" s="88"/>
      <c r="AA270" s="88"/>
      <c r="AB270" s="88"/>
      <c r="AC270" s="88"/>
      <c r="AD270" s="142" t="str">
        <f>IFERROR(ROUND(AVERAGE(AE270:AL270),1),"")</f>
        <v/>
      </c>
      <c r="AE270" s="88"/>
      <c r="AF270" s="88"/>
      <c r="AG270" s="88"/>
      <c r="AH270" s="88"/>
      <c r="AI270" s="88"/>
      <c r="AJ270" s="88"/>
      <c r="AK270" s="88"/>
      <c r="AL270" s="88"/>
      <c r="AM270" s="88">
        <v>36.72865924830753</v>
      </c>
      <c r="AN270" s="88">
        <v>128.51</v>
      </c>
      <c r="AO270" s="89"/>
      <c r="AP270" s="90"/>
      <c r="AQ270" s="146" t="str">
        <f t="shared" si="76"/>
        <v/>
      </c>
      <c r="AR270" s="146" t="str">
        <f t="shared" si="77"/>
        <v/>
      </c>
      <c r="AS270" s="147">
        <v>0</v>
      </c>
      <c r="AT270" s="148">
        <v>14.45</v>
      </c>
      <c r="AU270" s="149">
        <v>8.25</v>
      </c>
      <c r="AV270" s="146">
        <f t="shared" si="78"/>
        <v>57.093425605536332</v>
      </c>
      <c r="AW270" s="146">
        <f t="shared" si="79"/>
        <v>42.906574394463668</v>
      </c>
      <c r="AX270" s="138" t="str">
        <f>IFERROR((1-((AV270*AR270)/(AW270*AQ270)))*100,"")</f>
        <v/>
      </c>
      <c r="AY270" s="95">
        <v>72.5</v>
      </c>
      <c r="AZ270" s="96">
        <v>61.24</v>
      </c>
      <c r="BA270" s="96"/>
      <c r="BB270" s="96">
        <v>18.5</v>
      </c>
      <c r="BC270" s="96"/>
      <c r="BD270" s="97">
        <v>128.51</v>
      </c>
      <c r="BE270" s="142" t="str">
        <f t="shared" si="80"/>
        <v/>
      </c>
      <c r="BF270" s="98">
        <v>0</v>
      </c>
      <c r="BG270" s="98">
        <v>0</v>
      </c>
      <c r="BH270" s="98">
        <v>0</v>
      </c>
      <c r="BI270" s="98"/>
      <c r="BJ270" s="98"/>
      <c r="BK270" s="98"/>
      <c r="BL270" s="97"/>
    </row>
    <row r="271" spans="1:64" outlineLevel="5" x14ac:dyDescent="0.3">
      <c r="A271" s="152">
        <f t="shared" si="71"/>
        <v>8</v>
      </c>
      <c r="B271" s="153">
        <f t="shared" si="70"/>
        <v>44057</v>
      </c>
      <c r="C271" s="138">
        <f>IFERROR(ROUND(AVERAGE(D271:K271),1),"")</f>
        <v>38.5</v>
      </c>
      <c r="D271" s="84">
        <v>38</v>
      </c>
      <c r="E271" s="84">
        <v>39</v>
      </c>
      <c r="F271" s="84"/>
      <c r="G271" s="84"/>
      <c r="H271" s="84"/>
      <c r="I271" s="84"/>
      <c r="J271" s="84"/>
      <c r="K271" s="84"/>
      <c r="L271" s="140" t="str">
        <f>IFERROR(ROUND(AVERAGE(M271:T271),1),"")</f>
        <v/>
      </c>
      <c r="M271" s="86"/>
      <c r="N271" s="86"/>
      <c r="O271" s="86"/>
      <c r="P271" s="86"/>
      <c r="Q271" s="86"/>
      <c r="R271" s="86"/>
      <c r="S271" s="86"/>
      <c r="T271" s="86"/>
      <c r="U271" s="142" t="str">
        <f>IFERROR(ROUND(AVERAGE(V271:AC271),1),"")</f>
        <v/>
      </c>
      <c r="V271" s="88"/>
      <c r="W271" s="88"/>
      <c r="X271" s="88"/>
      <c r="Y271" s="88"/>
      <c r="Z271" s="88"/>
      <c r="AA271" s="88"/>
      <c r="AB271" s="88"/>
      <c r="AC271" s="88"/>
      <c r="AD271" s="142" t="str">
        <f>IFERROR(ROUND(AVERAGE(AE271:AL271),1),"")</f>
        <v/>
      </c>
      <c r="AE271" s="88"/>
      <c r="AF271" s="88"/>
      <c r="AG271" s="88"/>
      <c r="AH271" s="88"/>
      <c r="AI271" s="88"/>
      <c r="AJ271" s="88"/>
      <c r="AK271" s="88"/>
      <c r="AL271" s="88"/>
      <c r="AM271" s="88">
        <v>64.410480349344979</v>
      </c>
      <c r="AN271" s="88">
        <v>73.28</v>
      </c>
      <c r="AO271" s="89"/>
      <c r="AP271" s="90"/>
      <c r="AQ271" s="146" t="str">
        <f t="shared" si="76"/>
        <v/>
      </c>
      <c r="AR271" s="146" t="str">
        <f t="shared" si="77"/>
        <v/>
      </c>
      <c r="AS271" s="147">
        <v>20</v>
      </c>
      <c r="AT271" s="148" t="s">
        <v>56</v>
      </c>
      <c r="AU271" s="149" t="s">
        <v>56</v>
      </c>
      <c r="AV271" s="146" t="str">
        <f t="shared" si="78"/>
        <v/>
      </c>
      <c r="AW271" s="146" t="str">
        <f t="shared" si="79"/>
        <v/>
      </c>
      <c r="AX271" s="138" t="str">
        <f>IFERROR((1-((AV271*AR271)/(AW271*AQ271)))*100,"")</f>
        <v/>
      </c>
      <c r="AY271" s="95" t="s">
        <v>56</v>
      </c>
      <c r="AZ271" s="96">
        <v>62.015000000000001</v>
      </c>
      <c r="BA271" s="96"/>
      <c r="BB271" s="96">
        <v>60.5</v>
      </c>
      <c r="BC271" s="96"/>
      <c r="BD271" s="97">
        <v>73.28</v>
      </c>
      <c r="BE271" s="142" t="str">
        <f t="shared" si="80"/>
        <v/>
      </c>
      <c r="BF271" s="98">
        <v>0</v>
      </c>
      <c r="BG271" s="98">
        <v>0</v>
      </c>
      <c r="BH271" s="98">
        <v>0</v>
      </c>
      <c r="BI271" s="98"/>
      <c r="BJ271" s="98"/>
      <c r="BK271" s="98"/>
      <c r="BL271" s="97"/>
    </row>
    <row r="272" spans="1:64" outlineLevel="5" x14ac:dyDescent="0.3">
      <c r="A272" s="152">
        <f t="shared" si="71"/>
        <v>8</v>
      </c>
      <c r="B272" s="153">
        <f t="shared" si="70"/>
        <v>44058</v>
      </c>
      <c r="C272" s="138">
        <f>IFERROR(ROUND(AVERAGE(D272:K272),1),"")</f>
        <v>38</v>
      </c>
      <c r="D272" s="84">
        <v>38</v>
      </c>
      <c r="E272" s="84">
        <v>38</v>
      </c>
      <c r="F272" s="84"/>
      <c r="G272" s="84"/>
      <c r="H272" s="84"/>
      <c r="I272" s="84"/>
      <c r="J272" s="84"/>
      <c r="K272" s="84"/>
      <c r="L272" s="140" t="str">
        <f>IFERROR(ROUND(AVERAGE(M272:T272),1),"")</f>
        <v/>
      </c>
      <c r="M272" s="86"/>
      <c r="N272" s="86"/>
      <c r="O272" s="86"/>
      <c r="P272" s="86"/>
      <c r="Q272" s="86"/>
      <c r="R272" s="86"/>
      <c r="S272" s="86"/>
      <c r="T272" s="86"/>
      <c r="U272" s="142" t="str">
        <f>IFERROR(ROUND(AVERAGE(V272:AC272),1),"")</f>
        <v/>
      </c>
      <c r="V272" s="88"/>
      <c r="W272" s="88"/>
      <c r="X272" s="88"/>
      <c r="Y272" s="88"/>
      <c r="Z272" s="88"/>
      <c r="AA272" s="88"/>
      <c r="AB272" s="88"/>
      <c r="AC272" s="88"/>
      <c r="AD272" s="142" t="str">
        <f>IFERROR(ROUND(AVERAGE(AE272:AL272),1),"")</f>
        <v/>
      </c>
      <c r="AE272" s="88"/>
      <c r="AF272" s="88"/>
      <c r="AG272" s="88"/>
      <c r="AH272" s="88"/>
      <c r="AI272" s="88"/>
      <c r="AJ272" s="88"/>
      <c r="AK272" s="88"/>
      <c r="AL272" s="88"/>
      <c r="AM272" s="88">
        <v>49.564212958101436</v>
      </c>
      <c r="AN272" s="88">
        <v>95.23</v>
      </c>
      <c r="AO272" s="89" t="s">
        <v>56</v>
      </c>
      <c r="AP272" s="90"/>
      <c r="AQ272" s="146" t="str">
        <f t="shared" si="76"/>
        <v/>
      </c>
      <c r="AR272" s="146" t="str">
        <f t="shared" si="77"/>
        <v/>
      </c>
      <c r="AS272" s="147">
        <v>10</v>
      </c>
      <c r="AT272" s="148" t="s">
        <v>56</v>
      </c>
      <c r="AU272" s="149" t="s">
        <v>56</v>
      </c>
      <c r="AV272" s="146" t="str">
        <f t="shared" si="78"/>
        <v/>
      </c>
      <c r="AW272" s="146" t="str">
        <f t="shared" si="79"/>
        <v/>
      </c>
      <c r="AX272" s="138" t="str">
        <f>IFERROR((1-((AV272*AR272)/(AW272*AQ272)))*100,"")</f>
        <v/>
      </c>
      <c r="AY272" s="95" t="s">
        <v>56</v>
      </c>
      <c r="AZ272" s="96">
        <v>61.769999999999996</v>
      </c>
      <c r="BA272" s="96"/>
      <c r="BB272" s="96">
        <v>59</v>
      </c>
      <c r="BC272" s="96"/>
      <c r="BD272" s="97">
        <v>95.23</v>
      </c>
      <c r="BE272" s="142" t="str">
        <f t="shared" si="80"/>
        <v/>
      </c>
      <c r="BF272" s="98">
        <v>0</v>
      </c>
      <c r="BG272" s="98">
        <v>0</v>
      </c>
      <c r="BH272" s="98">
        <v>0</v>
      </c>
      <c r="BI272" s="98"/>
      <c r="BJ272" s="98"/>
      <c r="BK272" s="98"/>
      <c r="BL272" s="97"/>
    </row>
    <row r="273" spans="1:64" outlineLevel="5" x14ac:dyDescent="0.3">
      <c r="A273" s="152">
        <f t="shared" si="71"/>
        <v>8</v>
      </c>
      <c r="B273" s="153">
        <f t="shared" si="70"/>
        <v>44059</v>
      </c>
      <c r="C273" s="138">
        <f>IFERROR(ROUND(AVERAGE(D273:K273),1),"")</f>
        <v>38</v>
      </c>
      <c r="D273" s="84">
        <v>38</v>
      </c>
      <c r="E273" s="84">
        <v>38</v>
      </c>
      <c r="F273" s="84"/>
      <c r="G273" s="84"/>
      <c r="H273" s="84"/>
      <c r="I273" s="84"/>
      <c r="J273" s="84"/>
      <c r="K273" s="84"/>
      <c r="L273" s="140" t="str">
        <f>IFERROR(ROUND(AVERAGE(M273:T273),1),"")</f>
        <v/>
      </c>
      <c r="M273" s="86"/>
      <c r="N273" s="86"/>
      <c r="O273" s="86"/>
      <c r="P273" s="86"/>
      <c r="Q273" s="86"/>
      <c r="R273" s="86"/>
      <c r="S273" s="86"/>
      <c r="T273" s="86"/>
      <c r="U273" s="142" t="str">
        <f>IFERROR(ROUND(AVERAGE(V273:AC273),1),"")</f>
        <v/>
      </c>
      <c r="V273" s="88"/>
      <c r="W273" s="88"/>
      <c r="X273" s="88"/>
      <c r="Y273" s="88"/>
      <c r="Z273" s="88"/>
      <c r="AA273" s="88"/>
      <c r="AB273" s="88"/>
      <c r="AC273" s="88"/>
      <c r="AD273" s="142" t="str">
        <f>IFERROR(ROUND(AVERAGE(AE273:AL273),1),"")</f>
        <v/>
      </c>
      <c r="AE273" s="88"/>
      <c r="AF273" s="88"/>
      <c r="AG273" s="88"/>
      <c r="AH273" s="88"/>
      <c r="AI273" s="88"/>
      <c r="AJ273" s="88"/>
      <c r="AK273" s="88"/>
      <c r="AL273" s="88"/>
      <c r="AM273" s="88">
        <v>51.868131868131869</v>
      </c>
      <c r="AN273" s="88">
        <v>91</v>
      </c>
      <c r="AO273" s="89" t="s">
        <v>56</v>
      </c>
      <c r="AP273" s="90"/>
      <c r="AQ273" s="146" t="str">
        <f t="shared" si="76"/>
        <v/>
      </c>
      <c r="AR273" s="146" t="str">
        <f t="shared" si="77"/>
        <v/>
      </c>
      <c r="AS273" s="147">
        <v>10</v>
      </c>
      <c r="AT273" s="148" t="s">
        <v>56</v>
      </c>
      <c r="AU273" s="149" t="s">
        <v>56</v>
      </c>
      <c r="AV273" s="146" t="str">
        <f t="shared" si="78"/>
        <v/>
      </c>
      <c r="AW273" s="146" t="str">
        <f t="shared" si="79"/>
        <v/>
      </c>
      <c r="AX273" s="138" t="str">
        <f>IFERROR((1-((AV273*AR273)/(AW273*AQ273)))*100,"")</f>
        <v/>
      </c>
      <c r="AY273" s="95" t="s">
        <v>56</v>
      </c>
      <c r="AZ273" s="96">
        <v>61.18</v>
      </c>
      <c r="BA273" s="96"/>
      <c r="BB273" s="96">
        <v>76</v>
      </c>
      <c r="BC273" s="96"/>
      <c r="BD273" s="97">
        <v>91</v>
      </c>
      <c r="BE273" s="142" t="str">
        <f t="shared" si="80"/>
        <v/>
      </c>
      <c r="BF273" s="98">
        <v>0</v>
      </c>
      <c r="BG273" s="98">
        <v>0</v>
      </c>
      <c r="BH273" s="98">
        <v>0</v>
      </c>
      <c r="BI273" s="98"/>
      <c r="BJ273" s="98"/>
      <c r="BK273" s="98"/>
      <c r="BL273" s="97"/>
    </row>
    <row r="274" spans="1:64" outlineLevel="5" x14ac:dyDescent="0.3">
      <c r="A274" s="152">
        <f t="shared" si="71"/>
        <v>8</v>
      </c>
      <c r="B274" s="153">
        <f t="shared" si="70"/>
        <v>44060</v>
      </c>
      <c r="C274" s="138">
        <f>IFERROR(ROUND(AVERAGE(D274:K274),1),"")</f>
        <v>38</v>
      </c>
      <c r="D274" s="84">
        <v>38</v>
      </c>
      <c r="E274" s="84">
        <v>38</v>
      </c>
      <c r="F274" s="84"/>
      <c r="G274" s="84"/>
      <c r="H274" s="84"/>
      <c r="I274" s="84"/>
      <c r="J274" s="84"/>
      <c r="K274" s="84"/>
      <c r="L274" s="140" t="str">
        <f>IFERROR(ROUND(AVERAGE(M274:T274),1),"")</f>
        <v/>
      </c>
      <c r="M274" s="86"/>
      <c r="N274" s="86"/>
      <c r="O274" s="86"/>
      <c r="P274" s="86"/>
      <c r="Q274" s="86"/>
      <c r="R274" s="86"/>
      <c r="S274" s="86"/>
      <c r="T274" s="86"/>
      <c r="U274" s="142" t="str">
        <f>IFERROR(ROUND(AVERAGE(V274:AC274),1),"")</f>
        <v/>
      </c>
      <c r="V274" s="88"/>
      <c r="W274" s="88"/>
      <c r="X274" s="88"/>
      <c r="Y274" s="88"/>
      <c r="Z274" s="88"/>
      <c r="AA274" s="88"/>
      <c r="AB274" s="88"/>
      <c r="AC274" s="88"/>
      <c r="AD274" s="142" t="str">
        <f>IFERROR(ROUND(AVERAGE(AE274:AL274),1),"")</f>
        <v/>
      </c>
      <c r="AE274" s="88"/>
      <c r="AF274" s="88"/>
      <c r="AG274" s="88"/>
      <c r="AH274" s="88"/>
      <c r="AI274" s="88"/>
      <c r="AJ274" s="88"/>
      <c r="AK274" s="88"/>
      <c r="AL274" s="88"/>
      <c r="AM274" s="88">
        <v>57.525898842169411</v>
      </c>
      <c r="AN274" s="88">
        <v>82.05</v>
      </c>
      <c r="AO274" s="89" t="s">
        <v>56</v>
      </c>
      <c r="AP274" s="90"/>
      <c r="AQ274" s="146" t="str">
        <f t="shared" si="76"/>
        <v/>
      </c>
      <c r="AR274" s="146" t="str">
        <f t="shared" si="77"/>
        <v/>
      </c>
      <c r="AS274" s="147">
        <v>0</v>
      </c>
      <c r="AT274" s="148" t="s">
        <v>56</v>
      </c>
      <c r="AU274" s="149" t="s">
        <v>56</v>
      </c>
      <c r="AV274" s="146" t="str">
        <f t="shared" si="78"/>
        <v/>
      </c>
      <c r="AW274" s="146" t="str">
        <f t="shared" si="79"/>
        <v/>
      </c>
      <c r="AX274" s="138" t="str">
        <f>IFERROR((1-((AV274*AR274)/(AW274*AQ274)))*100,"")</f>
        <v/>
      </c>
      <c r="AY274" s="95" t="s">
        <v>56</v>
      </c>
      <c r="AZ274" s="96">
        <v>60.954999999999998</v>
      </c>
      <c r="BA274" s="96"/>
      <c r="BB274" s="96">
        <v>82.5</v>
      </c>
      <c r="BC274" s="96"/>
      <c r="BD274" s="97">
        <v>82.05</v>
      </c>
      <c r="BE274" s="142" t="str">
        <f t="shared" si="80"/>
        <v/>
      </c>
      <c r="BF274" s="98">
        <v>0</v>
      </c>
      <c r="BG274" s="98">
        <v>0</v>
      </c>
      <c r="BH274" s="98">
        <v>0</v>
      </c>
      <c r="BI274" s="98"/>
      <c r="BJ274" s="98"/>
      <c r="BK274" s="98"/>
      <c r="BL274" s="97"/>
    </row>
    <row r="275" spans="1:64" outlineLevel="5" x14ac:dyDescent="0.3">
      <c r="A275" s="152">
        <f t="shared" si="71"/>
        <v>8</v>
      </c>
      <c r="B275" s="153">
        <f t="shared" si="70"/>
        <v>44061</v>
      </c>
      <c r="C275" s="138">
        <f>IFERROR(ROUND(AVERAGE(D275:K275),1),"")</f>
        <v>38</v>
      </c>
      <c r="D275" s="84">
        <v>38</v>
      </c>
      <c r="E275" s="84">
        <v>38</v>
      </c>
      <c r="F275" s="84"/>
      <c r="G275" s="84"/>
      <c r="H275" s="84"/>
      <c r="I275" s="84"/>
      <c r="J275" s="84"/>
      <c r="K275" s="84"/>
      <c r="L275" s="140" t="str">
        <f>IFERROR(ROUND(AVERAGE(M275:T275),1),"")</f>
        <v/>
      </c>
      <c r="M275" s="86"/>
      <c r="N275" s="86"/>
      <c r="O275" s="86"/>
      <c r="P275" s="86"/>
      <c r="Q275" s="86"/>
      <c r="R275" s="86"/>
      <c r="S275" s="86"/>
      <c r="T275" s="86"/>
      <c r="U275" s="142" t="str">
        <f>IFERROR(ROUND(AVERAGE(V275:AC275),1),"")</f>
        <v/>
      </c>
      <c r="V275" s="88"/>
      <c r="W275" s="88"/>
      <c r="X275" s="88"/>
      <c r="Y275" s="88"/>
      <c r="Z275" s="88"/>
      <c r="AA275" s="88"/>
      <c r="AB275" s="88"/>
      <c r="AC275" s="88"/>
      <c r="AD275" s="142" t="str">
        <f>IFERROR(ROUND(AVERAGE(AE275:AL275),1),"")</f>
        <v/>
      </c>
      <c r="AE275" s="88"/>
      <c r="AF275" s="88"/>
      <c r="AG275" s="88"/>
      <c r="AH275" s="88"/>
      <c r="AI275" s="88"/>
      <c r="AJ275" s="88"/>
      <c r="AK275" s="88"/>
      <c r="AL275" s="88"/>
      <c r="AM275" s="88">
        <v>38.998595389572834</v>
      </c>
      <c r="AN275" s="88">
        <v>121.03</v>
      </c>
      <c r="AO275" s="89" t="s">
        <v>56</v>
      </c>
      <c r="AP275" s="90"/>
      <c r="AQ275" s="146" t="str">
        <f t="shared" si="76"/>
        <v/>
      </c>
      <c r="AR275" s="146" t="str">
        <f t="shared" si="77"/>
        <v/>
      </c>
      <c r="AS275" s="147">
        <v>20</v>
      </c>
      <c r="AT275" s="148" t="s">
        <v>56</v>
      </c>
      <c r="AU275" s="149" t="s">
        <v>56</v>
      </c>
      <c r="AV275" s="146" t="str">
        <f t="shared" si="78"/>
        <v/>
      </c>
      <c r="AW275" s="146" t="str">
        <f t="shared" si="79"/>
        <v/>
      </c>
      <c r="AX275" s="138" t="str">
        <f>IFERROR((1-((AV275*AR275)/(AW275*AQ275)))*100,"")</f>
        <v/>
      </c>
      <c r="AY275" s="95" t="s">
        <v>56</v>
      </c>
      <c r="AZ275" s="96">
        <v>62.58</v>
      </c>
      <c r="BA275" s="96"/>
      <c r="BB275" s="96">
        <v>74.5</v>
      </c>
      <c r="BC275" s="96"/>
      <c r="BD275" s="97">
        <v>121.03</v>
      </c>
      <c r="BE275" s="142" t="str">
        <f t="shared" si="80"/>
        <v/>
      </c>
      <c r="BF275" s="98">
        <v>0</v>
      </c>
      <c r="BG275" s="98">
        <v>0</v>
      </c>
      <c r="BH275" s="98">
        <v>0</v>
      </c>
      <c r="BI275" s="98"/>
      <c r="BJ275" s="98"/>
      <c r="BK275" s="98"/>
      <c r="BL275" s="97"/>
    </row>
    <row r="276" spans="1:64" outlineLevel="5" x14ac:dyDescent="0.3">
      <c r="A276" s="152">
        <f t="shared" si="71"/>
        <v>8</v>
      </c>
      <c r="B276" s="153">
        <f t="shared" si="70"/>
        <v>44062</v>
      </c>
      <c r="C276" s="138">
        <f>IFERROR(ROUND(AVERAGE(D276:K276),1),"")</f>
        <v>38</v>
      </c>
      <c r="D276" s="84">
        <v>38</v>
      </c>
      <c r="E276" s="84">
        <v>38</v>
      </c>
      <c r="F276" s="84"/>
      <c r="G276" s="84"/>
      <c r="H276" s="84"/>
      <c r="I276" s="84"/>
      <c r="J276" s="84"/>
      <c r="K276" s="84"/>
      <c r="L276" s="140" t="str">
        <f>IFERROR(ROUND(AVERAGE(M276:T276),1),"")</f>
        <v/>
      </c>
      <c r="M276" s="86"/>
      <c r="N276" s="86"/>
      <c r="O276" s="86"/>
      <c r="P276" s="86"/>
      <c r="Q276" s="86"/>
      <c r="R276" s="86"/>
      <c r="S276" s="86"/>
      <c r="T276" s="86"/>
      <c r="U276" s="142" t="str">
        <f>IFERROR(ROUND(AVERAGE(V276:AC276),1),"")</f>
        <v/>
      </c>
      <c r="V276" s="88"/>
      <c r="W276" s="88"/>
      <c r="X276" s="88"/>
      <c r="Y276" s="88"/>
      <c r="Z276" s="88"/>
      <c r="AA276" s="88"/>
      <c r="AB276" s="88"/>
      <c r="AC276" s="88"/>
      <c r="AD276" s="142" t="str">
        <f>IFERROR(ROUND(AVERAGE(AE276:AL276),1),"")</f>
        <v/>
      </c>
      <c r="AE276" s="88"/>
      <c r="AF276" s="88"/>
      <c r="AG276" s="88"/>
      <c r="AH276" s="88"/>
      <c r="AI276" s="88"/>
      <c r="AJ276" s="88"/>
      <c r="AK276" s="88"/>
      <c r="AL276" s="88"/>
      <c r="AM276" s="88">
        <v>32.612450770400052</v>
      </c>
      <c r="AN276" s="88">
        <v>144.73000000000002</v>
      </c>
      <c r="AO276" s="89"/>
      <c r="AP276" s="90"/>
      <c r="AQ276" s="146" t="str">
        <f t="shared" si="76"/>
        <v/>
      </c>
      <c r="AR276" s="146" t="str">
        <f t="shared" si="77"/>
        <v/>
      </c>
      <c r="AS276" s="147">
        <v>20</v>
      </c>
      <c r="AT276" s="148" t="s">
        <v>56</v>
      </c>
      <c r="AU276" s="149" t="s">
        <v>56</v>
      </c>
      <c r="AV276" s="146" t="str">
        <f t="shared" si="78"/>
        <v/>
      </c>
      <c r="AW276" s="146" t="str">
        <f t="shared" si="79"/>
        <v/>
      </c>
      <c r="AX276" s="138" t="str">
        <f>IFERROR((1-((AV276*AR276)/(AW276*AQ276)))*100,"")</f>
        <v/>
      </c>
      <c r="AY276" s="95" t="s">
        <v>56</v>
      </c>
      <c r="AZ276" s="96">
        <v>62.945</v>
      </c>
      <c r="BA276" s="96"/>
      <c r="BB276" s="96">
        <v>104</v>
      </c>
      <c r="BC276" s="96"/>
      <c r="BD276" s="97">
        <v>144.73000000000002</v>
      </c>
      <c r="BE276" s="142" t="str">
        <f t="shared" si="80"/>
        <v/>
      </c>
      <c r="BF276" s="98">
        <v>0</v>
      </c>
      <c r="BG276" s="98">
        <v>0</v>
      </c>
      <c r="BH276" s="98">
        <v>0</v>
      </c>
      <c r="BI276" s="98"/>
      <c r="BJ276" s="98"/>
      <c r="BK276" s="98"/>
      <c r="BL276" s="97"/>
    </row>
    <row r="277" spans="1:64" outlineLevel="5" x14ac:dyDescent="0.3">
      <c r="A277" s="152">
        <f t="shared" si="71"/>
        <v>8</v>
      </c>
      <c r="B277" s="153">
        <f t="shared" si="70"/>
        <v>44063</v>
      </c>
      <c r="C277" s="138">
        <f>IFERROR(ROUND(AVERAGE(D277:K277),1),"")</f>
        <v>38.5</v>
      </c>
      <c r="D277" s="84">
        <v>38</v>
      </c>
      <c r="E277" s="84">
        <v>39</v>
      </c>
      <c r="F277" s="84"/>
      <c r="G277" s="84"/>
      <c r="H277" s="84"/>
      <c r="I277" s="84"/>
      <c r="J277" s="84"/>
      <c r="K277" s="84"/>
      <c r="L277" s="140">
        <f>IFERROR(ROUND(AVERAGE(M277:T277),1),"")</f>
        <v>7.8</v>
      </c>
      <c r="M277" s="86">
        <v>7.9</v>
      </c>
      <c r="N277" s="86">
        <v>7.75</v>
      </c>
      <c r="O277" s="86"/>
      <c r="P277" s="86"/>
      <c r="Q277" s="86"/>
      <c r="R277" s="86"/>
      <c r="S277" s="86"/>
      <c r="T277" s="86"/>
      <c r="U277" s="142">
        <f>IFERROR(ROUND(AVERAGE(V277:AC277),1),"")</f>
        <v>1524.6</v>
      </c>
      <c r="V277" s="88">
        <v>1730</v>
      </c>
      <c r="W277" s="88">
        <v>1319.1</v>
      </c>
      <c r="X277" s="88"/>
      <c r="Y277" s="88"/>
      <c r="Z277" s="88"/>
      <c r="AA277" s="88"/>
      <c r="AB277" s="88"/>
      <c r="AC277" s="88"/>
      <c r="AD277" s="142" t="str">
        <f>IFERROR(ROUND(AVERAGE(AE277:AL277),1),"")</f>
        <v/>
      </c>
      <c r="AE277" s="88"/>
      <c r="AF277" s="88"/>
      <c r="AG277" s="88"/>
      <c r="AH277" s="88"/>
      <c r="AI277" s="88"/>
      <c r="AJ277" s="88"/>
      <c r="AK277" s="88"/>
      <c r="AL277" s="88"/>
      <c r="AM277" s="88">
        <v>30.647360561002532</v>
      </c>
      <c r="AN277" s="88">
        <v>154.01</v>
      </c>
      <c r="AO277" s="89"/>
      <c r="AP277" s="90"/>
      <c r="AQ277" s="146" t="str">
        <f t="shared" si="76"/>
        <v/>
      </c>
      <c r="AR277" s="146" t="str">
        <f t="shared" si="77"/>
        <v/>
      </c>
      <c r="AS277" s="147">
        <v>20</v>
      </c>
      <c r="AT277" s="148">
        <v>15.3</v>
      </c>
      <c r="AU277" s="149">
        <v>9.4499999999999993</v>
      </c>
      <c r="AV277" s="146">
        <f t="shared" si="78"/>
        <v>61.764705882352935</v>
      </c>
      <c r="AW277" s="146">
        <f t="shared" si="79"/>
        <v>38.235294117647065</v>
      </c>
      <c r="AX277" s="138" t="str">
        <f>IFERROR((1-((AV277*AR277)/(AW277*AQ277)))*100,"")</f>
        <v/>
      </c>
      <c r="AY277" s="95">
        <v>77.900000000000006</v>
      </c>
      <c r="AZ277" s="96">
        <v>63.58</v>
      </c>
      <c r="BA277" s="96"/>
      <c r="BB277" s="96">
        <v>98</v>
      </c>
      <c r="BC277" s="96"/>
      <c r="BD277" s="97">
        <v>154.01</v>
      </c>
      <c r="BE277" s="142" t="str">
        <f t="shared" si="80"/>
        <v/>
      </c>
      <c r="BF277" s="98">
        <v>0</v>
      </c>
      <c r="BG277" s="98">
        <v>0</v>
      </c>
      <c r="BH277" s="98">
        <v>0</v>
      </c>
      <c r="BI277" s="98"/>
      <c r="BJ277" s="98"/>
      <c r="BK277" s="98"/>
      <c r="BL277" s="97"/>
    </row>
    <row r="278" spans="1:64" outlineLevel="5" x14ac:dyDescent="0.3">
      <c r="A278" s="152">
        <f t="shared" si="71"/>
        <v>8</v>
      </c>
      <c r="B278" s="153">
        <f t="shared" si="70"/>
        <v>44064</v>
      </c>
      <c r="C278" s="138">
        <f>IFERROR(ROUND(AVERAGE(D278:K278),1),"")</f>
        <v>38</v>
      </c>
      <c r="D278" s="84">
        <v>38</v>
      </c>
      <c r="E278" s="84">
        <v>38</v>
      </c>
      <c r="F278" s="84"/>
      <c r="G278" s="84"/>
      <c r="H278" s="84"/>
      <c r="I278" s="84"/>
      <c r="J278" s="84"/>
      <c r="K278" s="84"/>
      <c r="L278" s="140" t="str">
        <f>IFERROR(ROUND(AVERAGE(M278:T278),1),"")</f>
        <v/>
      </c>
      <c r="M278" s="86"/>
      <c r="N278" s="86"/>
      <c r="O278" s="86"/>
      <c r="P278" s="86"/>
      <c r="Q278" s="86"/>
      <c r="R278" s="86"/>
      <c r="S278" s="86"/>
      <c r="T278" s="86"/>
      <c r="U278" s="142" t="str">
        <f>IFERROR(ROUND(AVERAGE(V278:AC278),1),"")</f>
        <v/>
      </c>
      <c r="V278" s="88"/>
      <c r="W278" s="88"/>
      <c r="X278" s="88"/>
      <c r="Y278" s="88"/>
      <c r="Z278" s="88"/>
      <c r="AA278" s="88"/>
      <c r="AB278" s="88"/>
      <c r="AC278" s="88"/>
      <c r="AD278" s="142" t="str">
        <f>IFERROR(ROUND(AVERAGE(AE278:AL278),1),"")</f>
        <v/>
      </c>
      <c r="AE278" s="88"/>
      <c r="AF278" s="88"/>
      <c r="AG278" s="88"/>
      <c r="AH278" s="88"/>
      <c r="AI278" s="88"/>
      <c r="AJ278" s="88"/>
      <c r="AK278" s="88"/>
      <c r="AL278" s="88"/>
      <c r="AM278" s="88">
        <v>45.950155763239877</v>
      </c>
      <c r="AN278" s="88">
        <v>102.72</v>
      </c>
      <c r="AO278" s="89" t="s">
        <v>56</v>
      </c>
      <c r="AP278" s="90"/>
      <c r="AQ278" s="146" t="str">
        <f t="shared" si="76"/>
        <v/>
      </c>
      <c r="AR278" s="146" t="str">
        <f t="shared" si="77"/>
        <v/>
      </c>
      <c r="AS278" s="147">
        <v>20</v>
      </c>
      <c r="AT278" s="148" t="s">
        <v>56</v>
      </c>
      <c r="AU278" s="149" t="s">
        <v>56</v>
      </c>
      <c r="AV278" s="146" t="str">
        <f t="shared" si="78"/>
        <v/>
      </c>
      <c r="AW278" s="146" t="str">
        <f t="shared" si="79"/>
        <v/>
      </c>
      <c r="AX278" s="138" t="str">
        <f>IFERROR((1-((AV278*AR278)/(AW278*AQ278)))*100,"")</f>
        <v/>
      </c>
      <c r="AY278" s="95" t="s">
        <v>56</v>
      </c>
      <c r="AZ278" s="96">
        <v>63.995000000000005</v>
      </c>
      <c r="BA278" s="96"/>
      <c r="BB278" s="96">
        <v>44.5</v>
      </c>
      <c r="BC278" s="96"/>
      <c r="BD278" s="97">
        <v>102.72</v>
      </c>
      <c r="BE278" s="142" t="str">
        <f t="shared" si="80"/>
        <v/>
      </c>
      <c r="BF278" s="98">
        <v>0</v>
      </c>
      <c r="BG278" s="98">
        <v>0</v>
      </c>
      <c r="BH278" s="98">
        <v>0</v>
      </c>
      <c r="BI278" s="98"/>
      <c r="BJ278" s="98"/>
      <c r="BK278" s="98"/>
      <c r="BL278" s="97"/>
    </row>
    <row r="279" spans="1:64" outlineLevel="5" x14ac:dyDescent="0.3">
      <c r="A279" s="152">
        <f t="shared" si="71"/>
        <v>8</v>
      </c>
      <c r="B279" s="153">
        <f t="shared" si="70"/>
        <v>44065</v>
      </c>
      <c r="C279" s="138">
        <f>IFERROR(ROUND(AVERAGE(D279:K279),1),"")</f>
        <v>38</v>
      </c>
      <c r="D279" s="84">
        <v>38</v>
      </c>
      <c r="E279" s="84">
        <v>38</v>
      </c>
      <c r="F279" s="84"/>
      <c r="G279" s="84"/>
      <c r="H279" s="84"/>
      <c r="I279" s="84"/>
      <c r="J279" s="84"/>
      <c r="K279" s="84"/>
      <c r="L279" s="140" t="str">
        <f>IFERROR(ROUND(AVERAGE(M279:T279),1),"")</f>
        <v/>
      </c>
      <c r="M279" s="86"/>
      <c r="N279" s="86"/>
      <c r="O279" s="86"/>
      <c r="P279" s="86"/>
      <c r="Q279" s="86"/>
      <c r="R279" s="86"/>
      <c r="S279" s="86"/>
      <c r="T279" s="86"/>
      <c r="U279" s="142" t="str">
        <f>IFERROR(ROUND(AVERAGE(V279:AC279),1),"")</f>
        <v/>
      </c>
      <c r="V279" s="88"/>
      <c r="W279" s="88"/>
      <c r="X279" s="88"/>
      <c r="Y279" s="88"/>
      <c r="Z279" s="88"/>
      <c r="AA279" s="88"/>
      <c r="AB279" s="88"/>
      <c r="AC279" s="88"/>
      <c r="AD279" s="142" t="str">
        <f>IFERROR(ROUND(AVERAGE(AE279:AL279),1),"")</f>
        <v/>
      </c>
      <c r="AE279" s="88"/>
      <c r="AF279" s="88"/>
      <c r="AG279" s="88"/>
      <c r="AH279" s="88"/>
      <c r="AI279" s="88"/>
      <c r="AJ279" s="88"/>
      <c r="AK279" s="88"/>
      <c r="AL279" s="88"/>
      <c r="AM279" s="88">
        <v>51.936619718309863</v>
      </c>
      <c r="AN279" s="88">
        <v>90.88</v>
      </c>
      <c r="AO279" s="89" t="s">
        <v>56</v>
      </c>
      <c r="AP279" s="90"/>
      <c r="AQ279" s="146" t="str">
        <f t="shared" si="76"/>
        <v/>
      </c>
      <c r="AR279" s="146" t="str">
        <f t="shared" si="77"/>
        <v/>
      </c>
      <c r="AS279" s="147">
        <v>10</v>
      </c>
      <c r="AT279" s="148" t="s">
        <v>56</v>
      </c>
      <c r="AU279" s="149" t="s">
        <v>56</v>
      </c>
      <c r="AV279" s="146" t="str">
        <f t="shared" si="78"/>
        <v/>
      </c>
      <c r="AW279" s="146" t="str">
        <f t="shared" si="79"/>
        <v/>
      </c>
      <c r="AX279" s="138" t="str">
        <f>IFERROR((1-((AV279*AR279)/(AW279*AQ279)))*100,"")</f>
        <v/>
      </c>
      <c r="AY279" s="95" t="s">
        <v>56</v>
      </c>
      <c r="AZ279" s="96">
        <v>66.594999999999999</v>
      </c>
      <c r="BA279" s="96"/>
      <c r="BB279" s="96">
        <v>35.5</v>
      </c>
      <c r="BC279" s="96"/>
      <c r="BD279" s="97">
        <v>90.88</v>
      </c>
      <c r="BE279" s="142" t="str">
        <f t="shared" si="80"/>
        <v/>
      </c>
      <c r="BF279" s="98">
        <v>0</v>
      </c>
      <c r="BG279" s="98">
        <v>0</v>
      </c>
      <c r="BH279" s="98">
        <v>0</v>
      </c>
      <c r="BI279" s="98"/>
      <c r="BJ279" s="98"/>
      <c r="BK279" s="98"/>
      <c r="BL279" s="97"/>
    </row>
    <row r="280" spans="1:64" outlineLevel="5" x14ac:dyDescent="0.3">
      <c r="A280" s="152">
        <f t="shared" si="71"/>
        <v>8</v>
      </c>
      <c r="B280" s="153">
        <f t="shared" si="70"/>
        <v>44066</v>
      </c>
      <c r="C280" s="138">
        <f>IFERROR(ROUND(AVERAGE(D280:K280),1),"")</f>
        <v>38</v>
      </c>
      <c r="D280" s="84">
        <v>38</v>
      </c>
      <c r="E280" s="84">
        <v>38</v>
      </c>
      <c r="F280" s="84"/>
      <c r="G280" s="84"/>
      <c r="H280" s="84"/>
      <c r="I280" s="84"/>
      <c r="J280" s="84"/>
      <c r="K280" s="84"/>
      <c r="L280" s="140" t="str">
        <f>IFERROR(ROUND(AVERAGE(M280:T280),1),"")</f>
        <v/>
      </c>
      <c r="M280" s="86"/>
      <c r="N280" s="86"/>
      <c r="O280" s="86"/>
      <c r="P280" s="86"/>
      <c r="Q280" s="86"/>
      <c r="R280" s="86"/>
      <c r="S280" s="86"/>
      <c r="T280" s="86"/>
      <c r="U280" s="142" t="str">
        <f>IFERROR(ROUND(AVERAGE(V280:AC280),1),"")</f>
        <v/>
      </c>
      <c r="V280" s="88"/>
      <c r="W280" s="88"/>
      <c r="X280" s="88"/>
      <c r="Y280" s="88"/>
      <c r="Z280" s="88"/>
      <c r="AA280" s="88"/>
      <c r="AB280" s="88"/>
      <c r="AC280" s="88"/>
      <c r="AD280" s="142" t="str">
        <f>IFERROR(ROUND(AVERAGE(AE280:AL280),1),"")</f>
        <v/>
      </c>
      <c r="AE280" s="88"/>
      <c r="AF280" s="88"/>
      <c r="AG280" s="88"/>
      <c r="AH280" s="88"/>
      <c r="AI280" s="88"/>
      <c r="AJ280" s="88"/>
      <c r="AK280" s="88"/>
      <c r="AL280" s="88"/>
      <c r="AM280" s="88">
        <v>62.93333333333333</v>
      </c>
      <c r="AN280" s="88">
        <v>75</v>
      </c>
      <c r="AO280" s="89" t="s">
        <v>56</v>
      </c>
      <c r="AP280" s="90"/>
      <c r="AQ280" s="146" t="str">
        <f t="shared" si="76"/>
        <v/>
      </c>
      <c r="AR280" s="146" t="str">
        <f t="shared" si="77"/>
        <v/>
      </c>
      <c r="AS280" s="147">
        <v>10</v>
      </c>
      <c r="AT280" s="148" t="s">
        <v>56</v>
      </c>
      <c r="AU280" s="149" t="s">
        <v>56</v>
      </c>
      <c r="AV280" s="146" t="str">
        <f t="shared" si="78"/>
        <v/>
      </c>
      <c r="AW280" s="146" t="str">
        <f t="shared" si="79"/>
        <v/>
      </c>
      <c r="AX280" s="138" t="str">
        <f>IFERROR((1-((AV280*AR280)/(AW280*AQ280)))*100,"")</f>
        <v/>
      </c>
      <c r="AY280" s="95" t="s">
        <v>56</v>
      </c>
      <c r="AZ280" s="96">
        <v>65.984999999999999</v>
      </c>
      <c r="BA280" s="96"/>
      <c r="BB280" s="96">
        <v>41.5</v>
      </c>
      <c r="BC280" s="96"/>
      <c r="BD280" s="97">
        <v>75</v>
      </c>
      <c r="BE280" s="142" t="str">
        <f t="shared" si="80"/>
        <v/>
      </c>
      <c r="BF280" s="98">
        <v>0</v>
      </c>
      <c r="BG280" s="98">
        <v>0</v>
      </c>
      <c r="BH280" s="98">
        <v>0</v>
      </c>
      <c r="BI280" s="98"/>
      <c r="BJ280" s="98"/>
      <c r="BK280" s="98"/>
      <c r="BL280" s="97"/>
    </row>
    <row r="281" spans="1:64" outlineLevel="5" x14ac:dyDescent="0.3">
      <c r="A281" s="152">
        <f t="shared" si="71"/>
        <v>8</v>
      </c>
      <c r="B281" s="153">
        <f t="shared" si="70"/>
        <v>44067</v>
      </c>
      <c r="C281" s="138">
        <f>IFERROR(ROUND(AVERAGE(D281:K281),1),"")</f>
        <v>38</v>
      </c>
      <c r="D281" s="84">
        <v>38</v>
      </c>
      <c r="E281" s="84">
        <v>38</v>
      </c>
      <c r="F281" s="84"/>
      <c r="G281" s="84"/>
      <c r="H281" s="84"/>
      <c r="I281" s="84"/>
      <c r="J281" s="84"/>
      <c r="K281" s="84"/>
      <c r="L281" s="140" t="str">
        <f>IFERROR(ROUND(AVERAGE(M281:T281),1),"")</f>
        <v/>
      </c>
      <c r="M281" s="86"/>
      <c r="N281" s="86"/>
      <c r="O281" s="86"/>
      <c r="P281" s="86"/>
      <c r="Q281" s="86"/>
      <c r="R281" s="86"/>
      <c r="S281" s="86"/>
      <c r="T281" s="86"/>
      <c r="U281" s="142" t="str">
        <f>IFERROR(ROUND(AVERAGE(V281:AC281),1),"")</f>
        <v/>
      </c>
      <c r="V281" s="88"/>
      <c r="W281" s="88"/>
      <c r="X281" s="88"/>
      <c r="Y281" s="88"/>
      <c r="Z281" s="88"/>
      <c r="AA281" s="88"/>
      <c r="AB281" s="88"/>
      <c r="AC281" s="88"/>
      <c r="AD281" s="142" t="str">
        <f>IFERROR(ROUND(AVERAGE(AE281:AL281),1),"")</f>
        <v/>
      </c>
      <c r="AE281" s="88"/>
      <c r="AF281" s="88"/>
      <c r="AG281" s="88"/>
      <c r="AH281" s="88"/>
      <c r="AI281" s="88"/>
      <c r="AJ281" s="88"/>
      <c r="AK281" s="88"/>
      <c r="AL281" s="88"/>
      <c r="AM281" s="88">
        <v>33.661389245471405</v>
      </c>
      <c r="AN281" s="88">
        <v>140.22</v>
      </c>
      <c r="AO281" s="89" t="s">
        <v>56</v>
      </c>
      <c r="AP281" s="90"/>
      <c r="AQ281" s="146" t="str">
        <f t="shared" si="76"/>
        <v/>
      </c>
      <c r="AR281" s="146" t="str">
        <f t="shared" si="77"/>
        <v/>
      </c>
      <c r="AS281" s="147">
        <v>30</v>
      </c>
      <c r="AT281" s="148" t="s">
        <v>56</v>
      </c>
      <c r="AU281" s="149" t="s">
        <v>56</v>
      </c>
      <c r="AV281" s="146" t="str">
        <f t="shared" si="78"/>
        <v/>
      </c>
      <c r="AW281" s="146" t="str">
        <f t="shared" si="79"/>
        <v/>
      </c>
      <c r="AX281" s="138" t="str">
        <f>IFERROR((1-((AV281*AR281)/(AW281*AQ281)))*100,"")</f>
        <v/>
      </c>
      <c r="AY281" s="95" t="s">
        <v>56</v>
      </c>
      <c r="AZ281" s="96">
        <v>61.540000000000006</v>
      </c>
      <c r="BA281" s="96"/>
      <c r="BB281" s="96">
        <v>82.5</v>
      </c>
      <c r="BC281" s="96"/>
      <c r="BD281" s="97">
        <v>140.22</v>
      </c>
      <c r="BE281" s="142" t="str">
        <f t="shared" si="80"/>
        <v/>
      </c>
      <c r="BF281" s="98">
        <v>0</v>
      </c>
      <c r="BG281" s="98">
        <v>0</v>
      </c>
      <c r="BH281" s="98">
        <v>0</v>
      </c>
      <c r="BI281" s="98"/>
      <c r="BJ281" s="98"/>
      <c r="BK281" s="98"/>
      <c r="BL281" s="97"/>
    </row>
    <row r="282" spans="1:64" outlineLevel="5" x14ac:dyDescent="0.3">
      <c r="A282" s="152">
        <f t="shared" si="71"/>
        <v>8</v>
      </c>
      <c r="B282" s="153">
        <f t="shared" si="70"/>
        <v>44068</v>
      </c>
      <c r="C282" s="138">
        <f>IFERROR(ROUND(AVERAGE(D282:K282),1),"")</f>
        <v>38</v>
      </c>
      <c r="D282" s="84">
        <v>38</v>
      </c>
      <c r="E282" s="84">
        <v>38</v>
      </c>
      <c r="F282" s="84"/>
      <c r="G282" s="84"/>
      <c r="H282" s="84"/>
      <c r="I282" s="84"/>
      <c r="J282" s="84"/>
      <c r="K282" s="84"/>
      <c r="L282" s="140" t="str">
        <f>IFERROR(ROUND(AVERAGE(M282:T282),1),"")</f>
        <v/>
      </c>
      <c r="M282" s="86"/>
      <c r="N282" s="86"/>
      <c r="O282" s="86"/>
      <c r="P282" s="86"/>
      <c r="Q282" s="86"/>
      <c r="R282" s="86"/>
      <c r="S282" s="86"/>
      <c r="T282" s="86"/>
      <c r="U282" s="142" t="str">
        <f>IFERROR(ROUND(AVERAGE(V282:AC282),1),"")</f>
        <v/>
      </c>
      <c r="V282" s="88"/>
      <c r="W282" s="88"/>
      <c r="X282" s="88"/>
      <c r="Y282" s="88"/>
      <c r="Z282" s="88"/>
      <c r="AA282" s="88"/>
      <c r="AB282" s="88"/>
      <c r="AC282" s="88"/>
      <c r="AD282" s="142" t="str">
        <f>IFERROR(ROUND(AVERAGE(AE282:AL282),1),"")</f>
        <v/>
      </c>
      <c r="AE282" s="88"/>
      <c r="AF282" s="88"/>
      <c r="AG282" s="88"/>
      <c r="AH282" s="88"/>
      <c r="AI282" s="88"/>
      <c r="AJ282" s="88"/>
      <c r="AK282" s="88"/>
      <c r="AL282" s="88"/>
      <c r="AM282" s="88">
        <v>33.83997705764267</v>
      </c>
      <c r="AN282" s="88">
        <v>139.48000000000002</v>
      </c>
      <c r="AO282" s="89" t="s">
        <v>56</v>
      </c>
      <c r="AP282" s="90"/>
      <c r="AQ282" s="146" t="str">
        <f t="shared" si="76"/>
        <v/>
      </c>
      <c r="AR282" s="146" t="str">
        <f t="shared" si="77"/>
        <v/>
      </c>
      <c r="AS282" s="147">
        <v>30</v>
      </c>
      <c r="AT282" s="148" t="s">
        <v>56</v>
      </c>
      <c r="AU282" s="149" t="s">
        <v>56</v>
      </c>
      <c r="AV282" s="146" t="str">
        <f t="shared" si="78"/>
        <v/>
      </c>
      <c r="AW282" s="146" t="str">
        <f t="shared" si="79"/>
        <v/>
      </c>
      <c r="AX282" s="138" t="str">
        <f>IFERROR((1-((AV282*AR282)/(AW282*AQ282)))*100,"")</f>
        <v/>
      </c>
      <c r="AY282" s="95" t="s">
        <v>56</v>
      </c>
      <c r="AZ282" s="96">
        <v>61.849999999999994</v>
      </c>
      <c r="BA282" s="96"/>
      <c r="BB282" s="96">
        <v>38.5</v>
      </c>
      <c r="BC282" s="96"/>
      <c r="BD282" s="97">
        <v>139.48000000000002</v>
      </c>
      <c r="BE282" s="142" t="str">
        <f t="shared" si="80"/>
        <v/>
      </c>
      <c r="BF282" s="98">
        <v>0</v>
      </c>
      <c r="BG282" s="98">
        <v>0</v>
      </c>
      <c r="BH282" s="98">
        <v>0</v>
      </c>
      <c r="BI282" s="98"/>
      <c r="BJ282" s="98"/>
      <c r="BK282" s="98"/>
      <c r="BL282" s="97"/>
    </row>
    <row r="283" spans="1:64" outlineLevel="5" x14ac:dyDescent="0.3">
      <c r="A283" s="152">
        <f t="shared" si="71"/>
        <v>8</v>
      </c>
      <c r="B283" s="153">
        <f t="shared" si="70"/>
        <v>44069</v>
      </c>
      <c r="C283" s="138">
        <f>IFERROR(ROUND(AVERAGE(D283:K283),1),"")</f>
        <v>38</v>
      </c>
      <c r="D283" s="84">
        <v>38</v>
      </c>
      <c r="E283" s="84">
        <v>38</v>
      </c>
      <c r="F283" s="84"/>
      <c r="G283" s="84"/>
      <c r="H283" s="84"/>
      <c r="I283" s="84"/>
      <c r="J283" s="84"/>
      <c r="K283" s="84"/>
      <c r="L283" s="140">
        <f>IFERROR(ROUND(AVERAGE(M283:T283),1),"")</f>
        <v>7.8</v>
      </c>
      <c r="M283" s="86">
        <v>7.91</v>
      </c>
      <c r="N283" s="86">
        <v>7.72</v>
      </c>
      <c r="O283" s="86"/>
      <c r="P283" s="86"/>
      <c r="Q283" s="86"/>
      <c r="R283" s="86"/>
      <c r="S283" s="86"/>
      <c r="T283" s="86"/>
      <c r="U283" s="142">
        <f>IFERROR(ROUND(AVERAGE(V283:AC283),1),"")</f>
        <v>1561.4</v>
      </c>
      <c r="V283" s="88">
        <v>1764.6</v>
      </c>
      <c r="W283" s="88">
        <v>1358.1</v>
      </c>
      <c r="X283" s="88"/>
      <c r="Y283" s="88"/>
      <c r="Z283" s="88"/>
      <c r="AA283" s="88"/>
      <c r="AB283" s="88"/>
      <c r="AC283" s="88"/>
      <c r="AD283" s="142" t="str">
        <f>IFERROR(ROUND(AVERAGE(AE283:AL283),1),"")</f>
        <v/>
      </c>
      <c r="AE283" s="88"/>
      <c r="AF283" s="88"/>
      <c r="AG283" s="88"/>
      <c r="AH283" s="88"/>
      <c r="AI283" s="88"/>
      <c r="AJ283" s="88"/>
      <c r="AK283" s="88"/>
      <c r="AL283" s="88"/>
      <c r="AM283" s="88">
        <v>33.99351818509183</v>
      </c>
      <c r="AN283" s="88">
        <v>138.85</v>
      </c>
      <c r="AO283" s="89"/>
      <c r="AP283" s="90"/>
      <c r="AQ283" s="146" t="str">
        <f t="shared" si="76"/>
        <v/>
      </c>
      <c r="AR283" s="146" t="str">
        <f t="shared" si="77"/>
        <v/>
      </c>
      <c r="AS283" s="147">
        <v>30</v>
      </c>
      <c r="AT283" s="148">
        <v>15.5</v>
      </c>
      <c r="AU283" s="149">
        <v>8.15</v>
      </c>
      <c r="AV283" s="146">
        <f t="shared" si="78"/>
        <v>52.580645161290327</v>
      </c>
      <c r="AW283" s="146">
        <f t="shared" si="79"/>
        <v>47.419354838709673</v>
      </c>
      <c r="AX283" s="138" t="str">
        <f>IFERROR((1-((AV283*AR283)/(AW283*AQ283)))*100,"")</f>
        <v/>
      </c>
      <c r="AY283" s="95">
        <v>77.650000000000006</v>
      </c>
      <c r="AZ283" s="96">
        <v>62.015000000000001</v>
      </c>
      <c r="BA283" s="96"/>
      <c r="BB283" s="96">
        <v>86</v>
      </c>
      <c r="BC283" s="96"/>
      <c r="BD283" s="97">
        <v>138.85</v>
      </c>
      <c r="BE283" s="142">
        <f t="shared" si="80"/>
        <v>204</v>
      </c>
      <c r="BF283" s="98">
        <v>0</v>
      </c>
      <c r="BG283" s="98">
        <v>204</v>
      </c>
      <c r="BH283" s="98">
        <v>0</v>
      </c>
      <c r="BI283" s="98"/>
      <c r="BJ283" s="98"/>
      <c r="BK283" s="98"/>
      <c r="BL283" s="97"/>
    </row>
    <row r="284" spans="1:64" outlineLevel="5" x14ac:dyDescent="0.3">
      <c r="A284" s="152">
        <f t="shared" si="71"/>
        <v>8</v>
      </c>
      <c r="B284" s="153">
        <f t="shared" si="70"/>
        <v>44070</v>
      </c>
      <c r="C284" s="138">
        <f>IFERROR(ROUND(AVERAGE(D284:K284),1),"")</f>
        <v>37</v>
      </c>
      <c r="D284" s="84">
        <v>37</v>
      </c>
      <c r="E284" s="84">
        <v>37</v>
      </c>
      <c r="F284" s="84"/>
      <c r="G284" s="84"/>
      <c r="H284" s="84"/>
      <c r="I284" s="84"/>
      <c r="J284" s="84"/>
      <c r="K284" s="84"/>
      <c r="L284" s="140">
        <f>IFERROR(ROUND(AVERAGE(M284:T284),1),"")</f>
        <v>7.8</v>
      </c>
      <c r="M284" s="86">
        <v>7.93</v>
      </c>
      <c r="N284" s="86">
        <v>7.74</v>
      </c>
      <c r="O284" s="86"/>
      <c r="P284" s="86"/>
      <c r="Q284" s="86"/>
      <c r="R284" s="86"/>
      <c r="S284" s="86"/>
      <c r="T284" s="86"/>
      <c r="U284" s="142">
        <f>IFERROR(ROUND(AVERAGE(V284:AC284),1),"")</f>
        <v>1559.2</v>
      </c>
      <c r="V284" s="88">
        <v>1734.3</v>
      </c>
      <c r="W284" s="88">
        <v>1384</v>
      </c>
      <c r="X284" s="88"/>
      <c r="Y284" s="88"/>
      <c r="Z284" s="88"/>
      <c r="AA284" s="88"/>
      <c r="AB284" s="88"/>
      <c r="AC284" s="88"/>
      <c r="AD284" s="142" t="str">
        <f>IFERROR(ROUND(AVERAGE(AE284:AL284),1),"")</f>
        <v/>
      </c>
      <c r="AE284" s="88"/>
      <c r="AF284" s="88"/>
      <c r="AG284" s="88"/>
      <c r="AH284" s="88"/>
      <c r="AI284" s="88"/>
      <c r="AJ284" s="88"/>
      <c r="AK284" s="88"/>
      <c r="AL284" s="88"/>
      <c r="AM284" s="88">
        <v>37.162428155263363</v>
      </c>
      <c r="AN284" s="88">
        <v>127.01</v>
      </c>
      <c r="AO284" s="89"/>
      <c r="AP284" s="90"/>
      <c r="AQ284" s="146" t="str">
        <f t="shared" si="76"/>
        <v/>
      </c>
      <c r="AR284" s="146" t="str">
        <f t="shared" si="77"/>
        <v/>
      </c>
      <c r="AS284" s="147">
        <v>30</v>
      </c>
      <c r="AT284" s="148" t="s">
        <v>56</v>
      </c>
      <c r="AU284" s="149" t="s">
        <v>56</v>
      </c>
      <c r="AV284" s="146" t="str">
        <f t="shared" si="78"/>
        <v/>
      </c>
      <c r="AW284" s="146" t="str">
        <f t="shared" si="79"/>
        <v/>
      </c>
      <c r="AX284" s="138" t="str">
        <f>IFERROR((1-((AV284*AR284)/(AW284*AQ284)))*100,"")</f>
        <v/>
      </c>
      <c r="AY284" s="95">
        <v>80.3</v>
      </c>
      <c r="AZ284" s="96">
        <v>64.944999999999993</v>
      </c>
      <c r="BA284" s="96"/>
      <c r="BB284" s="96">
        <v>57.5</v>
      </c>
      <c r="BC284" s="96"/>
      <c r="BD284" s="97">
        <v>127.01</v>
      </c>
      <c r="BE284" s="142">
        <f t="shared" si="80"/>
        <v>1040</v>
      </c>
      <c r="BF284" s="98">
        <v>0</v>
      </c>
      <c r="BG284" s="98">
        <v>1040</v>
      </c>
      <c r="BH284" s="98">
        <v>0</v>
      </c>
      <c r="BI284" s="98"/>
      <c r="BJ284" s="98"/>
      <c r="BK284" s="98"/>
      <c r="BL284" s="97"/>
    </row>
    <row r="285" spans="1:64" outlineLevel="5" x14ac:dyDescent="0.3">
      <c r="A285" s="152">
        <f t="shared" si="71"/>
        <v>8</v>
      </c>
      <c r="B285" s="153">
        <f t="shared" si="70"/>
        <v>44071</v>
      </c>
      <c r="C285" s="138">
        <f>IFERROR(ROUND(AVERAGE(D285:K285),1),"")</f>
        <v>38</v>
      </c>
      <c r="D285" s="84">
        <v>38</v>
      </c>
      <c r="E285" s="84">
        <v>38</v>
      </c>
      <c r="F285" s="84"/>
      <c r="G285" s="84"/>
      <c r="H285" s="84"/>
      <c r="I285" s="84"/>
      <c r="J285" s="84"/>
      <c r="K285" s="84"/>
      <c r="L285" s="140" t="str">
        <f>IFERROR(ROUND(AVERAGE(M285:T285),1),"")</f>
        <v/>
      </c>
      <c r="M285" s="86"/>
      <c r="N285" s="86"/>
      <c r="O285" s="86"/>
      <c r="P285" s="86"/>
      <c r="Q285" s="86"/>
      <c r="R285" s="86"/>
      <c r="S285" s="86"/>
      <c r="T285" s="86"/>
      <c r="U285" s="142" t="str">
        <f>IFERROR(ROUND(AVERAGE(V285:AC285),1),"")</f>
        <v/>
      </c>
      <c r="V285" s="88"/>
      <c r="W285" s="88"/>
      <c r="X285" s="88"/>
      <c r="Y285" s="88"/>
      <c r="Z285" s="88"/>
      <c r="AA285" s="88"/>
      <c r="AB285" s="88"/>
      <c r="AC285" s="88"/>
      <c r="AD285" s="142" t="str">
        <f>IFERROR(ROUND(AVERAGE(AE285:AL285),1),"")</f>
        <v/>
      </c>
      <c r="AE285" s="88"/>
      <c r="AF285" s="88"/>
      <c r="AG285" s="88"/>
      <c r="AH285" s="88"/>
      <c r="AI285" s="88"/>
      <c r="AJ285" s="88"/>
      <c r="AK285" s="88"/>
      <c r="AL285" s="88"/>
      <c r="AM285" s="88">
        <v>75.447570332480822</v>
      </c>
      <c r="AN285" s="88">
        <v>62.56</v>
      </c>
      <c r="AO285" s="89">
        <v>19.899999999999999</v>
      </c>
      <c r="AP285" s="90">
        <v>17.691099999999999</v>
      </c>
      <c r="AQ285" s="146">
        <f t="shared" si="76"/>
        <v>88.9</v>
      </c>
      <c r="AR285" s="146">
        <f t="shared" si="77"/>
        <v>11.099999999999994</v>
      </c>
      <c r="AS285" s="147">
        <v>20</v>
      </c>
      <c r="AT285" s="148" t="s">
        <v>56</v>
      </c>
      <c r="AU285" s="149" t="s">
        <v>56</v>
      </c>
      <c r="AV285" s="146" t="str">
        <f t="shared" si="78"/>
        <v/>
      </c>
      <c r="AW285" s="146" t="str">
        <f t="shared" si="79"/>
        <v/>
      </c>
      <c r="AX285" s="138" t="str">
        <f>IFERROR((1-((AV285*AR285)/(AW285*AQ285)))*100,"")</f>
        <v/>
      </c>
      <c r="AY285" s="95" t="s">
        <v>56</v>
      </c>
      <c r="AZ285" s="96">
        <v>63.365000000000002</v>
      </c>
      <c r="BA285" s="96"/>
      <c r="BB285" s="96">
        <v>56</v>
      </c>
      <c r="BC285" s="96"/>
      <c r="BD285" s="97">
        <v>62.56</v>
      </c>
      <c r="BE285" s="142">
        <f t="shared" si="80"/>
        <v>4618</v>
      </c>
      <c r="BF285" s="98">
        <v>0</v>
      </c>
      <c r="BG285" s="98">
        <v>4618</v>
      </c>
      <c r="BH285" s="98">
        <v>0</v>
      </c>
      <c r="BI285" s="98"/>
      <c r="BJ285" s="98"/>
      <c r="BK285" s="98"/>
      <c r="BL285" s="97"/>
    </row>
    <row r="286" spans="1:64" outlineLevel="5" x14ac:dyDescent="0.3">
      <c r="A286" s="152">
        <f t="shared" si="71"/>
        <v>8</v>
      </c>
      <c r="B286" s="153">
        <f t="shared" si="70"/>
        <v>44072</v>
      </c>
      <c r="C286" s="138">
        <f>IFERROR(ROUND(AVERAGE(D286:K286),1),"")</f>
        <v>38</v>
      </c>
      <c r="D286" s="84">
        <v>38</v>
      </c>
      <c r="E286" s="84">
        <v>38</v>
      </c>
      <c r="F286" s="84"/>
      <c r="G286" s="84"/>
      <c r="H286" s="84"/>
      <c r="I286" s="84"/>
      <c r="J286" s="84"/>
      <c r="K286" s="84"/>
      <c r="L286" s="140" t="str">
        <f>IFERROR(ROUND(AVERAGE(M286:T286),1),"")</f>
        <v/>
      </c>
      <c r="M286" s="86"/>
      <c r="N286" s="86"/>
      <c r="O286" s="86"/>
      <c r="P286" s="86"/>
      <c r="Q286" s="86"/>
      <c r="R286" s="86"/>
      <c r="S286" s="86"/>
      <c r="T286" s="86"/>
      <c r="U286" s="142" t="str">
        <f>IFERROR(ROUND(AVERAGE(V286:AC286),1),"")</f>
        <v/>
      </c>
      <c r="V286" s="88"/>
      <c r="W286" s="88"/>
      <c r="X286" s="88"/>
      <c r="Y286" s="88"/>
      <c r="Z286" s="88"/>
      <c r="AA286" s="88"/>
      <c r="AB286" s="88"/>
      <c r="AC286" s="88"/>
      <c r="AD286" s="142" t="str">
        <f>IFERROR(ROUND(AVERAGE(AE286:AL286),1),"")</f>
        <v/>
      </c>
      <c r="AE286" s="88"/>
      <c r="AF286" s="88"/>
      <c r="AG286" s="88"/>
      <c r="AH286" s="88"/>
      <c r="AI286" s="88"/>
      <c r="AJ286" s="88"/>
      <c r="AK286" s="88"/>
      <c r="AL286" s="88"/>
      <c r="AM286" s="88">
        <v>77.453232687889724</v>
      </c>
      <c r="AN286" s="88">
        <v>60.94</v>
      </c>
      <c r="AO286" s="89"/>
      <c r="AP286" s="90"/>
      <c r="AQ286" s="146" t="str">
        <f t="shared" si="76"/>
        <v/>
      </c>
      <c r="AR286" s="146" t="str">
        <f t="shared" si="77"/>
        <v/>
      </c>
      <c r="AS286" s="147">
        <v>84</v>
      </c>
      <c r="AT286" s="148" t="s">
        <v>56</v>
      </c>
      <c r="AU286" s="149" t="s">
        <v>56</v>
      </c>
      <c r="AV286" s="146" t="str">
        <f t="shared" si="78"/>
        <v/>
      </c>
      <c r="AW286" s="146" t="str">
        <f t="shared" si="79"/>
        <v/>
      </c>
      <c r="AX286" s="138" t="str">
        <f>IFERROR((1-((AV286*AR286)/(AW286*AQ286)))*100,"")</f>
        <v/>
      </c>
      <c r="AY286" s="95" t="s">
        <v>56</v>
      </c>
      <c r="AZ286" s="96">
        <v>62.620000000000005</v>
      </c>
      <c r="BA286" s="96"/>
      <c r="BB286" s="96">
        <v>55.5</v>
      </c>
      <c r="BC286" s="96"/>
      <c r="BD286" s="97">
        <v>60.94</v>
      </c>
      <c r="BE286" s="142">
        <f t="shared" si="80"/>
        <v>4678</v>
      </c>
      <c r="BF286" s="98">
        <v>0</v>
      </c>
      <c r="BG286" s="98">
        <v>4678</v>
      </c>
      <c r="BH286" s="98">
        <v>0</v>
      </c>
      <c r="BI286" s="98"/>
      <c r="BJ286" s="98"/>
      <c r="BK286" s="98"/>
      <c r="BL286" s="97"/>
    </row>
    <row r="287" spans="1:64" outlineLevel="5" x14ac:dyDescent="0.3">
      <c r="A287" s="152">
        <f t="shared" si="71"/>
        <v>8</v>
      </c>
      <c r="B287" s="153">
        <f t="shared" si="70"/>
        <v>44073</v>
      </c>
      <c r="C287" s="138">
        <f>IFERROR(ROUND(AVERAGE(D287:K287),1),"")</f>
        <v>38</v>
      </c>
      <c r="D287" s="84">
        <v>38</v>
      </c>
      <c r="E287" s="84">
        <v>38</v>
      </c>
      <c r="F287" s="84"/>
      <c r="G287" s="84"/>
      <c r="H287" s="84"/>
      <c r="I287" s="84"/>
      <c r="J287" s="84"/>
      <c r="K287" s="84"/>
      <c r="L287" s="140" t="str">
        <f>IFERROR(ROUND(AVERAGE(M287:T287),1),"")</f>
        <v/>
      </c>
      <c r="M287" s="86"/>
      <c r="N287" s="86"/>
      <c r="O287" s="86"/>
      <c r="P287" s="86"/>
      <c r="Q287" s="86"/>
      <c r="R287" s="86"/>
      <c r="S287" s="86"/>
      <c r="T287" s="86"/>
      <c r="U287" s="142" t="str">
        <f>IFERROR(ROUND(AVERAGE(V287:AC287),1),"")</f>
        <v/>
      </c>
      <c r="V287" s="88"/>
      <c r="W287" s="88"/>
      <c r="X287" s="88"/>
      <c r="Y287" s="88"/>
      <c r="Z287" s="88"/>
      <c r="AA287" s="88"/>
      <c r="AB287" s="88"/>
      <c r="AC287" s="88"/>
      <c r="AD287" s="142" t="str">
        <f>IFERROR(ROUND(AVERAGE(AE287:AL287),1),"")</f>
        <v/>
      </c>
      <c r="AE287" s="88"/>
      <c r="AF287" s="88"/>
      <c r="AG287" s="88"/>
      <c r="AH287" s="88"/>
      <c r="AI287" s="88"/>
      <c r="AJ287" s="88"/>
      <c r="AK287" s="88"/>
      <c r="AL287" s="88"/>
      <c r="AM287" s="88">
        <v>118</v>
      </c>
      <c r="AN287" s="88">
        <v>40</v>
      </c>
      <c r="AO287" s="89" t="s">
        <v>56</v>
      </c>
      <c r="AP287" s="90" t="s">
        <v>56</v>
      </c>
      <c r="AQ287" s="146" t="str">
        <f t="shared" si="76"/>
        <v/>
      </c>
      <c r="AR287" s="146" t="str">
        <f t="shared" si="77"/>
        <v/>
      </c>
      <c r="AS287" s="147">
        <v>95</v>
      </c>
      <c r="AT287" s="148" t="s">
        <v>56</v>
      </c>
      <c r="AU287" s="149" t="s">
        <v>56</v>
      </c>
      <c r="AV287" s="146" t="str">
        <f t="shared" si="78"/>
        <v/>
      </c>
      <c r="AW287" s="146" t="str">
        <f t="shared" si="79"/>
        <v/>
      </c>
      <c r="AX287" s="138" t="str">
        <f>IFERROR((1-((AV287*AR287)/(AW287*AQ287)))*100,"")</f>
        <v/>
      </c>
      <c r="AY287" s="95" t="s">
        <v>56</v>
      </c>
      <c r="AZ287" s="96">
        <v>64.27</v>
      </c>
      <c r="BA287" s="96"/>
      <c r="BB287" s="96">
        <v>53</v>
      </c>
      <c r="BC287" s="96"/>
      <c r="BD287" s="97">
        <v>40</v>
      </c>
      <c r="BE287" s="142">
        <f t="shared" si="80"/>
        <v>497</v>
      </c>
      <c r="BF287" s="98">
        <v>0</v>
      </c>
      <c r="BG287" s="98">
        <v>497</v>
      </c>
      <c r="BH287" s="98">
        <v>0</v>
      </c>
      <c r="BI287" s="98"/>
      <c r="BJ287" s="98"/>
      <c r="BK287" s="98"/>
      <c r="BL287" s="97"/>
    </row>
    <row r="288" spans="1:64" ht="17.25" outlineLevel="5" thickBot="1" x14ac:dyDescent="0.35">
      <c r="A288" s="154">
        <f t="shared" si="71"/>
        <v>8</v>
      </c>
      <c r="B288" s="155">
        <f t="shared" ref="B288:B351" si="81">B287+1</f>
        <v>44074</v>
      </c>
      <c r="C288" s="138">
        <f>IFERROR(ROUND(AVERAGE(D288:K288),1),"")</f>
        <v>38</v>
      </c>
      <c r="D288" s="84">
        <v>38</v>
      </c>
      <c r="E288" s="84">
        <v>38</v>
      </c>
      <c r="F288" s="84"/>
      <c r="G288" s="84"/>
      <c r="H288" s="84"/>
      <c r="I288" s="84"/>
      <c r="J288" s="84"/>
      <c r="K288" s="84"/>
      <c r="L288" s="140">
        <f>IFERROR(ROUND(AVERAGE(M288:T288),1),"")</f>
        <v>7.9</v>
      </c>
      <c r="M288" s="86">
        <v>7.95</v>
      </c>
      <c r="N288" s="86">
        <v>7.78</v>
      </c>
      <c r="O288" s="86"/>
      <c r="P288" s="86"/>
      <c r="Q288" s="86"/>
      <c r="R288" s="86"/>
      <c r="S288" s="86"/>
      <c r="T288" s="86"/>
      <c r="U288" s="142">
        <f>IFERROR(ROUND(AVERAGE(V288:AC288),1),"")</f>
        <v>1384</v>
      </c>
      <c r="V288" s="88">
        <v>1621.9</v>
      </c>
      <c r="W288" s="88">
        <v>1146.0999999999999</v>
      </c>
      <c r="X288" s="88"/>
      <c r="Y288" s="88"/>
      <c r="Z288" s="88"/>
      <c r="AA288" s="88"/>
      <c r="AB288" s="88"/>
      <c r="AC288" s="88"/>
      <c r="AD288" s="142" t="str">
        <f>IFERROR(ROUND(AVERAGE(AE288:AL288),1),"")</f>
        <v/>
      </c>
      <c r="AE288" s="88"/>
      <c r="AF288" s="88"/>
      <c r="AG288" s="88"/>
      <c r="AH288" s="88"/>
      <c r="AI288" s="88"/>
      <c r="AJ288" s="88"/>
      <c r="AK288" s="88"/>
      <c r="AL288" s="88"/>
      <c r="AM288" s="88">
        <v>41.670345192901912</v>
      </c>
      <c r="AN288" s="88">
        <v>113.27000000000001</v>
      </c>
      <c r="AO288" s="89" t="s">
        <v>56</v>
      </c>
      <c r="AP288" s="90" t="s">
        <v>56</v>
      </c>
      <c r="AQ288" s="146" t="str">
        <f t="shared" si="76"/>
        <v/>
      </c>
      <c r="AR288" s="146" t="str">
        <f t="shared" si="77"/>
        <v/>
      </c>
      <c r="AS288" s="147">
        <v>30</v>
      </c>
      <c r="AT288" s="148">
        <v>22.4</v>
      </c>
      <c r="AU288" s="149">
        <v>16.149999999999999</v>
      </c>
      <c r="AV288" s="146">
        <f t="shared" si="78"/>
        <v>72.098214285714278</v>
      </c>
      <c r="AW288" s="146">
        <f t="shared" si="79"/>
        <v>27.901785714285722</v>
      </c>
      <c r="AX288" s="138" t="str">
        <f>IFERROR((1-((AV288*AR288)/(AW288*AQ288)))*100,"")</f>
        <v/>
      </c>
      <c r="AY288" s="95">
        <v>79.800000000000011</v>
      </c>
      <c r="AZ288" s="96">
        <v>58.65</v>
      </c>
      <c r="BA288" s="96"/>
      <c r="BB288" s="96">
        <v>86.5</v>
      </c>
      <c r="BC288" s="96"/>
      <c r="BD288" s="97">
        <v>113.27000000000001</v>
      </c>
      <c r="BE288" s="142" t="str">
        <f t="shared" si="80"/>
        <v/>
      </c>
      <c r="BF288" s="98">
        <v>0</v>
      </c>
      <c r="BG288" s="98">
        <v>0</v>
      </c>
      <c r="BH288" s="98">
        <v>0</v>
      </c>
      <c r="BI288" s="98"/>
      <c r="BJ288" s="98"/>
      <c r="BK288" s="98"/>
      <c r="BL288" s="97"/>
    </row>
    <row r="289" spans="1:64" outlineLevel="4" x14ac:dyDescent="0.3">
      <c r="A289" s="63" t="s">
        <v>85</v>
      </c>
      <c r="B289" s="64"/>
      <c r="C289" s="65">
        <f t="shared" ref="C289:BL289" si="82">SUBTOTAL(4,C258:C288)</f>
        <v>39.5</v>
      </c>
      <c r="D289" s="66">
        <f t="shared" si="82"/>
        <v>39</v>
      </c>
      <c r="E289" s="66">
        <f t="shared" si="82"/>
        <v>40</v>
      </c>
      <c r="F289" s="66">
        <f t="shared" si="82"/>
        <v>0</v>
      </c>
      <c r="G289" s="66">
        <f t="shared" si="82"/>
        <v>0</v>
      </c>
      <c r="H289" s="66">
        <f t="shared" si="82"/>
        <v>0</v>
      </c>
      <c r="I289" s="66">
        <f t="shared" si="82"/>
        <v>0</v>
      </c>
      <c r="J289" s="66">
        <f t="shared" si="82"/>
        <v>0</v>
      </c>
      <c r="K289" s="66">
        <f t="shared" si="82"/>
        <v>0</v>
      </c>
      <c r="L289" s="67">
        <f t="shared" si="82"/>
        <v>7.9</v>
      </c>
      <c r="M289" s="68">
        <f t="shared" si="82"/>
        <v>7.95</v>
      </c>
      <c r="N289" s="68">
        <f t="shared" si="82"/>
        <v>7.88</v>
      </c>
      <c r="O289" s="68">
        <f t="shared" si="82"/>
        <v>0</v>
      </c>
      <c r="P289" s="68">
        <f t="shared" si="82"/>
        <v>0</v>
      </c>
      <c r="Q289" s="68">
        <f t="shared" si="82"/>
        <v>0</v>
      </c>
      <c r="R289" s="68">
        <f t="shared" si="82"/>
        <v>0</v>
      </c>
      <c r="S289" s="68">
        <f t="shared" si="82"/>
        <v>0</v>
      </c>
      <c r="T289" s="68">
        <f t="shared" si="82"/>
        <v>0</v>
      </c>
      <c r="U289" s="69">
        <f t="shared" si="82"/>
        <v>1589.5</v>
      </c>
      <c r="V289" s="70">
        <f t="shared" si="82"/>
        <v>1764.6</v>
      </c>
      <c r="W289" s="70">
        <f t="shared" si="82"/>
        <v>1427.3</v>
      </c>
      <c r="X289" s="70">
        <f t="shared" si="82"/>
        <v>0</v>
      </c>
      <c r="Y289" s="70">
        <f t="shared" si="82"/>
        <v>0</v>
      </c>
      <c r="Z289" s="70">
        <f t="shared" si="82"/>
        <v>0</v>
      </c>
      <c r="AA289" s="70">
        <f t="shared" si="82"/>
        <v>0</v>
      </c>
      <c r="AB289" s="70">
        <f t="shared" si="82"/>
        <v>0</v>
      </c>
      <c r="AC289" s="70">
        <f t="shared" si="82"/>
        <v>0</v>
      </c>
      <c r="AD289" s="69">
        <f t="shared" si="82"/>
        <v>0</v>
      </c>
      <c r="AE289" s="70">
        <f t="shared" si="82"/>
        <v>0</v>
      </c>
      <c r="AF289" s="70">
        <f t="shared" si="82"/>
        <v>0</v>
      </c>
      <c r="AG289" s="70">
        <f t="shared" si="82"/>
        <v>0</v>
      </c>
      <c r="AH289" s="70">
        <f t="shared" si="82"/>
        <v>0</v>
      </c>
      <c r="AI289" s="70">
        <f t="shared" si="82"/>
        <v>0</v>
      </c>
      <c r="AJ289" s="70">
        <f t="shared" si="82"/>
        <v>0</v>
      </c>
      <c r="AK289" s="70">
        <f t="shared" si="82"/>
        <v>0</v>
      </c>
      <c r="AL289" s="70">
        <f t="shared" si="82"/>
        <v>0</v>
      </c>
      <c r="AM289" s="70">
        <f t="shared" si="82"/>
        <v>118</v>
      </c>
      <c r="AN289" s="70">
        <f t="shared" si="82"/>
        <v>154.01</v>
      </c>
      <c r="AO289" s="71">
        <f t="shared" si="82"/>
        <v>25.8</v>
      </c>
      <c r="AP289" s="72">
        <f t="shared" si="82"/>
        <v>23.994</v>
      </c>
      <c r="AQ289" s="73">
        <f t="shared" si="82"/>
        <v>93</v>
      </c>
      <c r="AR289" s="73">
        <f t="shared" si="82"/>
        <v>12.200000000000017</v>
      </c>
      <c r="AS289" s="74">
        <f t="shared" si="82"/>
        <v>95</v>
      </c>
      <c r="AT289" s="75">
        <f t="shared" si="82"/>
        <v>22.4</v>
      </c>
      <c r="AU289" s="76">
        <f t="shared" si="82"/>
        <v>16.149999999999999</v>
      </c>
      <c r="AV289" s="73">
        <f t="shared" si="82"/>
        <v>72.098214285714278</v>
      </c>
      <c r="AW289" s="73">
        <f t="shared" si="82"/>
        <v>47.419354838709673</v>
      </c>
      <c r="AX289" s="65">
        <f t="shared" si="82"/>
        <v>88.953514667438554</v>
      </c>
      <c r="AY289" s="77">
        <f t="shared" si="82"/>
        <v>80.3</v>
      </c>
      <c r="AZ289" s="78">
        <f t="shared" si="82"/>
        <v>66.594999999999999</v>
      </c>
      <c r="BA289" s="78">
        <f t="shared" si="82"/>
        <v>0</v>
      </c>
      <c r="BB289" s="78">
        <f t="shared" si="82"/>
        <v>104</v>
      </c>
      <c r="BC289" s="78">
        <f t="shared" si="82"/>
        <v>0</v>
      </c>
      <c r="BD289" s="79">
        <f t="shared" si="82"/>
        <v>154.01</v>
      </c>
      <c r="BE289" s="69">
        <f t="shared" si="82"/>
        <v>4678</v>
      </c>
      <c r="BF289" s="70">
        <f t="shared" si="82"/>
        <v>0</v>
      </c>
      <c r="BG289" s="80">
        <f t="shared" si="82"/>
        <v>4678</v>
      </c>
      <c r="BH289" s="80">
        <f t="shared" si="82"/>
        <v>0</v>
      </c>
      <c r="BI289" s="80">
        <f t="shared" si="82"/>
        <v>0</v>
      </c>
      <c r="BJ289" s="80">
        <f t="shared" si="82"/>
        <v>0</v>
      </c>
      <c r="BK289" s="80">
        <f t="shared" si="82"/>
        <v>0</v>
      </c>
      <c r="BL289" s="79">
        <f t="shared" si="82"/>
        <v>0</v>
      </c>
    </row>
    <row r="290" spans="1:64" outlineLevel="3" x14ac:dyDescent="0.3">
      <c r="A290" s="81" t="s">
        <v>86</v>
      </c>
      <c r="B290" s="82"/>
      <c r="C290" s="83">
        <f t="shared" ref="C290:BL290" si="83">SUBTOTAL(5,C258:C288)</f>
        <v>37</v>
      </c>
      <c r="D290" s="84">
        <f t="shared" si="83"/>
        <v>37</v>
      </c>
      <c r="E290" s="84">
        <f t="shared" si="83"/>
        <v>37</v>
      </c>
      <c r="F290" s="84">
        <f t="shared" si="83"/>
        <v>0</v>
      </c>
      <c r="G290" s="84">
        <f t="shared" si="83"/>
        <v>0</v>
      </c>
      <c r="H290" s="84">
        <f t="shared" si="83"/>
        <v>0</v>
      </c>
      <c r="I290" s="84">
        <f t="shared" si="83"/>
        <v>0</v>
      </c>
      <c r="J290" s="84">
        <f t="shared" si="83"/>
        <v>0</v>
      </c>
      <c r="K290" s="84">
        <f t="shared" si="83"/>
        <v>0</v>
      </c>
      <c r="L290" s="85">
        <f t="shared" si="83"/>
        <v>7.8</v>
      </c>
      <c r="M290" s="86">
        <f t="shared" si="83"/>
        <v>7.8</v>
      </c>
      <c r="N290" s="86">
        <f t="shared" si="83"/>
        <v>7.72</v>
      </c>
      <c r="O290" s="86">
        <f t="shared" si="83"/>
        <v>0</v>
      </c>
      <c r="P290" s="86">
        <f t="shared" si="83"/>
        <v>0</v>
      </c>
      <c r="Q290" s="86">
        <f t="shared" si="83"/>
        <v>0</v>
      </c>
      <c r="R290" s="86">
        <f t="shared" si="83"/>
        <v>0</v>
      </c>
      <c r="S290" s="86">
        <f t="shared" si="83"/>
        <v>0</v>
      </c>
      <c r="T290" s="86">
        <f t="shared" si="83"/>
        <v>0</v>
      </c>
      <c r="U290" s="87">
        <f t="shared" si="83"/>
        <v>1319.2</v>
      </c>
      <c r="V290" s="88">
        <f t="shared" si="83"/>
        <v>1470.5</v>
      </c>
      <c r="W290" s="88">
        <f t="shared" si="83"/>
        <v>1146.0999999999999</v>
      </c>
      <c r="X290" s="88">
        <f t="shared" si="83"/>
        <v>0</v>
      </c>
      <c r="Y290" s="88">
        <f t="shared" si="83"/>
        <v>0</v>
      </c>
      <c r="Z290" s="88">
        <f t="shared" si="83"/>
        <v>0</v>
      </c>
      <c r="AA290" s="88">
        <f t="shared" si="83"/>
        <v>0</v>
      </c>
      <c r="AB290" s="88">
        <f t="shared" si="83"/>
        <v>0</v>
      </c>
      <c r="AC290" s="88">
        <f t="shared" si="83"/>
        <v>0</v>
      </c>
      <c r="AD290" s="87">
        <f t="shared" si="83"/>
        <v>0</v>
      </c>
      <c r="AE290" s="88">
        <f t="shared" si="83"/>
        <v>0</v>
      </c>
      <c r="AF290" s="88">
        <f t="shared" si="83"/>
        <v>0</v>
      </c>
      <c r="AG290" s="88">
        <f t="shared" si="83"/>
        <v>0</v>
      </c>
      <c r="AH290" s="88">
        <f t="shared" si="83"/>
        <v>0</v>
      </c>
      <c r="AI290" s="88">
        <f t="shared" si="83"/>
        <v>0</v>
      </c>
      <c r="AJ290" s="88">
        <f t="shared" si="83"/>
        <v>0</v>
      </c>
      <c r="AK290" s="88">
        <f t="shared" si="83"/>
        <v>0</v>
      </c>
      <c r="AL290" s="88">
        <f t="shared" si="83"/>
        <v>0</v>
      </c>
      <c r="AM290" s="88">
        <f t="shared" si="83"/>
        <v>30.647360561002532</v>
      </c>
      <c r="AN290" s="88">
        <f t="shared" si="83"/>
        <v>40</v>
      </c>
      <c r="AO290" s="89">
        <f t="shared" si="83"/>
        <v>16.600000000000001</v>
      </c>
      <c r="AP290" s="90">
        <f t="shared" si="83"/>
        <v>14.5748</v>
      </c>
      <c r="AQ290" s="91">
        <f t="shared" si="83"/>
        <v>87.799999999999983</v>
      </c>
      <c r="AR290" s="91">
        <f t="shared" si="83"/>
        <v>7</v>
      </c>
      <c r="AS290" s="92">
        <f t="shared" si="83"/>
        <v>0</v>
      </c>
      <c r="AT290" s="93">
        <f t="shared" si="83"/>
        <v>13.7</v>
      </c>
      <c r="AU290" s="94">
        <f t="shared" si="83"/>
        <v>8.1</v>
      </c>
      <c r="AV290" s="91">
        <f t="shared" si="83"/>
        <v>52.580645161290327</v>
      </c>
      <c r="AW290" s="91">
        <f t="shared" si="83"/>
        <v>27.901785714285722</v>
      </c>
      <c r="AX290" s="83">
        <f t="shared" si="83"/>
        <v>81.653972095671961</v>
      </c>
      <c r="AY290" s="95">
        <f t="shared" si="83"/>
        <v>72.5</v>
      </c>
      <c r="AZ290" s="96">
        <f t="shared" si="83"/>
        <v>58.65</v>
      </c>
      <c r="BA290" s="96">
        <f t="shared" si="83"/>
        <v>0</v>
      </c>
      <c r="BB290" s="96">
        <f t="shared" si="83"/>
        <v>18.5</v>
      </c>
      <c r="BC290" s="96">
        <f t="shared" si="83"/>
        <v>0</v>
      </c>
      <c r="BD290" s="97">
        <f t="shared" si="83"/>
        <v>40</v>
      </c>
      <c r="BE290" s="87">
        <f t="shared" si="83"/>
        <v>204</v>
      </c>
      <c r="BF290" s="88">
        <f t="shared" si="83"/>
        <v>0</v>
      </c>
      <c r="BG290" s="98">
        <f t="shared" si="83"/>
        <v>0</v>
      </c>
      <c r="BH290" s="98">
        <f t="shared" si="83"/>
        <v>0</v>
      </c>
      <c r="BI290" s="98">
        <f t="shared" si="83"/>
        <v>0</v>
      </c>
      <c r="BJ290" s="98">
        <f t="shared" si="83"/>
        <v>0</v>
      </c>
      <c r="BK290" s="98">
        <f t="shared" si="83"/>
        <v>0</v>
      </c>
      <c r="BL290" s="97">
        <f t="shared" si="83"/>
        <v>0</v>
      </c>
    </row>
    <row r="291" spans="1:64" outlineLevel="2" x14ac:dyDescent="0.3">
      <c r="A291" s="81" t="s">
        <v>87</v>
      </c>
      <c r="B291" s="82"/>
      <c r="C291" s="83">
        <f t="shared" ref="C291:BL291" si="84">IFERROR(SUBTOTAL(1,C258:C288),"")</f>
        <v>38.20967741935484</v>
      </c>
      <c r="D291" s="84">
        <f t="shared" si="84"/>
        <v>38.064516129032256</v>
      </c>
      <c r="E291" s="84">
        <f t="shared" si="84"/>
        <v>38.354838709677416</v>
      </c>
      <c r="F291" s="84" t="str">
        <f t="shared" si="84"/>
        <v/>
      </c>
      <c r="G291" s="84" t="str">
        <f t="shared" si="84"/>
        <v/>
      </c>
      <c r="H291" s="84" t="str">
        <f t="shared" si="84"/>
        <v/>
      </c>
      <c r="I291" s="84" t="str">
        <f t="shared" si="84"/>
        <v/>
      </c>
      <c r="J291" s="84" t="str">
        <f t="shared" si="84"/>
        <v/>
      </c>
      <c r="K291" s="84" t="str">
        <f t="shared" si="84"/>
        <v/>
      </c>
      <c r="L291" s="85">
        <f t="shared" si="84"/>
        <v>7.85</v>
      </c>
      <c r="M291" s="86">
        <f t="shared" si="84"/>
        <v>7.9010000000000007</v>
      </c>
      <c r="N291" s="86">
        <f t="shared" si="84"/>
        <v>7.7909999999999995</v>
      </c>
      <c r="O291" s="86" t="str">
        <f t="shared" si="84"/>
        <v/>
      </c>
      <c r="P291" s="86" t="str">
        <f t="shared" si="84"/>
        <v/>
      </c>
      <c r="Q291" s="86" t="str">
        <f t="shared" si="84"/>
        <v/>
      </c>
      <c r="R291" s="86" t="str">
        <f t="shared" si="84"/>
        <v/>
      </c>
      <c r="S291" s="86" t="str">
        <f t="shared" si="84"/>
        <v/>
      </c>
      <c r="T291" s="86" t="str">
        <f t="shared" si="84"/>
        <v/>
      </c>
      <c r="U291" s="87">
        <f t="shared" si="84"/>
        <v>1462.1100000000001</v>
      </c>
      <c r="V291" s="88">
        <f t="shared" si="84"/>
        <v>1659.5</v>
      </c>
      <c r="W291" s="88">
        <f t="shared" si="84"/>
        <v>1264.6400000000001</v>
      </c>
      <c r="X291" s="88" t="str">
        <f t="shared" si="84"/>
        <v/>
      </c>
      <c r="Y291" s="88" t="str">
        <f t="shared" si="84"/>
        <v/>
      </c>
      <c r="Z291" s="88" t="str">
        <f t="shared" si="84"/>
        <v/>
      </c>
      <c r="AA291" s="88" t="str">
        <f t="shared" si="84"/>
        <v/>
      </c>
      <c r="AB291" s="88" t="str">
        <f t="shared" si="84"/>
        <v/>
      </c>
      <c r="AC291" s="88" t="str">
        <f t="shared" si="84"/>
        <v/>
      </c>
      <c r="AD291" s="87" t="str">
        <f t="shared" si="84"/>
        <v/>
      </c>
      <c r="AE291" s="88" t="str">
        <f t="shared" si="84"/>
        <v/>
      </c>
      <c r="AF291" s="88" t="str">
        <f t="shared" si="84"/>
        <v/>
      </c>
      <c r="AG291" s="88" t="str">
        <f t="shared" si="84"/>
        <v/>
      </c>
      <c r="AH291" s="88" t="str">
        <f t="shared" si="84"/>
        <v/>
      </c>
      <c r="AI291" s="88" t="str">
        <f t="shared" si="84"/>
        <v/>
      </c>
      <c r="AJ291" s="88" t="str">
        <f t="shared" si="84"/>
        <v/>
      </c>
      <c r="AK291" s="88" t="str">
        <f t="shared" si="84"/>
        <v/>
      </c>
      <c r="AL291" s="88" t="str">
        <f t="shared" si="84"/>
        <v/>
      </c>
      <c r="AM291" s="88">
        <f t="shared" si="84"/>
        <v>49.755572480183552</v>
      </c>
      <c r="AN291" s="88">
        <f t="shared" si="84"/>
        <v>104.09064516129033</v>
      </c>
      <c r="AO291" s="89">
        <f t="shared" si="84"/>
        <v>22.024999999999999</v>
      </c>
      <c r="AP291" s="90">
        <f t="shared" si="84"/>
        <v>20.057025000000003</v>
      </c>
      <c r="AQ291" s="91">
        <f t="shared" si="84"/>
        <v>90.65</v>
      </c>
      <c r="AR291" s="91">
        <f t="shared" si="84"/>
        <v>9.3500000000000014</v>
      </c>
      <c r="AS291" s="92">
        <f t="shared" si="84"/>
        <v>17.29032258064516</v>
      </c>
      <c r="AT291" s="93">
        <f t="shared" si="84"/>
        <v>15.290000000000001</v>
      </c>
      <c r="AU291" s="94">
        <f t="shared" si="84"/>
        <v>9.2650000000000006</v>
      </c>
      <c r="AV291" s="91">
        <f t="shared" si="84"/>
        <v>60.016555704809413</v>
      </c>
      <c r="AW291" s="91">
        <f t="shared" si="84"/>
        <v>39.98344429519058</v>
      </c>
      <c r="AX291" s="83">
        <f t="shared" si="84"/>
        <v>85.30374338155525</v>
      </c>
      <c r="AY291" s="95">
        <f t="shared" si="84"/>
        <v>76.004999999999995</v>
      </c>
      <c r="AZ291" s="96">
        <f t="shared" si="84"/>
        <v>62.963863636363655</v>
      </c>
      <c r="BA291" s="96" t="str">
        <f t="shared" si="84"/>
        <v/>
      </c>
      <c r="BB291" s="96">
        <f t="shared" si="84"/>
        <v>65.13636363636364</v>
      </c>
      <c r="BC291" s="96" t="str">
        <f t="shared" si="84"/>
        <v/>
      </c>
      <c r="BD291" s="97">
        <f>IFERROR(SUBTOTAL(1,BD258:BD288),"")</f>
        <v>104.09064516129033</v>
      </c>
      <c r="BE291" s="87">
        <f t="shared" si="84"/>
        <v>2207.4</v>
      </c>
      <c r="BF291" s="88">
        <f t="shared" si="84"/>
        <v>0</v>
      </c>
      <c r="BG291" s="98">
        <f t="shared" si="84"/>
        <v>356.03225806451616</v>
      </c>
      <c r="BH291" s="98">
        <f t="shared" si="84"/>
        <v>0</v>
      </c>
      <c r="BI291" s="98" t="str">
        <f t="shared" si="84"/>
        <v/>
      </c>
      <c r="BJ291" s="98" t="str">
        <f t="shared" si="84"/>
        <v/>
      </c>
      <c r="BK291" s="98" t="str">
        <f t="shared" si="84"/>
        <v/>
      </c>
      <c r="BL291" s="97" t="str">
        <f t="shared" si="84"/>
        <v/>
      </c>
    </row>
    <row r="292" spans="1:64" ht="17.25" outlineLevel="1" thickBot="1" x14ac:dyDescent="0.35">
      <c r="A292" s="99" t="s">
        <v>88</v>
      </c>
      <c r="B292" s="100"/>
      <c r="C292" s="101"/>
      <c r="D292" s="102"/>
      <c r="E292" s="102"/>
      <c r="F292" s="102"/>
      <c r="G292" s="102"/>
      <c r="H292" s="102"/>
      <c r="I292" s="102"/>
      <c r="J292" s="102"/>
      <c r="K292" s="102"/>
      <c r="L292" s="103"/>
      <c r="M292" s="104"/>
      <c r="N292" s="104"/>
      <c r="O292" s="104"/>
      <c r="P292" s="104"/>
      <c r="Q292" s="104"/>
      <c r="R292" s="104"/>
      <c r="S292" s="104"/>
      <c r="T292" s="104"/>
      <c r="U292" s="105"/>
      <c r="V292" s="106"/>
      <c r="W292" s="106"/>
      <c r="X292" s="106"/>
      <c r="Y292" s="106"/>
      <c r="Z292" s="106"/>
      <c r="AA292" s="106"/>
      <c r="AB292" s="106"/>
      <c r="AC292" s="106"/>
      <c r="AD292" s="105"/>
      <c r="AE292" s="106"/>
      <c r="AF292" s="106"/>
      <c r="AG292" s="106"/>
      <c r="AH292" s="106"/>
      <c r="AI292" s="106"/>
      <c r="AJ292" s="106"/>
      <c r="AK292" s="106"/>
      <c r="AL292" s="106"/>
      <c r="AM292" s="106"/>
      <c r="AN292" s="107">
        <f>SUBTOTAL(9,AN258:AN288)</f>
        <v>3226.81</v>
      </c>
      <c r="AO292" s="108"/>
      <c r="AP292" s="109"/>
      <c r="AQ292" s="110"/>
      <c r="AR292" s="110"/>
      <c r="AS292" s="111">
        <f>SUBTOTAL(9,AS258:AS288)</f>
        <v>536</v>
      </c>
      <c r="AT292" s="112"/>
      <c r="AU292" s="113"/>
      <c r="AV292" s="110"/>
      <c r="AW292" s="110"/>
      <c r="AX292" s="101"/>
      <c r="AY292" s="114"/>
      <c r="AZ292" s="115"/>
      <c r="BA292" s="115"/>
      <c r="BB292" s="115"/>
      <c r="BC292" s="115"/>
      <c r="BD292" s="116">
        <f>SUBTOTAL(9,BD258:BD288)</f>
        <v>3226.81</v>
      </c>
      <c r="BE292" s="117">
        <f t="shared" ref="BE292:BL292" si="85">SUBTOTAL(9,BE258:BE288)</f>
        <v>11037</v>
      </c>
      <c r="BF292" s="107">
        <f t="shared" si="85"/>
        <v>0</v>
      </c>
      <c r="BG292" s="118">
        <f t="shared" si="85"/>
        <v>11037</v>
      </c>
      <c r="BH292" s="118">
        <f t="shared" si="85"/>
        <v>0</v>
      </c>
      <c r="BI292" s="118">
        <f t="shared" si="85"/>
        <v>0</v>
      </c>
      <c r="BJ292" s="118">
        <f t="shared" si="85"/>
        <v>0</v>
      </c>
      <c r="BK292" s="118">
        <f t="shared" si="85"/>
        <v>0</v>
      </c>
      <c r="BL292" s="116">
        <f t="shared" si="85"/>
        <v>0</v>
      </c>
    </row>
    <row r="293" spans="1:64" outlineLevel="5" x14ac:dyDescent="0.3">
      <c r="A293" s="136">
        <f t="shared" si="71"/>
        <v>9</v>
      </c>
      <c r="B293" s="165">
        <f>B288+1</f>
        <v>44075</v>
      </c>
      <c r="C293" s="138">
        <f>IFERROR(ROUND(AVERAGE(D293:K293),1),"")</f>
        <v>38</v>
      </c>
      <c r="D293" s="84">
        <v>38</v>
      </c>
      <c r="E293" s="84">
        <v>38</v>
      </c>
      <c r="F293" s="84"/>
      <c r="G293" s="84"/>
      <c r="H293" s="84"/>
      <c r="I293" s="84"/>
      <c r="J293" s="84"/>
      <c r="K293" s="84"/>
      <c r="L293" s="140" t="str">
        <f>IFERROR(ROUND(AVERAGE(M293:T293),1),"")</f>
        <v/>
      </c>
      <c r="M293" s="86"/>
      <c r="N293" s="86"/>
      <c r="O293" s="86"/>
      <c r="P293" s="86"/>
      <c r="Q293" s="86"/>
      <c r="R293" s="86"/>
      <c r="S293" s="86"/>
      <c r="T293" s="86"/>
      <c r="U293" s="142" t="str">
        <f>IFERROR(ROUND(AVERAGE(V293:AC293),1),"")</f>
        <v/>
      </c>
      <c r="V293" s="88"/>
      <c r="W293" s="88"/>
      <c r="X293" s="88"/>
      <c r="Y293" s="88"/>
      <c r="Z293" s="88"/>
      <c r="AA293" s="88"/>
      <c r="AB293" s="88"/>
      <c r="AC293" s="88"/>
      <c r="AD293" s="142" t="str">
        <f>IFERROR(ROUND(AVERAGE(AE293:AL293),1),"")</f>
        <v/>
      </c>
      <c r="AE293" s="88"/>
      <c r="AF293" s="88"/>
      <c r="AG293" s="88"/>
      <c r="AH293" s="88"/>
      <c r="AI293" s="88"/>
      <c r="AJ293" s="88"/>
      <c r="AK293" s="88"/>
      <c r="AL293" s="88"/>
      <c r="AM293" s="88">
        <v>38.039974210186969</v>
      </c>
      <c r="AN293" s="88">
        <v>124.08000000000001</v>
      </c>
      <c r="AO293" s="89" t="s">
        <v>56</v>
      </c>
      <c r="AP293" s="90" t="s">
        <v>56</v>
      </c>
      <c r="AQ293" s="146" t="str">
        <f t="shared" ref="AQ293:AQ322" si="86">IFERROR(AP293/AO293*100,"")</f>
        <v/>
      </c>
      <c r="AR293" s="146" t="str">
        <f t="shared" ref="AR293:AR322" si="87">IFERROR(100-AQ293,"")</f>
        <v/>
      </c>
      <c r="AS293" s="147">
        <v>30</v>
      </c>
      <c r="AT293" s="148" t="s">
        <v>56</v>
      </c>
      <c r="AU293" s="149" t="s">
        <v>56</v>
      </c>
      <c r="AV293" s="146" t="str">
        <f t="shared" ref="AV293:AV322" si="88">IFERROR(AU293/AT293*100,"")</f>
        <v/>
      </c>
      <c r="AW293" s="146" t="str">
        <f t="shared" ref="AW293:AW322" si="89">IFERROR(100-AV293,"")</f>
        <v/>
      </c>
      <c r="AX293" s="138" t="str">
        <f>IFERROR((1-((AV293*AR293)/(AW293*AQ293)))*100,"")</f>
        <v/>
      </c>
      <c r="AY293" s="95">
        <v>77.5</v>
      </c>
      <c r="AZ293" s="96">
        <v>61.06</v>
      </c>
      <c r="BA293" s="96"/>
      <c r="BB293" s="96">
        <v>60</v>
      </c>
      <c r="BC293" s="96"/>
      <c r="BD293" s="97">
        <v>124.08000000000001</v>
      </c>
      <c r="BE293" s="142" t="str">
        <f t="shared" ref="BE293:BE322" si="90">IF(SUM(BF293:BL293)=0,"",SUM(BF293:BL293))</f>
        <v/>
      </c>
      <c r="BF293" s="98">
        <v>0</v>
      </c>
      <c r="BG293" s="98">
        <v>0</v>
      </c>
      <c r="BH293" s="98">
        <v>0</v>
      </c>
      <c r="BI293" s="98"/>
      <c r="BJ293" s="98"/>
      <c r="BK293" s="98"/>
      <c r="BL293" s="97"/>
    </row>
    <row r="294" spans="1:64" outlineLevel="5" x14ac:dyDescent="0.3">
      <c r="A294" s="152">
        <f t="shared" si="71"/>
        <v>9</v>
      </c>
      <c r="B294" s="153">
        <f t="shared" si="81"/>
        <v>44076</v>
      </c>
      <c r="C294" s="138">
        <f>IFERROR(ROUND(AVERAGE(D294:K294),1),"")</f>
        <v>38.5</v>
      </c>
      <c r="D294" s="84">
        <v>38</v>
      </c>
      <c r="E294" s="84">
        <v>39</v>
      </c>
      <c r="F294" s="84"/>
      <c r="G294" s="84"/>
      <c r="H294" s="84"/>
      <c r="I294" s="84"/>
      <c r="J294" s="84"/>
      <c r="K294" s="84"/>
      <c r="L294" s="140">
        <f>IFERROR(ROUND(AVERAGE(M294:T294),1),"")</f>
        <v>7.8</v>
      </c>
      <c r="M294" s="86">
        <v>7.91</v>
      </c>
      <c r="N294" s="86">
        <v>7.75</v>
      </c>
      <c r="O294" s="86"/>
      <c r="P294" s="86"/>
      <c r="Q294" s="86"/>
      <c r="R294" s="86"/>
      <c r="S294" s="86"/>
      <c r="T294" s="86"/>
      <c r="U294" s="142">
        <f>IFERROR(ROUND(AVERAGE(V294:AC294),1),"")</f>
        <v>1448.9</v>
      </c>
      <c r="V294" s="88">
        <v>1643.5</v>
      </c>
      <c r="W294" s="88">
        <v>1254.3</v>
      </c>
      <c r="X294" s="88"/>
      <c r="Y294" s="88"/>
      <c r="Z294" s="88"/>
      <c r="AA294" s="88"/>
      <c r="AB294" s="88"/>
      <c r="AC294" s="88"/>
      <c r="AD294" s="142" t="str">
        <f>IFERROR(ROUND(AVERAGE(AE294:AL294),1),"")</f>
        <v/>
      </c>
      <c r="AE294" s="88"/>
      <c r="AF294" s="88"/>
      <c r="AG294" s="88"/>
      <c r="AH294" s="88"/>
      <c r="AI294" s="88"/>
      <c r="AJ294" s="88"/>
      <c r="AK294" s="88"/>
      <c r="AL294" s="88"/>
      <c r="AM294" s="88">
        <v>43.813236795692937</v>
      </c>
      <c r="AN294" s="88">
        <v>107.73</v>
      </c>
      <c r="AO294" s="89"/>
      <c r="AP294" s="90"/>
      <c r="AQ294" s="146" t="str">
        <f t="shared" si="86"/>
        <v/>
      </c>
      <c r="AR294" s="146" t="str">
        <f t="shared" si="87"/>
        <v/>
      </c>
      <c r="AS294" s="147">
        <v>27</v>
      </c>
      <c r="AT294" s="148">
        <v>16.350000000000001</v>
      </c>
      <c r="AU294" s="149">
        <v>9.3999999999999986</v>
      </c>
      <c r="AV294" s="146">
        <f t="shared" si="88"/>
        <v>57.492354740061145</v>
      </c>
      <c r="AW294" s="146">
        <f t="shared" si="89"/>
        <v>42.507645259938855</v>
      </c>
      <c r="AX294" s="138" t="str">
        <f>IFERROR((1-((AV294*AR294)/(AW294*AQ294)))*100,"")</f>
        <v/>
      </c>
      <c r="AY294" s="95" t="s">
        <v>56</v>
      </c>
      <c r="AZ294" s="96">
        <v>64.075000000000003</v>
      </c>
      <c r="BA294" s="96"/>
      <c r="BB294" s="96">
        <v>49.5</v>
      </c>
      <c r="BC294" s="96"/>
      <c r="BD294" s="97">
        <v>107.73</v>
      </c>
      <c r="BE294" s="142">
        <f t="shared" si="90"/>
        <v>1824</v>
      </c>
      <c r="BF294" s="98">
        <v>0</v>
      </c>
      <c r="BG294" s="98">
        <v>1824</v>
      </c>
      <c r="BH294" s="98">
        <v>0</v>
      </c>
      <c r="BI294" s="98"/>
      <c r="BJ294" s="98"/>
      <c r="BK294" s="98"/>
      <c r="BL294" s="97"/>
    </row>
    <row r="295" spans="1:64" outlineLevel="5" x14ac:dyDescent="0.3">
      <c r="A295" s="152">
        <f t="shared" si="71"/>
        <v>9</v>
      </c>
      <c r="B295" s="153">
        <f t="shared" si="81"/>
        <v>44077</v>
      </c>
      <c r="C295" s="138">
        <f>IFERROR(ROUND(AVERAGE(D295:K295),1),"")</f>
        <v>35.5</v>
      </c>
      <c r="D295" s="84">
        <v>35</v>
      </c>
      <c r="E295" s="84">
        <v>36</v>
      </c>
      <c r="F295" s="84"/>
      <c r="G295" s="84"/>
      <c r="H295" s="84"/>
      <c r="I295" s="84"/>
      <c r="J295" s="84"/>
      <c r="K295" s="84"/>
      <c r="L295" s="140" t="str">
        <f>IFERROR(ROUND(AVERAGE(M295:T295),1),"")</f>
        <v/>
      </c>
      <c r="M295" s="86"/>
      <c r="N295" s="86"/>
      <c r="O295" s="86"/>
      <c r="P295" s="86"/>
      <c r="Q295" s="86"/>
      <c r="R295" s="86"/>
      <c r="S295" s="86"/>
      <c r="T295" s="86"/>
      <c r="U295" s="142" t="str">
        <f>IFERROR(ROUND(AVERAGE(V295:AC295),1),"")</f>
        <v/>
      </c>
      <c r="V295" s="88"/>
      <c r="W295" s="88"/>
      <c r="X295" s="88"/>
      <c r="Y295" s="88"/>
      <c r="Z295" s="88"/>
      <c r="AA295" s="88"/>
      <c r="AB295" s="88"/>
      <c r="AC295" s="88"/>
      <c r="AD295" s="142" t="str">
        <f>IFERROR(ROUND(AVERAGE(AE295:AL295),1),"")</f>
        <v/>
      </c>
      <c r="AE295" s="88"/>
      <c r="AF295" s="88"/>
      <c r="AG295" s="88"/>
      <c r="AH295" s="88"/>
      <c r="AI295" s="88"/>
      <c r="AJ295" s="88"/>
      <c r="AK295" s="88"/>
      <c r="AL295" s="88"/>
      <c r="AM295" s="88">
        <v>42.991164951270612</v>
      </c>
      <c r="AN295" s="88">
        <v>109.78999999999999</v>
      </c>
      <c r="AO295" s="89"/>
      <c r="AP295" s="90"/>
      <c r="AQ295" s="146" t="str">
        <f t="shared" si="86"/>
        <v/>
      </c>
      <c r="AR295" s="146" t="str">
        <f t="shared" si="87"/>
        <v/>
      </c>
      <c r="AS295" s="147">
        <v>20</v>
      </c>
      <c r="AT295" s="148" t="s">
        <v>56</v>
      </c>
      <c r="AU295" s="149" t="s">
        <v>56</v>
      </c>
      <c r="AV295" s="146" t="str">
        <f t="shared" si="88"/>
        <v/>
      </c>
      <c r="AW295" s="146" t="str">
        <f t="shared" si="89"/>
        <v/>
      </c>
      <c r="AX295" s="138" t="str">
        <f>IFERROR((1-((AV295*AR295)/(AW295*AQ295)))*100,"")</f>
        <v/>
      </c>
      <c r="AY295" s="95" t="s">
        <v>56</v>
      </c>
      <c r="AZ295" s="96">
        <v>68.460000000000008</v>
      </c>
      <c r="BA295" s="96"/>
      <c r="BB295" s="96">
        <v>43</v>
      </c>
      <c r="BC295" s="96"/>
      <c r="BD295" s="97">
        <v>109.78999999999999</v>
      </c>
      <c r="BE295" s="142">
        <f t="shared" si="90"/>
        <v>715</v>
      </c>
      <c r="BF295" s="98">
        <v>0</v>
      </c>
      <c r="BG295" s="98">
        <v>715</v>
      </c>
      <c r="BH295" s="98">
        <v>0</v>
      </c>
      <c r="BI295" s="98"/>
      <c r="BJ295" s="98"/>
      <c r="BK295" s="98"/>
      <c r="BL295" s="97"/>
    </row>
    <row r="296" spans="1:64" outlineLevel="5" x14ac:dyDescent="0.3">
      <c r="A296" s="152">
        <f t="shared" si="71"/>
        <v>9</v>
      </c>
      <c r="B296" s="153">
        <f t="shared" si="81"/>
        <v>44078</v>
      </c>
      <c r="C296" s="138">
        <f>IFERROR(ROUND(AVERAGE(D296:K296),1),"")</f>
        <v>36.5</v>
      </c>
      <c r="D296" s="84">
        <v>36</v>
      </c>
      <c r="E296" s="84">
        <v>37</v>
      </c>
      <c r="F296" s="84"/>
      <c r="G296" s="84"/>
      <c r="H296" s="84"/>
      <c r="I296" s="84"/>
      <c r="J296" s="84"/>
      <c r="K296" s="84"/>
      <c r="L296" s="140" t="str">
        <f>IFERROR(ROUND(AVERAGE(M296:T296),1),"")</f>
        <v/>
      </c>
      <c r="M296" s="86"/>
      <c r="N296" s="86"/>
      <c r="O296" s="86"/>
      <c r="P296" s="86"/>
      <c r="Q296" s="86"/>
      <c r="R296" s="86"/>
      <c r="S296" s="86"/>
      <c r="T296" s="86"/>
      <c r="U296" s="142" t="str">
        <f>IFERROR(ROUND(AVERAGE(V296:AC296),1),"")</f>
        <v/>
      </c>
      <c r="V296" s="88"/>
      <c r="W296" s="88"/>
      <c r="X296" s="88"/>
      <c r="Y296" s="88"/>
      <c r="Z296" s="88"/>
      <c r="AA296" s="88"/>
      <c r="AB296" s="88"/>
      <c r="AC296" s="88"/>
      <c r="AD296" s="142" t="str">
        <f>IFERROR(ROUND(AVERAGE(AE296:AL296),1),"")</f>
        <v/>
      </c>
      <c r="AE296" s="88"/>
      <c r="AF296" s="88"/>
      <c r="AG296" s="88"/>
      <c r="AH296" s="88"/>
      <c r="AI296" s="88"/>
      <c r="AJ296" s="88"/>
      <c r="AK296" s="88"/>
      <c r="AL296" s="88"/>
      <c r="AM296" s="88">
        <v>43.57861693287785</v>
      </c>
      <c r="AN296" s="88">
        <v>108.31</v>
      </c>
      <c r="AO296" s="89" t="s">
        <v>56</v>
      </c>
      <c r="AP296" s="90"/>
      <c r="AQ296" s="146" t="str">
        <f t="shared" si="86"/>
        <v/>
      </c>
      <c r="AR296" s="146" t="str">
        <f t="shared" si="87"/>
        <v/>
      </c>
      <c r="AS296" s="147">
        <v>20</v>
      </c>
      <c r="AT296" s="148" t="s">
        <v>56</v>
      </c>
      <c r="AU296" s="149" t="s">
        <v>56</v>
      </c>
      <c r="AV296" s="146" t="str">
        <f t="shared" si="88"/>
        <v/>
      </c>
      <c r="AW296" s="146" t="str">
        <f t="shared" si="89"/>
        <v/>
      </c>
      <c r="AX296" s="138" t="str">
        <f>IFERROR((1-((AV296*AR296)/(AW296*AQ296)))*100,"")</f>
        <v/>
      </c>
      <c r="AY296" s="95" t="s">
        <v>56</v>
      </c>
      <c r="AZ296" s="96">
        <v>64.914999999999992</v>
      </c>
      <c r="BA296" s="96"/>
      <c r="BB296" s="96">
        <v>63</v>
      </c>
      <c r="BC296" s="96"/>
      <c r="BD296" s="97">
        <v>108.31</v>
      </c>
      <c r="BE296" s="142">
        <f t="shared" si="90"/>
        <v>5790</v>
      </c>
      <c r="BF296" s="98">
        <v>37</v>
      </c>
      <c r="BG296" s="98">
        <v>5753</v>
      </c>
      <c r="BH296" s="98">
        <v>0</v>
      </c>
      <c r="BI296" s="98"/>
      <c r="BJ296" s="98"/>
      <c r="BK296" s="98"/>
      <c r="BL296" s="97"/>
    </row>
    <row r="297" spans="1:64" outlineLevel="5" x14ac:dyDescent="0.3">
      <c r="A297" s="152">
        <f t="shared" si="71"/>
        <v>9</v>
      </c>
      <c r="B297" s="153">
        <f t="shared" si="81"/>
        <v>44079</v>
      </c>
      <c r="C297" s="138">
        <f>IFERROR(ROUND(AVERAGE(D297:K297),1),"")</f>
        <v>37</v>
      </c>
      <c r="D297" s="84">
        <v>37</v>
      </c>
      <c r="E297" s="84">
        <v>37</v>
      </c>
      <c r="F297" s="84"/>
      <c r="G297" s="84"/>
      <c r="H297" s="84"/>
      <c r="I297" s="84"/>
      <c r="J297" s="84"/>
      <c r="K297" s="84"/>
      <c r="L297" s="140" t="str">
        <f>IFERROR(ROUND(AVERAGE(M297:T297),1),"")</f>
        <v/>
      </c>
      <c r="M297" s="86"/>
      <c r="N297" s="86"/>
      <c r="O297" s="86"/>
      <c r="P297" s="86"/>
      <c r="Q297" s="86"/>
      <c r="R297" s="86"/>
      <c r="S297" s="86"/>
      <c r="T297" s="86"/>
      <c r="U297" s="142" t="str">
        <f>IFERROR(ROUND(AVERAGE(V297:AC297),1),"")</f>
        <v/>
      </c>
      <c r="V297" s="88"/>
      <c r="W297" s="88"/>
      <c r="X297" s="88"/>
      <c r="Y297" s="88"/>
      <c r="Z297" s="88"/>
      <c r="AA297" s="88"/>
      <c r="AB297" s="88"/>
      <c r="AC297" s="88"/>
      <c r="AD297" s="142" t="str">
        <f>IFERROR(ROUND(AVERAGE(AE297:AL297),1),"")</f>
        <v/>
      </c>
      <c r="AE297" s="88"/>
      <c r="AF297" s="88"/>
      <c r="AG297" s="88"/>
      <c r="AH297" s="88"/>
      <c r="AI297" s="88"/>
      <c r="AJ297" s="88"/>
      <c r="AK297" s="88"/>
      <c r="AL297" s="88"/>
      <c r="AM297" s="88">
        <v>68.001728857513328</v>
      </c>
      <c r="AN297" s="88">
        <v>69.41</v>
      </c>
      <c r="AO297" s="89" t="s">
        <v>56</v>
      </c>
      <c r="AP297" s="90" t="s">
        <v>56</v>
      </c>
      <c r="AQ297" s="146" t="str">
        <f t="shared" si="86"/>
        <v/>
      </c>
      <c r="AR297" s="146" t="str">
        <f t="shared" si="87"/>
        <v/>
      </c>
      <c r="AS297" s="147">
        <v>10</v>
      </c>
      <c r="AT297" s="148" t="s">
        <v>56</v>
      </c>
      <c r="AU297" s="149" t="s">
        <v>56</v>
      </c>
      <c r="AV297" s="146" t="str">
        <f t="shared" si="88"/>
        <v/>
      </c>
      <c r="AW297" s="146" t="str">
        <f t="shared" si="89"/>
        <v/>
      </c>
      <c r="AX297" s="138" t="str">
        <f>IFERROR((1-((AV297*AR297)/(AW297*AQ297)))*100,"")</f>
        <v/>
      </c>
      <c r="AY297" s="95" t="s">
        <v>56</v>
      </c>
      <c r="AZ297" s="96">
        <v>64.02</v>
      </c>
      <c r="BA297" s="96"/>
      <c r="BB297" s="96">
        <v>60.5</v>
      </c>
      <c r="BC297" s="96"/>
      <c r="BD297" s="97">
        <v>69.41</v>
      </c>
      <c r="BE297" s="142">
        <f t="shared" si="90"/>
        <v>166</v>
      </c>
      <c r="BF297" s="98">
        <v>91</v>
      </c>
      <c r="BG297" s="98">
        <v>75</v>
      </c>
      <c r="BH297" s="98">
        <v>0</v>
      </c>
      <c r="BI297" s="98"/>
      <c r="BJ297" s="98"/>
      <c r="BK297" s="98"/>
      <c r="BL297" s="97"/>
    </row>
    <row r="298" spans="1:64" outlineLevel="5" x14ac:dyDescent="0.3">
      <c r="A298" s="152">
        <f t="shared" si="71"/>
        <v>9</v>
      </c>
      <c r="B298" s="153">
        <f t="shared" si="81"/>
        <v>44080</v>
      </c>
      <c r="C298" s="138">
        <f>IFERROR(ROUND(AVERAGE(D298:K298),1),"")</f>
        <v>38</v>
      </c>
      <c r="D298" s="84">
        <v>38</v>
      </c>
      <c r="E298" s="84">
        <v>38</v>
      </c>
      <c r="F298" s="84"/>
      <c r="G298" s="84"/>
      <c r="H298" s="84"/>
      <c r="I298" s="84"/>
      <c r="J298" s="84"/>
      <c r="K298" s="84"/>
      <c r="L298" s="140" t="str">
        <f>IFERROR(ROUND(AVERAGE(M298:T298),1),"")</f>
        <v/>
      </c>
      <c r="M298" s="86"/>
      <c r="N298" s="86"/>
      <c r="O298" s="86"/>
      <c r="P298" s="86"/>
      <c r="Q298" s="86"/>
      <c r="R298" s="86"/>
      <c r="S298" s="86"/>
      <c r="T298" s="86"/>
      <c r="U298" s="142" t="str">
        <f>IFERROR(ROUND(AVERAGE(V298:AC298),1),"")</f>
        <v/>
      </c>
      <c r="V298" s="88"/>
      <c r="W298" s="88"/>
      <c r="X298" s="88"/>
      <c r="Y298" s="88"/>
      <c r="Z298" s="88"/>
      <c r="AA298" s="88"/>
      <c r="AB298" s="88"/>
      <c r="AC298" s="88"/>
      <c r="AD298" s="142" t="str">
        <f>IFERROR(ROUND(AVERAGE(AE298:AL298),1),"")</f>
        <v/>
      </c>
      <c r="AE298" s="88"/>
      <c r="AF298" s="88"/>
      <c r="AG298" s="88"/>
      <c r="AH298" s="88"/>
      <c r="AI298" s="88"/>
      <c r="AJ298" s="88"/>
      <c r="AK298" s="88"/>
      <c r="AL298" s="88"/>
      <c r="AM298" s="88">
        <v>67.428571428571431</v>
      </c>
      <c r="AN298" s="88">
        <v>70</v>
      </c>
      <c r="AO298" s="89" t="s">
        <v>56</v>
      </c>
      <c r="AP298" s="90" t="s">
        <v>56</v>
      </c>
      <c r="AQ298" s="146" t="str">
        <f t="shared" si="86"/>
        <v/>
      </c>
      <c r="AR298" s="146" t="str">
        <f t="shared" si="87"/>
        <v/>
      </c>
      <c r="AS298" s="147">
        <v>10</v>
      </c>
      <c r="AT298" s="148" t="s">
        <v>56</v>
      </c>
      <c r="AU298" s="149" t="s">
        <v>56</v>
      </c>
      <c r="AV298" s="146" t="str">
        <f t="shared" si="88"/>
        <v/>
      </c>
      <c r="AW298" s="146" t="str">
        <f t="shared" si="89"/>
        <v/>
      </c>
      <c r="AX298" s="138" t="str">
        <f>IFERROR((1-((AV298*AR298)/(AW298*AQ298)))*100,"")</f>
        <v/>
      </c>
      <c r="AY298" s="95" t="s">
        <v>56</v>
      </c>
      <c r="AZ298" s="96">
        <v>62.055</v>
      </c>
      <c r="BA298" s="96"/>
      <c r="BB298" s="96">
        <v>57.5</v>
      </c>
      <c r="BC298" s="96"/>
      <c r="BD298" s="97">
        <v>70</v>
      </c>
      <c r="BE298" s="142">
        <f t="shared" si="90"/>
        <v>38</v>
      </c>
      <c r="BF298" s="98">
        <v>38</v>
      </c>
      <c r="BG298" s="98">
        <v>0</v>
      </c>
      <c r="BH298" s="98">
        <v>0</v>
      </c>
      <c r="BI298" s="98"/>
      <c r="BJ298" s="98"/>
      <c r="BK298" s="98"/>
      <c r="BL298" s="97"/>
    </row>
    <row r="299" spans="1:64" outlineLevel="5" x14ac:dyDescent="0.3">
      <c r="A299" s="152">
        <f t="shared" si="71"/>
        <v>9</v>
      </c>
      <c r="B299" s="153">
        <f t="shared" si="81"/>
        <v>44081</v>
      </c>
      <c r="C299" s="138">
        <f>IFERROR(ROUND(AVERAGE(D299:K299),1),"")</f>
        <v>38</v>
      </c>
      <c r="D299" s="84">
        <v>38</v>
      </c>
      <c r="E299" s="84">
        <v>38</v>
      </c>
      <c r="F299" s="84"/>
      <c r="G299" s="84"/>
      <c r="H299" s="84"/>
      <c r="I299" s="84"/>
      <c r="J299" s="84"/>
      <c r="K299" s="84"/>
      <c r="L299" s="140" t="str">
        <f>IFERROR(ROUND(AVERAGE(M299:T299),1),"")</f>
        <v/>
      </c>
      <c r="M299" s="86"/>
      <c r="N299" s="86"/>
      <c r="O299" s="86"/>
      <c r="P299" s="86"/>
      <c r="Q299" s="86"/>
      <c r="R299" s="86"/>
      <c r="S299" s="86"/>
      <c r="T299" s="86"/>
      <c r="U299" s="142" t="str">
        <f>IFERROR(ROUND(AVERAGE(V299:AC299),1),"")</f>
        <v/>
      </c>
      <c r="V299" s="88"/>
      <c r="W299" s="88"/>
      <c r="X299" s="88"/>
      <c r="Y299" s="88"/>
      <c r="Z299" s="88"/>
      <c r="AA299" s="88"/>
      <c r="AB299" s="88"/>
      <c r="AC299" s="88"/>
      <c r="AD299" s="142" t="str">
        <f>IFERROR(ROUND(AVERAGE(AE299:AL299),1),"")</f>
        <v/>
      </c>
      <c r="AE299" s="88"/>
      <c r="AF299" s="88"/>
      <c r="AG299" s="88"/>
      <c r="AH299" s="88"/>
      <c r="AI299" s="88"/>
      <c r="AJ299" s="88"/>
      <c r="AK299" s="88"/>
      <c r="AL299" s="88"/>
      <c r="AM299" s="88"/>
      <c r="AN299" s="88">
        <v>0</v>
      </c>
      <c r="AO299" s="89" t="s">
        <v>56</v>
      </c>
      <c r="AP299" s="90"/>
      <c r="AQ299" s="146" t="str">
        <f t="shared" si="86"/>
        <v/>
      </c>
      <c r="AR299" s="146" t="str">
        <f t="shared" si="87"/>
        <v/>
      </c>
      <c r="AS299" s="147">
        <v>0</v>
      </c>
      <c r="AT299" s="148" t="s">
        <v>56</v>
      </c>
      <c r="AU299" s="149" t="s">
        <v>56</v>
      </c>
      <c r="AV299" s="146" t="str">
        <f t="shared" si="88"/>
        <v/>
      </c>
      <c r="AW299" s="146" t="str">
        <f t="shared" si="89"/>
        <v/>
      </c>
      <c r="AX299" s="138" t="str">
        <f>IFERROR((1-((AV299*AR299)/(AW299*AQ299)))*100,"")</f>
        <v/>
      </c>
      <c r="AY299" s="95" t="s">
        <v>56</v>
      </c>
      <c r="AZ299" s="96">
        <v>66.41</v>
      </c>
      <c r="BA299" s="96"/>
      <c r="BB299" s="96">
        <v>32.5</v>
      </c>
      <c r="BC299" s="96"/>
      <c r="BD299" s="97">
        <v>0</v>
      </c>
      <c r="BE299" s="142">
        <f t="shared" si="90"/>
        <v>397</v>
      </c>
      <c r="BF299" s="98">
        <v>0</v>
      </c>
      <c r="BG299" s="98">
        <v>397</v>
      </c>
      <c r="BH299" s="98">
        <v>0</v>
      </c>
      <c r="BI299" s="98"/>
      <c r="BJ299" s="98"/>
      <c r="BK299" s="98"/>
      <c r="BL299" s="97"/>
    </row>
    <row r="300" spans="1:64" outlineLevel="5" x14ac:dyDescent="0.3">
      <c r="A300" s="152">
        <f t="shared" si="71"/>
        <v>9</v>
      </c>
      <c r="B300" s="153">
        <f t="shared" si="81"/>
        <v>44082</v>
      </c>
      <c r="C300" s="138">
        <f>IFERROR(ROUND(AVERAGE(D300:K300),1),"")</f>
        <v>38</v>
      </c>
      <c r="D300" s="84">
        <v>38</v>
      </c>
      <c r="E300" s="84">
        <v>38</v>
      </c>
      <c r="F300" s="84"/>
      <c r="G300" s="84"/>
      <c r="H300" s="84"/>
      <c r="I300" s="84"/>
      <c r="J300" s="84"/>
      <c r="K300" s="84"/>
      <c r="L300" s="140" t="str">
        <f>IFERROR(ROUND(AVERAGE(M300:T300),1),"")</f>
        <v/>
      </c>
      <c r="M300" s="86"/>
      <c r="N300" s="86"/>
      <c r="O300" s="86"/>
      <c r="P300" s="86"/>
      <c r="Q300" s="86"/>
      <c r="R300" s="86"/>
      <c r="S300" s="86"/>
      <c r="T300" s="86"/>
      <c r="U300" s="142" t="str">
        <f>IFERROR(ROUND(AVERAGE(V300:AC300),1),"")</f>
        <v/>
      </c>
      <c r="V300" s="88"/>
      <c r="W300" s="88"/>
      <c r="X300" s="88"/>
      <c r="Y300" s="88"/>
      <c r="Z300" s="88"/>
      <c r="AA300" s="88"/>
      <c r="AB300" s="88"/>
      <c r="AC300" s="88"/>
      <c r="AD300" s="142" t="str">
        <f>IFERROR(ROUND(AVERAGE(AE300:AL300),1),"")</f>
        <v/>
      </c>
      <c r="AE300" s="88"/>
      <c r="AF300" s="88"/>
      <c r="AG300" s="88"/>
      <c r="AH300" s="88"/>
      <c r="AI300" s="88"/>
      <c r="AJ300" s="88"/>
      <c r="AK300" s="88"/>
      <c r="AL300" s="88"/>
      <c r="AM300" s="88">
        <v>45.89653831194088</v>
      </c>
      <c r="AN300" s="88">
        <v>102.84</v>
      </c>
      <c r="AO300" s="89" t="s">
        <v>56</v>
      </c>
      <c r="AP300" s="90"/>
      <c r="AQ300" s="146" t="str">
        <f t="shared" si="86"/>
        <v/>
      </c>
      <c r="AR300" s="146" t="str">
        <f t="shared" si="87"/>
        <v/>
      </c>
      <c r="AS300" s="147">
        <v>30</v>
      </c>
      <c r="AT300" s="148" t="s">
        <v>56</v>
      </c>
      <c r="AU300" s="149" t="s">
        <v>56</v>
      </c>
      <c r="AV300" s="146" t="str">
        <f t="shared" si="88"/>
        <v/>
      </c>
      <c r="AW300" s="146" t="str">
        <f t="shared" si="89"/>
        <v/>
      </c>
      <c r="AX300" s="138" t="str">
        <f>IFERROR((1-((AV300*AR300)/(AW300*AQ300)))*100,"")</f>
        <v/>
      </c>
      <c r="AY300" s="95" t="s">
        <v>56</v>
      </c>
      <c r="AZ300" s="96">
        <v>57.585000000000001</v>
      </c>
      <c r="BA300" s="96"/>
      <c r="BB300" s="96">
        <v>65.5</v>
      </c>
      <c r="BC300" s="96"/>
      <c r="BD300" s="97">
        <v>102.84</v>
      </c>
      <c r="BE300" s="142" t="str">
        <f t="shared" si="90"/>
        <v/>
      </c>
      <c r="BF300" s="98">
        <v>0</v>
      </c>
      <c r="BG300" s="98">
        <v>0</v>
      </c>
      <c r="BH300" s="98">
        <v>0</v>
      </c>
      <c r="BI300" s="98"/>
      <c r="BJ300" s="98"/>
      <c r="BK300" s="98"/>
      <c r="BL300" s="97"/>
    </row>
    <row r="301" spans="1:64" outlineLevel="5" x14ac:dyDescent="0.3">
      <c r="A301" s="152">
        <f t="shared" si="71"/>
        <v>9</v>
      </c>
      <c r="B301" s="153">
        <f t="shared" si="81"/>
        <v>44083</v>
      </c>
      <c r="C301" s="138">
        <f>IFERROR(ROUND(AVERAGE(D301:K301),1),"")</f>
        <v>38.5</v>
      </c>
      <c r="D301" s="84">
        <v>38</v>
      </c>
      <c r="E301" s="84">
        <v>39</v>
      </c>
      <c r="F301" s="84"/>
      <c r="G301" s="84"/>
      <c r="H301" s="84"/>
      <c r="I301" s="84"/>
      <c r="J301" s="84"/>
      <c r="K301" s="84"/>
      <c r="L301" s="140">
        <f>IFERROR(ROUND(AVERAGE(M301:T301),1),"")</f>
        <v>7.8</v>
      </c>
      <c r="M301" s="86">
        <v>7.9</v>
      </c>
      <c r="N301" s="86">
        <v>7.72</v>
      </c>
      <c r="O301" s="86"/>
      <c r="P301" s="86"/>
      <c r="Q301" s="86"/>
      <c r="R301" s="86"/>
      <c r="S301" s="86"/>
      <c r="T301" s="86"/>
      <c r="U301" s="142">
        <f>IFERROR(ROUND(AVERAGE(V301:AC301),1),"")</f>
        <v>1492.2</v>
      </c>
      <c r="V301" s="88">
        <v>1686.8</v>
      </c>
      <c r="W301" s="88">
        <v>1297.5</v>
      </c>
      <c r="X301" s="88"/>
      <c r="Y301" s="88"/>
      <c r="Z301" s="88"/>
      <c r="AA301" s="88"/>
      <c r="AB301" s="88"/>
      <c r="AC301" s="88"/>
      <c r="AD301" s="142" t="str">
        <f>IFERROR(ROUND(AVERAGE(AE301:AL301),1),"")</f>
        <v/>
      </c>
      <c r="AE301" s="88"/>
      <c r="AF301" s="88"/>
      <c r="AG301" s="88"/>
      <c r="AH301" s="88"/>
      <c r="AI301" s="88"/>
      <c r="AJ301" s="88"/>
      <c r="AK301" s="88"/>
      <c r="AL301" s="88"/>
      <c r="AM301" s="88">
        <v>43.988816402609508</v>
      </c>
      <c r="AN301" s="88">
        <v>107.3</v>
      </c>
      <c r="AO301" s="89"/>
      <c r="AP301" s="90"/>
      <c r="AQ301" s="146" t="str">
        <f t="shared" si="86"/>
        <v/>
      </c>
      <c r="AR301" s="146" t="str">
        <f t="shared" si="87"/>
        <v/>
      </c>
      <c r="AS301" s="147">
        <v>20</v>
      </c>
      <c r="AT301" s="148">
        <v>16.200000000000003</v>
      </c>
      <c r="AU301" s="149">
        <v>9.4499999999999993</v>
      </c>
      <c r="AV301" s="146">
        <f t="shared" si="88"/>
        <v>58.333333333333314</v>
      </c>
      <c r="AW301" s="146">
        <f t="shared" si="89"/>
        <v>41.666666666666686</v>
      </c>
      <c r="AX301" s="138" t="str">
        <f>IFERROR((1-((AV301*AR301)/(AW301*AQ301)))*100,"")</f>
        <v/>
      </c>
      <c r="AY301" s="95">
        <v>76</v>
      </c>
      <c r="AZ301" s="96">
        <v>62.84</v>
      </c>
      <c r="BA301" s="96"/>
      <c r="BB301" s="96">
        <v>113.5</v>
      </c>
      <c r="BC301" s="96"/>
      <c r="BD301" s="97">
        <v>107.3</v>
      </c>
      <c r="BE301" s="142">
        <f t="shared" si="90"/>
        <v>709</v>
      </c>
      <c r="BF301" s="98">
        <v>0</v>
      </c>
      <c r="BG301" s="98">
        <v>709</v>
      </c>
      <c r="BH301" s="98">
        <v>0</v>
      </c>
      <c r="BI301" s="98"/>
      <c r="BJ301" s="98"/>
      <c r="BK301" s="98"/>
      <c r="BL301" s="97"/>
    </row>
    <row r="302" spans="1:64" outlineLevel="5" x14ac:dyDescent="0.3">
      <c r="A302" s="152">
        <f t="shared" si="71"/>
        <v>9</v>
      </c>
      <c r="B302" s="153">
        <f t="shared" si="81"/>
        <v>44084</v>
      </c>
      <c r="C302" s="138">
        <f>IFERROR(ROUND(AVERAGE(D302:K302),1),"")</f>
        <v>38</v>
      </c>
      <c r="D302" s="84">
        <v>38</v>
      </c>
      <c r="E302" s="84">
        <v>38</v>
      </c>
      <c r="F302" s="84"/>
      <c r="G302" s="84"/>
      <c r="H302" s="84"/>
      <c r="I302" s="84"/>
      <c r="J302" s="84"/>
      <c r="K302" s="84"/>
      <c r="L302" s="140" t="str">
        <f>IFERROR(ROUND(AVERAGE(M302:T302),1),"")</f>
        <v/>
      </c>
      <c r="M302" s="86"/>
      <c r="N302" s="86"/>
      <c r="O302" s="86"/>
      <c r="P302" s="86"/>
      <c r="Q302" s="86"/>
      <c r="R302" s="86"/>
      <c r="S302" s="86"/>
      <c r="T302" s="86"/>
      <c r="U302" s="142" t="str">
        <f>IFERROR(ROUND(AVERAGE(V302:AC302),1),"")</f>
        <v/>
      </c>
      <c r="V302" s="88"/>
      <c r="W302" s="88"/>
      <c r="X302" s="88"/>
      <c r="Y302" s="88"/>
      <c r="Z302" s="88"/>
      <c r="AA302" s="88"/>
      <c r="AB302" s="88"/>
      <c r="AC302" s="88"/>
      <c r="AD302" s="142" t="str">
        <f>IFERROR(ROUND(AVERAGE(AE302:AL302),1),"")</f>
        <v/>
      </c>
      <c r="AE302" s="88"/>
      <c r="AF302" s="88"/>
      <c r="AG302" s="88"/>
      <c r="AH302" s="88"/>
      <c r="AI302" s="88"/>
      <c r="AJ302" s="88"/>
      <c r="AK302" s="88"/>
      <c r="AL302" s="88"/>
      <c r="AM302" s="88">
        <v>45.314900153609834</v>
      </c>
      <c r="AN302" s="88">
        <v>104.16</v>
      </c>
      <c r="AO302" s="89"/>
      <c r="AP302" s="90"/>
      <c r="AQ302" s="146" t="str">
        <f t="shared" si="86"/>
        <v/>
      </c>
      <c r="AR302" s="146" t="str">
        <f t="shared" si="87"/>
        <v/>
      </c>
      <c r="AS302" s="147">
        <v>20</v>
      </c>
      <c r="AT302" s="148" t="s">
        <v>56</v>
      </c>
      <c r="AU302" s="149" t="s">
        <v>56</v>
      </c>
      <c r="AV302" s="146" t="str">
        <f t="shared" si="88"/>
        <v/>
      </c>
      <c r="AW302" s="146" t="str">
        <f t="shared" si="89"/>
        <v/>
      </c>
      <c r="AX302" s="138" t="str">
        <f>IFERROR((1-((AV302*AR302)/(AW302*AQ302)))*100,"")</f>
        <v/>
      </c>
      <c r="AY302" s="95" t="s">
        <v>56</v>
      </c>
      <c r="AZ302" s="96">
        <v>62.494999999999997</v>
      </c>
      <c r="BA302" s="96"/>
      <c r="BB302" s="96">
        <v>102.5</v>
      </c>
      <c r="BC302" s="96"/>
      <c r="BD302" s="97">
        <v>104.16</v>
      </c>
      <c r="BE302" s="142">
        <f t="shared" si="90"/>
        <v>344</v>
      </c>
      <c r="BF302" s="98">
        <v>0</v>
      </c>
      <c r="BG302" s="98">
        <v>344</v>
      </c>
      <c r="BH302" s="98">
        <v>0</v>
      </c>
      <c r="BI302" s="98"/>
      <c r="BJ302" s="98"/>
      <c r="BK302" s="98"/>
      <c r="BL302" s="97"/>
    </row>
    <row r="303" spans="1:64" outlineLevel="5" x14ac:dyDescent="0.3">
      <c r="A303" s="152">
        <f t="shared" si="71"/>
        <v>9</v>
      </c>
      <c r="B303" s="153">
        <f t="shared" si="81"/>
        <v>44085</v>
      </c>
      <c r="C303" s="138">
        <f>IFERROR(ROUND(AVERAGE(D303:K303),1),"")</f>
        <v>38</v>
      </c>
      <c r="D303" s="84">
        <v>38</v>
      </c>
      <c r="E303" s="84">
        <v>38</v>
      </c>
      <c r="F303" s="84"/>
      <c r="G303" s="84"/>
      <c r="H303" s="84"/>
      <c r="I303" s="84"/>
      <c r="J303" s="84"/>
      <c r="K303" s="84"/>
      <c r="L303" s="140" t="str">
        <f>IFERROR(ROUND(AVERAGE(M303:T303),1),"")</f>
        <v/>
      </c>
      <c r="M303" s="86"/>
      <c r="N303" s="86"/>
      <c r="O303" s="86"/>
      <c r="P303" s="86"/>
      <c r="Q303" s="86"/>
      <c r="R303" s="86"/>
      <c r="S303" s="86"/>
      <c r="T303" s="86"/>
      <c r="U303" s="142" t="str">
        <f>IFERROR(ROUND(AVERAGE(V303:AC303),1),"")</f>
        <v/>
      </c>
      <c r="V303" s="88"/>
      <c r="W303" s="88"/>
      <c r="X303" s="88"/>
      <c r="Y303" s="88"/>
      <c r="Z303" s="88"/>
      <c r="AA303" s="88"/>
      <c r="AB303" s="88"/>
      <c r="AC303" s="88"/>
      <c r="AD303" s="142" t="str">
        <f>IFERROR(ROUND(AVERAGE(AE303:AL303),1),"")</f>
        <v/>
      </c>
      <c r="AE303" s="88"/>
      <c r="AF303" s="88"/>
      <c r="AG303" s="88"/>
      <c r="AH303" s="88"/>
      <c r="AI303" s="88"/>
      <c r="AJ303" s="88"/>
      <c r="AK303" s="88"/>
      <c r="AL303" s="88"/>
      <c r="AM303" s="88">
        <v>48.800661703887513</v>
      </c>
      <c r="AN303" s="88">
        <v>96.72</v>
      </c>
      <c r="AO303" s="89">
        <v>19.899999999999999</v>
      </c>
      <c r="AP303" s="90">
        <v>17.691099999999999</v>
      </c>
      <c r="AQ303" s="146">
        <f t="shared" si="86"/>
        <v>88.9</v>
      </c>
      <c r="AR303" s="146">
        <f t="shared" si="87"/>
        <v>11.099999999999994</v>
      </c>
      <c r="AS303" s="147">
        <v>15</v>
      </c>
      <c r="AT303" s="148" t="s">
        <v>56</v>
      </c>
      <c r="AU303" s="149" t="s">
        <v>56</v>
      </c>
      <c r="AV303" s="146" t="str">
        <f t="shared" si="88"/>
        <v/>
      </c>
      <c r="AW303" s="146" t="str">
        <f t="shared" si="89"/>
        <v/>
      </c>
      <c r="AX303" s="138" t="str">
        <f>IFERROR((1-((AV303*AR303)/(AW303*AQ303)))*100,"")</f>
        <v/>
      </c>
      <c r="AY303" s="95" t="s">
        <v>56</v>
      </c>
      <c r="AZ303" s="96">
        <v>66.710000000000008</v>
      </c>
      <c r="BA303" s="96"/>
      <c r="BB303" s="96">
        <v>66.5</v>
      </c>
      <c r="BC303" s="96"/>
      <c r="BD303" s="97">
        <v>96.72</v>
      </c>
      <c r="BE303" s="142">
        <f t="shared" si="90"/>
        <v>1608</v>
      </c>
      <c r="BF303" s="98">
        <v>0</v>
      </c>
      <c r="BG303" s="98">
        <v>1608</v>
      </c>
      <c r="BH303" s="98">
        <v>0</v>
      </c>
      <c r="BI303" s="98"/>
      <c r="BJ303" s="98"/>
      <c r="BK303" s="98"/>
      <c r="BL303" s="97"/>
    </row>
    <row r="304" spans="1:64" outlineLevel="5" x14ac:dyDescent="0.3">
      <c r="A304" s="152">
        <f t="shared" si="71"/>
        <v>9</v>
      </c>
      <c r="B304" s="153">
        <f t="shared" si="81"/>
        <v>44086</v>
      </c>
      <c r="C304" s="138">
        <f>IFERROR(ROUND(AVERAGE(D304:K304),1),"")</f>
        <v>38</v>
      </c>
      <c r="D304" s="84">
        <v>38</v>
      </c>
      <c r="E304" s="84">
        <v>38</v>
      </c>
      <c r="F304" s="84"/>
      <c r="G304" s="84"/>
      <c r="H304" s="84"/>
      <c r="I304" s="84"/>
      <c r="J304" s="84"/>
      <c r="K304" s="84"/>
      <c r="L304" s="140" t="str">
        <f>IFERROR(ROUND(AVERAGE(M304:T304),1),"")</f>
        <v/>
      </c>
      <c r="M304" s="86"/>
      <c r="N304" s="86"/>
      <c r="O304" s="86"/>
      <c r="P304" s="86"/>
      <c r="Q304" s="86"/>
      <c r="R304" s="86"/>
      <c r="S304" s="86"/>
      <c r="T304" s="86"/>
      <c r="U304" s="142" t="str">
        <f>IFERROR(ROUND(AVERAGE(V304:AC304),1),"")</f>
        <v/>
      </c>
      <c r="V304" s="88"/>
      <c r="W304" s="88"/>
      <c r="X304" s="88"/>
      <c r="Y304" s="88"/>
      <c r="Z304" s="88"/>
      <c r="AA304" s="88"/>
      <c r="AB304" s="88"/>
      <c r="AC304" s="88"/>
      <c r="AD304" s="142" t="str">
        <f>IFERROR(ROUND(AVERAGE(AE304:AL304),1),"")</f>
        <v/>
      </c>
      <c r="AE304" s="88"/>
      <c r="AF304" s="88"/>
      <c r="AG304" s="88"/>
      <c r="AH304" s="88"/>
      <c r="AI304" s="88"/>
      <c r="AJ304" s="88"/>
      <c r="AK304" s="88"/>
      <c r="AL304" s="88"/>
      <c r="AM304" s="88">
        <v>50.884001724881415</v>
      </c>
      <c r="AN304" s="88">
        <v>92.76</v>
      </c>
      <c r="AO304" s="89" t="s">
        <v>56</v>
      </c>
      <c r="AP304" s="90" t="s">
        <v>56</v>
      </c>
      <c r="AQ304" s="146" t="str">
        <f t="shared" si="86"/>
        <v/>
      </c>
      <c r="AR304" s="146" t="str">
        <f t="shared" si="87"/>
        <v/>
      </c>
      <c r="AS304" s="147">
        <v>0</v>
      </c>
      <c r="AT304" s="148" t="s">
        <v>56</v>
      </c>
      <c r="AU304" s="149" t="s">
        <v>56</v>
      </c>
      <c r="AV304" s="146" t="str">
        <f t="shared" si="88"/>
        <v/>
      </c>
      <c r="AW304" s="146" t="str">
        <f t="shared" si="89"/>
        <v/>
      </c>
      <c r="AX304" s="138" t="str">
        <f>IFERROR((1-((AV304*AR304)/(AW304*AQ304)))*100,"")</f>
        <v/>
      </c>
      <c r="AY304" s="95" t="s">
        <v>56</v>
      </c>
      <c r="AZ304" s="96">
        <v>67.795000000000002</v>
      </c>
      <c r="BA304" s="96"/>
      <c r="BB304" s="96">
        <v>58</v>
      </c>
      <c r="BC304" s="96"/>
      <c r="BD304" s="97">
        <v>92.76</v>
      </c>
      <c r="BE304" s="142">
        <f t="shared" si="90"/>
        <v>554</v>
      </c>
      <c r="BF304" s="98">
        <v>0</v>
      </c>
      <c r="BG304" s="98">
        <v>554</v>
      </c>
      <c r="BH304" s="98">
        <v>0</v>
      </c>
      <c r="BI304" s="98"/>
      <c r="BJ304" s="98"/>
      <c r="BK304" s="98"/>
      <c r="BL304" s="97"/>
    </row>
    <row r="305" spans="1:64" outlineLevel="5" x14ac:dyDescent="0.3">
      <c r="A305" s="152">
        <f t="shared" si="71"/>
        <v>9</v>
      </c>
      <c r="B305" s="153">
        <f t="shared" si="81"/>
        <v>44087</v>
      </c>
      <c r="C305" s="138">
        <f>IFERROR(ROUND(AVERAGE(D305:K305),1),"")</f>
        <v>38</v>
      </c>
      <c r="D305" s="84">
        <v>38</v>
      </c>
      <c r="E305" s="84">
        <v>38</v>
      </c>
      <c r="F305" s="84"/>
      <c r="G305" s="84"/>
      <c r="H305" s="84"/>
      <c r="I305" s="84"/>
      <c r="J305" s="84"/>
      <c r="K305" s="84"/>
      <c r="L305" s="140" t="str">
        <f>IFERROR(ROUND(AVERAGE(M305:T305),1),"")</f>
        <v/>
      </c>
      <c r="M305" s="86"/>
      <c r="N305" s="86"/>
      <c r="O305" s="86"/>
      <c r="P305" s="86"/>
      <c r="Q305" s="86"/>
      <c r="R305" s="86"/>
      <c r="S305" s="86"/>
      <c r="T305" s="86"/>
      <c r="U305" s="142" t="str">
        <f>IFERROR(ROUND(AVERAGE(V305:AC305),1),"")</f>
        <v/>
      </c>
      <c r="V305" s="88"/>
      <c r="W305" s="88"/>
      <c r="X305" s="88"/>
      <c r="Y305" s="88"/>
      <c r="Z305" s="88"/>
      <c r="AA305" s="88"/>
      <c r="AB305" s="88"/>
      <c r="AC305" s="88"/>
      <c r="AD305" s="142" t="str">
        <f>IFERROR(ROUND(AVERAGE(AE305:AL305),1),"")</f>
        <v/>
      </c>
      <c r="AE305" s="88"/>
      <c r="AF305" s="88"/>
      <c r="AG305" s="88"/>
      <c r="AH305" s="88"/>
      <c r="AI305" s="88"/>
      <c r="AJ305" s="88"/>
      <c r="AK305" s="88"/>
      <c r="AL305" s="88"/>
      <c r="AM305" s="88">
        <v>85.818181818181813</v>
      </c>
      <c r="AN305" s="88">
        <v>55</v>
      </c>
      <c r="AO305" s="89" t="s">
        <v>56</v>
      </c>
      <c r="AP305" s="90" t="s">
        <v>56</v>
      </c>
      <c r="AQ305" s="146" t="str">
        <f t="shared" si="86"/>
        <v/>
      </c>
      <c r="AR305" s="146" t="str">
        <f t="shared" si="87"/>
        <v/>
      </c>
      <c r="AS305" s="147">
        <v>7</v>
      </c>
      <c r="AT305" s="148" t="s">
        <v>56</v>
      </c>
      <c r="AU305" s="149" t="s">
        <v>56</v>
      </c>
      <c r="AV305" s="146" t="str">
        <f t="shared" si="88"/>
        <v/>
      </c>
      <c r="AW305" s="146" t="str">
        <f t="shared" si="89"/>
        <v/>
      </c>
      <c r="AX305" s="138" t="str">
        <f>IFERROR((1-((AV305*AR305)/(AW305*AQ305)))*100,"")</f>
        <v/>
      </c>
      <c r="AY305" s="95" t="s">
        <v>56</v>
      </c>
      <c r="AZ305" s="96">
        <v>65.605000000000004</v>
      </c>
      <c r="BA305" s="96"/>
      <c r="BB305" s="96">
        <v>63</v>
      </c>
      <c r="BC305" s="96"/>
      <c r="BD305" s="97">
        <v>55</v>
      </c>
      <c r="BE305" s="142">
        <f t="shared" si="90"/>
        <v>114</v>
      </c>
      <c r="BF305" s="98">
        <v>0</v>
      </c>
      <c r="BG305" s="98">
        <v>114</v>
      </c>
      <c r="BH305" s="98">
        <v>0</v>
      </c>
      <c r="BI305" s="98"/>
      <c r="BJ305" s="98"/>
      <c r="BK305" s="98"/>
      <c r="BL305" s="97"/>
    </row>
    <row r="306" spans="1:64" outlineLevel="5" x14ac:dyDescent="0.3">
      <c r="A306" s="152">
        <f t="shared" si="71"/>
        <v>9</v>
      </c>
      <c r="B306" s="153">
        <f t="shared" si="81"/>
        <v>44088</v>
      </c>
      <c r="C306" s="138">
        <f>IFERROR(ROUND(AVERAGE(D306:K306),1),"")</f>
        <v>37.5</v>
      </c>
      <c r="D306" s="84">
        <v>37</v>
      </c>
      <c r="E306" s="84">
        <v>38</v>
      </c>
      <c r="F306" s="84"/>
      <c r="G306" s="84"/>
      <c r="H306" s="84"/>
      <c r="I306" s="84"/>
      <c r="J306" s="84"/>
      <c r="K306" s="84"/>
      <c r="L306" s="140">
        <f>IFERROR(ROUND(AVERAGE(M306:T306),1),"")</f>
        <v>7.8</v>
      </c>
      <c r="M306" s="86">
        <v>7.92</v>
      </c>
      <c r="N306" s="86">
        <v>7.74</v>
      </c>
      <c r="O306" s="86"/>
      <c r="P306" s="86"/>
      <c r="Q306" s="86"/>
      <c r="R306" s="86"/>
      <c r="S306" s="86"/>
      <c r="T306" s="86"/>
      <c r="U306" s="142">
        <f>IFERROR(ROUND(AVERAGE(V306:AC306),1),"")</f>
        <v>1492.2</v>
      </c>
      <c r="V306" s="88">
        <v>1643.5</v>
      </c>
      <c r="W306" s="88">
        <v>1340.8</v>
      </c>
      <c r="X306" s="88"/>
      <c r="Y306" s="88"/>
      <c r="Z306" s="88"/>
      <c r="AA306" s="88"/>
      <c r="AB306" s="88"/>
      <c r="AC306" s="88"/>
      <c r="AD306" s="142" t="str">
        <f>IFERROR(ROUND(AVERAGE(AE306:AL306),1),"")</f>
        <v/>
      </c>
      <c r="AE306" s="88"/>
      <c r="AF306" s="88"/>
      <c r="AG306" s="88"/>
      <c r="AH306" s="88"/>
      <c r="AI306" s="88"/>
      <c r="AJ306" s="88"/>
      <c r="AK306" s="88"/>
      <c r="AL306" s="88"/>
      <c r="AM306" s="88">
        <v>42.048997772828507</v>
      </c>
      <c r="AN306" s="88">
        <v>112.25</v>
      </c>
      <c r="AO306" s="89" t="s">
        <v>56</v>
      </c>
      <c r="AP306" s="90" t="s">
        <v>56</v>
      </c>
      <c r="AQ306" s="146" t="str">
        <f t="shared" si="86"/>
        <v/>
      </c>
      <c r="AR306" s="146" t="str">
        <f t="shared" si="87"/>
        <v/>
      </c>
      <c r="AS306" s="147">
        <v>20</v>
      </c>
      <c r="AT306" s="148">
        <v>16.450000000000003</v>
      </c>
      <c r="AU306" s="149">
        <v>9.5</v>
      </c>
      <c r="AV306" s="146">
        <f t="shared" si="88"/>
        <v>57.750759878419444</v>
      </c>
      <c r="AW306" s="146">
        <f t="shared" si="89"/>
        <v>42.249240121580556</v>
      </c>
      <c r="AX306" s="138" t="str">
        <f>IFERROR((1-((AV306*AR306)/(AW306*AQ306)))*100,"")</f>
        <v/>
      </c>
      <c r="AY306" s="95">
        <v>76.099999999999994</v>
      </c>
      <c r="AZ306" s="96">
        <v>61.144999999999996</v>
      </c>
      <c r="BA306" s="96"/>
      <c r="BB306" s="96">
        <v>57.5</v>
      </c>
      <c r="BC306" s="96"/>
      <c r="BD306" s="97">
        <v>112.25</v>
      </c>
      <c r="BE306" s="142">
        <f t="shared" si="90"/>
        <v>509</v>
      </c>
      <c r="BF306" s="98">
        <v>0</v>
      </c>
      <c r="BG306" s="98">
        <v>509</v>
      </c>
      <c r="BH306" s="98">
        <v>0</v>
      </c>
      <c r="BI306" s="98"/>
      <c r="BJ306" s="98"/>
      <c r="BK306" s="98"/>
      <c r="BL306" s="97"/>
    </row>
    <row r="307" spans="1:64" outlineLevel="5" x14ac:dyDescent="0.3">
      <c r="A307" s="152">
        <f t="shared" ref="A307:A378" si="91">MONTH(B307)</f>
        <v>9</v>
      </c>
      <c r="B307" s="153">
        <f t="shared" si="81"/>
        <v>44089</v>
      </c>
      <c r="C307" s="138">
        <f>IFERROR(ROUND(AVERAGE(D307:K307),1),"")</f>
        <v>38</v>
      </c>
      <c r="D307" s="84">
        <v>38</v>
      </c>
      <c r="E307" s="84">
        <v>38</v>
      </c>
      <c r="F307" s="84"/>
      <c r="G307" s="84"/>
      <c r="H307" s="84"/>
      <c r="I307" s="84"/>
      <c r="J307" s="84"/>
      <c r="K307" s="84"/>
      <c r="L307" s="140" t="str">
        <f>IFERROR(ROUND(AVERAGE(M307:T307),1),"")</f>
        <v/>
      </c>
      <c r="M307" s="86"/>
      <c r="N307" s="86"/>
      <c r="O307" s="86"/>
      <c r="P307" s="86"/>
      <c r="Q307" s="86"/>
      <c r="R307" s="86"/>
      <c r="S307" s="86"/>
      <c r="T307" s="86"/>
      <c r="U307" s="142" t="str">
        <f>IFERROR(ROUND(AVERAGE(V307:AC307),1),"")</f>
        <v/>
      </c>
      <c r="V307" s="88"/>
      <c r="W307" s="88"/>
      <c r="X307" s="88"/>
      <c r="Y307" s="88"/>
      <c r="Z307" s="88"/>
      <c r="AA307" s="88"/>
      <c r="AB307" s="88"/>
      <c r="AC307" s="88"/>
      <c r="AD307" s="142" t="str">
        <f>IFERROR(ROUND(AVERAGE(AE307:AL307),1),"")</f>
        <v/>
      </c>
      <c r="AE307" s="88"/>
      <c r="AF307" s="88"/>
      <c r="AG307" s="88"/>
      <c r="AH307" s="88"/>
      <c r="AI307" s="88"/>
      <c r="AJ307" s="88"/>
      <c r="AK307" s="88"/>
      <c r="AL307" s="88"/>
      <c r="AM307" s="88">
        <v>40.177051413006467</v>
      </c>
      <c r="AN307" s="88">
        <v>117.48</v>
      </c>
      <c r="AO307" s="89" t="s">
        <v>56</v>
      </c>
      <c r="AP307" s="90"/>
      <c r="AQ307" s="146" t="str">
        <f t="shared" si="86"/>
        <v/>
      </c>
      <c r="AR307" s="146" t="str">
        <f t="shared" si="87"/>
        <v/>
      </c>
      <c r="AS307" s="147">
        <v>20</v>
      </c>
      <c r="AT307" s="148" t="s">
        <v>56</v>
      </c>
      <c r="AU307" s="149" t="s">
        <v>56</v>
      </c>
      <c r="AV307" s="146" t="str">
        <f t="shared" si="88"/>
        <v/>
      </c>
      <c r="AW307" s="146" t="str">
        <f t="shared" si="89"/>
        <v/>
      </c>
      <c r="AX307" s="138" t="str">
        <f>IFERROR((1-((AV307*AR307)/(AW307*AQ307)))*100,"")</f>
        <v/>
      </c>
      <c r="AY307" s="95" t="s">
        <v>56</v>
      </c>
      <c r="AZ307" s="96">
        <v>57.585000000000001</v>
      </c>
      <c r="BA307" s="96"/>
      <c r="BB307" s="96">
        <v>94</v>
      </c>
      <c r="BC307" s="96"/>
      <c r="BD307" s="97">
        <v>117.48</v>
      </c>
      <c r="BE307" s="142">
        <f t="shared" si="90"/>
        <v>1328</v>
      </c>
      <c r="BF307" s="98">
        <v>0</v>
      </c>
      <c r="BG307" s="98">
        <v>1328</v>
      </c>
      <c r="BH307" s="98">
        <v>0</v>
      </c>
      <c r="BI307" s="98"/>
      <c r="BJ307" s="98"/>
      <c r="BK307" s="98"/>
      <c r="BL307" s="97"/>
    </row>
    <row r="308" spans="1:64" outlineLevel="5" x14ac:dyDescent="0.3">
      <c r="A308" s="152">
        <f t="shared" si="91"/>
        <v>9</v>
      </c>
      <c r="B308" s="153">
        <f t="shared" si="81"/>
        <v>44090</v>
      </c>
      <c r="C308" s="138">
        <f>IFERROR(ROUND(AVERAGE(D308:K308),1),"")</f>
        <v>37</v>
      </c>
      <c r="D308" s="84">
        <v>37</v>
      </c>
      <c r="E308" s="84">
        <v>37</v>
      </c>
      <c r="F308" s="84"/>
      <c r="G308" s="84"/>
      <c r="H308" s="84"/>
      <c r="I308" s="84"/>
      <c r="J308" s="84"/>
      <c r="K308" s="84"/>
      <c r="L308" s="140">
        <f>IFERROR(ROUND(AVERAGE(M308:T308),1),"")</f>
        <v>7.8</v>
      </c>
      <c r="M308" s="86">
        <v>7.9</v>
      </c>
      <c r="N308" s="86">
        <v>7.72</v>
      </c>
      <c r="O308" s="86"/>
      <c r="P308" s="86"/>
      <c r="Q308" s="86"/>
      <c r="R308" s="86"/>
      <c r="S308" s="86"/>
      <c r="T308" s="86"/>
      <c r="U308" s="142">
        <f>IFERROR(ROUND(AVERAGE(V308:AC308),1),"")</f>
        <v>1557</v>
      </c>
      <c r="V308" s="88">
        <v>1730</v>
      </c>
      <c r="W308" s="88">
        <v>1384</v>
      </c>
      <c r="X308" s="88"/>
      <c r="Y308" s="88"/>
      <c r="Z308" s="88"/>
      <c r="AA308" s="88"/>
      <c r="AB308" s="88"/>
      <c r="AC308" s="88"/>
      <c r="AD308" s="142" t="str">
        <f>IFERROR(ROUND(AVERAGE(AE308:AL308),1),"")</f>
        <v/>
      </c>
      <c r="AE308" s="88"/>
      <c r="AF308" s="88"/>
      <c r="AG308" s="88"/>
      <c r="AH308" s="88"/>
      <c r="AI308" s="88"/>
      <c r="AJ308" s="88"/>
      <c r="AK308" s="88"/>
      <c r="AL308" s="88"/>
      <c r="AM308" s="88">
        <v>40.297105779902665</v>
      </c>
      <c r="AN308" s="88">
        <v>117.13000000000002</v>
      </c>
      <c r="AO308" s="89"/>
      <c r="AP308" s="90"/>
      <c r="AQ308" s="146" t="str">
        <f t="shared" si="86"/>
        <v/>
      </c>
      <c r="AR308" s="146" t="str">
        <f t="shared" si="87"/>
        <v/>
      </c>
      <c r="AS308" s="147">
        <v>20</v>
      </c>
      <c r="AT308" s="148">
        <v>15.5</v>
      </c>
      <c r="AU308" s="149">
        <v>8.15</v>
      </c>
      <c r="AV308" s="146">
        <f t="shared" si="88"/>
        <v>52.580645161290327</v>
      </c>
      <c r="AW308" s="146">
        <f t="shared" si="89"/>
        <v>47.419354838709673</v>
      </c>
      <c r="AX308" s="138" t="str">
        <f>IFERROR((1-((AV308*AR308)/(AW308*AQ308)))*100,"")</f>
        <v/>
      </c>
      <c r="AY308" s="95">
        <v>77.650000000000006</v>
      </c>
      <c r="AZ308" s="96">
        <v>63.454999999999998</v>
      </c>
      <c r="BA308" s="96"/>
      <c r="BB308" s="96">
        <v>81.5</v>
      </c>
      <c r="BC308" s="96"/>
      <c r="BD308" s="97">
        <v>117.13000000000002</v>
      </c>
      <c r="BE308" s="142">
        <f t="shared" si="90"/>
        <v>870</v>
      </c>
      <c r="BF308" s="98">
        <v>0</v>
      </c>
      <c r="BG308" s="98">
        <v>870</v>
      </c>
      <c r="BH308" s="98">
        <v>0</v>
      </c>
      <c r="BI308" s="98"/>
      <c r="BJ308" s="98"/>
      <c r="BK308" s="98"/>
      <c r="BL308" s="97"/>
    </row>
    <row r="309" spans="1:64" outlineLevel="5" x14ac:dyDescent="0.3">
      <c r="A309" s="152">
        <f t="shared" si="91"/>
        <v>9</v>
      </c>
      <c r="B309" s="153">
        <f t="shared" si="81"/>
        <v>44091</v>
      </c>
      <c r="C309" s="138">
        <f>IFERROR(ROUND(AVERAGE(D309:K309),1),"")</f>
        <v>38</v>
      </c>
      <c r="D309" s="84">
        <v>38</v>
      </c>
      <c r="E309" s="84">
        <v>38</v>
      </c>
      <c r="F309" s="84"/>
      <c r="G309" s="84"/>
      <c r="H309" s="84"/>
      <c r="I309" s="84"/>
      <c r="J309" s="84"/>
      <c r="K309" s="84"/>
      <c r="L309" s="140">
        <f>IFERROR(ROUND(AVERAGE(M309:T309),1),"")</f>
        <v>7.8</v>
      </c>
      <c r="M309" s="86">
        <v>7.87</v>
      </c>
      <c r="N309" s="86">
        <v>7.7</v>
      </c>
      <c r="O309" s="86"/>
      <c r="P309" s="86"/>
      <c r="Q309" s="86"/>
      <c r="R309" s="86"/>
      <c r="S309" s="86"/>
      <c r="T309" s="86"/>
      <c r="U309" s="142">
        <f>IFERROR(ROUND(AVERAGE(V309:AC309),1),"")</f>
        <v>1459.7</v>
      </c>
      <c r="V309" s="88">
        <v>1621.9</v>
      </c>
      <c r="W309" s="88">
        <v>1297.5</v>
      </c>
      <c r="X309" s="88"/>
      <c r="Y309" s="88"/>
      <c r="Z309" s="88"/>
      <c r="AA309" s="88"/>
      <c r="AB309" s="88"/>
      <c r="AC309" s="88"/>
      <c r="AD309" s="142" t="str">
        <f>IFERROR(ROUND(AVERAGE(AE309:AL309),1),"")</f>
        <v/>
      </c>
      <c r="AE309" s="88"/>
      <c r="AF309" s="88"/>
      <c r="AG309" s="88"/>
      <c r="AH309" s="88"/>
      <c r="AI309" s="88"/>
      <c r="AJ309" s="88"/>
      <c r="AK309" s="88"/>
      <c r="AL309" s="88"/>
      <c r="AM309" s="88">
        <v>41.472629821632545</v>
      </c>
      <c r="AN309" s="88">
        <v>113.81</v>
      </c>
      <c r="AO309" s="89"/>
      <c r="AP309" s="90"/>
      <c r="AQ309" s="146" t="str">
        <f t="shared" si="86"/>
        <v/>
      </c>
      <c r="AR309" s="146" t="str">
        <f t="shared" si="87"/>
        <v/>
      </c>
      <c r="AS309" s="147">
        <v>20</v>
      </c>
      <c r="AT309" s="148">
        <v>16</v>
      </c>
      <c r="AU309" s="149">
        <v>8.5500000000000007</v>
      </c>
      <c r="AV309" s="146">
        <f t="shared" si="88"/>
        <v>53.437500000000007</v>
      </c>
      <c r="AW309" s="146">
        <f t="shared" si="89"/>
        <v>46.562499999999993</v>
      </c>
      <c r="AX309" s="138" t="str">
        <f>IFERROR((1-((AV309*AR309)/(AW309*AQ309)))*100,"")</f>
        <v/>
      </c>
      <c r="AY309" s="95">
        <v>74.900000000000006</v>
      </c>
      <c r="AZ309" s="96">
        <v>64.949999999999989</v>
      </c>
      <c r="BA309" s="96"/>
      <c r="BB309" s="96">
        <v>68</v>
      </c>
      <c r="BC309" s="96"/>
      <c r="BD309" s="97">
        <v>113.81</v>
      </c>
      <c r="BE309" s="142" t="str">
        <f t="shared" si="90"/>
        <v/>
      </c>
      <c r="BF309" s="98">
        <v>0</v>
      </c>
      <c r="BG309" s="98">
        <v>0</v>
      </c>
      <c r="BH309" s="98">
        <v>0</v>
      </c>
      <c r="BI309" s="98"/>
      <c r="BJ309" s="98"/>
      <c r="BK309" s="98"/>
      <c r="BL309" s="97"/>
    </row>
    <row r="310" spans="1:64" outlineLevel="5" x14ac:dyDescent="0.3">
      <c r="A310" s="152">
        <f t="shared" si="91"/>
        <v>9</v>
      </c>
      <c r="B310" s="153">
        <f t="shared" si="81"/>
        <v>44092</v>
      </c>
      <c r="C310" s="138">
        <f>IFERROR(ROUND(AVERAGE(D310:K310),1),"")</f>
        <v>36.5</v>
      </c>
      <c r="D310" s="84">
        <v>36</v>
      </c>
      <c r="E310" s="84">
        <v>37</v>
      </c>
      <c r="F310" s="84"/>
      <c r="G310" s="84"/>
      <c r="H310" s="84"/>
      <c r="I310" s="84"/>
      <c r="J310" s="84"/>
      <c r="K310" s="84"/>
      <c r="L310" s="140" t="str">
        <f>IFERROR(ROUND(AVERAGE(M310:T310),1),"")</f>
        <v/>
      </c>
      <c r="M310" s="86"/>
      <c r="N310" s="86"/>
      <c r="O310" s="86"/>
      <c r="P310" s="86"/>
      <c r="Q310" s="86"/>
      <c r="R310" s="86"/>
      <c r="S310" s="86"/>
      <c r="T310" s="86"/>
      <c r="U310" s="142" t="str">
        <f>IFERROR(ROUND(AVERAGE(V310:AC310),1),"")</f>
        <v/>
      </c>
      <c r="V310" s="88"/>
      <c r="W310" s="88"/>
      <c r="X310" s="88"/>
      <c r="Y310" s="88"/>
      <c r="Z310" s="88"/>
      <c r="AA310" s="88"/>
      <c r="AB310" s="88"/>
      <c r="AC310" s="88"/>
      <c r="AD310" s="142" t="str">
        <f>IFERROR(ROUND(AVERAGE(AE310:AL310),1),"")</f>
        <v/>
      </c>
      <c r="AE310" s="88"/>
      <c r="AF310" s="88"/>
      <c r="AG310" s="88"/>
      <c r="AH310" s="88"/>
      <c r="AI310" s="88"/>
      <c r="AJ310" s="88"/>
      <c r="AK310" s="88"/>
      <c r="AL310" s="88"/>
      <c r="AM310" s="88">
        <v>47.10578842315369</v>
      </c>
      <c r="AN310" s="88">
        <v>100.2</v>
      </c>
      <c r="AO310" s="89">
        <v>22.2</v>
      </c>
      <c r="AP310" s="90">
        <v>10.433999999999999</v>
      </c>
      <c r="AQ310" s="146">
        <f t="shared" si="86"/>
        <v>47</v>
      </c>
      <c r="AR310" s="146">
        <f t="shared" si="87"/>
        <v>53</v>
      </c>
      <c r="AS310" s="147">
        <v>20</v>
      </c>
      <c r="AT310" s="148" t="s">
        <v>56</v>
      </c>
      <c r="AU310" s="149" t="s">
        <v>56</v>
      </c>
      <c r="AV310" s="146" t="str">
        <f t="shared" si="88"/>
        <v/>
      </c>
      <c r="AW310" s="146" t="str">
        <f t="shared" si="89"/>
        <v/>
      </c>
      <c r="AX310" s="138" t="str">
        <f>IFERROR((1-((AV310*AR310)/(AW310*AQ310)))*100,"")</f>
        <v/>
      </c>
      <c r="AY310" s="95" t="s">
        <v>56</v>
      </c>
      <c r="AZ310" s="96">
        <v>66.414999999999992</v>
      </c>
      <c r="BA310" s="96"/>
      <c r="BB310" s="96">
        <v>64</v>
      </c>
      <c r="BC310" s="96"/>
      <c r="BD310" s="97">
        <v>100.2</v>
      </c>
      <c r="BE310" s="142" t="str">
        <f t="shared" si="90"/>
        <v/>
      </c>
      <c r="BF310" s="98">
        <v>0</v>
      </c>
      <c r="BG310" s="98">
        <v>0</v>
      </c>
      <c r="BH310" s="98">
        <v>0</v>
      </c>
      <c r="BI310" s="98"/>
      <c r="BJ310" s="98"/>
      <c r="BK310" s="98"/>
      <c r="BL310" s="97"/>
    </row>
    <row r="311" spans="1:64" outlineLevel="5" x14ac:dyDescent="0.3">
      <c r="A311" s="152">
        <f t="shared" si="91"/>
        <v>9</v>
      </c>
      <c r="B311" s="153">
        <f t="shared" si="81"/>
        <v>44093</v>
      </c>
      <c r="C311" s="138">
        <f>IFERROR(ROUND(AVERAGE(D311:K311),1),"")</f>
        <v>37</v>
      </c>
      <c r="D311" s="84">
        <v>37</v>
      </c>
      <c r="E311" s="84">
        <v>37</v>
      </c>
      <c r="F311" s="84"/>
      <c r="G311" s="84"/>
      <c r="H311" s="84"/>
      <c r="I311" s="84"/>
      <c r="J311" s="84"/>
      <c r="K311" s="84"/>
      <c r="L311" s="140" t="str">
        <f>IFERROR(ROUND(AVERAGE(M311:T311),1),"")</f>
        <v/>
      </c>
      <c r="M311" s="86"/>
      <c r="N311" s="86"/>
      <c r="O311" s="86"/>
      <c r="P311" s="86"/>
      <c r="Q311" s="86"/>
      <c r="R311" s="86"/>
      <c r="S311" s="86"/>
      <c r="T311" s="86"/>
      <c r="U311" s="142" t="str">
        <f>IFERROR(ROUND(AVERAGE(V311:AC311),1),"")</f>
        <v/>
      </c>
      <c r="V311" s="88"/>
      <c r="W311" s="88"/>
      <c r="X311" s="88"/>
      <c r="Y311" s="88"/>
      <c r="Z311" s="88"/>
      <c r="AA311" s="88"/>
      <c r="AB311" s="88"/>
      <c r="AC311" s="88"/>
      <c r="AD311" s="142" t="str">
        <f>IFERROR(ROUND(AVERAGE(AE311:AL311),1),"")</f>
        <v/>
      </c>
      <c r="AE311" s="88"/>
      <c r="AF311" s="88"/>
      <c r="AG311" s="88"/>
      <c r="AH311" s="88"/>
      <c r="AI311" s="88"/>
      <c r="AJ311" s="88"/>
      <c r="AK311" s="88"/>
      <c r="AL311" s="88"/>
      <c r="AM311" s="88">
        <v>64.305177111716617</v>
      </c>
      <c r="AN311" s="88">
        <v>73.400000000000006</v>
      </c>
      <c r="AO311" s="89" t="s">
        <v>56</v>
      </c>
      <c r="AP311" s="90" t="s">
        <v>56</v>
      </c>
      <c r="AQ311" s="146" t="str">
        <f t="shared" si="86"/>
        <v/>
      </c>
      <c r="AR311" s="146" t="str">
        <f t="shared" si="87"/>
        <v/>
      </c>
      <c r="AS311" s="147">
        <v>10</v>
      </c>
      <c r="AT311" s="148" t="s">
        <v>56</v>
      </c>
      <c r="AU311" s="149" t="s">
        <v>56</v>
      </c>
      <c r="AV311" s="146" t="str">
        <f t="shared" si="88"/>
        <v/>
      </c>
      <c r="AW311" s="146" t="str">
        <f t="shared" si="89"/>
        <v/>
      </c>
      <c r="AX311" s="138" t="str">
        <f>IFERROR((1-((AV311*AR311)/(AW311*AQ311)))*100,"")</f>
        <v/>
      </c>
      <c r="AY311" s="95" t="s">
        <v>56</v>
      </c>
      <c r="AZ311" s="96">
        <v>63.344999999999999</v>
      </c>
      <c r="BA311" s="96"/>
      <c r="BB311" s="96">
        <v>81.5</v>
      </c>
      <c r="BC311" s="96"/>
      <c r="BD311" s="97">
        <v>73.400000000000006</v>
      </c>
      <c r="BE311" s="142" t="str">
        <f t="shared" si="90"/>
        <v/>
      </c>
      <c r="BF311" s="98">
        <v>0</v>
      </c>
      <c r="BG311" s="98">
        <v>0</v>
      </c>
      <c r="BH311" s="98">
        <v>0</v>
      </c>
      <c r="BI311" s="98"/>
      <c r="BJ311" s="98"/>
      <c r="BK311" s="98"/>
      <c r="BL311" s="97"/>
    </row>
    <row r="312" spans="1:64" outlineLevel="5" x14ac:dyDescent="0.3">
      <c r="A312" s="152">
        <f t="shared" si="91"/>
        <v>9</v>
      </c>
      <c r="B312" s="153">
        <f t="shared" si="81"/>
        <v>44094</v>
      </c>
      <c r="C312" s="138">
        <f>IFERROR(ROUND(AVERAGE(D312:K312),1),"")</f>
        <v>38</v>
      </c>
      <c r="D312" s="84">
        <v>38</v>
      </c>
      <c r="E312" s="84">
        <v>38</v>
      </c>
      <c r="F312" s="84"/>
      <c r="G312" s="84"/>
      <c r="H312" s="84"/>
      <c r="I312" s="84"/>
      <c r="J312" s="84"/>
      <c r="K312" s="84"/>
      <c r="L312" s="140" t="str">
        <f>IFERROR(ROUND(AVERAGE(M312:T312),1),"")</f>
        <v/>
      </c>
      <c r="M312" s="86"/>
      <c r="N312" s="86"/>
      <c r="O312" s="86"/>
      <c r="P312" s="86"/>
      <c r="Q312" s="86"/>
      <c r="R312" s="86"/>
      <c r="S312" s="86"/>
      <c r="T312" s="86"/>
      <c r="U312" s="142" t="str">
        <f>IFERROR(ROUND(AVERAGE(V312:AC312),1),"")</f>
        <v/>
      </c>
      <c r="V312" s="88"/>
      <c r="W312" s="88"/>
      <c r="X312" s="88"/>
      <c r="Y312" s="88"/>
      <c r="Z312" s="88"/>
      <c r="AA312" s="88"/>
      <c r="AB312" s="88"/>
      <c r="AC312" s="88"/>
      <c r="AD312" s="142" t="str">
        <f>IFERROR(ROUND(AVERAGE(AE312:AL312),1),"")</f>
        <v/>
      </c>
      <c r="AE312" s="88"/>
      <c r="AF312" s="88"/>
      <c r="AG312" s="88"/>
      <c r="AH312" s="88"/>
      <c r="AI312" s="88"/>
      <c r="AJ312" s="88"/>
      <c r="AK312" s="88"/>
      <c r="AL312" s="88"/>
      <c r="AM312" s="88">
        <v>62.93333333333333</v>
      </c>
      <c r="AN312" s="88">
        <v>75</v>
      </c>
      <c r="AO312" s="89" t="s">
        <v>56</v>
      </c>
      <c r="AP312" s="90" t="s">
        <v>56</v>
      </c>
      <c r="AQ312" s="146" t="str">
        <f t="shared" si="86"/>
        <v/>
      </c>
      <c r="AR312" s="146" t="str">
        <f t="shared" si="87"/>
        <v/>
      </c>
      <c r="AS312" s="147">
        <v>10</v>
      </c>
      <c r="AT312" s="148" t="s">
        <v>56</v>
      </c>
      <c r="AU312" s="149" t="s">
        <v>56</v>
      </c>
      <c r="AV312" s="146" t="str">
        <f t="shared" si="88"/>
        <v/>
      </c>
      <c r="AW312" s="146" t="str">
        <f t="shared" si="89"/>
        <v/>
      </c>
      <c r="AX312" s="138" t="str">
        <f>IFERROR((1-((AV312*AR312)/(AW312*AQ312)))*100,"")</f>
        <v/>
      </c>
      <c r="AY312" s="95" t="s">
        <v>56</v>
      </c>
      <c r="AZ312" s="96">
        <v>62.06</v>
      </c>
      <c r="BA312" s="96"/>
      <c r="BB312" s="96">
        <v>74.5</v>
      </c>
      <c r="BC312" s="96"/>
      <c r="BD312" s="97">
        <v>75</v>
      </c>
      <c r="BE312" s="142">
        <f t="shared" si="90"/>
        <v>176</v>
      </c>
      <c r="BF312" s="98">
        <v>69</v>
      </c>
      <c r="BG312" s="98">
        <v>107</v>
      </c>
      <c r="BH312" s="98">
        <v>0</v>
      </c>
      <c r="BI312" s="98"/>
      <c r="BJ312" s="98"/>
      <c r="BK312" s="98"/>
      <c r="BL312" s="97"/>
    </row>
    <row r="313" spans="1:64" outlineLevel="5" x14ac:dyDescent="0.3">
      <c r="A313" s="152">
        <f t="shared" si="91"/>
        <v>9</v>
      </c>
      <c r="B313" s="153">
        <f t="shared" si="81"/>
        <v>44095</v>
      </c>
      <c r="C313" s="138">
        <f>IFERROR(ROUND(AVERAGE(D313:K313),1),"")</f>
        <v>37</v>
      </c>
      <c r="D313" s="84">
        <v>37</v>
      </c>
      <c r="E313" s="84">
        <v>37</v>
      </c>
      <c r="F313" s="84"/>
      <c r="G313" s="84"/>
      <c r="H313" s="84"/>
      <c r="I313" s="84"/>
      <c r="J313" s="84"/>
      <c r="K313" s="84"/>
      <c r="L313" s="140">
        <f>IFERROR(ROUND(AVERAGE(M313:T313),1),"")</f>
        <v>7.7</v>
      </c>
      <c r="M313" s="86"/>
      <c r="N313" s="86">
        <v>7.71</v>
      </c>
      <c r="O313" s="86"/>
      <c r="P313" s="86"/>
      <c r="Q313" s="86"/>
      <c r="R313" s="86"/>
      <c r="S313" s="86"/>
      <c r="T313" s="86"/>
      <c r="U313" s="142">
        <f>IFERROR(ROUND(AVERAGE(V313:AC313),1),"")</f>
        <v>1232.5999999999999</v>
      </c>
      <c r="V313" s="88"/>
      <c r="W313" s="88">
        <v>1232.5999999999999</v>
      </c>
      <c r="X313" s="88"/>
      <c r="Y313" s="88"/>
      <c r="Z313" s="88"/>
      <c r="AA313" s="88"/>
      <c r="AB313" s="88"/>
      <c r="AC313" s="88"/>
      <c r="AD313" s="142" t="str">
        <f>IFERROR(ROUND(AVERAGE(AE313:AL313),1),"")</f>
        <v/>
      </c>
      <c r="AE313" s="88"/>
      <c r="AF313" s="88"/>
      <c r="AG313" s="88"/>
      <c r="AH313" s="88"/>
      <c r="AI313" s="88"/>
      <c r="AJ313" s="88"/>
      <c r="AK313" s="88"/>
      <c r="AL313" s="88"/>
      <c r="AM313" s="88">
        <v>48.800661703887513</v>
      </c>
      <c r="AN313" s="88">
        <v>96.72</v>
      </c>
      <c r="AO313" s="89" t="s">
        <v>56</v>
      </c>
      <c r="AP313" s="90" t="s">
        <v>56</v>
      </c>
      <c r="AQ313" s="146" t="str">
        <f t="shared" si="86"/>
        <v/>
      </c>
      <c r="AR313" s="146" t="str">
        <f t="shared" si="87"/>
        <v/>
      </c>
      <c r="AS313" s="147">
        <v>10</v>
      </c>
      <c r="AT313" s="148">
        <v>16.100000000000001</v>
      </c>
      <c r="AU313" s="149">
        <v>10.5</v>
      </c>
      <c r="AV313" s="146">
        <f t="shared" si="88"/>
        <v>65.217391304347814</v>
      </c>
      <c r="AW313" s="146">
        <f t="shared" si="89"/>
        <v>34.782608695652186</v>
      </c>
      <c r="AX313" s="138" t="str">
        <f>IFERROR((1-((AV313*AR313)/(AW313*AQ313)))*100,"")</f>
        <v/>
      </c>
      <c r="AY313" s="95">
        <v>75.599999999999994</v>
      </c>
      <c r="AZ313" s="96">
        <v>62.784999999999997</v>
      </c>
      <c r="BA313" s="96"/>
      <c r="BB313" s="96">
        <v>37.5</v>
      </c>
      <c r="BC313" s="96"/>
      <c r="BD313" s="97">
        <v>96.72</v>
      </c>
      <c r="BE313" s="142">
        <f t="shared" si="90"/>
        <v>2543</v>
      </c>
      <c r="BF313" s="98">
        <v>28</v>
      </c>
      <c r="BG313" s="98">
        <v>2453</v>
      </c>
      <c r="BH313" s="98">
        <v>62</v>
      </c>
      <c r="BI313" s="98"/>
      <c r="BJ313" s="98"/>
      <c r="BK313" s="98"/>
      <c r="BL313" s="97"/>
    </row>
    <row r="314" spans="1:64" outlineLevel="5" x14ac:dyDescent="0.3">
      <c r="A314" s="152">
        <f t="shared" si="91"/>
        <v>9</v>
      </c>
      <c r="B314" s="153">
        <f t="shared" si="81"/>
        <v>44096</v>
      </c>
      <c r="C314" s="138">
        <f>IFERROR(ROUND(AVERAGE(D314:K314),1),"")</f>
        <v>37</v>
      </c>
      <c r="D314" s="84">
        <v>37</v>
      </c>
      <c r="E314" s="84">
        <v>37</v>
      </c>
      <c r="F314" s="84"/>
      <c r="G314" s="84"/>
      <c r="H314" s="84"/>
      <c r="I314" s="84"/>
      <c r="J314" s="84"/>
      <c r="K314" s="84"/>
      <c r="L314" s="140" t="str">
        <f>IFERROR(ROUND(AVERAGE(M314:T314),1),"")</f>
        <v/>
      </c>
      <c r="M314" s="86"/>
      <c r="N314" s="86"/>
      <c r="O314" s="86"/>
      <c r="P314" s="86"/>
      <c r="Q314" s="86"/>
      <c r="R314" s="86"/>
      <c r="S314" s="86"/>
      <c r="T314" s="86"/>
      <c r="U314" s="142" t="str">
        <f>IFERROR(ROUND(AVERAGE(V314:AC314),1),"")</f>
        <v/>
      </c>
      <c r="V314" s="88"/>
      <c r="W314" s="88"/>
      <c r="X314" s="88"/>
      <c r="Y314" s="88"/>
      <c r="Z314" s="88"/>
      <c r="AA314" s="88"/>
      <c r="AB314" s="88"/>
      <c r="AC314" s="88"/>
      <c r="AD314" s="142" t="str">
        <f>IFERROR(ROUND(AVERAGE(AE314:AL314),1),"")</f>
        <v/>
      </c>
      <c r="AE314" s="88"/>
      <c r="AF314" s="88"/>
      <c r="AG314" s="88"/>
      <c r="AH314" s="88"/>
      <c r="AI314" s="88"/>
      <c r="AJ314" s="88"/>
      <c r="AK314" s="88"/>
      <c r="AL314" s="88"/>
      <c r="AM314" s="88">
        <v>56.764882742032469</v>
      </c>
      <c r="AN314" s="88">
        <v>83.15</v>
      </c>
      <c r="AO314" s="89" t="s">
        <v>56</v>
      </c>
      <c r="AP314" s="90" t="s">
        <v>56</v>
      </c>
      <c r="AQ314" s="146" t="str">
        <f t="shared" si="86"/>
        <v/>
      </c>
      <c r="AR314" s="146" t="str">
        <f t="shared" si="87"/>
        <v/>
      </c>
      <c r="AS314" s="147">
        <v>7</v>
      </c>
      <c r="AT314" s="148" t="s">
        <v>56</v>
      </c>
      <c r="AU314" s="149" t="s">
        <v>56</v>
      </c>
      <c r="AV314" s="146" t="str">
        <f t="shared" si="88"/>
        <v/>
      </c>
      <c r="AW314" s="146" t="str">
        <f t="shared" si="89"/>
        <v/>
      </c>
      <c r="AX314" s="138" t="str">
        <f>IFERROR((1-((AV314*AR314)/(AW314*AQ314)))*100,"")</f>
        <v/>
      </c>
      <c r="AY314" s="95" t="s">
        <v>56</v>
      </c>
      <c r="AZ314" s="96">
        <v>63.045000000000002</v>
      </c>
      <c r="BA314" s="96"/>
      <c r="BB314" s="96">
        <v>75.5</v>
      </c>
      <c r="BC314" s="96"/>
      <c r="BD314" s="97">
        <v>83.15</v>
      </c>
      <c r="BE314" s="142">
        <f t="shared" si="90"/>
        <v>1494</v>
      </c>
      <c r="BF314" s="98">
        <v>80</v>
      </c>
      <c r="BG314" s="98">
        <v>1414</v>
      </c>
      <c r="BH314" s="98">
        <v>0</v>
      </c>
      <c r="BI314" s="98"/>
      <c r="BJ314" s="98"/>
      <c r="BK314" s="98"/>
      <c r="BL314" s="97"/>
    </row>
    <row r="315" spans="1:64" outlineLevel="5" x14ac:dyDescent="0.3">
      <c r="A315" s="152">
        <f t="shared" si="91"/>
        <v>9</v>
      </c>
      <c r="B315" s="153">
        <f t="shared" si="81"/>
        <v>44097</v>
      </c>
      <c r="C315" s="138">
        <f>IFERROR(ROUND(AVERAGE(D315:K315),1),"")</f>
        <v>38</v>
      </c>
      <c r="D315" s="84">
        <v>38</v>
      </c>
      <c r="E315" s="84">
        <v>38</v>
      </c>
      <c r="F315" s="84"/>
      <c r="G315" s="84"/>
      <c r="H315" s="84"/>
      <c r="I315" s="84"/>
      <c r="J315" s="84"/>
      <c r="K315" s="84"/>
      <c r="L315" s="140">
        <f>IFERROR(ROUND(AVERAGE(M315:T315),1),"")</f>
        <v>7.7</v>
      </c>
      <c r="M315" s="86"/>
      <c r="N315" s="86">
        <v>7.68</v>
      </c>
      <c r="O315" s="86"/>
      <c r="P315" s="86"/>
      <c r="Q315" s="86"/>
      <c r="R315" s="86"/>
      <c r="S315" s="86"/>
      <c r="T315" s="86"/>
      <c r="U315" s="142">
        <f>IFERROR(ROUND(AVERAGE(V315:AC315),1),"")</f>
        <v>1340.8</v>
      </c>
      <c r="V315" s="88"/>
      <c r="W315" s="88">
        <v>1340.8</v>
      </c>
      <c r="X315" s="88"/>
      <c r="Y315" s="88"/>
      <c r="Z315" s="88"/>
      <c r="AA315" s="88"/>
      <c r="AB315" s="88"/>
      <c r="AC315" s="88"/>
      <c r="AD315" s="142" t="str">
        <f>IFERROR(ROUND(AVERAGE(AE315:AL315),1),"")</f>
        <v/>
      </c>
      <c r="AE315" s="88"/>
      <c r="AF315" s="88"/>
      <c r="AG315" s="88"/>
      <c r="AH315" s="88"/>
      <c r="AI315" s="88"/>
      <c r="AJ315" s="88"/>
      <c r="AK315" s="88"/>
      <c r="AL315" s="88"/>
      <c r="AM315" s="88">
        <v>40.539379884909387</v>
      </c>
      <c r="AN315" s="88">
        <v>116.43</v>
      </c>
      <c r="AO315" s="89"/>
      <c r="AP315" s="90"/>
      <c r="AQ315" s="146" t="str">
        <f t="shared" si="86"/>
        <v/>
      </c>
      <c r="AR315" s="146" t="str">
        <f t="shared" si="87"/>
        <v/>
      </c>
      <c r="AS315" s="147">
        <v>0</v>
      </c>
      <c r="AT315" s="148">
        <v>16.7</v>
      </c>
      <c r="AU315" s="149">
        <v>10.6</v>
      </c>
      <c r="AV315" s="146">
        <f t="shared" si="88"/>
        <v>63.473053892215567</v>
      </c>
      <c r="AW315" s="146">
        <f t="shared" si="89"/>
        <v>36.526946107784433</v>
      </c>
      <c r="AX315" s="138" t="str">
        <f>IFERROR((1-((AV315*AR315)/(AW315*AQ315)))*100,"")</f>
        <v/>
      </c>
      <c r="AY315" s="95">
        <v>79</v>
      </c>
      <c r="AZ315" s="96">
        <v>61.67</v>
      </c>
      <c r="BA315" s="96"/>
      <c r="BB315" s="96">
        <v>92</v>
      </c>
      <c r="BC315" s="96"/>
      <c r="BD315" s="97">
        <v>116.43</v>
      </c>
      <c r="BE315" s="142">
        <f t="shared" si="90"/>
        <v>1387</v>
      </c>
      <c r="BF315" s="98">
        <v>38</v>
      </c>
      <c r="BG315" s="98">
        <v>1349</v>
      </c>
      <c r="BH315" s="98">
        <v>0</v>
      </c>
      <c r="BI315" s="98"/>
      <c r="BJ315" s="98"/>
      <c r="BK315" s="98"/>
      <c r="BL315" s="97"/>
    </row>
    <row r="316" spans="1:64" outlineLevel="5" x14ac:dyDescent="0.3">
      <c r="A316" s="152">
        <f t="shared" si="91"/>
        <v>9</v>
      </c>
      <c r="B316" s="153">
        <f t="shared" si="81"/>
        <v>44098</v>
      </c>
      <c r="C316" s="138">
        <f>IFERROR(ROUND(AVERAGE(D316:K316),1),"")</f>
        <v>38</v>
      </c>
      <c r="D316" s="84">
        <v>38</v>
      </c>
      <c r="E316" s="84">
        <v>38</v>
      </c>
      <c r="F316" s="84"/>
      <c r="G316" s="84"/>
      <c r="H316" s="84"/>
      <c r="I316" s="84"/>
      <c r="J316" s="84"/>
      <c r="K316" s="84"/>
      <c r="L316" s="140">
        <f>IFERROR(ROUND(AVERAGE(M316:T316),1),"")</f>
        <v>7.8</v>
      </c>
      <c r="M316" s="86">
        <v>7.85</v>
      </c>
      <c r="N316" s="86">
        <v>7.7</v>
      </c>
      <c r="O316" s="86"/>
      <c r="P316" s="86"/>
      <c r="Q316" s="86"/>
      <c r="R316" s="86"/>
      <c r="S316" s="86"/>
      <c r="T316" s="86"/>
      <c r="U316" s="142">
        <f>IFERROR(ROUND(AVERAGE(V316:AC316),1),"")</f>
        <v>1470.5</v>
      </c>
      <c r="V316" s="88">
        <v>1643.5</v>
      </c>
      <c r="W316" s="88">
        <v>1297.5</v>
      </c>
      <c r="X316" s="88"/>
      <c r="Y316" s="88"/>
      <c r="Z316" s="88"/>
      <c r="AA316" s="88"/>
      <c r="AB316" s="88"/>
      <c r="AC316" s="88"/>
      <c r="AD316" s="142" t="str">
        <f>IFERROR(ROUND(AVERAGE(AE316:AL316),1),"")</f>
        <v/>
      </c>
      <c r="AE316" s="88"/>
      <c r="AF316" s="88"/>
      <c r="AG316" s="88"/>
      <c r="AH316" s="88"/>
      <c r="AI316" s="88"/>
      <c r="AJ316" s="88"/>
      <c r="AK316" s="88"/>
      <c r="AL316" s="88"/>
      <c r="AM316" s="88">
        <v>42.53785147801009</v>
      </c>
      <c r="AN316" s="88">
        <v>110.96000000000001</v>
      </c>
      <c r="AO316" s="89"/>
      <c r="AP316" s="90"/>
      <c r="AQ316" s="146" t="str">
        <f t="shared" si="86"/>
        <v/>
      </c>
      <c r="AR316" s="146" t="str">
        <f t="shared" si="87"/>
        <v/>
      </c>
      <c r="AS316" s="147">
        <v>0</v>
      </c>
      <c r="AT316" s="148">
        <v>16.45</v>
      </c>
      <c r="AU316" s="149">
        <v>9.4</v>
      </c>
      <c r="AV316" s="146">
        <f t="shared" si="88"/>
        <v>57.142857142857153</v>
      </c>
      <c r="AW316" s="146">
        <f t="shared" si="89"/>
        <v>42.857142857142847</v>
      </c>
      <c r="AX316" s="138" t="str">
        <f>IFERROR((1-((AV316*AR316)/(AW316*AQ316)))*100,"")</f>
        <v/>
      </c>
      <c r="AY316" s="95">
        <v>80.2</v>
      </c>
      <c r="AZ316" s="96">
        <v>63.814999999999998</v>
      </c>
      <c r="BA316" s="96"/>
      <c r="BB316" s="96">
        <v>80.5</v>
      </c>
      <c r="BC316" s="96"/>
      <c r="BD316" s="97">
        <v>110.96000000000001</v>
      </c>
      <c r="BE316" s="142">
        <f t="shared" si="90"/>
        <v>1258</v>
      </c>
      <c r="BF316" s="98">
        <v>0</v>
      </c>
      <c r="BG316" s="98">
        <v>1258</v>
      </c>
      <c r="BH316" s="98">
        <v>0</v>
      </c>
      <c r="BI316" s="98"/>
      <c r="BJ316" s="98"/>
      <c r="BK316" s="98"/>
      <c r="BL316" s="97"/>
    </row>
    <row r="317" spans="1:64" outlineLevel="5" x14ac:dyDescent="0.3">
      <c r="A317" s="152">
        <f t="shared" si="91"/>
        <v>9</v>
      </c>
      <c r="B317" s="153">
        <f t="shared" si="81"/>
        <v>44099</v>
      </c>
      <c r="C317" s="138">
        <f>IFERROR(ROUND(AVERAGE(D317:K317),1),"")</f>
        <v>39.5</v>
      </c>
      <c r="D317" s="84">
        <v>39</v>
      </c>
      <c r="E317" s="84">
        <v>40</v>
      </c>
      <c r="F317" s="84"/>
      <c r="G317" s="84"/>
      <c r="H317" s="84"/>
      <c r="I317" s="84"/>
      <c r="J317" s="84"/>
      <c r="K317" s="84"/>
      <c r="L317" s="140" t="str">
        <f>IFERROR(ROUND(AVERAGE(M317:T317),1),"")</f>
        <v/>
      </c>
      <c r="M317" s="86"/>
      <c r="N317" s="86"/>
      <c r="O317" s="86"/>
      <c r="P317" s="86"/>
      <c r="Q317" s="86"/>
      <c r="R317" s="86"/>
      <c r="S317" s="86"/>
      <c r="T317" s="86"/>
      <c r="U317" s="142" t="str">
        <f>IFERROR(ROUND(AVERAGE(V317:AC317),1),"")</f>
        <v/>
      </c>
      <c r="V317" s="88"/>
      <c r="W317" s="88"/>
      <c r="X317" s="88"/>
      <c r="Y317" s="88"/>
      <c r="Z317" s="88"/>
      <c r="AA317" s="88"/>
      <c r="AB317" s="88"/>
      <c r="AC317" s="88"/>
      <c r="AD317" s="142" t="str">
        <f>IFERROR(ROUND(AVERAGE(AE317:AL317),1),"")</f>
        <v/>
      </c>
      <c r="AE317" s="88"/>
      <c r="AF317" s="88"/>
      <c r="AG317" s="88"/>
      <c r="AH317" s="88"/>
      <c r="AI317" s="88"/>
      <c r="AJ317" s="88"/>
      <c r="AK317" s="88"/>
      <c r="AL317" s="88"/>
      <c r="AM317" s="88">
        <v>43.294808292056501</v>
      </c>
      <c r="AN317" s="88">
        <v>109.02000000000001</v>
      </c>
      <c r="AO317" s="89">
        <v>18.7</v>
      </c>
      <c r="AP317" s="90">
        <v>15.708</v>
      </c>
      <c r="AQ317" s="146">
        <f t="shared" si="86"/>
        <v>84.000000000000014</v>
      </c>
      <c r="AR317" s="146">
        <f t="shared" si="87"/>
        <v>15.999999999999986</v>
      </c>
      <c r="AS317" s="147">
        <v>0</v>
      </c>
      <c r="AT317" s="148" t="s">
        <v>56</v>
      </c>
      <c r="AU317" s="149" t="s">
        <v>56</v>
      </c>
      <c r="AV317" s="146" t="str">
        <f t="shared" si="88"/>
        <v/>
      </c>
      <c r="AW317" s="146" t="str">
        <f t="shared" si="89"/>
        <v/>
      </c>
      <c r="AX317" s="138" t="str">
        <f>IFERROR((1-((AV317*AR317)/(AW317*AQ317)))*100,"")</f>
        <v/>
      </c>
      <c r="AY317" s="95" t="s">
        <v>56</v>
      </c>
      <c r="AZ317" s="96">
        <v>63.92</v>
      </c>
      <c r="BA317" s="96"/>
      <c r="BB317" s="96">
        <v>74.5</v>
      </c>
      <c r="BC317" s="96"/>
      <c r="BD317" s="97">
        <v>109.02000000000001</v>
      </c>
      <c r="BE317" s="142">
        <f t="shared" si="90"/>
        <v>1031</v>
      </c>
      <c r="BF317" s="98">
        <v>0</v>
      </c>
      <c r="BG317" s="98">
        <v>1031</v>
      </c>
      <c r="BH317" s="98">
        <v>0</v>
      </c>
      <c r="BI317" s="98"/>
      <c r="BJ317" s="98"/>
      <c r="BK317" s="98"/>
      <c r="BL317" s="97"/>
    </row>
    <row r="318" spans="1:64" outlineLevel="5" x14ac:dyDescent="0.3">
      <c r="A318" s="152">
        <f t="shared" si="91"/>
        <v>9</v>
      </c>
      <c r="B318" s="153">
        <f t="shared" si="81"/>
        <v>44100</v>
      </c>
      <c r="C318" s="138">
        <f>IFERROR(ROUND(AVERAGE(D318:K318),1),"")</f>
        <v>39</v>
      </c>
      <c r="D318" s="84">
        <v>39</v>
      </c>
      <c r="E318" s="84">
        <v>39</v>
      </c>
      <c r="F318" s="84"/>
      <c r="G318" s="84"/>
      <c r="H318" s="84"/>
      <c r="I318" s="84"/>
      <c r="J318" s="84"/>
      <c r="K318" s="84"/>
      <c r="L318" s="140" t="str">
        <f>IFERROR(ROUND(AVERAGE(M318:T318),1),"")</f>
        <v/>
      </c>
      <c r="M318" s="86"/>
      <c r="N318" s="86"/>
      <c r="O318" s="86"/>
      <c r="P318" s="86"/>
      <c r="Q318" s="86"/>
      <c r="R318" s="86"/>
      <c r="S318" s="86"/>
      <c r="T318" s="86"/>
      <c r="U318" s="142" t="str">
        <f>IFERROR(ROUND(AVERAGE(V318:AC318),1),"")</f>
        <v/>
      </c>
      <c r="V318" s="88"/>
      <c r="W318" s="88"/>
      <c r="X318" s="88"/>
      <c r="Y318" s="88"/>
      <c r="Z318" s="88"/>
      <c r="AA318" s="88"/>
      <c r="AB318" s="88"/>
      <c r="AC318" s="88"/>
      <c r="AD318" s="142" t="str">
        <f>IFERROR(ROUND(AVERAGE(AE318:AL318),1),"")</f>
        <v/>
      </c>
      <c r="AE318" s="88"/>
      <c r="AF318" s="88"/>
      <c r="AG318" s="88"/>
      <c r="AH318" s="88"/>
      <c r="AI318" s="88"/>
      <c r="AJ318" s="88"/>
      <c r="AK318" s="88"/>
      <c r="AL318" s="88"/>
      <c r="AM318" s="88">
        <v>48.03582332587014</v>
      </c>
      <c r="AN318" s="88">
        <v>98.26</v>
      </c>
      <c r="AO318" s="89" t="s">
        <v>56</v>
      </c>
      <c r="AP318" s="90" t="s">
        <v>56</v>
      </c>
      <c r="AQ318" s="146" t="str">
        <f t="shared" si="86"/>
        <v/>
      </c>
      <c r="AR318" s="146" t="str">
        <f t="shared" si="87"/>
        <v/>
      </c>
      <c r="AS318" s="147">
        <v>0</v>
      </c>
      <c r="AT318" s="148" t="s">
        <v>56</v>
      </c>
      <c r="AU318" s="149" t="s">
        <v>56</v>
      </c>
      <c r="AV318" s="146" t="str">
        <f t="shared" si="88"/>
        <v/>
      </c>
      <c r="AW318" s="146" t="str">
        <f t="shared" si="89"/>
        <v/>
      </c>
      <c r="AX318" s="138" t="str">
        <f>IFERROR((1-((AV318*AR318)/(AW318*AQ318)))*100,"")</f>
        <v/>
      </c>
      <c r="AY318" s="95" t="s">
        <v>56</v>
      </c>
      <c r="AZ318" s="96">
        <v>62.06</v>
      </c>
      <c r="BA318" s="96"/>
      <c r="BB318" s="96">
        <v>82.5</v>
      </c>
      <c r="BC318" s="96"/>
      <c r="BD318" s="97">
        <v>98.26</v>
      </c>
      <c r="BE318" s="142">
        <f t="shared" si="90"/>
        <v>97</v>
      </c>
      <c r="BF318" s="98">
        <v>0</v>
      </c>
      <c r="BG318" s="98">
        <v>97</v>
      </c>
      <c r="BH318" s="98">
        <v>0</v>
      </c>
      <c r="BI318" s="98"/>
      <c r="BJ318" s="98"/>
      <c r="BK318" s="98"/>
      <c r="BL318" s="97"/>
    </row>
    <row r="319" spans="1:64" outlineLevel="5" x14ac:dyDescent="0.3">
      <c r="A319" s="152">
        <f t="shared" si="91"/>
        <v>9</v>
      </c>
      <c r="B319" s="153">
        <f t="shared" si="81"/>
        <v>44101</v>
      </c>
      <c r="C319" s="138">
        <f>IFERROR(ROUND(AVERAGE(D319:K319),1),"")</f>
        <v>38</v>
      </c>
      <c r="D319" s="84">
        <v>38</v>
      </c>
      <c r="E319" s="84">
        <v>38</v>
      </c>
      <c r="F319" s="84"/>
      <c r="G319" s="84"/>
      <c r="H319" s="84"/>
      <c r="I319" s="84"/>
      <c r="J319" s="84"/>
      <c r="K319" s="84"/>
      <c r="L319" s="140" t="str">
        <f>IFERROR(ROUND(AVERAGE(M319:T319),1),"")</f>
        <v/>
      </c>
      <c r="M319" s="86"/>
      <c r="N319" s="86"/>
      <c r="O319" s="86"/>
      <c r="P319" s="86"/>
      <c r="Q319" s="86"/>
      <c r="R319" s="86"/>
      <c r="S319" s="86"/>
      <c r="T319" s="86"/>
      <c r="U319" s="142" t="str">
        <f>IFERROR(ROUND(AVERAGE(V319:AC319),1),"")</f>
        <v/>
      </c>
      <c r="V319" s="88"/>
      <c r="W319" s="88"/>
      <c r="X319" s="88"/>
      <c r="Y319" s="88"/>
      <c r="Z319" s="88"/>
      <c r="AA319" s="88"/>
      <c r="AB319" s="88"/>
      <c r="AC319" s="88"/>
      <c r="AD319" s="142" t="str">
        <f>IFERROR(ROUND(AVERAGE(AE319:AL319),1),"")</f>
        <v/>
      </c>
      <c r="AE319" s="88"/>
      <c r="AF319" s="88"/>
      <c r="AG319" s="88"/>
      <c r="AH319" s="88"/>
      <c r="AI319" s="88"/>
      <c r="AJ319" s="88"/>
      <c r="AK319" s="88"/>
      <c r="AL319" s="88"/>
      <c r="AM319" s="88">
        <v>52.444444444444443</v>
      </c>
      <c r="AN319" s="88">
        <v>90</v>
      </c>
      <c r="AO319" s="89" t="s">
        <v>56</v>
      </c>
      <c r="AP319" s="90"/>
      <c r="AQ319" s="146" t="str">
        <f t="shared" si="86"/>
        <v/>
      </c>
      <c r="AR319" s="146" t="str">
        <f t="shared" si="87"/>
        <v/>
      </c>
      <c r="AS319" s="147">
        <v>0</v>
      </c>
      <c r="AT319" s="148" t="s">
        <v>56</v>
      </c>
      <c r="AU319" s="149" t="s">
        <v>56</v>
      </c>
      <c r="AV319" s="146" t="str">
        <f t="shared" si="88"/>
        <v/>
      </c>
      <c r="AW319" s="146" t="str">
        <f t="shared" si="89"/>
        <v/>
      </c>
      <c r="AX319" s="138" t="str">
        <f>IFERROR((1-((AV319*AR319)/(AW319*AQ319)))*100,"")</f>
        <v/>
      </c>
      <c r="AY319" s="95" t="s">
        <v>56</v>
      </c>
      <c r="AZ319" s="96">
        <v>64.08</v>
      </c>
      <c r="BA319" s="96"/>
      <c r="BB319" s="96">
        <v>130</v>
      </c>
      <c r="BC319" s="96"/>
      <c r="BD319" s="97">
        <v>90</v>
      </c>
      <c r="BE319" s="142">
        <f t="shared" si="90"/>
        <v>696</v>
      </c>
      <c r="BF319" s="98">
        <v>0</v>
      </c>
      <c r="BG319" s="98">
        <v>696</v>
      </c>
      <c r="BH319" s="98">
        <v>0</v>
      </c>
      <c r="BI319" s="98"/>
      <c r="BJ319" s="98"/>
      <c r="BK319" s="98"/>
      <c r="BL319" s="97"/>
    </row>
    <row r="320" spans="1:64" outlineLevel="5" x14ac:dyDescent="0.3">
      <c r="A320" s="152">
        <f t="shared" si="91"/>
        <v>9</v>
      </c>
      <c r="B320" s="153">
        <f t="shared" si="81"/>
        <v>44102</v>
      </c>
      <c r="C320" s="138">
        <f>IFERROR(ROUND(AVERAGE(D320:K320),1),"")</f>
        <v>37</v>
      </c>
      <c r="D320" s="84">
        <v>37</v>
      </c>
      <c r="E320" s="84">
        <v>37</v>
      </c>
      <c r="F320" s="84"/>
      <c r="G320" s="84"/>
      <c r="H320" s="84"/>
      <c r="I320" s="84"/>
      <c r="J320" s="84"/>
      <c r="K320" s="84"/>
      <c r="L320" s="140">
        <f>IFERROR(ROUND(AVERAGE(M320:T320),1),"")</f>
        <v>7.8</v>
      </c>
      <c r="M320" s="86">
        <v>7.86</v>
      </c>
      <c r="N320" s="86">
        <v>7.69</v>
      </c>
      <c r="O320" s="86"/>
      <c r="P320" s="86"/>
      <c r="Q320" s="86"/>
      <c r="R320" s="86"/>
      <c r="S320" s="86"/>
      <c r="T320" s="86"/>
      <c r="U320" s="142">
        <f>IFERROR(ROUND(AVERAGE(V320:AC320),1),"")</f>
        <v>1578.7</v>
      </c>
      <c r="V320" s="88">
        <v>1773.3</v>
      </c>
      <c r="W320" s="88">
        <v>1384</v>
      </c>
      <c r="X320" s="88"/>
      <c r="Y320" s="88"/>
      <c r="Z320" s="88"/>
      <c r="AA320" s="88"/>
      <c r="AB320" s="88"/>
      <c r="AC320" s="88"/>
      <c r="AD320" s="142" t="str">
        <f>IFERROR(ROUND(AVERAGE(AE320:AL320),1),"")</f>
        <v/>
      </c>
      <c r="AE320" s="88"/>
      <c r="AF320" s="88"/>
      <c r="AG320" s="88"/>
      <c r="AH320" s="88"/>
      <c r="AI320" s="88"/>
      <c r="AJ320" s="88"/>
      <c r="AK320" s="88"/>
      <c r="AL320" s="88"/>
      <c r="AM320" s="88">
        <v>47.190561887622472</v>
      </c>
      <c r="AN320" s="88">
        <v>100.02000000000001</v>
      </c>
      <c r="AO320" s="89"/>
      <c r="AP320" s="90"/>
      <c r="AQ320" s="146" t="str">
        <f t="shared" si="86"/>
        <v/>
      </c>
      <c r="AR320" s="146" t="str">
        <f t="shared" si="87"/>
        <v/>
      </c>
      <c r="AS320" s="147">
        <v>10</v>
      </c>
      <c r="AT320" s="148">
        <v>15.899999999999999</v>
      </c>
      <c r="AU320" s="149">
        <v>10.3</v>
      </c>
      <c r="AV320" s="146">
        <f t="shared" si="88"/>
        <v>64.779874213836479</v>
      </c>
      <c r="AW320" s="146">
        <f t="shared" si="89"/>
        <v>35.220125786163521</v>
      </c>
      <c r="AX320" s="138" t="str">
        <f>IFERROR((1-((AV320*AR320)/(AW320*AQ320)))*100,"")</f>
        <v/>
      </c>
      <c r="AY320" s="95">
        <v>77.95</v>
      </c>
      <c r="AZ320" s="96">
        <v>61.19</v>
      </c>
      <c r="BA320" s="96"/>
      <c r="BB320" s="96">
        <v>169.5</v>
      </c>
      <c r="BC320" s="96"/>
      <c r="BD320" s="97">
        <v>100.02000000000001</v>
      </c>
      <c r="BE320" s="142">
        <f t="shared" si="90"/>
        <v>616</v>
      </c>
      <c r="BF320" s="98">
        <v>0</v>
      </c>
      <c r="BG320" s="98">
        <v>616</v>
      </c>
      <c r="BH320" s="98">
        <v>0</v>
      </c>
      <c r="BI320" s="98"/>
      <c r="BJ320" s="98"/>
      <c r="BK320" s="98"/>
      <c r="BL320" s="97"/>
    </row>
    <row r="321" spans="1:64" outlineLevel="5" x14ac:dyDescent="0.3">
      <c r="A321" s="152">
        <f t="shared" si="91"/>
        <v>9</v>
      </c>
      <c r="B321" s="153">
        <f t="shared" si="81"/>
        <v>44103</v>
      </c>
      <c r="C321" s="138">
        <f>IFERROR(ROUND(AVERAGE(D321:K321),1),"")</f>
        <v>37</v>
      </c>
      <c r="D321" s="84">
        <v>37</v>
      </c>
      <c r="E321" s="84">
        <v>37</v>
      </c>
      <c r="F321" s="84"/>
      <c r="G321" s="84"/>
      <c r="H321" s="84"/>
      <c r="I321" s="84"/>
      <c r="J321" s="84"/>
      <c r="K321" s="84"/>
      <c r="L321" s="140" t="str">
        <f>IFERROR(ROUND(AVERAGE(M321:T321),1),"")</f>
        <v/>
      </c>
      <c r="M321" s="86"/>
      <c r="N321" s="86"/>
      <c r="O321" s="86"/>
      <c r="P321" s="86"/>
      <c r="Q321" s="86"/>
      <c r="R321" s="86"/>
      <c r="S321" s="86"/>
      <c r="T321" s="86"/>
      <c r="U321" s="142" t="str">
        <f>IFERROR(ROUND(AVERAGE(V321:AC321),1),"")</f>
        <v/>
      </c>
      <c r="V321" s="88"/>
      <c r="W321" s="88"/>
      <c r="X321" s="88"/>
      <c r="Y321" s="88"/>
      <c r="Z321" s="88"/>
      <c r="AA321" s="88"/>
      <c r="AB321" s="88"/>
      <c r="AC321" s="88"/>
      <c r="AD321" s="142" t="str">
        <f>IFERROR(ROUND(AVERAGE(AE321:AL321),1),"")</f>
        <v/>
      </c>
      <c r="AE321" s="88"/>
      <c r="AF321" s="88"/>
      <c r="AG321" s="88"/>
      <c r="AH321" s="88"/>
      <c r="AI321" s="88"/>
      <c r="AJ321" s="88"/>
      <c r="AK321" s="88"/>
      <c r="AL321" s="88"/>
      <c r="AM321" s="88">
        <v>50.470487596236097</v>
      </c>
      <c r="AN321" s="88">
        <v>93.52000000000001</v>
      </c>
      <c r="AO321" s="89"/>
      <c r="AP321" s="90"/>
      <c r="AQ321" s="146" t="str">
        <f t="shared" si="86"/>
        <v/>
      </c>
      <c r="AR321" s="146" t="str">
        <f t="shared" si="87"/>
        <v/>
      </c>
      <c r="AS321" s="147">
        <v>25</v>
      </c>
      <c r="AT321" s="148" t="s">
        <v>56</v>
      </c>
      <c r="AU321" s="149" t="s">
        <v>56</v>
      </c>
      <c r="AV321" s="146" t="str">
        <f t="shared" si="88"/>
        <v/>
      </c>
      <c r="AW321" s="146" t="str">
        <f t="shared" si="89"/>
        <v/>
      </c>
      <c r="AX321" s="138" t="str">
        <f>IFERROR((1-((AV321*AR321)/(AW321*AQ321)))*100,"")</f>
        <v/>
      </c>
      <c r="AY321" s="95" t="s">
        <v>56</v>
      </c>
      <c r="AZ321" s="96">
        <v>62.835000000000001</v>
      </c>
      <c r="BA321" s="96"/>
      <c r="BB321" s="96">
        <v>54.5</v>
      </c>
      <c r="BC321" s="96"/>
      <c r="BD321" s="97">
        <v>93.52000000000001</v>
      </c>
      <c r="BE321" s="142">
        <f t="shared" si="90"/>
        <v>553</v>
      </c>
      <c r="BF321" s="98">
        <v>43</v>
      </c>
      <c r="BG321" s="98">
        <v>396</v>
      </c>
      <c r="BH321" s="98">
        <v>114</v>
      </c>
      <c r="BI321" s="98"/>
      <c r="BJ321" s="98"/>
      <c r="BK321" s="98"/>
      <c r="BL321" s="97"/>
    </row>
    <row r="322" spans="1:64" ht="17.25" outlineLevel="5" thickBot="1" x14ac:dyDescent="0.35">
      <c r="A322" s="154">
        <f t="shared" si="91"/>
        <v>9</v>
      </c>
      <c r="B322" s="155">
        <f t="shared" si="81"/>
        <v>44104</v>
      </c>
      <c r="C322" s="138">
        <f>IFERROR(ROUND(AVERAGE(D322:K322),1),"")</f>
        <v>38</v>
      </c>
      <c r="D322" s="84">
        <v>38</v>
      </c>
      <c r="E322" s="84">
        <v>38</v>
      </c>
      <c r="F322" s="84"/>
      <c r="G322" s="84"/>
      <c r="H322" s="84"/>
      <c r="I322" s="84"/>
      <c r="J322" s="84"/>
      <c r="K322" s="84"/>
      <c r="L322" s="140" t="str">
        <f>IFERROR(ROUND(AVERAGE(M322:T322),1),"")</f>
        <v/>
      </c>
      <c r="M322" s="86"/>
      <c r="N322" s="86"/>
      <c r="O322" s="86"/>
      <c r="P322" s="86"/>
      <c r="Q322" s="86"/>
      <c r="R322" s="86"/>
      <c r="S322" s="86"/>
      <c r="T322" s="86"/>
      <c r="U322" s="142" t="str">
        <f>IFERROR(ROUND(AVERAGE(V322:AC322),1),"")</f>
        <v/>
      </c>
      <c r="V322" s="88"/>
      <c r="W322" s="88"/>
      <c r="X322" s="88"/>
      <c r="Y322" s="88"/>
      <c r="Z322" s="88"/>
      <c r="AA322" s="88"/>
      <c r="AB322" s="88"/>
      <c r="AC322" s="88"/>
      <c r="AD322" s="142" t="str">
        <f>IFERROR(ROUND(AVERAGE(AE322:AL322),1),"")</f>
        <v/>
      </c>
      <c r="AE322" s="88"/>
      <c r="AF322" s="88"/>
      <c r="AG322" s="88"/>
      <c r="AH322" s="88"/>
      <c r="AI322" s="88"/>
      <c r="AJ322" s="88"/>
      <c r="AK322" s="88"/>
      <c r="AL322" s="88"/>
      <c r="AM322" s="158">
        <v>39.412157648630597</v>
      </c>
      <c r="AN322" s="88">
        <v>119.75999999999999</v>
      </c>
      <c r="AO322" s="89"/>
      <c r="AP322" s="90"/>
      <c r="AQ322" s="146" t="str">
        <f t="shared" si="86"/>
        <v/>
      </c>
      <c r="AR322" s="146" t="str">
        <f t="shared" si="87"/>
        <v/>
      </c>
      <c r="AS322" s="147">
        <v>20</v>
      </c>
      <c r="AT322" s="148" t="s">
        <v>56</v>
      </c>
      <c r="AU322" s="149" t="s">
        <v>56</v>
      </c>
      <c r="AV322" s="146" t="str">
        <f t="shared" si="88"/>
        <v/>
      </c>
      <c r="AW322" s="146" t="str">
        <f t="shared" si="89"/>
        <v/>
      </c>
      <c r="AX322" s="138" t="str">
        <f>IFERROR((1-((AV322*AR322)/(AW322*AQ322)))*100,"")</f>
        <v/>
      </c>
      <c r="AY322" s="95" t="s">
        <v>56</v>
      </c>
      <c r="AZ322" s="96">
        <v>62.25</v>
      </c>
      <c r="BA322" s="96"/>
      <c r="BB322" s="96">
        <v>53.5</v>
      </c>
      <c r="BC322" s="96"/>
      <c r="BD322" s="97">
        <v>119.75999999999999</v>
      </c>
      <c r="BE322" s="142">
        <f t="shared" si="90"/>
        <v>508</v>
      </c>
      <c r="BF322" s="98">
        <v>47</v>
      </c>
      <c r="BG322" s="98">
        <v>461</v>
      </c>
      <c r="BH322" s="98">
        <v>0</v>
      </c>
      <c r="BI322" s="98"/>
      <c r="BJ322" s="98"/>
      <c r="BK322" s="98"/>
      <c r="BL322" s="97"/>
    </row>
    <row r="323" spans="1:64" outlineLevel="4" x14ac:dyDescent="0.3">
      <c r="A323" s="63" t="s">
        <v>89</v>
      </c>
      <c r="B323" s="64"/>
      <c r="C323" s="65">
        <f t="shared" ref="C323:BL323" si="92">SUBTOTAL(4,C293:C322)</f>
        <v>39.5</v>
      </c>
      <c r="D323" s="66">
        <f t="shared" si="92"/>
        <v>39</v>
      </c>
      <c r="E323" s="66">
        <f t="shared" si="92"/>
        <v>40</v>
      </c>
      <c r="F323" s="66">
        <f t="shared" si="92"/>
        <v>0</v>
      </c>
      <c r="G323" s="66">
        <f t="shared" si="92"/>
        <v>0</v>
      </c>
      <c r="H323" s="66">
        <f t="shared" si="92"/>
        <v>0</v>
      </c>
      <c r="I323" s="66">
        <f t="shared" si="92"/>
        <v>0</v>
      </c>
      <c r="J323" s="66">
        <f t="shared" si="92"/>
        <v>0</v>
      </c>
      <c r="K323" s="66">
        <f t="shared" si="92"/>
        <v>0</v>
      </c>
      <c r="L323" s="67">
        <f t="shared" si="92"/>
        <v>7.8</v>
      </c>
      <c r="M323" s="68">
        <f t="shared" si="92"/>
        <v>7.92</v>
      </c>
      <c r="N323" s="68">
        <f t="shared" si="92"/>
        <v>7.75</v>
      </c>
      <c r="O323" s="68">
        <f t="shared" si="92"/>
        <v>0</v>
      </c>
      <c r="P323" s="68">
        <f t="shared" si="92"/>
        <v>0</v>
      </c>
      <c r="Q323" s="68">
        <f t="shared" si="92"/>
        <v>0</v>
      </c>
      <c r="R323" s="68">
        <f t="shared" si="92"/>
        <v>0</v>
      </c>
      <c r="S323" s="68">
        <f t="shared" si="92"/>
        <v>0</v>
      </c>
      <c r="T323" s="68">
        <f t="shared" si="92"/>
        <v>0</v>
      </c>
      <c r="U323" s="69">
        <f t="shared" si="92"/>
        <v>1578.7</v>
      </c>
      <c r="V323" s="70">
        <f t="shared" si="92"/>
        <v>1773.3</v>
      </c>
      <c r="W323" s="70">
        <f t="shared" si="92"/>
        <v>1384</v>
      </c>
      <c r="X323" s="70">
        <f t="shared" si="92"/>
        <v>0</v>
      </c>
      <c r="Y323" s="70">
        <f t="shared" si="92"/>
        <v>0</v>
      </c>
      <c r="Z323" s="70">
        <f t="shared" si="92"/>
        <v>0</v>
      </c>
      <c r="AA323" s="70">
        <f t="shared" si="92"/>
        <v>0</v>
      </c>
      <c r="AB323" s="70">
        <f t="shared" si="92"/>
        <v>0</v>
      </c>
      <c r="AC323" s="70">
        <f t="shared" si="92"/>
        <v>0</v>
      </c>
      <c r="AD323" s="69">
        <f t="shared" si="92"/>
        <v>0</v>
      </c>
      <c r="AE323" s="70">
        <f t="shared" si="92"/>
        <v>0</v>
      </c>
      <c r="AF323" s="70">
        <f t="shared" si="92"/>
        <v>0</v>
      </c>
      <c r="AG323" s="70">
        <f t="shared" si="92"/>
        <v>0</v>
      </c>
      <c r="AH323" s="70">
        <f t="shared" si="92"/>
        <v>0</v>
      </c>
      <c r="AI323" s="70">
        <f t="shared" si="92"/>
        <v>0</v>
      </c>
      <c r="AJ323" s="70">
        <f t="shared" si="92"/>
        <v>0</v>
      </c>
      <c r="AK323" s="70">
        <f t="shared" si="92"/>
        <v>0</v>
      </c>
      <c r="AL323" s="70">
        <f t="shared" si="92"/>
        <v>0</v>
      </c>
      <c r="AM323" s="70">
        <f>SUBTOTAL(4,AM293:AM322)</f>
        <v>85.818181818181813</v>
      </c>
      <c r="AN323" s="70">
        <f t="shared" ref="AN323:AW323" si="93">SUBTOTAL(4,AN293:AN322)</f>
        <v>124.08000000000001</v>
      </c>
      <c r="AO323" s="71">
        <f t="shared" si="93"/>
        <v>22.2</v>
      </c>
      <c r="AP323" s="72">
        <f t="shared" si="93"/>
        <v>17.691099999999999</v>
      </c>
      <c r="AQ323" s="73">
        <f t="shared" si="93"/>
        <v>88.9</v>
      </c>
      <c r="AR323" s="73">
        <f t="shared" si="93"/>
        <v>53</v>
      </c>
      <c r="AS323" s="74">
        <f t="shared" si="93"/>
        <v>30</v>
      </c>
      <c r="AT323" s="75">
        <f t="shared" si="93"/>
        <v>16.7</v>
      </c>
      <c r="AU323" s="76">
        <f t="shared" si="93"/>
        <v>10.6</v>
      </c>
      <c r="AV323" s="73">
        <f t="shared" si="93"/>
        <v>65.217391304347814</v>
      </c>
      <c r="AW323" s="73">
        <f t="shared" si="93"/>
        <v>47.419354838709673</v>
      </c>
      <c r="AX323" s="65">
        <f t="shared" si="92"/>
        <v>0</v>
      </c>
      <c r="AY323" s="77">
        <f t="shared" si="92"/>
        <v>80.2</v>
      </c>
      <c r="AZ323" s="78">
        <f t="shared" si="92"/>
        <v>68.460000000000008</v>
      </c>
      <c r="BA323" s="78">
        <f t="shared" si="92"/>
        <v>0</v>
      </c>
      <c r="BB323" s="78">
        <f t="shared" si="92"/>
        <v>169.5</v>
      </c>
      <c r="BC323" s="78">
        <f t="shared" si="92"/>
        <v>0</v>
      </c>
      <c r="BD323" s="79">
        <f t="shared" si="92"/>
        <v>124.08000000000001</v>
      </c>
      <c r="BE323" s="69">
        <f t="shared" si="92"/>
        <v>5790</v>
      </c>
      <c r="BF323" s="70">
        <f t="shared" si="92"/>
        <v>91</v>
      </c>
      <c r="BG323" s="80">
        <f t="shared" si="92"/>
        <v>5753</v>
      </c>
      <c r="BH323" s="80">
        <f t="shared" si="92"/>
        <v>114</v>
      </c>
      <c r="BI323" s="80">
        <f t="shared" si="92"/>
        <v>0</v>
      </c>
      <c r="BJ323" s="80">
        <f t="shared" si="92"/>
        <v>0</v>
      </c>
      <c r="BK323" s="80">
        <f t="shared" si="92"/>
        <v>0</v>
      </c>
      <c r="BL323" s="79">
        <f t="shared" si="92"/>
        <v>0</v>
      </c>
    </row>
    <row r="324" spans="1:64" outlineLevel="3" x14ac:dyDescent="0.3">
      <c r="A324" s="81" t="s">
        <v>90</v>
      </c>
      <c r="B324" s="82"/>
      <c r="C324" s="83">
        <f t="shared" ref="C324:BL324" si="94">SUBTOTAL(5,C293:C322)</f>
        <v>35.5</v>
      </c>
      <c r="D324" s="84">
        <f t="shared" si="94"/>
        <v>35</v>
      </c>
      <c r="E324" s="84">
        <f t="shared" si="94"/>
        <v>36</v>
      </c>
      <c r="F324" s="84">
        <f t="shared" si="94"/>
        <v>0</v>
      </c>
      <c r="G324" s="84">
        <f t="shared" si="94"/>
        <v>0</v>
      </c>
      <c r="H324" s="84">
        <f t="shared" si="94"/>
        <v>0</v>
      </c>
      <c r="I324" s="84">
        <f t="shared" si="94"/>
        <v>0</v>
      </c>
      <c r="J324" s="84">
        <f t="shared" si="94"/>
        <v>0</v>
      </c>
      <c r="K324" s="84">
        <f t="shared" si="94"/>
        <v>0</v>
      </c>
      <c r="L324" s="85">
        <f t="shared" si="94"/>
        <v>7.7</v>
      </c>
      <c r="M324" s="86">
        <f t="shared" si="94"/>
        <v>7.85</v>
      </c>
      <c r="N324" s="86">
        <f t="shared" si="94"/>
        <v>7.68</v>
      </c>
      <c r="O324" s="86">
        <f t="shared" si="94"/>
        <v>0</v>
      </c>
      <c r="P324" s="86">
        <f t="shared" si="94"/>
        <v>0</v>
      </c>
      <c r="Q324" s="86">
        <f t="shared" si="94"/>
        <v>0</v>
      </c>
      <c r="R324" s="86">
        <f t="shared" si="94"/>
        <v>0</v>
      </c>
      <c r="S324" s="86">
        <f t="shared" si="94"/>
        <v>0</v>
      </c>
      <c r="T324" s="86">
        <f t="shared" si="94"/>
        <v>0</v>
      </c>
      <c r="U324" s="87">
        <f t="shared" si="94"/>
        <v>1232.5999999999999</v>
      </c>
      <c r="V324" s="88">
        <f t="shared" si="94"/>
        <v>1621.9</v>
      </c>
      <c r="W324" s="88">
        <f t="shared" si="94"/>
        <v>1232.5999999999999</v>
      </c>
      <c r="X324" s="88">
        <f t="shared" si="94"/>
        <v>0</v>
      </c>
      <c r="Y324" s="88">
        <f t="shared" si="94"/>
        <v>0</v>
      </c>
      <c r="Z324" s="88">
        <f t="shared" si="94"/>
        <v>0</v>
      </c>
      <c r="AA324" s="88">
        <f t="shared" si="94"/>
        <v>0</v>
      </c>
      <c r="AB324" s="88">
        <f t="shared" si="94"/>
        <v>0</v>
      </c>
      <c r="AC324" s="88">
        <f t="shared" si="94"/>
        <v>0</v>
      </c>
      <c r="AD324" s="87">
        <f t="shared" si="94"/>
        <v>0</v>
      </c>
      <c r="AE324" s="88">
        <f t="shared" si="94"/>
        <v>0</v>
      </c>
      <c r="AF324" s="88">
        <f t="shared" si="94"/>
        <v>0</v>
      </c>
      <c r="AG324" s="88">
        <f t="shared" si="94"/>
        <v>0</v>
      </c>
      <c r="AH324" s="88">
        <f t="shared" si="94"/>
        <v>0</v>
      </c>
      <c r="AI324" s="88">
        <f t="shared" si="94"/>
        <v>0</v>
      </c>
      <c r="AJ324" s="88">
        <f t="shared" si="94"/>
        <v>0</v>
      </c>
      <c r="AK324" s="88">
        <f t="shared" si="94"/>
        <v>0</v>
      </c>
      <c r="AL324" s="88">
        <f t="shared" si="94"/>
        <v>0</v>
      </c>
      <c r="AM324" s="88">
        <f>SUBTOTAL(5,AM293:AM322)</f>
        <v>38.039974210186969</v>
      </c>
      <c r="AN324" s="88">
        <f t="shared" ref="AN324:AW324" si="95">SUBTOTAL(5,AN293:AN322)</f>
        <v>0</v>
      </c>
      <c r="AO324" s="89">
        <f t="shared" si="95"/>
        <v>18.7</v>
      </c>
      <c r="AP324" s="90">
        <f t="shared" si="95"/>
        <v>10.433999999999999</v>
      </c>
      <c r="AQ324" s="91">
        <f t="shared" si="95"/>
        <v>47</v>
      </c>
      <c r="AR324" s="91">
        <f t="shared" si="95"/>
        <v>11.099999999999994</v>
      </c>
      <c r="AS324" s="92">
        <f t="shared" si="95"/>
        <v>0</v>
      </c>
      <c r="AT324" s="93">
        <f t="shared" si="95"/>
        <v>15.5</v>
      </c>
      <c r="AU324" s="94">
        <f t="shared" si="95"/>
        <v>8.15</v>
      </c>
      <c r="AV324" s="91">
        <f t="shared" si="95"/>
        <v>52.580645161290327</v>
      </c>
      <c r="AW324" s="91">
        <f t="shared" si="95"/>
        <v>34.782608695652186</v>
      </c>
      <c r="AX324" s="83">
        <f t="shared" si="94"/>
        <v>0</v>
      </c>
      <c r="AY324" s="95">
        <f t="shared" si="94"/>
        <v>74.900000000000006</v>
      </c>
      <c r="AZ324" s="96">
        <f t="shared" si="94"/>
        <v>57.585000000000001</v>
      </c>
      <c r="BA324" s="96">
        <f t="shared" si="94"/>
        <v>0</v>
      </c>
      <c r="BB324" s="96">
        <f t="shared" si="94"/>
        <v>32.5</v>
      </c>
      <c r="BC324" s="96">
        <f t="shared" si="94"/>
        <v>0</v>
      </c>
      <c r="BD324" s="97">
        <f t="shared" si="94"/>
        <v>0</v>
      </c>
      <c r="BE324" s="87">
        <f t="shared" si="94"/>
        <v>38</v>
      </c>
      <c r="BF324" s="88">
        <f t="shared" si="94"/>
        <v>0</v>
      </c>
      <c r="BG324" s="98">
        <f t="shared" si="94"/>
        <v>0</v>
      </c>
      <c r="BH324" s="98">
        <f t="shared" si="94"/>
        <v>0</v>
      </c>
      <c r="BI324" s="98">
        <f t="shared" si="94"/>
        <v>0</v>
      </c>
      <c r="BJ324" s="98">
        <f t="shared" si="94"/>
        <v>0</v>
      </c>
      <c r="BK324" s="98">
        <f t="shared" si="94"/>
        <v>0</v>
      </c>
      <c r="BL324" s="97">
        <f t="shared" si="94"/>
        <v>0</v>
      </c>
    </row>
    <row r="325" spans="1:64" outlineLevel="2" x14ac:dyDescent="0.3">
      <c r="A325" s="81" t="s">
        <v>91</v>
      </c>
      <c r="B325" s="82"/>
      <c r="C325" s="83">
        <f t="shared" ref="C325:BL325" si="96">IFERROR(SUBTOTAL(1,C293:C322),"")</f>
        <v>37.68333333333333</v>
      </c>
      <c r="D325" s="84">
        <f t="shared" si="96"/>
        <v>37.56666666666667</v>
      </c>
      <c r="E325" s="84">
        <f t="shared" si="96"/>
        <v>37.799999999999997</v>
      </c>
      <c r="F325" s="84" t="str">
        <f t="shared" si="96"/>
        <v/>
      </c>
      <c r="G325" s="84" t="str">
        <f t="shared" si="96"/>
        <v/>
      </c>
      <c r="H325" s="84" t="str">
        <f t="shared" si="96"/>
        <v/>
      </c>
      <c r="I325" s="84" t="str">
        <f t="shared" si="96"/>
        <v/>
      </c>
      <c r="J325" s="84" t="str">
        <f t="shared" si="96"/>
        <v/>
      </c>
      <c r="K325" s="84" t="str">
        <f t="shared" si="96"/>
        <v/>
      </c>
      <c r="L325" s="85">
        <f t="shared" si="96"/>
        <v>7.7777777777777777</v>
      </c>
      <c r="M325" s="86">
        <f t="shared" si="96"/>
        <v>7.887142857142857</v>
      </c>
      <c r="N325" s="86">
        <f t="shared" si="96"/>
        <v>7.7122222222222234</v>
      </c>
      <c r="O325" s="86" t="str">
        <f t="shared" si="96"/>
        <v/>
      </c>
      <c r="P325" s="86" t="str">
        <f t="shared" si="96"/>
        <v/>
      </c>
      <c r="Q325" s="86" t="str">
        <f t="shared" si="96"/>
        <v/>
      </c>
      <c r="R325" s="86" t="str">
        <f t="shared" si="96"/>
        <v/>
      </c>
      <c r="S325" s="86" t="str">
        <f t="shared" si="96"/>
        <v/>
      </c>
      <c r="T325" s="86" t="str">
        <f t="shared" si="96"/>
        <v/>
      </c>
      <c r="U325" s="87">
        <f t="shared" si="96"/>
        <v>1452.5111111111112</v>
      </c>
      <c r="V325" s="88">
        <f t="shared" si="96"/>
        <v>1677.5</v>
      </c>
      <c r="W325" s="88">
        <f t="shared" si="96"/>
        <v>1314.3333333333333</v>
      </c>
      <c r="X325" s="88" t="str">
        <f t="shared" si="96"/>
        <v/>
      </c>
      <c r="Y325" s="88" t="str">
        <f t="shared" si="96"/>
        <v/>
      </c>
      <c r="Z325" s="88" t="str">
        <f t="shared" si="96"/>
        <v/>
      </c>
      <c r="AA325" s="88" t="str">
        <f t="shared" si="96"/>
        <v/>
      </c>
      <c r="AB325" s="88" t="str">
        <f t="shared" si="96"/>
        <v/>
      </c>
      <c r="AC325" s="88" t="str">
        <f t="shared" si="96"/>
        <v/>
      </c>
      <c r="AD325" s="87" t="str">
        <f t="shared" si="96"/>
        <v/>
      </c>
      <c r="AE325" s="88" t="str">
        <f t="shared" si="96"/>
        <v/>
      </c>
      <c r="AF325" s="88" t="str">
        <f t="shared" si="96"/>
        <v/>
      </c>
      <c r="AG325" s="88" t="str">
        <f t="shared" si="96"/>
        <v/>
      </c>
      <c r="AH325" s="88" t="str">
        <f t="shared" si="96"/>
        <v/>
      </c>
      <c r="AI325" s="88" t="str">
        <f t="shared" si="96"/>
        <v/>
      </c>
      <c r="AJ325" s="88" t="str">
        <f t="shared" si="96"/>
        <v/>
      </c>
      <c r="AK325" s="88" t="str">
        <f t="shared" si="96"/>
        <v/>
      </c>
      <c r="AL325" s="88" t="str">
        <f t="shared" si="96"/>
        <v/>
      </c>
      <c r="AM325" s="88">
        <f>IFERROR(SUBTOTAL(1,AM293:AM322),"")</f>
        <v>49.392673653465422</v>
      </c>
      <c r="AN325" s="88">
        <f t="shared" si="96"/>
        <v>95.840333333333362</v>
      </c>
      <c r="AO325" s="89">
        <f t="shared" si="96"/>
        <v>20.266666666666666</v>
      </c>
      <c r="AP325" s="90">
        <f t="shared" si="96"/>
        <v>14.611033333333332</v>
      </c>
      <c r="AQ325" s="91">
        <f t="shared" si="96"/>
        <v>73.300000000000011</v>
      </c>
      <c r="AR325" s="91">
        <f t="shared" si="96"/>
        <v>26.699999999999992</v>
      </c>
      <c r="AS325" s="92">
        <f t="shared" si="96"/>
        <v>13.366666666666667</v>
      </c>
      <c r="AT325" s="93">
        <f t="shared" si="96"/>
        <v>16.183333333333334</v>
      </c>
      <c r="AU325" s="94">
        <f t="shared" si="96"/>
        <v>9.5388888888888879</v>
      </c>
      <c r="AV325" s="91">
        <f t="shared" si="96"/>
        <v>58.911974407373478</v>
      </c>
      <c r="AW325" s="91">
        <f t="shared" si="96"/>
        <v>41.088025592626529</v>
      </c>
      <c r="AX325" s="83" t="str">
        <f t="shared" si="96"/>
        <v/>
      </c>
      <c r="AY325" s="95">
        <f t="shared" si="96"/>
        <v>77.211111111111123</v>
      </c>
      <c r="AZ325" s="96">
        <f t="shared" si="96"/>
        <v>63.354333333333344</v>
      </c>
      <c r="BA325" s="96" t="str">
        <f t="shared" si="96"/>
        <v/>
      </c>
      <c r="BB325" s="96">
        <f t="shared" si="96"/>
        <v>73.533333333333331</v>
      </c>
      <c r="BC325" s="96" t="str">
        <f t="shared" si="96"/>
        <v/>
      </c>
      <c r="BD325" s="97">
        <f>IFERROR(SUBTOTAL(1,BD293:BD322),"")</f>
        <v>95.840333333333362</v>
      </c>
      <c r="BE325" s="87">
        <f t="shared" si="96"/>
        <v>1013</v>
      </c>
      <c r="BF325" s="88">
        <f t="shared" si="96"/>
        <v>15.7</v>
      </c>
      <c r="BG325" s="98">
        <f t="shared" si="96"/>
        <v>822.6</v>
      </c>
      <c r="BH325" s="98">
        <f t="shared" si="96"/>
        <v>5.8666666666666663</v>
      </c>
      <c r="BI325" s="98" t="str">
        <f t="shared" si="96"/>
        <v/>
      </c>
      <c r="BJ325" s="98" t="str">
        <f t="shared" si="96"/>
        <v/>
      </c>
      <c r="BK325" s="98" t="str">
        <f t="shared" si="96"/>
        <v/>
      </c>
      <c r="BL325" s="97" t="str">
        <f t="shared" si="96"/>
        <v/>
      </c>
    </row>
    <row r="326" spans="1:64" ht="17.25" outlineLevel="1" thickBot="1" x14ac:dyDescent="0.35">
      <c r="A326" s="99" t="s">
        <v>92</v>
      </c>
      <c r="B326" s="100"/>
      <c r="C326" s="101"/>
      <c r="D326" s="102"/>
      <c r="E326" s="102"/>
      <c r="F326" s="102"/>
      <c r="G326" s="102"/>
      <c r="H326" s="102"/>
      <c r="I326" s="102"/>
      <c r="J326" s="102"/>
      <c r="K326" s="102"/>
      <c r="L326" s="103"/>
      <c r="M326" s="104"/>
      <c r="N326" s="104"/>
      <c r="O326" s="104"/>
      <c r="P326" s="104"/>
      <c r="Q326" s="104"/>
      <c r="R326" s="104"/>
      <c r="S326" s="104"/>
      <c r="T326" s="104"/>
      <c r="U326" s="105"/>
      <c r="V326" s="106"/>
      <c r="W326" s="106"/>
      <c r="X326" s="106"/>
      <c r="Y326" s="106"/>
      <c r="Z326" s="106"/>
      <c r="AA326" s="106"/>
      <c r="AB326" s="106"/>
      <c r="AC326" s="106"/>
      <c r="AD326" s="105"/>
      <c r="AE326" s="106"/>
      <c r="AF326" s="106"/>
      <c r="AG326" s="106"/>
      <c r="AH326" s="106"/>
      <c r="AI326" s="106"/>
      <c r="AJ326" s="106"/>
      <c r="AK326" s="106"/>
      <c r="AL326" s="106"/>
      <c r="AM326" s="106"/>
      <c r="AN326" s="107">
        <f>SUBTOTAL(9,AN293:AN322)</f>
        <v>2875.2100000000009</v>
      </c>
      <c r="AO326" s="108"/>
      <c r="AP326" s="109"/>
      <c r="AQ326" s="110"/>
      <c r="AR326" s="110"/>
      <c r="AS326" s="111">
        <f>SUBTOTAL(9,AS293:AS322)</f>
        <v>401</v>
      </c>
      <c r="AT326" s="112"/>
      <c r="AU326" s="113"/>
      <c r="AV326" s="110"/>
      <c r="AW326" s="110"/>
      <c r="AX326" s="101"/>
      <c r="AY326" s="114"/>
      <c r="AZ326" s="115"/>
      <c r="BA326" s="115"/>
      <c r="BB326" s="115"/>
      <c r="BC326" s="115"/>
      <c r="BD326" s="116">
        <f>SUBTOTAL(9,BD293:BD322)</f>
        <v>2875.2100000000009</v>
      </c>
      <c r="BE326" s="117">
        <f t="shared" ref="BE326:BL326" si="97">SUBTOTAL(9,BE293:BE322)</f>
        <v>25325</v>
      </c>
      <c r="BF326" s="107">
        <f t="shared" si="97"/>
        <v>471</v>
      </c>
      <c r="BG326" s="118">
        <f t="shared" si="97"/>
        <v>24678</v>
      </c>
      <c r="BH326" s="118">
        <f t="shared" si="97"/>
        <v>176</v>
      </c>
      <c r="BI326" s="118">
        <f t="shared" si="97"/>
        <v>0</v>
      </c>
      <c r="BJ326" s="118">
        <f t="shared" si="97"/>
        <v>0</v>
      </c>
      <c r="BK326" s="118">
        <f t="shared" si="97"/>
        <v>0</v>
      </c>
      <c r="BL326" s="116">
        <f t="shared" si="97"/>
        <v>0</v>
      </c>
    </row>
    <row r="327" spans="1:64" outlineLevel="5" x14ac:dyDescent="0.3">
      <c r="A327" s="136">
        <f t="shared" si="91"/>
        <v>10</v>
      </c>
      <c r="B327" s="165">
        <f>B322+1</f>
        <v>44105</v>
      </c>
      <c r="C327" s="138">
        <f>IFERROR(ROUND(AVERAGE(D327:K327),1),"")</f>
        <v>38</v>
      </c>
      <c r="D327" s="84">
        <v>38</v>
      </c>
      <c r="E327" s="84">
        <v>38</v>
      </c>
      <c r="F327" s="84"/>
      <c r="G327" s="84"/>
      <c r="H327" s="84"/>
      <c r="I327" s="84"/>
      <c r="J327" s="84"/>
      <c r="K327" s="84"/>
      <c r="L327" s="140" t="str">
        <f>IFERROR(ROUND(AVERAGE(M327:T327),1),"")</f>
        <v/>
      </c>
      <c r="M327" s="86"/>
      <c r="N327" s="86"/>
      <c r="O327" s="86"/>
      <c r="P327" s="86"/>
      <c r="Q327" s="86"/>
      <c r="R327" s="86"/>
      <c r="S327" s="86"/>
      <c r="T327" s="86"/>
      <c r="U327" s="142" t="str">
        <f>IFERROR(ROUND(AVERAGE(V327:AC327),1),"")</f>
        <v/>
      </c>
      <c r="V327" s="88"/>
      <c r="W327" s="88"/>
      <c r="X327" s="88"/>
      <c r="Y327" s="88"/>
      <c r="Z327" s="88"/>
      <c r="AA327" s="88"/>
      <c r="AB327" s="88"/>
      <c r="AC327" s="88"/>
      <c r="AD327" s="142" t="str">
        <f>IFERROR(ROUND(AVERAGE(AE327:AL327),1),"")</f>
        <v/>
      </c>
      <c r="AE327" s="88"/>
      <c r="AF327" s="88"/>
      <c r="AG327" s="88"/>
      <c r="AH327" s="88"/>
      <c r="AI327" s="88"/>
      <c r="AJ327" s="88"/>
      <c r="AK327" s="88"/>
      <c r="AL327" s="88"/>
      <c r="AM327" s="88">
        <v>46.274509803921568</v>
      </c>
      <c r="AN327" s="88">
        <v>102</v>
      </c>
      <c r="AO327" s="89"/>
      <c r="AP327" s="90"/>
      <c r="AQ327" s="146" t="str">
        <f t="shared" ref="AQ327:AQ357" si="98">IFERROR(AP327/AO327*100,"")</f>
        <v/>
      </c>
      <c r="AR327" s="146" t="str">
        <f t="shared" ref="AR327:AR357" si="99">IFERROR(100-AQ327,"")</f>
        <v/>
      </c>
      <c r="AS327" s="147">
        <v>0</v>
      </c>
      <c r="AT327" s="148" t="s">
        <v>56</v>
      </c>
      <c r="AU327" s="149" t="s">
        <v>56</v>
      </c>
      <c r="AV327" s="146" t="str">
        <f t="shared" ref="AV327:AV357" si="100">IFERROR(AU327/AT327*100,"")</f>
        <v/>
      </c>
      <c r="AW327" s="146" t="str">
        <f t="shared" ref="AW327:AW357" si="101">IFERROR(100-AV327,"")</f>
        <v/>
      </c>
      <c r="AX327" s="138" t="str">
        <f>IFERROR((1-((AV327*AR327)/(AW327*AQ327)))*100,"")</f>
        <v/>
      </c>
      <c r="AY327" s="95" t="s">
        <v>56</v>
      </c>
      <c r="AZ327" s="96">
        <v>63.06</v>
      </c>
      <c r="BA327" s="96"/>
      <c r="BB327" s="96">
        <v>58</v>
      </c>
      <c r="BC327" s="96"/>
      <c r="BD327" s="97">
        <v>102</v>
      </c>
      <c r="BE327" s="142">
        <f t="shared" ref="BE327:BE357" si="102">IF(SUM(BF327:BL327)=0,"",SUM(BF327:BL327))</f>
        <v>127</v>
      </c>
      <c r="BF327" s="88">
        <v>45</v>
      </c>
      <c r="BG327" s="98">
        <v>82</v>
      </c>
      <c r="BH327" s="98">
        <v>0</v>
      </c>
      <c r="BI327" s="98"/>
      <c r="BJ327" s="98"/>
      <c r="BK327" s="98"/>
      <c r="BL327" s="97"/>
    </row>
    <row r="328" spans="1:64" outlineLevel="5" x14ac:dyDescent="0.3">
      <c r="A328" s="152">
        <f t="shared" si="91"/>
        <v>10</v>
      </c>
      <c r="B328" s="153">
        <f t="shared" si="81"/>
        <v>44106</v>
      </c>
      <c r="C328" s="138">
        <f>IFERROR(ROUND(AVERAGE(D328:K328),1),"")</f>
        <v>38.5</v>
      </c>
      <c r="D328" s="84">
        <v>38</v>
      </c>
      <c r="E328" s="84">
        <v>39</v>
      </c>
      <c r="F328" s="84"/>
      <c r="G328" s="84"/>
      <c r="H328" s="84"/>
      <c r="I328" s="84"/>
      <c r="J328" s="84"/>
      <c r="K328" s="84"/>
      <c r="L328" s="140" t="str">
        <f>IFERROR(ROUND(AVERAGE(M328:T328),1),"")</f>
        <v/>
      </c>
      <c r="M328" s="86"/>
      <c r="N328" s="86"/>
      <c r="O328" s="86"/>
      <c r="P328" s="86"/>
      <c r="Q328" s="86"/>
      <c r="R328" s="86"/>
      <c r="S328" s="86"/>
      <c r="T328" s="86"/>
      <c r="U328" s="142" t="str">
        <f>IFERROR(ROUND(AVERAGE(V328:AC328),1),"")</f>
        <v/>
      </c>
      <c r="V328" s="88"/>
      <c r="W328" s="88"/>
      <c r="X328" s="88"/>
      <c r="Y328" s="88"/>
      <c r="Z328" s="88"/>
      <c r="AA328" s="88"/>
      <c r="AB328" s="88"/>
      <c r="AC328" s="88"/>
      <c r="AD328" s="142" t="str">
        <f>IFERROR(ROUND(AVERAGE(AE328:AL328),1),"")</f>
        <v/>
      </c>
      <c r="AE328" s="88"/>
      <c r="AF328" s="88"/>
      <c r="AG328" s="88"/>
      <c r="AH328" s="88"/>
      <c r="AI328" s="88"/>
      <c r="AJ328" s="88"/>
      <c r="AK328" s="88"/>
      <c r="AL328" s="88"/>
      <c r="AM328" s="88">
        <v>83.040112596762839</v>
      </c>
      <c r="AN328" s="88">
        <v>56.84</v>
      </c>
      <c r="AO328" s="89">
        <v>19.3</v>
      </c>
      <c r="AP328" s="90">
        <v>17.061199999999999</v>
      </c>
      <c r="AQ328" s="146">
        <f t="shared" si="98"/>
        <v>88.399999999999991</v>
      </c>
      <c r="AR328" s="146">
        <f t="shared" si="99"/>
        <v>11.600000000000009</v>
      </c>
      <c r="AS328" s="147">
        <v>0</v>
      </c>
      <c r="AT328" s="148" t="s">
        <v>56</v>
      </c>
      <c r="AU328" s="149" t="s">
        <v>56</v>
      </c>
      <c r="AV328" s="146" t="str">
        <f t="shared" si="100"/>
        <v/>
      </c>
      <c r="AW328" s="146" t="str">
        <f t="shared" si="101"/>
        <v/>
      </c>
      <c r="AX328" s="138" t="str">
        <f>IFERROR((1-((AV328*AR328)/(AW328*AQ328)))*100,"")</f>
        <v/>
      </c>
      <c r="AY328" s="95" t="s">
        <v>56</v>
      </c>
      <c r="AZ328" s="96">
        <v>65.78</v>
      </c>
      <c r="BA328" s="96"/>
      <c r="BB328" s="96">
        <v>41</v>
      </c>
      <c r="BC328" s="96"/>
      <c r="BD328" s="97">
        <v>56.84</v>
      </c>
      <c r="BE328" s="142">
        <f t="shared" si="102"/>
        <v>765</v>
      </c>
      <c r="BF328" s="88">
        <v>0</v>
      </c>
      <c r="BG328" s="98">
        <v>765</v>
      </c>
      <c r="BH328" s="98">
        <v>0</v>
      </c>
      <c r="BI328" s="98"/>
      <c r="BJ328" s="98"/>
      <c r="BK328" s="98"/>
      <c r="BL328" s="97"/>
    </row>
    <row r="329" spans="1:64" outlineLevel="5" x14ac:dyDescent="0.3">
      <c r="A329" s="152">
        <f t="shared" si="91"/>
        <v>10</v>
      </c>
      <c r="B329" s="153">
        <f t="shared" si="81"/>
        <v>44107</v>
      </c>
      <c r="C329" s="138">
        <f>IFERROR(ROUND(AVERAGE(D329:K329),1),"")</f>
        <v>38</v>
      </c>
      <c r="D329" s="84">
        <v>38</v>
      </c>
      <c r="E329" s="84">
        <v>38</v>
      </c>
      <c r="F329" s="84"/>
      <c r="G329" s="84"/>
      <c r="H329" s="84"/>
      <c r="I329" s="84"/>
      <c r="J329" s="84"/>
      <c r="K329" s="84"/>
      <c r="L329" s="140" t="str">
        <f>IFERROR(ROUND(AVERAGE(M329:T329),1),"")</f>
        <v/>
      </c>
      <c r="M329" s="86"/>
      <c r="N329" s="86"/>
      <c r="O329" s="86"/>
      <c r="P329" s="86"/>
      <c r="Q329" s="86"/>
      <c r="R329" s="86"/>
      <c r="S329" s="86"/>
      <c r="T329" s="86"/>
      <c r="U329" s="142" t="str">
        <f>IFERROR(ROUND(AVERAGE(V329:AC329),1),"")</f>
        <v/>
      </c>
      <c r="V329" s="88"/>
      <c r="W329" s="88"/>
      <c r="X329" s="88"/>
      <c r="Y329" s="88"/>
      <c r="Z329" s="88"/>
      <c r="AA329" s="88"/>
      <c r="AB329" s="88"/>
      <c r="AC329" s="88"/>
      <c r="AD329" s="142" t="str">
        <f>IFERROR(ROUND(AVERAGE(AE329:AL329),1),"")</f>
        <v/>
      </c>
      <c r="AE329" s="88"/>
      <c r="AF329" s="88"/>
      <c r="AG329" s="88"/>
      <c r="AH329" s="88"/>
      <c r="AI329" s="88"/>
      <c r="AJ329" s="88"/>
      <c r="AK329" s="88"/>
      <c r="AL329" s="88"/>
      <c r="AM329" s="88">
        <v>42.161679321125504</v>
      </c>
      <c r="AN329" s="88">
        <v>111.95</v>
      </c>
      <c r="AO329" s="89" t="s">
        <v>56</v>
      </c>
      <c r="AP329" s="90" t="s">
        <v>56</v>
      </c>
      <c r="AQ329" s="146" t="str">
        <f t="shared" si="98"/>
        <v/>
      </c>
      <c r="AR329" s="146" t="str">
        <f t="shared" si="99"/>
        <v/>
      </c>
      <c r="AS329" s="147">
        <v>20</v>
      </c>
      <c r="AT329" s="148" t="s">
        <v>56</v>
      </c>
      <c r="AU329" s="149" t="s">
        <v>56</v>
      </c>
      <c r="AV329" s="146" t="str">
        <f t="shared" si="100"/>
        <v/>
      </c>
      <c r="AW329" s="146" t="str">
        <f t="shared" si="101"/>
        <v/>
      </c>
      <c r="AX329" s="138" t="str">
        <f>IFERROR((1-((AV329*AR329)/(AW329*AQ329)))*100,"")</f>
        <v/>
      </c>
      <c r="AY329" s="95" t="s">
        <v>56</v>
      </c>
      <c r="AZ329" s="96">
        <v>64.004999999999995</v>
      </c>
      <c r="BA329" s="96"/>
      <c r="BB329" s="96">
        <v>57.5</v>
      </c>
      <c r="BC329" s="96"/>
      <c r="BD329" s="97">
        <v>111.95</v>
      </c>
      <c r="BE329" s="142">
        <f t="shared" si="102"/>
        <v>750</v>
      </c>
      <c r="BF329" s="88">
        <v>0</v>
      </c>
      <c r="BG329" s="98">
        <v>750</v>
      </c>
      <c r="BH329" s="98">
        <v>0</v>
      </c>
      <c r="BI329" s="98"/>
      <c r="BJ329" s="98"/>
      <c r="BK329" s="98"/>
      <c r="BL329" s="97"/>
    </row>
    <row r="330" spans="1:64" outlineLevel="5" x14ac:dyDescent="0.3">
      <c r="A330" s="152">
        <f t="shared" si="91"/>
        <v>10</v>
      </c>
      <c r="B330" s="153">
        <f t="shared" si="81"/>
        <v>44108</v>
      </c>
      <c r="C330" s="138">
        <f>IFERROR(ROUND(AVERAGE(D330:K330),1),"")</f>
        <v>38</v>
      </c>
      <c r="D330" s="84">
        <v>38</v>
      </c>
      <c r="E330" s="84">
        <v>38</v>
      </c>
      <c r="F330" s="84"/>
      <c r="G330" s="84"/>
      <c r="H330" s="84"/>
      <c r="I330" s="84"/>
      <c r="J330" s="84"/>
      <c r="K330" s="84"/>
      <c r="L330" s="140" t="str">
        <f>IFERROR(ROUND(AVERAGE(M330:T330),1),"")</f>
        <v/>
      </c>
      <c r="M330" s="86"/>
      <c r="N330" s="86"/>
      <c r="O330" s="86"/>
      <c r="P330" s="86"/>
      <c r="Q330" s="86"/>
      <c r="R330" s="86"/>
      <c r="S330" s="86"/>
      <c r="T330" s="86"/>
      <c r="U330" s="142" t="str">
        <f>IFERROR(ROUND(AVERAGE(V330:AC330),1),"")</f>
        <v/>
      </c>
      <c r="V330" s="88"/>
      <c r="W330" s="88"/>
      <c r="X330" s="88"/>
      <c r="Y330" s="88"/>
      <c r="Z330" s="88"/>
      <c r="AA330" s="88"/>
      <c r="AB330" s="88"/>
      <c r="AC330" s="88"/>
      <c r="AD330" s="142" t="str">
        <f>IFERROR(ROUND(AVERAGE(AE330:AL330),1),"")</f>
        <v/>
      </c>
      <c r="AE330" s="88"/>
      <c r="AF330" s="88"/>
      <c r="AG330" s="88"/>
      <c r="AH330" s="88"/>
      <c r="AI330" s="88"/>
      <c r="AJ330" s="88"/>
      <c r="AK330" s="88"/>
      <c r="AL330" s="88"/>
      <c r="AM330" s="88">
        <v>53.033707865168537</v>
      </c>
      <c r="AN330" s="88">
        <v>89</v>
      </c>
      <c r="AO330" s="89" t="s">
        <v>56</v>
      </c>
      <c r="AP330" s="90" t="s">
        <v>56</v>
      </c>
      <c r="AQ330" s="146" t="str">
        <f t="shared" si="98"/>
        <v/>
      </c>
      <c r="AR330" s="146" t="str">
        <f t="shared" si="99"/>
        <v/>
      </c>
      <c r="AS330" s="147">
        <v>20</v>
      </c>
      <c r="AT330" s="148" t="s">
        <v>56</v>
      </c>
      <c r="AU330" s="149" t="s">
        <v>56</v>
      </c>
      <c r="AV330" s="146" t="str">
        <f t="shared" si="100"/>
        <v/>
      </c>
      <c r="AW330" s="146" t="str">
        <f t="shared" si="101"/>
        <v/>
      </c>
      <c r="AX330" s="138" t="str">
        <f>IFERROR((1-((AV330*AR330)/(AW330*AQ330)))*100,"")</f>
        <v/>
      </c>
      <c r="AY330" s="95" t="s">
        <v>56</v>
      </c>
      <c r="AZ330" s="96">
        <v>60.97</v>
      </c>
      <c r="BA330" s="96"/>
      <c r="BB330" s="96">
        <v>91</v>
      </c>
      <c r="BC330" s="96"/>
      <c r="BD330" s="97">
        <v>89</v>
      </c>
      <c r="BE330" s="142">
        <f t="shared" si="102"/>
        <v>827</v>
      </c>
      <c r="BF330" s="88">
        <v>0</v>
      </c>
      <c r="BG330" s="98">
        <v>827</v>
      </c>
      <c r="BH330" s="98">
        <v>0</v>
      </c>
      <c r="BI330" s="98"/>
      <c r="BJ330" s="98"/>
      <c r="BK330" s="98"/>
      <c r="BL330" s="97"/>
    </row>
    <row r="331" spans="1:64" outlineLevel="5" x14ac:dyDescent="0.3">
      <c r="A331" s="152">
        <f t="shared" si="91"/>
        <v>10</v>
      </c>
      <c r="B331" s="153">
        <f t="shared" si="81"/>
        <v>44109</v>
      </c>
      <c r="C331" s="138">
        <f>IFERROR(ROUND(AVERAGE(D331:K331),1),"")</f>
        <v>38</v>
      </c>
      <c r="D331" s="84">
        <v>38</v>
      </c>
      <c r="E331" s="84">
        <v>38</v>
      </c>
      <c r="F331" s="84"/>
      <c r="G331" s="84"/>
      <c r="H331" s="84"/>
      <c r="I331" s="84"/>
      <c r="J331" s="84"/>
      <c r="K331" s="84"/>
      <c r="L331" s="140">
        <f>IFERROR(ROUND(AVERAGE(M331:T331),1),"")</f>
        <v>7.8</v>
      </c>
      <c r="M331" s="86">
        <v>7.87</v>
      </c>
      <c r="N331" s="86">
        <v>7.71</v>
      </c>
      <c r="O331" s="86"/>
      <c r="P331" s="86"/>
      <c r="Q331" s="86"/>
      <c r="R331" s="86"/>
      <c r="S331" s="86"/>
      <c r="T331" s="86"/>
      <c r="U331" s="142">
        <f>IFERROR(ROUND(AVERAGE(V331:AC331),1),"")</f>
        <v>1535.4</v>
      </c>
      <c r="V331" s="88">
        <v>1730</v>
      </c>
      <c r="W331" s="88">
        <v>1340.8</v>
      </c>
      <c r="X331" s="88"/>
      <c r="Y331" s="88"/>
      <c r="Z331" s="88"/>
      <c r="AA331" s="88"/>
      <c r="AB331" s="88"/>
      <c r="AC331" s="88"/>
      <c r="AD331" s="142" t="str">
        <f>IFERROR(ROUND(AVERAGE(AE331:AL331),1),"")</f>
        <v/>
      </c>
      <c r="AE331" s="88"/>
      <c r="AF331" s="88"/>
      <c r="AG331" s="88"/>
      <c r="AH331" s="88"/>
      <c r="AI331" s="88"/>
      <c r="AJ331" s="88"/>
      <c r="AK331" s="88"/>
      <c r="AL331" s="88"/>
      <c r="AM331" s="88">
        <v>42.468958070901571</v>
      </c>
      <c r="AN331" s="88">
        <v>111.13999999999999</v>
      </c>
      <c r="AO331" s="89" t="s">
        <v>56</v>
      </c>
      <c r="AP331" s="90"/>
      <c r="AQ331" s="146" t="str">
        <f t="shared" si="98"/>
        <v/>
      </c>
      <c r="AR331" s="146" t="str">
        <f t="shared" si="99"/>
        <v/>
      </c>
      <c r="AS331" s="147">
        <v>40</v>
      </c>
      <c r="AT331" s="148">
        <v>14.75</v>
      </c>
      <c r="AU331" s="149">
        <v>8.6499999999999986</v>
      </c>
      <c r="AV331" s="146">
        <f t="shared" si="100"/>
        <v>58.644067796610159</v>
      </c>
      <c r="AW331" s="146">
        <f t="shared" si="101"/>
        <v>41.355932203389841</v>
      </c>
      <c r="AX331" s="138" t="str">
        <f>IFERROR((1-((AV331*AR331)/(AW331*AQ331)))*100,"")</f>
        <v/>
      </c>
      <c r="AY331" s="95">
        <v>74.25</v>
      </c>
      <c r="AZ331" s="96">
        <v>63.14</v>
      </c>
      <c r="BA331" s="96"/>
      <c r="BB331" s="96">
        <v>60</v>
      </c>
      <c r="BC331" s="96"/>
      <c r="BD331" s="97">
        <v>111.13999999999999</v>
      </c>
      <c r="BE331" s="142">
        <f t="shared" si="102"/>
        <v>1047</v>
      </c>
      <c r="BF331" s="88">
        <v>0</v>
      </c>
      <c r="BG331" s="98">
        <v>1047</v>
      </c>
      <c r="BH331" s="98">
        <v>0</v>
      </c>
      <c r="BI331" s="98"/>
      <c r="BJ331" s="98"/>
      <c r="BK331" s="98"/>
      <c r="BL331" s="97"/>
    </row>
    <row r="332" spans="1:64" outlineLevel="5" x14ac:dyDescent="0.3">
      <c r="A332" s="152">
        <f t="shared" si="91"/>
        <v>10</v>
      </c>
      <c r="B332" s="153">
        <f t="shared" si="81"/>
        <v>44110</v>
      </c>
      <c r="C332" s="138">
        <f>IFERROR(ROUND(AVERAGE(D332:K332),1),"")</f>
        <v>38</v>
      </c>
      <c r="D332" s="84">
        <v>38</v>
      </c>
      <c r="E332" s="84">
        <v>38</v>
      </c>
      <c r="F332" s="84"/>
      <c r="G332" s="84"/>
      <c r="H332" s="84"/>
      <c r="I332" s="84"/>
      <c r="J332" s="84"/>
      <c r="K332" s="84"/>
      <c r="L332" s="140" t="str">
        <f>IFERROR(ROUND(AVERAGE(M332:T332),1),"")</f>
        <v/>
      </c>
      <c r="M332" s="86"/>
      <c r="N332" s="86"/>
      <c r="O332" s="86"/>
      <c r="P332" s="86"/>
      <c r="Q332" s="86"/>
      <c r="R332" s="86"/>
      <c r="S332" s="86"/>
      <c r="T332" s="86"/>
      <c r="U332" s="142" t="str">
        <f>IFERROR(ROUND(AVERAGE(V332:AC332),1),"")</f>
        <v/>
      </c>
      <c r="V332" s="88"/>
      <c r="W332" s="88"/>
      <c r="X332" s="88"/>
      <c r="Y332" s="88"/>
      <c r="Z332" s="88"/>
      <c r="AA332" s="88"/>
      <c r="AB332" s="88"/>
      <c r="AC332" s="88"/>
      <c r="AD332" s="142" t="str">
        <f>IFERROR(ROUND(AVERAGE(AE332:AL332),1),"")</f>
        <v/>
      </c>
      <c r="AE332" s="88"/>
      <c r="AF332" s="88"/>
      <c r="AG332" s="88"/>
      <c r="AH332" s="88"/>
      <c r="AI332" s="88"/>
      <c r="AJ332" s="88"/>
      <c r="AK332" s="88"/>
      <c r="AL332" s="88"/>
      <c r="AM332" s="88">
        <v>42.400287459575999</v>
      </c>
      <c r="AN332" s="88">
        <v>111.32</v>
      </c>
      <c r="AO332" s="89"/>
      <c r="AP332" s="90"/>
      <c r="AQ332" s="146" t="str">
        <f t="shared" si="98"/>
        <v/>
      </c>
      <c r="AR332" s="146" t="str">
        <f t="shared" si="99"/>
        <v/>
      </c>
      <c r="AS332" s="147">
        <v>45</v>
      </c>
      <c r="AT332" s="148" t="s">
        <v>56</v>
      </c>
      <c r="AU332" s="149" t="s">
        <v>56</v>
      </c>
      <c r="AV332" s="146" t="str">
        <f t="shared" si="100"/>
        <v/>
      </c>
      <c r="AW332" s="146" t="str">
        <f t="shared" si="101"/>
        <v/>
      </c>
      <c r="AX332" s="138" t="str">
        <f>IFERROR((1-((AV332*AR332)/(AW332*AQ332)))*100,"")</f>
        <v/>
      </c>
      <c r="AY332" s="95" t="s">
        <v>56</v>
      </c>
      <c r="AZ332" s="96">
        <v>63.230000000000004</v>
      </c>
      <c r="BA332" s="96"/>
      <c r="BB332" s="96">
        <v>73</v>
      </c>
      <c r="BC332" s="96"/>
      <c r="BD332" s="97">
        <v>111.32</v>
      </c>
      <c r="BE332" s="142">
        <f t="shared" si="102"/>
        <v>721</v>
      </c>
      <c r="BF332" s="88">
        <v>0</v>
      </c>
      <c r="BG332" s="98">
        <v>721</v>
      </c>
      <c r="BH332" s="98">
        <v>0</v>
      </c>
      <c r="BI332" s="98"/>
      <c r="BJ332" s="98"/>
      <c r="BK332" s="98"/>
      <c r="BL332" s="97"/>
    </row>
    <row r="333" spans="1:64" outlineLevel="5" x14ac:dyDescent="0.3">
      <c r="A333" s="152">
        <f t="shared" si="91"/>
        <v>10</v>
      </c>
      <c r="B333" s="153">
        <f t="shared" si="81"/>
        <v>44111</v>
      </c>
      <c r="C333" s="138">
        <f>IFERROR(ROUND(AVERAGE(D333:K333),1),"")</f>
        <v>37.5</v>
      </c>
      <c r="D333" s="84">
        <v>38</v>
      </c>
      <c r="E333" s="84">
        <v>37</v>
      </c>
      <c r="F333" s="84"/>
      <c r="G333" s="84"/>
      <c r="H333" s="84"/>
      <c r="I333" s="84"/>
      <c r="J333" s="84"/>
      <c r="K333" s="84"/>
      <c r="L333" s="140">
        <f>IFERROR(ROUND(AVERAGE(M333:T333),1),"")</f>
        <v>7.8</v>
      </c>
      <c r="M333" s="86">
        <v>7.85</v>
      </c>
      <c r="N333" s="86">
        <v>7.72</v>
      </c>
      <c r="O333" s="86"/>
      <c r="P333" s="86"/>
      <c r="Q333" s="86"/>
      <c r="R333" s="86"/>
      <c r="S333" s="86"/>
      <c r="T333" s="86"/>
      <c r="U333" s="142">
        <f>IFERROR(ROUND(AVERAGE(V333:AC333),1),"")</f>
        <v>1535.4</v>
      </c>
      <c r="V333" s="88">
        <v>1686.8</v>
      </c>
      <c r="W333" s="88">
        <v>1384</v>
      </c>
      <c r="X333" s="88"/>
      <c r="Y333" s="88"/>
      <c r="Z333" s="88"/>
      <c r="AA333" s="88"/>
      <c r="AB333" s="88"/>
      <c r="AC333" s="88"/>
      <c r="AD333" s="142" t="str">
        <f>IFERROR(ROUND(AVERAGE(AE333:AL333),1),"")</f>
        <v/>
      </c>
      <c r="AE333" s="88"/>
      <c r="AF333" s="88"/>
      <c r="AG333" s="88"/>
      <c r="AH333" s="88"/>
      <c r="AI333" s="88"/>
      <c r="AJ333" s="88"/>
      <c r="AK333" s="88"/>
      <c r="AL333" s="88"/>
      <c r="AM333" s="88">
        <v>40.003390117806596</v>
      </c>
      <c r="AN333" s="88">
        <v>117.99</v>
      </c>
      <c r="AO333" s="89"/>
      <c r="AP333" s="90"/>
      <c r="AQ333" s="146" t="str">
        <f t="shared" si="98"/>
        <v/>
      </c>
      <c r="AR333" s="146" t="str">
        <f t="shared" si="99"/>
        <v/>
      </c>
      <c r="AS333" s="147">
        <v>40</v>
      </c>
      <c r="AT333" s="148">
        <v>14.7</v>
      </c>
      <c r="AU333" s="149">
        <v>8.85</v>
      </c>
      <c r="AV333" s="146">
        <f t="shared" si="100"/>
        <v>60.204081632653065</v>
      </c>
      <c r="AW333" s="146">
        <f t="shared" si="101"/>
        <v>39.795918367346935</v>
      </c>
      <c r="AX333" s="138" t="str">
        <f>IFERROR((1-((AV333*AR333)/(AW333*AQ333)))*100,"")</f>
        <v/>
      </c>
      <c r="AY333" s="95">
        <v>71.099999999999994</v>
      </c>
      <c r="AZ333" s="96">
        <v>61.475000000000001</v>
      </c>
      <c r="BA333" s="96"/>
      <c r="BB333" s="96">
        <v>52</v>
      </c>
      <c r="BC333" s="96"/>
      <c r="BD333" s="97">
        <v>117.99</v>
      </c>
      <c r="BE333" s="142">
        <f t="shared" si="102"/>
        <v>839</v>
      </c>
      <c r="BF333" s="88">
        <v>0</v>
      </c>
      <c r="BG333" s="98">
        <v>839</v>
      </c>
      <c r="BH333" s="98">
        <v>0</v>
      </c>
      <c r="BI333" s="98"/>
      <c r="BJ333" s="98"/>
      <c r="BK333" s="98"/>
      <c r="BL333" s="97"/>
    </row>
    <row r="334" spans="1:64" outlineLevel="5" x14ac:dyDescent="0.3">
      <c r="A334" s="152">
        <f t="shared" si="91"/>
        <v>10</v>
      </c>
      <c r="B334" s="153">
        <f t="shared" si="81"/>
        <v>44112</v>
      </c>
      <c r="C334" s="138">
        <f>IFERROR(ROUND(AVERAGE(D334:K334),1),"")</f>
        <v>37</v>
      </c>
      <c r="D334" s="84">
        <v>37</v>
      </c>
      <c r="E334" s="84">
        <v>37</v>
      </c>
      <c r="F334" s="84"/>
      <c r="G334" s="84"/>
      <c r="H334" s="84"/>
      <c r="I334" s="84"/>
      <c r="J334" s="84"/>
      <c r="K334" s="84"/>
      <c r="L334" s="140">
        <f>IFERROR(ROUND(AVERAGE(M334:T334),1),"")</f>
        <v>7.8</v>
      </c>
      <c r="M334" s="86">
        <v>7.84</v>
      </c>
      <c r="N334" s="86">
        <v>7.7</v>
      </c>
      <c r="O334" s="86"/>
      <c r="P334" s="86"/>
      <c r="Q334" s="86"/>
      <c r="R334" s="86"/>
      <c r="S334" s="86"/>
      <c r="T334" s="86"/>
      <c r="U334" s="142">
        <f>IFERROR(ROUND(AVERAGE(V334:AC334),1),"")</f>
        <v>1686.8</v>
      </c>
      <c r="V334" s="88">
        <v>1859.8</v>
      </c>
      <c r="W334" s="88">
        <v>1513.8</v>
      </c>
      <c r="X334" s="88"/>
      <c r="Y334" s="88"/>
      <c r="Z334" s="88"/>
      <c r="AA334" s="88"/>
      <c r="AB334" s="88"/>
      <c r="AC334" s="88"/>
      <c r="AD334" s="142" t="str">
        <f>IFERROR(ROUND(AVERAGE(AE334:AL334),1),"")</f>
        <v/>
      </c>
      <c r="AE334" s="88"/>
      <c r="AF334" s="88"/>
      <c r="AG334" s="88"/>
      <c r="AH334" s="88"/>
      <c r="AI334" s="88"/>
      <c r="AJ334" s="88"/>
      <c r="AK334" s="88"/>
      <c r="AL334" s="88"/>
      <c r="AM334" s="88">
        <v>46.319921491658484</v>
      </c>
      <c r="AN334" s="88">
        <v>101.9</v>
      </c>
      <c r="AO334" s="89"/>
      <c r="AP334" s="90"/>
      <c r="AQ334" s="146" t="str">
        <f t="shared" si="98"/>
        <v/>
      </c>
      <c r="AR334" s="146" t="str">
        <f t="shared" si="99"/>
        <v/>
      </c>
      <c r="AS334" s="147">
        <v>40</v>
      </c>
      <c r="AT334" s="148">
        <v>14</v>
      </c>
      <c r="AU334" s="149">
        <v>8.8000000000000007</v>
      </c>
      <c r="AV334" s="146">
        <f t="shared" si="100"/>
        <v>62.857142857142868</v>
      </c>
      <c r="AW334" s="146">
        <f t="shared" si="101"/>
        <v>37.142857142857132</v>
      </c>
      <c r="AX334" s="138" t="str">
        <f>IFERROR((1-((AV334*AR334)/(AW334*AQ334)))*100,"")</f>
        <v/>
      </c>
      <c r="AY334" s="95">
        <v>76.400000000000006</v>
      </c>
      <c r="AZ334" s="96">
        <v>58.870000000000005</v>
      </c>
      <c r="BA334" s="96"/>
      <c r="BB334" s="96">
        <v>73</v>
      </c>
      <c r="BC334" s="96"/>
      <c r="BD334" s="97">
        <v>101.9</v>
      </c>
      <c r="BE334" s="142">
        <f t="shared" si="102"/>
        <v>24</v>
      </c>
      <c r="BF334" s="88">
        <v>24</v>
      </c>
      <c r="BG334" s="98">
        <v>0</v>
      </c>
      <c r="BH334" s="98">
        <v>0</v>
      </c>
      <c r="BI334" s="98"/>
      <c r="BJ334" s="98"/>
      <c r="BK334" s="98"/>
      <c r="BL334" s="97"/>
    </row>
    <row r="335" spans="1:64" outlineLevel="5" x14ac:dyDescent="0.3">
      <c r="A335" s="152">
        <f t="shared" si="91"/>
        <v>10</v>
      </c>
      <c r="B335" s="153">
        <f t="shared" si="81"/>
        <v>44113</v>
      </c>
      <c r="C335" s="138">
        <f>IFERROR(ROUND(AVERAGE(D335:K335),1),"")</f>
        <v>38</v>
      </c>
      <c r="D335" s="84">
        <v>38</v>
      </c>
      <c r="E335" s="84">
        <v>38</v>
      </c>
      <c r="F335" s="84"/>
      <c r="G335" s="84"/>
      <c r="H335" s="84"/>
      <c r="I335" s="84"/>
      <c r="J335" s="84"/>
      <c r="K335" s="84"/>
      <c r="L335" s="140" t="str">
        <f>IFERROR(ROUND(AVERAGE(M335:T335),1),"")</f>
        <v/>
      </c>
      <c r="M335" s="86"/>
      <c r="N335" s="86"/>
      <c r="O335" s="86"/>
      <c r="P335" s="86"/>
      <c r="Q335" s="86"/>
      <c r="R335" s="86"/>
      <c r="S335" s="86"/>
      <c r="T335" s="86"/>
      <c r="U335" s="142" t="str">
        <f>IFERROR(ROUND(AVERAGE(V335:AC335),1),"")</f>
        <v/>
      </c>
      <c r="V335" s="88"/>
      <c r="W335" s="88"/>
      <c r="X335" s="88"/>
      <c r="Y335" s="88"/>
      <c r="Z335" s="88"/>
      <c r="AA335" s="88"/>
      <c r="AB335" s="88"/>
      <c r="AC335" s="88"/>
      <c r="AD335" s="142" t="str">
        <f>IFERROR(ROUND(AVERAGE(AE335:AL335),1),"")</f>
        <v/>
      </c>
      <c r="AE335" s="88"/>
      <c r="AF335" s="88"/>
      <c r="AG335" s="88"/>
      <c r="AH335" s="88"/>
      <c r="AI335" s="88"/>
      <c r="AJ335" s="88"/>
      <c r="AK335" s="88"/>
      <c r="AL335" s="88"/>
      <c r="AM335" s="88">
        <v>41.487211039817176</v>
      </c>
      <c r="AN335" s="88">
        <v>113.77</v>
      </c>
      <c r="AO335" s="89">
        <v>21.1</v>
      </c>
      <c r="AP335" s="90">
        <v>18.335900000000002</v>
      </c>
      <c r="AQ335" s="146">
        <f t="shared" si="98"/>
        <v>86.9</v>
      </c>
      <c r="AR335" s="146">
        <f t="shared" si="99"/>
        <v>13.099999999999994</v>
      </c>
      <c r="AS335" s="147">
        <v>0</v>
      </c>
      <c r="AT335" s="148" t="s">
        <v>56</v>
      </c>
      <c r="AU335" s="149" t="s">
        <v>56</v>
      </c>
      <c r="AV335" s="146" t="str">
        <f t="shared" si="100"/>
        <v/>
      </c>
      <c r="AW335" s="146" t="str">
        <f t="shared" si="101"/>
        <v/>
      </c>
      <c r="AX335" s="138" t="str">
        <f>IFERROR((1-((AV335*AR335)/(AW335*AQ335)))*100,"")</f>
        <v/>
      </c>
      <c r="AY335" s="95" t="s">
        <v>56</v>
      </c>
      <c r="AZ335" s="96">
        <v>60.375</v>
      </c>
      <c r="BA335" s="96"/>
      <c r="BB335" s="96">
        <v>70.5</v>
      </c>
      <c r="BC335" s="96"/>
      <c r="BD335" s="97">
        <v>113.77</v>
      </c>
      <c r="BE335" s="142">
        <f t="shared" si="102"/>
        <v>991</v>
      </c>
      <c r="BF335" s="88">
        <v>73</v>
      </c>
      <c r="BG335" s="98">
        <v>918</v>
      </c>
      <c r="BH335" s="98">
        <v>0</v>
      </c>
      <c r="BI335" s="98"/>
      <c r="BJ335" s="98"/>
      <c r="BK335" s="98"/>
      <c r="BL335" s="97"/>
    </row>
    <row r="336" spans="1:64" outlineLevel="5" x14ac:dyDescent="0.3">
      <c r="A336" s="152">
        <f t="shared" si="91"/>
        <v>10</v>
      </c>
      <c r="B336" s="153">
        <f t="shared" si="81"/>
        <v>44114</v>
      </c>
      <c r="C336" s="138">
        <f>IFERROR(ROUND(AVERAGE(D336:K336),1),"")</f>
        <v>38</v>
      </c>
      <c r="D336" s="84">
        <v>38</v>
      </c>
      <c r="E336" s="84">
        <v>38</v>
      </c>
      <c r="F336" s="84"/>
      <c r="G336" s="84"/>
      <c r="H336" s="84"/>
      <c r="I336" s="84"/>
      <c r="J336" s="84"/>
      <c r="K336" s="84"/>
      <c r="L336" s="140" t="str">
        <f>IFERROR(ROUND(AVERAGE(M336:T336),1),"")</f>
        <v/>
      </c>
      <c r="M336" s="86"/>
      <c r="N336" s="86"/>
      <c r="O336" s="86"/>
      <c r="P336" s="86"/>
      <c r="Q336" s="86"/>
      <c r="R336" s="86"/>
      <c r="S336" s="86"/>
      <c r="T336" s="86"/>
      <c r="U336" s="142" t="str">
        <f>IFERROR(ROUND(AVERAGE(V336:AC336),1),"")</f>
        <v/>
      </c>
      <c r="V336" s="88"/>
      <c r="W336" s="88"/>
      <c r="X336" s="88"/>
      <c r="Y336" s="88"/>
      <c r="Z336" s="88"/>
      <c r="AA336" s="88"/>
      <c r="AB336" s="88"/>
      <c r="AC336" s="88"/>
      <c r="AD336" s="142" t="str">
        <f>IFERROR(ROUND(AVERAGE(AE336:AL336),1),"")</f>
        <v/>
      </c>
      <c r="AE336" s="88"/>
      <c r="AF336" s="88"/>
      <c r="AG336" s="88"/>
      <c r="AH336" s="88"/>
      <c r="AI336" s="88"/>
      <c r="AJ336" s="88"/>
      <c r="AK336" s="88"/>
      <c r="AL336" s="88"/>
      <c r="AM336" s="88">
        <v>47.773279352226723</v>
      </c>
      <c r="AN336" s="88">
        <v>98.8</v>
      </c>
      <c r="AO336" s="89" t="s">
        <v>56</v>
      </c>
      <c r="AP336" s="90" t="s">
        <v>56</v>
      </c>
      <c r="AQ336" s="146" t="str">
        <f t="shared" si="98"/>
        <v/>
      </c>
      <c r="AR336" s="146" t="str">
        <f t="shared" si="99"/>
        <v/>
      </c>
      <c r="AS336" s="147">
        <v>0</v>
      </c>
      <c r="AT336" s="148" t="s">
        <v>56</v>
      </c>
      <c r="AU336" s="149" t="s">
        <v>56</v>
      </c>
      <c r="AV336" s="146" t="str">
        <f t="shared" si="100"/>
        <v/>
      </c>
      <c r="AW336" s="146" t="str">
        <f t="shared" si="101"/>
        <v/>
      </c>
      <c r="AX336" s="138" t="str">
        <f>IFERROR((1-((AV336*AR336)/(AW336*AQ336)))*100,"")</f>
        <v/>
      </c>
      <c r="AY336" s="95" t="s">
        <v>56</v>
      </c>
      <c r="AZ336" s="96">
        <v>60.185000000000002</v>
      </c>
      <c r="BA336" s="96"/>
      <c r="BB336" s="96">
        <v>78.5</v>
      </c>
      <c r="BC336" s="96"/>
      <c r="BD336" s="97">
        <v>98.8</v>
      </c>
      <c r="BE336" s="142">
        <f t="shared" si="102"/>
        <v>31</v>
      </c>
      <c r="BF336" s="88">
        <v>31</v>
      </c>
      <c r="BG336" s="98">
        <v>0</v>
      </c>
      <c r="BH336" s="98">
        <v>0</v>
      </c>
      <c r="BI336" s="98"/>
      <c r="BJ336" s="98"/>
      <c r="BK336" s="98"/>
      <c r="BL336" s="97"/>
    </row>
    <row r="337" spans="1:64" outlineLevel="5" x14ac:dyDescent="0.3">
      <c r="A337" s="152">
        <f t="shared" si="91"/>
        <v>10</v>
      </c>
      <c r="B337" s="153">
        <f t="shared" si="81"/>
        <v>44115</v>
      </c>
      <c r="C337" s="138">
        <f>IFERROR(ROUND(AVERAGE(D337:K337),1),"")</f>
        <v>38</v>
      </c>
      <c r="D337" s="84">
        <v>38</v>
      </c>
      <c r="E337" s="84">
        <v>38</v>
      </c>
      <c r="F337" s="84"/>
      <c r="G337" s="84"/>
      <c r="H337" s="84"/>
      <c r="I337" s="84"/>
      <c r="J337" s="84"/>
      <c r="K337" s="84"/>
      <c r="L337" s="140" t="str">
        <f>IFERROR(ROUND(AVERAGE(M337:T337),1),"")</f>
        <v/>
      </c>
      <c r="M337" s="86"/>
      <c r="N337" s="86"/>
      <c r="O337" s="86"/>
      <c r="P337" s="86"/>
      <c r="Q337" s="86"/>
      <c r="R337" s="86"/>
      <c r="S337" s="86"/>
      <c r="T337" s="86"/>
      <c r="U337" s="142" t="str">
        <f>IFERROR(ROUND(AVERAGE(V337:AC337),1),"")</f>
        <v/>
      </c>
      <c r="V337" s="88"/>
      <c r="W337" s="88"/>
      <c r="X337" s="88"/>
      <c r="Y337" s="88"/>
      <c r="Z337" s="88"/>
      <c r="AA337" s="88"/>
      <c r="AB337" s="88"/>
      <c r="AC337" s="88"/>
      <c r="AD337" s="142" t="str">
        <f>IFERROR(ROUND(AVERAGE(AE337:AL337),1),"")</f>
        <v/>
      </c>
      <c r="AE337" s="88"/>
      <c r="AF337" s="88"/>
      <c r="AG337" s="88"/>
      <c r="AH337" s="88"/>
      <c r="AI337" s="88"/>
      <c r="AJ337" s="88"/>
      <c r="AK337" s="88"/>
      <c r="AL337" s="88"/>
      <c r="AM337" s="88">
        <v>53.033707865168537</v>
      </c>
      <c r="AN337" s="88">
        <v>89</v>
      </c>
      <c r="AO337" s="89" t="s">
        <v>56</v>
      </c>
      <c r="AP337" s="90" t="s">
        <v>56</v>
      </c>
      <c r="AQ337" s="146" t="str">
        <f t="shared" si="98"/>
        <v/>
      </c>
      <c r="AR337" s="146" t="str">
        <f t="shared" si="99"/>
        <v/>
      </c>
      <c r="AS337" s="147">
        <v>0</v>
      </c>
      <c r="AT337" s="148" t="s">
        <v>56</v>
      </c>
      <c r="AU337" s="149" t="s">
        <v>56</v>
      </c>
      <c r="AV337" s="146" t="str">
        <f t="shared" si="100"/>
        <v/>
      </c>
      <c r="AW337" s="146" t="str">
        <f t="shared" si="101"/>
        <v/>
      </c>
      <c r="AX337" s="138" t="str">
        <f>IFERROR((1-((AV337*AR337)/(AW337*AQ337)))*100,"")</f>
        <v/>
      </c>
      <c r="AY337" s="95" t="s">
        <v>56</v>
      </c>
      <c r="AZ337" s="96">
        <v>60.975000000000001</v>
      </c>
      <c r="BA337" s="96"/>
      <c r="BB337" s="96">
        <v>79</v>
      </c>
      <c r="BC337" s="96"/>
      <c r="BD337" s="97">
        <v>89</v>
      </c>
      <c r="BE337" s="142">
        <f t="shared" si="102"/>
        <v>374</v>
      </c>
      <c r="BF337" s="88">
        <v>0</v>
      </c>
      <c r="BG337" s="98">
        <v>374</v>
      </c>
      <c r="BH337" s="98">
        <v>0</v>
      </c>
      <c r="BI337" s="98"/>
      <c r="BJ337" s="98"/>
      <c r="BK337" s="98"/>
      <c r="BL337" s="97"/>
    </row>
    <row r="338" spans="1:64" outlineLevel="5" x14ac:dyDescent="0.3">
      <c r="A338" s="152">
        <f t="shared" si="91"/>
        <v>10</v>
      </c>
      <c r="B338" s="153">
        <f t="shared" si="81"/>
        <v>44116</v>
      </c>
      <c r="C338" s="138">
        <f>IFERROR(ROUND(AVERAGE(D338:K338),1),"")</f>
        <v>37.5</v>
      </c>
      <c r="D338" s="84">
        <v>37</v>
      </c>
      <c r="E338" s="84">
        <v>38</v>
      </c>
      <c r="F338" s="84"/>
      <c r="G338" s="84"/>
      <c r="H338" s="84"/>
      <c r="I338" s="84"/>
      <c r="J338" s="84"/>
      <c r="K338" s="84"/>
      <c r="L338" s="140">
        <f>IFERROR(ROUND(AVERAGE(M338:T338),1),"")</f>
        <v>7.8</v>
      </c>
      <c r="M338" s="86">
        <v>7.82</v>
      </c>
      <c r="N338" s="86">
        <v>7.71</v>
      </c>
      <c r="O338" s="86"/>
      <c r="P338" s="86"/>
      <c r="Q338" s="86"/>
      <c r="R338" s="86"/>
      <c r="S338" s="86"/>
      <c r="T338" s="86"/>
      <c r="U338" s="142">
        <f>IFERROR(ROUND(AVERAGE(V338:AC338),1),"")</f>
        <v>1492.2</v>
      </c>
      <c r="V338" s="88">
        <v>1686.8</v>
      </c>
      <c r="W338" s="88">
        <v>1297.5</v>
      </c>
      <c r="X338" s="88"/>
      <c r="Y338" s="88"/>
      <c r="Z338" s="88"/>
      <c r="AA338" s="88"/>
      <c r="AB338" s="88"/>
      <c r="AC338" s="88"/>
      <c r="AD338" s="142" t="str">
        <f>IFERROR(ROUND(AVERAGE(AE338:AL338),1),"")</f>
        <v/>
      </c>
      <c r="AE338" s="88"/>
      <c r="AF338" s="88"/>
      <c r="AG338" s="88"/>
      <c r="AH338" s="88"/>
      <c r="AI338" s="88"/>
      <c r="AJ338" s="88"/>
      <c r="AK338" s="88"/>
      <c r="AL338" s="88"/>
      <c r="AM338" s="88">
        <v>39.905309435238415</v>
      </c>
      <c r="AN338" s="88">
        <v>118.28</v>
      </c>
      <c r="AO338" s="89" t="s">
        <v>56</v>
      </c>
      <c r="AP338" s="90" t="s">
        <v>56</v>
      </c>
      <c r="AQ338" s="146" t="str">
        <f t="shared" si="98"/>
        <v/>
      </c>
      <c r="AR338" s="146" t="str">
        <f t="shared" si="99"/>
        <v/>
      </c>
      <c r="AS338" s="147">
        <v>40</v>
      </c>
      <c r="AT338" s="148">
        <v>16.899999999999999</v>
      </c>
      <c r="AU338" s="149">
        <v>7.4</v>
      </c>
      <c r="AV338" s="146">
        <f t="shared" si="100"/>
        <v>43.786982248520715</v>
      </c>
      <c r="AW338" s="146">
        <f t="shared" si="101"/>
        <v>56.213017751479285</v>
      </c>
      <c r="AX338" s="138" t="str">
        <f>IFERROR((1-((AV338*AR338)/(AW338*AQ338)))*100,"")</f>
        <v/>
      </c>
      <c r="AY338" s="95">
        <v>74.8</v>
      </c>
      <c r="AZ338" s="96">
        <v>60.265000000000001</v>
      </c>
      <c r="BA338" s="96"/>
      <c r="BB338" s="96">
        <v>106</v>
      </c>
      <c r="BC338" s="96"/>
      <c r="BD338" s="97">
        <v>118.28</v>
      </c>
      <c r="BE338" s="142" t="str">
        <f t="shared" si="102"/>
        <v/>
      </c>
      <c r="BF338" s="88">
        <v>0</v>
      </c>
      <c r="BG338" s="98">
        <v>0</v>
      </c>
      <c r="BH338" s="98">
        <v>0</v>
      </c>
      <c r="BI338" s="98"/>
      <c r="BJ338" s="98"/>
      <c r="BK338" s="98"/>
      <c r="BL338" s="97"/>
    </row>
    <row r="339" spans="1:64" outlineLevel="5" x14ac:dyDescent="0.3">
      <c r="A339" s="152">
        <f t="shared" si="91"/>
        <v>10</v>
      </c>
      <c r="B339" s="153">
        <f t="shared" si="81"/>
        <v>44117</v>
      </c>
      <c r="C339" s="138">
        <f>IFERROR(ROUND(AVERAGE(D339:K339),1),"")</f>
        <v>37</v>
      </c>
      <c r="D339" s="84">
        <v>37</v>
      </c>
      <c r="E339" s="84">
        <v>37</v>
      </c>
      <c r="F339" s="84"/>
      <c r="G339" s="84"/>
      <c r="H339" s="84"/>
      <c r="I339" s="84"/>
      <c r="J339" s="84"/>
      <c r="K339" s="84"/>
      <c r="L339" s="140" t="str">
        <f>IFERROR(ROUND(AVERAGE(M339:T339),1),"")</f>
        <v/>
      </c>
      <c r="M339" s="86"/>
      <c r="N339" s="86"/>
      <c r="O339" s="86"/>
      <c r="P339" s="86"/>
      <c r="Q339" s="86"/>
      <c r="R339" s="86"/>
      <c r="S339" s="86"/>
      <c r="T339" s="86"/>
      <c r="U339" s="142" t="str">
        <f>IFERROR(ROUND(AVERAGE(V339:AC339),1),"")</f>
        <v/>
      </c>
      <c r="V339" s="88"/>
      <c r="W339" s="88"/>
      <c r="X339" s="88"/>
      <c r="Y339" s="88"/>
      <c r="Z339" s="88"/>
      <c r="AA339" s="88"/>
      <c r="AB339" s="88"/>
      <c r="AC339" s="88"/>
      <c r="AD339" s="142" t="str">
        <f>IFERROR(ROUND(AVERAGE(AE339:AL339),1),"")</f>
        <v/>
      </c>
      <c r="AE339" s="88"/>
      <c r="AF339" s="88"/>
      <c r="AG339" s="88"/>
      <c r="AH339" s="88"/>
      <c r="AI339" s="88"/>
      <c r="AJ339" s="88"/>
      <c r="AK339" s="88"/>
      <c r="AL339" s="88"/>
      <c r="AM339" s="88">
        <v>41.501802514727871</v>
      </c>
      <c r="AN339" s="88">
        <v>113.72999999999999</v>
      </c>
      <c r="AO339" s="89" t="s">
        <v>56</v>
      </c>
      <c r="AP339" s="90"/>
      <c r="AQ339" s="146" t="str">
        <f t="shared" si="98"/>
        <v/>
      </c>
      <c r="AR339" s="146" t="str">
        <f t="shared" si="99"/>
        <v/>
      </c>
      <c r="AS339" s="147">
        <v>40</v>
      </c>
      <c r="AT339" s="148" t="s">
        <v>56</v>
      </c>
      <c r="AU339" s="149" t="s">
        <v>56</v>
      </c>
      <c r="AV339" s="146" t="str">
        <f t="shared" si="100"/>
        <v/>
      </c>
      <c r="AW339" s="146" t="str">
        <f t="shared" si="101"/>
        <v/>
      </c>
      <c r="AX339" s="138" t="str">
        <f>IFERROR((1-((AV339*AR339)/(AW339*AQ339)))*100,"")</f>
        <v/>
      </c>
      <c r="AY339" s="95" t="s">
        <v>56</v>
      </c>
      <c r="AZ339" s="96">
        <v>64.754999999999995</v>
      </c>
      <c r="BA339" s="96"/>
      <c r="BB339" s="96">
        <v>99</v>
      </c>
      <c r="BC339" s="96"/>
      <c r="BD339" s="97">
        <v>113.72999999999999</v>
      </c>
      <c r="BE339" s="142">
        <f t="shared" si="102"/>
        <v>47</v>
      </c>
      <c r="BF339" s="88">
        <v>47</v>
      </c>
      <c r="BG339" s="98">
        <v>0</v>
      </c>
      <c r="BH339" s="98">
        <v>0</v>
      </c>
      <c r="BI339" s="98"/>
      <c r="BJ339" s="98"/>
      <c r="BK339" s="98"/>
      <c r="BL339" s="97"/>
    </row>
    <row r="340" spans="1:64" outlineLevel="5" x14ac:dyDescent="0.3">
      <c r="A340" s="152">
        <f t="shared" si="91"/>
        <v>10</v>
      </c>
      <c r="B340" s="153">
        <f t="shared" si="81"/>
        <v>44118</v>
      </c>
      <c r="C340" s="138">
        <f>IFERROR(ROUND(AVERAGE(D340:K340),1),"")</f>
        <v>37</v>
      </c>
      <c r="D340" s="84">
        <v>37</v>
      </c>
      <c r="E340" s="84">
        <v>37</v>
      </c>
      <c r="F340" s="84"/>
      <c r="G340" s="84"/>
      <c r="H340" s="84"/>
      <c r="I340" s="84"/>
      <c r="J340" s="84"/>
      <c r="K340" s="84"/>
      <c r="L340" s="140" t="str">
        <f>IFERROR(ROUND(AVERAGE(M340:T340),1),"")</f>
        <v/>
      </c>
      <c r="M340" s="86"/>
      <c r="N340" s="86"/>
      <c r="O340" s="86"/>
      <c r="P340" s="86"/>
      <c r="Q340" s="86"/>
      <c r="R340" s="86"/>
      <c r="S340" s="86"/>
      <c r="T340" s="86"/>
      <c r="U340" s="142" t="str">
        <f>IFERROR(ROUND(AVERAGE(V340:AC340),1),"")</f>
        <v/>
      </c>
      <c r="V340" s="88"/>
      <c r="W340" s="88"/>
      <c r="X340" s="88"/>
      <c r="Y340" s="88"/>
      <c r="Z340" s="88"/>
      <c r="AA340" s="88"/>
      <c r="AB340" s="88"/>
      <c r="AC340" s="88"/>
      <c r="AD340" s="142" t="str">
        <f>IFERROR(ROUND(AVERAGE(AE340:AL340),1),"")</f>
        <v/>
      </c>
      <c r="AE340" s="88"/>
      <c r="AF340" s="88"/>
      <c r="AG340" s="88"/>
      <c r="AH340" s="88"/>
      <c r="AI340" s="88"/>
      <c r="AJ340" s="88"/>
      <c r="AK340" s="88"/>
      <c r="AL340" s="88"/>
      <c r="AM340" s="88">
        <v>44.219599025669851</v>
      </c>
      <c r="AN340" s="88">
        <v>106.74000000000001</v>
      </c>
      <c r="AO340" s="89"/>
      <c r="AP340" s="90"/>
      <c r="AQ340" s="146" t="str">
        <f t="shared" si="98"/>
        <v/>
      </c>
      <c r="AR340" s="146" t="str">
        <f t="shared" si="99"/>
        <v/>
      </c>
      <c r="AS340" s="147">
        <v>41</v>
      </c>
      <c r="AT340" s="148" t="s">
        <v>56</v>
      </c>
      <c r="AU340" s="149" t="s">
        <v>56</v>
      </c>
      <c r="AV340" s="146" t="str">
        <f t="shared" si="100"/>
        <v/>
      </c>
      <c r="AW340" s="146" t="str">
        <f t="shared" si="101"/>
        <v/>
      </c>
      <c r="AX340" s="138" t="str">
        <f>IFERROR((1-((AV340*AR340)/(AW340*AQ340)))*100,"")</f>
        <v/>
      </c>
      <c r="AY340" s="95" t="s">
        <v>56</v>
      </c>
      <c r="AZ340" s="96">
        <v>64.275000000000006</v>
      </c>
      <c r="BA340" s="96"/>
      <c r="BB340" s="96">
        <v>83</v>
      </c>
      <c r="BC340" s="96"/>
      <c r="BD340" s="97">
        <v>106.74000000000001</v>
      </c>
      <c r="BE340" s="142">
        <f t="shared" si="102"/>
        <v>615</v>
      </c>
      <c r="BF340" s="88">
        <v>45</v>
      </c>
      <c r="BG340" s="98">
        <v>0</v>
      </c>
      <c r="BH340" s="98">
        <v>570</v>
      </c>
      <c r="BI340" s="98"/>
      <c r="BJ340" s="98"/>
      <c r="BK340" s="98"/>
      <c r="BL340" s="97"/>
    </row>
    <row r="341" spans="1:64" outlineLevel="5" x14ac:dyDescent="0.3">
      <c r="A341" s="152">
        <f t="shared" si="91"/>
        <v>10</v>
      </c>
      <c r="B341" s="153">
        <f t="shared" si="81"/>
        <v>44119</v>
      </c>
      <c r="C341" s="138">
        <f>IFERROR(ROUND(AVERAGE(D341:K341),1),"")</f>
        <v>37</v>
      </c>
      <c r="D341" s="84">
        <v>37</v>
      </c>
      <c r="E341" s="84">
        <v>37</v>
      </c>
      <c r="F341" s="84"/>
      <c r="G341" s="84"/>
      <c r="H341" s="84"/>
      <c r="I341" s="84"/>
      <c r="J341" s="84"/>
      <c r="K341" s="84"/>
      <c r="L341" s="140" t="str">
        <f>IFERROR(ROUND(AVERAGE(M341:T341),1),"")</f>
        <v/>
      </c>
      <c r="M341" s="86"/>
      <c r="N341" s="86"/>
      <c r="O341" s="86"/>
      <c r="P341" s="86"/>
      <c r="Q341" s="86"/>
      <c r="R341" s="86"/>
      <c r="S341" s="86"/>
      <c r="T341" s="86"/>
      <c r="U341" s="142" t="str">
        <f>IFERROR(ROUND(AVERAGE(V341:AC341),1),"")</f>
        <v/>
      </c>
      <c r="V341" s="88"/>
      <c r="W341" s="88"/>
      <c r="X341" s="88"/>
      <c r="Y341" s="88"/>
      <c r="Z341" s="88"/>
      <c r="AA341" s="88"/>
      <c r="AB341" s="88"/>
      <c r="AC341" s="88"/>
      <c r="AD341" s="142" t="str">
        <f>IFERROR(ROUND(AVERAGE(AE341:AL341),1),"")</f>
        <v/>
      </c>
      <c r="AE341" s="88"/>
      <c r="AF341" s="88"/>
      <c r="AG341" s="88"/>
      <c r="AH341" s="88"/>
      <c r="AI341" s="88"/>
      <c r="AJ341" s="88"/>
      <c r="AK341" s="88"/>
      <c r="AL341" s="88"/>
      <c r="AM341" s="88">
        <v>48.030935178589594</v>
      </c>
      <c r="AN341" s="88">
        <v>98.27000000000001</v>
      </c>
      <c r="AO341" s="89"/>
      <c r="AP341" s="90"/>
      <c r="AQ341" s="146" t="str">
        <f t="shared" si="98"/>
        <v/>
      </c>
      <c r="AR341" s="146" t="str">
        <f t="shared" si="99"/>
        <v/>
      </c>
      <c r="AS341" s="147">
        <v>40</v>
      </c>
      <c r="AT341" s="148">
        <v>16.350000000000001</v>
      </c>
      <c r="AU341" s="149">
        <v>9.3999999999999986</v>
      </c>
      <c r="AV341" s="146">
        <f t="shared" si="100"/>
        <v>57.492354740061145</v>
      </c>
      <c r="AW341" s="146">
        <f t="shared" si="101"/>
        <v>42.507645259938855</v>
      </c>
      <c r="AX341" s="138" t="str">
        <f>IFERROR((1-((AV341*AR341)/(AW341*AQ341)))*100,"")</f>
        <v/>
      </c>
      <c r="AY341" s="95" t="s">
        <v>56</v>
      </c>
      <c r="AZ341" s="96">
        <v>62.984999999999999</v>
      </c>
      <c r="BA341" s="96"/>
      <c r="BB341" s="96">
        <v>74.5</v>
      </c>
      <c r="BC341" s="96"/>
      <c r="BD341" s="97">
        <v>98.27000000000001</v>
      </c>
      <c r="BE341" s="142">
        <f t="shared" si="102"/>
        <v>3694</v>
      </c>
      <c r="BF341" s="88">
        <v>101</v>
      </c>
      <c r="BG341" s="98">
        <v>0</v>
      </c>
      <c r="BH341" s="98">
        <v>3593</v>
      </c>
      <c r="BI341" s="98"/>
      <c r="BJ341" s="98"/>
      <c r="BK341" s="98"/>
      <c r="BL341" s="97"/>
    </row>
    <row r="342" spans="1:64" outlineLevel="5" x14ac:dyDescent="0.3">
      <c r="A342" s="152">
        <f t="shared" si="91"/>
        <v>10</v>
      </c>
      <c r="B342" s="153">
        <f t="shared" si="81"/>
        <v>44120</v>
      </c>
      <c r="C342" s="138">
        <f>IFERROR(ROUND(AVERAGE(D342:K342),1),"")</f>
        <v>38</v>
      </c>
      <c r="D342" s="84">
        <v>38</v>
      </c>
      <c r="E342" s="84">
        <v>38</v>
      </c>
      <c r="F342" s="84"/>
      <c r="G342" s="84"/>
      <c r="H342" s="84"/>
      <c r="I342" s="84"/>
      <c r="J342" s="84"/>
      <c r="K342" s="84"/>
      <c r="L342" s="140" t="str">
        <f>IFERROR(ROUND(AVERAGE(M342:T342),1),"")</f>
        <v/>
      </c>
      <c r="M342" s="86"/>
      <c r="N342" s="86"/>
      <c r="O342" s="86"/>
      <c r="P342" s="86"/>
      <c r="Q342" s="86"/>
      <c r="R342" s="86"/>
      <c r="S342" s="86"/>
      <c r="T342" s="86"/>
      <c r="U342" s="142" t="str">
        <f>IFERROR(ROUND(AVERAGE(V342:AC342),1),"")</f>
        <v/>
      </c>
      <c r="V342" s="88"/>
      <c r="W342" s="88"/>
      <c r="X342" s="88"/>
      <c r="Y342" s="88"/>
      <c r="Z342" s="88"/>
      <c r="AA342" s="88"/>
      <c r="AB342" s="88"/>
      <c r="AC342" s="88"/>
      <c r="AD342" s="142" t="str">
        <f>IFERROR(ROUND(AVERAGE(AE342:AL342),1),"")</f>
        <v/>
      </c>
      <c r="AE342" s="88"/>
      <c r="AF342" s="88"/>
      <c r="AG342" s="88"/>
      <c r="AH342" s="88"/>
      <c r="AI342" s="88"/>
      <c r="AJ342" s="88"/>
      <c r="AK342" s="88"/>
      <c r="AL342" s="88"/>
      <c r="AM342" s="88">
        <v>41.165184022326883</v>
      </c>
      <c r="AN342" s="88">
        <v>114.66</v>
      </c>
      <c r="AO342" s="89">
        <v>16.399999999999999</v>
      </c>
      <c r="AP342" s="90">
        <v>14.546799999999998</v>
      </c>
      <c r="AQ342" s="146">
        <f t="shared" si="98"/>
        <v>88.699999999999989</v>
      </c>
      <c r="AR342" s="146">
        <f t="shared" si="99"/>
        <v>11.300000000000011</v>
      </c>
      <c r="AS342" s="147">
        <v>22</v>
      </c>
      <c r="AT342" s="148" t="s">
        <v>56</v>
      </c>
      <c r="AU342" s="149" t="s">
        <v>56</v>
      </c>
      <c r="AV342" s="146" t="str">
        <f t="shared" si="100"/>
        <v/>
      </c>
      <c r="AW342" s="146" t="str">
        <f t="shared" si="101"/>
        <v/>
      </c>
      <c r="AX342" s="138" t="str">
        <f>IFERROR((1-((AV342*AR342)/(AW342*AQ342)))*100,"")</f>
        <v/>
      </c>
      <c r="AY342" s="95" t="s">
        <v>56</v>
      </c>
      <c r="AZ342" s="96">
        <v>62.045000000000002</v>
      </c>
      <c r="BA342" s="96"/>
      <c r="BB342" s="96">
        <v>96.5</v>
      </c>
      <c r="BC342" s="96"/>
      <c r="BD342" s="97">
        <v>114.66</v>
      </c>
      <c r="BE342" s="142">
        <f t="shared" si="102"/>
        <v>3703</v>
      </c>
      <c r="BF342" s="88">
        <v>47</v>
      </c>
      <c r="BG342" s="98">
        <v>0</v>
      </c>
      <c r="BH342" s="98">
        <v>3656</v>
      </c>
      <c r="BI342" s="98"/>
      <c r="BJ342" s="98"/>
      <c r="BK342" s="98"/>
      <c r="BL342" s="97"/>
    </row>
    <row r="343" spans="1:64" outlineLevel="5" x14ac:dyDescent="0.3">
      <c r="A343" s="152">
        <f t="shared" si="91"/>
        <v>10</v>
      </c>
      <c r="B343" s="153">
        <f t="shared" si="81"/>
        <v>44121</v>
      </c>
      <c r="C343" s="138">
        <f>IFERROR(ROUND(AVERAGE(D343:K343),1),"")</f>
        <v>37.5</v>
      </c>
      <c r="D343" s="84">
        <v>37</v>
      </c>
      <c r="E343" s="84">
        <v>38</v>
      </c>
      <c r="F343" s="84"/>
      <c r="G343" s="84"/>
      <c r="H343" s="84"/>
      <c r="I343" s="84"/>
      <c r="J343" s="84"/>
      <c r="K343" s="84"/>
      <c r="L343" s="140" t="str">
        <f>IFERROR(ROUND(AVERAGE(M343:T343),1),"")</f>
        <v/>
      </c>
      <c r="M343" s="86"/>
      <c r="N343" s="86"/>
      <c r="O343" s="86"/>
      <c r="P343" s="86"/>
      <c r="Q343" s="86"/>
      <c r="R343" s="86"/>
      <c r="S343" s="86"/>
      <c r="T343" s="86"/>
      <c r="U343" s="142" t="str">
        <f>IFERROR(ROUND(AVERAGE(V343:AC343),1),"")</f>
        <v/>
      </c>
      <c r="V343" s="88"/>
      <c r="W343" s="88"/>
      <c r="X343" s="88"/>
      <c r="Y343" s="88"/>
      <c r="Z343" s="88"/>
      <c r="AA343" s="88"/>
      <c r="AB343" s="88"/>
      <c r="AC343" s="88"/>
      <c r="AD343" s="142" t="str">
        <f>IFERROR(ROUND(AVERAGE(AE343:AL343),1),"")</f>
        <v/>
      </c>
      <c r="AE343" s="88"/>
      <c r="AF343" s="88"/>
      <c r="AG343" s="88"/>
      <c r="AH343" s="88"/>
      <c r="AI343" s="88"/>
      <c r="AJ343" s="88"/>
      <c r="AK343" s="88"/>
      <c r="AL343" s="88"/>
      <c r="AM343" s="88">
        <v>47.797468354430379</v>
      </c>
      <c r="AN343" s="88">
        <v>98.75</v>
      </c>
      <c r="AO343" s="89" t="s">
        <v>56</v>
      </c>
      <c r="AP343" s="90" t="s">
        <v>56</v>
      </c>
      <c r="AQ343" s="146" t="str">
        <f t="shared" si="98"/>
        <v/>
      </c>
      <c r="AR343" s="146" t="str">
        <f t="shared" si="99"/>
        <v/>
      </c>
      <c r="AS343" s="147">
        <v>11</v>
      </c>
      <c r="AT343" s="148" t="s">
        <v>56</v>
      </c>
      <c r="AU343" s="149" t="s">
        <v>56</v>
      </c>
      <c r="AV343" s="146" t="str">
        <f t="shared" si="100"/>
        <v/>
      </c>
      <c r="AW343" s="146" t="str">
        <f t="shared" si="101"/>
        <v/>
      </c>
      <c r="AX343" s="138" t="str">
        <f>IFERROR((1-((AV343*AR343)/(AW343*AQ343)))*100,"")</f>
        <v/>
      </c>
      <c r="AY343" s="95" t="s">
        <v>56</v>
      </c>
      <c r="AZ343" s="96">
        <v>61.715000000000003</v>
      </c>
      <c r="BA343" s="96"/>
      <c r="BB343" s="96">
        <v>85</v>
      </c>
      <c r="BC343" s="96"/>
      <c r="BD343" s="97">
        <v>98.75</v>
      </c>
      <c r="BE343" s="142">
        <f t="shared" si="102"/>
        <v>224</v>
      </c>
      <c r="BF343" s="88">
        <v>27</v>
      </c>
      <c r="BG343" s="98">
        <v>0</v>
      </c>
      <c r="BH343" s="98">
        <v>197</v>
      </c>
      <c r="BI343" s="98"/>
      <c r="BJ343" s="98"/>
      <c r="BK343" s="98"/>
      <c r="BL343" s="97"/>
    </row>
    <row r="344" spans="1:64" outlineLevel="5" x14ac:dyDescent="0.3">
      <c r="A344" s="152">
        <f t="shared" si="91"/>
        <v>10</v>
      </c>
      <c r="B344" s="153">
        <f t="shared" si="81"/>
        <v>44122</v>
      </c>
      <c r="C344" s="138">
        <f>IFERROR(ROUND(AVERAGE(D344:K344),1),"")</f>
        <v>38</v>
      </c>
      <c r="D344" s="84">
        <v>38</v>
      </c>
      <c r="E344" s="84">
        <v>38</v>
      </c>
      <c r="F344" s="84"/>
      <c r="G344" s="84"/>
      <c r="H344" s="84"/>
      <c r="I344" s="84"/>
      <c r="J344" s="84"/>
      <c r="K344" s="84"/>
      <c r="L344" s="140" t="str">
        <f>IFERROR(ROUND(AVERAGE(M344:T344),1),"")</f>
        <v/>
      </c>
      <c r="M344" s="86"/>
      <c r="N344" s="86"/>
      <c r="O344" s="86"/>
      <c r="P344" s="86"/>
      <c r="Q344" s="86"/>
      <c r="R344" s="86"/>
      <c r="S344" s="86"/>
      <c r="T344" s="86"/>
      <c r="U344" s="142" t="str">
        <f>IFERROR(ROUND(AVERAGE(V344:AC344),1),"")</f>
        <v/>
      </c>
      <c r="V344" s="88"/>
      <c r="W344" s="88"/>
      <c r="X344" s="88"/>
      <c r="Y344" s="88"/>
      <c r="Z344" s="88"/>
      <c r="AA344" s="88"/>
      <c r="AB344" s="88"/>
      <c r="AC344" s="88"/>
      <c r="AD344" s="142" t="str">
        <f>IFERROR(ROUND(AVERAGE(AE344:AL344),1),"")</f>
        <v/>
      </c>
      <c r="AE344" s="88"/>
      <c r="AF344" s="88"/>
      <c r="AG344" s="88"/>
      <c r="AH344" s="88"/>
      <c r="AI344" s="88"/>
      <c r="AJ344" s="88"/>
      <c r="AK344" s="88"/>
      <c r="AL344" s="88"/>
      <c r="AM344" s="88">
        <v>50.752688172043008</v>
      </c>
      <c r="AN344" s="88">
        <v>93</v>
      </c>
      <c r="AO344" s="89" t="s">
        <v>56</v>
      </c>
      <c r="AP344" s="90" t="s">
        <v>56</v>
      </c>
      <c r="AQ344" s="146" t="str">
        <f t="shared" si="98"/>
        <v/>
      </c>
      <c r="AR344" s="146" t="str">
        <f t="shared" si="99"/>
        <v/>
      </c>
      <c r="AS344" s="147">
        <v>0</v>
      </c>
      <c r="AT344" s="148" t="s">
        <v>56</v>
      </c>
      <c r="AU344" s="149" t="s">
        <v>56</v>
      </c>
      <c r="AV344" s="146" t="str">
        <f t="shared" si="100"/>
        <v/>
      </c>
      <c r="AW344" s="146" t="str">
        <f t="shared" si="101"/>
        <v/>
      </c>
      <c r="AX344" s="138" t="str">
        <f>IFERROR((1-((AV344*AR344)/(AW344*AQ344)))*100,"")</f>
        <v/>
      </c>
      <c r="AY344" s="95" t="s">
        <v>56</v>
      </c>
      <c r="AZ344" s="96">
        <v>62</v>
      </c>
      <c r="BA344" s="96"/>
      <c r="BB344" s="96">
        <v>80.5</v>
      </c>
      <c r="BC344" s="96"/>
      <c r="BD344" s="97">
        <v>93</v>
      </c>
      <c r="BE344" s="142">
        <f t="shared" si="102"/>
        <v>2459</v>
      </c>
      <c r="BF344" s="88">
        <v>50</v>
      </c>
      <c r="BG344" s="98">
        <v>0</v>
      </c>
      <c r="BH344" s="98">
        <v>2409</v>
      </c>
      <c r="BI344" s="98"/>
      <c r="BJ344" s="98"/>
      <c r="BK344" s="98"/>
      <c r="BL344" s="97"/>
    </row>
    <row r="345" spans="1:64" outlineLevel="5" x14ac:dyDescent="0.3">
      <c r="A345" s="152">
        <f t="shared" si="91"/>
        <v>10</v>
      </c>
      <c r="B345" s="153">
        <f t="shared" si="81"/>
        <v>44123</v>
      </c>
      <c r="C345" s="138">
        <f>IFERROR(ROUND(AVERAGE(D345:K345),1),"")</f>
        <v>39</v>
      </c>
      <c r="D345" s="84">
        <v>39</v>
      </c>
      <c r="E345" s="84">
        <v>39</v>
      </c>
      <c r="F345" s="84"/>
      <c r="G345" s="84"/>
      <c r="H345" s="84"/>
      <c r="I345" s="84"/>
      <c r="J345" s="84"/>
      <c r="K345" s="84"/>
      <c r="L345" s="140">
        <f>IFERROR(ROUND(AVERAGE(M345:T345),1),"")</f>
        <v>7.8</v>
      </c>
      <c r="M345" s="86">
        <v>7.81</v>
      </c>
      <c r="N345" s="86">
        <v>7.72</v>
      </c>
      <c r="O345" s="86"/>
      <c r="P345" s="86"/>
      <c r="Q345" s="86"/>
      <c r="R345" s="86"/>
      <c r="S345" s="86"/>
      <c r="T345" s="86"/>
      <c r="U345" s="142">
        <f>IFERROR(ROUND(AVERAGE(V345:AC345),1),"")</f>
        <v>1178.5999999999999</v>
      </c>
      <c r="V345" s="88">
        <v>1297.5</v>
      </c>
      <c r="W345" s="88">
        <v>1059.5999999999999</v>
      </c>
      <c r="X345" s="88"/>
      <c r="Y345" s="88"/>
      <c r="Z345" s="88"/>
      <c r="AA345" s="88"/>
      <c r="AB345" s="88"/>
      <c r="AC345" s="88"/>
      <c r="AD345" s="142" t="str">
        <f>IFERROR(ROUND(AVERAGE(AE345:AL345),1),"")</f>
        <v/>
      </c>
      <c r="AE345" s="88"/>
      <c r="AF345" s="88"/>
      <c r="AG345" s="88"/>
      <c r="AH345" s="88"/>
      <c r="AI345" s="88"/>
      <c r="AJ345" s="88"/>
      <c r="AK345" s="88"/>
      <c r="AL345" s="88"/>
      <c r="AM345" s="88">
        <v>39.834585197063042</v>
      </c>
      <c r="AN345" s="88">
        <v>118.49000000000001</v>
      </c>
      <c r="AO345" s="89" t="s">
        <v>56</v>
      </c>
      <c r="AP345" s="90" t="s">
        <v>56</v>
      </c>
      <c r="AQ345" s="146" t="str">
        <f t="shared" si="98"/>
        <v/>
      </c>
      <c r="AR345" s="146" t="str">
        <f t="shared" si="99"/>
        <v/>
      </c>
      <c r="AS345" s="147">
        <v>40</v>
      </c>
      <c r="AT345" s="148">
        <v>15.9</v>
      </c>
      <c r="AU345" s="149">
        <v>9.1999999999999993</v>
      </c>
      <c r="AV345" s="146">
        <f t="shared" si="100"/>
        <v>57.861635220125784</v>
      </c>
      <c r="AW345" s="146">
        <f t="shared" si="101"/>
        <v>42.138364779874216</v>
      </c>
      <c r="AX345" s="138" t="str">
        <f>IFERROR((1-((AV345*AR345)/(AW345*AQ345)))*100,"")</f>
        <v/>
      </c>
      <c r="AY345" s="95">
        <v>76.7</v>
      </c>
      <c r="AZ345" s="96">
        <v>61.045000000000002</v>
      </c>
      <c r="BA345" s="96"/>
      <c r="BB345" s="96">
        <v>87.5</v>
      </c>
      <c r="BC345" s="96"/>
      <c r="BD345" s="97">
        <v>118.49000000000001</v>
      </c>
      <c r="BE345" s="142">
        <f t="shared" si="102"/>
        <v>2590</v>
      </c>
      <c r="BF345" s="88">
        <v>0</v>
      </c>
      <c r="BG345" s="98">
        <v>0</v>
      </c>
      <c r="BH345" s="98">
        <v>2590</v>
      </c>
      <c r="BI345" s="98"/>
      <c r="BJ345" s="98"/>
      <c r="BK345" s="98"/>
      <c r="BL345" s="97"/>
    </row>
    <row r="346" spans="1:64" outlineLevel="5" x14ac:dyDescent="0.3">
      <c r="A346" s="152">
        <f t="shared" si="91"/>
        <v>10</v>
      </c>
      <c r="B346" s="153">
        <f t="shared" si="81"/>
        <v>44124</v>
      </c>
      <c r="C346" s="138">
        <f>IFERROR(ROUND(AVERAGE(D346:K346),1),"")</f>
        <v>38</v>
      </c>
      <c r="D346" s="84">
        <v>38</v>
      </c>
      <c r="E346" s="84">
        <v>38</v>
      </c>
      <c r="F346" s="84"/>
      <c r="G346" s="84"/>
      <c r="H346" s="84"/>
      <c r="I346" s="84"/>
      <c r="J346" s="84"/>
      <c r="K346" s="84"/>
      <c r="L346" s="140" t="str">
        <f>IFERROR(ROUND(AVERAGE(M346:T346),1),"")</f>
        <v/>
      </c>
      <c r="M346" s="86"/>
      <c r="N346" s="86"/>
      <c r="O346" s="86"/>
      <c r="P346" s="86"/>
      <c r="Q346" s="86"/>
      <c r="R346" s="86"/>
      <c r="S346" s="86"/>
      <c r="T346" s="86"/>
      <c r="U346" s="142" t="str">
        <f>IFERROR(ROUND(AVERAGE(V346:AC346),1),"")</f>
        <v/>
      </c>
      <c r="V346" s="88"/>
      <c r="W346" s="88"/>
      <c r="X346" s="88"/>
      <c r="Y346" s="88"/>
      <c r="Z346" s="88"/>
      <c r="AA346" s="88"/>
      <c r="AB346" s="88"/>
      <c r="AC346" s="88"/>
      <c r="AD346" s="142" t="str">
        <f>IFERROR(ROUND(AVERAGE(AE346:AL346),1),"")</f>
        <v/>
      </c>
      <c r="AE346" s="88"/>
      <c r="AF346" s="88"/>
      <c r="AG346" s="88"/>
      <c r="AH346" s="88"/>
      <c r="AI346" s="88"/>
      <c r="AJ346" s="88"/>
      <c r="AK346" s="88"/>
      <c r="AL346" s="88"/>
      <c r="AM346" s="88">
        <v>39.166874118330433</v>
      </c>
      <c r="AN346" s="88">
        <v>120.50999999999999</v>
      </c>
      <c r="AO346" s="89" t="s">
        <v>56</v>
      </c>
      <c r="AP346" s="90"/>
      <c r="AQ346" s="146" t="str">
        <f t="shared" si="98"/>
        <v/>
      </c>
      <c r="AR346" s="146" t="str">
        <f t="shared" si="99"/>
        <v/>
      </c>
      <c r="AS346" s="147">
        <v>30</v>
      </c>
      <c r="AT346" s="148" t="s">
        <v>56</v>
      </c>
      <c r="AU346" s="149" t="s">
        <v>56</v>
      </c>
      <c r="AV346" s="146" t="str">
        <f t="shared" si="100"/>
        <v/>
      </c>
      <c r="AW346" s="146" t="str">
        <f t="shared" si="101"/>
        <v/>
      </c>
      <c r="AX346" s="138" t="str">
        <f>IFERROR((1-((AV346*AR346)/(AW346*AQ346)))*100,"")</f>
        <v/>
      </c>
      <c r="AY346" s="95" t="s">
        <v>56</v>
      </c>
      <c r="AZ346" s="96">
        <v>59.66</v>
      </c>
      <c r="BA346" s="96"/>
      <c r="BB346" s="96">
        <v>104.5</v>
      </c>
      <c r="BC346" s="96"/>
      <c r="BD346" s="97">
        <v>120.50999999999999</v>
      </c>
      <c r="BE346" s="142">
        <f t="shared" si="102"/>
        <v>2804</v>
      </c>
      <c r="BF346" s="88">
        <v>0</v>
      </c>
      <c r="BG346" s="98">
        <v>0</v>
      </c>
      <c r="BH346" s="98">
        <v>2804</v>
      </c>
      <c r="BI346" s="98"/>
      <c r="BJ346" s="98"/>
      <c r="BK346" s="98"/>
      <c r="BL346" s="97"/>
    </row>
    <row r="347" spans="1:64" outlineLevel="5" x14ac:dyDescent="0.3">
      <c r="A347" s="152">
        <f t="shared" si="91"/>
        <v>10</v>
      </c>
      <c r="B347" s="153">
        <f t="shared" si="81"/>
        <v>44125</v>
      </c>
      <c r="C347" s="138">
        <f>IFERROR(ROUND(AVERAGE(D347:K347),1),"")</f>
        <v>37</v>
      </c>
      <c r="D347" s="84">
        <v>37</v>
      </c>
      <c r="E347" s="84">
        <v>37</v>
      </c>
      <c r="F347" s="84"/>
      <c r="G347" s="84"/>
      <c r="H347" s="84"/>
      <c r="I347" s="84"/>
      <c r="J347" s="84"/>
      <c r="K347" s="84"/>
      <c r="L347" s="140">
        <f>IFERROR(ROUND(AVERAGE(M347:T347),1),"")</f>
        <v>7.8</v>
      </c>
      <c r="M347" s="86">
        <v>7.83</v>
      </c>
      <c r="N347" s="86">
        <v>7.73</v>
      </c>
      <c r="O347" s="86"/>
      <c r="P347" s="86"/>
      <c r="Q347" s="86"/>
      <c r="R347" s="86"/>
      <c r="S347" s="86"/>
      <c r="T347" s="86"/>
      <c r="U347" s="142">
        <f>IFERROR(ROUND(AVERAGE(V347:AC347),1),"")</f>
        <v>1232.7</v>
      </c>
      <c r="V347" s="88">
        <v>1340.8</v>
      </c>
      <c r="W347" s="88">
        <v>1124.5</v>
      </c>
      <c r="X347" s="88"/>
      <c r="Y347" s="88"/>
      <c r="Z347" s="88"/>
      <c r="AA347" s="88"/>
      <c r="AB347" s="88"/>
      <c r="AC347" s="88"/>
      <c r="AD347" s="142" t="str">
        <f>IFERROR(ROUND(AVERAGE(AE347:AL347),1),"")</f>
        <v/>
      </c>
      <c r="AE347" s="88"/>
      <c r="AF347" s="88"/>
      <c r="AG347" s="88"/>
      <c r="AH347" s="88"/>
      <c r="AI347" s="88"/>
      <c r="AJ347" s="88"/>
      <c r="AK347" s="88"/>
      <c r="AL347" s="88"/>
      <c r="AM347" s="88">
        <v>42.823444021048815</v>
      </c>
      <c r="AN347" s="88">
        <v>110.22</v>
      </c>
      <c r="AO347" s="89"/>
      <c r="AP347" s="90"/>
      <c r="AQ347" s="146" t="str">
        <f t="shared" si="98"/>
        <v/>
      </c>
      <c r="AR347" s="146" t="str">
        <f t="shared" si="99"/>
        <v/>
      </c>
      <c r="AS347" s="147">
        <v>30</v>
      </c>
      <c r="AT347" s="148">
        <v>16.200000000000003</v>
      </c>
      <c r="AU347" s="149">
        <v>9.4499999999999993</v>
      </c>
      <c r="AV347" s="146">
        <f t="shared" si="100"/>
        <v>58.333333333333314</v>
      </c>
      <c r="AW347" s="146">
        <f t="shared" si="101"/>
        <v>41.666666666666686</v>
      </c>
      <c r="AX347" s="138" t="str">
        <f>IFERROR((1-((AV347*AR347)/(AW347*AQ347)))*100,"")</f>
        <v/>
      </c>
      <c r="AY347" s="95">
        <v>76</v>
      </c>
      <c r="AZ347" s="96">
        <v>62.1</v>
      </c>
      <c r="BA347" s="96"/>
      <c r="BB347" s="96">
        <v>112.5</v>
      </c>
      <c r="BC347" s="96"/>
      <c r="BD347" s="97">
        <v>110.22</v>
      </c>
      <c r="BE347" s="142">
        <f t="shared" si="102"/>
        <v>2731</v>
      </c>
      <c r="BF347" s="88">
        <v>0</v>
      </c>
      <c r="BG347" s="98">
        <v>0</v>
      </c>
      <c r="BH347" s="98">
        <v>2731</v>
      </c>
      <c r="BI347" s="98"/>
      <c r="BJ347" s="98"/>
      <c r="BK347" s="98"/>
      <c r="BL347" s="97"/>
    </row>
    <row r="348" spans="1:64" outlineLevel="5" x14ac:dyDescent="0.3">
      <c r="A348" s="152">
        <f t="shared" si="91"/>
        <v>10</v>
      </c>
      <c r="B348" s="153">
        <f t="shared" si="81"/>
        <v>44126</v>
      </c>
      <c r="C348" s="138">
        <f>IFERROR(ROUND(AVERAGE(D348:K348),1),"")</f>
        <v>37</v>
      </c>
      <c r="D348" s="84">
        <v>37</v>
      </c>
      <c r="E348" s="84">
        <v>37</v>
      </c>
      <c r="F348" s="84"/>
      <c r="G348" s="84"/>
      <c r="H348" s="84"/>
      <c r="I348" s="84"/>
      <c r="J348" s="84"/>
      <c r="K348" s="84"/>
      <c r="L348" s="140" t="str">
        <f>IFERROR(ROUND(AVERAGE(M348:T348),1),"")</f>
        <v/>
      </c>
      <c r="M348" s="86"/>
      <c r="N348" s="86"/>
      <c r="O348" s="86"/>
      <c r="P348" s="86"/>
      <c r="Q348" s="86"/>
      <c r="R348" s="86"/>
      <c r="S348" s="86"/>
      <c r="T348" s="86"/>
      <c r="U348" s="142" t="str">
        <f>IFERROR(ROUND(AVERAGE(V348:AC348),1),"")</f>
        <v/>
      </c>
      <c r="V348" s="88"/>
      <c r="W348" s="88"/>
      <c r="X348" s="88"/>
      <c r="Y348" s="88"/>
      <c r="Z348" s="88"/>
      <c r="AA348" s="88"/>
      <c r="AB348" s="88"/>
      <c r="AC348" s="88"/>
      <c r="AD348" s="142" t="str">
        <f>IFERROR(ROUND(AVERAGE(AE348:AL348),1),"")</f>
        <v/>
      </c>
      <c r="AE348" s="88"/>
      <c r="AF348" s="88"/>
      <c r="AG348" s="88"/>
      <c r="AH348" s="88"/>
      <c r="AI348" s="88"/>
      <c r="AJ348" s="88"/>
      <c r="AK348" s="88"/>
      <c r="AL348" s="88"/>
      <c r="AM348" s="88">
        <v>42.769119246103664</v>
      </c>
      <c r="AN348" s="88">
        <v>110.36</v>
      </c>
      <c r="AO348" s="89"/>
      <c r="AP348" s="90"/>
      <c r="AQ348" s="146" t="str">
        <f t="shared" si="98"/>
        <v/>
      </c>
      <c r="AR348" s="146" t="str">
        <f t="shared" si="99"/>
        <v/>
      </c>
      <c r="AS348" s="147">
        <v>30</v>
      </c>
      <c r="AT348" s="148" t="s">
        <v>56</v>
      </c>
      <c r="AU348" s="149" t="s">
        <v>56</v>
      </c>
      <c r="AV348" s="146" t="str">
        <f t="shared" si="100"/>
        <v/>
      </c>
      <c r="AW348" s="146" t="str">
        <f t="shared" si="101"/>
        <v/>
      </c>
      <c r="AX348" s="138" t="str">
        <f>IFERROR((1-((AV348*AR348)/(AW348*AQ348)))*100,"")</f>
        <v/>
      </c>
      <c r="AY348" s="95" t="s">
        <v>56</v>
      </c>
      <c r="AZ348" s="96">
        <v>60.935000000000002</v>
      </c>
      <c r="BA348" s="96"/>
      <c r="BB348" s="96">
        <v>107.5</v>
      </c>
      <c r="BC348" s="96"/>
      <c r="BD348" s="97">
        <v>110.36</v>
      </c>
      <c r="BE348" s="142">
        <f t="shared" si="102"/>
        <v>3904</v>
      </c>
      <c r="BF348" s="88">
        <v>0</v>
      </c>
      <c r="BG348" s="98">
        <v>0</v>
      </c>
      <c r="BH348" s="98">
        <v>3904</v>
      </c>
      <c r="BI348" s="98"/>
      <c r="BJ348" s="98"/>
      <c r="BK348" s="98"/>
      <c r="BL348" s="97"/>
    </row>
    <row r="349" spans="1:64" outlineLevel="5" x14ac:dyDescent="0.3">
      <c r="A349" s="152">
        <f t="shared" si="91"/>
        <v>10</v>
      </c>
      <c r="B349" s="153">
        <f t="shared" si="81"/>
        <v>44127</v>
      </c>
      <c r="C349" s="138">
        <f>IFERROR(ROUND(AVERAGE(D349:K349),1),"")</f>
        <v>37</v>
      </c>
      <c r="D349" s="84">
        <v>37</v>
      </c>
      <c r="E349" s="84">
        <v>37</v>
      </c>
      <c r="F349" s="84"/>
      <c r="G349" s="84"/>
      <c r="H349" s="84"/>
      <c r="I349" s="84"/>
      <c r="J349" s="84"/>
      <c r="K349" s="84"/>
      <c r="L349" s="140" t="str">
        <f>IFERROR(ROUND(AVERAGE(M349:T349),1),"")</f>
        <v/>
      </c>
      <c r="M349" s="86"/>
      <c r="N349" s="86"/>
      <c r="O349" s="86"/>
      <c r="P349" s="86"/>
      <c r="Q349" s="86"/>
      <c r="R349" s="86"/>
      <c r="S349" s="86"/>
      <c r="T349" s="86"/>
      <c r="U349" s="142" t="str">
        <f>IFERROR(ROUND(AVERAGE(V349:AC349),1),"")</f>
        <v/>
      </c>
      <c r="V349" s="88"/>
      <c r="W349" s="88"/>
      <c r="X349" s="88"/>
      <c r="Y349" s="88"/>
      <c r="Z349" s="88"/>
      <c r="AA349" s="88"/>
      <c r="AB349" s="88"/>
      <c r="AC349" s="88"/>
      <c r="AD349" s="142" t="str">
        <f>IFERROR(ROUND(AVERAGE(AE349:AL349),1),"")</f>
        <v/>
      </c>
      <c r="AE349" s="88"/>
      <c r="AF349" s="88"/>
      <c r="AG349" s="88"/>
      <c r="AH349" s="88"/>
      <c r="AI349" s="88"/>
      <c r="AJ349" s="88"/>
      <c r="AK349" s="88"/>
      <c r="AL349" s="88"/>
      <c r="AM349" s="88">
        <v>40.833982178389135</v>
      </c>
      <c r="AN349" s="88">
        <v>115.59</v>
      </c>
      <c r="AO349" s="89">
        <v>19.899999999999999</v>
      </c>
      <c r="AP349" s="90">
        <v>17.691099999999999</v>
      </c>
      <c r="AQ349" s="146">
        <f t="shared" si="98"/>
        <v>88.9</v>
      </c>
      <c r="AR349" s="146">
        <f t="shared" si="99"/>
        <v>11.099999999999994</v>
      </c>
      <c r="AS349" s="147">
        <v>30</v>
      </c>
      <c r="AT349" s="148" t="s">
        <v>56</v>
      </c>
      <c r="AU349" s="149" t="s">
        <v>56</v>
      </c>
      <c r="AV349" s="146" t="str">
        <f t="shared" si="100"/>
        <v/>
      </c>
      <c r="AW349" s="146" t="str">
        <f t="shared" si="101"/>
        <v/>
      </c>
      <c r="AX349" s="138" t="str">
        <f>IFERROR((1-((AV349*AR349)/(AW349*AQ349)))*100,"")</f>
        <v/>
      </c>
      <c r="AY349" s="95" t="s">
        <v>56</v>
      </c>
      <c r="AZ349" s="96">
        <v>60.204999999999998</v>
      </c>
      <c r="BA349" s="96"/>
      <c r="BB349" s="96">
        <v>49</v>
      </c>
      <c r="BC349" s="96"/>
      <c r="BD349" s="97">
        <v>115.59</v>
      </c>
      <c r="BE349" s="142">
        <f t="shared" si="102"/>
        <v>2847</v>
      </c>
      <c r="BF349" s="88">
        <v>96</v>
      </c>
      <c r="BG349" s="98">
        <v>0</v>
      </c>
      <c r="BH349" s="98">
        <v>2751</v>
      </c>
      <c r="BI349" s="98"/>
      <c r="BJ349" s="98"/>
      <c r="BK349" s="98"/>
      <c r="BL349" s="97"/>
    </row>
    <row r="350" spans="1:64" outlineLevel="5" x14ac:dyDescent="0.3">
      <c r="A350" s="152">
        <f t="shared" si="91"/>
        <v>10</v>
      </c>
      <c r="B350" s="153">
        <f t="shared" si="81"/>
        <v>44128</v>
      </c>
      <c r="C350" s="138">
        <f>IFERROR(ROUND(AVERAGE(D350:K350),1),"")</f>
        <v>38</v>
      </c>
      <c r="D350" s="84">
        <v>38</v>
      </c>
      <c r="E350" s="84">
        <v>38</v>
      </c>
      <c r="F350" s="84"/>
      <c r="G350" s="84"/>
      <c r="H350" s="84"/>
      <c r="I350" s="84"/>
      <c r="J350" s="84"/>
      <c r="K350" s="84"/>
      <c r="L350" s="140" t="str">
        <f>IFERROR(ROUND(AVERAGE(M350:T350),1),"")</f>
        <v/>
      </c>
      <c r="M350" s="86"/>
      <c r="N350" s="86"/>
      <c r="O350" s="86"/>
      <c r="P350" s="86"/>
      <c r="Q350" s="86"/>
      <c r="R350" s="86"/>
      <c r="S350" s="86"/>
      <c r="T350" s="86"/>
      <c r="U350" s="142" t="str">
        <f>IFERROR(ROUND(AVERAGE(V350:AC350),1),"")</f>
        <v/>
      </c>
      <c r="V350" s="88"/>
      <c r="W350" s="88"/>
      <c r="X350" s="88"/>
      <c r="Y350" s="88"/>
      <c r="Z350" s="88"/>
      <c r="AA350" s="88"/>
      <c r="AB350" s="88"/>
      <c r="AC350" s="88"/>
      <c r="AD350" s="142" t="str">
        <f>IFERROR(ROUND(AVERAGE(AE350:AL350),1),"")</f>
        <v/>
      </c>
      <c r="AE350" s="88"/>
      <c r="AF350" s="88"/>
      <c r="AG350" s="88"/>
      <c r="AH350" s="88"/>
      <c r="AI350" s="88"/>
      <c r="AJ350" s="88"/>
      <c r="AK350" s="88"/>
      <c r="AL350" s="88"/>
      <c r="AM350" s="88">
        <v>47.566260203567474</v>
      </c>
      <c r="AN350" s="88">
        <v>99.22999999999999</v>
      </c>
      <c r="AO350" s="89" t="s">
        <v>56</v>
      </c>
      <c r="AP350" s="90" t="s">
        <v>56</v>
      </c>
      <c r="AQ350" s="146" t="str">
        <f t="shared" si="98"/>
        <v/>
      </c>
      <c r="AR350" s="146" t="str">
        <f t="shared" si="99"/>
        <v/>
      </c>
      <c r="AS350" s="147">
        <v>0</v>
      </c>
      <c r="AT350" s="148" t="s">
        <v>56</v>
      </c>
      <c r="AU350" s="149" t="s">
        <v>56</v>
      </c>
      <c r="AV350" s="146" t="str">
        <f t="shared" si="100"/>
        <v/>
      </c>
      <c r="AW350" s="146" t="str">
        <f t="shared" si="101"/>
        <v/>
      </c>
      <c r="AX350" s="138" t="str">
        <f>IFERROR((1-((AV350*AR350)/(AW350*AQ350)))*100,"")</f>
        <v/>
      </c>
      <c r="AY350" s="95" t="s">
        <v>56</v>
      </c>
      <c r="AZ350" s="96">
        <v>62.95</v>
      </c>
      <c r="BA350" s="96"/>
      <c r="BB350" s="96">
        <v>71.5</v>
      </c>
      <c r="BC350" s="96"/>
      <c r="BD350" s="97">
        <v>99.22999999999999</v>
      </c>
      <c r="BE350" s="142">
        <f t="shared" si="102"/>
        <v>2970</v>
      </c>
      <c r="BF350" s="88">
        <v>98</v>
      </c>
      <c r="BG350" s="98">
        <v>0</v>
      </c>
      <c r="BH350" s="98">
        <v>2872</v>
      </c>
      <c r="BI350" s="98"/>
      <c r="BJ350" s="98"/>
      <c r="BK350" s="98"/>
      <c r="BL350" s="97"/>
    </row>
    <row r="351" spans="1:64" outlineLevel="5" x14ac:dyDescent="0.3">
      <c r="A351" s="152">
        <f t="shared" si="91"/>
        <v>10</v>
      </c>
      <c r="B351" s="153">
        <f t="shared" si="81"/>
        <v>44129</v>
      </c>
      <c r="C351" s="138">
        <f>IFERROR(ROUND(AVERAGE(D351:K351),1),"")</f>
        <v>39</v>
      </c>
      <c r="D351" s="84">
        <v>39</v>
      </c>
      <c r="E351" s="84">
        <v>39</v>
      </c>
      <c r="F351" s="84"/>
      <c r="G351" s="84"/>
      <c r="H351" s="84"/>
      <c r="I351" s="84"/>
      <c r="J351" s="84"/>
      <c r="K351" s="84"/>
      <c r="L351" s="140" t="str">
        <f>IFERROR(ROUND(AVERAGE(M351:T351),1),"")</f>
        <v/>
      </c>
      <c r="M351" s="86"/>
      <c r="N351" s="86"/>
      <c r="O351" s="86"/>
      <c r="P351" s="86"/>
      <c r="Q351" s="86"/>
      <c r="R351" s="86"/>
      <c r="S351" s="86"/>
      <c r="T351" s="86"/>
      <c r="U351" s="142" t="str">
        <f>IFERROR(ROUND(AVERAGE(V351:AC351),1),"")</f>
        <v/>
      </c>
      <c r="V351" s="88"/>
      <c r="W351" s="88"/>
      <c r="X351" s="88"/>
      <c r="Y351" s="88"/>
      <c r="Z351" s="88"/>
      <c r="AA351" s="88"/>
      <c r="AB351" s="88"/>
      <c r="AC351" s="88"/>
      <c r="AD351" s="142" t="str">
        <f>IFERROR(ROUND(AVERAGE(AE351:AL351),1),"")</f>
        <v/>
      </c>
      <c r="AE351" s="88"/>
      <c r="AF351" s="88"/>
      <c r="AG351" s="88"/>
      <c r="AH351" s="88"/>
      <c r="AI351" s="88"/>
      <c r="AJ351" s="88"/>
      <c r="AK351" s="88"/>
      <c r="AL351" s="88"/>
      <c r="AM351" s="88">
        <v>59</v>
      </c>
      <c r="AN351" s="88">
        <v>80</v>
      </c>
      <c r="AO351" s="89" t="s">
        <v>56</v>
      </c>
      <c r="AP351" s="90" t="s">
        <v>56</v>
      </c>
      <c r="AQ351" s="146" t="str">
        <f t="shared" si="98"/>
        <v/>
      </c>
      <c r="AR351" s="146" t="str">
        <f t="shared" si="99"/>
        <v/>
      </c>
      <c r="AS351" s="147">
        <v>0</v>
      </c>
      <c r="AT351" s="148" t="s">
        <v>56</v>
      </c>
      <c r="AU351" s="149" t="s">
        <v>56</v>
      </c>
      <c r="AV351" s="146" t="str">
        <f t="shared" si="100"/>
        <v/>
      </c>
      <c r="AW351" s="146" t="str">
        <f t="shared" si="101"/>
        <v/>
      </c>
      <c r="AX351" s="138" t="str">
        <f>IFERROR((1-((AV351*AR351)/(AW351*AQ351)))*100,"")</f>
        <v/>
      </c>
      <c r="AY351" s="95" t="s">
        <v>56</v>
      </c>
      <c r="AZ351" s="96">
        <v>61.930000000000007</v>
      </c>
      <c r="BA351" s="96"/>
      <c r="BB351" s="96">
        <v>74.5</v>
      </c>
      <c r="BC351" s="96"/>
      <c r="BD351" s="97">
        <v>80</v>
      </c>
      <c r="BE351" s="142">
        <f t="shared" si="102"/>
        <v>2382</v>
      </c>
      <c r="BF351" s="88">
        <v>49</v>
      </c>
      <c r="BG351" s="98">
        <v>0</v>
      </c>
      <c r="BH351" s="98">
        <v>2333</v>
      </c>
      <c r="BI351" s="98"/>
      <c r="BJ351" s="98"/>
      <c r="BK351" s="98"/>
      <c r="BL351" s="97"/>
    </row>
    <row r="352" spans="1:64" outlineLevel="5" x14ac:dyDescent="0.3">
      <c r="A352" s="152">
        <f t="shared" si="91"/>
        <v>10</v>
      </c>
      <c r="B352" s="153">
        <f t="shared" ref="B352:B415" si="103">B351+1</f>
        <v>44130</v>
      </c>
      <c r="C352" s="138">
        <f>IFERROR(ROUND(AVERAGE(D352:K352),1),"")</f>
        <v>39</v>
      </c>
      <c r="D352" s="84">
        <v>39</v>
      </c>
      <c r="E352" s="84">
        <v>39</v>
      </c>
      <c r="F352" s="84"/>
      <c r="G352" s="84"/>
      <c r="H352" s="84"/>
      <c r="I352" s="84"/>
      <c r="J352" s="84"/>
      <c r="K352" s="84"/>
      <c r="L352" s="140">
        <f>IFERROR(ROUND(AVERAGE(M352:T352),1),"")</f>
        <v>7.8</v>
      </c>
      <c r="M352" s="86">
        <v>7.81</v>
      </c>
      <c r="N352" s="86">
        <v>7.74</v>
      </c>
      <c r="O352" s="86"/>
      <c r="P352" s="86"/>
      <c r="Q352" s="86"/>
      <c r="R352" s="86"/>
      <c r="S352" s="86"/>
      <c r="T352" s="86"/>
      <c r="U352" s="142">
        <f>IFERROR(ROUND(AVERAGE(V352:AC352),1),"")</f>
        <v>1189.4000000000001</v>
      </c>
      <c r="V352" s="88">
        <v>1384</v>
      </c>
      <c r="W352" s="88">
        <v>994.8</v>
      </c>
      <c r="X352" s="88"/>
      <c r="Y352" s="88"/>
      <c r="Z352" s="88"/>
      <c r="AA352" s="88"/>
      <c r="AB352" s="88"/>
      <c r="AC352" s="88"/>
      <c r="AD352" s="142" t="str">
        <f>IFERROR(ROUND(AVERAGE(AE352:AL352),1),"")</f>
        <v/>
      </c>
      <c r="AE352" s="88"/>
      <c r="AF352" s="88"/>
      <c r="AG352" s="88"/>
      <c r="AH352" s="88"/>
      <c r="AI352" s="88"/>
      <c r="AJ352" s="88"/>
      <c r="AK352" s="88"/>
      <c r="AL352" s="88"/>
      <c r="AM352" s="88">
        <v>32.433175290318147</v>
      </c>
      <c r="AN352" s="88">
        <v>145.53</v>
      </c>
      <c r="AO352" s="89" t="s">
        <v>56</v>
      </c>
      <c r="AP352" s="90" t="s">
        <v>56</v>
      </c>
      <c r="AQ352" s="146" t="str">
        <f t="shared" si="98"/>
        <v/>
      </c>
      <c r="AR352" s="146" t="str">
        <f t="shared" si="99"/>
        <v/>
      </c>
      <c r="AS352" s="147">
        <v>44</v>
      </c>
      <c r="AT352" s="148">
        <v>16.450000000000003</v>
      </c>
      <c r="AU352" s="149">
        <v>9.5</v>
      </c>
      <c r="AV352" s="146">
        <f t="shared" si="100"/>
        <v>57.750759878419444</v>
      </c>
      <c r="AW352" s="146">
        <f t="shared" si="101"/>
        <v>42.249240121580556</v>
      </c>
      <c r="AX352" s="138" t="str">
        <f>IFERROR((1-((AV352*AR352)/(AW352*AQ352)))*100,"")</f>
        <v/>
      </c>
      <c r="AY352" s="95">
        <v>76.099999999999994</v>
      </c>
      <c r="AZ352" s="96" t="s">
        <v>56</v>
      </c>
      <c r="BA352" s="96"/>
      <c r="BB352" s="96" t="s">
        <v>56</v>
      </c>
      <c r="BC352" s="96"/>
      <c r="BD352" s="97">
        <v>145.53</v>
      </c>
      <c r="BE352" s="142">
        <f t="shared" si="102"/>
        <v>2826</v>
      </c>
      <c r="BF352" s="88">
        <v>0</v>
      </c>
      <c r="BG352" s="98">
        <v>0</v>
      </c>
      <c r="BH352" s="98">
        <v>2826</v>
      </c>
      <c r="BI352" s="98"/>
      <c r="BJ352" s="98"/>
      <c r="BK352" s="98"/>
      <c r="BL352" s="97"/>
    </row>
    <row r="353" spans="1:64" outlineLevel="5" x14ac:dyDescent="0.3">
      <c r="A353" s="152">
        <f t="shared" si="91"/>
        <v>10</v>
      </c>
      <c r="B353" s="153">
        <f t="shared" si="103"/>
        <v>44131</v>
      </c>
      <c r="C353" s="138">
        <f>IFERROR(ROUND(AVERAGE(D353:K353),1),"")</f>
        <v>39</v>
      </c>
      <c r="D353" s="84">
        <v>39</v>
      </c>
      <c r="E353" s="84">
        <v>39</v>
      </c>
      <c r="F353" s="84"/>
      <c r="G353" s="84"/>
      <c r="H353" s="84"/>
      <c r="I353" s="84"/>
      <c r="J353" s="84"/>
      <c r="K353" s="84"/>
      <c r="L353" s="140" t="str">
        <f>IFERROR(ROUND(AVERAGE(M353:T353),1),"")</f>
        <v/>
      </c>
      <c r="M353" s="86"/>
      <c r="N353" s="86"/>
      <c r="O353" s="86"/>
      <c r="P353" s="86"/>
      <c r="Q353" s="86"/>
      <c r="R353" s="86"/>
      <c r="S353" s="86"/>
      <c r="T353" s="86"/>
      <c r="U353" s="142" t="str">
        <f>IFERROR(ROUND(AVERAGE(V353:AC353),1),"")</f>
        <v/>
      </c>
      <c r="V353" s="88"/>
      <c r="W353" s="88"/>
      <c r="X353" s="88"/>
      <c r="Y353" s="88"/>
      <c r="Z353" s="88"/>
      <c r="AA353" s="88"/>
      <c r="AB353" s="88"/>
      <c r="AC353" s="88"/>
      <c r="AD353" s="142" t="str">
        <f>IFERROR(ROUND(AVERAGE(AE353:AL353),1),"")</f>
        <v/>
      </c>
      <c r="AE353" s="88"/>
      <c r="AF353" s="88"/>
      <c r="AG353" s="88"/>
      <c r="AH353" s="88"/>
      <c r="AI353" s="88"/>
      <c r="AJ353" s="88"/>
      <c r="AK353" s="88"/>
      <c r="AL353" s="88"/>
      <c r="AM353" s="88">
        <v>45.150181748612965</v>
      </c>
      <c r="AN353" s="88">
        <v>104.54</v>
      </c>
      <c r="AO353" s="89" t="s">
        <v>56</v>
      </c>
      <c r="AP353" s="90"/>
      <c r="AQ353" s="146" t="str">
        <f t="shared" si="98"/>
        <v/>
      </c>
      <c r="AR353" s="146" t="str">
        <f t="shared" si="99"/>
        <v/>
      </c>
      <c r="AS353" s="147">
        <v>20</v>
      </c>
      <c r="AT353" s="148" t="s">
        <v>56</v>
      </c>
      <c r="AU353" s="149" t="s">
        <v>56</v>
      </c>
      <c r="AV353" s="146" t="str">
        <f t="shared" si="100"/>
        <v/>
      </c>
      <c r="AW353" s="146" t="str">
        <f t="shared" si="101"/>
        <v/>
      </c>
      <c r="AX353" s="138" t="str">
        <f>IFERROR((1-((AV353*AR353)/(AW353*AQ353)))*100,"")</f>
        <v/>
      </c>
      <c r="AY353" s="95" t="s">
        <v>56</v>
      </c>
      <c r="AZ353" s="96" t="s">
        <v>56</v>
      </c>
      <c r="BA353" s="96"/>
      <c r="BB353" s="96" t="s">
        <v>56</v>
      </c>
      <c r="BC353" s="96"/>
      <c r="BD353" s="97">
        <v>104.54</v>
      </c>
      <c r="BE353" s="142">
        <f t="shared" si="102"/>
        <v>4633</v>
      </c>
      <c r="BF353" s="88">
        <v>0</v>
      </c>
      <c r="BG353" s="98">
        <v>52</v>
      </c>
      <c r="BH353" s="98">
        <v>4581</v>
      </c>
      <c r="BI353" s="98"/>
      <c r="BJ353" s="98"/>
      <c r="BK353" s="98"/>
      <c r="BL353" s="97"/>
    </row>
    <row r="354" spans="1:64" outlineLevel="5" x14ac:dyDescent="0.3">
      <c r="A354" s="152">
        <f t="shared" si="91"/>
        <v>10</v>
      </c>
      <c r="B354" s="153">
        <f t="shared" si="103"/>
        <v>44132</v>
      </c>
      <c r="C354" s="138">
        <f>IFERROR(ROUND(AVERAGE(D354:K354),1),"")</f>
        <v>38</v>
      </c>
      <c r="D354" s="84">
        <v>38</v>
      </c>
      <c r="E354" s="84">
        <v>38</v>
      </c>
      <c r="F354" s="84"/>
      <c r="G354" s="84"/>
      <c r="H354" s="84"/>
      <c r="I354" s="84"/>
      <c r="J354" s="84"/>
      <c r="K354" s="84"/>
      <c r="L354" s="140" t="str">
        <f>IFERROR(ROUND(AVERAGE(M354:T354),1),"")</f>
        <v/>
      </c>
      <c r="M354" s="86"/>
      <c r="N354" s="86"/>
      <c r="O354" s="86"/>
      <c r="P354" s="86"/>
      <c r="Q354" s="86"/>
      <c r="R354" s="86"/>
      <c r="S354" s="86"/>
      <c r="T354" s="86"/>
      <c r="U354" s="142" t="str">
        <f>IFERROR(ROUND(AVERAGE(V354:AC354),1),"")</f>
        <v/>
      </c>
      <c r="V354" s="88"/>
      <c r="W354" s="88"/>
      <c r="X354" s="88"/>
      <c r="Y354" s="88"/>
      <c r="Z354" s="88"/>
      <c r="AA354" s="88"/>
      <c r="AB354" s="88"/>
      <c r="AC354" s="88"/>
      <c r="AD354" s="142" t="str">
        <f>IFERROR(ROUND(AVERAGE(AE354:AL354),1),"")</f>
        <v/>
      </c>
      <c r="AE354" s="88"/>
      <c r="AF354" s="88"/>
      <c r="AG354" s="88"/>
      <c r="AH354" s="88"/>
      <c r="AI354" s="88"/>
      <c r="AJ354" s="88"/>
      <c r="AK354" s="88"/>
      <c r="AL354" s="88"/>
      <c r="AM354" s="88">
        <v>40.290226205719165</v>
      </c>
      <c r="AN354" s="88">
        <v>117.15</v>
      </c>
      <c r="AO354" s="89"/>
      <c r="AP354" s="90"/>
      <c r="AQ354" s="146" t="str">
        <f t="shared" si="98"/>
        <v/>
      </c>
      <c r="AR354" s="146" t="str">
        <f t="shared" si="99"/>
        <v/>
      </c>
      <c r="AS354" s="147">
        <v>0</v>
      </c>
      <c r="AT354" s="148" t="s">
        <v>56</v>
      </c>
      <c r="AU354" s="149" t="s">
        <v>56</v>
      </c>
      <c r="AV354" s="146" t="str">
        <f t="shared" si="100"/>
        <v/>
      </c>
      <c r="AW354" s="146" t="str">
        <f t="shared" si="101"/>
        <v/>
      </c>
      <c r="AX354" s="138" t="str">
        <f>IFERROR((1-((AV354*AR354)/(AW354*AQ354)))*100,"")</f>
        <v/>
      </c>
      <c r="AY354" s="95" t="s">
        <v>56</v>
      </c>
      <c r="AZ354" s="96" t="s">
        <v>56</v>
      </c>
      <c r="BA354" s="96"/>
      <c r="BB354" s="96" t="s">
        <v>56</v>
      </c>
      <c r="BC354" s="96"/>
      <c r="BD354" s="97">
        <v>117.15</v>
      </c>
      <c r="BE354" s="142">
        <f t="shared" si="102"/>
        <v>3426</v>
      </c>
      <c r="BF354" s="88">
        <v>0</v>
      </c>
      <c r="BG354" s="98">
        <v>0</v>
      </c>
      <c r="BH354" s="98">
        <v>3426</v>
      </c>
      <c r="BI354" s="98"/>
      <c r="BJ354" s="98"/>
      <c r="BK354" s="98"/>
      <c r="BL354" s="97"/>
    </row>
    <row r="355" spans="1:64" outlineLevel="5" x14ac:dyDescent="0.3">
      <c r="A355" s="152">
        <f t="shared" si="91"/>
        <v>10</v>
      </c>
      <c r="B355" s="153">
        <f t="shared" si="103"/>
        <v>44133</v>
      </c>
      <c r="C355" s="138">
        <f>IFERROR(ROUND(AVERAGE(D355:K355),1),"")</f>
        <v>38</v>
      </c>
      <c r="D355" s="84">
        <v>38</v>
      </c>
      <c r="E355" s="84">
        <v>38</v>
      </c>
      <c r="F355" s="84"/>
      <c r="G355" s="84"/>
      <c r="H355" s="84"/>
      <c r="I355" s="84"/>
      <c r="J355" s="84"/>
      <c r="K355" s="84"/>
      <c r="L355" s="140" t="str">
        <f>IFERROR(ROUND(AVERAGE(M355:T355),1),"")</f>
        <v/>
      </c>
      <c r="M355" s="86"/>
      <c r="N355" s="86"/>
      <c r="O355" s="86"/>
      <c r="P355" s="86"/>
      <c r="Q355" s="86"/>
      <c r="R355" s="86"/>
      <c r="S355" s="86"/>
      <c r="T355" s="86"/>
      <c r="U355" s="142" t="str">
        <f>IFERROR(ROUND(AVERAGE(V355:AC355),1),"")</f>
        <v/>
      </c>
      <c r="V355" s="88"/>
      <c r="W355" s="88"/>
      <c r="X355" s="88"/>
      <c r="Y355" s="88"/>
      <c r="Z355" s="88"/>
      <c r="AA355" s="88"/>
      <c r="AB355" s="88"/>
      <c r="AC355" s="88"/>
      <c r="AD355" s="142" t="str">
        <f>IFERROR(ROUND(AVERAGE(AE355:AL355),1),"")</f>
        <v/>
      </c>
      <c r="AE355" s="88"/>
      <c r="AF355" s="88"/>
      <c r="AG355" s="88"/>
      <c r="AH355" s="88"/>
      <c r="AI355" s="88"/>
      <c r="AJ355" s="88"/>
      <c r="AK355" s="88"/>
      <c r="AL355" s="88"/>
      <c r="AM355" s="88">
        <v>40.567253975075204</v>
      </c>
      <c r="AN355" s="88">
        <v>116.35</v>
      </c>
      <c r="AO355" s="89"/>
      <c r="AP355" s="90"/>
      <c r="AQ355" s="146" t="str">
        <f t="shared" si="98"/>
        <v/>
      </c>
      <c r="AR355" s="146" t="str">
        <f t="shared" si="99"/>
        <v/>
      </c>
      <c r="AS355" s="147">
        <v>20</v>
      </c>
      <c r="AT355" s="148" t="s">
        <v>56</v>
      </c>
      <c r="AU355" s="149" t="s">
        <v>56</v>
      </c>
      <c r="AV355" s="146" t="str">
        <f t="shared" si="100"/>
        <v/>
      </c>
      <c r="AW355" s="146" t="str">
        <f t="shared" si="101"/>
        <v/>
      </c>
      <c r="AX355" s="138" t="str">
        <f>IFERROR((1-((AV355*AR355)/(AW355*AQ355)))*100,"")</f>
        <v/>
      </c>
      <c r="AY355" s="95" t="s">
        <v>56</v>
      </c>
      <c r="AZ355" s="96" t="s">
        <v>56</v>
      </c>
      <c r="BA355" s="96"/>
      <c r="BB355" s="96" t="s">
        <v>56</v>
      </c>
      <c r="BC355" s="96"/>
      <c r="BD355" s="97">
        <v>116.35</v>
      </c>
      <c r="BE355" s="142">
        <f t="shared" si="102"/>
        <v>3223</v>
      </c>
      <c r="BF355" s="88">
        <v>0</v>
      </c>
      <c r="BG355" s="98">
        <v>70</v>
      </c>
      <c r="BH355" s="98">
        <v>3153</v>
      </c>
      <c r="BI355" s="98"/>
      <c r="BJ355" s="98"/>
      <c r="BK355" s="98"/>
      <c r="BL355" s="97"/>
    </row>
    <row r="356" spans="1:64" outlineLevel="5" x14ac:dyDescent="0.3">
      <c r="A356" s="152">
        <f t="shared" si="91"/>
        <v>10</v>
      </c>
      <c r="B356" s="153">
        <f t="shared" si="103"/>
        <v>44134</v>
      </c>
      <c r="C356" s="138">
        <f>IFERROR(ROUND(AVERAGE(D356:K356),1),"")</f>
        <v>38</v>
      </c>
      <c r="D356" s="84">
        <v>38</v>
      </c>
      <c r="E356" s="84">
        <v>38</v>
      </c>
      <c r="F356" s="84"/>
      <c r="G356" s="84"/>
      <c r="H356" s="84"/>
      <c r="I356" s="84"/>
      <c r="J356" s="84"/>
      <c r="K356" s="84"/>
      <c r="L356" s="140" t="str">
        <f>IFERROR(ROUND(AVERAGE(M356:T356),1),"")</f>
        <v/>
      </c>
      <c r="M356" s="86"/>
      <c r="N356" s="86"/>
      <c r="O356" s="86"/>
      <c r="P356" s="86"/>
      <c r="Q356" s="86"/>
      <c r="R356" s="86"/>
      <c r="S356" s="86"/>
      <c r="T356" s="86"/>
      <c r="U356" s="142" t="str">
        <f>IFERROR(ROUND(AVERAGE(V356:AC356),1),"")</f>
        <v/>
      </c>
      <c r="V356" s="88"/>
      <c r="W356" s="88"/>
      <c r="X356" s="88"/>
      <c r="Y356" s="88"/>
      <c r="Z356" s="88"/>
      <c r="AA356" s="88"/>
      <c r="AB356" s="88"/>
      <c r="AC356" s="88"/>
      <c r="AD356" s="142" t="str">
        <f>IFERROR(ROUND(AVERAGE(AE356:AL356),1),"")</f>
        <v/>
      </c>
      <c r="AE356" s="88"/>
      <c r="AF356" s="88"/>
      <c r="AG356" s="88"/>
      <c r="AH356" s="88"/>
      <c r="AI356" s="88"/>
      <c r="AJ356" s="88"/>
      <c r="AK356" s="88"/>
      <c r="AL356" s="88"/>
      <c r="AM356" s="88">
        <v>44.469568494441305</v>
      </c>
      <c r="AN356" s="88">
        <v>106.14</v>
      </c>
      <c r="AO356" s="89"/>
      <c r="AP356" s="90"/>
      <c r="AQ356" s="146" t="str">
        <f t="shared" si="98"/>
        <v/>
      </c>
      <c r="AR356" s="146" t="str">
        <f t="shared" si="99"/>
        <v/>
      </c>
      <c r="AS356" s="147">
        <v>10</v>
      </c>
      <c r="AT356" s="148" t="s">
        <v>56</v>
      </c>
      <c r="AU356" s="149" t="s">
        <v>56</v>
      </c>
      <c r="AV356" s="146" t="str">
        <f t="shared" si="100"/>
        <v/>
      </c>
      <c r="AW356" s="146" t="str">
        <f t="shared" si="101"/>
        <v/>
      </c>
      <c r="AX356" s="138" t="str">
        <f>IFERROR((1-((AV356*AR356)/(AW356*AQ356)))*100,"")</f>
        <v/>
      </c>
      <c r="AY356" s="95" t="s">
        <v>56</v>
      </c>
      <c r="AZ356" s="96" t="s">
        <v>56</v>
      </c>
      <c r="BA356" s="96"/>
      <c r="BB356" s="96" t="s">
        <v>56</v>
      </c>
      <c r="BC356" s="96"/>
      <c r="BD356" s="97">
        <v>106.14</v>
      </c>
      <c r="BE356" s="142">
        <f t="shared" si="102"/>
        <v>4699</v>
      </c>
      <c r="BF356" s="88">
        <v>0</v>
      </c>
      <c r="BG356" s="98">
        <v>815</v>
      </c>
      <c r="BH356" s="98">
        <v>3884</v>
      </c>
      <c r="BI356" s="98"/>
      <c r="BJ356" s="98"/>
      <c r="BK356" s="98"/>
      <c r="BL356" s="97"/>
    </row>
    <row r="357" spans="1:64" ht="17.25" outlineLevel="5" thickBot="1" x14ac:dyDescent="0.35">
      <c r="A357" s="154">
        <f t="shared" si="91"/>
        <v>10</v>
      </c>
      <c r="B357" s="155">
        <f t="shared" si="103"/>
        <v>44135</v>
      </c>
      <c r="C357" s="138">
        <f>IFERROR(ROUND(AVERAGE(D357:K357),1),"")</f>
        <v>38</v>
      </c>
      <c r="D357" s="84">
        <v>38</v>
      </c>
      <c r="E357" s="84">
        <v>38</v>
      </c>
      <c r="F357" s="84"/>
      <c r="G357" s="84"/>
      <c r="H357" s="84"/>
      <c r="I357" s="84"/>
      <c r="J357" s="84"/>
      <c r="K357" s="84"/>
      <c r="L357" s="140" t="str">
        <f>IFERROR(ROUND(AVERAGE(M357:T357),1),"")</f>
        <v/>
      </c>
      <c r="M357" s="86"/>
      <c r="N357" s="86"/>
      <c r="O357" s="86"/>
      <c r="P357" s="86"/>
      <c r="Q357" s="86"/>
      <c r="R357" s="86"/>
      <c r="S357" s="86"/>
      <c r="T357" s="86"/>
      <c r="U357" s="142" t="str">
        <f>IFERROR(ROUND(AVERAGE(V357:AC357),1),"")</f>
        <v/>
      </c>
      <c r="V357" s="88"/>
      <c r="W357" s="88"/>
      <c r="X357" s="88"/>
      <c r="Y357" s="88"/>
      <c r="Z357" s="88"/>
      <c r="AA357" s="88"/>
      <c r="AB357" s="88"/>
      <c r="AC357" s="88"/>
      <c r="AD357" s="142" t="str">
        <f>IFERROR(ROUND(AVERAGE(AE357:AL357),1),"")</f>
        <v/>
      </c>
      <c r="AE357" s="88"/>
      <c r="AF357" s="88"/>
      <c r="AG357" s="88"/>
      <c r="AH357" s="88"/>
      <c r="AI357" s="88"/>
      <c r="AJ357" s="88"/>
      <c r="AK357" s="88"/>
      <c r="AL357" s="88"/>
      <c r="AM357" s="88">
        <v>46.617283950617285</v>
      </c>
      <c r="AN357" s="88">
        <v>101.25</v>
      </c>
      <c r="AO357" s="89" t="s">
        <v>56</v>
      </c>
      <c r="AP357" s="90"/>
      <c r="AQ357" s="146" t="str">
        <f t="shared" si="98"/>
        <v/>
      </c>
      <c r="AR357" s="146" t="str">
        <f t="shared" si="99"/>
        <v/>
      </c>
      <c r="AS357" s="147">
        <v>0</v>
      </c>
      <c r="AT357" s="148" t="s">
        <v>56</v>
      </c>
      <c r="AU357" s="149" t="s">
        <v>56</v>
      </c>
      <c r="AV357" s="146" t="str">
        <f t="shared" si="100"/>
        <v/>
      </c>
      <c r="AW357" s="146" t="str">
        <f t="shared" si="101"/>
        <v/>
      </c>
      <c r="AX357" s="138" t="str">
        <f>IFERROR((1-((AV357*AR357)/(AW357*AQ357)))*100,"")</f>
        <v/>
      </c>
      <c r="AY357" s="95" t="s">
        <v>56</v>
      </c>
      <c r="AZ357" s="96" t="s">
        <v>56</v>
      </c>
      <c r="BA357" s="96"/>
      <c r="BB357" s="96" t="s">
        <v>56</v>
      </c>
      <c r="BC357" s="96"/>
      <c r="BD357" s="97">
        <v>101.25</v>
      </c>
      <c r="BE357" s="142">
        <f t="shared" si="102"/>
        <v>9999</v>
      </c>
      <c r="BF357" s="88">
        <v>0</v>
      </c>
      <c r="BG357" s="98">
        <v>1809</v>
      </c>
      <c r="BH357" s="98">
        <v>8190</v>
      </c>
      <c r="BI357" s="98"/>
      <c r="BJ357" s="98"/>
      <c r="BK357" s="98"/>
      <c r="BL357" s="97"/>
    </row>
    <row r="358" spans="1:64" outlineLevel="4" x14ac:dyDescent="0.3">
      <c r="A358" s="63" t="s">
        <v>93</v>
      </c>
      <c r="B358" s="64"/>
      <c r="C358" s="65">
        <f t="shared" ref="C358:BL358" si="104">SUBTOTAL(4,C327:C357)</f>
        <v>39</v>
      </c>
      <c r="D358" s="66">
        <f t="shared" si="104"/>
        <v>39</v>
      </c>
      <c r="E358" s="66">
        <f t="shared" si="104"/>
        <v>39</v>
      </c>
      <c r="F358" s="66">
        <f t="shared" si="104"/>
        <v>0</v>
      </c>
      <c r="G358" s="66">
        <f t="shared" si="104"/>
        <v>0</v>
      </c>
      <c r="H358" s="66">
        <f t="shared" si="104"/>
        <v>0</v>
      </c>
      <c r="I358" s="66">
        <f t="shared" si="104"/>
        <v>0</v>
      </c>
      <c r="J358" s="66">
        <f t="shared" si="104"/>
        <v>0</v>
      </c>
      <c r="K358" s="66">
        <f t="shared" si="104"/>
        <v>0</v>
      </c>
      <c r="L358" s="67">
        <f t="shared" si="104"/>
        <v>7.8</v>
      </c>
      <c r="M358" s="68">
        <f t="shared" si="104"/>
        <v>7.87</v>
      </c>
      <c r="N358" s="68">
        <f t="shared" si="104"/>
        <v>7.74</v>
      </c>
      <c r="O358" s="68">
        <f t="shared" si="104"/>
        <v>0</v>
      </c>
      <c r="P358" s="68">
        <f t="shared" si="104"/>
        <v>0</v>
      </c>
      <c r="Q358" s="68">
        <f t="shared" si="104"/>
        <v>0</v>
      </c>
      <c r="R358" s="68">
        <f t="shared" si="104"/>
        <v>0</v>
      </c>
      <c r="S358" s="68">
        <f t="shared" si="104"/>
        <v>0</v>
      </c>
      <c r="T358" s="68">
        <f t="shared" si="104"/>
        <v>0</v>
      </c>
      <c r="U358" s="69">
        <f t="shared" si="104"/>
        <v>1686.8</v>
      </c>
      <c r="V358" s="70">
        <f t="shared" si="104"/>
        <v>1859.8</v>
      </c>
      <c r="W358" s="70">
        <f t="shared" si="104"/>
        <v>1513.8</v>
      </c>
      <c r="X358" s="70">
        <f t="shared" si="104"/>
        <v>0</v>
      </c>
      <c r="Y358" s="70">
        <f t="shared" si="104"/>
        <v>0</v>
      </c>
      <c r="Z358" s="70">
        <f t="shared" si="104"/>
        <v>0</v>
      </c>
      <c r="AA358" s="70">
        <f t="shared" si="104"/>
        <v>0</v>
      </c>
      <c r="AB358" s="70">
        <f t="shared" si="104"/>
        <v>0</v>
      </c>
      <c r="AC358" s="70">
        <f t="shared" si="104"/>
        <v>0</v>
      </c>
      <c r="AD358" s="69">
        <f t="shared" si="104"/>
        <v>0</v>
      </c>
      <c r="AE358" s="70">
        <f t="shared" si="104"/>
        <v>0</v>
      </c>
      <c r="AF358" s="70">
        <f t="shared" si="104"/>
        <v>0</v>
      </c>
      <c r="AG358" s="70">
        <f t="shared" si="104"/>
        <v>0</v>
      </c>
      <c r="AH358" s="70">
        <f t="shared" si="104"/>
        <v>0</v>
      </c>
      <c r="AI358" s="70">
        <f t="shared" si="104"/>
        <v>0</v>
      </c>
      <c r="AJ358" s="70">
        <f t="shared" si="104"/>
        <v>0</v>
      </c>
      <c r="AK358" s="70">
        <f t="shared" si="104"/>
        <v>0</v>
      </c>
      <c r="AL358" s="70">
        <f t="shared" si="104"/>
        <v>0</v>
      </c>
      <c r="AM358" s="70">
        <f t="shared" si="104"/>
        <v>83.040112596762839</v>
      </c>
      <c r="AN358" s="70">
        <f t="shared" si="104"/>
        <v>145.53</v>
      </c>
      <c r="AO358" s="71">
        <f t="shared" si="104"/>
        <v>21.1</v>
      </c>
      <c r="AP358" s="72">
        <f t="shared" si="104"/>
        <v>18.335900000000002</v>
      </c>
      <c r="AQ358" s="73">
        <f t="shared" si="104"/>
        <v>88.9</v>
      </c>
      <c r="AR358" s="73">
        <f t="shared" si="104"/>
        <v>13.099999999999994</v>
      </c>
      <c r="AS358" s="74">
        <f t="shared" si="104"/>
        <v>45</v>
      </c>
      <c r="AT358" s="75">
        <f t="shared" si="104"/>
        <v>16.899999999999999</v>
      </c>
      <c r="AU358" s="76">
        <f t="shared" si="104"/>
        <v>9.5</v>
      </c>
      <c r="AV358" s="73">
        <f t="shared" si="104"/>
        <v>62.857142857142868</v>
      </c>
      <c r="AW358" s="73">
        <f t="shared" si="104"/>
        <v>56.213017751479285</v>
      </c>
      <c r="AX358" s="65">
        <f t="shared" si="104"/>
        <v>0</v>
      </c>
      <c r="AY358" s="77">
        <f t="shared" si="104"/>
        <v>76.7</v>
      </c>
      <c r="AZ358" s="78">
        <f t="shared" si="104"/>
        <v>65.78</v>
      </c>
      <c r="BA358" s="78">
        <f t="shared" si="104"/>
        <v>0</v>
      </c>
      <c r="BB358" s="78">
        <f t="shared" si="104"/>
        <v>112.5</v>
      </c>
      <c r="BC358" s="78">
        <f t="shared" si="104"/>
        <v>0</v>
      </c>
      <c r="BD358" s="79">
        <f t="shared" si="104"/>
        <v>145.53</v>
      </c>
      <c r="BE358" s="69">
        <f t="shared" si="104"/>
        <v>9999</v>
      </c>
      <c r="BF358" s="70">
        <f t="shared" si="104"/>
        <v>101</v>
      </c>
      <c r="BG358" s="80">
        <f t="shared" si="104"/>
        <v>1809</v>
      </c>
      <c r="BH358" s="80">
        <f t="shared" si="104"/>
        <v>8190</v>
      </c>
      <c r="BI358" s="80">
        <f t="shared" si="104"/>
        <v>0</v>
      </c>
      <c r="BJ358" s="80">
        <f t="shared" si="104"/>
        <v>0</v>
      </c>
      <c r="BK358" s="80">
        <f t="shared" si="104"/>
        <v>0</v>
      </c>
      <c r="BL358" s="79">
        <f t="shared" si="104"/>
        <v>0</v>
      </c>
    </row>
    <row r="359" spans="1:64" outlineLevel="3" x14ac:dyDescent="0.3">
      <c r="A359" s="81" t="s">
        <v>94</v>
      </c>
      <c r="B359" s="82"/>
      <c r="C359" s="83">
        <f t="shared" ref="C359:BL359" si="105">SUBTOTAL(5,C327:C357)</f>
        <v>37</v>
      </c>
      <c r="D359" s="84">
        <f t="shared" si="105"/>
        <v>37</v>
      </c>
      <c r="E359" s="84">
        <f t="shared" si="105"/>
        <v>37</v>
      </c>
      <c r="F359" s="84">
        <f t="shared" si="105"/>
        <v>0</v>
      </c>
      <c r="G359" s="84">
        <f t="shared" si="105"/>
        <v>0</v>
      </c>
      <c r="H359" s="84">
        <f t="shared" si="105"/>
        <v>0</v>
      </c>
      <c r="I359" s="84">
        <f t="shared" si="105"/>
        <v>0</v>
      </c>
      <c r="J359" s="84">
        <f t="shared" si="105"/>
        <v>0</v>
      </c>
      <c r="K359" s="84">
        <f t="shared" si="105"/>
        <v>0</v>
      </c>
      <c r="L359" s="85">
        <f t="shared" si="105"/>
        <v>7.8</v>
      </c>
      <c r="M359" s="86">
        <f t="shared" si="105"/>
        <v>7.81</v>
      </c>
      <c r="N359" s="86">
        <f t="shared" si="105"/>
        <v>7.7</v>
      </c>
      <c r="O359" s="86">
        <f t="shared" si="105"/>
        <v>0</v>
      </c>
      <c r="P359" s="86">
        <f t="shared" si="105"/>
        <v>0</v>
      </c>
      <c r="Q359" s="86">
        <f t="shared" si="105"/>
        <v>0</v>
      </c>
      <c r="R359" s="86">
        <f t="shared" si="105"/>
        <v>0</v>
      </c>
      <c r="S359" s="86">
        <f t="shared" si="105"/>
        <v>0</v>
      </c>
      <c r="T359" s="86">
        <f t="shared" si="105"/>
        <v>0</v>
      </c>
      <c r="U359" s="87">
        <f t="shared" si="105"/>
        <v>1178.5999999999999</v>
      </c>
      <c r="V359" s="88">
        <f t="shared" si="105"/>
        <v>1297.5</v>
      </c>
      <c r="W359" s="88">
        <f t="shared" si="105"/>
        <v>994.8</v>
      </c>
      <c r="X359" s="88">
        <f t="shared" si="105"/>
        <v>0</v>
      </c>
      <c r="Y359" s="88">
        <f t="shared" si="105"/>
        <v>0</v>
      </c>
      <c r="Z359" s="88">
        <f t="shared" si="105"/>
        <v>0</v>
      </c>
      <c r="AA359" s="88">
        <f t="shared" si="105"/>
        <v>0</v>
      </c>
      <c r="AB359" s="88">
        <f t="shared" si="105"/>
        <v>0</v>
      </c>
      <c r="AC359" s="88">
        <f t="shared" si="105"/>
        <v>0</v>
      </c>
      <c r="AD359" s="87">
        <f t="shared" si="105"/>
        <v>0</v>
      </c>
      <c r="AE359" s="88">
        <f t="shared" si="105"/>
        <v>0</v>
      </c>
      <c r="AF359" s="88">
        <f t="shared" si="105"/>
        <v>0</v>
      </c>
      <c r="AG359" s="88">
        <f t="shared" si="105"/>
        <v>0</v>
      </c>
      <c r="AH359" s="88">
        <f t="shared" si="105"/>
        <v>0</v>
      </c>
      <c r="AI359" s="88">
        <f t="shared" si="105"/>
        <v>0</v>
      </c>
      <c r="AJ359" s="88">
        <f t="shared" si="105"/>
        <v>0</v>
      </c>
      <c r="AK359" s="88">
        <f t="shared" si="105"/>
        <v>0</v>
      </c>
      <c r="AL359" s="88">
        <f t="shared" si="105"/>
        <v>0</v>
      </c>
      <c r="AM359" s="88">
        <f t="shared" si="105"/>
        <v>32.433175290318147</v>
      </c>
      <c r="AN359" s="88">
        <f t="shared" si="105"/>
        <v>56.84</v>
      </c>
      <c r="AO359" s="89">
        <f t="shared" si="105"/>
        <v>16.399999999999999</v>
      </c>
      <c r="AP359" s="90">
        <f t="shared" si="105"/>
        <v>14.546799999999998</v>
      </c>
      <c r="AQ359" s="91">
        <f t="shared" si="105"/>
        <v>86.9</v>
      </c>
      <c r="AR359" s="91">
        <f t="shared" si="105"/>
        <v>11.099999999999994</v>
      </c>
      <c r="AS359" s="92">
        <f t="shared" si="105"/>
        <v>0</v>
      </c>
      <c r="AT359" s="93">
        <f t="shared" si="105"/>
        <v>14</v>
      </c>
      <c r="AU359" s="94">
        <f t="shared" si="105"/>
        <v>7.4</v>
      </c>
      <c r="AV359" s="91">
        <f t="shared" si="105"/>
        <v>43.786982248520715</v>
      </c>
      <c r="AW359" s="91">
        <f t="shared" si="105"/>
        <v>37.142857142857132</v>
      </c>
      <c r="AX359" s="83">
        <f t="shared" si="105"/>
        <v>0</v>
      </c>
      <c r="AY359" s="95">
        <f t="shared" si="105"/>
        <v>71.099999999999994</v>
      </c>
      <c r="AZ359" s="96">
        <f t="shared" si="105"/>
        <v>58.870000000000005</v>
      </c>
      <c r="BA359" s="96">
        <f t="shared" si="105"/>
        <v>0</v>
      </c>
      <c r="BB359" s="96">
        <f t="shared" si="105"/>
        <v>41</v>
      </c>
      <c r="BC359" s="96">
        <f t="shared" si="105"/>
        <v>0</v>
      </c>
      <c r="BD359" s="97">
        <f t="shared" si="105"/>
        <v>56.84</v>
      </c>
      <c r="BE359" s="87">
        <f t="shared" si="105"/>
        <v>24</v>
      </c>
      <c r="BF359" s="88">
        <f t="shared" si="105"/>
        <v>0</v>
      </c>
      <c r="BG359" s="98">
        <f t="shared" si="105"/>
        <v>0</v>
      </c>
      <c r="BH359" s="98">
        <f t="shared" si="105"/>
        <v>0</v>
      </c>
      <c r="BI359" s="98">
        <f t="shared" si="105"/>
        <v>0</v>
      </c>
      <c r="BJ359" s="98">
        <f t="shared" si="105"/>
        <v>0</v>
      </c>
      <c r="BK359" s="98">
        <f t="shared" si="105"/>
        <v>0</v>
      </c>
      <c r="BL359" s="97">
        <f t="shared" si="105"/>
        <v>0</v>
      </c>
    </row>
    <row r="360" spans="1:64" outlineLevel="2" x14ac:dyDescent="0.3">
      <c r="A360" s="81" t="s">
        <v>95</v>
      </c>
      <c r="B360" s="82"/>
      <c r="C360" s="83">
        <f t="shared" ref="C360:BL360" si="106">IFERROR(SUBTOTAL(1,C327:C357),"")</f>
        <v>37.87096774193548</v>
      </c>
      <c r="D360" s="84">
        <f t="shared" si="106"/>
        <v>37.838709677419352</v>
      </c>
      <c r="E360" s="84">
        <f t="shared" si="106"/>
        <v>37.903225806451616</v>
      </c>
      <c r="F360" s="84" t="str">
        <f t="shared" si="106"/>
        <v/>
      </c>
      <c r="G360" s="84" t="str">
        <f t="shared" si="106"/>
        <v/>
      </c>
      <c r="H360" s="84" t="str">
        <f t="shared" si="106"/>
        <v/>
      </c>
      <c r="I360" s="84" t="str">
        <f t="shared" si="106"/>
        <v/>
      </c>
      <c r="J360" s="84" t="str">
        <f t="shared" si="106"/>
        <v/>
      </c>
      <c r="K360" s="84" t="str">
        <f t="shared" si="106"/>
        <v/>
      </c>
      <c r="L360" s="85">
        <f t="shared" si="106"/>
        <v>7.7999999999999989</v>
      </c>
      <c r="M360" s="86">
        <f t="shared" si="106"/>
        <v>7.8328571428571427</v>
      </c>
      <c r="N360" s="86">
        <f t="shared" si="106"/>
        <v>7.7185714285714297</v>
      </c>
      <c r="O360" s="86" t="str">
        <f t="shared" si="106"/>
        <v/>
      </c>
      <c r="P360" s="86" t="str">
        <f t="shared" si="106"/>
        <v/>
      </c>
      <c r="Q360" s="86" t="str">
        <f t="shared" si="106"/>
        <v/>
      </c>
      <c r="R360" s="86" t="str">
        <f t="shared" si="106"/>
        <v/>
      </c>
      <c r="S360" s="86" t="str">
        <f t="shared" si="106"/>
        <v/>
      </c>
      <c r="T360" s="86" t="str">
        <f t="shared" si="106"/>
        <v/>
      </c>
      <c r="U360" s="87">
        <f t="shared" si="106"/>
        <v>1407.2142857142858</v>
      </c>
      <c r="V360" s="88">
        <f t="shared" si="106"/>
        <v>1569.3857142857144</v>
      </c>
      <c r="W360" s="88">
        <f t="shared" si="106"/>
        <v>1245</v>
      </c>
      <c r="X360" s="88" t="str">
        <f t="shared" si="106"/>
        <v/>
      </c>
      <c r="Y360" s="88" t="str">
        <f t="shared" si="106"/>
        <v/>
      </c>
      <c r="Z360" s="88" t="str">
        <f t="shared" si="106"/>
        <v/>
      </c>
      <c r="AA360" s="88" t="str">
        <f t="shared" si="106"/>
        <v/>
      </c>
      <c r="AB360" s="88" t="str">
        <f t="shared" si="106"/>
        <v/>
      </c>
      <c r="AC360" s="88" t="str">
        <f t="shared" si="106"/>
        <v/>
      </c>
      <c r="AD360" s="87" t="str">
        <f t="shared" si="106"/>
        <v/>
      </c>
      <c r="AE360" s="88" t="str">
        <f t="shared" si="106"/>
        <v/>
      </c>
      <c r="AF360" s="88" t="str">
        <f t="shared" si="106"/>
        <v/>
      </c>
      <c r="AG360" s="88" t="str">
        <f t="shared" si="106"/>
        <v/>
      </c>
      <c r="AH360" s="88" t="str">
        <f t="shared" si="106"/>
        <v/>
      </c>
      <c r="AI360" s="88" t="str">
        <f t="shared" si="106"/>
        <v/>
      </c>
      <c r="AJ360" s="88" t="str">
        <f t="shared" si="106"/>
        <v/>
      </c>
      <c r="AK360" s="88" t="str">
        <f t="shared" si="106"/>
        <v/>
      </c>
      <c r="AL360" s="88" t="str">
        <f t="shared" si="106"/>
        <v/>
      </c>
      <c r="AM360" s="88">
        <f t="shared" si="106"/>
        <v>45.577151816659551</v>
      </c>
      <c r="AN360" s="88">
        <f t="shared" si="106"/>
        <v>106.20967741935485</v>
      </c>
      <c r="AO360" s="89">
        <f t="shared" si="106"/>
        <v>19.175000000000001</v>
      </c>
      <c r="AP360" s="90">
        <f t="shared" si="106"/>
        <v>16.908749999999998</v>
      </c>
      <c r="AQ360" s="91">
        <f t="shared" si="106"/>
        <v>88.224999999999994</v>
      </c>
      <c r="AR360" s="91">
        <f t="shared" si="106"/>
        <v>11.775000000000002</v>
      </c>
      <c r="AS360" s="92">
        <f t="shared" si="106"/>
        <v>21.06451612903226</v>
      </c>
      <c r="AT360" s="93">
        <f t="shared" si="106"/>
        <v>15.656250000000002</v>
      </c>
      <c r="AU360" s="94">
        <f t="shared" si="106"/>
        <v>8.90625</v>
      </c>
      <c r="AV360" s="91">
        <f t="shared" si="106"/>
        <v>57.116294713358315</v>
      </c>
      <c r="AW360" s="91">
        <f t="shared" si="106"/>
        <v>42.883705286641685</v>
      </c>
      <c r="AX360" s="83" t="str">
        <f t="shared" si="106"/>
        <v/>
      </c>
      <c r="AY360" s="95">
        <f t="shared" si="106"/>
        <v>75.05</v>
      </c>
      <c r="AZ360" s="96">
        <f t="shared" si="106"/>
        <v>61.957199999999993</v>
      </c>
      <c r="BA360" s="96" t="str">
        <f t="shared" si="106"/>
        <v/>
      </c>
      <c r="BB360" s="96">
        <f t="shared" si="106"/>
        <v>78.599999999999994</v>
      </c>
      <c r="BC360" s="96" t="str">
        <f t="shared" si="106"/>
        <v/>
      </c>
      <c r="BD360" s="97">
        <f>IFERROR(SUBTOTAL(1,BD327:BD357),"")</f>
        <v>106.20967741935485</v>
      </c>
      <c r="BE360" s="87">
        <f t="shared" si="106"/>
        <v>2209.0666666666666</v>
      </c>
      <c r="BF360" s="88">
        <f t="shared" si="106"/>
        <v>23.64516129032258</v>
      </c>
      <c r="BG360" s="98">
        <f t="shared" si="106"/>
        <v>292.54838709677421</v>
      </c>
      <c r="BH360" s="98">
        <f t="shared" si="106"/>
        <v>1821.6129032258063</v>
      </c>
      <c r="BI360" s="98" t="str">
        <f t="shared" si="106"/>
        <v/>
      </c>
      <c r="BJ360" s="98" t="str">
        <f t="shared" si="106"/>
        <v/>
      </c>
      <c r="BK360" s="98" t="str">
        <f t="shared" si="106"/>
        <v/>
      </c>
      <c r="BL360" s="97" t="str">
        <f t="shared" si="106"/>
        <v/>
      </c>
    </row>
    <row r="361" spans="1:64" ht="17.25" outlineLevel="1" thickBot="1" x14ac:dyDescent="0.35">
      <c r="A361" s="99" t="s">
        <v>96</v>
      </c>
      <c r="B361" s="100"/>
      <c r="C361" s="101"/>
      <c r="D361" s="102"/>
      <c r="E361" s="102"/>
      <c r="F361" s="102"/>
      <c r="G361" s="102"/>
      <c r="H361" s="102"/>
      <c r="I361" s="102"/>
      <c r="J361" s="102"/>
      <c r="K361" s="102"/>
      <c r="L361" s="103"/>
      <c r="M361" s="104"/>
      <c r="N361" s="104"/>
      <c r="O361" s="104"/>
      <c r="P361" s="104"/>
      <c r="Q361" s="104"/>
      <c r="R361" s="104"/>
      <c r="S361" s="104"/>
      <c r="T361" s="104"/>
      <c r="U361" s="105"/>
      <c r="V361" s="106"/>
      <c r="W361" s="106"/>
      <c r="X361" s="106"/>
      <c r="Y361" s="106"/>
      <c r="Z361" s="106"/>
      <c r="AA361" s="106"/>
      <c r="AB361" s="106"/>
      <c r="AC361" s="106"/>
      <c r="AD361" s="105"/>
      <c r="AE361" s="106"/>
      <c r="AF361" s="106"/>
      <c r="AG361" s="106"/>
      <c r="AH361" s="106"/>
      <c r="AI361" s="106"/>
      <c r="AJ361" s="106"/>
      <c r="AK361" s="106"/>
      <c r="AL361" s="106"/>
      <c r="AM361" s="106"/>
      <c r="AN361" s="107">
        <f>SUBTOTAL(9,AN327:AN357)</f>
        <v>3292.5000000000005</v>
      </c>
      <c r="AO361" s="108"/>
      <c r="AP361" s="109"/>
      <c r="AQ361" s="110"/>
      <c r="AR361" s="110"/>
      <c r="AS361" s="111">
        <f>SUBTOTAL(9,AS327:AS357)</f>
        <v>653</v>
      </c>
      <c r="AT361" s="112"/>
      <c r="AU361" s="113"/>
      <c r="AV361" s="110"/>
      <c r="AW361" s="110"/>
      <c r="AX361" s="101"/>
      <c r="AY361" s="114"/>
      <c r="AZ361" s="115"/>
      <c r="BA361" s="115"/>
      <c r="BB361" s="115"/>
      <c r="BC361" s="115"/>
      <c r="BD361" s="116">
        <f>SUBTOTAL(9,BD327:BD357)</f>
        <v>3292.5000000000005</v>
      </c>
      <c r="BE361" s="117">
        <f t="shared" ref="BE361:BL361" si="107">SUBTOTAL(9,BE327:BE357)</f>
        <v>66272</v>
      </c>
      <c r="BF361" s="107">
        <f t="shared" si="107"/>
        <v>733</v>
      </c>
      <c r="BG361" s="118">
        <f t="shared" si="107"/>
        <v>9069</v>
      </c>
      <c r="BH361" s="118">
        <f t="shared" si="107"/>
        <v>56470</v>
      </c>
      <c r="BI361" s="118">
        <f t="shared" si="107"/>
        <v>0</v>
      </c>
      <c r="BJ361" s="118">
        <f t="shared" si="107"/>
        <v>0</v>
      </c>
      <c r="BK361" s="118">
        <f t="shared" si="107"/>
        <v>0</v>
      </c>
      <c r="BL361" s="116">
        <f t="shared" si="107"/>
        <v>0</v>
      </c>
    </row>
    <row r="362" spans="1:64" outlineLevel="5" x14ac:dyDescent="0.3">
      <c r="A362" s="136">
        <f t="shared" si="91"/>
        <v>11</v>
      </c>
      <c r="B362" s="165">
        <f>B357+1</f>
        <v>44136</v>
      </c>
      <c r="C362" s="138">
        <f>IFERROR(ROUND(AVERAGE(D362:K362),1),"")</f>
        <v>38</v>
      </c>
      <c r="D362" s="84">
        <v>38</v>
      </c>
      <c r="E362" s="84">
        <v>38</v>
      </c>
      <c r="F362" s="84"/>
      <c r="G362" s="84"/>
      <c r="H362" s="84"/>
      <c r="I362" s="84"/>
      <c r="J362" s="84"/>
      <c r="K362" s="84"/>
      <c r="L362" s="140" t="str">
        <f>IFERROR(ROUND(AVERAGE(M362:T362),1),"")</f>
        <v/>
      </c>
      <c r="M362" s="86"/>
      <c r="N362" s="86"/>
      <c r="O362" s="86"/>
      <c r="P362" s="86"/>
      <c r="Q362" s="86"/>
      <c r="R362" s="86"/>
      <c r="S362" s="86"/>
      <c r="T362" s="86"/>
      <c r="U362" s="142" t="str">
        <f>IFERROR(ROUND(AVERAGE(V362:AC362),1),"")</f>
        <v/>
      </c>
      <c r="V362" s="88"/>
      <c r="W362" s="88"/>
      <c r="X362" s="88"/>
      <c r="Y362" s="88"/>
      <c r="Z362" s="88"/>
      <c r="AA362" s="88"/>
      <c r="AB362" s="88"/>
      <c r="AC362" s="88"/>
      <c r="AD362" s="142" t="str">
        <f>IFERROR(ROUND(AVERAGE(AE362:AL362),1),"")</f>
        <v/>
      </c>
      <c r="AE362" s="88"/>
      <c r="AF362" s="88"/>
      <c r="AG362" s="88"/>
      <c r="AH362" s="88"/>
      <c r="AI362" s="88"/>
      <c r="AJ362" s="88"/>
      <c r="AK362" s="88"/>
      <c r="AL362" s="88"/>
      <c r="AM362" s="88">
        <v>59</v>
      </c>
      <c r="AN362" s="88">
        <v>80</v>
      </c>
      <c r="AO362" s="89" t="s">
        <v>56</v>
      </c>
      <c r="AP362" s="90"/>
      <c r="AQ362" s="146" t="str">
        <f t="shared" ref="AQ362:AQ391" si="108">IFERROR(AP362/AO362*100,"")</f>
        <v/>
      </c>
      <c r="AR362" s="146" t="str">
        <f t="shared" ref="AR362:AR391" si="109">IFERROR(100-AQ362,"")</f>
        <v/>
      </c>
      <c r="AS362" s="147">
        <v>0</v>
      </c>
      <c r="AT362" s="148" t="s">
        <v>56</v>
      </c>
      <c r="AU362" s="149" t="s">
        <v>56</v>
      </c>
      <c r="AV362" s="146" t="str">
        <f t="shared" ref="AV362:AV391" si="110">IFERROR(AU362/AT362*100,"")</f>
        <v/>
      </c>
      <c r="AW362" s="146" t="str">
        <f t="shared" ref="AW362:AW391" si="111">IFERROR(100-AV362,"")</f>
        <v/>
      </c>
      <c r="AX362" s="138" t="str">
        <f>IFERROR((1-((AV362*AR362)/(AW362*AQ362)))*100,"")</f>
        <v/>
      </c>
      <c r="AY362" s="95" t="s">
        <v>56</v>
      </c>
      <c r="AZ362" s="96" t="s">
        <v>56</v>
      </c>
      <c r="BA362" s="96"/>
      <c r="BB362" s="96" t="s">
        <v>56</v>
      </c>
      <c r="BC362" s="96"/>
      <c r="BD362" s="97">
        <v>80</v>
      </c>
      <c r="BE362" s="142">
        <f t="shared" ref="BE362:BE391" si="112">IF(SUM(BF362:BL362)=0,"",SUM(BF362:BL362))</f>
        <v>1404</v>
      </c>
      <c r="BF362" s="88">
        <v>0</v>
      </c>
      <c r="BG362" s="98">
        <v>1404</v>
      </c>
      <c r="BH362" s="98">
        <v>0</v>
      </c>
      <c r="BI362" s="98"/>
      <c r="BJ362" s="98"/>
      <c r="BK362" s="98"/>
      <c r="BL362" s="97"/>
    </row>
    <row r="363" spans="1:64" outlineLevel="5" x14ac:dyDescent="0.3">
      <c r="A363" s="152">
        <f t="shared" si="91"/>
        <v>11</v>
      </c>
      <c r="B363" s="153">
        <f t="shared" si="103"/>
        <v>44137</v>
      </c>
      <c r="C363" s="138">
        <f>IFERROR(ROUND(AVERAGE(D363:K363),1),"")</f>
        <v>37</v>
      </c>
      <c r="D363" s="84">
        <v>37</v>
      </c>
      <c r="E363" s="84">
        <v>37</v>
      </c>
      <c r="F363" s="84"/>
      <c r="G363" s="84"/>
      <c r="H363" s="84"/>
      <c r="I363" s="84"/>
      <c r="J363" s="84"/>
      <c r="K363" s="84"/>
      <c r="L363" s="140">
        <f>IFERROR(ROUND(AVERAGE(M363:T363),1),"")</f>
        <v>7.8</v>
      </c>
      <c r="M363" s="86">
        <v>7.83</v>
      </c>
      <c r="N363" s="86">
        <v>7.7</v>
      </c>
      <c r="O363" s="86"/>
      <c r="P363" s="86"/>
      <c r="Q363" s="86"/>
      <c r="R363" s="86"/>
      <c r="S363" s="86"/>
      <c r="T363" s="86"/>
      <c r="U363" s="142">
        <f>IFERROR(ROUND(AVERAGE(V363:AC363),1),"")</f>
        <v>1178.5999999999999</v>
      </c>
      <c r="V363" s="88">
        <v>1319.1</v>
      </c>
      <c r="W363" s="88">
        <v>1038</v>
      </c>
      <c r="X363" s="88"/>
      <c r="Y363" s="88"/>
      <c r="Z363" s="88"/>
      <c r="AA363" s="88"/>
      <c r="AB363" s="88"/>
      <c r="AC363" s="88"/>
      <c r="AD363" s="142" t="str">
        <f>IFERROR(ROUND(AVERAGE(AE363:AL363),1),"")</f>
        <v/>
      </c>
      <c r="AE363" s="88"/>
      <c r="AF363" s="88"/>
      <c r="AG363" s="88"/>
      <c r="AH363" s="88"/>
      <c r="AI363" s="88"/>
      <c r="AJ363" s="88"/>
      <c r="AK363" s="88"/>
      <c r="AL363" s="88"/>
      <c r="AM363" s="88">
        <v>42.07523622749153</v>
      </c>
      <c r="AN363" s="88">
        <v>112.18</v>
      </c>
      <c r="AO363" s="89" t="s">
        <v>56</v>
      </c>
      <c r="AP363" s="90"/>
      <c r="AQ363" s="146" t="str">
        <f t="shared" si="108"/>
        <v/>
      </c>
      <c r="AR363" s="146" t="str">
        <f t="shared" si="109"/>
        <v/>
      </c>
      <c r="AS363" s="147">
        <v>49</v>
      </c>
      <c r="AT363" s="148">
        <v>16</v>
      </c>
      <c r="AU363" s="149">
        <v>9.5</v>
      </c>
      <c r="AV363" s="146">
        <f t="shared" si="110"/>
        <v>59.375</v>
      </c>
      <c r="AW363" s="146">
        <f t="shared" si="111"/>
        <v>40.625</v>
      </c>
      <c r="AX363" s="138" t="str">
        <f>IFERROR((1-((AV363*AR363)/(AW363*AQ363)))*100,"")</f>
        <v/>
      </c>
      <c r="AY363" s="95">
        <v>75.05</v>
      </c>
      <c r="AZ363" s="96" t="s">
        <v>56</v>
      </c>
      <c r="BA363" s="96"/>
      <c r="BB363" s="96" t="s">
        <v>56</v>
      </c>
      <c r="BC363" s="96"/>
      <c r="BD363" s="97">
        <v>112.18</v>
      </c>
      <c r="BE363" s="142">
        <f t="shared" si="112"/>
        <v>2107</v>
      </c>
      <c r="BF363" s="88">
        <v>0</v>
      </c>
      <c r="BG363" s="98">
        <v>1440</v>
      </c>
      <c r="BH363" s="98">
        <v>667</v>
      </c>
      <c r="BI363" s="98"/>
      <c r="BJ363" s="98"/>
      <c r="BK363" s="98"/>
      <c r="BL363" s="97"/>
    </row>
    <row r="364" spans="1:64" outlineLevel="5" x14ac:dyDescent="0.3">
      <c r="A364" s="152">
        <f t="shared" si="91"/>
        <v>11</v>
      </c>
      <c r="B364" s="153">
        <f t="shared" si="103"/>
        <v>44138</v>
      </c>
      <c r="C364" s="138">
        <f>IFERROR(ROUND(AVERAGE(D364:K364),1),"")</f>
        <v>38</v>
      </c>
      <c r="D364" s="84">
        <v>38</v>
      </c>
      <c r="E364" s="84">
        <v>38</v>
      </c>
      <c r="F364" s="84"/>
      <c r="G364" s="84"/>
      <c r="H364" s="84"/>
      <c r="I364" s="84"/>
      <c r="J364" s="84"/>
      <c r="K364" s="84"/>
      <c r="L364" s="140" t="str">
        <f>IFERROR(ROUND(AVERAGE(M364:T364),1),"")</f>
        <v/>
      </c>
      <c r="M364" s="86"/>
      <c r="N364" s="86"/>
      <c r="O364" s="86"/>
      <c r="P364" s="86"/>
      <c r="Q364" s="86"/>
      <c r="R364" s="86"/>
      <c r="S364" s="86"/>
      <c r="T364" s="86"/>
      <c r="U364" s="142" t="str">
        <f>IFERROR(ROUND(AVERAGE(V364:AC364),1),"")</f>
        <v/>
      </c>
      <c r="V364" s="88"/>
      <c r="W364" s="88"/>
      <c r="X364" s="88"/>
      <c r="Y364" s="88"/>
      <c r="Z364" s="88"/>
      <c r="AA364" s="88"/>
      <c r="AB364" s="88"/>
      <c r="AC364" s="88"/>
      <c r="AD364" s="142" t="str">
        <f>IFERROR(ROUND(AVERAGE(AE364:AL364),1),"")</f>
        <v/>
      </c>
      <c r="AE364" s="88"/>
      <c r="AF364" s="88"/>
      <c r="AG364" s="88"/>
      <c r="AH364" s="88"/>
      <c r="AI364" s="88"/>
      <c r="AJ364" s="88"/>
      <c r="AK364" s="88"/>
      <c r="AL364" s="88"/>
      <c r="AM364" s="88">
        <v>34.21281530878516</v>
      </c>
      <c r="AN364" s="88">
        <v>137.95999999999998</v>
      </c>
      <c r="AO364" s="89" t="s">
        <v>56</v>
      </c>
      <c r="AP364" s="90"/>
      <c r="AQ364" s="146" t="str">
        <f t="shared" si="108"/>
        <v/>
      </c>
      <c r="AR364" s="146" t="str">
        <f t="shared" si="109"/>
        <v/>
      </c>
      <c r="AS364" s="147">
        <v>41</v>
      </c>
      <c r="AT364" s="148" t="s">
        <v>56</v>
      </c>
      <c r="AU364" s="149" t="s">
        <v>56</v>
      </c>
      <c r="AV364" s="146" t="str">
        <f t="shared" si="110"/>
        <v/>
      </c>
      <c r="AW364" s="146" t="str">
        <f t="shared" si="111"/>
        <v/>
      </c>
      <c r="AX364" s="138" t="str">
        <f>IFERROR((1-((AV364*AR364)/(AW364*AQ364)))*100,"")</f>
        <v/>
      </c>
      <c r="AY364" s="95" t="s">
        <v>56</v>
      </c>
      <c r="AZ364" s="96" t="s">
        <v>56</v>
      </c>
      <c r="BA364" s="96"/>
      <c r="BB364" s="96" t="s">
        <v>56</v>
      </c>
      <c r="BC364" s="96"/>
      <c r="BD364" s="97">
        <v>137.95999999999998</v>
      </c>
      <c r="BE364" s="142">
        <f t="shared" si="112"/>
        <v>5988</v>
      </c>
      <c r="BF364" s="88">
        <v>91</v>
      </c>
      <c r="BG364" s="98">
        <v>1602</v>
      </c>
      <c r="BH364" s="98">
        <v>4295</v>
      </c>
      <c r="BI364" s="98"/>
      <c r="BJ364" s="98"/>
      <c r="BK364" s="98"/>
      <c r="BL364" s="97"/>
    </row>
    <row r="365" spans="1:64" outlineLevel="5" x14ac:dyDescent="0.3">
      <c r="A365" s="152">
        <f t="shared" si="91"/>
        <v>11</v>
      </c>
      <c r="B365" s="153">
        <f t="shared" si="103"/>
        <v>44139</v>
      </c>
      <c r="C365" s="138">
        <f>IFERROR(ROUND(AVERAGE(D365:K365),1),"")</f>
        <v>38</v>
      </c>
      <c r="D365" s="84">
        <v>38</v>
      </c>
      <c r="E365" s="84">
        <v>38</v>
      </c>
      <c r="F365" s="84"/>
      <c r="G365" s="84"/>
      <c r="H365" s="84"/>
      <c r="I365" s="84"/>
      <c r="J365" s="84"/>
      <c r="K365" s="84"/>
      <c r="L365" s="140" t="str">
        <f>IFERROR(ROUND(AVERAGE(M365:T365),1),"")</f>
        <v/>
      </c>
      <c r="M365" s="86"/>
      <c r="N365" s="86"/>
      <c r="O365" s="86"/>
      <c r="P365" s="86"/>
      <c r="Q365" s="86"/>
      <c r="R365" s="86"/>
      <c r="S365" s="86"/>
      <c r="T365" s="86"/>
      <c r="U365" s="142" t="str">
        <f>IFERROR(ROUND(AVERAGE(V365:AC365),1),"")</f>
        <v/>
      </c>
      <c r="V365" s="88"/>
      <c r="W365" s="88"/>
      <c r="X365" s="88"/>
      <c r="Y365" s="88"/>
      <c r="Z365" s="88"/>
      <c r="AA365" s="88"/>
      <c r="AB365" s="88"/>
      <c r="AC365" s="88"/>
      <c r="AD365" s="142" t="str">
        <f>IFERROR(ROUND(AVERAGE(AE365:AL365),1),"")</f>
        <v/>
      </c>
      <c r="AE365" s="88"/>
      <c r="AF365" s="88"/>
      <c r="AG365" s="88"/>
      <c r="AH365" s="88"/>
      <c r="AI365" s="88"/>
      <c r="AJ365" s="88"/>
      <c r="AK365" s="88"/>
      <c r="AL365" s="88"/>
      <c r="AM365" s="88">
        <v>32.623721316007739</v>
      </c>
      <c r="AN365" s="88">
        <v>144.68</v>
      </c>
      <c r="AO365" s="89"/>
      <c r="AP365" s="90"/>
      <c r="AQ365" s="146" t="str">
        <f t="shared" si="108"/>
        <v/>
      </c>
      <c r="AR365" s="146" t="str">
        <f t="shared" si="109"/>
        <v/>
      </c>
      <c r="AS365" s="147">
        <v>50</v>
      </c>
      <c r="AT365" s="148" t="s">
        <v>56</v>
      </c>
      <c r="AU365" s="149" t="s">
        <v>56</v>
      </c>
      <c r="AV365" s="146" t="str">
        <f t="shared" si="110"/>
        <v/>
      </c>
      <c r="AW365" s="146" t="str">
        <f t="shared" si="111"/>
        <v/>
      </c>
      <c r="AX365" s="138" t="str">
        <f>IFERROR((1-((AV365*AR365)/(AW365*AQ365)))*100,"")</f>
        <v/>
      </c>
      <c r="AY365" s="95" t="s">
        <v>56</v>
      </c>
      <c r="AZ365" s="96" t="s">
        <v>56</v>
      </c>
      <c r="BA365" s="96"/>
      <c r="BB365" s="96" t="s">
        <v>56</v>
      </c>
      <c r="BC365" s="96"/>
      <c r="BD365" s="97">
        <v>144.68</v>
      </c>
      <c r="BE365" s="142">
        <f t="shared" si="112"/>
        <v>5753</v>
      </c>
      <c r="BF365" s="88">
        <v>0</v>
      </c>
      <c r="BG365" s="98">
        <v>3176</v>
      </c>
      <c r="BH365" s="98">
        <v>2577</v>
      </c>
      <c r="BI365" s="98"/>
      <c r="BJ365" s="98"/>
      <c r="BK365" s="98"/>
      <c r="BL365" s="97"/>
    </row>
    <row r="366" spans="1:64" outlineLevel="5" x14ac:dyDescent="0.3">
      <c r="A366" s="152">
        <f t="shared" si="91"/>
        <v>11</v>
      </c>
      <c r="B366" s="153">
        <f t="shared" si="103"/>
        <v>44140</v>
      </c>
      <c r="C366" s="138">
        <f>IFERROR(ROUND(AVERAGE(D366:K366),1),"")</f>
        <v>38</v>
      </c>
      <c r="D366" s="84">
        <v>38</v>
      </c>
      <c r="E366" s="84">
        <v>38</v>
      </c>
      <c r="F366" s="84"/>
      <c r="G366" s="84"/>
      <c r="H366" s="84"/>
      <c r="I366" s="84"/>
      <c r="J366" s="84"/>
      <c r="K366" s="84"/>
      <c r="L366" s="140">
        <f>IFERROR(ROUND(AVERAGE(M366:T366),1),"")</f>
        <v>7.8</v>
      </c>
      <c r="M366" s="86">
        <v>7.8</v>
      </c>
      <c r="N366" s="86">
        <v>7.74</v>
      </c>
      <c r="O366" s="86"/>
      <c r="P366" s="86"/>
      <c r="Q366" s="86"/>
      <c r="R366" s="86"/>
      <c r="S366" s="86"/>
      <c r="T366" s="86"/>
      <c r="U366" s="142">
        <f>IFERROR(ROUND(AVERAGE(V366:AC366),1),"")</f>
        <v>1211.0999999999999</v>
      </c>
      <c r="V366" s="88">
        <v>1340.8</v>
      </c>
      <c r="W366" s="88">
        <v>1081.3</v>
      </c>
      <c r="X366" s="88"/>
      <c r="Y366" s="88"/>
      <c r="Z366" s="88"/>
      <c r="AA366" s="88"/>
      <c r="AB366" s="88"/>
      <c r="AC366" s="88"/>
      <c r="AD366" s="142" t="str">
        <f>IFERROR(ROUND(AVERAGE(AE366:AL366),1),"")</f>
        <v/>
      </c>
      <c r="AE366" s="88"/>
      <c r="AF366" s="88"/>
      <c r="AG366" s="88"/>
      <c r="AH366" s="88"/>
      <c r="AI366" s="88"/>
      <c r="AJ366" s="88"/>
      <c r="AK366" s="88"/>
      <c r="AL366" s="88"/>
      <c r="AM366" s="88">
        <v>38.562091503267979</v>
      </c>
      <c r="AN366" s="88">
        <v>122.39999999999999</v>
      </c>
      <c r="AO366" s="89"/>
      <c r="AP366" s="90"/>
      <c r="AQ366" s="146" t="str">
        <f t="shared" si="108"/>
        <v/>
      </c>
      <c r="AR366" s="146" t="str">
        <f t="shared" si="109"/>
        <v/>
      </c>
      <c r="AS366" s="147">
        <v>50</v>
      </c>
      <c r="AT366" s="148">
        <v>14.850000000000001</v>
      </c>
      <c r="AU366" s="149">
        <v>8.4499999999999993</v>
      </c>
      <c r="AV366" s="146">
        <f t="shared" si="110"/>
        <v>56.902356902356885</v>
      </c>
      <c r="AW366" s="146">
        <f t="shared" si="111"/>
        <v>43.097643097643115</v>
      </c>
      <c r="AX366" s="138" t="str">
        <f>IFERROR((1-((AV366*AR366)/(AW366*AQ366)))*100,"")</f>
        <v/>
      </c>
      <c r="AY366" s="95">
        <v>73.900000000000006</v>
      </c>
      <c r="AZ366" s="96" t="s">
        <v>56</v>
      </c>
      <c r="BA366" s="96"/>
      <c r="BB366" s="96" t="s">
        <v>56</v>
      </c>
      <c r="BC366" s="96"/>
      <c r="BD366" s="97">
        <v>122.39999999999999</v>
      </c>
      <c r="BE366" s="142">
        <f t="shared" si="112"/>
        <v>3840</v>
      </c>
      <c r="BF366" s="88">
        <v>44</v>
      </c>
      <c r="BG366" s="98">
        <v>1413</v>
      </c>
      <c r="BH366" s="98">
        <v>2383</v>
      </c>
      <c r="BI366" s="98"/>
      <c r="BJ366" s="98"/>
      <c r="BK366" s="98"/>
      <c r="BL366" s="97"/>
    </row>
    <row r="367" spans="1:64" outlineLevel="5" x14ac:dyDescent="0.3">
      <c r="A367" s="152">
        <f t="shared" si="91"/>
        <v>11</v>
      </c>
      <c r="B367" s="153">
        <f t="shared" si="103"/>
        <v>44141</v>
      </c>
      <c r="C367" s="138">
        <f>IFERROR(ROUND(AVERAGE(D367:K367),1),"")</f>
        <v>38</v>
      </c>
      <c r="D367" s="84">
        <v>38</v>
      </c>
      <c r="E367" s="84">
        <v>38</v>
      </c>
      <c r="F367" s="84"/>
      <c r="G367" s="84"/>
      <c r="H367" s="84"/>
      <c r="I367" s="84"/>
      <c r="J367" s="84"/>
      <c r="K367" s="84"/>
      <c r="L367" s="140" t="str">
        <f>IFERROR(ROUND(AVERAGE(M367:T367),1),"")</f>
        <v/>
      </c>
      <c r="M367" s="86"/>
      <c r="N367" s="86"/>
      <c r="O367" s="86"/>
      <c r="P367" s="86"/>
      <c r="Q367" s="86"/>
      <c r="R367" s="86"/>
      <c r="S367" s="86"/>
      <c r="T367" s="86"/>
      <c r="U367" s="142" t="str">
        <f>IFERROR(ROUND(AVERAGE(V367:AC367),1),"")</f>
        <v/>
      </c>
      <c r="V367" s="88"/>
      <c r="W367" s="88"/>
      <c r="X367" s="88"/>
      <c r="Y367" s="88"/>
      <c r="Z367" s="88"/>
      <c r="AA367" s="88"/>
      <c r="AB367" s="88"/>
      <c r="AC367" s="88"/>
      <c r="AD367" s="142" t="str">
        <f>IFERROR(ROUND(AVERAGE(AE367:AL367),1),"")</f>
        <v/>
      </c>
      <c r="AE367" s="88"/>
      <c r="AF367" s="88"/>
      <c r="AG367" s="88"/>
      <c r="AH367" s="88"/>
      <c r="AI367" s="88"/>
      <c r="AJ367" s="88"/>
      <c r="AK367" s="88"/>
      <c r="AL367" s="88"/>
      <c r="AM367" s="88">
        <v>42.645464401879288</v>
      </c>
      <c r="AN367" s="88">
        <v>110.68</v>
      </c>
      <c r="AO367" s="89">
        <v>41.2</v>
      </c>
      <c r="AP367" s="90">
        <v>37.9452</v>
      </c>
      <c r="AQ367" s="146">
        <f t="shared" si="108"/>
        <v>92.1</v>
      </c>
      <c r="AR367" s="146">
        <f t="shared" si="109"/>
        <v>7.9000000000000057</v>
      </c>
      <c r="AS367" s="147">
        <v>29</v>
      </c>
      <c r="AT367" s="148" t="s">
        <v>56</v>
      </c>
      <c r="AU367" s="149" t="s">
        <v>56</v>
      </c>
      <c r="AV367" s="146" t="str">
        <f t="shared" si="110"/>
        <v/>
      </c>
      <c r="AW367" s="146" t="str">
        <f t="shared" si="111"/>
        <v/>
      </c>
      <c r="AX367" s="138" t="str">
        <f>IFERROR((1-((AV367*AR367)/(AW367*AQ367)))*100,"")</f>
        <v/>
      </c>
      <c r="AY367" s="95" t="s">
        <v>56</v>
      </c>
      <c r="AZ367" s="96" t="s">
        <v>56</v>
      </c>
      <c r="BA367" s="96"/>
      <c r="BB367" s="96" t="s">
        <v>56</v>
      </c>
      <c r="BC367" s="96"/>
      <c r="BD367" s="97">
        <v>110.68</v>
      </c>
      <c r="BE367" s="142">
        <f t="shared" si="112"/>
        <v>3639</v>
      </c>
      <c r="BF367" s="88">
        <v>83</v>
      </c>
      <c r="BG367" s="98">
        <v>1424</v>
      </c>
      <c r="BH367" s="98">
        <v>2132</v>
      </c>
      <c r="BI367" s="98"/>
      <c r="BJ367" s="98"/>
      <c r="BK367" s="98"/>
      <c r="BL367" s="97"/>
    </row>
    <row r="368" spans="1:64" outlineLevel="5" x14ac:dyDescent="0.3">
      <c r="A368" s="152">
        <f t="shared" si="91"/>
        <v>11</v>
      </c>
      <c r="B368" s="153">
        <f t="shared" si="103"/>
        <v>44142</v>
      </c>
      <c r="C368" s="138">
        <f>IFERROR(ROUND(AVERAGE(D368:K368),1),"")</f>
        <v>38</v>
      </c>
      <c r="D368" s="84">
        <v>38</v>
      </c>
      <c r="E368" s="84">
        <v>38</v>
      </c>
      <c r="F368" s="84"/>
      <c r="G368" s="84"/>
      <c r="H368" s="84"/>
      <c r="I368" s="84"/>
      <c r="J368" s="84"/>
      <c r="K368" s="84"/>
      <c r="L368" s="140" t="str">
        <f>IFERROR(ROUND(AVERAGE(M368:T368),1),"")</f>
        <v/>
      </c>
      <c r="M368" s="86"/>
      <c r="N368" s="86"/>
      <c r="O368" s="86"/>
      <c r="P368" s="86"/>
      <c r="Q368" s="86"/>
      <c r="R368" s="86"/>
      <c r="S368" s="86"/>
      <c r="T368" s="86"/>
      <c r="U368" s="142" t="str">
        <f>IFERROR(ROUND(AVERAGE(V368:AC368),1),"")</f>
        <v/>
      </c>
      <c r="V368" s="88"/>
      <c r="W368" s="88"/>
      <c r="X368" s="88"/>
      <c r="Y368" s="88"/>
      <c r="Z368" s="88"/>
      <c r="AA368" s="88"/>
      <c r="AB368" s="88"/>
      <c r="AC368" s="88"/>
      <c r="AD368" s="142" t="str">
        <f>IFERROR(ROUND(AVERAGE(AE368:AL368),1),"")</f>
        <v/>
      </c>
      <c r="AE368" s="88"/>
      <c r="AF368" s="88"/>
      <c r="AG368" s="88"/>
      <c r="AH368" s="88"/>
      <c r="AI368" s="88"/>
      <c r="AJ368" s="88"/>
      <c r="AK368" s="88"/>
      <c r="AL368" s="88"/>
      <c r="AM368" s="88">
        <v>56.997947107837213</v>
      </c>
      <c r="AN368" s="88">
        <v>82.81</v>
      </c>
      <c r="AO368" s="89" t="s">
        <v>56</v>
      </c>
      <c r="AP368" s="90" t="s">
        <v>56</v>
      </c>
      <c r="AQ368" s="146" t="str">
        <f t="shared" si="108"/>
        <v/>
      </c>
      <c r="AR368" s="146" t="str">
        <f t="shared" si="109"/>
        <v/>
      </c>
      <c r="AS368" s="147">
        <v>10</v>
      </c>
      <c r="AT368" s="148" t="s">
        <v>56</v>
      </c>
      <c r="AU368" s="149" t="s">
        <v>56</v>
      </c>
      <c r="AV368" s="146" t="str">
        <f t="shared" si="110"/>
        <v/>
      </c>
      <c r="AW368" s="146" t="str">
        <f t="shared" si="111"/>
        <v/>
      </c>
      <c r="AX368" s="138" t="str">
        <f>IFERROR((1-((AV368*AR368)/(AW368*AQ368)))*100,"")</f>
        <v/>
      </c>
      <c r="AY368" s="95" t="s">
        <v>56</v>
      </c>
      <c r="AZ368" s="96" t="s">
        <v>56</v>
      </c>
      <c r="BA368" s="96"/>
      <c r="BB368" s="96" t="s">
        <v>56</v>
      </c>
      <c r="BC368" s="96"/>
      <c r="BD368" s="97">
        <v>82.81</v>
      </c>
      <c r="BE368" s="142">
        <f t="shared" si="112"/>
        <v>3336</v>
      </c>
      <c r="BF368" s="88">
        <v>0</v>
      </c>
      <c r="BG368" s="98">
        <v>772</v>
      </c>
      <c r="BH368" s="98">
        <v>2564</v>
      </c>
      <c r="BI368" s="98"/>
      <c r="BJ368" s="98"/>
      <c r="BK368" s="98"/>
      <c r="BL368" s="97"/>
    </row>
    <row r="369" spans="1:64" outlineLevel="5" x14ac:dyDescent="0.3">
      <c r="A369" s="152">
        <f t="shared" si="91"/>
        <v>11</v>
      </c>
      <c r="B369" s="153">
        <f t="shared" si="103"/>
        <v>44143</v>
      </c>
      <c r="C369" s="138">
        <f>IFERROR(ROUND(AVERAGE(D369:K369),1),"")</f>
        <v>38</v>
      </c>
      <c r="D369" s="84">
        <v>38</v>
      </c>
      <c r="E369" s="84">
        <v>38</v>
      </c>
      <c r="F369" s="84"/>
      <c r="G369" s="84"/>
      <c r="H369" s="84"/>
      <c r="I369" s="84"/>
      <c r="J369" s="84"/>
      <c r="K369" s="84"/>
      <c r="L369" s="140" t="str">
        <f>IFERROR(ROUND(AVERAGE(M369:T369),1),"")</f>
        <v/>
      </c>
      <c r="M369" s="86"/>
      <c r="N369" s="86"/>
      <c r="O369" s="86"/>
      <c r="P369" s="86"/>
      <c r="Q369" s="86"/>
      <c r="R369" s="86"/>
      <c r="S369" s="86"/>
      <c r="T369" s="86"/>
      <c r="U369" s="142" t="str">
        <f>IFERROR(ROUND(AVERAGE(V369:AC369),1),"")</f>
        <v/>
      </c>
      <c r="V369" s="88"/>
      <c r="W369" s="88"/>
      <c r="X369" s="88"/>
      <c r="Y369" s="88"/>
      <c r="Z369" s="88"/>
      <c r="AA369" s="88"/>
      <c r="AB369" s="88"/>
      <c r="AC369" s="88"/>
      <c r="AD369" s="142" t="str">
        <f>IFERROR(ROUND(AVERAGE(AE369:AL369),1),"")</f>
        <v/>
      </c>
      <c r="AE369" s="88"/>
      <c r="AF369" s="88"/>
      <c r="AG369" s="88"/>
      <c r="AH369" s="88"/>
      <c r="AI369" s="88"/>
      <c r="AJ369" s="88"/>
      <c r="AK369" s="88"/>
      <c r="AL369" s="88"/>
      <c r="AM369" s="88">
        <v>76.129032258064512</v>
      </c>
      <c r="AN369" s="88">
        <v>62</v>
      </c>
      <c r="AO369" s="89" t="s">
        <v>56</v>
      </c>
      <c r="AP369" s="90" t="s">
        <v>56</v>
      </c>
      <c r="AQ369" s="146" t="str">
        <f t="shared" si="108"/>
        <v/>
      </c>
      <c r="AR369" s="146" t="str">
        <f t="shared" si="109"/>
        <v/>
      </c>
      <c r="AS369" s="147">
        <v>10</v>
      </c>
      <c r="AT369" s="148" t="s">
        <v>56</v>
      </c>
      <c r="AU369" s="149" t="s">
        <v>56</v>
      </c>
      <c r="AV369" s="146" t="str">
        <f t="shared" si="110"/>
        <v/>
      </c>
      <c r="AW369" s="146" t="str">
        <f t="shared" si="111"/>
        <v/>
      </c>
      <c r="AX369" s="138" t="str">
        <f>IFERROR((1-((AV369*AR369)/(AW369*AQ369)))*100,"")</f>
        <v/>
      </c>
      <c r="AY369" s="95" t="s">
        <v>56</v>
      </c>
      <c r="AZ369" s="96" t="s">
        <v>56</v>
      </c>
      <c r="BA369" s="96"/>
      <c r="BB369" s="96" t="s">
        <v>56</v>
      </c>
      <c r="BC369" s="96"/>
      <c r="BD369" s="97">
        <v>62</v>
      </c>
      <c r="BE369" s="142">
        <f t="shared" si="112"/>
        <v>4949</v>
      </c>
      <c r="BF369" s="88">
        <v>28</v>
      </c>
      <c r="BG369" s="98">
        <v>0</v>
      </c>
      <c r="BH369" s="98">
        <v>4921</v>
      </c>
      <c r="BI369" s="98"/>
      <c r="BJ369" s="98"/>
      <c r="BK369" s="98"/>
      <c r="BL369" s="97"/>
    </row>
    <row r="370" spans="1:64" outlineLevel="5" x14ac:dyDescent="0.3">
      <c r="A370" s="152">
        <f t="shared" si="91"/>
        <v>11</v>
      </c>
      <c r="B370" s="153">
        <f t="shared" si="103"/>
        <v>44144</v>
      </c>
      <c r="C370" s="138">
        <f>IFERROR(ROUND(AVERAGE(D370:K370),1),"")</f>
        <v>38</v>
      </c>
      <c r="D370" s="84">
        <v>38</v>
      </c>
      <c r="E370" s="84">
        <v>38</v>
      </c>
      <c r="F370" s="84"/>
      <c r="G370" s="84"/>
      <c r="H370" s="84"/>
      <c r="I370" s="84"/>
      <c r="J370" s="84"/>
      <c r="K370" s="84"/>
      <c r="L370" s="140">
        <f>IFERROR(ROUND(AVERAGE(M370:T370),1),"")</f>
        <v>7.8</v>
      </c>
      <c r="M370" s="86">
        <v>7.83</v>
      </c>
      <c r="N370" s="86">
        <v>7.71</v>
      </c>
      <c r="O370" s="86"/>
      <c r="P370" s="86"/>
      <c r="Q370" s="86"/>
      <c r="R370" s="86"/>
      <c r="S370" s="86"/>
      <c r="T370" s="86"/>
      <c r="U370" s="142">
        <f>IFERROR(ROUND(AVERAGE(V370:AC370),1),"")</f>
        <v>1048.9000000000001</v>
      </c>
      <c r="V370" s="88">
        <v>1167.8</v>
      </c>
      <c r="W370" s="88">
        <v>929.9</v>
      </c>
      <c r="X370" s="88"/>
      <c r="Y370" s="88"/>
      <c r="Z370" s="88"/>
      <c r="AA370" s="88"/>
      <c r="AB370" s="88"/>
      <c r="AC370" s="88"/>
      <c r="AD370" s="142" t="str">
        <f>IFERROR(ROUND(AVERAGE(AE370:AL370),1),"")</f>
        <v/>
      </c>
      <c r="AE370" s="88"/>
      <c r="AF370" s="88"/>
      <c r="AG370" s="88"/>
      <c r="AH370" s="88"/>
      <c r="AI370" s="88"/>
      <c r="AJ370" s="88"/>
      <c r="AK370" s="88"/>
      <c r="AL370" s="88"/>
      <c r="AM370" s="88">
        <v>37.624551614188924</v>
      </c>
      <c r="AN370" s="88">
        <v>125.44999999999999</v>
      </c>
      <c r="AO370" s="89" t="s">
        <v>56</v>
      </c>
      <c r="AP370" s="90" t="s">
        <v>56</v>
      </c>
      <c r="AQ370" s="146" t="str">
        <f t="shared" si="108"/>
        <v/>
      </c>
      <c r="AR370" s="146" t="str">
        <f t="shared" si="109"/>
        <v/>
      </c>
      <c r="AS370" s="147">
        <v>48</v>
      </c>
      <c r="AT370" s="148">
        <v>16.2</v>
      </c>
      <c r="AU370" s="149">
        <v>8.8999999999999986</v>
      </c>
      <c r="AV370" s="146">
        <f t="shared" si="110"/>
        <v>54.938271604938258</v>
      </c>
      <c r="AW370" s="146">
        <f t="shared" si="111"/>
        <v>45.061728395061742</v>
      </c>
      <c r="AX370" s="138" t="str">
        <f>IFERROR((1-((AV370*AR370)/(AW370*AQ370)))*100,"")</f>
        <v/>
      </c>
      <c r="AY370" s="95">
        <v>74.650000000000006</v>
      </c>
      <c r="AZ370" s="96" t="s">
        <v>56</v>
      </c>
      <c r="BA370" s="96"/>
      <c r="BB370" s="96" t="s">
        <v>56</v>
      </c>
      <c r="BC370" s="96"/>
      <c r="BD370" s="97">
        <v>125.44999999999999</v>
      </c>
      <c r="BE370" s="142">
        <f t="shared" si="112"/>
        <v>4890</v>
      </c>
      <c r="BF370" s="88">
        <v>37</v>
      </c>
      <c r="BG370" s="98">
        <v>245</v>
      </c>
      <c r="BH370" s="98">
        <v>4608</v>
      </c>
      <c r="BI370" s="98"/>
      <c r="BJ370" s="98"/>
      <c r="BK370" s="98"/>
      <c r="BL370" s="97"/>
    </row>
    <row r="371" spans="1:64" outlineLevel="5" x14ac:dyDescent="0.3">
      <c r="A371" s="152">
        <f t="shared" si="91"/>
        <v>11</v>
      </c>
      <c r="B371" s="153">
        <f t="shared" si="103"/>
        <v>44145</v>
      </c>
      <c r="C371" s="138">
        <f>IFERROR(ROUND(AVERAGE(D371:K371),1),"")</f>
        <v>38</v>
      </c>
      <c r="D371" s="84">
        <v>38</v>
      </c>
      <c r="E371" s="84">
        <v>38</v>
      </c>
      <c r="F371" s="84"/>
      <c r="G371" s="84"/>
      <c r="H371" s="84"/>
      <c r="I371" s="84"/>
      <c r="J371" s="84"/>
      <c r="K371" s="84"/>
      <c r="L371" s="140" t="str">
        <f>IFERROR(ROUND(AVERAGE(M371:T371),1),"")</f>
        <v/>
      </c>
      <c r="M371" s="86"/>
      <c r="N371" s="86"/>
      <c r="O371" s="86"/>
      <c r="P371" s="86"/>
      <c r="Q371" s="86"/>
      <c r="R371" s="86"/>
      <c r="S371" s="86"/>
      <c r="T371" s="86"/>
      <c r="U371" s="142" t="str">
        <f>IFERROR(ROUND(AVERAGE(V371:AC371),1),"")</f>
        <v/>
      </c>
      <c r="V371" s="88"/>
      <c r="W371" s="88"/>
      <c r="X371" s="88"/>
      <c r="Y371" s="88"/>
      <c r="Z371" s="88"/>
      <c r="AA371" s="88"/>
      <c r="AB371" s="88"/>
      <c r="AC371" s="88"/>
      <c r="AD371" s="142" t="str">
        <f>IFERROR(ROUND(AVERAGE(AE371:AL371),1),"")</f>
        <v/>
      </c>
      <c r="AE371" s="88"/>
      <c r="AF371" s="88"/>
      <c r="AG371" s="88"/>
      <c r="AH371" s="88"/>
      <c r="AI371" s="88"/>
      <c r="AJ371" s="88"/>
      <c r="AK371" s="88"/>
      <c r="AL371" s="88"/>
      <c r="AM371" s="88">
        <v>43.727997035390032</v>
      </c>
      <c r="AN371" s="88">
        <v>107.94</v>
      </c>
      <c r="AO371" s="89" t="s">
        <v>56</v>
      </c>
      <c r="AP371" s="90"/>
      <c r="AQ371" s="146" t="str">
        <f t="shared" si="108"/>
        <v/>
      </c>
      <c r="AR371" s="146" t="str">
        <f t="shared" si="109"/>
        <v/>
      </c>
      <c r="AS371" s="147">
        <v>45</v>
      </c>
      <c r="AT371" s="148" t="s">
        <v>56</v>
      </c>
      <c r="AU371" s="149" t="s">
        <v>56</v>
      </c>
      <c r="AV371" s="146" t="str">
        <f t="shared" si="110"/>
        <v/>
      </c>
      <c r="AW371" s="146" t="str">
        <f t="shared" si="111"/>
        <v/>
      </c>
      <c r="AX371" s="138" t="str">
        <f>IFERROR((1-((AV371*AR371)/(AW371*AQ371)))*100,"")</f>
        <v/>
      </c>
      <c r="AY371" s="95" t="s">
        <v>56</v>
      </c>
      <c r="AZ371" s="96" t="s">
        <v>56</v>
      </c>
      <c r="BA371" s="96"/>
      <c r="BB371" s="96" t="s">
        <v>56</v>
      </c>
      <c r="BC371" s="96"/>
      <c r="BD371" s="97">
        <v>107.94</v>
      </c>
      <c r="BE371" s="142">
        <f t="shared" si="112"/>
        <v>5234</v>
      </c>
      <c r="BF371" s="88">
        <v>0</v>
      </c>
      <c r="BG371" s="98">
        <v>1575</v>
      </c>
      <c r="BH371" s="98">
        <v>3659</v>
      </c>
      <c r="BI371" s="98"/>
      <c r="BJ371" s="98"/>
      <c r="BK371" s="98"/>
      <c r="BL371" s="97"/>
    </row>
    <row r="372" spans="1:64" outlineLevel="5" x14ac:dyDescent="0.3">
      <c r="A372" s="152">
        <f t="shared" si="91"/>
        <v>11</v>
      </c>
      <c r="B372" s="153">
        <f t="shared" si="103"/>
        <v>44146</v>
      </c>
      <c r="C372" s="138">
        <f>IFERROR(ROUND(AVERAGE(D372:K372),1),"")</f>
        <v>38</v>
      </c>
      <c r="D372" s="84">
        <v>38</v>
      </c>
      <c r="E372" s="84">
        <v>38</v>
      </c>
      <c r="F372" s="84"/>
      <c r="G372" s="84"/>
      <c r="H372" s="84"/>
      <c r="I372" s="84"/>
      <c r="J372" s="84"/>
      <c r="K372" s="84"/>
      <c r="L372" s="140" t="str">
        <f>IFERROR(ROUND(AVERAGE(M372:T372),1),"")</f>
        <v/>
      </c>
      <c r="M372" s="86"/>
      <c r="N372" s="86"/>
      <c r="O372" s="86"/>
      <c r="P372" s="86"/>
      <c r="Q372" s="86"/>
      <c r="R372" s="86"/>
      <c r="S372" s="86"/>
      <c r="T372" s="86"/>
      <c r="U372" s="142" t="str">
        <f>IFERROR(ROUND(AVERAGE(V372:AC372),1),"")</f>
        <v/>
      </c>
      <c r="V372" s="88"/>
      <c r="W372" s="88"/>
      <c r="X372" s="88"/>
      <c r="Y372" s="88"/>
      <c r="Z372" s="88"/>
      <c r="AA372" s="88"/>
      <c r="AB372" s="88"/>
      <c r="AC372" s="88"/>
      <c r="AD372" s="142" t="str">
        <f>IFERROR(ROUND(AVERAGE(AE372:AL372),1),"")</f>
        <v/>
      </c>
      <c r="AE372" s="88"/>
      <c r="AF372" s="88"/>
      <c r="AG372" s="88"/>
      <c r="AH372" s="88"/>
      <c r="AI372" s="88"/>
      <c r="AJ372" s="88"/>
      <c r="AK372" s="88"/>
      <c r="AL372" s="88"/>
      <c r="AM372" s="88">
        <v>36.23800383877159</v>
      </c>
      <c r="AN372" s="88">
        <v>130.25</v>
      </c>
      <c r="AO372" s="89"/>
      <c r="AP372" s="90"/>
      <c r="AQ372" s="146" t="str">
        <f t="shared" si="108"/>
        <v/>
      </c>
      <c r="AR372" s="146" t="str">
        <f t="shared" si="109"/>
        <v/>
      </c>
      <c r="AS372" s="147">
        <v>12</v>
      </c>
      <c r="AT372" s="148" t="s">
        <v>56</v>
      </c>
      <c r="AU372" s="149" t="s">
        <v>56</v>
      </c>
      <c r="AV372" s="146" t="str">
        <f t="shared" si="110"/>
        <v/>
      </c>
      <c r="AW372" s="146" t="str">
        <f t="shared" si="111"/>
        <v/>
      </c>
      <c r="AX372" s="138" t="str">
        <f>IFERROR((1-((AV372*AR372)/(AW372*AQ372)))*100,"")</f>
        <v/>
      </c>
      <c r="AY372" s="95" t="s">
        <v>56</v>
      </c>
      <c r="AZ372" s="96" t="s">
        <v>56</v>
      </c>
      <c r="BA372" s="96"/>
      <c r="BB372" s="96" t="s">
        <v>56</v>
      </c>
      <c r="BC372" s="96"/>
      <c r="BD372" s="97">
        <v>130.25</v>
      </c>
      <c r="BE372" s="142">
        <f t="shared" si="112"/>
        <v>2978</v>
      </c>
      <c r="BF372" s="88">
        <v>60</v>
      </c>
      <c r="BG372" s="98">
        <v>0</v>
      </c>
      <c r="BH372" s="98">
        <v>2918</v>
      </c>
      <c r="BI372" s="98"/>
      <c r="BJ372" s="98"/>
      <c r="BK372" s="98"/>
      <c r="BL372" s="97"/>
    </row>
    <row r="373" spans="1:64" outlineLevel="5" x14ac:dyDescent="0.3">
      <c r="A373" s="152">
        <f t="shared" si="91"/>
        <v>11</v>
      </c>
      <c r="B373" s="153">
        <f t="shared" si="103"/>
        <v>44147</v>
      </c>
      <c r="C373" s="138">
        <f>IFERROR(ROUND(AVERAGE(D373:K373),1),"")</f>
        <v>38</v>
      </c>
      <c r="D373" s="84">
        <v>38</v>
      </c>
      <c r="E373" s="84">
        <v>38</v>
      </c>
      <c r="F373" s="84"/>
      <c r="G373" s="84"/>
      <c r="H373" s="84"/>
      <c r="I373" s="84"/>
      <c r="J373" s="84"/>
      <c r="K373" s="84"/>
      <c r="L373" s="140" t="str">
        <f>IFERROR(ROUND(AVERAGE(M373:T373),1),"")</f>
        <v/>
      </c>
      <c r="M373" s="86"/>
      <c r="N373" s="86"/>
      <c r="O373" s="86"/>
      <c r="P373" s="86"/>
      <c r="Q373" s="86"/>
      <c r="R373" s="86"/>
      <c r="S373" s="86"/>
      <c r="T373" s="86"/>
      <c r="U373" s="142" t="str">
        <f>IFERROR(ROUND(AVERAGE(V373:AC373),1),"")</f>
        <v/>
      </c>
      <c r="V373" s="88"/>
      <c r="W373" s="88"/>
      <c r="X373" s="88"/>
      <c r="Y373" s="88"/>
      <c r="Z373" s="88"/>
      <c r="AA373" s="88"/>
      <c r="AB373" s="88"/>
      <c r="AC373" s="88"/>
      <c r="AD373" s="142" t="str">
        <f>IFERROR(ROUND(AVERAGE(AE373:AL373),1),"")</f>
        <v/>
      </c>
      <c r="AE373" s="88"/>
      <c r="AF373" s="88"/>
      <c r="AG373" s="88"/>
      <c r="AH373" s="88"/>
      <c r="AI373" s="88"/>
      <c r="AJ373" s="88"/>
      <c r="AK373" s="88"/>
      <c r="AL373" s="88"/>
      <c r="AM373" s="88">
        <v>40.96511022391946</v>
      </c>
      <c r="AN373" s="88">
        <v>115.22</v>
      </c>
      <c r="AO373" s="89"/>
      <c r="AP373" s="90"/>
      <c r="AQ373" s="146" t="str">
        <f t="shared" si="108"/>
        <v/>
      </c>
      <c r="AR373" s="146" t="str">
        <f t="shared" si="109"/>
        <v/>
      </c>
      <c r="AS373" s="147">
        <v>36</v>
      </c>
      <c r="AT373" s="148" t="s">
        <v>56</v>
      </c>
      <c r="AU373" s="149" t="s">
        <v>56</v>
      </c>
      <c r="AV373" s="146" t="str">
        <f t="shared" si="110"/>
        <v/>
      </c>
      <c r="AW373" s="146" t="str">
        <f t="shared" si="111"/>
        <v/>
      </c>
      <c r="AX373" s="138" t="str">
        <f>IFERROR((1-((AV373*AR373)/(AW373*AQ373)))*100,"")</f>
        <v/>
      </c>
      <c r="AY373" s="95" t="s">
        <v>56</v>
      </c>
      <c r="AZ373" s="96" t="s">
        <v>56</v>
      </c>
      <c r="BA373" s="96"/>
      <c r="BB373" s="96" t="s">
        <v>56</v>
      </c>
      <c r="BC373" s="96"/>
      <c r="BD373" s="97">
        <v>115.22</v>
      </c>
      <c r="BE373" s="142">
        <f t="shared" si="112"/>
        <v>48</v>
      </c>
      <c r="BF373" s="88">
        <v>42</v>
      </c>
      <c r="BG373" s="98">
        <v>6</v>
      </c>
      <c r="BH373" s="98">
        <v>0</v>
      </c>
      <c r="BI373" s="98"/>
      <c r="BJ373" s="98"/>
      <c r="BK373" s="98"/>
      <c r="BL373" s="97"/>
    </row>
    <row r="374" spans="1:64" outlineLevel="5" x14ac:dyDescent="0.3">
      <c r="A374" s="152">
        <f t="shared" si="91"/>
        <v>11</v>
      </c>
      <c r="B374" s="153">
        <f t="shared" si="103"/>
        <v>44148</v>
      </c>
      <c r="C374" s="138">
        <f>IFERROR(ROUND(AVERAGE(D374:K374),1),"")</f>
        <v>39.5</v>
      </c>
      <c r="D374" s="84">
        <v>39</v>
      </c>
      <c r="E374" s="84">
        <v>40</v>
      </c>
      <c r="F374" s="84"/>
      <c r="G374" s="84"/>
      <c r="H374" s="84"/>
      <c r="I374" s="84"/>
      <c r="J374" s="84"/>
      <c r="K374" s="84"/>
      <c r="L374" s="140">
        <f>IFERROR(ROUND(AVERAGE(M374:T374),1),"")</f>
        <v>7.8</v>
      </c>
      <c r="M374" s="86">
        <v>7.8</v>
      </c>
      <c r="N374" s="86">
        <v>7.72</v>
      </c>
      <c r="O374" s="86"/>
      <c r="P374" s="86"/>
      <c r="Q374" s="86"/>
      <c r="R374" s="86"/>
      <c r="S374" s="86"/>
      <c r="T374" s="86"/>
      <c r="U374" s="142">
        <f>IFERROR(ROUND(AVERAGE(V374:AC374),1),"")</f>
        <v>1081.3</v>
      </c>
      <c r="V374" s="88">
        <v>1211</v>
      </c>
      <c r="W374" s="88">
        <v>951.5</v>
      </c>
      <c r="X374" s="88"/>
      <c r="Y374" s="88"/>
      <c r="Z374" s="88"/>
      <c r="AA374" s="88"/>
      <c r="AB374" s="88"/>
      <c r="AC374" s="88"/>
      <c r="AD374" s="142" t="str">
        <f>IFERROR(ROUND(AVERAGE(AE374:AL374),1),"")</f>
        <v/>
      </c>
      <c r="AE374" s="88"/>
      <c r="AF374" s="88"/>
      <c r="AG374" s="88"/>
      <c r="AH374" s="88"/>
      <c r="AI374" s="88"/>
      <c r="AJ374" s="88"/>
      <c r="AK374" s="88"/>
      <c r="AL374" s="88"/>
      <c r="AM374" s="88">
        <v>40.894125801420905</v>
      </c>
      <c r="AN374" s="88">
        <v>115.41999999999999</v>
      </c>
      <c r="AO374" s="89">
        <v>20.7</v>
      </c>
      <c r="AP374" s="90">
        <v>18.278099999999998</v>
      </c>
      <c r="AQ374" s="146">
        <f t="shared" si="108"/>
        <v>88.3</v>
      </c>
      <c r="AR374" s="146">
        <f t="shared" si="109"/>
        <v>11.700000000000003</v>
      </c>
      <c r="AS374" s="147">
        <v>14</v>
      </c>
      <c r="AT374" s="148">
        <v>15.649999999999999</v>
      </c>
      <c r="AU374" s="149">
        <v>9.35</v>
      </c>
      <c r="AV374" s="146">
        <f t="shared" si="110"/>
        <v>59.744408945686899</v>
      </c>
      <c r="AW374" s="146">
        <f t="shared" si="111"/>
        <v>40.255591054313101</v>
      </c>
      <c r="AX374" s="138">
        <f>IFERROR((1-((AV374*AR374)/(AW374*AQ374)))*100,"")</f>
        <v>80.33489726581459</v>
      </c>
      <c r="AY374" s="95">
        <v>77.599999999999994</v>
      </c>
      <c r="AZ374" s="96" t="s">
        <v>56</v>
      </c>
      <c r="BA374" s="96"/>
      <c r="BB374" s="96" t="s">
        <v>56</v>
      </c>
      <c r="BC374" s="96"/>
      <c r="BD374" s="97">
        <v>115.41999999999999</v>
      </c>
      <c r="BE374" s="142">
        <f t="shared" si="112"/>
        <v>1948</v>
      </c>
      <c r="BF374" s="88">
        <v>32</v>
      </c>
      <c r="BG374" s="98">
        <v>0</v>
      </c>
      <c r="BH374" s="98">
        <v>1916</v>
      </c>
      <c r="BI374" s="98"/>
      <c r="BJ374" s="98"/>
      <c r="BK374" s="98"/>
      <c r="BL374" s="97"/>
    </row>
    <row r="375" spans="1:64" outlineLevel="5" x14ac:dyDescent="0.3">
      <c r="A375" s="152">
        <f t="shared" si="91"/>
        <v>11</v>
      </c>
      <c r="B375" s="153">
        <f t="shared" si="103"/>
        <v>44149</v>
      </c>
      <c r="C375" s="138">
        <f>IFERROR(ROUND(AVERAGE(D375:K375),1),"")</f>
        <v>39</v>
      </c>
      <c r="D375" s="84">
        <v>39</v>
      </c>
      <c r="E375" s="84">
        <v>39</v>
      </c>
      <c r="F375" s="84"/>
      <c r="G375" s="84"/>
      <c r="H375" s="84"/>
      <c r="I375" s="84"/>
      <c r="J375" s="84"/>
      <c r="K375" s="84"/>
      <c r="L375" s="140" t="str">
        <f>IFERROR(ROUND(AVERAGE(M375:T375),1),"")</f>
        <v/>
      </c>
      <c r="M375" s="86"/>
      <c r="N375" s="86"/>
      <c r="O375" s="86"/>
      <c r="P375" s="86"/>
      <c r="Q375" s="86"/>
      <c r="R375" s="86"/>
      <c r="S375" s="86"/>
      <c r="T375" s="86"/>
      <c r="U375" s="142" t="str">
        <f>IFERROR(ROUND(AVERAGE(V375:AC375),1),"")</f>
        <v/>
      </c>
      <c r="V375" s="88"/>
      <c r="W375" s="88"/>
      <c r="X375" s="88"/>
      <c r="Y375" s="88"/>
      <c r="Z375" s="88"/>
      <c r="AA375" s="88"/>
      <c r="AB375" s="88"/>
      <c r="AC375" s="88"/>
      <c r="AD375" s="142" t="str">
        <f>IFERROR(ROUND(AVERAGE(AE375:AL375),1),"")</f>
        <v/>
      </c>
      <c r="AE375" s="88"/>
      <c r="AF375" s="88"/>
      <c r="AG375" s="88"/>
      <c r="AH375" s="88"/>
      <c r="AI375" s="88"/>
      <c r="AJ375" s="88"/>
      <c r="AK375" s="88"/>
      <c r="AL375" s="88"/>
      <c r="AM375" s="88">
        <v>44.494720965309199</v>
      </c>
      <c r="AN375" s="88">
        <v>106.08</v>
      </c>
      <c r="AO375" s="89" t="s">
        <v>56</v>
      </c>
      <c r="AP375" s="90" t="s">
        <v>56</v>
      </c>
      <c r="AQ375" s="146" t="str">
        <f t="shared" si="108"/>
        <v/>
      </c>
      <c r="AR375" s="146" t="str">
        <f t="shared" si="109"/>
        <v/>
      </c>
      <c r="AS375" s="147">
        <v>10</v>
      </c>
      <c r="AT375" s="148" t="s">
        <v>56</v>
      </c>
      <c r="AU375" s="149" t="s">
        <v>56</v>
      </c>
      <c r="AV375" s="146" t="str">
        <f t="shared" si="110"/>
        <v/>
      </c>
      <c r="AW375" s="146" t="str">
        <f t="shared" si="111"/>
        <v/>
      </c>
      <c r="AX375" s="138" t="str">
        <f>IFERROR((1-((AV375*AR375)/(AW375*AQ375)))*100,"")</f>
        <v/>
      </c>
      <c r="AY375" s="95" t="s">
        <v>56</v>
      </c>
      <c r="AZ375" s="96" t="s">
        <v>56</v>
      </c>
      <c r="BA375" s="96"/>
      <c r="BB375" s="96" t="s">
        <v>56</v>
      </c>
      <c r="BC375" s="96"/>
      <c r="BD375" s="97">
        <v>106.08</v>
      </c>
      <c r="BE375" s="142">
        <f t="shared" si="112"/>
        <v>4912</v>
      </c>
      <c r="BF375" s="88">
        <v>0</v>
      </c>
      <c r="BG375" s="98">
        <v>0</v>
      </c>
      <c r="BH375" s="98">
        <v>4912</v>
      </c>
      <c r="BI375" s="98"/>
      <c r="BJ375" s="98"/>
      <c r="BK375" s="98"/>
      <c r="BL375" s="97"/>
    </row>
    <row r="376" spans="1:64" outlineLevel="5" x14ac:dyDescent="0.3">
      <c r="A376" s="152">
        <f t="shared" si="91"/>
        <v>11</v>
      </c>
      <c r="B376" s="153">
        <f t="shared" si="103"/>
        <v>44150</v>
      </c>
      <c r="C376" s="138">
        <f>IFERROR(ROUND(AVERAGE(D376:K376),1),"")</f>
        <v>38.5</v>
      </c>
      <c r="D376" s="84">
        <v>38</v>
      </c>
      <c r="E376" s="84">
        <v>39</v>
      </c>
      <c r="F376" s="84"/>
      <c r="G376" s="84"/>
      <c r="H376" s="84"/>
      <c r="I376" s="84"/>
      <c r="J376" s="84"/>
      <c r="K376" s="84"/>
      <c r="L376" s="140" t="str">
        <f>IFERROR(ROUND(AVERAGE(M376:T376),1),"")</f>
        <v/>
      </c>
      <c r="M376" s="86"/>
      <c r="N376" s="86"/>
      <c r="O376" s="86"/>
      <c r="P376" s="86"/>
      <c r="Q376" s="86"/>
      <c r="R376" s="86"/>
      <c r="S376" s="86"/>
      <c r="T376" s="86"/>
      <c r="U376" s="142" t="str">
        <f>IFERROR(ROUND(AVERAGE(V376:AC376),1),"")</f>
        <v/>
      </c>
      <c r="V376" s="88"/>
      <c r="W376" s="88"/>
      <c r="X376" s="88"/>
      <c r="Y376" s="88"/>
      <c r="Z376" s="88"/>
      <c r="AA376" s="88"/>
      <c r="AB376" s="88"/>
      <c r="AC376" s="88"/>
      <c r="AD376" s="142" t="str">
        <f>IFERROR(ROUND(AVERAGE(AE376:AL376),1),"")</f>
        <v/>
      </c>
      <c r="AE376" s="88"/>
      <c r="AF376" s="88"/>
      <c r="AG376" s="88"/>
      <c r="AH376" s="88"/>
      <c r="AI376" s="88"/>
      <c r="AJ376" s="88"/>
      <c r="AK376" s="88"/>
      <c r="AL376" s="88"/>
      <c r="AM376" s="88">
        <v>65.555555555555557</v>
      </c>
      <c r="AN376" s="88">
        <v>72</v>
      </c>
      <c r="AO376" s="89" t="s">
        <v>56</v>
      </c>
      <c r="AP376" s="90" t="s">
        <v>56</v>
      </c>
      <c r="AQ376" s="146" t="str">
        <f t="shared" si="108"/>
        <v/>
      </c>
      <c r="AR376" s="146" t="str">
        <f t="shared" si="109"/>
        <v/>
      </c>
      <c r="AS376" s="147">
        <v>10</v>
      </c>
      <c r="AT376" s="148" t="s">
        <v>56</v>
      </c>
      <c r="AU376" s="149" t="s">
        <v>56</v>
      </c>
      <c r="AV376" s="146" t="str">
        <f t="shared" si="110"/>
        <v/>
      </c>
      <c r="AW376" s="146" t="str">
        <f t="shared" si="111"/>
        <v/>
      </c>
      <c r="AX376" s="138" t="str">
        <f>IFERROR((1-((AV376*AR376)/(AW376*AQ376)))*100,"")</f>
        <v/>
      </c>
      <c r="AY376" s="95" t="s">
        <v>56</v>
      </c>
      <c r="AZ376" s="96" t="s">
        <v>56</v>
      </c>
      <c r="BA376" s="96"/>
      <c r="BB376" s="96" t="s">
        <v>56</v>
      </c>
      <c r="BC376" s="96"/>
      <c r="BD376" s="97">
        <v>72</v>
      </c>
      <c r="BE376" s="142">
        <f t="shared" si="112"/>
        <v>6213</v>
      </c>
      <c r="BF376" s="88">
        <v>0</v>
      </c>
      <c r="BG376" s="98">
        <v>0</v>
      </c>
      <c r="BH376" s="98">
        <v>6213</v>
      </c>
      <c r="BI376" s="98"/>
      <c r="BJ376" s="98"/>
      <c r="BK376" s="98"/>
      <c r="BL376" s="97"/>
    </row>
    <row r="377" spans="1:64" outlineLevel="5" x14ac:dyDescent="0.3">
      <c r="A377" s="152">
        <f t="shared" si="91"/>
        <v>11</v>
      </c>
      <c r="B377" s="153">
        <f t="shared" si="103"/>
        <v>44151</v>
      </c>
      <c r="C377" s="138">
        <f>IFERROR(ROUND(AVERAGE(D377:K377),1),"")</f>
        <v>38.5</v>
      </c>
      <c r="D377" s="84">
        <v>38</v>
      </c>
      <c r="E377" s="84">
        <v>39</v>
      </c>
      <c r="F377" s="84"/>
      <c r="G377" s="84"/>
      <c r="H377" s="84"/>
      <c r="I377" s="84"/>
      <c r="J377" s="84"/>
      <c r="K377" s="84"/>
      <c r="L377" s="140">
        <f>IFERROR(ROUND(AVERAGE(M377:T377),1),"")</f>
        <v>7.8</v>
      </c>
      <c r="M377" s="86">
        <v>7.81</v>
      </c>
      <c r="N377" s="86">
        <v>7.73</v>
      </c>
      <c r="O377" s="86"/>
      <c r="P377" s="86"/>
      <c r="Q377" s="86"/>
      <c r="R377" s="86"/>
      <c r="S377" s="86"/>
      <c r="T377" s="86"/>
      <c r="U377" s="142">
        <f>IFERROR(ROUND(AVERAGE(V377:AC377),1),"")</f>
        <v>832.6</v>
      </c>
      <c r="V377" s="88">
        <v>951.5</v>
      </c>
      <c r="W377" s="88">
        <v>713.6</v>
      </c>
      <c r="X377" s="88"/>
      <c r="Y377" s="88"/>
      <c r="Z377" s="88"/>
      <c r="AA377" s="88"/>
      <c r="AB377" s="88"/>
      <c r="AC377" s="88"/>
      <c r="AD377" s="142" t="str">
        <f>IFERROR(ROUND(AVERAGE(AE377:AL377),1),"")</f>
        <v/>
      </c>
      <c r="AE377" s="88"/>
      <c r="AF377" s="88"/>
      <c r="AG377" s="88"/>
      <c r="AH377" s="88"/>
      <c r="AI377" s="88"/>
      <c r="AJ377" s="88"/>
      <c r="AK377" s="88"/>
      <c r="AL377" s="88"/>
      <c r="AM377" s="88">
        <v>38.543197778866563</v>
      </c>
      <c r="AN377" s="88">
        <v>122.46000000000001</v>
      </c>
      <c r="AO377" s="89" t="s">
        <v>56</v>
      </c>
      <c r="AP377" s="90"/>
      <c r="AQ377" s="146" t="str">
        <f t="shared" si="108"/>
        <v/>
      </c>
      <c r="AR377" s="146" t="str">
        <f t="shared" si="109"/>
        <v/>
      </c>
      <c r="AS377" s="147">
        <v>35</v>
      </c>
      <c r="AT377" s="148">
        <v>15.95</v>
      </c>
      <c r="AU377" s="149">
        <v>9.6999999999999993</v>
      </c>
      <c r="AV377" s="146">
        <f t="shared" si="110"/>
        <v>60.81504702194357</v>
      </c>
      <c r="AW377" s="146">
        <f t="shared" si="111"/>
        <v>39.18495297805643</v>
      </c>
      <c r="AX377" s="138" t="str">
        <f>IFERROR((1-((AV377*AR377)/(AW377*AQ377)))*100,"")</f>
        <v/>
      </c>
      <c r="AY377" s="95">
        <v>72.300000000000011</v>
      </c>
      <c r="AZ377" s="96" t="s">
        <v>56</v>
      </c>
      <c r="BA377" s="96"/>
      <c r="BB377" s="96" t="s">
        <v>56</v>
      </c>
      <c r="BC377" s="96"/>
      <c r="BD377" s="97">
        <v>122.46000000000001</v>
      </c>
      <c r="BE377" s="142">
        <f t="shared" si="112"/>
        <v>6212</v>
      </c>
      <c r="BF377" s="88">
        <v>29</v>
      </c>
      <c r="BG377" s="98">
        <v>0</v>
      </c>
      <c r="BH377" s="98">
        <v>6183</v>
      </c>
      <c r="BI377" s="98"/>
      <c r="BJ377" s="98"/>
      <c r="BK377" s="98"/>
      <c r="BL377" s="97"/>
    </row>
    <row r="378" spans="1:64" outlineLevel="5" x14ac:dyDescent="0.3">
      <c r="A378" s="152">
        <f t="shared" si="91"/>
        <v>11</v>
      </c>
      <c r="B378" s="153">
        <f t="shared" si="103"/>
        <v>44152</v>
      </c>
      <c r="C378" s="138">
        <f>IFERROR(ROUND(AVERAGE(D378:K378),1),"")</f>
        <v>38</v>
      </c>
      <c r="D378" s="84">
        <v>38</v>
      </c>
      <c r="E378" s="84">
        <v>38</v>
      </c>
      <c r="F378" s="84"/>
      <c r="G378" s="84"/>
      <c r="H378" s="84"/>
      <c r="I378" s="84"/>
      <c r="J378" s="84"/>
      <c r="K378" s="84"/>
      <c r="L378" s="140" t="str">
        <f>IFERROR(ROUND(AVERAGE(M378:T378),1),"")</f>
        <v/>
      </c>
      <c r="M378" s="86"/>
      <c r="N378" s="86"/>
      <c r="O378" s="86"/>
      <c r="P378" s="86"/>
      <c r="Q378" s="86"/>
      <c r="R378" s="86"/>
      <c r="S378" s="86"/>
      <c r="T378" s="86"/>
      <c r="U378" s="142" t="str">
        <f>IFERROR(ROUND(AVERAGE(V378:AC378),1),"")</f>
        <v/>
      </c>
      <c r="V378" s="88"/>
      <c r="W378" s="88"/>
      <c r="X378" s="88"/>
      <c r="Y378" s="88"/>
      <c r="Z378" s="88"/>
      <c r="AA378" s="88"/>
      <c r="AB378" s="88"/>
      <c r="AC378" s="88"/>
      <c r="AD378" s="142" t="str">
        <f>IFERROR(ROUND(AVERAGE(AE378:AL378),1),"")</f>
        <v/>
      </c>
      <c r="AE378" s="88"/>
      <c r="AF378" s="88"/>
      <c r="AG378" s="88"/>
      <c r="AH378" s="88"/>
      <c r="AI378" s="88"/>
      <c r="AJ378" s="88"/>
      <c r="AK378" s="88"/>
      <c r="AL378" s="88"/>
      <c r="AM378" s="88">
        <v>33.563251084405891</v>
      </c>
      <c r="AN378" s="88">
        <v>140.63</v>
      </c>
      <c r="AO378" s="89" t="s">
        <v>56</v>
      </c>
      <c r="AP378" s="90"/>
      <c r="AQ378" s="146" t="str">
        <f t="shared" si="108"/>
        <v/>
      </c>
      <c r="AR378" s="146" t="str">
        <f t="shared" si="109"/>
        <v/>
      </c>
      <c r="AS378" s="147">
        <v>35</v>
      </c>
      <c r="AT378" s="148" t="s">
        <v>56</v>
      </c>
      <c r="AU378" s="149" t="s">
        <v>56</v>
      </c>
      <c r="AV378" s="146" t="str">
        <f t="shared" si="110"/>
        <v/>
      </c>
      <c r="AW378" s="146" t="str">
        <f t="shared" si="111"/>
        <v/>
      </c>
      <c r="AX378" s="138" t="str">
        <f>IFERROR((1-((AV378*AR378)/(AW378*AQ378)))*100,"")</f>
        <v/>
      </c>
      <c r="AY378" s="95" t="s">
        <v>56</v>
      </c>
      <c r="AZ378" s="96" t="s">
        <v>56</v>
      </c>
      <c r="BA378" s="96"/>
      <c r="BB378" s="96" t="s">
        <v>56</v>
      </c>
      <c r="BC378" s="96"/>
      <c r="BD378" s="97">
        <v>140.63</v>
      </c>
      <c r="BE378" s="142">
        <f t="shared" si="112"/>
        <v>7398</v>
      </c>
      <c r="BF378" s="88">
        <v>0</v>
      </c>
      <c r="BG378" s="98">
        <v>1431</v>
      </c>
      <c r="BH378" s="98">
        <v>5967</v>
      </c>
      <c r="BI378" s="98"/>
      <c r="BJ378" s="98"/>
      <c r="BK378" s="98"/>
      <c r="BL378" s="97"/>
    </row>
    <row r="379" spans="1:64" outlineLevel="5" x14ac:dyDescent="0.3">
      <c r="A379" s="152">
        <f t="shared" ref="A379:A426" si="113">MONTH(B379)</f>
        <v>11</v>
      </c>
      <c r="B379" s="153">
        <f t="shared" si="103"/>
        <v>44153</v>
      </c>
      <c r="C379" s="138">
        <f>IFERROR(ROUND(AVERAGE(D379:K379),1),"")</f>
        <v>38</v>
      </c>
      <c r="D379" s="84">
        <v>38</v>
      </c>
      <c r="E379" s="84">
        <v>38</v>
      </c>
      <c r="F379" s="84"/>
      <c r="G379" s="84"/>
      <c r="H379" s="84"/>
      <c r="I379" s="84"/>
      <c r="J379" s="84"/>
      <c r="K379" s="84"/>
      <c r="L379" s="140">
        <f>IFERROR(ROUND(AVERAGE(M379:T379),1),"")</f>
        <v>7.8</v>
      </c>
      <c r="M379" s="86">
        <v>7.83</v>
      </c>
      <c r="N379" s="86">
        <v>7.73</v>
      </c>
      <c r="O379" s="86"/>
      <c r="P379" s="86"/>
      <c r="Q379" s="86"/>
      <c r="R379" s="86"/>
      <c r="S379" s="86"/>
      <c r="T379" s="86"/>
      <c r="U379" s="142">
        <f>IFERROR(ROUND(AVERAGE(V379:AC379),1),"")</f>
        <v>821.8</v>
      </c>
      <c r="V379" s="88">
        <v>865</v>
      </c>
      <c r="W379" s="88">
        <v>778.5</v>
      </c>
      <c r="X379" s="88"/>
      <c r="Y379" s="88"/>
      <c r="Z379" s="88"/>
      <c r="AA379" s="88"/>
      <c r="AB379" s="88"/>
      <c r="AC379" s="88"/>
      <c r="AD379" s="142" t="str">
        <f>IFERROR(ROUND(AVERAGE(AE379:AL379),1),"")</f>
        <v/>
      </c>
      <c r="AE379" s="88"/>
      <c r="AF379" s="88"/>
      <c r="AG379" s="88"/>
      <c r="AH379" s="88"/>
      <c r="AI379" s="88"/>
      <c r="AJ379" s="88"/>
      <c r="AK379" s="88"/>
      <c r="AL379" s="88"/>
      <c r="AM379" s="88">
        <v>34.818530539982298</v>
      </c>
      <c r="AN379" s="88">
        <v>135.56</v>
      </c>
      <c r="AO379" s="89"/>
      <c r="AP379" s="90"/>
      <c r="AQ379" s="146" t="str">
        <f t="shared" si="108"/>
        <v/>
      </c>
      <c r="AR379" s="146" t="str">
        <f t="shared" si="109"/>
        <v/>
      </c>
      <c r="AS379" s="147">
        <v>30</v>
      </c>
      <c r="AT379" s="148">
        <v>16.200000000000003</v>
      </c>
      <c r="AU379" s="149">
        <v>9.4499999999999993</v>
      </c>
      <c r="AV379" s="146">
        <f t="shared" si="110"/>
        <v>58.333333333333314</v>
      </c>
      <c r="AW379" s="146">
        <f t="shared" si="111"/>
        <v>41.666666666666686</v>
      </c>
      <c r="AX379" s="138" t="str">
        <f>IFERROR((1-((AV379*AR379)/(AW379*AQ379)))*100,"")</f>
        <v/>
      </c>
      <c r="AY379" s="95">
        <v>76</v>
      </c>
      <c r="AZ379" s="96" t="s">
        <v>56</v>
      </c>
      <c r="BA379" s="96"/>
      <c r="BB379" s="96" t="s">
        <v>56</v>
      </c>
      <c r="BC379" s="96"/>
      <c r="BD379" s="97">
        <v>135.56</v>
      </c>
      <c r="BE379" s="142">
        <f t="shared" si="112"/>
        <v>7587</v>
      </c>
      <c r="BF379" s="88">
        <v>0</v>
      </c>
      <c r="BG379" s="98">
        <v>3224</v>
      </c>
      <c r="BH379" s="98">
        <v>4363</v>
      </c>
      <c r="BI379" s="98"/>
      <c r="BJ379" s="98"/>
      <c r="BK379" s="98"/>
      <c r="BL379" s="97"/>
    </row>
    <row r="380" spans="1:64" outlineLevel="5" x14ac:dyDescent="0.3">
      <c r="A380" s="152">
        <f t="shared" si="113"/>
        <v>11</v>
      </c>
      <c r="B380" s="153">
        <f t="shared" si="103"/>
        <v>44154</v>
      </c>
      <c r="C380" s="138">
        <f>IFERROR(ROUND(AVERAGE(D380:K380),1),"")</f>
        <v>38</v>
      </c>
      <c r="D380" s="84">
        <v>38</v>
      </c>
      <c r="E380" s="84">
        <v>38</v>
      </c>
      <c r="F380" s="84"/>
      <c r="G380" s="84"/>
      <c r="H380" s="84"/>
      <c r="I380" s="84"/>
      <c r="J380" s="84"/>
      <c r="K380" s="84"/>
      <c r="L380" s="140" t="str">
        <f>IFERROR(ROUND(AVERAGE(M380:T380),1),"")</f>
        <v/>
      </c>
      <c r="M380" s="86"/>
      <c r="N380" s="86"/>
      <c r="O380" s="86"/>
      <c r="P380" s="86"/>
      <c r="Q380" s="86"/>
      <c r="R380" s="86"/>
      <c r="S380" s="86"/>
      <c r="T380" s="86"/>
      <c r="U380" s="142" t="str">
        <f>IFERROR(ROUND(AVERAGE(V380:AC380),1),"")</f>
        <v/>
      </c>
      <c r="V380" s="88"/>
      <c r="W380" s="88"/>
      <c r="X380" s="88"/>
      <c r="Y380" s="88"/>
      <c r="Z380" s="88"/>
      <c r="AA380" s="88"/>
      <c r="AB380" s="88"/>
      <c r="AC380" s="88"/>
      <c r="AD380" s="142" t="str">
        <f>IFERROR(ROUND(AVERAGE(AE380:AL380),1),"")</f>
        <v/>
      </c>
      <c r="AE380" s="88"/>
      <c r="AF380" s="88"/>
      <c r="AG380" s="88"/>
      <c r="AH380" s="88"/>
      <c r="AI380" s="88"/>
      <c r="AJ380" s="88"/>
      <c r="AK380" s="88"/>
      <c r="AL380" s="88"/>
      <c r="AM380" s="88">
        <v>43.105022831050228</v>
      </c>
      <c r="AN380" s="88">
        <v>109.5</v>
      </c>
      <c r="AO380" s="89"/>
      <c r="AP380" s="90"/>
      <c r="AQ380" s="146" t="str">
        <f t="shared" si="108"/>
        <v/>
      </c>
      <c r="AR380" s="146" t="str">
        <f t="shared" si="109"/>
        <v/>
      </c>
      <c r="AS380" s="147">
        <v>0</v>
      </c>
      <c r="AT380" s="148" t="s">
        <v>56</v>
      </c>
      <c r="AU380" s="149" t="s">
        <v>56</v>
      </c>
      <c r="AV380" s="146" t="str">
        <f t="shared" si="110"/>
        <v/>
      </c>
      <c r="AW380" s="146" t="str">
        <f t="shared" si="111"/>
        <v/>
      </c>
      <c r="AX380" s="138" t="str">
        <f>IFERROR((1-((AV380*AR380)/(AW380*AQ380)))*100,"")</f>
        <v/>
      </c>
      <c r="AY380" s="95" t="s">
        <v>56</v>
      </c>
      <c r="AZ380" s="96" t="s">
        <v>56</v>
      </c>
      <c r="BA380" s="96"/>
      <c r="BB380" s="96" t="s">
        <v>56</v>
      </c>
      <c r="BC380" s="96"/>
      <c r="BD380" s="97">
        <v>109.5</v>
      </c>
      <c r="BE380" s="142">
        <f t="shared" si="112"/>
        <v>4866</v>
      </c>
      <c r="BF380" s="88">
        <v>39</v>
      </c>
      <c r="BG380" s="98">
        <v>1777</v>
      </c>
      <c r="BH380" s="98">
        <v>3050</v>
      </c>
      <c r="BI380" s="98"/>
      <c r="BJ380" s="98"/>
      <c r="BK380" s="98"/>
      <c r="BL380" s="97"/>
    </row>
    <row r="381" spans="1:64" outlineLevel="5" x14ac:dyDescent="0.3">
      <c r="A381" s="152">
        <f t="shared" si="113"/>
        <v>11</v>
      </c>
      <c r="B381" s="153">
        <f t="shared" si="103"/>
        <v>44155</v>
      </c>
      <c r="C381" s="138">
        <f>IFERROR(ROUND(AVERAGE(D381:K381),1),"")</f>
        <v>38</v>
      </c>
      <c r="D381" s="84">
        <v>38</v>
      </c>
      <c r="E381" s="84">
        <v>38</v>
      </c>
      <c r="F381" s="84"/>
      <c r="G381" s="84"/>
      <c r="H381" s="84"/>
      <c r="I381" s="84"/>
      <c r="J381" s="84"/>
      <c r="K381" s="84"/>
      <c r="L381" s="140" t="str">
        <f>IFERROR(ROUND(AVERAGE(M381:T381),1),"")</f>
        <v/>
      </c>
      <c r="M381" s="86"/>
      <c r="N381" s="86"/>
      <c r="O381" s="86"/>
      <c r="P381" s="86"/>
      <c r="Q381" s="86"/>
      <c r="R381" s="86"/>
      <c r="S381" s="86"/>
      <c r="T381" s="86"/>
      <c r="U381" s="142" t="str">
        <f>IFERROR(ROUND(AVERAGE(V381:AC381),1),"")</f>
        <v/>
      </c>
      <c r="V381" s="88"/>
      <c r="W381" s="88"/>
      <c r="X381" s="88"/>
      <c r="Y381" s="88"/>
      <c r="Z381" s="88"/>
      <c r="AA381" s="88"/>
      <c r="AB381" s="88"/>
      <c r="AC381" s="88"/>
      <c r="AD381" s="142" t="str">
        <f>IFERROR(ROUND(AVERAGE(AE381:AL381),1),"")</f>
        <v/>
      </c>
      <c r="AE381" s="88"/>
      <c r="AF381" s="88"/>
      <c r="AG381" s="88"/>
      <c r="AH381" s="88"/>
      <c r="AI381" s="88"/>
      <c r="AJ381" s="88"/>
      <c r="AK381" s="88"/>
      <c r="AL381" s="88"/>
      <c r="AM381" s="88">
        <v>40.259297168201982</v>
      </c>
      <c r="AN381" s="88">
        <v>117.24</v>
      </c>
      <c r="AO381" s="89" t="s">
        <v>56</v>
      </c>
      <c r="AP381" s="90"/>
      <c r="AQ381" s="146" t="str">
        <f t="shared" si="108"/>
        <v/>
      </c>
      <c r="AR381" s="146" t="str">
        <f t="shared" si="109"/>
        <v/>
      </c>
      <c r="AS381" s="147">
        <v>15</v>
      </c>
      <c r="AT381" s="148" t="s">
        <v>56</v>
      </c>
      <c r="AU381" s="149" t="s">
        <v>56</v>
      </c>
      <c r="AV381" s="146" t="str">
        <f t="shared" si="110"/>
        <v/>
      </c>
      <c r="AW381" s="146" t="str">
        <f t="shared" si="111"/>
        <v/>
      </c>
      <c r="AX381" s="138" t="str">
        <f>IFERROR((1-((AV381*AR381)/(AW381*AQ381)))*100,"")</f>
        <v/>
      </c>
      <c r="AY381" s="95" t="s">
        <v>56</v>
      </c>
      <c r="AZ381" s="96" t="s">
        <v>56</v>
      </c>
      <c r="BA381" s="96"/>
      <c r="BB381" s="96" t="s">
        <v>56</v>
      </c>
      <c r="BC381" s="96"/>
      <c r="BD381" s="97">
        <v>117.24</v>
      </c>
      <c r="BE381" s="142">
        <f t="shared" si="112"/>
        <v>6864</v>
      </c>
      <c r="BF381" s="88">
        <v>0</v>
      </c>
      <c r="BG381" s="98">
        <v>2346</v>
      </c>
      <c r="BH381" s="98">
        <v>4518</v>
      </c>
      <c r="BI381" s="98"/>
      <c r="BJ381" s="98"/>
      <c r="BK381" s="98"/>
      <c r="BL381" s="97"/>
    </row>
    <row r="382" spans="1:64" outlineLevel="5" x14ac:dyDescent="0.3">
      <c r="A382" s="152">
        <f t="shared" si="113"/>
        <v>11</v>
      </c>
      <c r="B382" s="153">
        <f t="shared" si="103"/>
        <v>44156</v>
      </c>
      <c r="C382" s="138">
        <f>IFERROR(ROUND(AVERAGE(D382:K382),1),"")</f>
        <v>38</v>
      </c>
      <c r="D382" s="84">
        <v>38</v>
      </c>
      <c r="E382" s="84">
        <v>38</v>
      </c>
      <c r="F382" s="84"/>
      <c r="G382" s="84"/>
      <c r="H382" s="84"/>
      <c r="I382" s="84"/>
      <c r="J382" s="84"/>
      <c r="K382" s="84"/>
      <c r="L382" s="140" t="str">
        <f>IFERROR(ROUND(AVERAGE(M382:T382),1),"")</f>
        <v/>
      </c>
      <c r="M382" s="86"/>
      <c r="N382" s="86"/>
      <c r="O382" s="86"/>
      <c r="P382" s="86"/>
      <c r="Q382" s="86"/>
      <c r="R382" s="86"/>
      <c r="S382" s="86"/>
      <c r="T382" s="86"/>
      <c r="U382" s="142" t="str">
        <f>IFERROR(ROUND(AVERAGE(V382:AC382),1),"")</f>
        <v/>
      </c>
      <c r="V382" s="88"/>
      <c r="W382" s="88"/>
      <c r="X382" s="88"/>
      <c r="Y382" s="88"/>
      <c r="Z382" s="88"/>
      <c r="AA382" s="88"/>
      <c r="AB382" s="88"/>
      <c r="AC382" s="88"/>
      <c r="AD382" s="142" t="str">
        <f>IFERROR(ROUND(AVERAGE(AE382:AL382),1),"")</f>
        <v/>
      </c>
      <c r="AE382" s="88"/>
      <c r="AF382" s="88"/>
      <c r="AG382" s="88"/>
      <c r="AH382" s="88"/>
      <c r="AI382" s="88"/>
      <c r="AJ382" s="88"/>
      <c r="AK382" s="88"/>
      <c r="AL382" s="88"/>
      <c r="AM382" s="88">
        <v>52.137413012261128</v>
      </c>
      <c r="AN382" s="88">
        <v>90.53</v>
      </c>
      <c r="AO382" s="89" t="s">
        <v>56</v>
      </c>
      <c r="AP382" s="90"/>
      <c r="AQ382" s="146" t="str">
        <f t="shared" si="108"/>
        <v/>
      </c>
      <c r="AR382" s="146" t="str">
        <f t="shared" si="109"/>
        <v/>
      </c>
      <c r="AS382" s="147">
        <v>10</v>
      </c>
      <c r="AT382" s="148" t="s">
        <v>56</v>
      </c>
      <c r="AU382" s="149" t="s">
        <v>56</v>
      </c>
      <c r="AV382" s="146" t="str">
        <f t="shared" si="110"/>
        <v/>
      </c>
      <c r="AW382" s="146" t="str">
        <f t="shared" si="111"/>
        <v/>
      </c>
      <c r="AX382" s="138" t="str">
        <f>IFERROR((1-((AV382*AR382)/(AW382*AQ382)))*100,"")</f>
        <v/>
      </c>
      <c r="AY382" s="95" t="s">
        <v>56</v>
      </c>
      <c r="AZ382" s="96" t="s">
        <v>56</v>
      </c>
      <c r="BA382" s="96"/>
      <c r="BB382" s="96" t="s">
        <v>56</v>
      </c>
      <c r="BC382" s="96"/>
      <c r="BD382" s="97">
        <v>90.53</v>
      </c>
      <c r="BE382" s="142">
        <f t="shared" si="112"/>
        <v>5125</v>
      </c>
      <c r="BF382" s="88">
        <v>0</v>
      </c>
      <c r="BG382" s="98">
        <v>935</v>
      </c>
      <c r="BH382" s="98">
        <v>4190</v>
      </c>
      <c r="BI382" s="98"/>
      <c r="BJ382" s="98"/>
      <c r="BK382" s="98"/>
      <c r="BL382" s="97"/>
    </row>
    <row r="383" spans="1:64" outlineLevel="5" x14ac:dyDescent="0.3">
      <c r="A383" s="152">
        <f t="shared" si="113"/>
        <v>11</v>
      </c>
      <c r="B383" s="153">
        <f t="shared" si="103"/>
        <v>44157</v>
      </c>
      <c r="C383" s="138">
        <f>IFERROR(ROUND(AVERAGE(D383:K383),1),"")</f>
        <v>39</v>
      </c>
      <c r="D383" s="84">
        <v>39</v>
      </c>
      <c r="E383" s="84">
        <v>39</v>
      </c>
      <c r="F383" s="84"/>
      <c r="G383" s="84"/>
      <c r="H383" s="84"/>
      <c r="I383" s="84"/>
      <c r="J383" s="84"/>
      <c r="K383" s="84"/>
      <c r="L383" s="140" t="str">
        <f>IFERROR(ROUND(AVERAGE(M383:T383),1),"")</f>
        <v/>
      </c>
      <c r="M383" s="86"/>
      <c r="N383" s="86"/>
      <c r="O383" s="86"/>
      <c r="P383" s="86"/>
      <c r="Q383" s="86"/>
      <c r="R383" s="86"/>
      <c r="S383" s="86"/>
      <c r="T383" s="86"/>
      <c r="U383" s="142" t="str">
        <f>IFERROR(ROUND(AVERAGE(V383:AC383),1),"")</f>
        <v/>
      </c>
      <c r="V383" s="88"/>
      <c r="W383" s="88"/>
      <c r="X383" s="88"/>
      <c r="Y383" s="88"/>
      <c r="Z383" s="88"/>
      <c r="AA383" s="88"/>
      <c r="AB383" s="88"/>
      <c r="AC383" s="88"/>
      <c r="AD383" s="142" t="str">
        <f>IFERROR(ROUND(AVERAGE(AE383:AL383),1),"")</f>
        <v/>
      </c>
      <c r="AE383" s="88"/>
      <c r="AF383" s="88"/>
      <c r="AG383" s="88"/>
      <c r="AH383" s="88"/>
      <c r="AI383" s="88"/>
      <c r="AJ383" s="88"/>
      <c r="AK383" s="88"/>
      <c r="AL383" s="88"/>
      <c r="AM383" s="88">
        <v>67.428571428571431</v>
      </c>
      <c r="AN383" s="88">
        <v>70</v>
      </c>
      <c r="AO383" s="89" t="s">
        <v>56</v>
      </c>
      <c r="AP383" s="90"/>
      <c r="AQ383" s="146" t="str">
        <f t="shared" si="108"/>
        <v/>
      </c>
      <c r="AR383" s="146" t="str">
        <f t="shared" si="109"/>
        <v/>
      </c>
      <c r="AS383" s="147">
        <v>0</v>
      </c>
      <c r="AT383" s="148" t="s">
        <v>56</v>
      </c>
      <c r="AU383" s="149" t="s">
        <v>56</v>
      </c>
      <c r="AV383" s="146" t="str">
        <f t="shared" si="110"/>
        <v/>
      </c>
      <c r="AW383" s="146" t="str">
        <f t="shared" si="111"/>
        <v/>
      </c>
      <c r="AX383" s="138" t="str">
        <f>IFERROR((1-((AV383*AR383)/(AW383*AQ383)))*100,"")</f>
        <v/>
      </c>
      <c r="AY383" s="95" t="s">
        <v>56</v>
      </c>
      <c r="AZ383" s="96" t="s">
        <v>56</v>
      </c>
      <c r="BA383" s="96"/>
      <c r="BB383" s="96" t="s">
        <v>56</v>
      </c>
      <c r="BC383" s="96"/>
      <c r="BD383" s="97">
        <v>70</v>
      </c>
      <c r="BE383" s="142">
        <f t="shared" si="112"/>
        <v>4798</v>
      </c>
      <c r="BF383" s="88">
        <v>0</v>
      </c>
      <c r="BG383" s="98">
        <v>1255</v>
      </c>
      <c r="BH383" s="98">
        <v>3543</v>
      </c>
      <c r="BI383" s="98"/>
      <c r="BJ383" s="98"/>
      <c r="BK383" s="98"/>
      <c r="BL383" s="97"/>
    </row>
    <row r="384" spans="1:64" outlineLevel="5" x14ac:dyDescent="0.3">
      <c r="A384" s="152">
        <f t="shared" si="113"/>
        <v>11</v>
      </c>
      <c r="B384" s="153">
        <f t="shared" si="103"/>
        <v>44158</v>
      </c>
      <c r="C384" s="138">
        <f>IFERROR(ROUND(AVERAGE(D384:K384),1),"")</f>
        <v>38</v>
      </c>
      <c r="D384" s="84">
        <v>38</v>
      </c>
      <c r="E384" s="84">
        <v>38</v>
      </c>
      <c r="F384" s="84"/>
      <c r="G384" s="84"/>
      <c r="H384" s="84"/>
      <c r="I384" s="84"/>
      <c r="J384" s="84"/>
      <c r="K384" s="84"/>
      <c r="L384" s="140" t="str">
        <f>IFERROR(ROUND(AVERAGE(M384:T384),1),"")</f>
        <v/>
      </c>
      <c r="M384" s="86"/>
      <c r="N384" s="86"/>
      <c r="O384" s="86"/>
      <c r="P384" s="86"/>
      <c r="Q384" s="86"/>
      <c r="R384" s="86"/>
      <c r="S384" s="86"/>
      <c r="T384" s="86"/>
      <c r="U384" s="142" t="str">
        <f>IFERROR(ROUND(AVERAGE(V384:AC384),1),"")</f>
        <v/>
      </c>
      <c r="V384" s="88"/>
      <c r="W384" s="88"/>
      <c r="X384" s="88"/>
      <c r="Y384" s="88"/>
      <c r="Z384" s="88"/>
      <c r="AA384" s="88"/>
      <c r="AB384" s="88"/>
      <c r="AC384" s="88"/>
      <c r="AD384" s="142" t="str">
        <f>IFERROR(ROUND(AVERAGE(AE384:AL384),1),"")</f>
        <v/>
      </c>
      <c r="AE384" s="88"/>
      <c r="AF384" s="88"/>
      <c r="AG384" s="88"/>
      <c r="AH384" s="88"/>
      <c r="AI384" s="88"/>
      <c r="AJ384" s="88"/>
      <c r="AK384" s="88"/>
      <c r="AL384" s="88"/>
      <c r="AM384" s="88">
        <v>36.049797601771935</v>
      </c>
      <c r="AN384" s="88">
        <v>130.93</v>
      </c>
      <c r="AO384" s="89" t="s">
        <v>56</v>
      </c>
      <c r="AP384" s="90"/>
      <c r="AQ384" s="146" t="str">
        <f t="shared" si="108"/>
        <v/>
      </c>
      <c r="AR384" s="146" t="str">
        <f t="shared" si="109"/>
        <v/>
      </c>
      <c r="AS384" s="147">
        <v>50</v>
      </c>
      <c r="AT384" s="148" t="s">
        <v>56</v>
      </c>
      <c r="AU384" s="149" t="s">
        <v>56</v>
      </c>
      <c r="AV384" s="146" t="str">
        <f t="shared" si="110"/>
        <v/>
      </c>
      <c r="AW384" s="146" t="str">
        <f t="shared" si="111"/>
        <v/>
      </c>
      <c r="AX384" s="138" t="str">
        <f>IFERROR((1-((AV384*AR384)/(AW384*AQ384)))*100,"")</f>
        <v/>
      </c>
      <c r="AY384" s="95" t="s">
        <v>56</v>
      </c>
      <c r="AZ384" s="96" t="s">
        <v>56</v>
      </c>
      <c r="BA384" s="96"/>
      <c r="BB384" s="96" t="s">
        <v>56</v>
      </c>
      <c r="BC384" s="96"/>
      <c r="BD384" s="97">
        <v>130.93</v>
      </c>
      <c r="BE384" s="142">
        <f t="shared" si="112"/>
        <v>4576</v>
      </c>
      <c r="BF384" s="88">
        <v>28</v>
      </c>
      <c r="BG384" s="98">
        <v>703</v>
      </c>
      <c r="BH384" s="98">
        <v>3845</v>
      </c>
      <c r="BI384" s="98"/>
      <c r="BJ384" s="98"/>
      <c r="BK384" s="98"/>
      <c r="BL384" s="97"/>
    </row>
    <row r="385" spans="1:64" outlineLevel="5" x14ac:dyDescent="0.3">
      <c r="A385" s="152">
        <f t="shared" si="113"/>
        <v>11</v>
      </c>
      <c r="B385" s="153">
        <f t="shared" si="103"/>
        <v>44159</v>
      </c>
      <c r="C385" s="138">
        <f>IFERROR(ROUND(AVERAGE(D385:K385),1),"")</f>
        <v>38</v>
      </c>
      <c r="D385" s="84">
        <v>38</v>
      </c>
      <c r="E385" s="84">
        <v>38</v>
      </c>
      <c r="F385" s="84"/>
      <c r="G385" s="84"/>
      <c r="H385" s="84"/>
      <c r="I385" s="84"/>
      <c r="J385" s="84"/>
      <c r="K385" s="84"/>
      <c r="L385" s="140" t="str">
        <f>IFERROR(ROUND(AVERAGE(M385:T385),1),"")</f>
        <v/>
      </c>
      <c r="M385" s="86"/>
      <c r="N385" s="86"/>
      <c r="O385" s="86"/>
      <c r="P385" s="86"/>
      <c r="Q385" s="86"/>
      <c r="R385" s="86"/>
      <c r="S385" s="86"/>
      <c r="T385" s="86"/>
      <c r="U385" s="142" t="str">
        <f>IFERROR(ROUND(AVERAGE(V385:AC385),1),"")</f>
        <v/>
      </c>
      <c r="V385" s="88"/>
      <c r="W385" s="88"/>
      <c r="X385" s="88"/>
      <c r="Y385" s="88"/>
      <c r="Z385" s="88"/>
      <c r="AA385" s="88"/>
      <c r="AB385" s="88"/>
      <c r="AC385" s="88"/>
      <c r="AD385" s="142" t="str">
        <f>IFERROR(ROUND(AVERAGE(AE385:AL385),1),"")</f>
        <v/>
      </c>
      <c r="AE385" s="88"/>
      <c r="AF385" s="88"/>
      <c r="AG385" s="88"/>
      <c r="AH385" s="88"/>
      <c r="AI385" s="88"/>
      <c r="AJ385" s="88"/>
      <c r="AK385" s="88"/>
      <c r="AL385" s="88"/>
      <c r="AM385" s="88">
        <v>33.998415328099121</v>
      </c>
      <c r="AN385" s="88">
        <v>138.82999999999998</v>
      </c>
      <c r="AO385" s="89" t="s">
        <v>56</v>
      </c>
      <c r="AP385" s="90"/>
      <c r="AQ385" s="146" t="str">
        <f t="shared" si="108"/>
        <v/>
      </c>
      <c r="AR385" s="146" t="str">
        <f t="shared" si="109"/>
        <v/>
      </c>
      <c r="AS385" s="147">
        <v>50</v>
      </c>
      <c r="AT385" s="148" t="s">
        <v>56</v>
      </c>
      <c r="AU385" s="149" t="s">
        <v>56</v>
      </c>
      <c r="AV385" s="146" t="str">
        <f t="shared" si="110"/>
        <v/>
      </c>
      <c r="AW385" s="146" t="str">
        <f t="shared" si="111"/>
        <v/>
      </c>
      <c r="AX385" s="138" t="str">
        <f>IFERROR((1-((AV385*AR385)/(AW385*AQ385)))*100,"")</f>
        <v/>
      </c>
      <c r="AY385" s="95" t="s">
        <v>56</v>
      </c>
      <c r="AZ385" s="96" t="s">
        <v>56</v>
      </c>
      <c r="BA385" s="96"/>
      <c r="BB385" s="96" t="s">
        <v>56</v>
      </c>
      <c r="BC385" s="96"/>
      <c r="BD385" s="97">
        <v>138.82999999999998</v>
      </c>
      <c r="BE385" s="142">
        <f t="shared" si="112"/>
        <v>8834</v>
      </c>
      <c r="BF385" s="88">
        <v>44</v>
      </c>
      <c r="BG385" s="98">
        <v>1555</v>
      </c>
      <c r="BH385" s="98">
        <v>7235</v>
      </c>
      <c r="BI385" s="98"/>
      <c r="BJ385" s="98"/>
      <c r="BK385" s="98"/>
      <c r="BL385" s="97"/>
    </row>
    <row r="386" spans="1:64" outlineLevel="5" x14ac:dyDescent="0.3">
      <c r="A386" s="152">
        <f t="shared" si="113"/>
        <v>11</v>
      </c>
      <c r="B386" s="153">
        <f t="shared" si="103"/>
        <v>44160</v>
      </c>
      <c r="C386" s="138">
        <f>IFERROR(ROUND(AVERAGE(D386:K386),1),"")</f>
        <v>38</v>
      </c>
      <c r="D386" s="84">
        <v>38</v>
      </c>
      <c r="E386" s="84">
        <v>38</v>
      </c>
      <c r="F386" s="84"/>
      <c r="G386" s="84"/>
      <c r="H386" s="84"/>
      <c r="I386" s="84"/>
      <c r="J386" s="84"/>
      <c r="K386" s="84"/>
      <c r="L386" s="140" t="str">
        <f>IFERROR(ROUND(AVERAGE(M386:T386),1),"")</f>
        <v/>
      </c>
      <c r="M386" s="86"/>
      <c r="N386" s="86"/>
      <c r="O386" s="86"/>
      <c r="P386" s="86"/>
      <c r="Q386" s="86"/>
      <c r="R386" s="86"/>
      <c r="S386" s="86"/>
      <c r="T386" s="86"/>
      <c r="U386" s="142" t="str">
        <f>IFERROR(ROUND(AVERAGE(V386:AC386),1),"")</f>
        <v/>
      </c>
      <c r="V386" s="88"/>
      <c r="W386" s="88"/>
      <c r="X386" s="88"/>
      <c r="Y386" s="88"/>
      <c r="Z386" s="88"/>
      <c r="AA386" s="88"/>
      <c r="AB386" s="88"/>
      <c r="AC386" s="88"/>
      <c r="AD386" s="142" t="str">
        <f>IFERROR(ROUND(AVERAGE(AE386:AL386),1),"")</f>
        <v/>
      </c>
      <c r="AE386" s="88"/>
      <c r="AF386" s="88"/>
      <c r="AG386" s="88"/>
      <c r="AH386" s="88"/>
      <c r="AI386" s="88"/>
      <c r="AJ386" s="88"/>
      <c r="AK386" s="88"/>
      <c r="AL386" s="88"/>
      <c r="AM386" s="88">
        <v>39.527677748932248</v>
      </c>
      <c r="AN386" s="88">
        <v>119.41</v>
      </c>
      <c r="AO386" s="89"/>
      <c r="AP386" s="90"/>
      <c r="AQ386" s="146" t="str">
        <f t="shared" si="108"/>
        <v/>
      </c>
      <c r="AR386" s="146" t="str">
        <f t="shared" si="109"/>
        <v/>
      </c>
      <c r="AS386" s="147">
        <v>30</v>
      </c>
      <c r="AT386" s="148" t="s">
        <v>56</v>
      </c>
      <c r="AU386" s="149" t="s">
        <v>56</v>
      </c>
      <c r="AV386" s="146" t="str">
        <f t="shared" si="110"/>
        <v/>
      </c>
      <c r="AW386" s="146" t="str">
        <f t="shared" si="111"/>
        <v/>
      </c>
      <c r="AX386" s="138" t="str">
        <f>IFERROR((1-((AV386*AR386)/(AW386*AQ386)))*100,"")</f>
        <v/>
      </c>
      <c r="AY386" s="95" t="s">
        <v>56</v>
      </c>
      <c r="AZ386" s="96" t="s">
        <v>56</v>
      </c>
      <c r="BA386" s="96"/>
      <c r="BB386" s="96" t="s">
        <v>56</v>
      </c>
      <c r="BC386" s="96"/>
      <c r="BD386" s="97">
        <v>119.41</v>
      </c>
      <c r="BE386" s="142">
        <f t="shared" si="112"/>
        <v>2635</v>
      </c>
      <c r="BF386" s="88">
        <v>0</v>
      </c>
      <c r="BG386" s="98">
        <v>0</v>
      </c>
      <c r="BH386" s="98">
        <v>2635</v>
      </c>
      <c r="BI386" s="98"/>
      <c r="BJ386" s="98"/>
      <c r="BK386" s="98"/>
      <c r="BL386" s="97"/>
    </row>
    <row r="387" spans="1:64" outlineLevel="5" x14ac:dyDescent="0.3">
      <c r="A387" s="152">
        <f t="shared" si="113"/>
        <v>11</v>
      </c>
      <c r="B387" s="153">
        <f t="shared" si="103"/>
        <v>44161</v>
      </c>
      <c r="C387" s="138">
        <f>IFERROR(ROUND(AVERAGE(D387:K387),1),"")</f>
        <v>36</v>
      </c>
      <c r="D387" s="84">
        <v>36</v>
      </c>
      <c r="E387" s="84">
        <v>36</v>
      </c>
      <c r="F387" s="84"/>
      <c r="G387" s="84"/>
      <c r="H387" s="84"/>
      <c r="I387" s="84"/>
      <c r="J387" s="84"/>
      <c r="K387" s="84"/>
      <c r="L387" s="140">
        <f>IFERROR(ROUND(AVERAGE(M387:T387),1),"")</f>
        <v>7.8</v>
      </c>
      <c r="M387" s="86">
        <v>7.8</v>
      </c>
      <c r="N387" s="86">
        <v>7.71</v>
      </c>
      <c r="O387" s="86"/>
      <c r="P387" s="86"/>
      <c r="Q387" s="86"/>
      <c r="R387" s="86"/>
      <c r="S387" s="86"/>
      <c r="T387" s="86"/>
      <c r="U387" s="142">
        <f>IFERROR(ROUND(AVERAGE(V387:AC387),1),"")</f>
        <v>821.8</v>
      </c>
      <c r="V387" s="88">
        <v>908.3</v>
      </c>
      <c r="W387" s="88">
        <v>735.3</v>
      </c>
      <c r="X387" s="88"/>
      <c r="Y387" s="88"/>
      <c r="Z387" s="88"/>
      <c r="AA387" s="88"/>
      <c r="AB387" s="88"/>
      <c r="AC387" s="88"/>
      <c r="AD387" s="142" t="str">
        <f>IFERROR(ROUND(AVERAGE(AE387:AL387),1),"")</f>
        <v/>
      </c>
      <c r="AE387" s="88"/>
      <c r="AF387" s="88"/>
      <c r="AG387" s="88"/>
      <c r="AH387" s="88"/>
      <c r="AI387" s="88"/>
      <c r="AJ387" s="88"/>
      <c r="AK387" s="88"/>
      <c r="AL387" s="88"/>
      <c r="AM387" s="88">
        <v>35.208115769058629</v>
      </c>
      <c r="AN387" s="88">
        <v>134.06</v>
      </c>
      <c r="AO387" s="89"/>
      <c r="AP387" s="90"/>
      <c r="AQ387" s="146" t="str">
        <f t="shared" si="108"/>
        <v/>
      </c>
      <c r="AR387" s="146" t="str">
        <f t="shared" si="109"/>
        <v/>
      </c>
      <c r="AS387" s="147">
        <v>49</v>
      </c>
      <c r="AT387" s="148">
        <v>16.100000000000001</v>
      </c>
      <c r="AU387" s="149">
        <v>7.45</v>
      </c>
      <c r="AV387" s="146">
        <f t="shared" si="110"/>
        <v>46.273291925465834</v>
      </c>
      <c r="AW387" s="146">
        <f t="shared" si="111"/>
        <v>53.726708074534166</v>
      </c>
      <c r="AX387" s="138" t="str">
        <f>IFERROR((1-((AV387*AR387)/(AW387*AQ387)))*100,"")</f>
        <v/>
      </c>
      <c r="AY387" s="95">
        <v>75.650000000000006</v>
      </c>
      <c r="AZ387" s="96">
        <v>53.335000000000001</v>
      </c>
      <c r="BA387" s="96"/>
      <c r="BB387" s="96">
        <v>86</v>
      </c>
      <c r="BC387" s="96"/>
      <c r="BD387" s="97">
        <v>134.06</v>
      </c>
      <c r="BE387" s="142" t="str">
        <f t="shared" si="112"/>
        <v/>
      </c>
      <c r="BF387" s="88">
        <v>0</v>
      </c>
      <c r="BG387" s="98">
        <v>0</v>
      </c>
      <c r="BH387" s="98">
        <v>0</v>
      </c>
      <c r="BI387" s="98"/>
      <c r="BJ387" s="98"/>
      <c r="BK387" s="98"/>
      <c r="BL387" s="97"/>
    </row>
    <row r="388" spans="1:64" outlineLevel="5" x14ac:dyDescent="0.3">
      <c r="A388" s="152">
        <f t="shared" si="113"/>
        <v>11</v>
      </c>
      <c r="B388" s="153">
        <f t="shared" si="103"/>
        <v>44162</v>
      </c>
      <c r="C388" s="138">
        <f>IFERROR(ROUND(AVERAGE(D388:K388),1),"")</f>
        <v>36</v>
      </c>
      <c r="D388" s="84">
        <v>36</v>
      </c>
      <c r="E388" s="84">
        <v>36</v>
      </c>
      <c r="F388" s="84"/>
      <c r="G388" s="84"/>
      <c r="H388" s="84"/>
      <c r="I388" s="84"/>
      <c r="J388" s="84"/>
      <c r="K388" s="84"/>
      <c r="L388" s="140" t="str">
        <f>IFERROR(ROUND(AVERAGE(M388:T388),1),"")</f>
        <v/>
      </c>
      <c r="M388" s="86"/>
      <c r="N388" s="86"/>
      <c r="O388" s="86"/>
      <c r="P388" s="86"/>
      <c r="Q388" s="86"/>
      <c r="R388" s="86"/>
      <c r="S388" s="86"/>
      <c r="T388" s="86"/>
      <c r="U388" s="142" t="str">
        <f>IFERROR(ROUND(AVERAGE(V388:AC388),1),"")</f>
        <v/>
      </c>
      <c r="V388" s="88"/>
      <c r="W388" s="88"/>
      <c r="X388" s="88"/>
      <c r="Y388" s="88"/>
      <c r="Z388" s="88"/>
      <c r="AA388" s="88"/>
      <c r="AB388" s="88"/>
      <c r="AC388" s="88"/>
      <c r="AD388" s="142" t="str">
        <f>IFERROR(ROUND(AVERAGE(AE388:AL388),1),"")</f>
        <v/>
      </c>
      <c r="AE388" s="88"/>
      <c r="AF388" s="88"/>
      <c r="AG388" s="88"/>
      <c r="AH388" s="88"/>
      <c r="AI388" s="88"/>
      <c r="AJ388" s="88"/>
      <c r="AK388" s="88"/>
      <c r="AL388" s="88"/>
      <c r="AM388" s="88">
        <v>39.095502360639443</v>
      </c>
      <c r="AN388" s="88">
        <v>120.73</v>
      </c>
      <c r="AO388" s="89" t="s">
        <v>56</v>
      </c>
      <c r="AP388" s="90"/>
      <c r="AQ388" s="146" t="str">
        <f t="shared" si="108"/>
        <v/>
      </c>
      <c r="AR388" s="146" t="str">
        <f t="shared" si="109"/>
        <v/>
      </c>
      <c r="AS388" s="147">
        <v>37</v>
      </c>
      <c r="AT388" s="148" t="s">
        <v>56</v>
      </c>
      <c r="AU388" s="149" t="s">
        <v>56</v>
      </c>
      <c r="AV388" s="146" t="str">
        <f t="shared" si="110"/>
        <v/>
      </c>
      <c r="AW388" s="146" t="str">
        <f t="shared" si="111"/>
        <v/>
      </c>
      <c r="AX388" s="138" t="str">
        <f>IFERROR((1-((AV388*AR388)/(AW388*AQ388)))*100,"")</f>
        <v/>
      </c>
      <c r="AY388" s="95" t="s">
        <v>56</v>
      </c>
      <c r="AZ388" s="96" t="s">
        <v>56</v>
      </c>
      <c r="BA388" s="96"/>
      <c r="BB388" s="96" t="s">
        <v>56</v>
      </c>
      <c r="BC388" s="96"/>
      <c r="BD388" s="97">
        <v>120.73</v>
      </c>
      <c r="BE388" s="142">
        <f t="shared" si="112"/>
        <v>2378</v>
      </c>
      <c r="BF388" s="88">
        <v>5</v>
      </c>
      <c r="BG388" s="98">
        <v>0</v>
      </c>
      <c r="BH388" s="98">
        <v>2373</v>
      </c>
      <c r="BI388" s="98"/>
      <c r="BJ388" s="98"/>
      <c r="BK388" s="98"/>
      <c r="BL388" s="97"/>
    </row>
    <row r="389" spans="1:64" outlineLevel="5" x14ac:dyDescent="0.3">
      <c r="A389" s="152">
        <f t="shared" si="113"/>
        <v>11</v>
      </c>
      <c r="B389" s="153">
        <f t="shared" si="103"/>
        <v>44163</v>
      </c>
      <c r="C389" s="138">
        <f>IFERROR(ROUND(AVERAGE(D389:K389),1),"")</f>
        <v>35</v>
      </c>
      <c r="D389" s="84">
        <v>35</v>
      </c>
      <c r="E389" s="84">
        <v>35</v>
      </c>
      <c r="F389" s="84"/>
      <c r="G389" s="84"/>
      <c r="H389" s="84"/>
      <c r="I389" s="84"/>
      <c r="J389" s="84"/>
      <c r="K389" s="84"/>
      <c r="L389" s="140" t="str">
        <f>IFERROR(ROUND(AVERAGE(M389:T389),1),"")</f>
        <v/>
      </c>
      <c r="M389" s="86"/>
      <c r="N389" s="86"/>
      <c r="O389" s="86"/>
      <c r="P389" s="86"/>
      <c r="Q389" s="86"/>
      <c r="R389" s="86"/>
      <c r="S389" s="86"/>
      <c r="T389" s="86"/>
      <c r="U389" s="142" t="str">
        <f>IFERROR(ROUND(AVERAGE(V389:AC389),1),"")</f>
        <v/>
      </c>
      <c r="V389" s="88"/>
      <c r="W389" s="88"/>
      <c r="X389" s="88"/>
      <c r="Y389" s="88"/>
      <c r="Z389" s="88"/>
      <c r="AA389" s="88"/>
      <c r="AB389" s="88"/>
      <c r="AC389" s="88"/>
      <c r="AD389" s="142" t="str">
        <f>IFERROR(ROUND(AVERAGE(AE389:AL389),1),"")</f>
        <v/>
      </c>
      <c r="AE389" s="88"/>
      <c r="AF389" s="88"/>
      <c r="AG389" s="88"/>
      <c r="AH389" s="88"/>
      <c r="AI389" s="88"/>
      <c r="AJ389" s="88"/>
      <c r="AK389" s="88"/>
      <c r="AL389" s="88"/>
      <c r="AM389" s="88">
        <v>42.730400144848815</v>
      </c>
      <c r="AN389" s="88">
        <v>110.46</v>
      </c>
      <c r="AO389" s="89"/>
      <c r="AP389" s="90"/>
      <c r="AQ389" s="146" t="str">
        <f t="shared" si="108"/>
        <v/>
      </c>
      <c r="AR389" s="146" t="str">
        <f t="shared" si="109"/>
        <v/>
      </c>
      <c r="AS389" s="147">
        <v>15</v>
      </c>
      <c r="AT389" s="148" t="s">
        <v>56</v>
      </c>
      <c r="AU389" s="149" t="s">
        <v>56</v>
      </c>
      <c r="AV389" s="146" t="str">
        <f t="shared" si="110"/>
        <v/>
      </c>
      <c r="AW389" s="146" t="str">
        <f t="shared" si="111"/>
        <v/>
      </c>
      <c r="AX389" s="138" t="str">
        <f>IFERROR((1-((AV389*AR389)/(AW389*AQ389)))*100,"")</f>
        <v/>
      </c>
      <c r="AY389" s="95" t="s">
        <v>56</v>
      </c>
      <c r="AZ389" s="96" t="s">
        <v>56</v>
      </c>
      <c r="BA389" s="96"/>
      <c r="BB389" s="96" t="s">
        <v>56</v>
      </c>
      <c r="BC389" s="96"/>
      <c r="BD389" s="97">
        <v>110.46</v>
      </c>
      <c r="BE389" s="142">
        <f t="shared" si="112"/>
        <v>7096</v>
      </c>
      <c r="BF389" s="88">
        <v>0</v>
      </c>
      <c r="BG389" s="98">
        <v>0</v>
      </c>
      <c r="BH389" s="98">
        <v>7096</v>
      </c>
      <c r="BI389" s="98"/>
      <c r="BJ389" s="98"/>
      <c r="BK389" s="98"/>
      <c r="BL389" s="97"/>
    </row>
    <row r="390" spans="1:64" outlineLevel="5" x14ac:dyDescent="0.3">
      <c r="A390" s="152">
        <f t="shared" si="113"/>
        <v>11</v>
      </c>
      <c r="B390" s="153">
        <f t="shared" si="103"/>
        <v>44164</v>
      </c>
      <c r="C390" s="138">
        <f>IFERROR(ROUND(AVERAGE(D390:K390),1),"")</f>
        <v>35</v>
      </c>
      <c r="D390" s="84">
        <v>35</v>
      </c>
      <c r="E390" s="84">
        <v>35</v>
      </c>
      <c r="F390" s="84"/>
      <c r="G390" s="84"/>
      <c r="H390" s="84"/>
      <c r="I390" s="84"/>
      <c r="J390" s="84"/>
      <c r="K390" s="84"/>
      <c r="L390" s="140" t="str">
        <f>IFERROR(ROUND(AVERAGE(M390:T390),1),"")</f>
        <v/>
      </c>
      <c r="M390" s="86"/>
      <c r="N390" s="86"/>
      <c r="O390" s="86"/>
      <c r="P390" s="86"/>
      <c r="Q390" s="86"/>
      <c r="R390" s="86"/>
      <c r="S390" s="86"/>
      <c r="T390" s="86"/>
      <c r="U390" s="142" t="str">
        <f>IFERROR(ROUND(AVERAGE(V390:AC390),1),"")</f>
        <v/>
      </c>
      <c r="V390" s="88"/>
      <c r="W390" s="88"/>
      <c r="X390" s="88"/>
      <c r="Y390" s="88"/>
      <c r="Z390" s="88"/>
      <c r="AA390" s="88"/>
      <c r="AB390" s="88"/>
      <c r="AC390" s="88"/>
      <c r="AD390" s="142" t="str">
        <f>IFERROR(ROUND(AVERAGE(AE390:AL390),1),"")</f>
        <v/>
      </c>
      <c r="AE390" s="88"/>
      <c r="AF390" s="88"/>
      <c r="AG390" s="88"/>
      <c r="AH390" s="88"/>
      <c r="AI390" s="88"/>
      <c r="AJ390" s="88"/>
      <c r="AK390" s="88"/>
      <c r="AL390" s="88"/>
      <c r="AM390" s="88">
        <v>49.684210526315788</v>
      </c>
      <c r="AN390" s="88">
        <v>95</v>
      </c>
      <c r="AO390" s="89">
        <v>21.1</v>
      </c>
      <c r="AP390" s="90">
        <v>16.858900000000002</v>
      </c>
      <c r="AQ390" s="146">
        <f t="shared" si="108"/>
        <v>79.900000000000006</v>
      </c>
      <c r="AR390" s="146">
        <f t="shared" si="109"/>
        <v>20.099999999999994</v>
      </c>
      <c r="AS390" s="147">
        <v>5</v>
      </c>
      <c r="AT390" s="148" t="s">
        <v>56</v>
      </c>
      <c r="AU390" s="149" t="s">
        <v>56</v>
      </c>
      <c r="AV390" s="146" t="str">
        <f t="shared" si="110"/>
        <v/>
      </c>
      <c r="AW390" s="146" t="str">
        <f t="shared" si="111"/>
        <v/>
      </c>
      <c r="AX390" s="138" t="str">
        <f>IFERROR((1-((AV390*AR390)/(AW390*AQ390)))*100,"")</f>
        <v/>
      </c>
      <c r="AY390" s="95" t="s">
        <v>56</v>
      </c>
      <c r="AZ390" s="96" t="s">
        <v>56</v>
      </c>
      <c r="BA390" s="96"/>
      <c r="BB390" s="96" t="s">
        <v>56</v>
      </c>
      <c r="BC390" s="96"/>
      <c r="BD390" s="97">
        <v>95</v>
      </c>
      <c r="BE390" s="142">
        <f t="shared" si="112"/>
        <v>5875</v>
      </c>
      <c r="BF390" s="88">
        <v>0</v>
      </c>
      <c r="BG390" s="98">
        <v>0</v>
      </c>
      <c r="BH390" s="98">
        <v>5875</v>
      </c>
      <c r="BI390" s="98"/>
      <c r="BJ390" s="98"/>
      <c r="BK390" s="98"/>
      <c r="BL390" s="97"/>
    </row>
    <row r="391" spans="1:64" ht="17.25" outlineLevel="5" thickBot="1" x14ac:dyDescent="0.35">
      <c r="A391" s="154">
        <f t="shared" si="113"/>
        <v>11</v>
      </c>
      <c r="B391" s="155">
        <f t="shared" si="103"/>
        <v>44165</v>
      </c>
      <c r="C391" s="138">
        <f>IFERROR(ROUND(AVERAGE(D391:K391),1),"")</f>
        <v>33.5</v>
      </c>
      <c r="D391" s="84">
        <v>34</v>
      </c>
      <c r="E391" s="84">
        <v>33</v>
      </c>
      <c r="F391" s="84"/>
      <c r="G391" s="84"/>
      <c r="H391" s="84"/>
      <c r="I391" s="84"/>
      <c r="J391" s="84"/>
      <c r="K391" s="84"/>
      <c r="L391" s="140" t="str">
        <f>IFERROR(ROUND(AVERAGE(M391:T391),1),"")</f>
        <v/>
      </c>
      <c r="M391" s="86"/>
      <c r="N391" s="86"/>
      <c r="O391" s="86"/>
      <c r="P391" s="86"/>
      <c r="Q391" s="86"/>
      <c r="R391" s="86"/>
      <c r="S391" s="86"/>
      <c r="T391" s="86"/>
      <c r="U391" s="142" t="str">
        <f>IFERROR(ROUND(AVERAGE(V391:AC391),1),"")</f>
        <v/>
      </c>
      <c r="V391" s="88"/>
      <c r="W391" s="88"/>
      <c r="X391" s="88"/>
      <c r="Y391" s="88"/>
      <c r="Z391" s="88"/>
      <c r="AA391" s="88"/>
      <c r="AB391" s="88"/>
      <c r="AC391" s="88"/>
      <c r="AD391" s="142" t="str">
        <f>IFERROR(ROUND(AVERAGE(AE391:AL391),1),"")</f>
        <v/>
      </c>
      <c r="AE391" s="88"/>
      <c r="AF391" s="88"/>
      <c r="AG391" s="88"/>
      <c r="AH391" s="88"/>
      <c r="AI391" s="88"/>
      <c r="AJ391" s="88"/>
      <c r="AK391" s="88"/>
      <c r="AL391" s="88"/>
      <c r="AM391" s="88">
        <v>42.8584400254245</v>
      </c>
      <c r="AN391" s="88">
        <v>110.13</v>
      </c>
      <c r="AO391" s="89" t="s">
        <v>56</v>
      </c>
      <c r="AP391" s="90" t="s">
        <v>56</v>
      </c>
      <c r="AQ391" s="146" t="str">
        <f t="shared" si="108"/>
        <v/>
      </c>
      <c r="AR391" s="146" t="str">
        <f t="shared" si="109"/>
        <v/>
      </c>
      <c r="AS391" s="147">
        <v>50</v>
      </c>
      <c r="AT391" s="148" t="s">
        <v>56</v>
      </c>
      <c r="AU391" s="149" t="s">
        <v>56</v>
      </c>
      <c r="AV391" s="146" t="str">
        <f t="shared" si="110"/>
        <v/>
      </c>
      <c r="AW391" s="146" t="str">
        <f t="shared" si="111"/>
        <v/>
      </c>
      <c r="AX391" s="138" t="str">
        <f>IFERROR((1-((AV391*AR391)/(AW391*AQ391)))*100,"")</f>
        <v/>
      </c>
      <c r="AY391" s="95">
        <v>74.300000000000011</v>
      </c>
      <c r="AZ391" s="96" t="s">
        <v>56</v>
      </c>
      <c r="BA391" s="96"/>
      <c r="BB391" s="96" t="s">
        <v>56</v>
      </c>
      <c r="BC391" s="96"/>
      <c r="BD391" s="97">
        <v>110.13</v>
      </c>
      <c r="BE391" s="142">
        <f t="shared" si="112"/>
        <v>7952</v>
      </c>
      <c r="BF391" s="88">
        <v>41</v>
      </c>
      <c r="BG391" s="98">
        <v>0</v>
      </c>
      <c r="BH391" s="98">
        <v>7911</v>
      </c>
      <c r="BI391" s="98"/>
      <c r="BJ391" s="98"/>
      <c r="BK391" s="98"/>
      <c r="BL391" s="97"/>
    </row>
    <row r="392" spans="1:64" outlineLevel="4" x14ac:dyDescent="0.3">
      <c r="A392" s="63" t="s">
        <v>97</v>
      </c>
      <c r="B392" s="64"/>
      <c r="C392" s="65">
        <f t="shared" ref="C392:BL392" si="114">SUBTOTAL(4,C362:C391)</f>
        <v>39.5</v>
      </c>
      <c r="D392" s="66">
        <f t="shared" si="114"/>
        <v>39</v>
      </c>
      <c r="E392" s="66">
        <f t="shared" si="114"/>
        <v>40</v>
      </c>
      <c r="F392" s="66">
        <f t="shared" si="114"/>
        <v>0</v>
      </c>
      <c r="G392" s="66">
        <f t="shared" si="114"/>
        <v>0</v>
      </c>
      <c r="H392" s="66">
        <f t="shared" si="114"/>
        <v>0</v>
      </c>
      <c r="I392" s="66">
        <f t="shared" si="114"/>
        <v>0</v>
      </c>
      <c r="J392" s="66">
        <f t="shared" si="114"/>
        <v>0</v>
      </c>
      <c r="K392" s="66">
        <f t="shared" si="114"/>
        <v>0</v>
      </c>
      <c r="L392" s="67">
        <f t="shared" si="114"/>
        <v>7.8</v>
      </c>
      <c r="M392" s="68">
        <f t="shared" si="114"/>
        <v>7.83</v>
      </c>
      <c r="N392" s="68">
        <f t="shared" si="114"/>
        <v>7.74</v>
      </c>
      <c r="O392" s="68">
        <f t="shared" si="114"/>
        <v>0</v>
      </c>
      <c r="P392" s="68">
        <f t="shared" si="114"/>
        <v>0</v>
      </c>
      <c r="Q392" s="68">
        <f t="shared" si="114"/>
        <v>0</v>
      </c>
      <c r="R392" s="68">
        <f t="shared" si="114"/>
        <v>0</v>
      </c>
      <c r="S392" s="68">
        <f t="shared" si="114"/>
        <v>0</v>
      </c>
      <c r="T392" s="68">
        <f t="shared" si="114"/>
        <v>0</v>
      </c>
      <c r="U392" s="69">
        <f t="shared" si="114"/>
        <v>1211.0999999999999</v>
      </c>
      <c r="V392" s="70">
        <f t="shared" si="114"/>
        <v>1340.8</v>
      </c>
      <c r="W392" s="70">
        <f t="shared" si="114"/>
        <v>1081.3</v>
      </c>
      <c r="X392" s="70">
        <f t="shared" si="114"/>
        <v>0</v>
      </c>
      <c r="Y392" s="70">
        <f t="shared" si="114"/>
        <v>0</v>
      </c>
      <c r="Z392" s="70">
        <f t="shared" si="114"/>
        <v>0</v>
      </c>
      <c r="AA392" s="70">
        <f t="shared" si="114"/>
        <v>0</v>
      </c>
      <c r="AB392" s="70">
        <f t="shared" si="114"/>
        <v>0</v>
      </c>
      <c r="AC392" s="70">
        <f t="shared" si="114"/>
        <v>0</v>
      </c>
      <c r="AD392" s="69">
        <f t="shared" si="114"/>
        <v>0</v>
      </c>
      <c r="AE392" s="70">
        <f t="shared" si="114"/>
        <v>0</v>
      </c>
      <c r="AF392" s="70">
        <f t="shared" si="114"/>
        <v>0</v>
      </c>
      <c r="AG392" s="70">
        <f t="shared" si="114"/>
        <v>0</v>
      </c>
      <c r="AH392" s="70">
        <f t="shared" si="114"/>
        <v>0</v>
      </c>
      <c r="AI392" s="70">
        <f t="shared" si="114"/>
        <v>0</v>
      </c>
      <c r="AJ392" s="70">
        <f t="shared" si="114"/>
        <v>0</v>
      </c>
      <c r="AK392" s="70">
        <f t="shared" si="114"/>
        <v>0</v>
      </c>
      <c r="AL392" s="70">
        <f t="shared" si="114"/>
        <v>0</v>
      </c>
      <c r="AM392" s="70">
        <f t="shared" si="114"/>
        <v>76.129032258064512</v>
      </c>
      <c r="AN392" s="70">
        <f t="shared" si="114"/>
        <v>144.68</v>
      </c>
      <c r="AO392" s="71">
        <f t="shared" si="114"/>
        <v>41.2</v>
      </c>
      <c r="AP392" s="72">
        <f t="shared" si="114"/>
        <v>37.9452</v>
      </c>
      <c r="AQ392" s="73">
        <f t="shared" si="114"/>
        <v>92.1</v>
      </c>
      <c r="AR392" s="73">
        <f t="shared" si="114"/>
        <v>20.099999999999994</v>
      </c>
      <c r="AS392" s="74">
        <f t="shared" si="114"/>
        <v>50</v>
      </c>
      <c r="AT392" s="75">
        <f t="shared" si="114"/>
        <v>16.200000000000003</v>
      </c>
      <c r="AU392" s="76">
        <f t="shared" si="114"/>
        <v>9.6999999999999993</v>
      </c>
      <c r="AV392" s="73">
        <f t="shared" si="114"/>
        <v>60.81504702194357</v>
      </c>
      <c r="AW392" s="73">
        <f t="shared" si="114"/>
        <v>53.726708074534166</v>
      </c>
      <c r="AX392" s="65">
        <f t="shared" si="114"/>
        <v>80.33489726581459</v>
      </c>
      <c r="AY392" s="77">
        <f t="shared" si="114"/>
        <v>77.599999999999994</v>
      </c>
      <c r="AZ392" s="78">
        <f t="shared" si="114"/>
        <v>53.335000000000001</v>
      </c>
      <c r="BA392" s="78">
        <f t="shared" si="114"/>
        <v>0</v>
      </c>
      <c r="BB392" s="78">
        <f t="shared" si="114"/>
        <v>86</v>
      </c>
      <c r="BC392" s="78">
        <f t="shared" si="114"/>
        <v>0</v>
      </c>
      <c r="BD392" s="79">
        <f t="shared" si="114"/>
        <v>144.68</v>
      </c>
      <c r="BE392" s="69">
        <f t="shared" si="114"/>
        <v>8834</v>
      </c>
      <c r="BF392" s="70">
        <f t="shared" si="114"/>
        <v>91</v>
      </c>
      <c r="BG392" s="80">
        <f t="shared" si="114"/>
        <v>3224</v>
      </c>
      <c r="BH392" s="80">
        <f t="shared" si="114"/>
        <v>7911</v>
      </c>
      <c r="BI392" s="80">
        <f t="shared" si="114"/>
        <v>0</v>
      </c>
      <c r="BJ392" s="80">
        <f t="shared" si="114"/>
        <v>0</v>
      </c>
      <c r="BK392" s="80">
        <f t="shared" si="114"/>
        <v>0</v>
      </c>
      <c r="BL392" s="79">
        <f t="shared" si="114"/>
        <v>0</v>
      </c>
    </row>
    <row r="393" spans="1:64" outlineLevel="3" x14ac:dyDescent="0.3">
      <c r="A393" s="81" t="s">
        <v>98</v>
      </c>
      <c r="B393" s="82"/>
      <c r="C393" s="83">
        <f t="shared" ref="C393:BL393" si="115">SUBTOTAL(5,C362:C391)</f>
        <v>33.5</v>
      </c>
      <c r="D393" s="84">
        <f t="shared" si="115"/>
        <v>34</v>
      </c>
      <c r="E393" s="84">
        <f t="shared" si="115"/>
        <v>33</v>
      </c>
      <c r="F393" s="84">
        <f t="shared" si="115"/>
        <v>0</v>
      </c>
      <c r="G393" s="84">
        <f t="shared" si="115"/>
        <v>0</v>
      </c>
      <c r="H393" s="84">
        <f t="shared" si="115"/>
        <v>0</v>
      </c>
      <c r="I393" s="84">
        <f t="shared" si="115"/>
        <v>0</v>
      </c>
      <c r="J393" s="84">
        <f t="shared" si="115"/>
        <v>0</v>
      </c>
      <c r="K393" s="84">
        <f t="shared" si="115"/>
        <v>0</v>
      </c>
      <c r="L393" s="85">
        <f t="shared" si="115"/>
        <v>7.8</v>
      </c>
      <c r="M393" s="86">
        <f t="shared" si="115"/>
        <v>7.8</v>
      </c>
      <c r="N393" s="86">
        <f t="shared" si="115"/>
        <v>7.7</v>
      </c>
      <c r="O393" s="86">
        <f t="shared" si="115"/>
        <v>0</v>
      </c>
      <c r="P393" s="86">
        <f t="shared" si="115"/>
        <v>0</v>
      </c>
      <c r="Q393" s="86">
        <f t="shared" si="115"/>
        <v>0</v>
      </c>
      <c r="R393" s="86">
        <f t="shared" si="115"/>
        <v>0</v>
      </c>
      <c r="S393" s="86">
        <f t="shared" si="115"/>
        <v>0</v>
      </c>
      <c r="T393" s="86">
        <f t="shared" si="115"/>
        <v>0</v>
      </c>
      <c r="U393" s="87">
        <f t="shared" si="115"/>
        <v>821.8</v>
      </c>
      <c r="V393" s="88">
        <f t="shared" si="115"/>
        <v>865</v>
      </c>
      <c r="W393" s="88">
        <f t="shared" si="115"/>
        <v>713.6</v>
      </c>
      <c r="X393" s="88">
        <f t="shared" si="115"/>
        <v>0</v>
      </c>
      <c r="Y393" s="88">
        <f t="shared" si="115"/>
        <v>0</v>
      </c>
      <c r="Z393" s="88">
        <f t="shared" si="115"/>
        <v>0</v>
      </c>
      <c r="AA393" s="88">
        <f t="shared" si="115"/>
        <v>0</v>
      </c>
      <c r="AB393" s="88">
        <f t="shared" si="115"/>
        <v>0</v>
      </c>
      <c r="AC393" s="88">
        <f t="shared" si="115"/>
        <v>0</v>
      </c>
      <c r="AD393" s="87">
        <f t="shared" si="115"/>
        <v>0</v>
      </c>
      <c r="AE393" s="88">
        <f t="shared" si="115"/>
        <v>0</v>
      </c>
      <c r="AF393" s="88">
        <f t="shared" si="115"/>
        <v>0</v>
      </c>
      <c r="AG393" s="88">
        <f t="shared" si="115"/>
        <v>0</v>
      </c>
      <c r="AH393" s="88">
        <f t="shared" si="115"/>
        <v>0</v>
      </c>
      <c r="AI393" s="88">
        <f t="shared" si="115"/>
        <v>0</v>
      </c>
      <c r="AJ393" s="88">
        <f t="shared" si="115"/>
        <v>0</v>
      </c>
      <c r="AK393" s="88">
        <f t="shared" si="115"/>
        <v>0</v>
      </c>
      <c r="AL393" s="88">
        <f t="shared" si="115"/>
        <v>0</v>
      </c>
      <c r="AM393" s="88">
        <f t="shared" si="115"/>
        <v>32.623721316007739</v>
      </c>
      <c r="AN393" s="88">
        <f t="shared" si="115"/>
        <v>62</v>
      </c>
      <c r="AO393" s="89">
        <f t="shared" si="115"/>
        <v>20.7</v>
      </c>
      <c r="AP393" s="90">
        <f t="shared" si="115"/>
        <v>16.858900000000002</v>
      </c>
      <c r="AQ393" s="91">
        <f t="shared" si="115"/>
        <v>79.900000000000006</v>
      </c>
      <c r="AR393" s="91">
        <f t="shared" si="115"/>
        <v>7.9000000000000057</v>
      </c>
      <c r="AS393" s="92">
        <f t="shared" si="115"/>
        <v>0</v>
      </c>
      <c r="AT393" s="93">
        <f t="shared" si="115"/>
        <v>14.850000000000001</v>
      </c>
      <c r="AU393" s="94">
        <f t="shared" si="115"/>
        <v>7.45</v>
      </c>
      <c r="AV393" s="91">
        <f t="shared" si="115"/>
        <v>46.273291925465834</v>
      </c>
      <c r="AW393" s="91">
        <f t="shared" si="115"/>
        <v>39.18495297805643</v>
      </c>
      <c r="AX393" s="83">
        <f t="shared" si="115"/>
        <v>80.33489726581459</v>
      </c>
      <c r="AY393" s="95">
        <f t="shared" si="115"/>
        <v>72.300000000000011</v>
      </c>
      <c r="AZ393" s="96">
        <f t="shared" si="115"/>
        <v>53.335000000000001</v>
      </c>
      <c r="BA393" s="96">
        <f t="shared" si="115"/>
        <v>0</v>
      </c>
      <c r="BB393" s="96">
        <f t="shared" si="115"/>
        <v>86</v>
      </c>
      <c r="BC393" s="96">
        <f t="shared" si="115"/>
        <v>0</v>
      </c>
      <c r="BD393" s="97">
        <f t="shared" si="115"/>
        <v>62</v>
      </c>
      <c r="BE393" s="87">
        <f t="shared" si="115"/>
        <v>48</v>
      </c>
      <c r="BF393" s="88">
        <f t="shared" si="115"/>
        <v>0</v>
      </c>
      <c r="BG393" s="98">
        <f t="shared" si="115"/>
        <v>0</v>
      </c>
      <c r="BH393" s="98">
        <f t="shared" si="115"/>
        <v>0</v>
      </c>
      <c r="BI393" s="98">
        <f t="shared" si="115"/>
        <v>0</v>
      </c>
      <c r="BJ393" s="98">
        <f t="shared" si="115"/>
        <v>0</v>
      </c>
      <c r="BK393" s="98">
        <f t="shared" si="115"/>
        <v>0</v>
      </c>
      <c r="BL393" s="97">
        <f t="shared" si="115"/>
        <v>0</v>
      </c>
    </row>
    <row r="394" spans="1:64" outlineLevel="2" x14ac:dyDescent="0.3">
      <c r="A394" s="81" t="s">
        <v>99</v>
      </c>
      <c r="B394" s="82"/>
      <c r="C394" s="83">
        <f t="shared" ref="C394:BL394" si="116">IFERROR(SUBTOTAL(1,C362:C391),"")</f>
        <v>37.633333333333333</v>
      </c>
      <c r="D394" s="84">
        <f t="shared" si="116"/>
        <v>37.6</v>
      </c>
      <c r="E394" s="84">
        <f t="shared" si="116"/>
        <v>37.666666666666664</v>
      </c>
      <c r="F394" s="84" t="str">
        <f t="shared" si="116"/>
        <v/>
      </c>
      <c r="G394" s="84" t="str">
        <f t="shared" si="116"/>
        <v/>
      </c>
      <c r="H394" s="84" t="str">
        <f t="shared" si="116"/>
        <v/>
      </c>
      <c r="I394" s="84" t="str">
        <f t="shared" si="116"/>
        <v/>
      </c>
      <c r="J394" s="84" t="str">
        <f t="shared" si="116"/>
        <v/>
      </c>
      <c r="K394" s="84" t="str">
        <f t="shared" si="116"/>
        <v/>
      </c>
      <c r="L394" s="85">
        <f t="shared" si="116"/>
        <v>7.7999999999999989</v>
      </c>
      <c r="M394" s="86">
        <f t="shared" si="116"/>
        <v>7.8142857142857141</v>
      </c>
      <c r="N394" s="86">
        <f t="shared" si="116"/>
        <v>7.72</v>
      </c>
      <c r="O394" s="86" t="str">
        <f t="shared" si="116"/>
        <v/>
      </c>
      <c r="P394" s="86" t="str">
        <f t="shared" si="116"/>
        <v/>
      </c>
      <c r="Q394" s="86" t="str">
        <f t="shared" si="116"/>
        <v/>
      </c>
      <c r="R394" s="86" t="str">
        <f t="shared" si="116"/>
        <v/>
      </c>
      <c r="S394" s="86" t="str">
        <f t="shared" si="116"/>
        <v/>
      </c>
      <c r="T394" s="86" t="str">
        <f t="shared" si="116"/>
        <v/>
      </c>
      <c r="U394" s="87">
        <f t="shared" si="116"/>
        <v>999.44285714285718</v>
      </c>
      <c r="V394" s="88">
        <f t="shared" si="116"/>
        <v>1109.0714285714287</v>
      </c>
      <c r="W394" s="88">
        <f t="shared" si="116"/>
        <v>889.72857142857151</v>
      </c>
      <c r="X394" s="88" t="str">
        <f t="shared" si="116"/>
        <v/>
      </c>
      <c r="Y394" s="88" t="str">
        <f t="shared" si="116"/>
        <v/>
      </c>
      <c r="Z394" s="88" t="str">
        <f t="shared" si="116"/>
        <v/>
      </c>
      <c r="AA394" s="88" t="str">
        <f t="shared" si="116"/>
        <v/>
      </c>
      <c r="AB394" s="88" t="str">
        <f t="shared" si="116"/>
        <v/>
      </c>
      <c r="AC394" s="88" t="str">
        <f t="shared" si="116"/>
        <v/>
      </c>
      <c r="AD394" s="87" t="str">
        <f t="shared" si="116"/>
        <v/>
      </c>
      <c r="AE394" s="88" t="str">
        <f t="shared" si="116"/>
        <v/>
      </c>
      <c r="AF394" s="88" t="str">
        <f t="shared" si="116"/>
        <v/>
      </c>
      <c r="AG394" s="88" t="str">
        <f t="shared" si="116"/>
        <v/>
      </c>
      <c r="AH394" s="88" t="str">
        <f t="shared" si="116"/>
        <v/>
      </c>
      <c r="AI394" s="88" t="str">
        <f t="shared" si="116"/>
        <v/>
      </c>
      <c r="AJ394" s="88" t="str">
        <f t="shared" si="116"/>
        <v/>
      </c>
      <c r="AK394" s="88" t="str">
        <f t="shared" si="116"/>
        <v/>
      </c>
      <c r="AL394" s="88" t="str">
        <f t="shared" si="116"/>
        <v/>
      </c>
      <c r="AM394" s="88">
        <f t="shared" si="116"/>
        <v>44.025140550210637</v>
      </c>
      <c r="AN394" s="88">
        <f t="shared" si="116"/>
        <v>112.35133333333333</v>
      </c>
      <c r="AO394" s="89">
        <f t="shared" si="116"/>
        <v>27.666666666666668</v>
      </c>
      <c r="AP394" s="90">
        <f t="shared" si="116"/>
        <v>24.360733333333332</v>
      </c>
      <c r="AQ394" s="91">
        <f t="shared" si="116"/>
        <v>86.766666666666652</v>
      </c>
      <c r="AR394" s="91">
        <f t="shared" si="116"/>
        <v>13.233333333333334</v>
      </c>
      <c r="AS394" s="92">
        <f t="shared" si="116"/>
        <v>27.5</v>
      </c>
      <c r="AT394" s="93">
        <f t="shared" si="116"/>
        <v>15.849999999999998</v>
      </c>
      <c r="AU394" s="94">
        <f t="shared" si="116"/>
        <v>8.9714285714285715</v>
      </c>
      <c r="AV394" s="91">
        <f t="shared" si="116"/>
        <v>56.625958533389259</v>
      </c>
      <c r="AW394" s="91">
        <f t="shared" si="116"/>
        <v>43.374041466610741</v>
      </c>
      <c r="AX394" s="83">
        <f t="shared" si="116"/>
        <v>80.33489726581459</v>
      </c>
      <c r="AY394" s="95">
        <f t="shared" si="116"/>
        <v>74.931250000000006</v>
      </c>
      <c r="AZ394" s="96">
        <f t="shared" si="116"/>
        <v>53.335000000000001</v>
      </c>
      <c r="BA394" s="96" t="str">
        <f t="shared" si="116"/>
        <v/>
      </c>
      <c r="BB394" s="96">
        <f t="shared" si="116"/>
        <v>86</v>
      </c>
      <c r="BC394" s="96" t="str">
        <f t="shared" si="116"/>
        <v/>
      </c>
      <c r="BD394" s="97">
        <f>IFERROR(SUBTOTAL(1,BD362:BD391),"")</f>
        <v>112.35133333333333</v>
      </c>
      <c r="BE394" s="87">
        <f t="shared" si="116"/>
        <v>4808.1034482758623</v>
      </c>
      <c r="BF394" s="88">
        <f t="shared" si="116"/>
        <v>20.100000000000001</v>
      </c>
      <c r="BG394" s="98">
        <f t="shared" si="116"/>
        <v>876.1</v>
      </c>
      <c r="BH394" s="98">
        <f t="shared" si="116"/>
        <v>3751.6333333333332</v>
      </c>
      <c r="BI394" s="98" t="str">
        <f t="shared" si="116"/>
        <v/>
      </c>
      <c r="BJ394" s="98" t="str">
        <f t="shared" si="116"/>
        <v/>
      </c>
      <c r="BK394" s="98" t="str">
        <f t="shared" si="116"/>
        <v/>
      </c>
      <c r="BL394" s="97" t="str">
        <f t="shared" si="116"/>
        <v/>
      </c>
    </row>
    <row r="395" spans="1:64" ht="17.25" outlineLevel="1" thickBot="1" x14ac:dyDescent="0.35">
      <c r="A395" s="99" t="s">
        <v>100</v>
      </c>
      <c r="B395" s="100"/>
      <c r="C395" s="101"/>
      <c r="D395" s="102"/>
      <c r="E395" s="102"/>
      <c r="F395" s="102"/>
      <c r="G395" s="102"/>
      <c r="H395" s="102"/>
      <c r="I395" s="102"/>
      <c r="J395" s="102"/>
      <c r="K395" s="102"/>
      <c r="L395" s="103"/>
      <c r="M395" s="104"/>
      <c r="N395" s="104"/>
      <c r="O395" s="104"/>
      <c r="P395" s="104"/>
      <c r="Q395" s="104"/>
      <c r="R395" s="104"/>
      <c r="S395" s="104"/>
      <c r="T395" s="104"/>
      <c r="U395" s="105"/>
      <c r="V395" s="106"/>
      <c r="W395" s="106"/>
      <c r="X395" s="106"/>
      <c r="Y395" s="106"/>
      <c r="Z395" s="106"/>
      <c r="AA395" s="106"/>
      <c r="AB395" s="106"/>
      <c r="AC395" s="106"/>
      <c r="AD395" s="105"/>
      <c r="AE395" s="106"/>
      <c r="AF395" s="106"/>
      <c r="AG395" s="106"/>
      <c r="AH395" s="106"/>
      <c r="AI395" s="106"/>
      <c r="AJ395" s="106"/>
      <c r="AK395" s="106"/>
      <c r="AL395" s="106"/>
      <c r="AM395" s="106"/>
      <c r="AN395" s="107">
        <f>SUBTOTAL(9,AN362:AN391)</f>
        <v>3370.54</v>
      </c>
      <c r="AO395" s="108"/>
      <c r="AP395" s="109"/>
      <c r="AQ395" s="110"/>
      <c r="AR395" s="110"/>
      <c r="AS395" s="111">
        <f>SUBTOTAL(9,AS362:AS391)</f>
        <v>825</v>
      </c>
      <c r="AT395" s="112"/>
      <c r="AU395" s="113"/>
      <c r="AV395" s="110"/>
      <c r="AW395" s="110"/>
      <c r="AX395" s="101"/>
      <c r="AY395" s="114"/>
      <c r="AZ395" s="115"/>
      <c r="BA395" s="115"/>
      <c r="BB395" s="115"/>
      <c r="BC395" s="115"/>
      <c r="BD395" s="116">
        <f>SUBTOTAL(9,BD362:BD391)</f>
        <v>3370.54</v>
      </c>
      <c r="BE395" s="117">
        <f t="shared" ref="BE395:BL395" si="117">SUBTOTAL(9,BE362:BE391)</f>
        <v>139435</v>
      </c>
      <c r="BF395" s="107">
        <f t="shared" si="117"/>
        <v>603</v>
      </c>
      <c r="BG395" s="118">
        <f t="shared" si="117"/>
        <v>26283</v>
      </c>
      <c r="BH395" s="118">
        <f t="shared" si="117"/>
        <v>112549</v>
      </c>
      <c r="BI395" s="118">
        <f t="shared" si="117"/>
        <v>0</v>
      </c>
      <c r="BJ395" s="118">
        <f t="shared" si="117"/>
        <v>0</v>
      </c>
      <c r="BK395" s="118">
        <f t="shared" si="117"/>
        <v>0</v>
      </c>
      <c r="BL395" s="116">
        <f t="shared" si="117"/>
        <v>0</v>
      </c>
    </row>
    <row r="396" spans="1:64" outlineLevel="5" x14ac:dyDescent="0.3">
      <c r="A396" s="136">
        <f t="shared" si="113"/>
        <v>12</v>
      </c>
      <c r="B396" s="165">
        <f>B391+1</f>
        <v>44166</v>
      </c>
      <c r="C396" s="138">
        <f>IFERROR(ROUND(AVERAGE(D396:K396),1),"")</f>
        <v>33</v>
      </c>
      <c r="D396" s="84">
        <v>33</v>
      </c>
      <c r="E396" s="84">
        <v>33</v>
      </c>
      <c r="F396" s="84"/>
      <c r="G396" s="84"/>
      <c r="H396" s="84"/>
      <c r="I396" s="84"/>
      <c r="J396" s="84"/>
      <c r="K396" s="84"/>
      <c r="L396" s="140">
        <f>IFERROR(ROUND(AVERAGE(M396:T396),1),"")</f>
        <v>7.8</v>
      </c>
      <c r="M396" s="86">
        <v>7.88</v>
      </c>
      <c r="N396" s="86">
        <v>7.79</v>
      </c>
      <c r="O396" s="86"/>
      <c r="P396" s="86"/>
      <c r="Q396" s="86"/>
      <c r="R396" s="86"/>
      <c r="S396" s="86"/>
      <c r="T396" s="86"/>
      <c r="U396" s="142">
        <f>IFERROR(ROUND(AVERAGE(V396:AC396),1),"")</f>
        <v>692</v>
      </c>
      <c r="V396" s="88">
        <v>800.1</v>
      </c>
      <c r="W396" s="88">
        <v>583.9</v>
      </c>
      <c r="X396" s="88"/>
      <c r="Y396" s="88"/>
      <c r="Z396" s="88"/>
      <c r="AA396" s="88"/>
      <c r="AB396" s="88"/>
      <c r="AC396" s="88"/>
      <c r="AD396" s="142" t="str">
        <f>IFERROR(ROUND(AVERAGE(AE396:AL396),1),"")</f>
        <v/>
      </c>
      <c r="AE396" s="88"/>
      <c r="AF396" s="88"/>
      <c r="AG396" s="88"/>
      <c r="AH396" s="88"/>
      <c r="AI396" s="88"/>
      <c r="AJ396" s="88"/>
      <c r="AK396" s="88"/>
      <c r="AL396" s="88"/>
      <c r="AM396" s="88">
        <v>34.89317660974347</v>
      </c>
      <c r="AN396" s="88">
        <v>135.27000000000001</v>
      </c>
      <c r="AO396" s="89" t="s">
        <v>56</v>
      </c>
      <c r="AP396" s="90"/>
      <c r="AQ396" s="146" t="str">
        <f t="shared" ref="AQ396:AQ426" si="118">IFERROR(AP396/AO396*100,"")</f>
        <v/>
      </c>
      <c r="AR396" s="146" t="str">
        <f t="shared" ref="AR396:AR426" si="119">IFERROR(100-AQ396,"")</f>
        <v/>
      </c>
      <c r="AS396" s="147">
        <v>44</v>
      </c>
      <c r="AT396" s="148">
        <v>15.9</v>
      </c>
      <c r="AU396" s="149">
        <v>8.9499999999999993</v>
      </c>
      <c r="AV396" s="146">
        <f t="shared" ref="AV396:AV426" si="120">IFERROR(AU396/AT396*100,"")</f>
        <v>56.289308176100626</v>
      </c>
      <c r="AW396" s="146">
        <f t="shared" ref="AW396:AW426" si="121">IFERROR(100-AV396,"")</f>
        <v>43.710691823899374</v>
      </c>
      <c r="AX396" s="138" t="str">
        <f>IFERROR((1-((AV396*AR396)/(AW396*AQ396)))*100,"")</f>
        <v/>
      </c>
      <c r="AY396" s="95" t="s">
        <v>56</v>
      </c>
      <c r="AZ396" s="96" t="s">
        <v>56</v>
      </c>
      <c r="BA396" s="96"/>
      <c r="BB396" s="96" t="s">
        <v>56</v>
      </c>
      <c r="BC396" s="96"/>
      <c r="BD396" s="97">
        <v>135.27000000000001</v>
      </c>
      <c r="BE396" s="142">
        <f t="shared" ref="BE396:BE426" si="122">IF(SUM(BF396:BL396)=0,"",SUM(BF396:BL396))</f>
        <v>2246</v>
      </c>
      <c r="BF396" s="88">
        <v>57</v>
      </c>
      <c r="BG396" s="98">
        <v>0</v>
      </c>
      <c r="BH396" s="98">
        <v>2189</v>
      </c>
      <c r="BI396" s="98"/>
      <c r="BJ396" s="98"/>
      <c r="BK396" s="98"/>
      <c r="BL396" s="97"/>
    </row>
    <row r="397" spans="1:64" outlineLevel="5" x14ac:dyDescent="0.3">
      <c r="A397" s="152">
        <f t="shared" si="113"/>
        <v>12</v>
      </c>
      <c r="B397" s="153">
        <f t="shared" si="103"/>
        <v>44167</v>
      </c>
      <c r="C397" s="138">
        <f>IFERROR(ROUND(AVERAGE(D397:K397),1),"")</f>
        <v>35</v>
      </c>
      <c r="D397" s="84">
        <v>35</v>
      </c>
      <c r="E397" s="84">
        <v>35</v>
      </c>
      <c r="F397" s="84"/>
      <c r="G397" s="84"/>
      <c r="H397" s="84"/>
      <c r="I397" s="84"/>
      <c r="J397" s="84"/>
      <c r="K397" s="84"/>
      <c r="L397" s="140">
        <f>IFERROR(ROUND(AVERAGE(M397:T397),1),"")</f>
        <v>7.8</v>
      </c>
      <c r="M397" s="86">
        <v>7.87</v>
      </c>
      <c r="N397" s="86">
        <v>7.8</v>
      </c>
      <c r="O397" s="86"/>
      <c r="P397" s="86"/>
      <c r="Q397" s="86"/>
      <c r="R397" s="86"/>
      <c r="S397" s="86"/>
      <c r="T397" s="86"/>
      <c r="U397" s="142">
        <f>IFERROR(ROUND(AVERAGE(V397:AC397),1),"")</f>
        <v>778.5</v>
      </c>
      <c r="V397" s="88">
        <v>865</v>
      </c>
      <c r="W397" s="88">
        <v>692</v>
      </c>
      <c r="X397" s="88"/>
      <c r="Y397" s="88"/>
      <c r="Z397" s="88"/>
      <c r="AA397" s="88"/>
      <c r="AB397" s="88"/>
      <c r="AC397" s="88"/>
      <c r="AD397" s="142" t="str">
        <f>IFERROR(ROUND(AVERAGE(AE397:AL397),1),"")</f>
        <v/>
      </c>
      <c r="AE397" s="88"/>
      <c r="AF397" s="88"/>
      <c r="AG397" s="88"/>
      <c r="AH397" s="88"/>
      <c r="AI397" s="88"/>
      <c r="AJ397" s="88"/>
      <c r="AK397" s="88"/>
      <c r="AL397" s="88"/>
      <c r="AM397" s="88">
        <v>33.558478492712403</v>
      </c>
      <c r="AN397" s="88">
        <v>140.65</v>
      </c>
      <c r="AO397" s="89"/>
      <c r="AP397" s="90"/>
      <c r="AQ397" s="146" t="str">
        <f t="shared" si="118"/>
        <v/>
      </c>
      <c r="AR397" s="146" t="str">
        <f t="shared" si="119"/>
        <v/>
      </c>
      <c r="AS397" s="147">
        <v>50</v>
      </c>
      <c r="AT397" s="148">
        <v>14.7</v>
      </c>
      <c r="AU397" s="149">
        <v>8.4499999999999993</v>
      </c>
      <c r="AV397" s="146">
        <f t="shared" si="120"/>
        <v>57.482993197278908</v>
      </c>
      <c r="AW397" s="146">
        <f t="shared" si="121"/>
        <v>42.517006802721092</v>
      </c>
      <c r="AX397" s="138" t="str">
        <f>IFERROR((1-((AV397*AR397)/(AW397*AQ397)))*100,"")</f>
        <v/>
      </c>
      <c r="AY397" s="95">
        <v>77.400000000000006</v>
      </c>
      <c r="AZ397" s="96" t="s">
        <v>56</v>
      </c>
      <c r="BA397" s="96"/>
      <c r="BB397" s="96" t="s">
        <v>56</v>
      </c>
      <c r="BC397" s="96"/>
      <c r="BD397" s="97">
        <v>140.65</v>
      </c>
      <c r="BE397" s="142">
        <f t="shared" si="122"/>
        <v>7847</v>
      </c>
      <c r="BF397" s="88">
        <v>98</v>
      </c>
      <c r="BG397" s="98">
        <v>0</v>
      </c>
      <c r="BH397" s="98">
        <v>7749</v>
      </c>
      <c r="BI397" s="98"/>
      <c r="BJ397" s="98"/>
      <c r="BK397" s="98"/>
      <c r="BL397" s="97"/>
    </row>
    <row r="398" spans="1:64" outlineLevel="5" x14ac:dyDescent="0.3">
      <c r="A398" s="152">
        <f t="shared" si="113"/>
        <v>12</v>
      </c>
      <c r="B398" s="153">
        <f t="shared" si="103"/>
        <v>44168</v>
      </c>
      <c r="C398" s="138">
        <f>IFERROR(ROUND(AVERAGE(D398:K398),1),"")</f>
        <v>35</v>
      </c>
      <c r="D398" s="84">
        <v>35</v>
      </c>
      <c r="E398" s="84">
        <v>35</v>
      </c>
      <c r="F398" s="84"/>
      <c r="G398" s="84"/>
      <c r="H398" s="84"/>
      <c r="I398" s="84"/>
      <c r="J398" s="84"/>
      <c r="K398" s="84"/>
      <c r="L398" s="140">
        <f>IFERROR(ROUND(AVERAGE(M398:T398),1),"")</f>
        <v>7.8</v>
      </c>
      <c r="M398" s="86">
        <v>7.79</v>
      </c>
      <c r="N398" s="86"/>
      <c r="O398" s="86"/>
      <c r="P398" s="86"/>
      <c r="Q398" s="86"/>
      <c r="R398" s="86"/>
      <c r="S398" s="86"/>
      <c r="T398" s="86"/>
      <c r="U398" s="142" t="str">
        <f>IFERROR(ROUND(AVERAGE(V398:AC398),1),"")</f>
        <v/>
      </c>
      <c r="V398" s="88"/>
      <c r="W398" s="88"/>
      <c r="X398" s="88"/>
      <c r="Y398" s="88"/>
      <c r="Z398" s="88"/>
      <c r="AA398" s="88"/>
      <c r="AB398" s="88"/>
      <c r="AC398" s="88"/>
      <c r="AD398" s="142" t="str">
        <f>IFERROR(ROUND(AVERAGE(AE398:AL398),1),"")</f>
        <v/>
      </c>
      <c r="AE398" s="88"/>
      <c r="AF398" s="88"/>
      <c r="AG398" s="88"/>
      <c r="AH398" s="88"/>
      <c r="AI398" s="88"/>
      <c r="AJ398" s="88"/>
      <c r="AK398" s="88"/>
      <c r="AL398" s="88"/>
      <c r="AM398" s="88">
        <v>37.294563843236411</v>
      </c>
      <c r="AN398" s="88">
        <v>126.56</v>
      </c>
      <c r="AO398" s="89"/>
      <c r="AP398" s="90"/>
      <c r="AQ398" s="146" t="str">
        <f t="shared" si="118"/>
        <v/>
      </c>
      <c r="AR398" s="146" t="str">
        <f t="shared" si="119"/>
        <v/>
      </c>
      <c r="AS398" s="147">
        <v>40</v>
      </c>
      <c r="AT398" s="148">
        <v>15.7</v>
      </c>
      <c r="AU398" s="149">
        <v>9.3000000000000007</v>
      </c>
      <c r="AV398" s="146">
        <f t="shared" si="120"/>
        <v>59.235668789808926</v>
      </c>
      <c r="AW398" s="146">
        <f t="shared" si="121"/>
        <v>40.764331210191074</v>
      </c>
      <c r="AX398" s="138" t="str">
        <f>IFERROR((1-((AV398*AR398)/(AW398*AQ398)))*100,"")</f>
        <v/>
      </c>
      <c r="AY398" s="95">
        <v>75.75</v>
      </c>
      <c r="AZ398" s="96" t="s">
        <v>56</v>
      </c>
      <c r="BA398" s="96"/>
      <c r="BB398" s="96" t="s">
        <v>56</v>
      </c>
      <c r="BC398" s="96"/>
      <c r="BD398" s="97">
        <v>126.56</v>
      </c>
      <c r="BE398" s="142">
        <f t="shared" si="122"/>
        <v>6482</v>
      </c>
      <c r="BF398" s="88">
        <v>81</v>
      </c>
      <c r="BG398" s="98">
        <v>198</v>
      </c>
      <c r="BH398" s="98">
        <v>6203</v>
      </c>
      <c r="BI398" s="98"/>
      <c r="BJ398" s="98"/>
      <c r="BK398" s="98"/>
      <c r="BL398" s="97"/>
    </row>
    <row r="399" spans="1:64" outlineLevel="5" x14ac:dyDescent="0.3">
      <c r="A399" s="152">
        <f t="shared" si="113"/>
        <v>12</v>
      </c>
      <c r="B399" s="153">
        <f t="shared" si="103"/>
        <v>44169</v>
      </c>
      <c r="C399" s="138">
        <f>IFERROR(ROUND(AVERAGE(D399:K399),1),"")</f>
        <v>37</v>
      </c>
      <c r="D399" s="84">
        <v>37</v>
      </c>
      <c r="E399" s="84">
        <v>37</v>
      </c>
      <c r="F399" s="84"/>
      <c r="G399" s="84"/>
      <c r="H399" s="84"/>
      <c r="I399" s="84"/>
      <c r="J399" s="84"/>
      <c r="K399" s="84"/>
      <c r="L399" s="140" t="str">
        <f>IFERROR(ROUND(AVERAGE(M399:T399),1),"")</f>
        <v/>
      </c>
      <c r="M399" s="86"/>
      <c r="N399" s="86"/>
      <c r="O399" s="86"/>
      <c r="P399" s="86"/>
      <c r="Q399" s="86"/>
      <c r="R399" s="86"/>
      <c r="S399" s="86"/>
      <c r="T399" s="86"/>
      <c r="U399" s="142" t="str">
        <f>IFERROR(ROUND(AVERAGE(V399:AC399),1),"")</f>
        <v/>
      </c>
      <c r="V399" s="88"/>
      <c r="W399" s="88"/>
      <c r="X399" s="88"/>
      <c r="Y399" s="88"/>
      <c r="Z399" s="88"/>
      <c r="AA399" s="88"/>
      <c r="AB399" s="88"/>
      <c r="AC399" s="88"/>
      <c r="AD399" s="142" t="str">
        <f>IFERROR(ROUND(AVERAGE(AE399:AL399),1),"")</f>
        <v/>
      </c>
      <c r="AE399" s="88"/>
      <c r="AF399" s="88"/>
      <c r="AG399" s="88"/>
      <c r="AH399" s="88"/>
      <c r="AI399" s="88"/>
      <c r="AJ399" s="88"/>
      <c r="AK399" s="88"/>
      <c r="AL399" s="88"/>
      <c r="AM399" s="88">
        <v>45.869776482021379</v>
      </c>
      <c r="AN399" s="88">
        <v>102.9</v>
      </c>
      <c r="AO399" s="89"/>
      <c r="AP399" s="90"/>
      <c r="AQ399" s="146" t="str">
        <f t="shared" si="118"/>
        <v/>
      </c>
      <c r="AR399" s="146" t="str">
        <f t="shared" si="119"/>
        <v/>
      </c>
      <c r="AS399" s="147">
        <v>28</v>
      </c>
      <c r="AT399" s="148" t="s">
        <v>56</v>
      </c>
      <c r="AU399" s="149" t="s">
        <v>56</v>
      </c>
      <c r="AV399" s="146" t="str">
        <f t="shared" si="120"/>
        <v/>
      </c>
      <c r="AW399" s="146" t="str">
        <f t="shared" si="121"/>
        <v/>
      </c>
      <c r="AX399" s="138" t="str">
        <f>IFERROR((1-((AV399*AR399)/(AW399*AQ399)))*100,"")</f>
        <v/>
      </c>
      <c r="AY399" s="95" t="s">
        <v>56</v>
      </c>
      <c r="AZ399" s="96" t="s">
        <v>56</v>
      </c>
      <c r="BA399" s="96"/>
      <c r="BB399" s="96" t="s">
        <v>56</v>
      </c>
      <c r="BC399" s="96"/>
      <c r="BD399" s="97">
        <v>102.9</v>
      </c>
      <c r="BE399" s="142">
        <f t="shared" si="122"/>
        <v>4790</v>
      </c>
      <c r="BF399" s="88">
        <v>73</v>
      </c>
      <c r="BG399" s="98">
        <v>1104</v>
      </c>
      <c r="BH399" s="98">
        <v>3613</v>
      </c>
      <c r="BI399" s="98"/>
      <c r="BJ399" s="98"/>
      <c r="BK399" s="98"/>
      <c r="BL399" s="97"/>
    </row>
    <row r="400" spans="1:64" outlineLevel="5" x14ac:dyDescent="0.3">
      <c r="A400" s="152">
        <f t="shared" si="113"/>
        <v>12</v>
      </c>
      <c r="B400" s="153">
        <f t="shared" si="103"/>
        <v>44170</v>
      </c>
      <c r="C400" s="138">
        <f>IFERROR(ROUND(AVERAGE(D400:K400),1),"")</f>
        <v>38</v>
      </c>
      <c r="D400" s="84">
        <v>38</v>
      </c>
      <c r="E400" s="84">
        <v>38</v>
      </c>
      <c r="F400" s="84"/>
      <c r="G400" s="84"/>
      <c r="H400" s="84"/>
      <c r="I400" s="84"/>
      <c r="J400" s="84"/>
      <c r="K400" s="84"/>
      <c r="L400" s="140" t="str">
        <f>IFERROR(ROUND(AVERAGE(M400:T400),1),"")</f>
        <v/>
      </c>
      <c r="M400" s="86"/>
      <c r="N400" s="86"/>
      <c r="O400" s="86"/>
      <c r="P400" s="86"/>
      <c r="Q400" s="86"/>
      <c r="R400" s="86"/>
      <c r="S400" s="86"/>
      <c r="T400" s="86"/>
      <c r="U400" s="142" t="str">
        <f>IFERROR(ROUND(AVERAGE(V400:AC400),1),"")</f>
        <v/>
      </c>
      <c r="V400" s="88"/>
      <c r="W400" s="88"/>
      <c r="X400" s="88"/>
      <c r="Y400" s="88"/>
      <c r="Z400" s="88"/>
      <c r="AA400" s="88"/>
      <c r="AB400" s="88"/>
      <c r="AC400" s="88"/>
      <c r="AD400" s="142" t="str">
        <f>IFERROR(ROUND(AVERAGE(AE400:AL400),1),"")</f>
        <v/>
      </c>
      <c r="AE400" s="88"/>
      <c r="AF400" s="88"/>
      <c r="AG400" s="88"/>
      <c r="AH400" s="88"/>
      <c r="AI400" s="88"/>
      <c r="AJ400" s="88"/>
      <c r="AK400" s="88"/>
      <c r="AL400" s="88"/>
      <c r="AM400" s="88">
        <v>68.217950570891745</v>
      </c>
      <c r="AN400" s="88">
        <v>69.19</v>
      </c>
      <c r="AO400" s="89" t="s">
        <v>56</v>
      </c>
      <c r="AP400" s="90"/>
      <c r="AQ400" s="146" t="str">
        <f t="shared" si="118"/>
        <v/>
      </c>
      <c r="AR400" s="146" t="str">
        <f t="shared" si="119"/>
        <v/>
      </c>
      <c r="AS400" s="147">
        <v>10</v>
      </c>
      <c r="AT400" s="148" t="s">
        <v>56</v>
      </c>
      <c r="AU400" s="149" t="s">
        <v>56</v>
      </c>
      <c r="AV400" s="146" t="str">
        <f t="shared" si="120"/>
        <v/>
      </c>
      <c r="AW400" s="146" t="str">
        <f t="shared" si="121"/>
        <v/>
      </c>
      <c r="AX400" s="138" t="str">
        <f>IFERROR((1-((AV400*AR400)/(AW400*AQ400)))*100,"")</f>
        <v/>
      </c>
      <c r="AY400" s="95" t="s">
        <v>56</v>
      </c>
      <c r="AZ400" s="96" t="s">
        <v>56</v>
      </c>
      <c r="BA400" s="96"/>
      <c r="BB400" s="96" t="s">
        <v>56</v>
      </c>
      <c r="BC400" s="96"/>
      <c r="BD400" s="97">
        <v>69.19</v>
      </c>
      <c r="BE400" s="142">
        <f t="shared" si="122"/>
        <v>6694</v>
      </c>
      <c r="BF400" s="88">
        <v>67</v>
      </c>
      <c r="BG400" s="98">
        <v>1106</v>
      </c>
      <c r="BH400" s="98">
        <v>5521</v>
      </c>
      <c r="BI400" s="98"/>
      <c r="BJ400" s="98"/>
      <c r="BK400" s="98"/>
      <c r="BL400" s="97"/>
    </row>
    <row r="401" spans="1:64" outlineLevel="5" x14ac:dyDescent="0.3">
      <c r="A401" s="152">
        <f t="shared" si="113"/>
        <v>12</v>
      </c>
      <c r="B401" s="153">
        <f t="shared" si="103"/>
        <v>44171</v>
      </c>
      <c r="C401" s="138">
        <f>IFERROR(ROUND(AVERAGE(D401:K401),1),"")</f>
        <v>38</v>
      </c>
      <c r="D401" s="84">
        <v>38</v>
      </c>
      <c r="E401" s="84">
        <v>38</v>
      </c>
      <c r="F401" s="84"/>
      <c r="G401" s="84"/>
      <c r="H401" s="84"/>
      <c r="I401" s="84"/>
      <c r="J401" s="84"/>
      <c r="K401" s="84"/>
      <c r="L401" s="140" t="str">
        <f>IFERROR(ROUND(AVERAGE(M401:T401),1),"")</f>
        <v/>
      </c>
      <c r="M401" s="86"/>
      <c r="N401" s="86"/>
      <c r="O401" s="86"/>
      <c r="P401" s="86"/>
      <c r="Q401" s="86"/>
      <c r="R401" s="86"/>
      <c r="S401" s="86"/>
      <c r="T401" s="86"/>
      <c r="U401" s="142" t="str">
        <f>IFERROR(ROUND(AVERAGE(V401:AC401),1),"")</f>
        <v/>
      </c>
      <c r="V401" s="88"/>
      <c r="W401" s="88"/>
      <c r="X401" s="88"/>
      <c r="Y401" s="88"/>
      <c r="Z401" s="88"/>
      <c r="AA401" s="88"/>
      <c r="AB401" s="88"/>
      <c r="AC401" s="88"/>
      <c r="AD401" s="142" t="str">
        <f>IFERROR(ROUND(AVERAGE(AE401:AL401),1),"")</f>
        <v/>
      </c>
      <c r="AE401" s="88"/>
      <c r="AF401" s="88"/>
      <c r="AG401" s="88"/>
      <c r="AH401" s="88"/>
      <c r="AI401" s="88"/>
      <c r="AJ401" s="88"/>
      <c r="AK401" s="88"/>
      <c r="AL401" s="88"/>
      <c r="AM401" s="88">
        <v>69.411764705882348</v>
      </c>
      <c r="AN401" s="88">
        <v>68</v>
      </c>
      <c r="AO401" s="89" t="s">
        <v>56</v>
      </c>
      <c r="AP401" s="90"/>
      <c r="AQ401" s="146" t="str">
        <f t="shared" si="118"/>
        <v/>
      </c>
      <c r="AR401" s="146" t="str">
        <f t="shared" si="119"/>
        <v/>
      </c>
      <c r="AS401" s="147">
        <v>15</v>
      </c>
      <c r="AT401" s="148" t="s">
        <v>56</v>
      </c>
      <c r="AU401" s="149" t="s">
        <v>56</v>
      </c>
      <c r="AV401" s="146" t="str">
        <f t="shared" si="120"/>
        <v/>
      </c>
      <c r="AW401" s="146" t="str">
        <f t="shared" si="121"/>
        <v/>
      </c>
      <c r="AX401" s="138" t="str">
        <f>IFERROR((1-((AV401*AR401)/(AW401*AQ401)))*100,"")</f>
        <v/>
      </c>
      <c r="AY401" s="95" t="s">
        <v>56</v>
      </c>
      <c r="AZ401" s="96" t="s">
        <v>56</v>
      </c>
      <c r="BA401" s="96"/>
      <c r="BB401" s="96" t="s">
        <v>56</v>
      </c>
      <c r="BC401" s="96"/>
      <c r="BD401" s="97">
        <v>68</v>
      </c>
      <c r="BE401" s="142">
        <f t="shared" si="122"/>
        <v>7253</v>
      </c>
      <c r="BF401" s="88">
        <v>34</v>
      </c>
      <c r="BG401" s="98">
        <v>972</v>
      </c>
      <c r="BH401" s="98">
        <v>6247</v>
      </c>
      <c r="BI401" s="98"/>
      <c r="BJ401" s="98"/>
      <c r="BK401" s="98"/>
      <c r="BL401" s="97"/>
    </row>
    <row r="402" spans="1:64" outlineLevel="5" x14ac:dyDescent="0.3">
      <c r="A402" s="152">
        <f t="shared" si="113"/>
        <v>12</v>
      </c>
      <c r="B402" s="153">
        <f t="shared" si="103"/>
        <v>44172</v>
      </c>
      <c r="C402" s="138">
        <f>IFERROR(ROUND(AVERAGE(D402:K402),1),"")</f>
        <v>38</v>
      </c>
      <c r="D402" s="84">
        <v>38</v>
      </c>
      <c r="E402" s="84">
        <v>38</v>
      </c>
      <c r="F402" s="84"/>
      <c r="G402" s="84"/>
      <c r="H402" s="84"/>
      <c r="I402" s="84"/>
      <c r="J402" s="84"/>
      <c r="K402" s="84"/>
      <c r="L402" s="140" t="str">
        <f>IFERROR(ROUND(AVERAGE(M402:T402),1),"")</f>
        <v/>
      </c>
      <c r="M402" s="86"/>
      <c r="N402" s="86"/>
      <c r="O402" s="86"/>
      <c r="P402" s="86"/>
      <c r="Q402" s="86"/>
      <c r="R402" s="86"/>
      <c r="S402" s="86"/>
      <c r="T402" s="86"/>
      <c r="U402" s="142" t="str">
        <f>IFERROR(ROUND(AVERAGE(V402:AC402),1),"")</f>
        <v/>
      </c>
      <c r="V402" s="88"/>
      <c r="W402" s="88"/>
      <c r="X402" s="88"/>
      <c r="Y402" s="88"/>
      <c r="Z402" s="88"/>
      <c r="AA402" s="88"/>
      <c r="AB402" s="88"/>
      <c r="AC402" s="88"/>
      <c r="AD402" s="142" t="str">
        <f>IFERROR(ROUND(AVERAGE(AE402:AL402),1),"")</f>
        <v/>
      </c>
      <c r="AE402" s="88"/>
      <c r="AF402" s="88"/>
      <c r="AG402" s="88"/>
      <c r="AH402" s="88"/>
      <c r="AI402" s="88"/>
      <c r="AJ402" s="88"/>
      <c r="AK402" s="88"/>
      <c r="AL402" s="88"/>
      <c r="AM402" s="88">
        <v>34.064665127020781</v>
      </c>
      <c r="AN402" s="88">
        <v>138.56</v>
      </c>
      <c r="AO402" s="89" t="s">
        <v>56</v>
      </c>
      <c r="AP402" s="90"/>
      <c r="AQ402" s="146" t="str">
        <f t="shared" si="118"/>
        <v/>
      </c>
      <c r="AR402" s="146" t="str">
        <f t="shared" si="119"/>
        <v/>
      </c>
      <c r="AS402" s="147">
        <v>0</v>
      </c>
      <c r="AT402" s="148" t="s">
        <v>56</v>
      </c>
      <c r="AU402" s="149" t="s">
        <v>56</v>
      </c>
      <c r="AV402" s="146" t="str">
        <f t="shared" si="120"/>
        <v/>
      </c>
      <c r="AW402" s="146" t="str">
        <f t="shared" si="121"/>
        <v/>
      </c>
      <c r="AX402" s="138" t="str">
        <f>IFERROR((1-((AV402*AR402)/(AW402*AQ402)))*100,"")</f>
        <v/>
      </c>
      <c r="AY402" s="95" t="s">
        <v>56</v>
      </c>
      <c r="AZ402" s="96" t="s">
        <v>56</v>
      </c>
      <c r="BA402" s="96"/>
      <c r="BB402" s="96" t="s">
        <v>56</v>
      </c>
      <c r="BC402" s="96"/>
      <c r="BD402" s="97">
        <v>138.56</v>
      </c>
      <c r="BE402" s="142">
        <f t="shared" si="122"/>
        <v>4629</v>
      </c>
      <c r="BF402" s="88">
        <v>84</v>
      </c>
      <c r="BG402" s="98">
        <v>0</v>
      </c>
      <c r="BH402" s="98">
        <v>4545</v>
      </c>
      <c r="BI402" s="98"/>
      <c r="BJ402" s="98"/>
      <c r="BK402" s="98"/>
      <c r="BL402" s="97"/>
    </row>
    <row r="403" spans="1:64" outlineLevel="5" x14ac:dyDescent="0.3">
      <c r="A403" s="152">
        <f t="shared" si="113"/>
        <v>12</v>
      </c>
      <c r="B403" s="153">
        <f t="shared" si="103"/>
        <v>44173</v>
      </c>
      <c r="C403" s="138">
        <f>IFERROR(ROUND(AVERAGE(D403:K403),1),"")</f>
        <v>37</v>
      </c>
      <c r="D403" s="84">
        <v>37</v>
      </c>
      <c r="E403" s="84">
        <v>37</v>
      </c>
      <c r="F403" s="84"/>
      <c r="G403" s="84"/>
      <c r="H403" s="84"/>
      <c r="I403" s="84"/>
      <c r="J403" s="84"/>
      <c r="K403" s="84"/>
      <c r="L403" s="140" t="str">
        <f>IFERROR(ROUND(AVERAGE(M403:T403),1),"")</f>
        <v/>
      </c>
      <c r="M403" s="86"/>
      <c r="N403" s="86"/>
      <c r="O403" s="86"/>
      <c r="P403" s="86"/>
      <c r="Q403" s="86"/>
      <c r="R403" s="86"/>
      <c r="S403" s="86"/>
      <c r="T403" s="86"/>
      <c r="U403" s="142" t="str">
        <f>IFERROR(ROUND(AVERAGE(V403:AC403),1),"")</f>
        <v/>
      </c>
      <c r="V403" s="88"/>
      <c r="W403" s="88"/>
      <c r="X403" s="88"/>
      <c r="Y403" s="88"/>
      <c r="Z403" s="88"/>
      <c r="AA403" s="88"/>
      <c r="AB403" s="88"/>
      <c r="AC403" s="88"/>
      <c r="AD403" s="142" t="str">
        <f>IFERROR(ROUND(AVERAGE(AE403:AL403),1),"")</f>
        <v/>
      </c>
      <c r="AE403" s="88"/>
      <c r="AF403" s="88"/>
      <c r="AG403" s="88"/>
      <c r="AH403" s="88"/>
      <c r="AI403" s="88"/>
      <c r="AJ403" s="88"/>
      <c r="AK403" s="88"/>
      <c r="AL403" s="88"/>
      <c r="AM403" s="88">
        <v>32.551724137931032</v>
      </c>
      <c r="AN403" s="88">
        <v>145</v>
      </c>
      <c r="AO403" s="89" t="s">
        <v>56</v>
      </c>
      <c r="AP403" s="90"/>
      <c r="AQ403" s="146" t="str">
        <f t="shared" si="118"/>
        <v/>
      </c>
      <c r="AR403" s="146" t="str">
        <f t="shared" si="119"/>
        <v/>
      </c>
      <c r="AS403" s="147">
        <v>0</v>
      </c>
      <c r="AT403" s="148" t="s">
        <v>56</v>
      </c>
      <c r="AU403" s="149" t="s">
        <v>56</v>
      </c>
      <c r="AV403" s="146" t="str">
        <f t="shared" si="120"/>
        <v/>
      </c>
      <c r="AW403" s="146" t="str">
        <f t="shared" si="121"/>
        <v/>
      </c>
      <c r="AX403" s="138" t="str">
        <f>IFERROR((1-((AV403*AR403)/(AW403*AQ403)))*100,"")</f>
        <v/>
      </c>
      <c r="AY403" s="95" t="s">
        <v>56</v>
      </c>
      <c r="AZ403" s="96" t="s">
        <v>56</v>
      </c>
      <c r="BA403" s="96"/>
      <c r="BB403" s="96" t="s">
        <v>56</v>
      </c>
      <c r="BC403" s="96"/>
      <c r="BD403" s="97">
        <v>145</v>
      </c>
      <c r="BE403" s="142">
        <f t="shared" si="122"/>
        <v>4535</v>
      </c>
      <c r="BF403" s="88">
        <v>41</v>
      </c>
      <c r="BG403" s="98">
        <v>0</v>
      </c>
      <c r="BH403" s="98">
        <v>4494</v>
      </c>
      <c r="BI403" s="98"/>
      <c r="BJ403" s="98"/>
      <c r="BK403" s="98"/>
      <c r="BL403" s="97"/>
    </row>
    <row r="404" spans="1:64" outlineLevel="5" x14ac:dyDescent="0.3">
      <c r="A404" s="152">
        <f t="shared" si="113"/>
        <v>12</v>
      </c>
      <c r="B404" s="153">
        <f t="shared" si="103"/>
        <v>44174</v>
      </c>
      <c r="C404" s="138">
        <f>IFERROR(ROUND(AVERAGE(D404:K404),1),"")</f>
        <v>37</v>
      </c>
      <c r="D404" s="84">
        <v>37</v>
      </c>
      <c r="E404" s="84">
        <v>37</v>
      </c>
      <c r="F404" s="84"/>
      <c r="G404" s="84"/>
      <c r="H404" s="84"/>
      <c r="I404" s="84"/>
      <c r="J404" s="84"/>
      <c r="K404" s="84"/>
      <c r="L404" s="140">
        <f>IFERROR(ROUND(AVERAGE(M404:T404),1),"")</f>
        <v>7.8</v>
      </c>
      <c r="M404" s="86">
        <v>7.82</v>
      </c>
      <c r="N404" s="86">
        <v>7.78</v>
      </c>
      <c r="O404" s="86"/>
      <c r="P404" s="86"/>
      <c r="Q404" s="86"/>
      <c r="R404" s="86"/>
      <c r="S404" s="86"/>
      <c r="T404" s="86"/>
      <c r="U404" s="142" t="str">
        <f>IFERROR(ROUND(AVERAGE(V404:AC404),1),"")</f>
        <v/>
      </c>
      <c r="V404" s="88"/>
      <c r="W404" s="88"/>
      <c r="X404" s="88"/>
      <c r="Y404" s="88"/>
      <c r="Z404" s="88"/>
      <c r="AA404" s="88"/>
      <c r="AB404" s="88"/>
      <c r="AC404" s="88"/>
      <c r="AD404" s="142" t="str">
        <f>IFERROR(ROUND(AVERAGE(AE404:AL404),1),"")</f>
        <v/>
      </c>
      <c r="AE404" s="88"/>
      <c r="AF404" s="88"/>
      <c r="AG404" s="88"/>
      <c r="AH404" s="88"/>
      <c r="AI404" s="88"/>
      <c r="AJ404" s="88"/>
      <c r="AK404" s="88"/>
      <c r="AL404" s="88"/>
      <c r="AM404" s="88">
        <v>32.330981574080411</v>
      </c>
      <c r="AN404" s="88">
        <v>145.99</v>
      </c>
      <c r="AO404" s="89"/>
      <c r="AP404" s="90"/>
      <c r="AQ404" s="146" t="str">
        <f t="shared" si="118"/>
        <v/>
      </c>
      <c r="AR404" s="146" t="str">
        <f t="shared" si="119"/>
        <v/>
      </c>
      <c r="AS404" s="147">
        <v>20</v>
      </c>
      <c r="AT404" s="148">
        <v>15.8</v>
      </c>
      <c r="AU404" s="149">
        <v>9.0500000000000007</v>
      </c>
      <c r="AV404" s="146">
        <f t="shared" si="120"/>
        <v>57.278481012658233</v>
      </c>
      <c r="AW404" s="146">
        <f t="shared" si="121"/>
        <v>42.721518987341767</v>
      </c>
      <c r="AX404" s="138" t="str">
        <f>IFERROR((1-((AV404*AR404)/(AW404*AQ404)))*100,"")</f>
        <v/>
      </c>
      <c r="AY404" s="95">
        <v>77.599999999999994</v>
      </c>
      <c r="AZ404" s="96" t="s">
        <v>56</v>
      </c>
      <c r="BA404" s="96"/>
      <c r="BB404" s="96" t="s">
        <v>56</v>
      </c>
      <c r="BC404" s="96"/>
      <c r="BD404" s="97">
        <v>145.99</v>
      </c>
      <c r="BE404" s="142">
        <f t="shared" si="122"/>
        <v>2835</v>
      </c>
      <c r="BF404" s="88">
        <v>47</v>
      </c>
      <c r="BG404" s="98">
        <v>0</v>
      </c>
      <c r="BH404" s="98">
        <v>2788</v>
      </c>
      <c r="BI404" s="98"/>
      <c r="BJ404" s="98"/>
      <c r="BK404" s="98"/>
      <c r="BL404" s="97"/>
    </row>
    <row r="405" spans="1:64" outlineLevel="5" x14ac:dyDescent="0.3">
      <c r="A405" s="152">
        <f t="shared" si="113"/>
        <v>12</v>
      </c>
      <c r="B405" s="153">
        <f t="shared" si="103"/>
        <v>44175</v>
      </c>
      <c r="C405" s="138">
        <f>IFERROR(ROUND(AVERAGE(D405:K405),1),"")</f>
        <v>38</v>
      </c>
      <c r="D405" s="84">
        <v>38</v>
      </c>
      <c r="E405" s="84">
        <v>38</v>
      </c>
      <c r="F405" s="84"/>
      <c r="G405" s="84"/>
      <c r="H405" s="84"/>
      <c r="I405" s="84"/>
      <c r="J405" s="84"/>
      <c r="K405" s="84"/>
      <c r="L405" s="140">
        <f>IFERROR(ROUND(AVERAGE(M405:T405),1),"")</f>
        <v>7.8</v>
      </c>
      <c r="M405" s="86">
        <v>7.89</v>
      </c>
      <c r="N405" s="86">
        <v>7.79</v>
      </c>
      <c r="O405" s="86"/>
      <c r="P405" s="86"/>
      <c r="Q405" s="86"/>
      <c r="R405" s="86"/>
      <c r="S405" s="86"/>
      <c r="T405" s="86"/>
      <c r="U405" s="142" t="str">
        <f>IFERROR(ROUND(AVERAGE(V405:AC405),1),"")</f>
        <v/>
      </c>
      <c r="V405" s="88"/>
      <c r="W405" s="88"/>
      <c r="X405" s="88"/>
      <c r="Y405" s="88"/>
      <c r="Z405" s="88"/>
      <c r="AA405" s="88"/>
      <c r="AB405" s="88"/>
      <c r="AC405" s="88"/>
      <c r="AD405" s="142" t="str">
        <f>IFERROR(ROUND(AVERAGE(AE405:AL405),1),"")</f>
        <v/>
      </c>
      <c r="AE405" s="88"/>
      <c r="AF405" s="88"/>
      <c r="AG405" s="88"/>
      <c r="AH405" s="88"/>
      <c r="AI405" s="88"/>
      <c r="AJ405" s="88"/>
      <c r="AK405" s="88"/>
      <c r="AL405" s="88"/>
      <c r="AM405" s="88">
        <v>33.895870736086174</v>
      </c>
      <c r="AN405" s="88">
        <v>139.25</v>
      </c>
      <c r="AO405" s="89"/>
      <c r="AP405" s="90"/>
      <c r="AQ405" s="146" t="str">
        <f t="shared" si="118"/>
        <v/>
      </c>
      <c r="AR405" s="146" t="str">
        <f t="shared" si="119"/>
        <v/>
      </c>
      <c r="AS405" s="147">
        <v>16</v>
      </c>
      <c r="AT405" s="148">
        <v>17.899999999999999</v>
      </c>
      <c r="AU405" s="149">
        <v>9.1999999999999993</v>
      </c>
      <c r="AV405" s="146">
        <f t="shared" si="120"/>
        <v>51.396648044692739</v>
      </c>
      <c r="AW405" s="146">
        <f t="shared" si="121"/>
        <v>48.603351955307261</v>
      </c>
      <c r="AX405" s="138" t="str">
        <f>IFERROR((1-((AV405*AR405)/(AW405*AQ405)))*100,"")</f>
        <v/>
      </c>
      <c r="AY405" s="95">
        <v>78.55</v>
      </c>
      <c r="AZ405" s="96" t="s">
        <v>56</v>
      </c>
      <c r="BA405" s="96"/>
      <c r="BB405" s="96" t="s">
        <v>56</v>
      </c>
      <c r="BC405" s="96"/>
      <c r="BD405" s="97">
        <v>139.25</v>
      </c>
      <c r="BE405" s="142">
        <f t="shared" si="122"/>
        <v>5016</v>
      </c>
      <c r="BF405" s="88">
        <v>29</v>
      </c>
      <c r="BG405" s="98">
        <v>0</v>
      </c>
      <c r="BH405" s="98">
        <v>4987</v>
      </c>
      <c r="BI405" s="98"/>
      <c r="BJ405" s="98"/>
      <c r="BK405" s="98"/>
      <c r="BL405" s="97"/>
    </row>
    <row r="406" spans="1:64" outlineLevel="5" x14ac:dyDescent="0.3">
      <c r="A406" s="152">
        <f t="shared" si="113"/>
        <v>12</v>
      </c>
      <c r="B406" s="153">
        <f t="shared" si="103"/>
        <v>44176</v>
      </c>
      <c r="C406" s="138">
        <f>IFERROR(ROUND(AVERAGE(D406:K406),1),"")</f>
        <v>38</v>
      </c>
      <c r="D406" s="84">
        <v>38</v>
      </c>
      <c r="E406" s="84">
        <v>38</v>
      </c>
      <c r="F406" s="84"/>
      <c r="G406" s="84"/>
      <c r="H406" s="84"/>
      <c r="I406" s="84"/>
      <c r="J406" s="84"/>
      <c r="K406" s="84"/>
      <c r="L406" s="140" t="str">
        <f>IFERROR(ROUND(AVERAGE(M406:T406),1),"")</f>
        <v/>
      </c>
      <c r="M406" s="86"/>
      <c r="N406" s="86"/>
      <c r="O406" s="86"/>
      <c r="P406" s="86"/>
      <c r="Q406" s="86"/>
      <c r="R406" s="86"/>
      <c r="S406" s="86"/>
      <c r="T406" s="86"/>
      <c r="U406" s="142" t="str">
        <f>IFERROR(ROUND(AVERAGE(V406:AC406),1),"")</f>
        <v/>
      </c>
      <c r="V406" s="88"/>
      <c r="W406" s="88"/>
      <c r="X406" s="88"/>
      <c r="Y406" s="88"/>
      <c r="Z406" s="88"/>
      <c r="AA406" s="88"/>
      <c r="AB406" s="88"/>
      <c r="AC406" s="88"/>
      <c r="AD406" s="142" t="str">
        <f>IFERROR(ROUND(AVERAGE(AE406:AL406),1),"")</f>
        <v/>
      </c>
      <c r="AE406" s="88"/>
      <c r="AF406" s="88"/>
      <c r="AG406" s="88"/>
      <c r="AH406" s="88"/>
      <c r="AI406" s="88"/>
      <c r="AJ406" s="88"/>
      <c r="AK406" s="88"/>
      <c r="AL406" s="88"/>
      <c r="AM406" s="88">
        <v>34.573688836800471</v>
      </c>
      <c r="AN406" s="88">
        <v>136.51999999999998</v>
      </c>
      <c r="AO406" s="89">
        <v>18.3</v>
      </c>
      <c r="AP406" s="90">
        <v>15.683100000000001</v>
      </c>
      <c r="AQ406" s="146">
        <f t="shared" si="118"/>
        <v>85.7</v>
      </c>
      <c r="AR406" s="146">
        <f t="shared" si="119"/>
        <v>14.299999999999997</v>
      </c>
      <c r="AS406" s="147">
        <v>20</v>
      </c>
      <c r="AT406" s="148" t="s">
        <v>56</v>
      </c>
      <c r="AU406" s="149" t="s">
        <v>56</v>
      </c>
      <c r="AV406" s="146" t="str">
        <f t="shared" si="120"/>
        <v/>
      </c>
      <c r="AW406" s="146" t="str">
        <f t="shared" si="121"/>
        <v/>
      </c>
      <c r="AX406" s="138" t="str">
        <f>IFERROR((1-((AV406*AR406)/(AW406*AQ406)))*100,"")</f>
        <v/>
      </c>
      <c r="AY406" s="95" t="s">
        <v>56</v>
      </c>
      <c r="AZ406" s="96" t="s">
        <v>56</v>
      </c>
      <c r="BA406" s="96"/>
      <c r="BB406" s="96" t="s">
        <v>56</v>
      </c>
      <c r="BC406" s="96"/>
      <c r="BD406" s="97">
        <v>136.51999999999998</v>
      </c>
      <c r="BE406" s="142">
        <f t="shared" si="122"/>
        <v>2088</v>
      </c>
      <c r="BF406" s="88">
        <v>35</v>
      </c>
      <c r="BG406" s="98">
        <v>0</v>
      </c>
      <c r="BH406" s="98">
        <v>2053</v>
      </c>
      <c r="BI406" s="98"/>
      <c r="BJ406" s="98"/>
      <c r="BK406" s="98"/>
      <c r="BL406" s="97"/>
    </row>
    <row r="407" spans="1:64" outlineLevel="5" x14ac:dyDescent="0.3">
      <c r="A407" s="152">
        <f t="shared" si="113"/>
        <v>12</v>
      </c>
      <c r="B407" s="153">
        <f t="shared" si="103"/>
        <v>44177</v>
      </c>
      <c r="C407" s="138">
        <f>IFERROR(ROUND(AVERAGE(D407:K407),1),"")</f>
        <v>39</v>
      </c>
      <c r="D407" s="84">
        <v>39</v>
      </c>
      <c r="E407" s="84">
        <v>39</v>
      </c>
      <c r="F407" s="84"/>
      <c r="G407" s="84"/>
      <c r="H407" s="84"/>
      <c r="I407" s="84"/>
      <c r="J407" s="84"/>
      <c r="K407" s="84"/>
      <c r="L407" s="140" t="str">
        <f>IFERROR(ROUND(AVERAGE(M407:T407),1),"")</f>
        <v/>
      </c>
      <c r="M407" s="86"/>
      <c r="N407" s="86"/>
      <c r="O407" s="86"/>
      <c r="P407" s="86"/>
      <c r="Q407" s="86"/>
      <c r="R407" s="86"/>
      <c r="S407" s="86"/>
      <c r="T407" s="86"/>
      <c r="U407" s="142" t="str">
        <f>IFERROR(ROUND(AVERAGE(V407:AC407),1),"")</f>
        <v/>
      </c>
      <c r="V407" s="88"/>
      <c r="W407" s="88"/>
      <c r="X407" s="88"/>
      <c r="Y407" s="88"/>
      <c r="Z407" s="88"/>
      <c r="AA407" s="88"/>
      <c r="AB407" s="88"/>
      <c r="AC407" s="88"/>
      <c r="AD407" s="142" t="str">
        <f>IFERROR(ROUND(AVERAGE(AE407:AL407),1),"")</f>
        <v/>
      </c>
      <c r="AE407" s="88"/>
      <c r="AF407" s="88"/>
      <c r="AG407" s="88"/>
      <c r="AH407" s="88"/>
      <c r="AI407" s="88"/>
      <c r="AJ407" s="88"/>
      <c r="AK407" s="88"/>
      <c r="AL407" s="88"/>
      <c r="AM407" s="88">
        <v>40.848117697966252</v>
      </c>
      <c r="AN407" s="88">
        <v>115.55</v>
      </c>
      <c r="AO407" s="89">
        <v>18.3</v>
      </c>
      <c r="AP407" s="90">
        <v>15.683100000000001</v>
      </c>
      <c r="AQ407" s="146">
        <f t="shared" si="118"/>
        <v>85.7</v>
      </c>
      <c r="AR407" s="146">
        <f t="shared" si="119"/>
        <v>14.299999999999997</v>
      </c>
      <c r="AS407" s="147">
        <v>10</v>
      </c>
      <c r="AT407" s="148" t="s">
        <v>56</v>
      </c>
      <c r="AU407" s="149" t="s">
        <v>56</v>
      </c>
      <c r="AV407" s="146" t="str">
        <f t="shared" si="120"/>
        <v/>
      </c>
      <c r="AW407" s="146" t="str">
        <f t="shared" si="121"/>
        <v/>
      </c>
      <c r="AX407" s="138" t="str">
        <f>IFERROR((1-((AV407*AR407)/(AW407*AQ407)))*100,"")</f>
        <v/>
      </c>
      <c r="AY407" s="95" t="s">
        <v>56</v>
      </c>
      <c r="AZ407" s="96" t="s">
        <v>56</v>
      </c>
      <c r="BA407" s="96"/>
      <c r="BB407" s="96" t="s">
        <v>56</v>
      </c>
      <c r="BC407" s="96"/>
      <c r="BD407" s="97">
        <v>115.55</v>
      </c>
      <c r="BE407" s="142">
        <f t="shared" si="122"/>
        <v>2736</v>
      </c>
      <c r="BF407" s="88">
        <v>42</v>
      </c>
      <c r="BG407" s="98">
        <v>0</v>
      </c>
      <c r="BH407" s="98">
        <v>2694</v>
      </c>
      <c r="BI407" s="98"/>
      <c r="BJ407" s="98"/>
      <c r="BK407" s="98"/>
      <c r="BL407" s="97"/>
    </row>
    <row r="408" spans="1:64" outlineLevel="5" x14ac:dyDescent="0.3">
      <c r="A408" s="152">
        <f t="shared" si="113"/>
        <v>12</v>
      </c>
      <c r="B408" s="153">
        <f t="shared" si="103"/>
        <v>44178</v>
      </c>
      <c r="C408" s="138">
        <f>IFERROR(ROUND(AVERAGE(D408:K408),1),"")</f>
        <v>38</v>
      </c>
      <c r="D408" s="84">
        <v>38</v>
      </c>
      <c r="E408" s="84">
        <v>38</v>
      </c>
      <c r="F408" s="84"/>
      <c r="G408" s="84"/>
      <c r="H408" s="84"/>
      <c r="I408" s="84"/>
      <c r="J408" s="84"/>
      <c r="K408" s="84"/>
      <c r="L408" s="140" t="str">
        <f>IFERROR(ROUND(AVERAGE(M408:T408),1),"")</f>
        <v/>
      </c>
      <c r="M408" s="86"/>
      <c r="N408" s="86"/>
      <c r="O408" s="86"/>
      <c r="P408" s="86"/>
      <c r="Q408" s="86"/>
      <c r="R408" s="86"/>
      <c r="S408" s="86"/>
      <c r="T408" s="86"/>
      <c r="U408" s="142" t="str">
        <f>IFERROR(ROUND(AVERAGE(V408:AC408),1),"")</f>
        <v/>
      </c>
      <c r="V408" s="88"/>
      <c r="W408" s="88"/>
      <c r="X408" s="88"/>
      <c r="Y408" s="88"/>
      <c r="Z408" s="88"/>
      <c r="AA408" s="88"/>
      <c r="AB408" s="88"/>
      <c r="AC408" s="88"/>
      <c r="AD408" s="142" t="str">
        <f>IFERROR(ROUND(AVERAGE(AE408:AL408),1),"")</f>
        <v/>
      </c>
      <c r="AE408" s="88"/>
      <c r="AF408" s="88"/>
      <c r="AG408" s="88"/>
      <c r="AH408" s="88"/>
      <c r="AI408" s="88"/>
      <c r="AJ408" s="88"/>
      <c r="AK408" s="88"/>
      <c r="AL408" s="88"/>
      <c r="AM408" s="88">
        <v>41.769911504424776</v>
      </c>
      <c r="AN408" s="88">
        <v>113</v>
      </c>
      <c r="AO408" s="89" t="s">
        <v>56</v>
      </c>
      <c r="AP408" s="90" t="s">
        <v>56</v>
      </c>
      <c r="AQ408" s="146" t="str">
        <f t="shared" si="118"/>
        <v/>
      </c>
      <c r="AR408" s="146" t="str">
        <f t="shared" si="119"/>
        <v/>
      </c>
      <c r="AS408" s="147">
        <v>10</v>
      </c>
      <c r="AT408" s="148" t="s">
        <v>56</v>
      </c>
      <c r="AU408" s="149" t="s">
        <v>56</v>
      </c>
      <c r="AV408" s="146" t="str">
        <f t="shared" si="120"/>
        <v/>
      </c>
      <c r="AW408" s="146" t="str">
        <f t="shared" si="121"/>
        <v/>
      </c>
      <c r="AX408" s="138" t="str">
        <f>IFERROR((1-((AV408*AR408)/(AW408*AQ408)))*100,"")</f>
        <v/>
      </c>
      <c r="AY408" s="95" t="s">
        <v>56</v>
      </c>
      <c r="AZ408" s="96" t="s">
        <v>56</v>
      </c>
      <c r="BA408" s="96"/>
      <c r="BB408" s="96" t="s">
        <v>56</v>
      </c>
      <c r="BC408" s="96"/>
      <c r="BD408" s="97">
        <v>113</v>
      </c>
      <c r="BE408" s="142">
        <f t="shared" si="122"/>
        <v>2568</v>
      </c>
      <c r="BF408" s="88">
        <v>0</v>
      </c>
      <c r="BG408" s="98">
        <v>0</v>
      </c>
      <c r="BH408" s="98">
        <v>2568</v>
      </c>
      <c r="BI408" s="98"/>
      <c r="BJ408" s="98"/>
      <c r="BK408" s="98"/>
      <c r="BL408" s="97"/>
    </row>
    <row r="409" spans="1:64" outlineLevel="5" x14ac:dyDescent="0.3">
      <c r="A409" s="152">
        <f t="shared" si="113"/>
        <v>12</v>
      </c>
      <c r="B409" s="153">
        <f t="shared" si="103"/>
        <v>44179</v>
      </c>
      <c r="C409" s="138">
        <f>IFERROR(ROUND(AVERAGE(D409:K409),1),"")</f>
        <v>38</v>
      </c>
      <c r="D409" s="84">
        <v>38</v>
      </c>
      <c r="E409" s="84">
        <v>38</v>
      </c>
      <c r="F409" s="84"/>
      <c r="G409" s="84"/>
      <c r="H409" s="84"/>
      <c r="I409" s="84"/>
      <c r="J409" s="84"/>
      <c r="K409" s="84"/>
      <c r="L409" s="140" t="str">
        <f>IFERROR(ROUND(AVERAGE(M409:T409),1),"")</f>
        <v/>
      </c>
      <c r="M409" s="86"/>
      <c r="N409" s="86"/>
      <c r="O409" s="86"/>
      <c r="P409" s="86"/>
      <c r="Q409" s="86"/>
      <c r="R409" s="86"/>
      <c r="S409" s="86"/>
      <c r="T409" s="86"/>
      <c r="U409" s="142" t="str">
        <f>IFERROR(ROUND(AVERAGE(V409:AC409),1),"")</f>
        <v/>
      </c>
      <c r="V409" s="88"/>
      <c r="W409" s="88"/>
      <c r="X409" s="88"/>
      <c r="Y409" s="88"/>
      <c r="Z409" s="88"/>
      <c r="AA409" s="88"/>
      <c r="AB409" s="88"/>
      <c r="AC409" s="88"/>
      <c r="AD409" s="142" t="str">
        <f>IFERROR(ROUND(AVERAGE(AE409:AL409),1),"")</f>
        <v/>
      </c>
      <c r="AE409" s="88"/>
      <c r="AF409" s="88"/>
      <c r="AG409" s="88"/>
      <c r="AH409" s="88"/>
      <c r="AI409" s="88"/>
      <c r="AJ409" s="88"/>
      <c r="AK409" s="88"/>
      <c r="AL409" s="88"/>
      <c r="AM409" s="88">
        <v>46.608077416806552</v>
      </c>
      <c r="AN409" s="88">
        <v>101.27000000000001</v>
      </c>
      <c r="AO409" s="89" t="s">
        <v>56</v>
      </c>
      <c r="AP409" s="90"/>
      <c r="AQ409" s="146" t="str">
        <f t="shared" si="118"/>
        <v/>
      </c>
      <c r="AR409" s="146" t="str">
        <f t="shared" si="119"/>
        <v/>
      </c>
      <c r="AS409" s="147">
        <v>40</v>
      </c>
      <c r="AT409" s="148">
        <v>15.850000000000001</v>
      </c>
      <c r="AU409" s="149">
        <v>8.65</v>
      </c>
      <c r="AV409" s="146">
        <f t="shared" si="120"/>
        <v>54.574132492113556</v>
      </c>
      <c r="AW409" s="146">
        <f t="shared" si="121"/>
        <v>45.425867507886444</v>
      </c>
      <c r="AX409" s="138" t="str">
        <f>IFERROR((1-((AV409*AR409)/(AW409*AQ409)))*100,"")</f>
        <v/>
      </c>
      <c r="AY409" s="95" t="s">
        <v>56</v>
      </c>
      <c r="AZ409" s="96" t="s">
        <v>56</v>
      </c>
      <c r="BA409" s="96"/>
      <c r="BB409" s="96" t="s">
        <v>56</v>
      </c>
      <c r="BC409" s="96"/>
      <c r="BD409" s="97">
        <v>101.27000000000001</v>
      </c>
      <c r="BE409" s="142">
        <f t="shared" si="122"/>
        <v>98</v>
      </c>
      <c r="BF409" s="88">
        <v>98</v>
      </c>
      <c r="BG409" s="98">
        <v>0</v>
      </c>
      <c r="BH409" s="98">
        <v>0</v>
      </c>
      <c r="BI409" s="98"/>
      <c r="BJ409" s="98"/>
      <c r="BK409" s="98"/>
      <c r="BL409" s="97"/>
    </row>
    <row r="410" spans="1:64" outlineLevel="5" x14ac:dyDescent="0.3">
      <c r="A410" s="152">
        <f t="shared" si="113"/>
        <v>12</v>
      </c>
      <c r="B410" s="153">
        <f t="shared" si="103"/>
        <v>44180</v>
      </c>
      <c r="C410" s="138">
        <f>IFERROR(ROUND(AVERAGE(D410:K410),1),"")</f>
        <v>38</v>
      </c>
      <c r="D410" s="84">
        <v>38</v>
      </c>
      <c r="E410" s="84">
        <v>38</v>
      </c>
      <c r="F410" s="84"/>
      <c r="G410" s="84"/>
      <c r="H410" s="84"/>
      <c r="I410" s="84"/>
      <c r="J410" s="84"/>
      <c r="K410" s="84"/>
      <c r="L410" s="140">
        <f>IFERROR(ROUND(AVERAGE(M410:T410),1),"")</f>
        <v>8</v>
      </c>
      <c r="M410" s="86">
        <v>7.93</v>
      </c>
      <c r="N410" s="86">
        <v>8.0299999999999994</v>
      </c>
      <c r="O410" s="86"/>
      <c r="P410" s="86"/>
      <c r="Q410" s="86"/>
      <c r="R410" s="86"/>
      <c r="S410" s="86"/>
      <c r="T410" s="86"/>
      <c r="U410" s="142" t="str">
        <f>IFERROR(ROUND(AVERAGE(V410:AC410),1),"")</f>
        <v/>
      </c>
      <c r="V410" s="88"/>
      <c r="W410" s="88"/>
      <c r="X410" s="88"/>
      <c r="Y410" s="88"/>
      <c r="Z410" s="88"/>
      <c r="AA410" s="88"/>
      <c r="AB410" s="88"/>
      <c r="AC410" s="88"/>
      <c r="AD410" s="142" t="str">
        <f>IFERROR(ROUND(AVERAGE(AE410:AL410),1),"")</f>
        <v/>
      </c>
      <c r="AE410" s="88"/>
      <c r="AF410" s="88"/>
      <c r="AG410" s="88"/>
      <c r="AH410" s="88"/>
      <c r="AI410" s="88"/>
      <c r="AJ410" s="88"/>
      <c r="AK410" s="88"/>
      <c r="AL410" s="88"/>
      <c r="AM410" s="88">
        <v>27.037864466976</v>
      </c>
      <c r="AN410" s="88">
        <v>174.57</v>
      </c>
      <c r="AO410" s="89" t="s">
        <v>56</v>
      </c>
      <c r="AP410" s="90"/>
      <c r="AQ410" s="146" t="str">
        <f t="shared" si="118"/>
        <v/>
      </c>
      <c r="AR410" s="146" t="str">
        <f t="shared" si="119"/>
        <v/>
      </c>
      <c r="AS410" s="147">
        <v>40</v>
      </c>
      <c r="AT410" s="148">
        <v>15.850000000000001</v>
      </c>
      <c r="AU410" s="149">
        <v>8.65</v>
      </c>
      <c r="AV410" s="146">
        <f t="shared" si="120"/>
        <v>54.574132492113556</v>
      </c>
      <c r="AW410" s="146">
        <f t="shared" si="121"/>
        <v>45.425867507886444</v>
      </c>
      <c r="AX410" s="138" t="str">
        <f>IFERROR((1-((AV410*AR410)/(AW410*AQ410)))*100,"")</f>
        <v/>
      </c>
      <c r="AY410" s="95">
        <v>76.3</v>
      </c>
      <c r="AZ410" s="96" t="s">
        <v>56</v>
      </c>
      <c r="BA410" s="96"/>
      <c r="BB410" s="96" t="s">
        <v>56</v>
      </c>
      <c r="BC410" s="96"/>
      <c r="BD410" s="97">
        <v>174.57</v>
      </c>
      <c r="BE410" s="142">
        <f t="shared" si="122"/>
        <v>79</v>
      </c>
      <c r="BF410" s="88">
        <v>79</v>
      </c>
      <c r="BG410" s="98">
        <v>0</v>
      </c>
      <c r="BH410" s="98">
        <v>0</v>
      </c>
      <c r="BI410" s="98"/>
      <c r="BJ410" s="98"/>
      <c r="BK410" s="98"/>
      <c r="BL410" s="97"/>
    </row>
    <row r="411" spans="1:64" outlineLevel="5" x14ac:dyDescent="0.3">
      <c r="A411" s="152">
        <f t="shared" si="113"/>
        <v>12</v>
      </c>
      <c r="B411" s="153">
        <f t="shared" si="103"/>
        <v>44181</v>
      </c>
      <c r="C411" s="138">
        <f>IFERROR(ROUND(AVERAGE(D411:K411),1),"")</f>
        <v>37</v>
      </c>
      <c r="D411" s="84">
        <v>37</v>
      </c>
      <c r="E411" s="84">
        <v>37</v>
      </c>
      <c r="F411" s="84"/>
      <c r="G411" s="84"/>
      <c r="H411" s="84"/>
      <c r="I411" s="84"/>
      <c r="J411" s="84"/>
      <c r="K411" s="84"/>
      <c r="L411" s="140">
        <f>IFERROR(ROUND(AVERAGE(M411:T411),1),"")</f>
        <v>7.8</v>
      </c>
      <c r="M411" s="86">
        <v>7.83</v>
      </c>
      <c r="N411" s="86">
        <v>7.82</v>
      </c>
      <c r="O411" s="86"/>
      <c r="P411" s="86"/>
      <c r="Q411" s="86"/>
      <c r="R411" s="86"/>
      <c r="S411" s="86"/>
      <c r="T411" s="86"/>
      <c r="U411" s="142">
        <f>IFERROR(ROUND(AVERAGE(V411:AC411),1),"")</f>
        <v>1016.4</v>
      </c>
      <c r="V411" s="88">
        <v>990.4</v>
      </c>
      <c r="W411" s="88">
        <v>1042.3</v>
      </c>
      <c r="X411" s="88"/>
      <c r="Y411" s="88"/>
      <c r="Z411" s="88"/>
      <c r="AA411" s="88"/>
      <c r="AB411" s="88"/>
      <c r="AC411" s="88"/>
      <c r="AD411" s="142" t="str">
        <f>IFERROR(ROUND(AVERAGE(AE411:AL411),1),"")</f>
        <v/>
      </c>
      <c r="AE411" s="88"/>
      <c r="AF411" s="88"/>
      <c r="AG411" s="88"/>
      <c r="AH411" s="88"/>
      <c r="AI411" s="88"/>
      <c r="AJ411" s="88"/>
      <c r="AK411" s="88"/>
      <c r="AL411" s="88"/>
      <c r="AM411" s="88">
        <v>33.786685755189694</v>
      </c>
      <c r="AN411" s="88">
        <v>139.69999999999999</v>
      </c>
      <c r="AO411" s="89"/>
      <c r="AP411" s="90"/>
      <c r="AQ411" s="146" t="str">
        <f t="shared" si="118"/>
        <v/>
      </c>
      <c r="AR411" s="146" t="str">
        <f t="shared" si="119"/>
        <v/>
      </c>
      <c r="AS411" s="147">
        <v>42</v>
      </c>
      <c r="AT411" s="148">
        <v>16.100000000000001</v>
      </c>
      <c r="AU411" s="149">
        <v>8.6999999999999993</v>
      </c>
      <c r="AV411" s="146">
        <f t="shared" si="120"/>
        <v>54.03726708074533</v>
      </c>
      <c r="AW411" s="146">
        <f t="shared" si="121"/>
        <v>45.96273291925467</v>
      </c>
      <c r="AX411" s="138" t="str">
        <f>IFERROR((1-((AV411*AR411)/(AW411*AQ411)))*100,"")</f>
        <v/>
      </c>
      <c r="AY411" s="95">
        <v>77.45</v>
      </c>
      <c r="AZ411" s="96" t="s">
        <v>56</v>
      </c>
      <c r="BA411" s="96"/>
      <c r="BB411" s="96" t="s">
        <v>56</v>
      </c>
      <c r="BC411" s="96"/>
      <c r="BD411" s="97">
        <v>139.69999999999999</v>
      </c>
      <c r="BE411" s="142">
        <f t="shared" si="122"/>
        <v>41</v>
      </c>
      <c r="BF411" s="88">
        <v>37</v>
      </c>
      <c r="BG411" s="98">
        <v>0</v>
      </c>
      <c r="BH411" s="98">
        <v>4</v>
      </c>
      <c r="BI411" s="98"/>
      <c r="BJ411" s="98"/>
      <c r="BK411" s="98"/>
      <c r="BL411" s="97"/>
    </row>
    <row r="412" spans="1:64" outlineLevel="5" x14ac:dyDescent="0.3">
      <c r="A412" s="152">
        <f t="shared" si="113"/>
        <v>12</v>
      </c>
      <c r="B412" s="153">
        <f t="shared" si="103"/>
        <v>44182</v>
      </c>
      <c r="C412" s="138">
        <f>IFERROR(ROUND(AVERAGE(D412:K412),1),"")</f>
        <v>36.5</v>
      </c>
      <c r="D412" s="84">
        <v>37</v>
      </c>
      <c r="E412" s="84">
        <v>36</v>
      </c>
      <c r="F412" s="84"/>
      <c r="G412" s="84"/>
      <c r="H412" s="84"/>
      <c r="I412" s="84"/>
      <c r="J412" s="84"/>
      <c r="K412" s="84"/>
      <c r="L412" s="140">
        <f>IFERROR(ROUND(AVERAGE(M412:T412),1),"")</f>
        <v>7.8</v>
      </c>
      <c r="M412" s="86">
        <v>7.9</v>
      </c>
      <c r="N412" s="86">
        <v>7.79</v>
      </c>
      <c r="O412" s="86"/>
      <c r="P412" s="86"/>
      <c r="Q412" s="86"/>
      <c r="R412" s="86"/>
      <c r="S412" s="86"/>
      <c r="T412" s="86"/>
      <c r="U412" s="142">
        <f>IFERROR(ROUND(AVERAGE(V412:AC412),1),"")</f>
        <v>1057.5</v>
      </c>
      <c r="V412" s="88">
        <v>1059.5999999999999</v>
      </c>
      <c r="W412" s="88">
        <v>1055.3</v>
      </c>
      <c r="X412" s="88"/>
      <c r="Y412" s="88"/>
      <c r="Z412" s="88"/>
      <c r="AA412" s="88"/>
      <c r="AB412" s="88"/>
      <c r="AC412" s="88"/>
      <c r="AD412" s="142" t="str">
        <f>IFERROR(ROUND(AVERAGE(AE412:AL412),1),"")</f>
        <v/>
      </c>
      <c r="AE412" s="88"/>
      <c r="AF412" s="88"/>
      <c r="AG412" s="88"/>
      <c r="AH412" s="88"/>
      <c r="AI412" s="88"/>
      <c r="AJ412" s="88"/>
      <c r="AK412" s="88"/>
      <c r="AL412" s="88"/>
      <c r="AM412" s="88">
        <v>50.12744265080714</v>
      </c>
      <c r="AN412" s="88">
        <v>94.16</v>
      </c>
      <c r="AO412" s="89"/>
      <c r="AP412" s="90"/>
      <c r="AQ412" s="146" t="str">
        <f t="shared" si="118"/>
        <v/>
      </c>
      <c r="AR412" s="146" t="str">
        <f t="shared" si="119"/>
        <v/>
      </c>
      <c r="AS412" s="147">
        <v>40</v>
      </c>
      <c r="AT412" s="148">
        <v>14.15</v>
      </c>
      <c r="AU412" s="149">
        <v>8.4499999999999993</v>
      </c>
      <c r="AV412" s="146">
        <f t="shared" si="120"/>
        <v>59.7173144876325</v>
      </c>
      <c r="AW412" s="146">
        <f t="shared" si="121"/>
        <v>40.2826855123675</v>
      </c>
      <c r="AX412" s="138" t="str">
        <f>IFERROR((1-((AV412*AR412)/(AW412*AQ412)))*100,"")</f>
        <v/>
      </c>
      <c r="AY412" s="95">
        <v>76.949999999999989</v>
      </c>
      <c r="AZ412" s="96" t="s">
        <v>56</v>
      </c>
      <c r="BA412" s="96"/>
      <c r="BB412" s="96" t="s">
        <v>56</v>
      </c>
      <c r="BC412" s="96"/>
      <c r="BD412" s="97">
        <v>94.16</v>
      </c>
      <c r="BE412" s="142">
        <f t="shared" si="122"/>
        <v>2170</v>
      </c>
      <c r="BF412" s="88">
        <v>63</v>
      </c>
      <c r="BG412" s="98">
        <v>135</v>
      </c>
      <c r="BH412" s="98">
        <v>1972</v>
      </c>
      <c r="BI412" s="98"/>
      <c r="BJ412" s="98"/>
      <c r="BK412" s="98"/>
      <c r="BL412" s="97"/>
    </row>
    <row r="413" spans="1:64" outlineLevel="5" x14ac:dyDescent="0.3">
      <c r="A413" s="152">
        <f t="shared" si="113"/>
        <v>12</v>
      </c>
      <c r="B413" s="153">
        <f t="shared" si="103"/>
        <v>44183</v>
      </c>
      <c r="C413" s="138">
        <f>IFERROR(ROUND(AVERAGE(D413:K413),1),"")</f>
        <v>37</v>
      </c>
      <c r="D413" s="84">
        <v>37</v>
      </c>
      <c r="E413" s="84">
        <v>37</v>
      </c>
      <c r="F413" s="84"/>
      <c r="G413" s="84"/>
      <c r="H413" s="84"/>
      <c r="I413" s="84"/>
      <c r="J413" s="84"/>
      <c r="K413" s="84"/>
      <c r="L413" s="140" t="str">
        <f>IFERROR(ROUND(AVERAGE(M413:T413),1),"")</f>
        <v/>
      </c>
      <c r="M413" s="86"/>
      <c r="N413" s="86"/>
      <c r="O413" s="86"/>
      <c r="P413" s="86"/>
      <c r="Q413" s="86"/>
      <c r="R413" s="86"/>
      <c r="S413" s="86"/>
      <c r="T413" s="86"/>
      <c r="U413" s="142" t="str">
        <f>IFERROR(ROUND(AVERAGE(V413:AC413),1),"")</f>
        <v/>
      </c>
      <c r="V413" s="88"/>
      <c r="W413" s="88"/>
      <c r="X413" s="88"/>
      <c r="Y413" s="88"/>
      <c r="Z413" s="88"/>
      <c r="AA413" s="88"/>
      <c r="AB413" s="88"/>
      <c r="AC413" s="88"/>
      <c r="AD413" s="142" t="str">
        <f>IFERROR(ROUND(AVERAGE(AE413:AL413),1),"")</f>
        <v/>
      </c>
      <c r="AE413" s="88"/>
      <c r="AF413" s="88"/>
      <c r="AG413" s="88"/>
      <c r="AH413" s="88"/>
      <c r="AI413" s="88"/>
      <c r="AJ413" s="88"/>
      <c r="AK413" s="88"/>
      <c r="AL413" s="88"/>
      <c r="AM413" s="88">
        <v>44.557726800717454</v>
      </c>
      <c r="AN413" s="88">
        <v>105.93</v>
      </c>
      <c r="AO413" s="89">
        <v>19.100000000000001</v>
      </c>
      <c r="AP413" s="90">
        <v>16.235000000000003</v>
      </c>
      <c r="AQ413" s="146">
        <f t="shared" si="118"/>
        <v>85.000000000000014</v>
      </c>
      <c r="AR413" s="146">
        <f t="shared" si="119"/>
        <v>14.999999999999986</v>
      </c>
      <c r="AS413" s="147">
        <v>30</v>
      </c>
      <c r="AT413" s="148" t="s">
        <v>56</v>
      </c>
      <c r="AU413" s="149" t="s">
        <v>56</v>
      </c>
      <c r="AV413" s="146" t="str">
        <f t="shared" si="120"/>
        <v/>
      </c>
      <c r="AW413" s="146" t="str">
        <f t="shared" si="121"/>
        <v/>
      </c>
      <c r="AX413" s="138" t="str">
        <f>IFERROR((1-((AV413*AR413)/(AW413*AQ413)))*100,"")</f>
        <v/>
      </c>
      <c r="AY413" s="95" t="s">
        <v>56</v>
      </c>
      <c r="AZ413" s="96" t="s">
        <v>56</v>
      </c>
      <c r="BA413" s="96"/>
      <c r="BB413" s="96" t="s">
        <v>56</v>
      </c>
      <c r="BC413" s="96"/>
      <c r="BD413" s="97">
        <v>105.93</v>
      </c>
      <c r="BE413" s="142">
        <f t="shared" si="122"/>
        <v>3828</v>
      </c>
      <c r="BF413" s="88">
        <v>70</v>
      </c>
      <c r="BG413" s="98">
        <v>1010</v>
      </c>
      <c r="BH413" s="98">
        <v>2748</v>
      </c>
      <c r="BI413" s="98"/>
      <c r="BJ413" s="98"/>
      <c r="BK413" s="98"/>
      <c r="BL413" s="97"/>
    </row>
    <row r="414" spans="1:64" outlineLevel="5" x14ac:dyDescent="0.3">
      <c r="A414" s="152">
        <f t="shared" si="113"/>
        <v>12</v>
      </c>
      <c r="B414" s="153">
        <f t="shared" si="103"/>
        <v>44184</v>
      </c>
      <c r="C414" s="138">
        <f>IFERROR(ROUND(AVERAGE(D414:K414),1),"")</f>
        <v>37</v>
      </c>
      <c r="D414" s="84">
        <v>37</v>
      </c>
      <c r="E414" s="84">
        <v>37</v>
      </c>
      <c r="F414" s="84"/>
      <c r="G414" s="84"/>
      <c r="H414" s="84"/>
      <c r="I414" s="84"/>
      <c r="J414" s="84"/>
      <c r="K414" s="84"/>
      <c r="L414" s="140" t="str">
        <f>IFERROR(ROUND(AVERAGE(M414:T414),1),"")</f>
        <v/>
      </c>
      <c r="M414" s="86"/>
      <c r="N414" s="86"/>
      <c r="O414" s="86"/>
      <c r="P414" s="86"/>
      <c r="Q414" s="86"/>
      <c r="R414" s="86"/>
      <c r="S414" s="86"/>
      <c r="T414" s="86"/>
      <c r="U414" s="142" t="str">
        <f>IFERROR(ROUND(AVERAGE(V414:AC414),1),"")</f>
        <v/>
      </c>
      <c r="V414" s="88"/>
      <c r="W414" s="88"/>
      <c r="X414" s="88"/>
      <c r="Y414" s="88"/>
      <c r="Z414" s="88"/>
      <c r="AA414" s="88"/>
      <c r="AB414" s="88"/>
      <c r="AC414" s="88"/>
      <c r="AD414" s="142" t="str">
        <f>IFERROR(ROUND(AVERAGE(AE414:AL414),1),"")</f>
        <v/>
      </c>
      <c r="AE414" s="88"/>
      <c r="AF414" s="88"/>
      <c r="AG414" s="88"/>
      <c r="AH414" s="88"/>
      <c r="AI414" s="88"/>
      <c r="AJ414" s="88"/>
      <c r="AK414" s="88"/>
      <c r="AL414" s="88"/>
      <c r="AM414" s="88">
        <v>50.005297171310517</v>
      </c>
      <c r="AN414" s="88">
        <v>94.39</v>
      </c>
      <c r="AO414" s="89" t="s">
        <v>56</v>
      </c>
      <c r="AP414" s="90" t="s">
        <v>56</v>
      </c>
      <c r="AQ414" s="146" t="str">
        <f t="shared" si="118"/>
        <v/>
      </c>
      <c r="AR414" s="146" t="str">
        <f t="shared" si="119"/>
        <v/>
      </c>
      <c r="AS414" s="147">
        <v>10</v>
      </c>
      <c r="AT414" s="148" t="s">
        <v>56</v>
      </c>
      <c r="AU414" s="149" t="s">
        <v>56</v>
      </c>
      <c r="AV414" s="146" t="str">
        <f t="shared" si="120"/>
        <v/>
      </c>
      <c r="AW414" s="146" t="str">
        <f t="shared" si="121"/>
        <v/>
      </c>
      <c r="AX414" s="138" t="str">
        <f>IFERROR((1-((AV414*AR414)/(AW414*AQ414)))*100,"")</f>
        <v/>
      </c>
      <c r="AY414" s="95" t="s">
        <v>56</v>
      </c>
      <c r="AZ414" s="96" t="s">
        <v>56</v>
      </c>
      <c r="BA414" s="96"/>
      <c r="BB414" s="96" t="s">
        <v>56</v>
      </c>
      <c r="BC414" s="96"/>
      <c r="BD414" s="97">
        <v>94.39</v>
      </c>
      <c r="BE414" s="142">
        <f t="shared" si="122"/>
        <v>2359</v>
      </c>
      <c r="BF414" s="88">
        <v>93</v>
      </c>
      <c r="BG414" s="98">
        <v>1793</v>
      </c>
      <c r="BH414" s="98">
        <v>473</v>
      </c>
      <c r="BI414" s="98"/>
      <c r="BJ414" s="98"/>
      <c r="BK414" s="98"/>
      <c r="BL414" s="97"/>
    </row>
    <row r="415" spans="1:64" outlineLevel="5" x14ac:dyDescent="0.3">
      <c r="A415" s="152">
        <f t="shared" si="113"/>
        <v>12</v>
      </c>
      <c r="B415" s="153">
        <f t="shared" si="103"/>
        <v>44185</v>
      </c>
      <c r="C415" s="138">
        <f>IFERROR(ROUND(AVERAGE(D415:K415),1),"")</f>
        <v>38</v>
      </c>
      <c r="D415" s="84">
        <v>38</v>
      </c>
      <c r="E415" s="84">
        <v>38</v>
      </c>
      <c r="F415" s="84"/>
      <c r="G415" s="84"/>
      <c r="H415" s="84"/>
      <c r="I415" s="84"/>
      <c r="J415" s="84"/>
      <c r="K415" s="84"/>
      <c r="L415" s="140" t="str">
        <f>IFERROR(ROUND(AVERAGE(M415:T415),1),"")</f>
        <v/>
      </c>
      <c r="M415" s="86"/>
      <c r="N415" s="86"/>
      <c r="O415" s="86"/>
      <c r="P415" s="86"/>
      <c r="Q415" s="86"/>
      <c r="R415" s="86"/>
      <c r="S415" s="86"/>
      <c r="T415" s="86"/>
      <c r="U415" s="142" t="str">
        <f>IFERROR(ROUND(AVERAGE(V415:AC415),1),"")</f>
        <v/>
      </c>
      <c r="V415" s="88"/>
      <c r="W415" s="88"/>
      <c r="X415" s="88"/>
      <c r="Y415" s="88"/>
      <c r="Z415" s="88"/>
      <c r="AA415" s="88"/>
      <c r="AB415" s="88"/>
      <c r="AC415" s="88"/>
      <c r="AD415" s="142" t="str">
        <f>IFERROR(ROUND(AVERAGE(AE415:AL415),1),"")</f>
        <v/>
      </c>
      <c r="AE415" s="88"/>
      <c r="AF415" s="88"/>
      <c r="AG415" s="88"/>
      <c r="AH415" s="88"/>
      <c r="AI415" s="88"/>
      <c r="AJ415" s="88"/>
      <c r="AK415" s="88"/>
      <c r="AL415" s="88"/>
      <c r="AM415" s="88">
        <v>67.428571428571431</v>
      </c>
      <c r="AN415" s="88">
        <v>70</v>
      </c>
      <c r="AO415" s="89">
        <v>21</v>
      </c>
      <c r="AP415" s="90">
        <v>17.724</v>
      </c>
      <c r="AQ415" s="146">
        <f t="shared" si="118"/>
        <v>84.399999999999991</v>
      </c>
      <c r="AR415" s="146">
        <f t="shared" si="119"/>
        <v>15.600000000000009</v>
      </c>
      <c r="AS415" s="147">
        <v>10</v>
      </c>
      <c r="AT415" s="148" t="s">
        <v>56</v>
      </c>
      <c r="AU415" s="149" t="s">
        <v>56</v>
      </c>
      <c r="AV415" s="146" t="str">
        <f t="shared" si="120"/>
        <v/>
      </c>
      <c r="AW415" s="146" t="str">
        <f t="shared" si="121"/>
        <v/>
      </c>
      <c r="AX415" s="138" t="str">
        <f>IFERROR((1-((AV415*AR415)/(AW415*AQ415)))*100,"")</f>
        <v/>
      </c>
      <c r="AY415" s="95" t="s">
        <v>56</v>
      </c>
      <c r="AZ415" s="96" t="s">
        <v>56</v>
      </c>
      <c r="BA415" s="96"/>
      <c r="BB415" s="96" t="s">
        <v>56</v>
      </c>
      <c r="BC415" s="96"/>
      <c r="BD415" s="97">
        <v>70</v>
      </c>
      <c r="BE415" s="142">
        <f t="shared" si="122"/>
        <v>37</v>
      </c>
      <c r="BF415" s="88">
        <v>36</v>
      </c>
      <c r="BG415" s="98">
        <v>0</v>
      </c>
      <c r="BH415" s="98">
        <v>1</v>
      </c>
      <c r="BI415" s="98"/>
      <c r="BJ415" s="98"/>
      <c r="BK415" s="98"/>
      <c r="BL415" s="97"/>
    </row>
    <row r="416" spans="1:64" outlineLevel="5" x14ac:dyDescent="0.3">
      <c r="A416" s="152">
        <f t="shared" si="113"/>
        <v>12</v>
      </c>
      <c r="B416" s="153">
        <f t="shared" ref="B416:B426" si="123">B415+1</f>
        <v>44186</v>
      </c>
      <c r="C416" s="138">
        <f>IFERROR(ROUND(AVERAGE(D416:K416),1),"")</f>
        <v>39</v>
      </c>
      <c r="D416" s="84">
        <v>39</v>
      </c>
      <c r="E416" s="84">
        <v>39</v>
      </c>
      <c r="F416" s="84"/>
      <c r="G416" s="84"/>
      <c r="H416" s="84"/>
      <c r="I416" s="84"/>
      <c r="J416" s="84"/>
      <c r="K416" s="84"/>
      <c r="L416" s="140">
        <f>IFERROR(ROUND(AVERAGE(M416:T416),1),"")</f>
        <v>7.9</v>
      </c>
      <c r="M416" s="86">
        <v>7.88</v>
      </c>
      <c r="N416" s="86">
        <v>7.85</v>
      </c>
      <c r="O416" s="86"/>
      <c r="P416" s="86"/>
      <c r="Q416" s="86"/>
      <c r="R416" s="86"/>
      <c r="S416" s="86"/>
      <c r="T416" s="86"/>
      <c r="U416" s="142">
        <f>IFERROR(ROUND(AVERAGE(V416:AC416),1),"")</f>
        <v>962.3</v>
      </c>
      <c r="V416" s="88">
        <v>1038</v>
      </c>
      <c r="W416" s="88">
        <v>886.6</v>
      </c>
      <c r="X416" s="88"/>
      <c r="Y416" s="88"/>
      <c r="Z416" s="88"/>
      <c r="AA416" s="88"/>
      <c r="AB416" s="88"/>
      <c r="AC416" s="88"/>
      <c r="AD416" s="142" t="str">
        <f>IFERROR(ROUND(AVERAGE(AE416:AL416),1),"")</f>
        <v/>
      </c>
      <c r="AE416" s="88"/>
      <c r="AF416" s="88"/>
      <c r="AG416" s="88"/>
      <c r="AH416" s="88"/>
      <c r="AI416" s="88"/>
      <c r="AJ416" s="88"/>
      <c r="AK416" s="88"/>
      <c r="AL416" s="88"/>
      <c r="AM416" s="88">
        <v>42.06023881661023</v>
      </c>
      <c r="AN416" s="88">
        <v>112.22</v>
      </c>
      <c r="AO416" s="89"/>
      <c r="AP416" s="90"/>
      <c r="AQ416" s="146" t="str">
        <f t="shared" si="118"/>
        <v/>
      </c>
      <c r="AR416" s="146" t="str">
        <f t="shared" si="119"/>
        <v/>
      </c>
      <c r="AS416" s="147">
        <v>50</v>
      </c>
      <c r="AT416" s="148">
        <v>15.4</v>
      </c>
      <c r="AU416" s="149">
        <v>2.2999999999999998</v>
      </c>
      <c r="AV416" s="146">
        <f t="shared" si="120"/>
        <v>14.935064935064934</v>
      </c>
      <c r="AW416" s="146">
        <f t="shared" si="121"/>
        <v>85.064935064935071</v>
      </c>
      <c r="AX416" s="138" t="str">
        <f>IFERROR((1-((AV416*AR416)/(AW416*AQ416)))*100,"")</f>
        <v/>
      </c>
      <c r="AY416" s="95">
        <v>74.050000000000011</v>
      </c>
      <c r="AZ416" s="96" t="s">
        <v>56</v>
      </c>
      <c r="BA416" s="96"/>
      <c r="BB416" s="96" t="s">
        <v>56</v>
      </c>
      <c r="BC416" s="96"/>
      <c r="BD416" s="97">
        <v>112.22</v>
      </c>
      <c r="BE416" s="142">
        <f t="shared" si="122"/>
        <v>36</v>
      </c>
      <c r="BF416" s="88">
        <v>36</v>
      </c>
      <c r="BG416" s="98">
        <v>0</v>
      </c>
      <c r="BH416" s="98">
        <v>0</v>
      </c>
      <c r="BI416" s="98"/>
      <c r="BJ416" s="98"/>
      <c r="BK416" s="98"/>
      <c r="BL416" s="97"/>
    </row>
    <row r="417" spans="1:64" outlineLevel="5" x14ac:dyDescent="0.3">
      <c r="A417" s="152">
        <f t="shared" si="113"/>
        <v>12</v>
      </c>
      <c r="B417" s="153">
        <f t="shared" si="123"/>
        <v>44187</v>
      </c>
      <c r="C417" s="138">
        <f>IFERROR(ROUND(AVERAGE(D417:K417),1),"")</f>
        <v>39</v>
      </c>
      <c r="D417" s="84">
        <v>39</v>
      </c>
      <c r="E417" s="84">
        <v>39</v>
      </c>
      <c r="F417" s="84"/>
      <c r="G417" s="84"/>
      <c r="H417" s="84"/>
      <c r="I417" s="84"/>
      <c r="J417" s="84"/>
      <c r="K417" s="84"/>
      <c r="L417" s="140" t="str">
        <f>IFERROR(ROUND(AVERAGE(M417:T417),1),"")</f>
        <v/>
      </c>
      <c r="M417" s="86"/>
      <c r="N417" s="86"/>
      <c r="O417" s="86"/>
      <c r="P417" s="86"/>
      <c r="Q417" s="86"/>
      <c r="R417" s="86"/>
      <c r="S417" s="86"/>
      <c r="T417" s="86"/>
      <c r="U417" s="142" t="str">
        <f>IFERROR(ROUND(AVERAGE(V417:AC417),1),"")</f>
        <v/>
      </c>
      <c r="V417" s="88"/>
      <c r="W417" s="88"/>
      <c r="X417" s="88"/>
      <c r="Y417" s="88"/>
      <c r="Z417" s="88"/>
      <c r="AA417" s="88"/>
      <c r="AB417" s="88"/>
      <c r="AC417" s="88"/>
      <c r="AD417" s="142" t="str">
        <f>IFERROR(ROUND(AVERAGE(AE417:AL417),1),"")</f>
        <v/>
      </c>
      <c r="AE417" s="88"/>
      <c r="AF417" s="88"/>
      <c r="AG417" s="88"/>
      <c r="AH417" s="88"/>
      <c r="AI417" s="88"/>
      <c r="AJ417" s="88"/>
      <c r="AK417" s="88"/>
      <c r="AL417" s="88"/>
      <c r="AM417" s="88">
        <v>35.901726629649353</v>
      </c>
      <c r="AN417" s="88">
        <v>131.47</v>
      </c>
      <c r="AO417" s="89"/>
      <c r="AP417" s="90"/>
      <c r="AQ417" s="146" t="str">
        <f t="shared" si="118"/>
        <v/>
      </c>
      <c r="AR417" s="146" t="str">
        <f t="shared" si="119"/>
        <v/>
      </c>
      <c r="AS417" s="147">
        <v>40</v>
      </c>
      <c r="AT417" s="148" t="s">
        <v>56</v>
      </c>
      <c r="AU417" s="149" t="s">
        <v>56</v>
      </c>
      <c r="AV417" s="146" t="str">
        <f t="shared" si="120"/>
        <v/>
      </c>
      <c r="AW417" s="146" t="str">
        <f t="shared" si="121"/>
        <v/>
      </c>
      <c r="AX417" s="138" t="str">
        <f>IFERROR((1-((AV417*AR417)/(AW417*AQ417)))*100,"")</f>
        <v/>
      </c>
      <c r="AY417" s="95" t="s">
        <v>56</v>
      </c>
      <c r="AZ417" s="96" t="s">
        <v>56</v>
      </c>
      <c r="BA417" s="96"/>
      <c r="BB417" s="96" t="s">
        <v>56</v>
      </c>
      <c r="BC417" s="96"/>
      <c r="BD417" s="97">
        <v>131.47</v>
      </c>
      <c r="BE417" s="142">
        <f t="shared" si="122"/>
        <v>66</v>
      </c>
      <c r="BF417" s="88">
        <v>66</v>
      </c>
      <c r="BG417" s="98">
        <v>0</v>
      </c>
      <c r="BH417" s="98">
        <v>0</v>
      </c>
      <c r="BI417" s="98"/>
      <c r="BJ417" s="98"/>
      <c r="BK417" s="98"/>
      <c r="BL417" s="97"/>
    </row>
    <row r="418" spans="1:64" outlineLevel="5" x14ac:dyDescent="0.3">
      <c r="A418" s="152">
        <f t="shared" si="113"/>
        <v>12</v>
      </c>
      <c r="B418" s="153">
        <f t="shared" si="123"/>
        <v>44188</v>
      </c>
      <c r="C418" s="138">
        <f>IFERROR(ROUND(AVERAGE(D418:K418),1),"")</f>
        <v>40</v>
      </c>
      <c r="D418" s="84">
        <v>40</v>
      </c>
      <c r="E418" s="84">
        <v>40</v>
      </c>
      <c r="F418" s="84"/>
      <c r="G418" s="84"/>
      <c r="H418" s="84"/>
      <c r="I418" s="84"/>
      <c r="J418" s="84"/>
      <c r="K418" s="84"/>
      <c r="L418" s="140" t="str">
        <f>IFERROR(ROUND(AVERAGE(M418:T418),1),"")</f>
        <v/>
      </c>
      <c r="M418" s="86"/>
      <c r="N418" s="86"/>
      <c r="O418" s="86"/>
      <c r="P418" s="86"/>
      <c r="Q418" s="86"/>
      <c r="R418" s="86"/>
      <c r="S418" s="86"/>
      <c r="T418" s="86"/>
      <c r="U418" s="142" t="str">
        <f>IFERROR(ROUND(AVERAGE(V418:AC418),1),"")</f>
        <v/>
      </c>
      <c r="V418" s="88"/>
      <c r="W418" s="88"/>
      <c r="X418" s="88"/>
      <c r="Y418" s="88"/>
      <c r="Z418" s="88"/>
      <c r="AA418" s="88"/>
      <c r="AB418" s="88"/>
      <c r="AC418" s="88"/>
      <c r="AD418" s="142" t="str">
        <f>IFERROR(ROUND(AVERAGE(AE418:AL418),1),"")</f>
        <v/>
      </c>
      <c r="AE418" s="88"/>
      <c r="AF418" s="88"/>
      <c r="AG418" s="88"/>
      <c r="AH418" s="88"/>
      <c r="AI418" s="88"/>
      <c r="AJ418" s="88"/>
      <c r="AK418" s="88"/>
      <c r="AL418" s="88"/>
      <c r="AM418" s="88">
        <v>36.346835053134143</v>
      </c>
      <c r="AN418" s="88">
        <v>129.86000000000001</v>
      </c>
      <c r="AO418" s="89"/>
      <c r="AP418" s="90"/>
      <c r="AQ418" s="146" t="str">
        <f t="shared" si="118"/>
        <v/>
      </c>
      <c r="AR418" s="146" t="str">
        <f t="shared" si="119"/>
        <v/>
      </c>
      <c r="AS418" s="147">
        <v>50</v>
      </c>
      <c r="AT418" s="148">
        <v>15.899999999999999</v>
      </c>
      <c r="AU418" s="149">
        <v>8.5</v>
      </c>
      <c r="AV418" s="146">
        <f t="shared" si="120"/>
        <v>53.459119496855344</v>
      </c>
      <c r="AW418" s="146">
        <f t="shared" si="121"/>
        <v>46.540880503144656</v>
      </c>
      <c r="AX418" s="138" t="str">
        <f>IFERROR((1-((AV418*AR418)/(AW418*AQ418)))*100,"")</f>
        <v/>
      </c>
      <c r="AY418" s="95" t="s">
        <v>56</v>
      </c>
      <c r="AZ418" s="96">
        <v>59.405000000000001</v>
      </c>
      <c r="BA418" s="96"/>
      <c r="BB418" s="96">
        <v>85</v>
      </c>
      <c r="BC418" s="96"/>
      <c r="BD418" s="97">
        <v>129.86000000000001</v>
      </c>
      <c r="BE418" s="142">
        <f t="shared" si="122"/>
        <v>2550</v>
      </c>
      <c r="BF418" s="88">
        <v>30</v>
      </c>
      <c r="BG418" s="98">
        <v>574</v>
      </c>
      <c r="BH418" s="98">
        <v>1946</v>
      </c>
      <c r="BI418" s="98"/>
      <c r="BJ418" s="98"/>
      <c r="BK418" s="98"/>
      <c r="BL418" s="97"/>
    </row>
    <row r="419" spans="1:64" outlineLevel="5" x14ac:dyDescent="0.3">
      <c r="A419" s="152">
        <f t="shared" si="113"/>
        <v>12</v>
      </c>
      <c r="B419" s="153">
        <f t="shared" si="123"/>
        <v>44189</v>
      </c>
      <c r="C419" s="138">
        <f>IFERROR(ROUND(AVERAGE(D419:K419),1),"")</f>
        <v>39</v>
      </c>
      <c r="D419" s="84">
        <v>39</v>
      </c>
      <c r="E419" s="84">
        <v>39</v>
      </c>
      <c r="F419" s="84"/>
      <c r="G419" s="84"/>
      <c r="H419" s="84"/>
      <c r="I419" s="84"/>
      <c r="J419" s="84"/>
      <c r="K419" s="84"/>
      <c r="L419" s="140" t="str">
        <f>IFERROR(ROUND(AVERAGE(M419:T419),1),"")</f>
        <v/>
      </c>
      <c r="M419" s="86"/>
      <c r="N419" s="86"/>
      <c r="O419" s="86"/>
      <c r="P419" s="86"/>
      <c r="Q419" s="86"/>
      <c r="R419" s="86"/>
      <c r="S419" s="86"/>
      <c r="T419" s="86"/>
      <c r="U419" s="142" t="str">
        <f>IFERROR(ROUND(AVERAGE(V419:AC419),1),"")</f>
        <v/>
      </c>
      <c r="V419" s="88"/>
      <c r="W419" s="88"/>
      <c r="X419" s="88"/>
      <c r="Y419" s="88"/>
      <c r="Z419" s="88"/>
      <c r="AA419" s="88"/>
      <c r="AB419" s="88"/>
      <c r="AC419" s="88"/>
      <c r="AD419" s="142" t="str">
        <f>IFERROR(ROUND(AVERAGE(AE419:AL419),1),"")</f>
        <v/>
      </c>
      <c r="AE419" s="88"/>
      <c r="AF419" s="88"/>
      <c r="AG419" s="88"/>
      <c r="AH419" s="88"/>
      <c r="AI419" s="88"/>
      <c r="AJ419" s="88"/>
      <c r="AK419" s="88"/>
      <c r="AL419" s="88"/>
      <c r="AM419" s="88">
        <v>38.190792135286024</v>
      </c>
      <c r="AN419" s="88">
        <v>123.59</v>
      </c>
      <c r="AO419" s="89"/>
      <c r="AP419" s="90"/>
      <c r="AQ419" s="146" t="str">
        <f t="shared" si="118"/>
        <v/>
      </c>
      <c r="AR419" s="146" t="str">
        <f t="shared" si="119"/>
        <v/>
      </c>
      <c r="AS419" s="147">
        <v>50</v>
      </c>
      <c r="AT419" s="148"/>
      <c r="AU419" s="149"/>
      <c r="AV419" s="146" t="str">
        <f t="shared" si="120"/>
        <v/>
      </c>
      <c r="AW419" s="146" t="str">
        <f t="shared" si="121"/>
        <v/>
      </c>
      <c r="AX419" s="138" t="str">
        <f>IFERROR((1-((AV419*AR419)/(AW419*AQ419)))*100,"")</f>
        <v/>
      </c>
      <c r="AY419" s="95" t="s">
        <v>56</v>
      </c>
      <c r="AZ419" s="96" t="s">
        <v>56</v>
      </c>
      <c r="BA419" s="96"/>
      <c r="BB419" s="96" t="s">
        <v>56</v>
      </c>
      <c r="BC419" s="96"/>
      <c r="BD419" s="97">
        <v>123.59</v>
      </c>
      <c r="BE419" s="142">
        <f t="shared" si="122"/>
        <v>4282</v>
      </c>
      <c r="BF419" s="88">
        <v>0</v>
      </c>
      <c r="BG419" s="98">
        <v>1655</v>
      </c>
      <c r="BH419" s="98">
        <v>2627</v>
      </c>
      <c r="BI419" s="98"/>
      <c r="BJ419" s="98"/>
      <c r="BK419" s="98"/>
      <c r="BL419" s="97"/>
    </row>
    <row r="420" spans="1:64" outlineLevel="5" x14ac:dyDescent="0.3">
      <c r="A420" s="152">
        <f t="shared" si="113"/>
        <v>12</v>
      </c>
      <c r="B420" s="153">
        <f t="shared" si="123"/>
        <v>44190</v>
      </c>
      <c r="C420" s="138">
        <f>IFERROR(ROUND(AVERAGE(D420:K420),1),"")</f>
        <v>38</v>
      </c>
      <c r="D420" s="84">
        <v>38</v>
      </c>
      <c r="E420" s="84">
        <v>38</v>
      </c>
      <c r="F420" s="84"/>
      <c r="G420" s="84"/>
      <c r="H420" s="84"/>
      <c r="I420" s="84"/>
      <c r="J420" s="84"/>
      <c r="K420" s="84"/>
      <c r="L420" s="140" t="str">
        <f>IFERROR(ROUND(AVERAGE(M420:T420),1),"")</f>
        <v/>
      </c>
      <c r="M420" s="86"/>
      <c r="N420" s="86"/>
      <c r="O420" s="86"/>
      <c r="P420" s="86"/>
      <c r="Q420" s="86"/>
      <c r="R420" s="86"/>
      <c r="S420" s="86"/>
      <c r="T420" s="86"/>
      <c r="U420" s="142" t="str">
        <f>IFERROR(ROUND(AVERAGE(V420:AC420),1),"")</f>
        <v/>
      </c>
      <c r="V420" s="88"/>
      <c r="W420" s="88"/>
      <c r="X420" s="88"/>
      <c r="Y420" s="88"/>
      <c r="Z420" s="88"/>
      <c r="AA420" s="88"/>
      <c r="AB420" s="88"/>
      <c r="AC420" s="88"/>
      <c r="AD420" s="142" t="str">
        <f>IFERROR(ROUND(AVERAGE(AE420:AL420),1),"")</f>
        <v/>
      </c>
      <c r="AE420" s="88"/>
      <c r="AF420" s="88"/>
      <c r="AG420" s="88"/>
      <c r="AH420" s="88"/>
      <c r="AI420" s="88"/>
      <c r="AJ420" s="88"/>
      <c r="AK420" s="88"/>
      <c r="AL420" s="88"/>
      <c r="AM420" s="88">
        <v>44.103905811997755</v>
      </c>
      <c r="AN420" s="88">
        <v>107.02000000000001</v>
      </c>
      <c r="AO420" s="89"/>
      <c r="AP420" s="90"/>
      <c r="AQ420" s="146" t="str">
        <f t="shared" si="118"/>
        <v/>
      </c>
      <c r="AR420" s="146" t="str">
        <f t="shared" si="119"/>
        <v/>
      </c>
      <c r="AS420" s="147">
        <v>20</v>
      </c>
      <c r="AT420" s="148"/>
      <c r="AU420" s="149"/>
      <c r="AV420" s="146" t="str">
        <f t="shared" si="120"/>
        <v/>
      </c>
      <c r="AW420" s="146" t="str">
        <f t="shared" si="121"/>
        <v/>
      </c>
      <c r="AX420" s="138" t="str">
        <f>IFERROR((1-((AV420*AR420)/(AW420*AQ420)))*100,"")</f>
        <v/>
      </c>
      <c r="AY420" s="95" t="s">
        <v>56</v>
      </c>
      <c r="AZ420" s="96" t="s">
        <v>56</v>
      </c>
      <c r="BA420" s="96"/>
      <c r="BB420" s="96" t="s">
        <v>56</v>
      </c>
      <c r="BC420" s="96"/>
      <c r="BD420" s="97">
        <v>107.02000000000001</v>
      </c>
      <c r="BE420" s="142">
        <f t="shared" si="122"/>
        <v>5280</v>
      </c>
      <c r="BF420" s="88">
        <v>0</v>
      </c>
      <c r="BG420" s="98">
        <v>0</v>
      </c>
      <c r="BH420" s="98">
        <v>5280</v>
      </c>
      <c r="BI420" s="98"/>
      <c r="BJ420" s="98"/>
      <c r="BK420" s="98"/>
      <c r="BL420" s="97"/>
    </row>
    <row r="421" spans="1:64" outlineLevel="5" x14ac:dyDescent="0.3">
      <c r="A421" s="152">
        <f t="shared" si="113"/>
        <v>12</v>
      </c>
      <c r="B421" s="153">
        <f t="shared" si="123"/>
        <v>44191</v>
      </c>
      <c r="C421" s="138">
        <f>IFERROR(ROUND(AVERAGE(D421:K421),1),"")</f>
        <v>38</v>
      </c>
      <c r="D421" s="84">
        <v>38</v>
      </c>
      <c r="E421" s="84">
        <v>38</v>
      </c>
      <c r="F421" s="84"/>
      <c r="G421" s="84"/>
      <c r="H421" s="84"/>
      <c r="I421" s="84"/>
      <c r="J421" s="84"/>
      <c r="K421" s="84"/>
      <c r="L421" s="140" t="str">
        <f>IFERROR(ROUND(AVERAGE(M421:T421),1),"")</f>
        <v/>
      </c>
      <c r="M421" s="86"/>
      <c r="N421" s="86"/>
      <c r="O421" s="86"/>
      <c r="P421" s="86"/>
      <c r="Q421" s="86"/>
      <c r="R421" s="86"/>
      <c r="S421" s="86"/>
      <c r="T421" s="86"/>
      <c r="U421" s="142" t="str">
        <f>IFERROR(ROUND(AVERAGE(V421:AC421),1),"")</f>
        <v/>
      </c>
      <c r="V421" s="88"/>
      <c r="W421" s="88"/>
      <c r="X421" s="88"/>
      <c r="Y421" s="88"/>
      <c r="Z421" s="88"/>
      <c r="AA421" s="88"/>
      <c r="AB421" s="88"/>
      <c r="AC421" s="88"/>
      <c r="AD421" s="142" t="str">
        <f>IFERROR(ROUND(AVERAGE(AE421:AL421),1),"")</f>
        <v/>
      </c>
      <c r="AE421" s="88"/>
      <c r="AF421" s="88"/>
      <c r="AG421" s="88"/>
      <c r="AH421" s="88"/>
      <c r="AI421" s="88"/>
      <c r="AJ421" s="88"/>
      <c r="AK421" s="88"/>
      <c r="AL421" s="88"/>
      <c r="AM421" s="88">
        <v>49.182036052933206</v>
      </c>
      <c r="AN421" s="88">
        <v>95.97</v>
      </c>
      <c r="AO421" s="89"/>
      <c r="AP421" s="90"/>
      <c r="AQ421" s="146" t="str">
        <f t="shared" si="118"/>
        <v/>
      </c>
      <c r="AR421" s="146" t="str">
        <f t="shared" si="119"/>
        <v/>
      </c>
      <c r="AS421" s="147">
        <v>35</v>
      </c>
      <c r="AT421" s="148"/>
      <c r="AU421" s="149"/>
      <c r="AV421" s="146" t="str">
        <f t="shared" si="120"/>
        <v/>
      </c>
      <c r="AW421" s="146" t="str">
        <f t="shared" si="121"/>
        <v/>
      </c>
      <c r="AX421" s="138" t="str">
        <f>IFERROR((1-((AV421*AR421)/(AW421*AQ421)))*100,"")</f>
        <v/>
      </c>
      <c r="AY421" s="95" t="s">
        <v>56</v>
      </c>
      <c r="AZ421" s="96">
        <v>61.775000000000006</v>
      </c>
      <c r="BA421" s="96"/>
      <c r="BB421" s="96">
        <v>50</v>
      </c>
      <c r="BC421" s="96"/>
      <c r="BD421" s="97">
        <v>95.97</v>
      </c>
      <c r="BE421" s="142">
        <f t="shared" si="122"/>
        <v>2779</v>
      </c>
      <c r="BF421" s="88">
        <v>74</v>
      </c>
      <c r="BG421" s="98">
        <v>0</v>
      </c>
      <c r="BH421" s="98">
        <v>2705</v>
      </c>
      <c r="BI421" s="98"/>
      <c r="BJ421" s="98"/>
      <c r="BK421" s="98"/>
      <c r="BL421" s="97"/>
    </row>
    <row r="422" spans="1:64" outlineLevel="5" x14ac:dyDescent="0.3">
      <c r="A422" s="152">
        <f t="shared" si="113"/>
        <v>12</v>
      </c>
      <c r="B422" s="153">
        <f t="shared" si="123"/>
        <v>44192</v>
      </c>
      <c r="C422" s="138">
        <f>IFERROR(ROUND(AVERAGE(D422:K422),1),"")</f>
        <v>39</v>
      </c>
      <c r="D422" s="84">
        <v>39</v>
      </c>
      <c r="E422" s="84">
        <v>39</v>
      </c>
      <c r="F422" s="84"/>
      <c r="G422" s="84"/>
      <c r="H422" s="84"/>
      <c r="I422" s="84"/>
      <c r="J422" s="84"/>
      <c r="K422" s="84"/>
      <c r="L422" s="140" t="str">
        <f>IFERROR(ROUND(AVERAGE(M422:T422),1),"")</f>
        <v/>
      </c>
      <c r="M422" s="86"/>
      <c r="N422" s="86"/>
      <c r="O422" s="86"/>
      <c r="P422" s="86"/>
      <c r="Q422" s="86"/>
      <c r="R422" s="86"/>
      <c r="S422" s="86"/>
      <c r="T422" s="86"/>
      <c r="U422" s="142" t="str">
        <f>IFERROR(ROUND(AVERAGE(V422:AC422),1),"")</f>
        <v/>
      </c>
      <c r="V422" s="88"/>
      <c r="W422" s="88"/>
      <c r="X422" s="88"/>
      <c r="Y422" s="88"/>
      <c r="Z422" s="88"/>
      <c r="AA422" s="88"/>
      <c r="AB422" s="88"/>
      <c r="AC422" s="88"/>
      <c r="AD422" s="142" t="str">
        <f>IFERROR(ROUND(AVERAGE(AE422:AL422),1),"")</f>
        <v/>
      </c>
      <c r="AE422" s="88"/>
      <c r="AF422" s="88"/>
      <c r="AG422" s="88"/>
      <c r="AH422" s="88"/>
      <c r="AI422" s="88"/>
      <c r="AJ422" s="88"/>
      <c r="AK422" s="88"/>
      <c r="AL422" s="88"/>
      <c r="AM422" s="88">
        <v>67.428571428571431</v>
      </c>
      <c r="AN422" s="88">
        <v>70</v>
      </c>
      <c r="AO422" s="89"/>
      <c r="AP422" s="90"/>
      <c r="AQ422" s="146" t="str">
        <f t="shared" si="118"/>
        <v/>
      </c>
      <c r="AR422" s="146" t="str">
        <f t="shared" si="119"/>
        <v/>
      </c>
      <c r="AS422" s="147">
        <v>20</v>
      </c>
      <c r="AT422" s="148"/>
      <c r="AU422" s="149"/>
      <c r="AV422" s="146" t="str">
        <f t="shared" si="120"/>
        <v/>
      </c>
      <c r="AW422" s="146" t="str">
        <f t="shared" si="121"/>
        <v/>
      </c>
      <c r="AX422" s="138" t="str">
        <f>IFERROR((1-((AV422*AR422)/(AW422*AQ422)))*100,"")</f>
        <v/>
      </c>
      <c r="AY422" s="95" t="s">
        <v>56</v>
      </c>
      <c r="AZ422" s="96">
        <v>61.655000000000001</v>
      </c>
      <c r="BA422" s="96"/>
      <c r="BB422" s="96">
        <v>60</v>
      </c>
      <c r="BC422" s="96"/>
      <c r="BD422" s="97">
        <v>70</v>
      </c>
      <c r="BE422" s="142">
        <f t="shared" si="122"/>
        <v>1696</v>
      </c>
      <c r="BF422" s="88">
        <v>38</v>
      </c>
      <c r="BG422" s="98">
        <v>0</v>
      </c>
      <c r="BH422" s="98">
        <v>1658</v>
      </c>
      <c r="BI422" s="98"/>
      <c r="BJ422" s="98"/>
      <c r="BK422" s="98"/>
      <c r="BL422" s="97"/>
    </row>
    <row r="423" spans="1:64" outlineLevel="5" x14ac:dyDescent="0.3">
      <c r="A423" s="152">
        <f t="shared" si="113"/>
        <v>12</v>
      </c>
      <c r="B423" s="153">
        <f t="shared" si="123"/>
        <v>44193</v>
      </c>
      <c r="C423" s="138">
        <f>IFERROR(ROUND(AVERAGE(D423:K423),1),"")</f>
        <v>39</v>
      </c>
      <c r="D423" s="84">
        <v>39</v>
      </c>
      <c r="E423" s="84">
        <v>39</v>
      </c>
      <c r="F423" s="84"/>
      <c r="G423" s="84"/>
      <c r="H423" s="84"/>
      <c r="I423" s="84"/>
      <c r="J423" s="84"/>
      <c r="K423" s="84"/>
      <c r="L423" s="140" t="str">
        <f>IFERROR(ROUND(AVERAGE(M423:T423),1),"")</f>
        <v/>
      </c>
      <c r="M423" s="86"/>
      <c r="N423" s="86"/>
      <c r="O423" s="86"/>
      <c r="P423" s="86"/>
      <c r="Q423" s="86"/>
      <c r="R423" s="86"/>
      <c r="S423" s="86"/>
      <c r="T423" s="86"/>
      <c r="U423" s="142" t="str">
        <f>IFERROR(ROUND(AVERAGE(V423:AC423),1),"")</f>
        <v/>
      </c>
      <c r="V423" s="88"/>
      <c r="W423" s="88"/>
      <c r="X423" s="88"/>
      <c r="Y423" s="88"/>
      <c r="Z423" s="88"/>
      <c r="AA423" s="88"/>
      <c r="AB423" s="88"/>
      <c r="AC423" s="88"/>
      <c r="AD423" s="142" t="str">
        <f>IFERROR(ROUND(AVERAGE(AE423:AL423),1),"")</f>
        <v/>
      </c>
      <c r="AE423" s="88"/>
      <c r="AF423" s="88"/>
      <c r="AG423" s="88"/>
      <c r="AH423" s="88"/>
      <c r="AI423" s="88"/>
      <c r="AJ423" s="88"/>
      <c r="AK423" s="88"/>
      <c r="AL423" s="88"/>
      <c r="AM423" s="88">
        <v>53.581564309229194</v>
      </c>
      <c r="AN423" s="88">
        <v>88.09</v>
      </c>
      <c r="AO423" s="89"/>
      <c r="AP423" s="90"/>
      <c r="AQ423" s="146" t="str">
        <f t="shared" si="118"/>
        <v/>
      </c>
      <c r="AR423" s="146" t="str">
        <f t="shared" si="119"/>
        <v/>
      </c>
      <c r="AS423" s="147">
        <v>50</v>
      </c>
      <c r="AT423" s="148"/>
      <c r="AU423" s="149"/>
      <c r="AV423" s="146" t="str">
        <f t="shared" si="120"/>
        <v/>
      </c>
      <c r="AW423" s="146" t="str">
        <f t="shared" si="121"/>
        <v/>
      </c>
      <c r="AX423" s="138" t="str">
        <f>IFERROR((1-((AV423*AR423)/(AW423*AQ423)))*100,"")</f>
        <v/>
      </c>
      <c r="AY423" s="95" t="s">
        <v>56</v>
      </c>
      <c r="AZ423" s="96" t="s">
        <v>56</v>
      </c>
      <c r="BA423" s="96"/>
      <c r="BB423" s="96" t="s">
        <v>56</v>
      </c>
      <c r="BC423" s="96"/>
      <c r="BD423" s="97">
        <v>88.09</v>
      </c>
      <c r="BE423" s="142">
        <f t="shared" si="122"/>
        <v>3652</v>
      </c>
      <c r="BF423" s="88">
        <v>0</v>
      </c>
      <c r="BG423" s="98">
        <v>0</v>
      </c>
      <c r="BH423" s="98">
        <v>3652</v>
      </c>
      <c r="BI423" s="98"/>
      <c r="BJ423" s="98"/>
      <c r="BK423" s="98"/>
      <c r="BL423" s="97"/>
    </row>
    <row r="424" spans="1:64" outlineLevel="5" x14ac:dyDescent="0.3">
      <c r="A424" s="152">
        <f t="shared" si="113"/>
        <v>12</v>
      </c>
      <c r="B424" s="153">
        <f t="shared" si="123"/>
        <v>44194</v>
      </c>
      <c r="C424" s="138">
        <f>IFERROR(ROUND(AVERAGE(D424:K424),1),"")</f>
        <v>38</v>
      </c>
      <c r="D424" s="84">
        <v>38</v>
      </c>
      <c r="E424" s="84">
        <v>38</v>
      </c>
      <c r="F424" s="84"/>
      <c r="G424" s="84"/>
      <c r="H424" s="84"/>
      <c r="I424" s="84"/>
      <c r="J424" s="84"/>
      <c r="K424" s="84"/>
      <c r="L424" s="140" t="str">
        <f>IFERROR(ROUND(AVERAGE(M424:T424),1),"")</f>
        <v/>
      </c>
      <c r="M424" s="86"/>
      <c r="N424" s="86"/>
      <c r="O424" s="86"/>
      <c r="P424" s="86"/>
      <c r="Q424" s="86"/>
      <c r="R424" s="86"/>
      <c r="S424" s="86"/>
      <c r="T424" s="86"/>
      <c r="U424" s="142" t="str">
        <f>IFERROR(ROUND(AVERAGE(V424:AC424),1),"")</f>
        <v/>
      </c>
      <c r="V424" s="88"/>
      <c r="W424" s="88"/>
      <c r="X424" s="88"/>
      <c r="Y424" s="88"/>
      <c r="Z424" s="88"/>
      <c r="AA424" s="88"/>
      <c r="AB424" s="88"/>
      <c r="AC424" s="88"/>
      <c r="AD424" s="142" t="str">
        <f>IFERROR(ROUND(AVERAGE(AE424:AL424),1),"")</f>
        <v/>
      </c>
      <c r="AE424" s="88"/>
      <c r="AF424" s="88"/>
      <c r="AG424" s="88"/>
      <c r="AH424" s="88"/>
      <c r="AI424" s="88"/>
      <c r="AJ424" s="88"/>
      <c r="AK424" s="88"/>
      <c r="AL424" s="88"/>
      <c r="AM424" s="88">
        <v>34.764675554246153</v>
      </c>
      <c r="AN424" s="88">
        <v>135.76999999999998</v>
      </c>
      <c r="AO424" s="89"/>
      <c r="AP424" s="90"/>
      <c r="AQ424" s="146" t="str">
        <f t="shared" si="118"/>
        <v/>
      </c>
      <c r="AR424" s="146" t="str">
        <f t="shared" si="119"/>
        <v/>
      </c>
      <c r="AS424" s="147">
        <v>50</v>
      </c>
      <c r="AT424" s="148"/>
      <c r="AU424" s="149"/>
      <c r="AV424" s="146" t="str">
        <f t="shared" si="120"/>
        <v/>
      </c>
      <c r="AW424" s="146" t="str">
        <f t="shared" si="121"/>
        <v/>
      </c>
      <c r="AX424" s="138" t="str">
        <f>IFERROR((1-((AV424*AR424)/(AW424*AQ424)))*100,"")</f>
        <v/>
      </c>
      <c r="AY424" s="95" t="s">
        <v>56</v>
      </c>
      <c r="AZ424" s="96">
        <v>58.44</v>
      </c>
      <c r="BA424" s="96"/>
      <c r="BB424" s="96">
        <v>67</v>
      </c>
      <c r="BC424" s="96"/>
      <c r="BD424" s="97">
        <v>135.76999999999998</v>
      </c>
      <c r="BE424" s="142">
        <f t="shared" si="122"/>
        <v>4651</v>
      </c>
      <c r="BF424" s="88">
        <v>11</v>
      </c>
      <c r="BG424" s="98">
        <v>0</v>
      </c>
      <c r="BH424" s="98">
        <v>4640</v>
      </c>
      <c r="BI424" s="98"/>
      <c r="BJ424" s="98"/>
      <c r="BK424" s="98"/>
      <c r="BL424" s="97"/>
    </row>
    <row r="425" spans="1:64" outlineLevel="5" x14ac:dyDescent="0.3">
      <c r="A425" s="152">
        <f t="shared" si="113"/>
        <v>12</v>
      </c>
      <c r="B425" s="153">
        <f t="shared" si="123"/>
        <v>44195</v>
      </c>
      <c r="C425" s="138">
        <f>IFERROR(ROUND(AVERAGE(D425:K425),1),"")</f>
        <v>38</v>
      </c>
      <c r="D425" s="84">
        <v>38</v>
      </c>
      <c r="E425" s="84">
        <v>38</v>
      </c>
      <c r="F425" s="84"/>
      <c r="G425" s="84"/>
      <c r="H425" s="84"/>
      <c r="I425" s="84"/>
      <c r="J425" s="84"/>
      <c r="K425" s="84"/>
      <c r="L425" s="140" t="str">
        <f>IFERROR(ROUND(AVERAGE(M425:T425),1),"")</f>
        <v/>
      </c>
      <c r="M425" s="86"/>
      <c r="N425" s="86"/>
      <c r="O425" s="86"/>
      <c r="P425" s="86"/>
      <c r="Q425" s="86"/>
      <c r="R425" s="86"/>
      <c r="S425" s="86"/>
      <c r="T425" s="86"/>
      <c r="U425" s="142" t="str">
        <f>IFERROR(ROUND(AVERAGE(V425:AC425),1),"")</f>
        <v/>
      </c>
      <c r="V425" s="88"/>
      <c r="W425" s="88"/>
      <c r="X425" s="88"/>
      <c r="Y425" s="88"/>
      <c r="Z425" s="88"/>
      <c r="AA425" s="88"/>
      <c r="AB425" s="88"/>
      <c r="AC425" s="88"/>
      <c r="AD425" s="142" t="str">
        <f>IFERROR(ROUND(AVERAGE(AE425:AL425),1),"")</f>
        <v/>
      </c>
      <c r="AE425" s="88"/>
      <c r="AF425" s="88"/>
      <c r="AG425" s="88"/>
      <c r="AH425" s="88"/>
      <c r="AI425" s="88"/>
      <c r="AJ425" s="88"/>
      <c r="AK425" s="88"/>
      <c r="AL425" s="88"/>
      <c r="AM425" s="88">
        <v>36.049797601771935</v>
      </c>
      <c r="AN425" s="88">
        <v>130.93</v>
      </c>
      <c r="AO425" s="89"/>
      <c r="AP425" s="90"/>
      <c r="AQ425" s="146" t="str">
        <f t="shared" si="118"/>
        <v/>
      </c>
      <c r="AR425" s="146" t="str">
        <f t="shared" si="119"/>
        <v/>
      </c>
      <c r="AS425" s="147">
        <v>36</v>
      </c>
      <c r="AT425" s="148"/>
      <c r="AU425" s="149"/>
      <c r="AV425" s="146" t="str">
        <f t="shared" si="120"/>
        <v/>
      </c>
      <c r="AW425" s="146" t="str">
        <f t="shared" si="121"/>
        <v/>
      </c>
      <c r="AX425" s="138" t="str">
        <f>IFERROR((1-((AV425*AR425)/(AW425*AQ425)))*100,"")</f>
        <v/>
      </c>
      <c r="AY425" s="95" t="s">
        <v>56</v>
      </c>
      <c r="AZ425" s="96" t="s">
        <v>56</v>
      </c>
      <c r="BA425" s="96"/>
      <c r="BB425" s="96" t="s">
        <v>56</v>
      </c>
      <c r="BC425" s="96"/>
      <c r="BD425" s="97">
        <v>130.93</v>
      </c>
      <c r="BE425" s="142">
        <f t="shared" si="122"/>
        <v>6907</v>
      </c>
      <c r="BF425" s="88">
        <v>72</v>
      </c>
      <c r="BG425" s="98">
        <v>0</v>
      </c>
      <c r="BH425" s="98">
        <v>6835</v>
      </c>
      <c r="BI425" s="98"/>
      <c r="BJ425" s="98"/>
      <c r="BK425" s="98"/>
      <c r="BL425" s="97"/>
    </row>
    <row r="426" spans="1:64" ht="17.25" outlineLevel="5" thickBot="1" x14ac:dyDescent="0.35">
      <c r="A426" s="169">
        <f t="shared" si="113"/>
        <v>12</v>
      </c>
      <c r="B426" s="170">
        <f t="shared" si="123"/>
        <v>44196</v>
      </c>
      <c r="C426" s="138">
        <f>IFERROR(ROUND(AVERAGE(D426:K426),1),"")</f>
        <v>38</v>
      </c>
      <c r="D426" s="171">
        <v>38</v>
      </c>
      <c r="E426" s="171">
        <v>38</v>
      </c>
      <c r="F426" s="171"/>
      <c r="G426" s="171"/>
      <c r="H426" s="171"/>
      <c r="I426" s="171"/>
      <c r="J426" s="171"/>
      <c r="K426" s="171"/>
      <c r="L426" s="140" t="str">
        <f>IFERROR(ROUND(AVERAGE(M426:T426),1),"")</f>
        <v/>
      </c>
      <c r="M426" s="172"/>
      <c r="N426" s="172"/>
      <c r="O426" s="172"/>
      <c r="P426" s="172"/>
      <c r="Q426" s="172"/>
      <c r="R426" s="172"/>
      <c r="S426" s="172"/>
      <c r="T426" s="172"/>
      <c r="U426" s="142" t="str">
        <f>IFERROR(ROUND(AVERAGE(V426:AC426),1),"")</f>
        <v/>
      </c>
      <c r="V426" s="107"/>
      <c r="W426" s="107"/>
      <c r="X426" s="107"/>
      <c r="Y426" s="107"/>
      <c r="Z426" s="107"/>
      <c r="AA426" s="107"/>
      <c r="AB426" s="107"/>
      <c r="AC426" s="107"/>
      <c r="AD426" s="142" t="str">
        <f>IFERROR(ROUND(AVERAGE(AE426:AL426),1),"")</f>
        <v/>
      </c>
      <c r="AE426" s="107"/>
      <c r="AF426" s="107"/>
      <c r="AG426" s="107"/>
      <c r="AH426" s="107"/>
      <c r="AI426" s="107"/>
      <c r="AJ426" s="107"/>
      <c r="AK426" s="107"/>
      <c r="AL426" s="107"/>
      <c r="AM426" s="107">
        <v>54.877339844204165</v>
      </c>
      <c r="AN426" s="107">
        <v>86.009999999999991</v>
      </c>
      <c r="AO426" s="173"/>
      <c r="AP426" s="174"/>
      <c r="AQ426" s="146" t="str">
        <f t="shared" si="118"/>
        <v/>
      </c>
      <c r="AR426" s="146" t="str">
        <f t="shared" si="119"/>
        <v/>
      </c>
      <c r="AS426" s="147">
        <v>41</v>
      </c>
      <c r="AT426" s="148"/>
      <c r="AU426" s="149"/>
      <c r="AV426" s="146" t="str">
        <f t="shared" si="120"/>
        <v/>
      </c>
      <c r="AW426" s="146" t="str">
        <f t="shared" si="121"/>
        <v/>
      </c>
      <c r="AX426" s="138" t="str">
        <f>IFERROR((1-((AV426*AR426)/(AW426*AQ426)))*100,"")</f>
        <v/>
      </c>
      <c r="AY426" s="175" t="s">
        <v>56</v>
      </c>
      <c r="AZ426" s="176" t="s">
        <v>56</v>
      </c>
      <c r="BA426" s="176"/>
      <c r="BB426" s="176" t="s">
        <v>56</v>
      </c>
      <c r="BC426" s="176"/>
      <c r="BD426" s="116">
        <v>86.009999999999991</v>
      </c>
      <c r="BE426" s="142">
        <f t="shared" si="122"/>
        <v>1047</v>
      </c>
      <c r="BF426" s="107">
        <v>82</v>
      </c>
      <c r="BG426" s="118">
        <v>0</v>
      </c>
      <c r="BH426" s="118">
        <v>965</v>
      </c>
      <c r="BI426" s="118"/>
      <c r="BJ426" s="118"/>
      <c r="BK426" s="118"/>
      <c r="BL426" s="116"/>
    </row>
    <row r="427" spans="1:64" outlineLevel="4" x14ac:dyDescent="0.3">
      <c r="A427" s="63" t="s">
        <v>101</v>
      </c>
      <c r="B427" s="64"/>
      <c r="C427" s="65">
        <f t="shared" ref="C427:BL427" si="124">SUBTOTAL(4,C396:C426)</f>
        <v>40</v>
      </c>
      <c r="D427" s="66">
        <f t="shared" si="124"/>
        <v>40</v>
      </c>
      <c r="E427" s="66">
        <f t="shared" si="124"/>
        <v>40</v>
      </c>
      <c r="F427" s="66">
        <f t="shared" si="124"/>
        <v>0</v>
      </c>
      <c r="G427" s="66">
        <f t="shared" si="124"/>
        <v>0</v>
      </c>
      <c r="H427" s="66">
        <f t="shared" si="124"/>
        <v>0</v>
      </c>
      <c r="I427" s="66">
        <f t="shared" si="124"/>
        <v>0</v>
      </c>
      <c r="J427" s="66">
        <f t="shared" si="124"/>
        <v>0</v>
      </c>
      <c r="K427" s="66">
        <f t="shared" si="124"/>
        <v>0</v>
      </c>
      <c r="L427" s="67">
        <f t="shared" si="124"/>
        <v>8</v>
      </c>
      <c r="M427" s="68">
        <f t="shared" si="124"/>
        <v>7.93</v>
      </c>
      <c r="N427" s="68">
        <f t="shared" si="124"/>
        <v>8.0299999999999994</v>
      </c>
      <c r="O427" s="68">
        <f t="shared" si="124"/>
        <v>0</v>
      </c>
      <c r="P427" s="68">
        <f t="shared" si="124"/>
        <v>0</v>
      </c>
      <c r="Q427" s="68">
        <f t="shared" si="124"/>
        <v>0</v>
      </c>
      <c r="R427" s="68">
        <f t="shared" si="124"/>
        <v>0</v>
      </c>
      <c r="S427" s="68">
        <f t="shared" si="124"/>
        <v>0</v>
      </c>
      <c r="T427" s="68">
        <f t="shared" si="124"/>
        <v>0</v>
      </c>
      <c r="U427" s="69">
        <f t="shared" si="124"/>
        <v>1057.5</v>
      </c>
      <c r="V427" s="70">
        <f t="shared" si="124"/>
        <v>1059.5999999999999</v>
      </c>
      <c r="W427" s="70">
        <f t="shared" si="124"/>
        <v>1055.3</v>
      </c>
      <c r="X427" s="70">
        <f t="shared" si="124"/>
        <v>0</v>
      </c>
      <c r="Y427" s="70">
        <f t="shared" si="124"/>
        <v>0</v>
      </c>
      <c r="Z427" s="70">
        <f t="shared" si="124"/>
        <v>0</v>
      </c>
      <c r="AA427" s="70">
        <f t="shared" si="124"/>
        <v>0</v>
      </c>
      <c r="AB427" s="70">
        <f t="shared" si="124"/>
        <v>0</v>
      </c>
      <c r="AC427" s="70">
        <f t="shared" si="124"/>
        <v>0</v>
      </c>
      <c r="AD427" s="69">
        <f t="shared" si="124"/>
        <v>0</v>
      </c>
      <c r="AE427" s="70">
        <f t="shared" si="124"/>
        <v>0</v>
      </c>
      <c r="AF427" s="70">
        <f t="shared" si="124"/>
        <v>0</v>
      </c>
      <c r="AG427" s="70">
        <f t="shared" si="124"/>
        <v>0</v>
      </c>
      <c r="AH427" s="70">
        <f t="shared" si="124"/>
        <v>0</v>
      </c>
      <c r="AI427" s="70">
        <f t="shared" si="124"/>
        <v>0</v>
      </c>
      <c r="AJ427" s="70">
        <f t="shared" si="124"/>
        <v>0</v>
      </c>
      <c r="AK427" s="70">
        <f t="shared" si="124"/>
        <v>0</v>
      </c>
      <c r="AL427" s="70">
        <f t="shared" si="124"/>
        <v>0</v>
      </c>
      <c r="AM427" s="70">
        <f t="shared" si="124"/>
        <v>69.411764705882348</v>
      </c>
      <c r="AN427" s="70">
        <f t="shared" si="124"/>
        <v>174.57</v>
      </c>
      <c r="AO427" s="71">
        <f t="shared" si="124"/>
        <v>21</v>
      </c>
      <c r="AP427" s="72">
        <f t="shared" si="124"/>
        <v>17.724</v>
      </c>
      <c r="AQ427" s="73">
        <f t="shared" si="124"/>
        <v>85.7</v>
      </c>
      <c r="AR427" s="73">
        <f t="shared" si="124"/>
        <v>15.600000000000009</v>
      </c>
      <c r="AS427" s="74">
        <f t="shared" si="124"/>
        <v>50</v>
      </c>
      <c r="AT427" s="75">
        <f t="shared" si="124"/>
        <v>17.899999999999999</v>
      </c>
      <c r="AU427" s="76">
        <f t="shared" si="124"/>
        <v>9.3000000000000007</v>
      </c>
      <c r="AV427" s="73">
        <f t="shared" si="124"/>
        <v>59.7173144876325</v>
      </c>
      <c r="AW427" s="73">
        <f t="shared" si="124"/>
        <v>85.064935064935071</v>
      </c>
      <c r="AX427" s="65">
        <f t="shared" si="124"/>
        <v>0</v>
      </c>
      <c r="AY427" s="77">
        <f t="shared" si="124"/>
        <v>78.55</v>
      </c>
      <c r="AZ427" s="78">
        <f t="shared" si="124"/>
        <v>61.775000000000006</v>
      </c>
      <c r="BA427" s="78">
        <f t="shared" si="124"/>
        <v>0</v>
      </c>
      <c r="BB427" s="78">
        <f t="shared" si="124"/>
        <v>85</v>
      </c>
      <c r="BC427" s="78">
        <f t="shared" si="124"/>
        <v>0</v>
      </c>
      <c r="BD427" s="79">
        <f t="shared" si="124"/>
        <v>174.57</v>
      </c>
      <c r="BE427" s="69">
        <f t="shared" si="124"/>
        <v>7847</v>
      </c>
      <c r="BF427" s="70">
        <f t="shared" si="124"/>
        <v>98</v>
      </c>
      <c r="BG427" s="80">
        <f t="shared" si="124"/>
        <v>1793</v>
      </c>
      <c r="BH427" s="80">
        <f t="shared" si="124"/>
        <v>7749</v>
      </c>
      <c r="BI427" s="80">
        <f t="shared" si="124"/>
        <v>0</v>
      </c>
      <c r="BJ427" s="80">
        <f t="shared" si="124"/>
        <v>0</v>
      </c>
      <c r="BK427" s="80">
        <f t="shared" si="124"/>
        <v>0</v>
      </c>
      <c r="BL427" s="79">
        <f t="shared" si="124"/>
        <v>0</v>
      </c>
    </row>
    <row r="428" spans="1:64" outlineLevel="3" x14ac:dyDescent="0.3">
      <c r="A428" s="81" t="s">
        <v>102</v>
      </c>
      <c r="B428" s="82"/>
      <c r="C428" s="83">
        <f t="shared" ref="C428:BL428" si="125">SUBTOTAL(5,C396:C426)</f>
        <v>33</v>
      </c>
      <c r="D428" s="84">
        <f t="shared" si="125"/>
        <v>33</v>
      </c>
      <c r="E428" s="84">
        <f t="shared" si="125"/>
        <v>33</v>
      </c>
      <c r="F428" s="84">
        <f t="shared" si="125"/>
        <v>0</v>
      </c>
      <c r="G428" s="84">
        <f t="shared" si="125"/>
        <v>0</v>
      </c>
      <c r="H428" s="84">
        <f t="shared" si="125"/>
        <v>0</v>
      </c>
      <c r="I428" s="84">
        <f t="shared" si="125"/>
        <v>0</v>
      </c>
      <c r="J428" s="84">
        <f t="shared" si="125"/>
        <v>0</v>
      </c>
      <c r="K428" s="84">
        <f t="shared" si="125"/>
        <v>0</v>
      </c>
      <c r="L428" s="85">
        <f t="shared" si="125"/>
        <v>7.8</v>
      </c>
      <c r="M428" s="86">
        <f t="shared" si="125"/>
        <v>7.79</v>
      </c>
      <c r="N428" s="86">
        <f t="shared" si="125"/>
        <v>7.78</v>
      </c>
      <c r="O428" s="86">
        <f t="shared" si="125"/>
        <v>0</v>
      </c>
      <c r="P428" s="86">
        <f t="shared" si="125"/>
        <v>0</v>
      </c>
      <c r="Q428" s="86">
        <f t="shared" si="125"/>
        <v>0</v>
      </c>
      <c r="R428" s="86">
        <f t="shared" si="125"/>
        <v>0</v>
      </c>
      <c r="S428" s="86">
        <f t="shared" si="125"/>
        <v>0</v>
      </c>
      <c r="T428" s="86">
        <f t="shared" si="125"/>
        <v>0</v>
      </c>
      <c r="U428" s="87">
        <f t="shared" si="125"/>
        <v>692</v>
      </c>
      <c r="V428" s="88">
        <f t="shared" si="125"/>
        <v>800.1</v>
      </c>
      <c r="W428" s="88">
        <f t="shared" si="125"/>
        <v>583.9</v>
      </c>
      <c r="X428" s="88">
        <f t="shared" si="125"/>
        <v>0</v>
      </c>
      <c r="Y428" s="88">
        <f t="shared" si="125"/>
        <v>0</v>
      </c>
      <c r="Z428" s="88">
        <f t="shared" si="125"/>
        <v>0</v>
      </c>
      <c r="AA428" s="88">
        <f t="shared" si="125"/>
        <v>0</v>
      </c>
      <c r="AB428" s="88">
        <f t="shared" si="125"/>
        <v>0</v>
      </c>
      <c r="AC428" s="88">
        <f t="shared" si="125"/>
        <v>0</v>
      </c>
      <c r="AD428" s="87">
        <f t="shared" si="125"/>
        <v>0</v>
      </c>
      <c r="AE428" s="88">
        <f t="shared" si="125"/>
        <v>0</v>
      </c>
      <c r="AF428" s="88">
        <f t="shared" si="125"/>
        <v>0</v>
      </c>
      <c r="AG428" s="88">
        <f t="shared" si="125"/>
        <v>0</v>
      </c>
      <c r="AH428" s="88">
        <f t="shared" si="125"/>
        <v>0</v>
      </c>
      <c r="AI428" s="88">
        <f t="shared" si="125"/>
        <v>0</v>
      </c>
      <c r="AJ428" s="88">
        <f t="shared" si="125"/>
        <v>0</v>
      </c>
      <c r="AK428" s="88">
        <f t="shared" si="125"/>
        <v>0</v>
      </c>
      <c r="AL428" s="88">
        <f t="shared" si="125"/>
        <v>0</v>
      </c>
      <c r="AM428" s="88">
        <f t="shared" si="125"/>
        <v>27.037864466976</v>
      </c>
      <c r="AN428" s="88">
        <f t="shared" si="125"/>
        <v>68</v>
      </c>
      <c r="AO428" s="89">
        <f t="shared" si="125"/>
        <v>18.3</v>
      </c>
      <c r="AP428" s="90">
        <f t="shared" si="125"/>
        <v>15.683100000000001</v>
      </c>
      <c r="AQ428" s="91">
        <f t="shared" si="125"/>
        <v>84.399999999999991</v>
      </c>
      <c r="AR428" s="91">
        <f t="shared" si="125"/>
        <v>14.299999999999997</v>
      </c>
      <c r="AS428" s="92">
        <f t="shared" si="125"/>
        <v>0</v>
      </c>
      <c r="AT428" s="93">
        <f t="shared" si="125"/>
        <v>14.15</v>
      </c>
      <c r="AU428" s="94">
        <f t="shared" si="125"/>
        <v>2.2999999999999998</v>
      </c>
      <c r="AV428" s="91">
        <f t="shared" si="125"/>
        <v>14.935064935064934</v>
      </c>
      <c r="AW428" s="91">
        <f t="shared" si="125"/>
        <v>40.2826855123675</v>
      </c>
      <c r="AX428" s="83">
        <f t="shared" si="125"/>
        <v>0</v>
      </c>
      <c r="AY428" s="95">
        <f t="shared" si="125"/>
        <v>74.050000000000011</v>
      </c>
      <c r="AZ428" s="96">
        <f t="shared" si="125"/>
        <v>58.44</v>
      </c>
      <c r="BA428" s="96">
        <f t="shared" si="125"/>
        <v>0</v>
      </c>
      <c r="BB428" s="96">
        <f t="shared" si="125"/>
        <v>50</v>
      </c>
      <c r="BC428" s="96">
        <f t="shared" si="125"/>
        <v>0</v>
      </c>
      <c r="BD428" s="97">
        <f t="shared" si="125"/>
        <v>68</v>
      </c>
      <c r="BE428" s="87">
        <f t="shared" si="125"/>
        <v>36</v>
      </c>
      <c r="BF428" s="88">
        <f t="shared" si="125"/>
        <v>0</v>
      </c>
      <c r="BG428" s="98">
        <f t="shared" si="125"/>
        <v>0</v>
      </c>
      <c r="BH428" s="98">
        <f t="shared" si="125"/>
        <v>0</v>
      </c>
      <c r="BI428" s="98">
        <f t="shared" si="125"/>
        <v>0</v>
      </c>
      <c r="BJ428" s="98">
        <f t="shared" si="125"/>
        <v>0</v>
      </c>
      <c r="BK428" s="98">
        <f t="shared" si="125"/>
        <v>0</v>
      </c>
      <c r="BL428" s="97">
        <f t="shared" si="125"/>
        <v>0</v>
      </c>
    </row>
    <row r="429" spans="1:64" outlineLevel="2" x14ac:dyDescent="0.3">
      <c r="A429" s="81" t="s">
        <v>103</v>
      </c>
      <c r="B429" s="82"/>
      <c r="C429" s="83">
        <f t="shared" ref="C429:BL429" si="126">IFERROR(SUBTOTAL(1,C396:C426),"")</f>
        <v>37.661290322580648</v>
      </c>
      <c r="D429" s="84">
        <f t="shared" si="126"/>
        <v>37.677419354838712</v>
      </c>
      <c r="E429" s="84">
        <f t="shared" si="126"/>
        <v>37.645161290322584</v>
      </c>
      <c r="F429" s="84" t="str">
        <f t="shared" si="126"/>
        <v/>
      </c>
      <c r="G429" s="84" t="str">
        <f t="shared" si="126"/>
        <v/>
      </c>
      <c r="H429" s="84" t="str">
        <f t="shared" si="126"/>
        <v/>
      </c>
      <c r="I429" s="84" t="str">
        <f t="shared" si="126"/>
        <v/>
      </c>
      <c r="J429" s="84" t="str">
        <f t="shared" si="126"/>
        <v/>
      </c>
      <c r="K429" s="84" t="str">
        <f t="shared" si="126"/>
        <v/>
      </c>
      <c r="L429" s="85">
        <f t="shared" si="126"/>
        <v>7.833333333333333</v>
      </c>
      <c r="M429" s="86">
        <f t="shared" si="126"/>
        <v>7.865555555555555</v>
      </c>
      <c r="N429" s="86">
        <f t="shared" si="126"/>
        <v>7.8312499999999998</v>
      </c>
      <c r="O429" s="86" t="str">
        <f t="shared" si="126"/>
        <v/>
      </c>
      <c r="P429" s="86" t="str">
        <f t="shared" si="126"/>
        <v/>
      </c>
      <c r="Q429" s="86" t="str">
        <f t="shared" si="126"/>
        <v/>
      </c>
      <c r="R429" s="86" t="str">
        <f t="shared" si="126"/>
        <v/>
      </c>
      <c r="S429" s="86" t="str">
        <f t="shared" si="126"/>
        <v/>
      </c>
      <c r="T429" s="86" t="str">
        <f t="shared" si="126"/>
        <v/>
      </c>
      <c r="U429" s="87">
        <f t="shared" si="126"/>
        <v>901.33999999999992</v>
      </c>
      <c r="V429" s="88">
        <f t="shared" si="126"/>
        <v>950.62000000000012</v>
      </c>
      <c r="W429" s="88">
        <f t="shared" si="126"/>
        <v>852.0200000000001</v>
      </c>
      <c r="X429" s="88" t="str">
        <f t="shared" si="126"/>
        <v/>
      </c>
      <c r="Y429" s="88" t="str">
        <f t="shared" si="126"/>
        <v/>
      </c>
      <c r="Z429" s="88" t="str">
        <f t="shared" si="126"/>
        <v/>
      </c>
      <c r="AA429" s="88" t="str">
        <f t="shared" si="126"/>
        <v/>
      </c>
      <c r="AB429" s="88" t="str">
        <f t="shared" si="126"/>
        <v/>
      </c>
      <c r="AC429" s="88" t="str">
        <f t="shared" si="126"/>
        <v/>
      </c>
      <c r="AD429" s="87" t="str">
        <f t="shared" si="126"/>
        <v/>
      </c>
      <c r="AE429" s="88" t="str">
        <f t="shared" si="126"/>
        <v/>
      </c>
      <c r="AF429" s="88" t="str">
        <f t="shared" si="126"/>
        <v/>
      </c>
      <c r="AG429" s="88" t="str">
        <f t="shared" si="126"/>
        <v/>
      </c>
      <c r="AH429" s="88" t="str">
        <f t="shared" si="126"/>
        <v/>
      </c>
      <c r="AI429" s="88" t="str">
        <f t="shared" si="126"/>
        <v/>
      </c>
      <c r="AJ429" s="88" t="str">
        <f t="shared" si="126"/>
        <v/>
      </c>
      <c r="AK429" s="88" t="str">
        <f t="shared" si="126"/>
        <v/>
      </c>
      <c r="AL429" s="88" t="str">
        <f t="shared" si="126"/>
        <v/>
      </c>
      <c r="AM429" s="88">
        <f t="shared" si="126"/>
        <v>43.590961911187414</v>
      </c>
      <c r="AN429" s="88">
        <f t="shared" si="126"/>
        <v>115.07709677419354</v>
      </c>
      <c r="AO429" s="89">
        <f t="shared" si="126"/>
        <v>19.175000000000001</v>
      </c>
      <c r="AP429" s="90">
        <f t="shared" si="126"/>
        <v>16.331300000000002</v>
      </c>
      <c r="AQ429" s="91">
        <f t="shared" si="126"/>
        <v>85.2</v>
      </c>
      <c r="AR429" s="91">
        <f t="shared" si="126"/>
        <v>14.799999999999997</v>
      </c>
      <c r="AS429" s="92">
        <f t="shared" si="126"/>
        <v>29.580645161290324</v>
      </c>
      <c r="AT429" s="93">
        <f t="shared" si="126"/>
        <v>15.75</v>
      </c>
      <c r="AU429" s="94">
        <f t="shared" si="126"/>
        <v>8.2000000000000011</v>
      </c>
      <c r="AV429" s="91">
        <f t="shared" si="126"/>
        <v>52.089102745914971</v>
      </c>
      <c r="AW429" s="91">
        <f t="shared" si="126"/>
        <v>47.910897254085036</v>
      </c>
      <c r="AX429" s="83" t="str">
        <f t="shared" si="126"/>
        <v/>
      </c>
      <c r="AY429" s="95">
        <f t="shared" si="126"/>
        <v>76.756249999999994</v>
      </c>
      <c r="AZ429" s="96">
        <f t="shared" si="126"/>
        <v>60.318750000000001</v>
      </c>
      <c r="BA429" s="96" t="str">
        <f t="shared" si="126"/>
        <v/>
      </c>
      <c r="BB429" s="96">
        <f t="shared" si="126"/>
        <v>65.5</v>
      </c>
      <c r="BC429" s="96" t="str">
        <f t="shared" si="126"/>
        <v/>
      </c>
      <c r="BD429" s="97">
        <f>IFERROR(SUBTOTAL(1,BD396:BD426),"")</f>
        <v>115.07709677419354</v>
      </c>
      <c r="BE429" s="87">
        <f t="shared" si="126"/>
        <v>3267</v>
      </c>
      <c r="BF429" s="88">
        <f t="shared" si="126"/>
        <v>50.741935483870968</v>
      </c>
      <c r="BG429" s="98">
        <f t="shared" si="126"/>
        <v>275.70967741935482</v>
      </c>
      <c r="BH429" s="98">
        <f t="shared" si="126"/>
        <v>2940.5483870967741</v>
      </c>
      <c r="BI429" s="98" t="str">
        <f t="shared" si="126"/>
        <v/>
      </c>
      <c r="BJ429" s="98" t="str">
        <f t="shared" si="126"/>
        <v/>
      </c>
      <c r="BK429" s="98" t="str">
        <f t="shared" si="126"/>
        <v/>
      </c>
      <c r="BL429" s="97" t="str">
        <f t="shared" si="126"/>
        <v/>
      </c>
    </row>
    <row r="430" spans="1:64" ht="17.25" outlineLevel="1" thickBot="1" x14ac:dyDescent="0.35">
      <c r="A430" s="99" t="s">
        <v>104</v>
      </c>
      <c r="B430" s="100"/>
      <c r="C430" s="101"/>
      <c r="D430" s="102"/>
      <c r="E430" s="102"/>
      <c r="F430" s="102"/>
      <c r="G430" s="102"/>
      <c r="H430" s="102"/>
      <c r="I430" s="102"/>
      <c r="J430" s="102"/>
      <c r="K430" s="102"/>
      <c r="L430" s="103"/>
      <c r="M430" s="104"/>
      <c r="N430" s="104"/>
      <c r="O430" s="104"/>
      <c r="P430" s="104"/>
      <c r="Q430" s="104"/>
      <c r="R430" s="104"/>
      <c r="S430" s="104"/>
      <c r="T430" s="104"/>
      <c r="U430" s="105"/>
      <c r="V430" s="106"/>
      <c r="W430" s="106"/>
      <c r="X430" s="106"/>
      <c r="Y430" s="106"/>
      <c r="Z430" s="106"/>
      <c r="AA430" s="106"/>
      <c r="AB430" s="106"/>
      <c r="AC430" s="106"/>
      <c r="AD430" s="105"/>
      <c r="AE430" s="106"/>
      <c r="AF430" s="106"/>
      <c r="AG430" s="106"/>
      <c r="AH430" s="106"/>
      <c r="AI430" s="106"/>
      <c r="AJ430" s="106"/>
      <c r="AK430" s="106"/>
      <c r="AL430" s="106"/>
      <c r="AM430" s="106"/>
      <c r="AN430" s="107">
        <f>SUBTOTAL(9,AN396:AN426)</f>
        <v>3567.3899999999994</v>
      </c>
      <c r="AO430" s="108"/>
      <c r="AP430" s="109"/>
      <c r="AQ430" s="110"/>
      <c r="AR430" s="110"/>
      <c r="AS430" s="111">
        <f>SUBTOTAL(9,AS396:AS426)</f>
        <v>917</v>
      </c>
      <c r="AT430" s="112"/>
      <c r="AU430" s="113"/>
      <c r="AV430" s="110"/>
      <c r="AW430" s="110"/>
      <c r="AX430" s="101"/>
      <c r="AY430" s="114"/>
      <c r="AZ430" s="115"/>
      <c r="BA430" s="115"/>
      <c r="BB430" s="115"/>
      <c r="BC430" s="115"/>
      <c r="BD430" s="116">
        <f>SUBTOTAL(9,BD396:BD426)</f>
        <v>3567.3899999999994</v>
      </c>
      <c r="BE430" s="117">
        <f t="shared" ref="BE430:BL430" si="127">SUBTOTAL(9,BE396:BE426)</f>
        <v>101277</v>
      </c>
      <c r="BF430" s="107">
        <f t="shared" si="127"/>
        <v>1573</v>
      </c>
      <c r="BG430" s="118">
        <f t="shared" si="127"/>
        <v>8547</v>
      </c>
      <c r="BH430" s="118">
        <f t="shared" si="127"/>
        <v>91157</v>
      </c>
      <c r="BI430" s="118">
        <f t="shared" si="127"/>
        <v>0</v>
      </c>
      <c r="BJ430" s="118">
        <f t="shared" si="127"/>
        <v>0</v>
      </c>
      <c r="BK430" s="118">
        <f t="shared" si="127"/>
        <v>0</v>
      </c>
      <c r="BL430" s="116">
        <f t="shared" si="127"/>
        <v>0</v>
      </c>
    </row>
    <row r="431" spans="1:64" outlineLevel="1" x14ac:dyDescent="0.3">
      <c r="A431" s="177"/>
      <c r="B431" s="177"/>
      <c r="C431" s="178"/>
      <c r="D431" s="178"/>
      <c r="E431" s="178"/>
      <c r="F431" s="178"/>
      <c r="G431" s="178"/>
      <c r="H431" s="178"/>
      <c r="I431" s="178"/>
      <c r="J431" s="178"/>
      <c r="K431" s="178"/>
      <c r="L431" s="127"/>
      <c r="M431" s="127"/>
      <c r="N431" s="127"/>
      <c r="O431" s="127"/>
      <c r="P431" s="127"/>
      <c r="Q431" s="127"/>
      <c r="R431" s="127"/>
      <c r="S431" s="127"/>
      <c r="T431" s="127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30"/>
      <c r="AP431" s="130"/>
      <c r="AQ431" s="130"/>
      <c r="AR431" s="130"/>
      <c r="AS431" s="179"/>
      <c r="AT431" s="180"/>
      <c r="AU431" s="180"/>
      <c r="AV431" s="130"/>
      <c r="AW431" s="130"/>
      <c r="AX431" s="178"/>
      <c r="AY431" s="127"/>
      <c r="AZ431" s="127"/>
      <c r="BA431" s="127"/>
      <c r="BB431" s="127"/>
      <c r="BC431" s="127"/>
      <c r="BD431" s="129"/>
      <c r="BE431" s="129"/>
      <c r="BF431" s="129"/>
      <c r="BG431" s="129"/>
      <c r="BH431" s="129"/>
      <c r="BI431" s="129"/>
      <c r="BJ431" s="129"/>
      <c r="BK431" s="129"/>
      <c r="BL431" s="129"/>
    </row>
  </sheetData>
  <mergeCells count="110">
    <mergeCell ref="A429:B429"/>
    <mergeCell ref="A430:B430"/>
    <mergeCell ref="AW15:AW16"/>
    <mergeCell ref="AV15:AV16"/>
    <mergeCell ref="A392:B392"/>
    <mergeCell ref="A393:B393"/>
    <mergeCell ref="A394:B394"/>
    <mergeCell ref="A395:B395"/>
    <mergeCell ref="A427:B427"/>
    <mergeCell ref="A428:B428"/>
    <mergeCell ref="A325:B325"/>
    <mergeCell ref="A326:B326"/>
    <mergeCell ref="A358:B358"/>
    <mergeCell ref="A359:B359"/>
    <mergeCell ref="A360:B360"/>
    <mergeCell ref="A361:B361"/>
    <mergeCell ref="A289:B289"/>
    <mergeCell ref="A290:B290"/>
    <mergeCell ref="A291:B291"/>
    <mergeCell ref="A292:B292"/>
    <mergeCell ref="A323:B323"/>
    <mergeCell ref="A324:B324"/>
    <mergeCell ref="A221:B221"/>
    <mergeCell ref="A222:B222"/>
    <mergeCell ref="A254:B254"/>
    <mergeCell ref="A255:B255"/>
    <mergeCell ref="A256:B256"/>
    <mergeCell ref="A257:B257"/>
    <mergeCell ref="A185:B185"/>
    <mergeCell ref="A186:B186"/>
    <mergeCell ref="A187:B187"/>
    <mergeCell ref="A188:B188"/>
    <mergeCell ref="A219:B219"/>
    <mergeCell ref="A220:B220"/>
    <mergeCell ref="A118:B118"/>
    <mergeCell ref="A119:B119"/>
    <mergeCell ref="A150:B150"/>
    <mergeCell ref="A151:B151"/>
    <mergeCell ref="A152:B152"/>
    <mergeCell ref="A153:B153"/>
    <mergeCell ref="A81:B81"/>
    <mergeCell ref="A82:B82"/>
    <mergeCell ref="A83:B83"/>
    <mergeCell ref="A84:B84"/>
    <mergeCell ref="A116:B116"/>
    <mergeCell ref="A117:B117"/>
    <mergeCell ref="BK15:BK16"/>
    <mergeCell ref="BL15:BL16"/>
    <mergeCell ref="A48:B48"/>
    <mergeCell ref="A49:B49"/>
    <mergeCell ref="A50:B50"/>
    <mergeCell ref="A51:B51"/>
    <mergeCell ref="BE15:BE16"/>
    <mergeCell ref="BF15:BF16"/>
    <mergeCell ref="BG15:BG16"/>
    <mergeCell ref="BH15:BH16"/>
    <mergeCell ref="BI15:BI16"/>
    <mergeCell ref="BJ15:BJ16"/>
    <mergeCell ref="AV15:AV16"/>
    <mergeCell ref="AY15:AY16"/>
    <mergeCell ref="AZ15:BC15"/>
    <mergeCell ref="BD15:BD16"/>
    <mergeCell ref="AP15:AP16"/>
    <mergeCell ref="AQ15:AQ16"/>
    <mergeCell ref="AR15:AR16"/>
    <mergeCell ref="AS15:AS16"/>
    <mergeCell ref="AT15:AT16"/>
    <mergeCell ref="AU15:AU16"/>
    <mergeCell ref="L15:T15"/>
    <mergeCell ref="U15:AC15"/>
    <mergeCell ref="AD15:AL15"/>
    <mergeCell ref="AM15:AM16"/>
    <mergeCell ref="AN15:AN16"/>
    <mergeCell ref="AO15:AO16"/>
    <mergeCell ref="A10:B10"/>
    <mergeCell ref="A11:B11"/>
    <mergeCell ref="A12:B12"/>
    <mergeCell ref="A15:A16"/>
    <mergeCell ref="B15:B16"/>
    <mergeCell ref="C15:K15"/>
    <mergeCell ref="BI6:BI7"/>
    <mergeCell ref="BJ6:BJ7"/>
    <mergeCell ref="BK6:BK7"/>
    <mergeCell ref="BL6:BL7"/>
    <mergeCell ref="A8:B8"/>
    <mergeCell ref="A9:B9"/>
    <mergeCell ref="AZ6:BC6"/>
    <mergeCell ref="BD6:BD7"/>
    <mergeCell ref="BE6:BE7"/>
    <mergeCell ref="BF6:BF7"/>
    <mergeCell ref="BG6:BG7"/>
    <mergeCell ref="BH6:BH7"/>
    <mergeCell ref="AT6:AT7"/>
    <mergeCell ref="AU6:AU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  <mergeCell ref="A6:B7"/>
    <mergeCell ref="C6:K6"/>
    <mergeCell ref="L6:T6"/>
    <mergeCell ref="U6:AC6"/>
    <mergeCell ref="AD6:AL6"/>
    <mergeCell ref="AM6:AM7"/>
  </mergeCells>
  <phoneticPr fontId="3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43" fitToHeight="0" orientation="landscape" horizontalDpi="1200" r:id="rId1"/>
  <rowBreaks count="11" manualBreakCount="11">
    <brk id="51" max="16383" man="1"/>
    <brk id="84" max="16383" man="1"/>
    <brk id="119" max="16383" man="1"/>
    <brk id="153" max="16383" man="1"/>
    <brk id="188" max="16383" man="1"/>
    <brk id="222" max="16383" man="1"/>
    <brk id="257" max="16383" man="1"/>
    <brk id="292" max="16383" man="1"/>
    <brk id="326" max="19" man="1"/>
    <brk id="361" max="16383" man="1"/>
    <brk id="395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5555A-FC3D-464D-967E-015A2294C365}">
  <sheetPr>
    <pageSetUpPr fitToPage="1"/>
  </sheetPr>
  <dimension ref="A1:BL431"/>
  <sheetViews>
    <sheetView showGridLines="0" zoomScale="70" zoomScaleNormal="70" zoomScaleSheetLayoutView="55" workbookViewId="0">
      <pane xSplit="2" ySplit="16" topLeftCell="C17" activePane="bottomRight" state="frozen"/>
      <selection pane="topRight" activeCell="C1" sqref="C1"/>
      <selection pane="bottomLeft" activeCell="A4" sqref="A4"/>
      <selection pane="bottomRight" activeCell="C16" sqref="C16"/>
    </sheetView>
  </sheetViews>
  <sheetFormatPr defaultRowHeight="16.5" outlineLevelRow="5" outlineLevelCol="1" x14ac:dyDescent="0.3"/>
  <cols>
    <col min="1" max="1" width="6" style="181" bestFit="1" customWidth="1"/>
    <col min="2" max="2" width="11.125" style="2" bestFit="1" customWidth="1"/>
    <col min="3" max="3" width="9.25" style="3" bestFit="1" customWidth="1"/>
    <col min="4" max="11" width="9.25" style="3" customWidth="1" outlineLevel="1"/>
    <col min="12" max="12" width="9.25" style="4" bestFit="1" customWidth="1"/>
    <col min="13" max="20" width="9.25" style="4" customWidth="1" outlineLevel="1"/>
    <col min="21" max="21" width="9.25" style="5" bestFit="1" customWidth="1"/>
    <col min="22" max="29" width="9.25" style="5" customWidth="1" outlineLevel="1"/>
    <col min="30" max="30" width="14.25" style="5" bestFit="1" customWidth="1"/>
    <col min="31" max="38" width="9.25" style="5" customWidth="1" outlineLevel="1"/>
    <col min="39" max="39" width="13.75" style="5" customWidth="1"/>
    <col min="40" max="40" width="14.625" style="5" customWidth="1"/>
    <col min="41" max="42" width="8.625" style="6" customWidth="1"/>
    <col min="43" max="43" width="10.625" style="6" customWidth="1"/>
    <col min="44" max="44" width="10.625" style="6" bestFit="1" customWidth="1"/>
    <col min="45" max="45" width="14.625" style="7" customWidth="1"/>
    <col min="46" max="47" width="8.625" style="8" customWidth="1"/>
    <col min="48" max="48" width="10.625" style="6" customWidth="1"/>
    <col min="49" max="49" width="10.625" style="6" bestFit="1" customWidth="1"/>
    <col min="50" max="50" width="11.625" style="3" customWidth="1"/>
    <col min="51" max="55" width="11.625" style="4" customWidth="1"/>
    <col min="56" max="56" width="14.625" style="5" customWidth="1"/>
    <col min="57" max="57" width="20.375" style="5" bestFit="1" customWidth="1"/>
    <col min="58" max="58" width="14" style="5" customWidth="1" outlineLevel="1"/>
    <col min="59" max="59" width="20.875" style="5" customWidth="1" outlineLevel="1"/>
    <col min="60" max="60" width="18.875" style="5" customWidth="1" outlineLevel="1"/>
    <col min="61" max="62" width="20.25" style="5" customWidth="1" outlineLevel="1"/>
    <col min="63" max="64" width="20.875" style="5" customWidth="1" outlineLevel="1"/>
  </cols>
  <sheetData>
    <row r="1" spans="1:64" ht="19.5" x14ac:dyDescent="0.3">
      <c r="A1" s="1" t="s">
        <v>0</v>
      </c>
    </row>
    <row r="2" spans="1:64" s="11" customFormat="1" x14ac:dyDescent="0.3">
      <c r="A2" s="9" t="s">
        <v>1</v>
      </c>
      <c r="B2" s="10"/>
      <c r="L2" s="4"/>
      <c r="M2" s="4"/>
      <c r="N2" s="4"/>
      <c r="O2" s="4"/>
      <c r="P2" s="4"/>
      <c r="Q2" s="4"/>
      <c r="R2" s="4"/>
      <c r="S2" s="4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O2" s="6"/>
      <c r="AP2" s="6"/>
      <c r="AQ2" s="6"/>
      <c r="AR2" s="6"/>
      <c r="AS2" s="12"/>
      <c r="AT2" s="12"/>
      <c r="AU2" s="12"/>
      <c r="AV2" s="6"/>
      <c r="AW2" s="6"/>
      <c r="AY2" s="4"/>
      <c r="AZ2" s="4"/>
      <c r="BA2" s="4"/>
      <c r="BB2" s="4"/>
      <c r="BC2" s="4"/>
      <c r="BF2" s="5"/>
      <c r="BG2" s="5"/>
      <c r="BH2" s="5"/>
      <c r="BI2" s="5"/>
      <c r="BJ2" s="5"/>
      <c r="BK2" s="5"/>
      <c r="BL2" s="5"/>
    </row>
    <row r="3" spans="1:64" s="11" customFormat="1" x14ac:dyDescent="0.3">
      <c r="A3" s="13" t="s">
        <v>2</v>
      </c>
      <c r="B3" s="10"/>
      <c r="L3" s="4"/>
      <c r="M3" s="4"/>
      <c r="N3" s="4"/>
      <c r="O3" s="4"/>
      <c r="P3" s="4"/>
      <c r="Q3" s="4"/>
      <c r="R3" s="4"/>
      <c r="S3" s="4"/>
      <c r="T3" s="4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O3" s="6"/>
      <c r="AP3" s="6"/>
      <c r="AQ3" s="6"/>
      <c r="AR3" s="6"/>
      <c r="AS3" s="12"/>
      <c r="AT3" s="12"/>
      <c r="AU3" s="12"/>
      <c r="AV3" s="6"/>
      <c r="AW3" s="6"/>
      <c r="AY3" s="4"/>
      <c r="AZ3" s="4"/>
      <c r="BA3" s="4"/>
      <c r="BB3" s="4"/>
      <c r="BC3" s="4"/>
      <c r="BF3" s="5"/>
      <c r="BG3" s="5"/>
      <c r="BH3" s="5"/>
      <c r="BI3" s="5"/>
      <c r="BJ3" s="5"/>
      <c r="BK3" s="5"/>
      <c r="BL3" s="5"/>
    </row>
    <row r="4" spans="1:64" s="11" customFormat="1" x14ac:dyDescent="0.3">
      <c r="A4" s="14" t="s">
        <v>3</v>
      </c>
      <c r="B4" s="15"/>
      <c r="C4" s="16"/>
      <c r="D4" s="16"/>
      <c r="E4" s="16"/>
      <c r="F4" s="16"/>
      <c r="G4" s="16"/>
      <c r="L4" s="4"/>
      <c r="M4" s="4"/>
      <c r="N4" s="4"/>
      <c r="O4" s="4"/>
      <c r="P4" s="4"/>
      <c r="Q4" s="4"/>
      <c r="R4" s="4"/>
      <c r="S4" s="4"/>
      <c r="T4" s="4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O4" s="6"/>
      <c r="AP4" s="6"/>
      <c r="AQ4" s="6"/>
      <c r="AR4" s="6"/>
      <c r="AS4" s="12"/>
      <c r="AT4" s="12"/>
      <c r="AU4" s="12"/>
      <c r="AV4" s="6"/>
      <c r="AW4" s="6"/>
      <c r="AY4" s="4"/>
      <c r="AZ4" s="4"/>
      <c r="BA4" s="4"/>
      <c r="BB4" s="4"/>
      <c r="BC4" s="4"/>
      <c r="BF4" s="5"/>
      <c r="BG4" s="5"/>
      <c r="BH4" s="5"/>
      <c r="BI4" s="5"/>
      <c r="BJ4" s="5"/>
      <c r="BK4" s="5"/>
      <c r="BL4" s="5"/>
    </row>
    <row r="5" spans="1:64" s="11" customFormat="1" ht="17.25" thickBot="1" x14ac:dyDescent="0.35">
      <c r="A5" s="17"/>
      <c r="B5" s="10"/>
      <c r="L5" s="4"/>
      <c r="M5" s="4"/>
      <c r="N5" s="4"/>
      <c r="O5" s="4"/>
      <c r="P5" s="4"/>
      <c r="Q5" s="4"/>
      <c r="R5" s="4"/>
      <c r="S5" s="4"/>
      <c r="T5" s="4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O5" s="6"/>
      <c r="AP5" s="6"/>
      <c r="AQ5" s="6"/>
      <c r="AR5" s="6"/>
      <c r="AS5" s="12"/>
      <c r="AT5" s="12"/>
      <c r="AU5" s="12"/>
      <c r="AV5" s="6"/>
      <c r="AW5" s="6"/>
      <c r="AY5" s="4"/>
      <c r="AZ5" s="4"/>
      <c r="BA5" s="4"/>
      <c r="BB5" s="4"/>
      <c r="BC5" s="4"/>
      <c r="BF5" s="5"/>
      <c r="BG5" s="5"/>
      <c r="BH5" s="5"/>
      <c r="BI5" s="5"/>
      <c r="BJ5" s="5"/>
      <c r="BK5" s="5"/>
      <c r="BL5" s="5"/>
    </row>
    <row r="6" spans="1:64" s="11" customFormat="1" ht="17.25" customHeight="1" thickBot="1" x14ac:dyDescent="0.35">
      <c r="A6" s="18" t="s">
        <v>4</v>
      </c>
      <c r="B6" s="19"/>
      <c r="C6" s="20" t="s">
        <v>5</v>
      </c>
      <c r="D6" s="21"/>
      <c r="E6" s="21"/>
      <c r="F6" s="21"/>
      <c r="G6" s="21"/>
      <c r="H6" s="21"/>
      <c r="I6" s="21"/>
      <c r="J6" s="21"/>
      <c r="K6" s="21"/>
      <c r="L6" s="22" t="s">
        <v>6</v>
      </c>
      <c r="M6" s="23"/>
      <c r="N6" s="23"/>
      <c r="O6" s="23"/>
      <c r="P6" s="23"/>
      <c r="Q6" s="23"/>
      <c r="R6" s="23"/>
      <c r="S6" s="23"/>
      <c r="T6" s="23"/>
      <c r="U6" s="24" t="s">
        <v>7</v>
      </c>
      <c r="V6" s="25"/>
      <c r="W6" s="25"/>
      <c r="X6" s="25"/>
      <c r="Y6" s="25"/>
      <c r="Z6" s="25"/>
      <c r="AA6" s="25"/>
      <c r="AB6" s="25"/>
      <c r="AC6" s="25"/>
      <c r="AD6" s="26" t="s">
        <v>8</v>
      </c>
      <c r="AE6" s="25"/>
      <c r="AF6" s="25"/>
      <c r="AG6" s="25"/>
      <c r="AH6" s="25"/>
      <c r="AI6" s="25"/>
      <c r="AJ6" s="25"/>
      <c r="AK6" s="25"/>
      <c r="AL6" s="25"/>
      <c r="AM6" s="26" t="s">
        <v>9</v>
      </c>
      <c r="AN6" s="24" t="s">
        <v>10</v>
      </c>
      <c r="AO6" s="27" t="s">
        <v>11</v>
      </c>
      <c r="AP6" s="28" t="s">
        <v>12</v>
      </c>
      <c r="AQ6" s="29" t="s">
        <v>13</v>
      </c>
      <c r="AR6" s="29" t="s">
        <v>14</v>
      </c>
      <c r="AS6" s="30" t="s">
        <v>15</v>
      </c>
      <c r="AT6" s="27" t="s">
        <v>16</v>
      </c>
      <c r="AU6" s="28" t="s">
        <v>17</v>
      </c>
      <c r="AV6" s="29" t="s">
        <v>18</v>
      </c>
      <c r="AW6" s="29" t="s">
        <v>19</v>
      </c>
      <c r="AX6" s="31" t="s">
        <v>20</v>
      </c>
      <c r="AY6" s="32" t="s">
        <v>21</v>
      </c>
      <c r="AZ6" s="33" t="s">
        <v>22</v>
      </c>
      <c r="BA6" s="34"/>
      <c r="BB6" s="34"/>
      <c r="BC6" s="34"/>
      <c r="BD6" s="25" t="s">
        <v>23</v>
      </c>
      <c r="BE6" s="35" t="s">
        <v>24</v>
      </c>
      <c r="BF6" s="24" t="s">
        <v>25</v>
      </c>
      <c r="BG6" s="26" t="s">
        <v>26</v>
      </c>
      <c r="BH6" s="26" t="s">
        <v>27</v>
      </c>
      <c r="BI6" s="26" t="s">
        <v>28</v>
      </c>
      <c r="BJ6" s="26" t="s">
        <v>29</v>
      </c>
      <c r="BK6" s="26" t="s">
        <v>30</v>
      </c>
      <c r="BL6" s="36" t="s">
        <v>31</v>
      </c>
    </row>
    <row r="7" spans="1:64" s="62" customFormat="1" ht="35.25" thickBot="1" x14ac:dyDescent="0.35">
      <c r="A7" s="37"/>
      <c r="B7" s="38"/>
      <c r="C7" s="39" t="s">
        <v>32</v>
      </c>
      <c r="D7" s="40" t="s">
        <v>33</v>
      </c>
      <c r="E7" s="41" t="s">
        <v>34</v>
      </c>
      <c r="F7" s="41" t="s">
        <v>35</v>
      </c>
      <c r="G7" s="41" t="s">
        <v>36</v>
      </c>
      <c r="H7" s="41" t="s">
        <v>37</v>
      </c>
      <c r="I7" s="41" t="s">
        <v>38</v>
      </c>
      <c r="J7" s="41" t="s">
        <v>39</v>
      </c>
      <c r="K7" s="41" t="s">
        <v>40</v>
      </c>
      <c r="L7" s="42" t="s">
        <v>41</v>
      </c>
      <c r="M7" s="43" t="s">
        <v>33</v>
      </c>
      <c r="N7" s="44" t="s">
        <v>34</v>
      </c>
      <c r="O7" s="44" t="s">
        <v>35</v>
      </c>
      <c r="P7" s="44" t="s">
        <v>36</v>
      </c>
      <c r="Q7" s="44" t="s">
        <v>37</v>
      </c>
      <c r="R7" s="44" t="s">
        <v>38</v>
      </c>
      <c r="S7" s="44" t="s">
        <v>39</v>
      </c>
      <c r="T7" s="45" t="s">
        <v>40</v>
      </c>
      <c r="U7" s="46" t="s">
        <v>42</v>
      </c>
      <c r="V7" s="47" t="s">
        <v>33</v>
      </c>
      <c r="W7" s="48" t="s">
        <v>34</v>
      </c>
      <c r="X7" s="48" t="s">
        <v>35</v>
      </c>
      <c r="Y7" s="48" t="s">
        <v>36</v>
      </c>
      <c r="Z7" s="48" t="s">
        <v>37</v>
      </c>
      <c r="AA7" s="48" t="s">
        <v>38</v>
      </c>
      <c r="AB7" s="48" t="s">
        <v>39</v>
      </c>
      <c r="AC7" s="48" t="s">
        <v>40</v>
      </c>
      <c r="AD7" s="46" t="s">
        <v>43</v>
      </c>
      <c r="AE7" s="47" t="s">
        <v>33</v>
      </c>
      <c r="AF7" s="48" t="s">
        <v>34</v>
      </c>
      <c r="AG7" s="48" t="s">
        <v>35</v>
      </c>
      <c r="AH7" s="48" t="s">
        <v>36</v>
      </c>
      <c r="AI7" s="48" t="s">
        <v>37</v>
      </c>
      <c r="AJ7" s="48" t="s">
        <v>38</v>
      </c>
      <c r="AK7" s="48" t="s">
        <v>39</v>
      </c>
      <c r="AL7" s="48" t="s">
        <v>40</v>
      </c>
      <c r="AM7" s="49"/>
      <c r="AN7" s="50"/>
      <c r="AO7" s="51"/>
      <c r="AP7" s="52"/>
      <c r="AQ7" s="53"/>
      <c r="AR7" s="53"/>
      <c r="AS7" s="54"/>
      <c r="AT7" s="51"/>
      <c r="AU7" s="52"/>
      <c r="AV7" s="53"/>
      <c r="AW7" s="53"/>
      <c r="AX7" s="55"/>
      <c r="AY7" s="56"/>
      <c r="AZ7" s="57" t="s">
        <v>44</v>
      </c>
      <c r="BA7" s="57" t="s">
        <v>45</v>
      </c>
      <c r="BB7" s="57" t="s">
        <v>46</v>
      </c>
      <c r="BC7" s="58" t="s">
        <v>47</v>
      </c>
      <c r="BD7" s="59"/>
      <c r="BE7" s="60"/>
      <c r="BF7" s="50"/>
      <c r="BG7" s="49"/>
      <c r="BH7" s="49"/>
      <c r="BI7" s="49"/>
      <c r="BJ7" s="49"/>
      <c r="BK7" s="49"/>
      <c r="BL7" s="61"/>
    </row>
    <row r="8" spans="1:64" x14ac:dyDescent="0.3">
      <c r="A8" s="63" t="s">
        <v>48</v>
      </c>
      <c r="B8" s="64"/>
      <c r="C8" s="65">
        <f t="shared" ref="C8:BL8" si="0">SUBTOTAL(4,C17:C426)</f>
        <v>40</v>
      </c>
      <c r="D8" s="66">
        <f t="shared" si="0"/>
        <v>40</v>
      </c>
      <c r="E8" s="66">
        <f t="shared" si="0"/>
        <v>41</v>
      </c>
      <c r="F8" s="66">
        <f t="shared" si="0"/>
        <v>0</v>
      </c>
      <c r="G8" s="66">
        <f t="shared" si="0"/>
        <v>0</v>
      </c>
      <c r="H8" s="66">
        <f t="shared" si="0"/>
        <v>0</v>
      </c>
      <c r="I8" s="66">
        <f t="shared" si="0"/>
        <v>0</v>
      </c>
      <c r="J8" s="66">
        <f t="shared" si="0"/>
        <v>0</v>
      </c>
      <c r="K8" s="66">
        <f t="shared" si="0"/>
        <v>0</v>
      </c>
      <c r="L8" s="67">
        <f t="shared" si="0"/>
        <v>7.8</v>
      </c>
      <c r="M8" s="68">
        <f t="shared" si="0"/>
        <v>7.84</v>
      </c>
      <c r="N8" s="68">
        <f t="shared" si="0"/>
        <v>7.82</v>
      </c>
      <c r="O8" s="68">
        <f t="shared" si="0"/>
        <v>0</v>
      </c>
      <c r="P8" s="68">
        <f t="shared" si="0"/>
        <v>0</v>
      </c>
      <c r="Q8" s="68">
        <f t="shared" si="0"/>
        <v>0</v>
      </c>
      <c r="R8" s="68">
        <f t="shared" si="0"/>
        <v>0</v>
      </c>
      <c r="S8" s="68">
        <f t="shared" si="0"/>
        <v>0</v>
      </c>
      <c r="T8" s="68">
        <f t="shared" si="0"/>
        <v>0</v>
      </c>
      <c r="U8" s="69">
        <f t="shared" si="0"/>
        <v>4524.5</v>
      </c>
      <c r="V8" s="70">
        <f t="shared" si="0"/>
        <v>4560</v>
      </c>
      <c r="W8" s="70">
        <f t="shared" si="0"/>
        <v>4489</v>
      </c>
      <c r="X8" s="70">
        <f t="shared" si="0"/>
        <v>0</v>
      </c>
      <c r="Y8" s="70">
        <f t="shared" si="0"/>
        <v>0</v>
      </c>
      <c r="Z8" s="70">
        <f t="shared" si="0"/>
        <v>0</v>
      </c>
      <c r="AA8" s="70">
        <f t="shared" si="0"/>
        <v>0</v>
      </c>
      <c r="AB8" s="70">
        <f t="shared" si="0"/>
        <v>0</v>
      </c>
      <c r="AC8" s="70">
        <f t="shared" si="0"/>
        <v>0</v>
      </c>
      <c r="AD8" s="69">
        <f t="shared" si="0"/>
        <v>0</v>
      </c>
      <c r="AE8" s="70">
        <f t="shared" si="0"/>
        <v>0</v>
      </c>
      <c r="AF8" s="70">
        <f t="shared" si="0"/>
        <v>0</v>
      </c>
      <c r="AG8" s="70">
        <f t="shared" si="0"/>
        <v>0</v>
      </c>
      <c r="AH8" s="70">
        <f t="shared" si="0"/>
        <v>0</v>
      </c>
      <c r="AI8" s="70">
        <f t="shared" si="0"/>
        <v>0</v>
      </c>
      <c r="AJ8" s="70">
        <f t="shared" si="0"/>
        <v>0</v>
      </c>
      <c r="AK8" s="70">
        <f t="shared" si="0"/>
        <v>0</v>
      </c>
      <c r="AL8" s="70">
        <f t="shared" si="0"/>
        <v>0</v>
      </c>
      <c r="AM8" s="70">
        <f t="shared" si="0"/>
        <v>131.11111111111111</v>
      </c>
      <c r="AN8" s="70">
        <f t="shared" si="0"/>
        <v>155.88</v>
      </c>
      <c r="AO8" s="71">
        <f t="shared" si="0"/>
        <v>35</v>
      </c>
      <c r="AP8" s="72">
        <f t="shared" si="0"/>
        <v>30.905000000000001</v>
      </c>
      <c r="AQ8" s="73">
        <f t="shared" si="0"/>
        <v>90.5</v>
      </c>
      <c r="AR8" s="73">
        <f t="shared" si="0"/>
        <v>23.300000000000011</v>
      </c>
      <c r="AS8" s="74">
        <f t="shared" si="0"/>
        <v>55</v>
      </c>
      <c r="AT8" s="75">
        <f t="shared" si="0"/>
        <v>19.850000000000001</v>
      </c>
      <c r="AU8" s="76">
        <f t="shared" si="0"/>
        <v>12.100000000000001</v>
      </c>
      <c r="AV8" s="73">
        <f t="shared" si="0"/>
        <v>61.071428571428577</v>
      </c>
      <c r="AW8" s="73">
        <f t="shared" si="0"/>
        <v>60.869565217391305</v>
      </c>
      <c r="AX8" s="65">
        <f t="shared" si="0"/>
        <v>87.282192945176376</v>
      </c>
      <c r="AY8" s="77">
        <f t="shared" si="0"/>
        <v>85.15</v>
      </c>
      <c r="AZ8" s="78">
        <f t="shared" si="0"/>
        <v>65.61</v>
      </c>
      <c r="BA8" s="78">
        <f t="shared" si="0"/>
        <v>0</v>
      </c>
      <c r="BB8" s="78">
        <f t="shared" si="0"/>
        <v>193.5</v>
      </c>
      <c r="BC8" s="78">
        <f t="shared" si="0"/>
        <v>0</v>
      </c>
      <c r="BD8" s="79">
        <f t="shared" si="0"/>
        <v>155.88</v>
      </c>
      <c r="BE8" s="69">
        <f t="shared" si="0"/>
        <v>16174</v>
      </c>
      <c r="BF8" s="70">
        <f t="shared" si="0"/>
        <v>1096</v>
      </c>
      <c r="BG8" s="80">
        <f t="shared" si="0"/>
        <v>3784</v>
      </c>
      <c r="BH8" s="80">
        <f t="shared" si="0"/>
        <v>12951</v>
      </c>
      <c r="BI8" s="80">
        <f t="shared" si="0"/>
        <v>5864</v>
      </c>
      <c r="BJ8" s="80">
        <f t="shared" si="0"/>
        <v>0</v>
      </c>
      <c r="BK8" s="80">
        <f t="shared" si="0"/>
        <v>0</v>
      </c>
      <c r="BL8" s="79">
        <f t="shared" si="0"/>
        <v>0</v>
      </c>
    </row>
    <row r="9" spans="1:64" x14ac:dyDescent="0.3">
      <c r="A9" s="81" t="s">
        <v>49</v>
      </c>
      <c r="B9" s="82"/>
      <c r="C9" s="83">
        <f t="shared" ref="C9:BL9" si="1">SUBTOTAL(5,C17:C426)</f>
        <v>35</v>
      </c>
      <c r="D9" s="84">
        <f t="shared" si="1"/>
        <v>35</v>
      </c>
      <c r="E9" s="84">
        <f t="shared" si="1"/>
        <v>35</v>
      </c>
      <c r="F9" s="84">
        <f t="shared" si="1"/>
        <v>0</v>
      </c>
      <c r="G9" s="84">
        <f t="shared" si="1"/>
        <v>0</v>
      </c>
      <c r="H9" s="84">
        <f t="shared" si="1"/>
        <v>0</v>
      </c>
      <c r="I9" s="84">
        <f t="shared" si="1"/>
        <v>0</v>
      </c>
      <c r="J9" s="84">
        <f t="shared" si="1"/>
        <v>0</v>
      </c>
      <c r="K9" s="84">
        <f t="shared" si="1"/>
        <v>0</v>
      </c>
      <c r="L9" s="85">
        <f t="shared" si="1"/>
        <v>7.5</v>
      </c>
      <c r="M9" s="86">
        <f t="shared" si="1"/>
        <v>7.52</v>
      </c>
      <c r="N9" s="86">
        <f t="shared" si="1"/>
        <v>7.41</v>
      </c>
      <c r="O9" s="86">
        <f t="shared" si="1"/>
        <v>0</v>
      </c>
      <c r="P9" s="86">
        <f t="shared" si="1"/>
        <v>0</v>
      </c>
      <c r="Q9" s="86">
        <f t="shared" si="1"/>
        <v>0</v>
      </c>
      <c r="R9" s="86">
        <f t="shared" si="1"/>
        <v>0</v>
      </c>
      <c r="S9" s="86">
        <f t="shared" si="1"/>
        <v>0</v>
      </c>
      <c r="T9" s="86">
        <f t="shared" si="1"/>
        <v>0</v>
      </c>
      <c r="U9" s="87">
        <f t="shared" si="1"/>
        <v>778.5</v>
      </c>
      <c r="V9" s="88">
        <f t="shared" si="1"/>
        <v>865</v>
      </c>
      <c r="W9" s="88">
        <f t="shared" si="1"/>
        <v>692</v>
      </c>
      <c r="X9" s="88">
        <f t="shared" si="1"/>
        <v>0</v>
      </c>
      <c r="Y9" s="88">
        <f t="shared" si="1"/>
        <v>0</v>
      </c>
      <c r="Z9" s="88">
        <f t="shared" si="1"/>
        <v>0</v>
      </c>
      <c r="AA9" s="88">
        <f t="shared" si="1"/>
        <v>0</v>
      </c>
      <c r="AB9" s="88">
        <f t="shared" si="1"/>
        <v>0</v>
      </c>
      <c r="AC9" s="88">
        <f t="shared" si="1"/>
        <v>0</v>
      </c>
      <c r="AD9" s="87">
        <f t="shared" si="1"/>
        <v>0</v>
      </c>
      <c r="AE9" s="88">
        <f t="shared" si="1"/>
        <v>0</v>
      </c>
      <c r="AF9" s="88">
        <f t="shared" si="1"/>
        <v>0</v>
      </c>
      <c r="AG9" s="88">
        <f t="shared" si="1"/>
        <v>0</v>
      </c>
      <c r="AH9" s="88">
        <f t="shared" si="1"/>
        <v>0</v>
      </c>
      <c r="AI9" s="88">
        <f t="shared" si="1"/>
        <v>0</v>
      </c>
      <c r="AJ9" s="88">
        <f t="shared" si="1"/>
        <v>0</v>
      </c>
      <c r="AK9" s="88">
        <f t="shared" si="1"/>
        <v>0</v>
      </c>
      <c r="AL9" s="88">
        <f t="shared" si="1"/>
        <v>0</v>
      </c>
      <c r="AM9" s="88">
        <f t="shared" si="1"/>
        <v>30.279702335129588</v>
      </c>
      <c r="AN9" s="88">
        <f t="shared" si="1"/>
        <v>0</v>
      </c>
      <c r="AO9" s="89">
        <f t="shared" si="1"/>
        <v>7</v>
      </c>
      <c r="AP9" s="90">
        <f t="shared" si="1"/>
        <v>5.9430000000000005</v>
      </c>
      <c r="AQ9" s="91">
        <f t="shared" si="1"/>
        <v>76.699999999999989</v>
      </c>
      <c r="AR9" s="91">
        <f t="shared" si="1"/>
        <v>9.5</v>
      </c>
      <c r="AS9" s="92">
        <f t="shared" si="1"/>
        <v>0</v>
      </c>
      <c r="AT9" s="93">
        <f t="shared" si="1"/>
        <v>13.55</v>
      </c>
      <c r="AU9" s="94">
        <f t="shared" si="1"/>
        <v>6.9499999999999993</v>
      </c>
      <c r="AV9" s="91">
        <f t="shared" si="1"/>
        <v>39.130434782608695</v>
      </c>
      <c r="AW9" s="91">
        <f t="shared" si="1"/>
        <v>38.928571428571423</v>
      </c>
      <c r="AX9" s="83">
        <f t="shared" si="1"/>
        <v>67.533409387222918</v>
      </c>
      <c r="AY9" s="95">
        <f t="shared" si="1"/>
        <v>69.05</v>
      </c>
      <c r="AZ9" s="96">
        <f t="shared" si="1"/>
        <v>54.870000000000005</v>
      </c>
      <c r="BA9" s="96">
        <f t="shared" si="1"/>
        <v>0</v>
      </c>
      <c r="BB9" s="96">
        <f t="shared" si="1"/>
        <v>37</v>
      </c>
      <c r="BC9" s="96">
        <f t="shared" si="1"/>
        <v>0</v>
      </c>
      <c r="BD9" s="97">
        <f t="shared" si="1"/>
        <v>0</v>
      </c>
      <c r="BE9" s="87">
        <f t="shared" si="1"/>
        <v>51</v>
      </c>
      <c r="BF9" s="88">
        <f t="shared" si="1"/>
        <v>0</v>
      </c>
      <c r="BG9" s="98">
        <f t="shared" si="1"/>
        <v>0</v>
      </c>
      <c r="BH9" s="98">
        <f t="shared" si="1"/>
        <v>0</v>
      </c>
      <c r="BI9" s="98">
        <f t="shared" si="1"/>
        <v>0</v>
      </c>
      <c r="BJ9" s="98">
        <f t="shared" si="1"/>
        <v>0</v>
      </c>
      <c r="BK9" s="98">
        <f t="shared" si="1"/>
        <v>0</v>
      </c>
      <c r="BL9" s="97">
        <f t="shared" si="1"/>
        <v>0</v>
      </c>
    </row>
    <row r="10" spans="1:64" x14ac:dyDescent="0.3">
      <c r="A10" s="81" t="s">
        <v>50</v>
      </c>
      <c r="B10" s="82"/>
      <c r="C10" s="83">
        <f t="shared" ref="C10:BL10" si="2">IFERROR(SUBTOTAL(1,C17:C426),"")</f>
        <v>37.733832335329339</v>
      </c>
      <c r="D10" s="84">
        <f t="shared" si="2"/>
        <v>37.713698630136989</v>
      </c>
      <c r="E10" s="84">
        <f t="shared" si="2"/>
        <v>37.697260273972603</v>
      </c>
      <c r="F10" s="84" t="str">
        <f t="shared" si="2"/>
        <v/>
      </c>
      <c r="G10" s="84" t="str">
        <f t="shared" si="2"/>
        <v/>
      </c>
      <c r="H10" s="84" t="str">
        <f t="shared" si="2"/>
        <v/>
      </c>
      <c r="I10" s="84" t="str">
        <f t="shared" si="2"/>
        <v/>
      </c>
      <c r="J10" s="84" t="str">
        <f t="shared" si="2"/>
        <v/>
      </c>
      <c r="K10" s="84" t="str">
        <f t="shared" si="2"/>
        <v/>
      </c>
      <c r="L10" s="85">
        <f t="shared" si="2"/>
        <v>7.6852459016393517</v>
      </c>
      <c r="M10" s="86">
        <f t="shared" si="2"/>
        <v>7.7345833333333376</v>
      </c>
      <c r="N10" s="86">
        <f t="shared" si="2"/>
        <v>7.6162295081967182</v>
      </c>
      <c r="O10" s="86" t="str">
        <f t="shared" si="2"/>
        <v/>
      </c>
      <c r="P10" s="86" t="str">
        <f t="shared" si="2"/>
        <v/>
      </c>
      <c r="Q10" s="86" t="str">
        <f t="shared" si="2"/>
        <v/>
      </c>
      <c r="R10" s="86" t="str">
        <f t="shared" si="2"/>
        <v/>
      </c>
      <c r="S10" s="86" t="str">
        <f t="shared" si="2"/>
        <v/>
      </c>
      <c r="T10" s="86" t="str">
        <f t="shared" si="2"/>
        <v/>
      </c>
      <c r="U10" s="87">
        <f t="shared" si="2"/>
        <v>1633.6772357723576</v>
      </c>
      <c r="V10" s="88">
        <f t="shared" si="2"/>
        <v>1726.054545454545</v>
      </c>
      <c r="W10" s="88">
        <f t="shared" si="2"/>
        <v>1548.5382113821138</v>
      </c>
      <c r="X10" s="88" t="str">
        <f t="shared" si="2"/>
        <v/>
      </c>
      <c r="Y10" s="88" t="str">
        <f t="shared" si="2"/>
        <v/>
      </c>
      <c r="Z10" s="88" t="str">
        <f t="shared" si="2"/>
        <v/>
      </c>
      <c r="AA10" s="88" t="str">
        <f t="shared" si="2"/>
        <v/>
      </c>
      <c r="AB10" s="88" t="str">
        <f t="shared" si="2"/>
        <v/>
      </c>
      <c r="AC10" s="88" t="str">
        <f t="shared" si="2"/>
        <v/>
      </c>
      <c r="AD10" s="87" t="str">
        <f t="shared" si="2"/>
        <v/>
      </c>
      <c r="AE10" s="88" t="str">
        <f t="shared" si="2"/>
        <v/>
      </c>
      <c r="AF10" s="88" t="str">
        <f t="shared" si="2"/>
        <v/>
      </c>
      <c r="AG10" s="88" t="str">
        <f t="shared" si="2"/>
        <v/>
      </c>
      <c r="AH10" s="88" t="str">
        <f t="shared" si="2"/>
        <v/>
      </c>
      <c r="AI10" s="88" t="str">
        <f t="shared" si="2"/>
        <v/>
      </c>
      <c r="AJ10" s="88" t="str">
        <f t="shared" si="2"/>
        <v/>
      </c>
      <c r="AK10" s="88" t="str">
        <f t="shared" si="2"/>
        <v/>
      </c>
      <c r="AL10" s="88" t="str">
        <f t="shared" si="2"/>
        <v/>
      </c>
      <c r="AM10" s="88">
        <f t="shared" si="2"/>
        <v>42.632564926160988</v>
      </c>
      <c r="AN10" s="88">
        <f t="shared" si="2"/>
        <v>112.53520547945202</v>
      </c>
      <c r="AO10" s="89">
        <f t="shared" si="2"/>
        <v>20.458064516129038</v>
      </c>
      <c r="AP10" s="90">
        <f t="shared" si="2"/>
        <v>17.021245161290327</v>
      </c>
      <c r="AQ10" s="91">
        <f t="shared" si="2"/>
        <v>83.08064516129032</v>
      </c>
      <c r="AR10" s="91">
        <f t="shared" si="2"/>
        <v>16.919354838709676</v>
      </c>
      <c r="AS10" s="92">
        <f t="shared" si="2"/>
        <v>21.572602739726026</v>
      </c>
      <c r="AT10" s="93">
        <f t="shared" si="2"/>
        <v>16.216956521739128</v>
      </c>
      <c r="AU10" s="94">
        <f t="shared" si="2"/>
        <v>8.8213043478260875</v>
      </c>
      <c r="AV10" s="91">
        <f t="shared" si="2"/>
        <v>54.483308958274186</v>
      </c>
      <c r="AW10" s="91">
        <f t="shared" si="2"/>
        <v>45.516691041725799</v>
      </c>
      <c r="AX10" s="83">
        <f t="shared" si="2"/>
        <v>76.21198259439754</v>
      </c>
      <c r="AY10" s="95">
        <f t="shared" si="2"/>
        <v>74.564347826086944</v>
      </c>
      <c r="AZ10" s="96">
        <f t="shared" si="2"/>
        <v>60.965517241379288</v>
      </c>
      <c r="BA10" s="96" t="str">
        <f t="shared" si="2"/>
        <v/>
      </c>
      <c r="BB10" s="96">
        <f t="shared" si="2"/>
        <v>84.432601880877741</v>
      </c>
      <c r="BC10" s="96" t="str">
        <f t="shared" si="2"/>
        <v/>
      </c>
      <c r="BD10" s="97">
        <f>IFERROR(SUBTOTAL(1,BD17:BD426),"")</f>
        <v>112.53520547945202</v>
      </c>
      <c r="BE10" s="87">
        <f t="shared" si="2"/>
        <v>7608.5865921787708</v>
      </c>
      <c r="BF10" s="88">
        <f t="shared" si="2"/>
        <v>185.21095890410959</v>
      </c>
      <c r="BG10" s="98">
        <f t="shared" si="2"/>
        <v>234.46301369863014</v>
      </c>
      <c r="BH10" s="98">
        <f t="shared" si="2"/>
        <v>3052.6438356164385</v>
      </c>
      <c r="BI10" s="98">
        <f t="shared" si="2"/>
        <v>3990.3506849315067</v>
      </c>
      <c r="BJ10" s="98" t="str">
        <f t="shared" si="2"/>
        <v/>
      </c>
      <c r="BK10" s="98" t="str">
        <f t="shared" si="2"/>
        <v/>
      </c>
      <c r="BL10" s="97" t="str">
        <f t="shared" si="2"/>
        <v/>
      </c>
    </row>
    <row r="11" spans="1:64" ht="17.25" thickBot="1" x14ac:dyDescent="0.35">
      <c r="A11" s="99" t="s">
        <v>51</v>
      </c>
      <c r="B11" s="100"/>
      <c r="C11" s="101"/>
      <c r="D11" s="102"/>
      <c r="E11" s="102"/>
      <c r="F11" s="102"/>
      <c r="G11" s="102"/>
      <c r="H11" s="102"/>
      <c r="I11" s="102"/>
      <c r="J11" s="102"/>
      <c r="K11" s="102"/>
      <c r="L11" s="103"/>
      <c r="M11" s="104"/>
      <c r="N11" s="104"/>
      <c r="O11" s="104"/>
      <c r="P11" s="104"/>
      <c r="Q11" s="104"/>
      <c r="R11" s="104"/>
      <c r="S11" s="104"/>
      <c r="T11" s="104"/>
      <c r="U11" s="105"/>
      <c r="V11" s="106"/>
      <c r="W11" s="106"/>
      <c r="X11" s="106"/>
      <c r="Y11" s="106"/>
      <c r="Z11" s="106"/>
      <c r="AA11" s="106"/>
      <c r="AB11" s="106"/>
      <c r="AC11" s="106"/>
      <c r="AD11" s="105"/>
      <c r="AE11" s="106"/>
      <c r="AF11" s="106"/>
      <c r="AG11" s="106"/>
      <c r="AH11" s="106"/>
      <c r="AI11" s="106"/>
      <c r="AJ11" s="106"/>
      <c r="AK11" s="106"/>
      <c r="AL11" s="106"/>
      <c r="AM11" s="106"/>
      <c r="AN11" s="107">
        <f>SUBTOTAL(9,AN17:AN425)</f>
        <v>40971.939999999981</v>
      </c>
      <c r="AO11" s="108"/>
      <c r="AP11" s="109"/>
      <c r="AQ11" s="110"/>
      <c r="AR11" s="110"/>
      <c r="AS11" s="111">
        <f>SUBTOTAL(9,AS17:AS425)</f>
        <v>7834</v>
      </c>
      <c r="AT11" s="112"/>
      <c r="AU11" s="113"/>
      <c r="AV11" s="110"/>
      <c r="AW11" s="110"/>
      <c r="AX11" s="101"/>
      <c r="AY11" s="114"/>
      <c r="AZ11" s="115"/>
      <c r="BA11" s="115"/>
      <c r="BB11" s="115"/>
      <c r="BC11" s="115"/>
      <c r="BD11" s="116">
        <f>SUBTOTAL(9,BD17:BD425)</f>
        <v>40971.939999999981</v>
      </c>
      <c r="BE11" s="117">
        <f t="shared" ref="BE11:BL11" si="3">SUBTOTAL(9,BE17:BE425)</f>
        <v>2713823</v>
      </c>
      <c r="BF11" s="107">
        <f t="shared" si="3"/>
        <v>67235</v>
      </c>
      <c r="BG11" s="118">
        <f t="shared" si="3"/>
        <v>85579</v>
      </c>
      <c r="BH11" s="118">
        <f t="shared" si="3"/>
        <v>1109368</v>
      </c>
      <c r="BI11" s="118">
        <f t="shared" si="3"/>
        <v>1451641</v>
      </c>
      <c r="BJ11" s="118">
        <f t="shared" si="3"/>
        <v>0</v>
      </c>
      <c r="BK11" s="118">
        <f t="shared" si="3"/>
        <v>0</v>
      </c>
      <c r="BL11" s="116">
        <f t="shared" si="3"/>
        <v>0</v>
      </c>
    </row>
    <row r="12" spans="1:64" ht="17.25" thickBot="1" x14ac:dyDescent="0.35">
      <c r="A12" s="99" t="s">
        <v>52</v>
      </c>
      <c r="B12" s="100"/>
      <c r="C12" s="101"/>
      <c r="D12" s="102"/>
      <c r="E12" s="102"/>
      <c r="F12" s="102"/>
      <c r="G12" s="102"/>
      <c r="H12" s="102"/>
      <c r="I12" s="102"/>
      <c r="J12" s="102"/>
      <c r="K12" s="102"/>
      <c r="L12" s="103"/>
      <c r="M12" s="104"/>
      <c r="N12" s="104"/>
      <c r="O12" s="104"/>
      <c r="P12" s="104"/>
      <c r="Q12" s="104"/>
      <c r="R12" s="104"/>
      <c r="S12" s="104"/>
      <c r="T12" s="104"/>
      <c r="U12" s="105"/>
      <c r="V12" s="106"/>
      <c r="W12" s="106"/>
      <c r="X12" s="106"/>
      <c r="Y12" s="106"/>
      <c r="Z12" s="106"/>
      <c r="AA12" s="106"/>
      <c r="AB12" s="106"/>
      <c r="AC12" s="106"/>
      <c r="AD12" s="105"/>
      <c r="AE12" s="106"/>
      <c r="AF12" s="106"/>
      <c r="AG12" s="106"/>
      <c r="AH12" s="106"/>
      <c r="AI12" s="106"/>
      <c r="AJ12" s="106"/>
      <c r="AK12" s="106"/>
      <c r="AL12" s="106"/>
      <c r="AM12" s="106"/>
      <c r="AN12" s="107">
        <f>IFERROR(SUBTOTAL(9,AN17:AN426)/COUNTA(AN17:AN47,AN52:AN80,AN85:AN115,AN120:AN149,AN154:AN184,AN189:AN218,AN223:AN253,AN258:AN288,AN293:AN322,AN327:AN357,AN362:AN391,AN396:AN426),"")</f>
        <v>112.53520547945202</v>
      </c>
      <c r="AO12" s="108"/>
      <c r="AP12" s="109"/>
      <c r="AQ12" s="110"/>
      <c r="AR12" s="110"/>
      <c r="AS12" s="111">
        <f>IFERROR(SUBTOTAL(9,AS17:AS426)/COUNTA(AS17:AS47,AS52:AS80,AS85:AS115,AS120:AS149,AS154:AS184,AS189:AS218,AS223:AS253,AS258:AS288,AS293:AS322,AS327:AS357,AS362:AS391,AS396:AS426),"")</f>
        <v>21.572602739726026</v>
      </c>
      <c r="AT12" s="112"/>
      <c r="AU12" s="113"/>
      <c r="AV12" s="110"/>
      <c r="AW12" s="110"/>
      <c r="AX12" s="101"/>
      <c r="AY12" s="114"/>
      <c r="AZ12" s="115"/>
      <c r="BA12" s="115"/>
      <c r="BB12" s="115"/>
      <c r="BC12" s="115"/>
      <c r="BD12" s="116">
        <f>IFERROR(SUBTOTAL(9,BD17:BD426)/COUNTA(BD17:BD47,BD52:BD80,BD85:BD115,BD120:BD149,BD154:BD184,BD189:BD218,BD223:BD253,BD258:BD288,BD293:BD322,BD327:BD357,BD362:BD391,BD396:BD426),"")</f>
        <v>112.53520547945202</v>
      </c>
      <c r="BE12" s="119">
        <f>SUBTOTAL(9,BE17:BE426)/COUNTA(BE17:BE47,BE52:BE80,BE85:BE115,BE120:BE149,BE154:BE184,BE189:BE218,BE223:BE253,BE258:BE288,BE293:BE322,BE327:BE357,BE362:BE391,BE396:BE426)</f>
        <v>7442.2786885245905</v>
      </c>
      <c r="BF12" s="120">
        <f>IFERROR(SUBTOTAL(9,BF17:BF426)/COUNTA(BF17:BF47,BF52:BF80,BF85:BF115,BF120:BF149,BF154:BF184,BF189:BF218,BF223:BF253,BF258:BF288,BF293:BF322,BF327:BF357,BF362:BF391,BF396:BF426),"")</f>
        <v>185.21095890410959</v>
      </c>
      <c r="BG12" s="121">
        <f t="shared" ref="BG12:BL12" si="4">IFERROR(SUBTOTAL(9,BG17:BG426)/COUNTA(BG17:BG47,BG52:BG80,BG85:BG115,BG120:BG149,BG154:BG184,BG189:BG218,BG223:BG253,BG258:BG288,BG293:BG322,BG327:BG357,BG362:BG391,BG396:BG426),"")</f>
        <v>234.46301369863014</v>
      </c>
      <c r="BH12" s="121">
        <f t="shared" si="4"/>
        <v>3052.6438356164385</v>
      </c>
      <c r="BI12" s="121">
        <f t="shared" si="4"/>
        <v>3990.3506849315067</v>
      </c>
      <c r="BJ12" s="121" t="str">
        <f t="shared" si="4"/>
        <v/>
      </c>
      <c r="BK12" s="121" t="str">
        <f t="shared" si="4"/>
        <v/>
      </c>
      <c r="BL12" s="122" t="str">
        <f t="shared" si="4"/>
        <v/>
      </c>
    </row>
    <row r="13" spans="1:64" s="125" customFormat="1" x14ac:dyDescent="0.3">
      <c r="A13" s="123"/>
      <c r="B13" s="123"/>
      <c r="C13" s="124"/>
      <c r="L13" s="126"/>
      <c r="M13" s="127"/>
      <c r="N13" s="127"/>
      <c r="O13" s="127"/>
      <c r="P13" s="127"/>
      <c r="Q13" s="127"/>
      <c r="R13" s="127"/>
      <c r="S13" s="127"/>
      <c r="T13" s="127"/>
      <c r="U13" s="128"/>
      <c r="V13" s="129"/>
      <c r="W13" s="129"/>
      <c r="X13" s="129"/>
      <c r="Y13" s="129"/>
      <c r="Z13" s="129"/>
      <c r="AA13" s="129"/>
      <c r="AB13" s="129"/>
      <c r="AC13" s="129"/>
      <c r="AD13" s="128"/>
      <c r="AE13" s="129"/>
      <c r="AF13" s="129"/>
      <c r="AG13" s="129"/>
      <c r="AH13" s="129"/>
      <c r="AI13" s="129"/>
      <c r="AJ13" s="129"/>
      <c r="AK13" s="129"/>
      <c r="AL13" s="129"/>
      <c r="AM13" s="128"/>
      <c r="AN13" s="124"/>
      <c r="AO13" s="130"/>
      <c r="AP13" s="130"/>
      <c r="AQ13" s="130"/>
      <c r="AR13" s="130"/>
      <c r="AS13" s="131"/>
      <c r="AT13" s="131"/>
      <c r="AU13" s="131"/>
      <c r="AV13" s="130"/>
      <c r="AW13" s="130"/>
      <c r="AY13" s="127"/>
      <c r="AZ13" s="127"/>
      <c r="BA13" s="127"/>
      <c r="BB13" s="127"/>
      <c r="BC13" s="127"/>
      <c r="BD13" s="124"/>
      <c r="BF13" s="129"/>
      <c r="BG13" s="129"/>
      <c r="BH13" s="129"/>
      <c r="BI13" s="129"/>
      <c r="BJ13" s="129"/>
      <c r="BK13" s="129"/>
      <c r="BL13" s="129"/>
    </row>
    <row r="14" spans="1:64" s="125" customFormat="1" ht="17.25" thickBot="1" x14ac:dyDescent="0.35">
      <c r="A14" s="123"/>
      <c r="B14" s="123"/>
      <c r="L14" s="127"/>
      <c r="M14" s="127"/>
      <c r="N14" s="127"/>
      <c r="O14" s="127"/>
      <c r="P14" s="127"/>
      <c r="Q14" s="127"/>
      <c r="R14" s="127"/>
      <c r="S14" s="127"/>
      <c r="T14" s="127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O14" s="130"/>
      <c r="AP14" s="130"/>
      <c r="AQ14" s="130"/>
      <c r="AR14" s="130"/>
      <c r="AS14" s="131"/>
      <c r="AT14" s="131"/>
      <c r="AU14" s="131"/>
      <c r="AV14" s="130"/>
      <c r="AW14" s="130"/>
      <c r="AY14" s="127"/>
      <c r="AZ14" s="127"/>
      <c r="BA14" s="127"/>
      <c r="BB14" s="127"/>
      <c r="BC14" s="127"/>
      <c r="BF14" s="129"/>
      <c r="BG14" s="129"/>
      <c r="BH14" s="129"/>
      <c r="BI14" s="129"/>
      <c r="BJ14" s="129"/>
      <c r="BK14" s="129"/>
      <c r="BL14" s="129"/>
    </row>
    <row r="15" spans="1:64" s="11" customFormat="1" ht="17.25" customHeight="1" thickBot="1" x14ac:dyDescent="0.35">
      <c r="A15" s="132" t="s">
        <v>53</v>
      </c>
      <c r="B15" s="133" t="s">
        <v>54</v>
      </c>
      <c r="C15" s="20" t="s">
        <v>5</v>
      </c>
      <c r="D15" s="21"/>
      <c r="E15" s="21"/>
      <c r="F15" s="21"/>
      <c r="G15" s="21"/>
      <c r="H15" s="21"/>
      <c r="I15" s="21"/>
      <c r="J15" s="21"/>
      <c r="K15" s="21"/>
      <c r="L15" s="22" t="s">
        <v>6</v>
      </c>
      <c r="M15" s="23"/>
      <c r="N15" s="23"/>
      <c r="O15" s="23"/>
      <c r="P15" s="23"/>
      <c r="Q15" s="23"/>
      <c r="R15" s="23"/>
      <c r="S15" s="23"/>
      <c r="T15" s="23"/>
      <c r="U15" s="24" t="s">
        <v>7</v>
      </c>
      <c r="V15" s="25"/>
      <c r="W15" s="25"/>
      <c r="X15" s="25"/>
      <c r="Y15" s="25"/>
      <c r="Z15" s="25"/>
      <c r="AA15" s="25"/>
      <c r="AB15" s="25"/>
      <c r="AC15" s="25"/>
      <c r="AD15" s="26" t="s">
        <v>8</v>
      </c>
      <c r="AE15" s="25"/>
      <c r="AF15" s="25"/>
      <c r="AG15" s="25"/>
      <c r="AH15" s="25"/>
      <c r="AI15" s="25"/>
      <c r="AJ15" s="25"/>
      <c r="AK15" s="25"/>
      <c r="AL15" s="25"/>
      <c r="AM15" s="26" t="s">
        <v>9</v>
      </c>
      <c r="AN15" s="24" t="s">
        <v>10</v>
      </c>
      <c r="AO15" s="27" t="s">
        <v>11</v>
      </c>
      <c r="AP15" s="28" t="s">
        <v>12</v>
      </c>
      <c r="AQ15" s="29" t="s">
        <v>13</v>
      </c>
      <c r="AR15" s="29" t="s">
        <v>14</v>
      </c>
      <c r="AS15" s="30" t="s">
        <v>15</v>
      </c>
      <c r="AT15" s="27" t="s">
        <v>16</v>
      </c>
      <c r="AU15" s="28" t="s">
        <v>17</v>
      </c>
      <c r="AV15" s="29" t="s">
        <v>18</v>
      </c>
      <c r="AW15" s="29" t="s">
        <v>19</v>
      </c>
      <c r="AX15" s="31" t="s">
        <v>20</v>
      </c>
      <c r="AY15" s="32" t="s">
        <v>21</v>
      </c>
      <c r="AZ15" s="33" t="s">
        <v>55</v>
      </c>
      <c r="BA15" s="34"/>
      <c r="BB15" s="34"/>
      <c r="BC15" s="34"/>
      <c r="BD15" s="25" t="s">
        <v>23</v>
      </c>
      <c r="BE15" s="35" t="s">
        <v>24</v>
      </c>
      <c r="BF15" s="24" t="s">
        <v>25</v>
      </c>
      <c r="BG15" s="26" t="s">
        <v>26</v>
      </c>
      <c r="BH15" s="26" t="s">
        <v>27</v>
      </c>
      <c r="BI15" s="26" t="s">
        <v>28</v>
      </c>
      <c r="BJ15" s="26" t="s">
        <v>29</v>
      </c>
      <c r="BK15" s="26" t="s">
        <v>30</v>
      </c>
      <c r="BL15" s="36" t="s">
        <v>31</v>
      </c>
    </row>
    <row r="16" spans="1:64" s="62" customFormat="1" ht="35.25" thickBot="1" x14ac:dyDescent="0.35">
      <c r="A16" s="134"/>
      <c r="B16" s="135"/>
      <c r="C16" s="39" t="s">
        <v>32</v>
      </c>
      <c r="D16" s="40" t="s">
        <v>33</v>
      </c>
      <c r="E16" s="41" t="s">
        <v>34</v>
      </c>
      <c r="F16" s="41" t="s">
        <v>35</v>
      </c>
      <c r="G16" s="41" t="s">
        <v>36</v>
      </c>
      <c r="H16" s="41" t="s">
        <v>37</v>
      </c>
      <c r="I16" s="41" t="s">
        <v>38</v>
      </c>
      <c r="J16" s="41" t="s">
        <v>39</v>
      </c>
      <c r="K16" s="41" t="s">
        <v>40</v>
      </c>
      <c r="L16" s="42" t="s">
        <v>41</v>
      </c>
      <c r="M16" s="43" t="s">
        <v>33</v>
      </c>
      <c r="N16" s="44" t="s">
        <v>34</v>
      </c>
      <c r="O16" s="44" t="s">
        <v>35</v>
      </c>
      <c r="P16" s="44" t="s">
        <v>36</v>
      </c>
      <c r="Q16" s="44" t="s">
        <v>37</v>
      </c>
      <c r="R16" s="44" t="s">
        <v>38</v>
      </c>
      <c r="S16" s="44" t="s">
        <v>39</v>
      </c>
      <c r="T16" s="45" t="s">
        <v>40</v>
      </c>
      <c r="U16" s="46" t="s">
        <v>42</v>
      </c>
      <c r="V16" s="47" t="s">
        <v>33</v>
      </c>
      <c r="W16" s="48" t="s">
        <v>34</v>
      </c>
      <c r="X16" s="48" t="s">
        <v>35</v>
      </c>
      <c r="Y16" s="48" t="s">
        <v>36</v>
      </c>
      <c r="Z16" s="48" t="s">
        <v>37</v>
      </c>
      <c r="AA16" s="48" t="s">
        <v>38</v>
      </c>
      <c r="AB16" s="48" t="s">
        <v>39</v>
      </c>
      <c r="AC16" s="48" t="s">
        <v>40</v>
      </c>
      <c r="AD16" s="46" t="s">
        <v>43</v>
      </c>
      <c r="AE16" s="47" t="s">
        <v>33</v>
      </c>
      <c r="AF16" s="48" t="s">
        <v>34</v>
      </c>
      <c r="AG16" s="48" t="s">
        <v>35</v>
      </c>
      <c r="AH16" s="48" t="s">
        <v>36</v>
      </c>
      <c r="AI16" s="48" t="s">
        <v>37</v>
      </c>
      <c r="AJ16" s="48" t="s">
        <v>38</v>
      </c>
      <c r="AK16" s="48" t="s">
        <v>39</v>
      </c>
      <c r="AL16" s="48" t="s">
        <v>40</v>
      </c>
      <c r="AM16" s="49"/>
      <c r="AN16" s="50"/>
      <c r="AO16" s="51"/>
      <c r="AP16" s="52"/>
      <c r="AQ16" s="53"/>
      <c r="AR16" s="53"/>
      <c r="AS16" s="54"/>
      <c r="AT16" s="51"/>
      <c r="AU16" s="52"/>
      <c r="AV16" s="53"/>
      <c r="AW16" s="53"/>
      <c r="AX16" s="55"/>
      <c r="AY16" s="56"/>
      <c r="AZ16" s="57" t="s">
        <v>44</v>
      </c>
      <c r="BA16" s="57" t="s">
        <v>45</v>
      </c>
      <c r="BB16" s="57" t="s">
        <v>46</v>
      </c>
      <c r="BC16" s="58" t="s">
        <v>47</v>
      </c>
      <c r="BD16" s="59"/>
      <c r="BE16" s="60"/>
      <c r="BF16" s="50"/>
      <c r="BG16" s="49"/>
      <c r="BH16" s="49"/>
      <c r="BI16" s="49"/>
      <c r="BJ16" s="49"/>
      <c r="BK16" s="49"/>
      <c r="BL16" s="61"/>
    </row>
    <row r="17" spans="1:64" outlineLevel="5" x14ac:dyDescent="0.3">
      <c r="A17" s="136">
        <f>MONTH(B17)</f>
        <v>1</v>
      </c>
      <c r="B17" s="137">
        <v>44197</v>
      </c>
      <c r="C17" s="138">
        <f>IFERROR(ROUND(AVERAGE(D17:K17),1),"")</f>
        <v>39</v>
      </c>
      <c r="D17" s="84">
        <v>39</v>
      </c>
      <c r="E17" s="84">
        <v>39</v>
      </c>
      <c r="F17" s="84"/>
      <c r="G17" s="84"/>
      <c r="H17" s="139"/>
      <c r="I17" s="139"/>
      <c r="J17" s="139"/>
      <c r="K17" s="139"/>
      <c r="L17" s="140" t="str">
        <f>IFERROR(ROUND(AVERAGE(M17:T17),1),"")</f>
        <v/>
      </c>
      <c r="M17" s="86"/>
      <c r="N17" s="86"/>
      <c r="O17" s="86"/>
      <c r="P17" s="86"/>
      <c r="Q17" s="141"/>
      <c r="R17" s="141"/>
      <c r="S17" s="141"/>
      <c r="T17" s="141"/>
      <c r="U17" s="142" t="str">
        <f>IFERROR(ROUND(AVERAGE(V17:AC17),1),"")</f>
        <v/>
      </c>
      <c r="V17" s="143"/>
      <c r="W17" s="143"/>
      <c r="X17" s="143"/>
      <c r="Y17" s="143"/>
      <c r="Z17" s="143"/>
      <c r="AA17" s="143"/>
      <c r="AB17" s="143"/>
      <c r="AC17" s="143"/>
      <c r="AD17" s="142" t="str">
        <f>IFERROR(ROUND(AVERAGE(AE17:AL17),1),"")</f>
        <v/>
      </c>
      <c r="AE17" s="143"/>
      <c r="AF17" s="143"/>
      <c r="AG17" s="143"/>
      <c r="AH17" s="143"/>
      <c r="AI17" s="143"/>
      <c r="AJ17" s="143"/>
      <c r="AK17" s="143"/>
      <c r="AL17" s="143"/>
      <c r="AM17" s="143">
        <v>60.512820512820511</v>
      </c>
      <c r="AN17" s="88">
        <v>78</v>
      </c>
      <c r="AO17" s="144"/>
      <c r="AP17" s="145"/>
      <c r="AQ17" s="146" t="str">
        <f>IFERROR(AP17/AO17*100,"")</f>
        <v/>
      </c>
      <c r="AR17" s="146" t="str">
        <f>IFERROR(100-AQ17,"")</f>
        <v/>
      </c>
      <c r="AS17" s="147">
        <v>0</v>
      </c>
      <c r="AT17" s="148" t="s">
        <v>56</v>
      </c>
      <c r="AU17" s="149" t="s">
        <v>56</v>
      </c>
      <c r="AV17" s="146" t="str">
        <f>IFERROR(AU17/AT17*100,"")</f>
        <v/>
      </c>
      <c r="AW17" s="146" t="str">
        <f>IFERROR(100-AV17,"")</f>
        <v/>
      </c>
      <c r="AX17" s="138" t="str">
        <f>IFERROR((1-((AV17*AR17)/(AW17*AQ17)))*100,"")</f>
        <v/>
      </c>
      <c r="AY17" s="95"/>
      <c r="AZ17" s="150" t="s">
        <v>56</v>
      </c>
      <c r="BA17" s="150"/>
      <c r="BB17" s="150" t="s">
        <v>56</v>
      </c>
      <c r="BC17" s="150"/>
      <c r="BD17" s="97">
        <v>78</v>
      </c>
      <c r="BE17" s="142">
        <f>IF(SUM(BF17:BL17)=0,"",SUM(BF17:BL17))</f>
        <v>2625</v>
      </c>
      <c r="BF17" s="98">
        <v>71</v>
      </c>
      <c r="BG17" s="98">
        <v>0</v>
      </c>
      <c r="BH17" s="98">
        <v>2554</v>
      </c>
      <c r="BI17" s="98">
        <v>0</v>
      </c>
      <c r="BJ17" s="98"/>
      <c r="BK17" s="98"/>
      <c r="BL17" s="151"/>
    </row>
    <row r="18" spans="1:64" outlineLevel="5" x14ac:dyDescent="0.3">
      <c r="A18" s="152">
        <f t="shared" ref="A18:A90" si="5">MONTH(B18)</f>
        <v>1</v>
      </c>
      <c r="B18" s="153">
        <f>B17+1</f>
        <v>44198</v>
      </c>
      <c r="C18" s="138">
        <f t="shared" ref="C18:C47" si="6">IFERROR(ROUND(AVERAGE(D18:K18),1),"")</f>
        <v>39</v>
      </c>
      <c r="D18" s="84">
        <v>39</v>
      </c>
      <c r="E18" s="84">
        <v>39</v>
      </c>
      <c r="F18" s="84"/>
      <c r="G18" s="84"/>
      <c r="H18" s="84"/>
      <c r="I18" s="84"/>
      <c r="J18" s="84"/>
      <c r="K18" s="84"/>
      <c r="L18" s="140" t="str">
        <f t="shared" ref="L18:L47" si="7">IFERROR(ROUND(AVERAGE(M18:T18),1),"")</f>
        <v/>
      </c>
      <c r="M18" s="86"/>
      <c r="N18" s="86"/>
      <c r="O18" s="86"/>
      <c r="P18" s="86"/>
      <c r="Q18" s="86"/>
      <c r="R18" s="86"/>
      <c r="S18" s="86"/>
      <c r="T18" s="86"/>
      <c r="U18" s="142" t="str">
        <f t="shared" ref="U18:U47" si="8">IFERROR(ROUND(AVERAGE(V18:AC18),1),"")</f>
        <v/>
      </c>
      <c r="V18" s="88"/>
      <c r="W18" s="88"/>
      <c r="X18" s="88"/>
      <c r="Y18" s="88"/>
      <c r="Z18" s="88"/>
      <c r="AA18" s="88"/>
      <c r="AB18" s="88"/>
      <c r="AC18" s="88"/>
      <c r="AD18" s="142" t="str">
        <f t="shared" ref="AD18:AD47" si="9">IFERROR(ROUND(AVERAGE(AE18:AL18),1),"")</f>
        <v/>
      </c>
      <c r="AE18" s="88"/>
      <c r="AF18" s="88"/>
      <c r="AG18" s="88"/>
      <c r="AH18" s="88"/>
      <c r="AI18" s="88"/>
      <c r="AJ18" s="88"/>
      <c r="AK18" s="88"/>
      <c r="AL18" s="88"/>
      <c r="AM18" s="143">
        <v>47.209441888377683</v>
      </c>
      <c r="AN18" s="88">
        <v>99.97999999999999</v>
      </c>
      <c r="AO18" s="144"/>
      <c r="AP18" s="145"/>
      <c r="AQ18" s="146" t="str">
        <f>IFERROR(AP18/AO18*100,"")</f>
        <v/>
      </c>
      <c r="AR18" s="146" t="str">
        <f>IFERROR(100-AQ18,"")</f>
        <v/>
      </c>
      <c r="AS18" s="147">
        <v>0</v>
      </c>
      <c r="AT18" s="148" t="s">
        <v>56</v>
      </c>
      <c r="AU18" s="149" t="s">
        <v>56</v>
      </c>
      <c r="AV18" s="146" t="str">
        <f>IFERROR(AU18/AT18*100,"")</f>
        <v/>
      </c>
      <c r="AW18" s="146" t="str">
        <f>IFERROR(100-AV18,"")</f>
        <v/>
      </c>
      <c r="AX18" s="138" t="str">
        <f t="shared" ref="AX18:AX47" si="10">IFERROR((1-((AV18*AR18)/(AW18*AQ18)))*100,"")</f>
        <v/>
      </c>
      <c r="AY18" s="95"/>
      <c r="AZ18" s="96" t="s">
        <v>56</v>
      </c>
      <c r="BA18" s="96"/>
      <c r="BB18" s="96" t="s">
        <v>56</v>
      </c>
      <c r="BC18" s="96"/>
      <c r="BD18" s="97">
        <v>99.97999999999999</v>
      </c>
      <c r="BE18" s="142">
        <f t="shared" ref="BE18:BE47" si="11">IF(SUM(BF18:BL18)=0,"",SUM(BF18:BL18))</f>
        <v>51</v>
      </c>
      <c r="BF18" s="98">
        <v>51</v>
      </c>
      <c r="BG18" s="98">
        <v>0</v>
      </c>
      <c r="BH18" s="98">
        <v>0</v>
      </c>
      <c r="BI18" s="98">
        <v>0</v>
      </c>
      <c r="BJ18" s="98"/>
      <c r="BK18" s="98"/>
      <c r="BL18" s="97"/>
    </row>
    <row r="19" spans="1:64" outlineLevel="5" x14ac:dyDescent="0.3">
      <c r="A19" s="152">
        <f t="shared" si="5"/>
        <v>1</v>
      </c>
      <c r="B19" s="153">
        <f t="shared" ref="B19:B79" si="12">B18+1</f>
        <v>44199</v>
      </c>
      <c r="C19" s="138">
        <f t="shared" si="6"/>
        <v>39</v>
      </c>
      <c r="D19" s="84">
        <v>39</v>
      </c>
      <c r="E19" s="84">
        <v>39</v>
      </c>
      <c r="F19" s="84"/>
      <c r="G19" s="84"/>
      <c r="H19" s="84"/>
      <c r="I19" s="84"/>
      <c r="J19" s="84"/>
      <c r="K19" s="84"/>
      <c r="L19" s="140" t="str">
        <f t="shared" si="7"/>
        <v/>
      </c>
      <c r="M19" s="86"/>
      <c r="N19" s="86"/>
      <c r="O19" s="86"/>
      <c r="P19" s="86"/>
      <c r="Q19" s="86"/>
      <c r="R19" s="86"/>
      <c r="S19" s="86"/>
      <c r="T19" s="86"/>
      <c r="U19" s="142" t="str">
        <f t="shared" si="8"/>
        <v/>
      </c>
      <c r="V19" s="88"/>
      <c r="W19" s="88"/>
      <c r="X19" s="88"/>
      <c r="Y19" s="88"/>
      <c r="Z19" s="88"/>
      <c r="AA19" s="88"/>
      <c r="AB19" s="88"/>
      <c r="AC19" s="88"/>
      <c r="AD19" s="142" t="str">
        <f t="shared" si="9"/>
        <v/>
      </c>
      <c r="AE19" s="88"/>
      <c r="AF19" s="88"/>
      <c r="AG19" s="88"/>
      <c r="AH19" s="88"/>
      <c r="AI19" s="88"/>
      <c r="AJ19" s="88"/>
      <c r="AK19" s="88"/>
      <c r="AL19" s="88"/>
      <c r="AM19" s="143">
        <v>59</v>
      </c>
      <c r="AN19" s="88">
        <v>80</v>
      </c>
      <c r="AO19" s="144"/>
      <c r="AP19" s="145"/>
      <c r="AQ19" s="146" t="str">
        <f>IFERROR(AP19/AO19*100,"")</f>
        <v/>
      </c>
      <c r="AR19" s="146" t="str">
        <f>IFERROR(100-AQ19,"")</f>
        <v/>
      </c>
      <c r="AS19" s="147">
        <v>0</v>
      </c>
      <c r="AT19" s="148" t="s">
        <v>56</v>
      </c>
      <c r="AU19" s="149" t="s">
        <v>56</v>
      </c>
      <c r="AV19" s="146" t="str">
        <f>IFERROR(AU19/AT19*100,"")</f>
        <v/>
      </c>
      <c r="AW19" s="146" t="str">
        <f>IFERROR(100-AV19,"")</f>
        <v/>
      </c>
      <c r="AX19" s="138" t="str">
        <f t="shared" si="10"/>
        <v/>
      </c>
      <c r="AY19" s="95"/>
      <c r="AZ19" s="96" t="s">
        <v>56</v>
      </c>
      <c r="BA19" s="96"/>
      <c r="BB19" s="96" t="s">
        <v>56</v>
      </c>
      <c r="BC19" s="96"/>
      <c r="BD19" s="97">
        <v>80</v>
      </c>
      <c r="BE19" s="142">
        <f t="shared" si="11"/>
        <v>100</v>
      </c>
      <c r="BF19" s="98">
        <v>58</v>
      </c>
      <c r="BG19" s="98">
        <v>0</v>
      </c>
      <c r="BH19" s="98">
        <v>42</v>
      </c>
      <c r="BI19" s="98">
        <v>0</v>
      </c>
      <c r="BJ19" s="98"/>
      <c r="BK19" s="98"/>
      <c r="BL19" s="97"/>
    </row>
    <row r="20" spans="1:64" outlineLevel="5" x14ac:dyDescent="0.3">
      <c r="A20" s="152">
        <f t="shared" si="5"/>
        <v>1</v>
      </c>
      <c r="B20" s="153">
        <f t="shared" si="12"/>
        <v>44200</v>
      </c>
      <c r="C20" s="138">
        <f t="shared" si="6"/>
        <v>40</v>
      </c>
      <c r="D20" s="84">
        <v>39</v>
      </c>
      <c r="E20" s="84">
        <v>41</v>
      </c>
      <c r="F20" s="84"/>
      <c r="G20" s="84"/>
      <c r="H20" s="84"/>
      <c r="I20" s="84"/>
      <c r="J20" s="84"/>
      <c r="K20" s="84"/>
      <c r="L20" s="140">
        <f t="shared" si="7"/>
        <v>7.8</v>
      </c>
      <c r="M20" s="86">
        <v>7.8</v>
      </c>
      <c r="N20" s="86">
        <v>7.7</v>
      </c>
      <c r="O20" s="86"/>
      <c r="P20" s="86"/>
      <c r="Q20" s="86"/>
      <c r="R20" s="86"/>
      <c r="S20" s="86"/>
      <c r="T20" s="86"/>
      <c r="U20" s="142">
        <f t="shared" si="8"/>
        <v>778.5</v>
      </c>
      <c r="V20" s="88">
        <v>865</v>
      </c>
      <c r="W20" s="88">
        <v>692</v>
      </c>
      <c r="X20" s="88"/>
      <c r="Y20" s="88"/>
      <c r="Z20" s="88"/>
      <c r="AA20" s="88"/>
      <c r="AB20" s="88"/>
      <c r="AC20" s="88"/>
      <c r="AD20" s="142" t="str">
        <f t="shared" si="9"/>
        <v/>
      </c>
      <c r="AE20" s="88"/>
      <c r="AF20" s="88"/>
      <c r="AG20" s="88"/>
      <c r="AH20" s="88"/>
      <c r="AI20" s="88"/>
      <c r="AJ20" s="88"/>
      <c r="AK20" s="88"/>
      <c r="AL20" s="88"/>
      <c r="AM20" s="143">
        <v>38.336582196231319</v>
      </c>
      <c r="AN20" s="88">
        <v>123.12</v>
      </c>
      <c r="AO20" s="144">
        <v>26.8</v>
      </c>
      <c r="AP20" s="145">
        <v>24.254000000000001</v>
      </c>
      <c r="AQ20" s="146">
        <f>IFERROR(AP20/AO20*100,"")</f>
        <v>90.5</v>
      </c>
      <c r="AR20" s="146">
        <f>IFERROR(100-AQ20,"")</f>
        <v>9.5</v>
      </c>
      <c r="AS20" s="147">
        <v>40</v>
      </c>
      <c r="AT20" s="148">
        <v>17.25</v>
      </c>
      <c r="AU20" s="149">
        <v>9.4499999999999993</v>
      </c>
      <c r="AV20" s="146">
        <f>IFERROR(AU20/AT20*100,"")</f>
        <v>54.782608695652172</v>
      </c>
      <c r="AW20" s="146">
        <f>IFERROR(100-AV20,"")</f>
        <v>45.217391304347828</v>
      </c>
      <c r="AX20" s="138">
        <f t="shared" si="10"/>
        <v>87.282192945176376</v>
      </c>
      <c r="AY20" s="95">
        <v>75.900000000000006</v>
      </c>
      <c r="AZ20" s="96">
        <v>59.335000000000001</v>
      </c>
      <c r="BA20" s="96"/>
      <c r="BB20" s="96">
        <v>159</v>
      </c>
      <c r="BC20" s="96"/>
      <c r="BD20" s="97">
        <v>123.12</v>
      </c>
      <c r="BE20" s="142">
        <f t="shared" si="11"/>
        <v>2425</v>
      </c>
      <c r="BF20" s="98">
        <v>35</v>
      </c>
      <c r="BG20" s="98">
        <v>0</v>
      </c>
      <c r="BH20" s="98">
        <v>2390</v>
      </c>
      <c r="BI20" s="98">
        <v>0</v>
      </c>
      <c r="BJ20" s="98"/>
      <c r="BK20" s="98"/>
      <c r="BL20" s="97"/>
    </row>
    <row r="21" spans="1:64" outlineLevel="5" x14ac:dyDescent="0.3">
      <c r="A21" s="152">
        <f t="shared" si="5"/>
        <v>1</v>
      </c>
      <c r="B21" s="153">
        <f t="shared" si="12"/>
        <v>44201</v>
      </c>
      <c r="C21" s="138">
        <f t="shared" si="6"/>
        <v>40</v>
      </c>
      <c r="D21" s="84">
        <v>40</v>
      </c>
      <c r="E21" s="84">
        <v>40</v>
      </c>
      <c r="F21" s="84"/>
      <c r="G21" s="84"/>
      <c r="H21" s="84"/>
      <c r="I21" s="84"/>
      <c r="J21" s="84"/>
      <c r="K21" s="84"/>
      <c r="L21" s="140" t="str">
        <f t="shared" si="7"/>
        <v/>
      </c>
      <c r="M21" s="86" t="s">
        <v>56</v>
      </c>
      <c r="N21" s="86" t="s">
        <v>56</v>
      </c>
      <c r="O21" s="86"/>
      <c r="P21" s="86"/>
      <c r="Q21" s="86"/>
      <c r="R21" s="86"/>
      <c r="S21" s="86"/>
      <c r="T21" s="86"/>
      <c r="U21" s="142" t="str">
        <f t="shared" si="8"/>
        <v/>
      </c>
      <c r="V21" s="88" t="s">
        <v>56</v>
      </c>
      <c r="W21" s="88" t="s">
        <v>56</v>
      </c>
      <c r="X21" s="88"/>
      <c r="Y21" s="88"/>
      <c r="Z21" s="88"/>
      <c r="AA21" s="88"/>
      <c r="AB21" s="88"/>
      <c r="AC21" s="88"/>
      <c r="AD21" s="142" t="str">
        <f t="shared" si="9"/>
        <v/>
      </c>
      <c r="AE21" s="88"/>
      <c r="AF21" s="88"/>
      <c r="AG21" s="88"/>
      <c r="AH21" s="88"/>
      <c r="AI21" s="88"/>
      <c r="AJ21" s="88"/>
      <c r="AK21" s="88"/>
      <c r="AL21" s="88"/>
      <c r="AM21" s="143">
        <v>34.89833641404806</v>
      </c>
      <c r="AN21" s="88">
        <v>135.25</v>
      </c>
      <c r="AO21" s="89" t="s">
        <v>56</v>
      </c>
      <c r="AP21" s="90" t="s">
        <v>56</v>
      </c>
      <c r="AQ21" s="146" t="str">
        <f t="shared" ref="AQ21:AQ47" si="13">IFERROR(AP21/AO21*100,"")</f>
        <v/>
      </c>
      <c r="AR21" s="146" t="str">
        <f t="shared" ref="AR21:AR47" si="14">IFERROR(100-AQ21,"")</f>
        <v/>
      </c>
      <c r="AS21" s="147">
        <v>40</v>
      </c>
      <c r="AT21" s="93" t="s">
        <v>56</v>
      </c>
      <c r="AU21" s="94" t="s">
        <v>56</v>
      </c>
      <c r="AV21" s="146" t="str">
        <f t="shared" ref="AV21:AV47" si="15">IFERROR(AU21/AT21*100,"")</f>
        <v/>
      </c>
      <c r="AW21" s="146" t="str">
        <f t="shared" ref="AW21:AW47" si="16">IFERROR(100-AV21,"")</f>
        <v/>
      </c>
      <c r="AX21" s="138" t="str">
        <f t="shared" si="10"/>
        <v/>
      </c>
      <c r="AY21" s="95" t="s">
        <v>56</v>
      </c>
      <c r="AZ21" s="96">
        <v>56.284999999999997</v>
      </c>
      <c r="BA21" s="96"/>
      <c r="BB21" s="96">
        <v>124.5</v>
      </c>
      <c r="BC21" s="96"/>
      <c r="BD21" s="97">
        <v>135.25</v>
      </c>
      <c r="BE21" s="142">
        <f t="shared" si="11"/>
        <v>5660</v>
      </c>
      <c r="BF21" s="98">
        <v>34</v>
      </c>
      <c r="BG21" s="98">
        <v>0</v>
      </c>
      <c r="BH21" s="98">
        <v>5626</v>
      </c>
      <c r="BI21" s="98">
        <v>0</v>
      </c>
      <c r="BJ21" s="98"/>
      <c r="BK21" s="98"/>
      <c r="BL21" s="97"/>
    </row>
    <row r="22" spans="1:64" outlineLevel="5" x14ac:dyDescent="0.3">
      <c r="A22" s="152">
        <f t="shared" si="5"/>
        <v>1</v>
      </c>
      <c r="B22" s="153">
        <f t="shared" si="12"/>
        <v>44202</v>
      </c>
      <c r="C22" s="138">
        <f t="shared" si="6"/>
        <v>40</v>
      </c>
      <c r="D22" s="84">
        <v>40</v>
      </c>
      <c r="E22" s="84">
        <v>40</v>
      </c>
      <c r="F22" s="84"/>
      <c r="G22" s="84"/>
      <c r="H22" s="84"/>
      <c r="I22" s="84"/>
      <c r="J22" s="84"/>
      <c r="K22" s="84"/>
      <c r="L22" s="140">
        <f t="shared" si="7"/>
        <v>7.8</v>
      </c>
      <c r="M22" s="86">
        <v>7.82</v>
      </c>
      <c r="N22" s="86">
        <v>7.69</v>
      </c>
      <c r="O22" s="86"/>
      <c r="P22" s="86"/>
      <c r="Q22" s="86"/>
      <c r="R22" s="86"/>
      <c r="S22" s="86"/>
      <c r="T22" s="86"/>
      <c r="U22" s="142">
        <f t="shared" si="8"/>
        <v>1038.0999999999999</v>
      </c>
      <c r="V22" s="88">
        <v>1081.3</v>
      </c>
      <c r="W22" s="88">
        <v>994.8</v>
      </c>
      <c r="X22" s="88"/>
      <c r="Y22" s="88"/>
      <c r="Z22" s="88"/>
      <c r="AA22" s="88"/>
      <c r="AB22" s="88"/>
      <c r="AC22" s="88"/>
      <c r="AD22" s="142" t="str">
        <f t="shared" si="9"/>
        <v/>
      </c>
      <c r="AE22" s="88"/>
      <c r="AF22" s="88"/>
      <c r="AG22" s="88"/>
      <c r="AH22" s="88"/>
      <c r="AI22" s="88"/>
      <c r="AJ22" s="88"/>
      <c r="AK22" s="88"/>
      <c r="AL22" s="88"/>
      <c r="AM22" s="143">
        <v>34.29734050283389</v>
      </c>
      <c r="AN22" s="88">
        <v>137.62</v>
      </c>
      <c r="AO22" s="89" t="s">
        <v>56</v>
      </c>
      <c r="AP22" s="90"/>
      <c r="AQ22" s="146" t="str">
        <f t="shared" si="13"/>
        <v/>
      </c>
      <c r="AR22" s="146" t="str">
        <f t="shared" si="14"/>
        <v/>
      </c>
      <c r="AS22" s="147">
        <v>40</v>
      </c>
      <c r="AT22" s="93">
        <v>17.899999999999999</v>
      </c>
      <c r="AU22" s="94">
        <v>9.4499999999999993</v>
      </c>
      <c r="AV22" s="146">
        <f t="shared" si="15"/>
        <v>52.793296089385478</v>
      </c>
      <c r="AW22" s="146">
        <f t="shared" si="16"/>
        <v>47.206703910614522</v>
      </c>
      <c r="AX22" s="138" t="str">
        <f t="shared" si="10"/>
        <v/>
      </c>
      <c r="AY22" s="95">
        <v>75.7</v>
      </c>
      <c r="AZ22" s="96">
        <v>56.239999999999995</v>
      </c>
      <c r="BA22" s="96"/>
      <c r="BB22" s="96">
        <v>130.5</v>
      </c>
      <c r="BC22" s="96"/>
      <c r="BD22" s="97">
        <v>137.62</v>
      </c>
      <c r="BE22" s="142">
        <f t="shared" si="11"/>
        <v>7394</v>
      </c>
      <c r="BF22" s="98">
        <v>20</v>
      </c>
      <c r="BG22" s="98">
        <v>0</v>
      </c>
      <c r="BH22" s="98">
        <v>7374</v>
      </c>
      <c r="BI22" s="98">
        <v>0</v>
      </c>
      <c r="BJ22" s="98"/>
      <c r="BK22" s="98"/>
      <c r="BL22" s="97"/>
    </row>
    <row r="23" spans="1:64" outlineLevel="5" x14ac:dyDescent="0.3">
      <c r="A23" s="152">
        <f t="shared" si="5"/>
        <v>1</v>
      </c>
      <c r="B23" s="153">
        <f t="shared" si="12"/>
        <v>44203</v>
      </c>
      <c r="C23" s="138">
        <f t="shared" si="6"/>
        <v>40</v>
      </c>
      <c r="D23" s="84">
        <v>40</v>
      </c>
      <c r="E23" s="84">
        <v>40</v>
      </c>
      <c r="F23" s="84"/>
      <c r="G23" s="84"/>
      <c r="H23" s="84"/>
      <c r="I23" s="84"/>
      <c r="J23" s="84"/>
      <c r="K23" s="84"/>
      <c r="L23" s="140" t="str">
        <f t="shared" si="7"/>
        <v/>
      </c>
      <c r="M23" s="86"/>
      <c r="N23" s="86"/>
      <c r="O23" s="86"/>
      <c r="P23" s="86"/>
      <c r="Q23" s="86"/>
      <c r="R23" s="86"/>
      <c r="S23" s="86"/>
      <c r="T23" s="86"/>
      <c r="U23" s="142" t="str">
        <f t="shared" si="8"/>
        <v/>
      </c>
      <c r="V23" s="88"/>
      <c r="W23" s="88"/>
      <c r="X23" s="88"/>
      <c r="Y23" s="88"/>
      <c r="Z23" s="88"/>
      <c r="AA23" s="88"/>
      <c r="AB23" s="88"/>
      <c r="AC23" s="88"/>
      <c r="AD23" s="142" t="str">
        <f t="shared" si="9"/>
        <v/>
      </c>
      <c r="AE23" s="88"/>
      <c r="AF23" s="88"/>
      <c r="AG23" s="88"/>
      <c r="AH23" s="88"/>
      <c r="AI23" s="88"/>
      <c r="AJ23" s="88"/>
      <c r="AK23" s="88"/>
      <c r="AL23" s="88"/>
      <c r="AM23" s="143">
        <v>35.942735303076454</v>
      </c>
      <c r="AN23" s="88">
        <v>131.32</v>
      </c>
      <c r="AO23" s="89"/>
      <c r="AP23" s="90"/>
      <c r="AQ23" s="146" t="str">
        <f t="shared" si="13"/>
        <v/>
      </c>
      <c r="AR23" s="146" t="str">
        <f t="shared" si="14"/>
        <v/>
      </c>
      <c r="AS23" s="147">
        <v>0</v>
      </c>
      <c r="AT23" s="93" t="s">
        <v>56</v>
      </c>
      <c r="AU23" s="94" t="s">
        <v>56</v>
      </c>
      <c r="AV23" s="146" t="str">
        <f t="shared" si="15"/>
        <v/>
      </c>
      <c r="AW23" s="146" t="str">
        <f t="shared" si="16"/>
        <v/>
      </c>
      <c r="AX23" s="138" t="str">
        <f t="shared" si="10"/>
        <v/>
      </c>
      <c r="AY23" s="95" t="s">
        <v>56</v>
      </c>
      <c r="AZ23" s="96">
        <v>56.96</v>
      </c>
      <c r="BA23" s="96"/>
      <c r="BB23" s="96">
        <v>124</v>
      </c>
      <c r="BC23" s="96"/>
      <c r="BD23" s="97">
        <v>131.32</v>
      </c>
      <c r="BE23" s="142">
        <f t="shared" si="11"/>
        <v>7851</v>
      </c>
      <c r="BF23" s="98">
        <v>62</v>
      </c>
      <c r="BG23" s="98">
        <v>0</v>
      </c>
      <c r="BH23" s="98">
        <v>7789</v>
      </c>
      <c r="BI23" s="98">
        <v>0</v>
      </c>
      <c r="BJ23" s="98"/>
      <c r="BK23" s="98"/>
      <c r="BL23" s="97"/>
    </row>
    <row r="24" spans="1:64" outlineLevel="5" x14ac:dyDescent="0.3">
      <c r="A24" s="152">
        <f t="shared" si="5"/>
        <v>1</v>
      </c>
      <c r="B24" s="153">
        <f t="shared" si="12"/>
        <v>44204</v>
      </c>
      <c r="C24" s="138">
        <f t="shared" si="6"/>
        <v>38</v>
      </c>
      <c r="D24" s="84">
        <v>38</v>
      </c>
      <c r="E24" s="84">
        <v>38</v>
      </c>
      <c r="F24" s="84"/>
      <c r="G24" s="84"/>
      <c r="H24" s="84"/>
      <c r="I24" s="84"/>
      <c r="J24" s="84"/>
      <c r="K24" s="84"/>
      <c r="L24" s="140" t="str">
        <f t="shared" si="7"/>
        <v/>
      </c>
      <c r="M24" s="86" t="s">
        <v>56</v>
      </c>
      <c r="N24" s="86" t="s">
        <v>56</v>
      </c>
      <c r="O24" s="86"/>
      <c r="P24" s="86"/>
      <c r="Q24" s="86"/>
      <c r="R24" s="86"/>
      <c r="S24" s="86"/>
      <c r="T24" s="86"/>
      <c r="U24" s="142" t="str">
        <f t="shared" si="8"/>
        <v/>
      </c>
      <c r="V24" s="88" t="s">
        <v>56</v>
      </c>
      <c r="W24" s="88" t="s">
        <v>56</v>
      </c>
      <c r="X24" s="88"/>
      <c r="Y24" s="88"/>
      <c r="Z24" s="88"/>
      <c r="AA24" s="88"/>
      <c r="AB24" s="88"/>
      <c r="AC24" s="88"/>
      <c r="AD24" s="142" t="str">
        <f t="shared" si="9"/>
        <v/>
      </c>
      <c r="AE24" s="88"/>
      <c r="AF24" s="88"/>
      <c r="AG24" s="88"/>
      <c r="AH24" s="88"/>
      <c r="AI24" s="88"/>
      <c r="AJ24" s="88"/>
      <c r="AK24" s="88"/>
      <c r="AL24" s="88"/>
      <c r="AM24" s="143">
        <v>51.231954846412677</v>
      </c>
      <c r="AN24" s="88">
        <v>92.13</v>
      </c>
      <c r="AO24" s="89" t="s">
        <v>56</v>
      </c>
      <c r="AP24" s="90"/>
      <c r="AQ24" s="146" t="str">
        <f t="shared" si="13"/>
        <v/>
      </c>
      <c r="AR24" s="146" t="str">
        <f t="shared" si="14"/>
        <v/>
      </c>
      <c r="AS24" s="147">
        <v>40</v>
      </c>
      <c r="AT24" s="93" t="s">
        <v>56</v>
      </c>
      <c r="AU24" s="94" t="s">
        <v>56</v>
      </c>
      <c r="AV24" s="146" t="str">
        <f t="shared" si="15"/>
        <v/>
      </c>
      <c r="AW24" s="146" t="str">
        <f t="shared" si="16"/>
        <v/>
      </c>
      <c r="AX24" s="138" t="str">
        <f t="shared" si="10"/>
        <v/>
      </c>
      <c r="AY24" s="95" t="s">
        <v>56</v>
      </c>
      <c r="AZ24" s="96">
        <v>57.475000000000001</v>
      </c>
      <c r="BA24" s="96"/>
      <c r="BB24" s="96">
        <v>105.5</v>
      </c>
      <c r="BC24" s="96"/>
      <c r="BD24" s="97">
        <v>92.13</v>
      </c>
      <c r="BE24" s="142">
        <f t="shared" si="11"/>
        <v>7317</v>
      </c>
      <c r="BF24" s="98">
        <v>79</v>
      </c>
      <c r="BG24" s="98">
        <v>0</v>
      </c>
      <c r="BH24" s="98">
        <v>7238</v>
      </c>
      <c r="BI24" s="98">
        <v>0</v>
      </c>
      <c r="BJ24" s="98"/>
      <c r="BK24" s="98"/>
      <c r="BL24" s="97"/>
    </row>
    <row r="25" spans="1:64" outlineLevel="5" x14ac:dyDescent="0.3">
      <c r="A25" s="152">
        <f t="shared" si="5"/>
        <v>1</v>
      </c>
      <c r="B25" s="153">
        <f t="shared" si="12"/>
        <v>44205</v>
      </c>
      <c r="C25" s="138">
        <f t="shared" si="6"/>
        <v>38</v>
      </c>
      <c r="D25" s="84">
        <v>38</v>
      </c>
      <c r="E25" s="84">
        <v>38</v>
      </c>
      <c r="F25" s="84"/>
      <c r="G25" s="84"/>
      <c r="H25" s="84"/>
      <c r="I25" s="84"/>
      <c r="J25" s="84"/>
      <c r="K25" s="84"/>
      <c r="L25" s="140" t="str">
        <f t="shared" si="7"/>
        <v/>
      </c>
      <c r="M25" s="86"/>
      <c r="N25" s="86"/>
      <c r="O25" s="86"/>
      <c r="P25" s="86"/>
      <c r="Q25" s="86"/>
      <c r="R25" s="86"/>
      <c r="S25" s="86"/>
      <c r="T25" s="86"/>
      <c r="U25" s="142" t="str">
        <f t="shared" si="8"/>
        <v/>
      </c>
      <c r="V25" s="88"/>
      <c r="W25" s="88"/>
      <c r="X25" s="88"/>
      <c r="Y25" s="88"/>
      <c r="Z25" s="88"/>
      <c r="AA25" s="88"/>
      <c r="AB25" s="88"/>
      <c r="AC25" s="88"/>
      <c r="AD25" s="142" t="str">
        <f t="shared" si="9"/>
        <v/>
      </c>
      <c r="AE25" s="88"/>
      <c r="AF25" s="88"/>
      <c r="AG25" s="88"/>
      <c r="AH25" s="88"/>
      <c r="AI25" s="88"/>
      <c r="AJ25" s="88"/>
      <c r="AK25" s="88"/>
      <c r="AL25" s="88"/>
      <c r="AM25" s="143">
        <v>127.60205460935387</v>
      </c>
      <c r="AN25" s="88">
        <v>36.99</v>
      </c>
      <c r="AO25" s="89"/>
      <c r="AP25" s="90"/>
      <c r="AQ25" s="146" t="str">
        <f t="shared" si="13"/>
        <v/>
      </c>
      <c r="AR25" s="146" t="str">
        <f t="shared" si="14"/>
        <v/>
      </c>
      <c r="AS25" s="147">
        <v>0</v>
      </c>
      <c r="AT25" s="93" t="s">
        <v>56</v>
      </c>
      <c r="AU25" s="94" t="s">
        <v>56</v>
      </c>
      <c r="AV25" s="146" t="str">
        <f t="shared" si="15"/>
        <v/>
      </c>
      <c r="AW25" s="146" t="str">
        <f t="shared" si="16"/>
        <v/>
      </c>
      <c r="AX25" s="138" t="str">
        <f t="shared" si="10"/>
        <v/>
      </c>
      <c r="AY25" s="95" t="s">
        <v>56</v>
      </c>
      <c r="AZ25" s="96">
        <v>56.900000000000006</v>
      </c>
      <c r="BA25" s="96"/>
      <c r="BB25" s="96">
        <v>119</v>
      </c>
      <c r="BC25" s="96"/>
      <c r="BD25" s="97">
        <v>36.99</v>
      </c>
      <c r="BE25" s="142">
        <f t="shared" si="11"/>
        <v>5295</v>
      </c>
      <c r="BF25" s="98">
        <v>59</v>
      </c>
      <c r="BG25" s="98">
        <v>0</v>
      </c>
      <c r="BH25" s="98">
        <v>5236</v>
      </c>
      <c r="BI25" s="98">
        <v>0</v>
      </c>
      <c r="BJ25" s="98"/>
      <c r="BK25" s="98"/>
      <c r="BL25" s="97"/>
    </row>
    <row r="26" spans="1:64" outlineLevel="5" x14ac:dyDescent="0.3">
      <c r="A26" s="152">
        <f t="shared" si="5"/>
        <v>1</v>
      </c>
      <c r="B26" s="153">
        <f t="shared" si="12"/>
        <v>44206</v>
      </c>
      <c r="C26" s="138">
        <f t="shared" si="6"/>
        <v>38</v>
      </c>
      <c r="D26" s="84">
        <v>38</v>
      </c>
      <c r="E26" s="84">
        <v>38</v>
      </c>
      <c r="F26" s="84"/>
      <c r="G26" s="84"/>
      <c r="H26" s="84"/>
      <c r="I26" s="84"/>
      <c r="J26" s="84"/>
      <c r="K26" s="84"/>
      <c r="L26" s="140" t="str">
        <f t="shared" si="7"/>
        <v/>
      </c>
      <c r="M26" s="86"/>
      <c r="N26" s="86"/>
      <c r="O26" s="86"/>
      <c r="P26" s="86"/>
      <c r="Q26" s="86"/>
      <c r="R26" s="86"/>
      <c r="S26" s="86"/>
      <c r="T26" s="86"/>
      <c r="U26" s="142" t="str">
        <f t="shared" si="8"/>
        <v/>
      </c>
      <c r="V26" s="88"/>
      <c r="W26" s="88"/>
      <c r="X26" s="88"/>
      <c r="Y26" s="88"/>
      <c r="Z26" s="88"/>
      <c r="AA26" s="88"/>
      <c r="AB26" s="88"/>
      <c r="AC26" s="88"/>
      <c r="AD26" s="142" t="str">
        <f t="shared" si="9"/>
        <v/>
      </c>
      <c r="AE26" s="88"/>
      <c r="AF26" s="88"/>
      <c r="AG26" s="88"/>
      <c r="AH26" s="88"/>
      <c r="AI26" s="88"/>
      <c r="AJ26" s="88"/>
      <c r="AK26" s="88"/>
      <c r="AL26" s="88"/>
      <c r="AM26" s="143">
        <v>131.11111111111111</v>
      </c>
      <c r="AN26" s="88">
        <v>36</v>
      </c>
      <c r="AO26" s="89"/>
      <c r="AP26" s="90"/>
      <c r="AQ26" s="146" t="str">
        <f t="shared" si="13"/>
        <v/>
      </c>
      <c r="AR26" s="146" t="str">
        <f t="shared" si="14"/>
        <v/>
      </c>
      <c r="AS26" s="147">
        <v>0</v>
      </c>
      <c r="AT26" s="93" t="s">
        <v>56</v>
      </c>
      <c r="AU26" s="94" t="s">
        <v>56</v>
      </c>
      <c r="AV26" s="146" t="str">
        <f t="shared" si="15"/>
        <v/>
      </c>
      <c r="AW26" s="146" t="str">
        <f t="shared" si="16"/>
        <v/>
      </c>
      <c r="AX26" s="138" t="str">
        <f t="shared" si="10"/>
        <v/>
      </c>
      <c r="AY26" s="95" t="s">
        <v>56</v>
      </c>
      <c r="AZ26" s="96">
        <v>58.465000000000003</v>
      </c>
      <c r="BA26" s="96"/>
      <c r="BB26" s="96">
        <v>117</v>
      </c>
      <c r="BC26" s="96"/>
      <c r="BD26" s="97">
        <v>36</v>
      </c>
      <c r="BE26" s="142">
        <f t="shared" si="11"/>
        <v>3788</v>
      </c>
      <c r="BF26" s="98">
        <v>59</v>
      </c>
      <c r="BG26" s="98">
        <v>0</v>
      </c>
      <c r="BH26" s="98">
        <v>3729</v>
      </c>
      <c r="BI26" s="98">
        <v>0</v>
      </c>
      <c r="BJ26" s="98"/>
      <c r="BK26" s="98"/>
      <c r="BL26" s="97"/>
    </row>
    <row r="27" spans="1:64" outlineLevel="5" x14ac:dyDescent="0.3">
      <c r="A27" s="152">
        <f t="shared" si="5"/>
        <v>1</v>
      </c>
      <c r="B27" s="153">
        <f t="shared" si="12"/>
        <v>44207</v>
      </c>
      <c r="C27" s="138">
        <f t="shared" si="6"/>
        <v>38.5</v>
      </c>
      <c r="D27" s="84">
        <v>37</v>
      </c>
      <c r="E27" s="84">
        <v>40</v>
      </c>
      <c r="F27" s="84"/>
      <c r="G27" s="84"/>
      <c r="H27" s="84"/>
      <c r="I27" s="84"/>
      <c r="J27" s="84"/>
      <c r="K27" s="84"/>
      <c r="L27" s="140">
        <f t="shared" si="7"/>
        <v>7.8</v>
      </c>
      <c r="M27" s="86">
        <v>7.8</v>
      </c>
      <c r="N27" s="86">
        <v>7.72</v>
      </c>
      <c r="O27" s="86"/>
      <c r="P27" s="86"/>
      <c r="Q27" s="86"/>
      <c r="R27" s="86"/>
      <c r="S27" s="86"/>
      <c r="T27" s="86"/>
      <c r="U27" s="142">
        <f t="shared" si="8"/>
        <v>1016.6</v>
      </c>
      <c r="V27" s="88">
        <v>1124.5</v>
      </c>
      <c r="W27" s="88">
        <v>908.7</v>
      </c>
      <c r="X27" s="88"/>
      <c r="Y27" s="88"/>
      <c r="Z27" s="88"/>
      <c r="AA27" s="88"/>
      <c r="AB27" s="88"/>
      <c r="AC27" s="88"/>
      <c r="AD27" s="142" t="str">
        <f t="shared" si="9"/>
        <v/>
      </c>
      <c r="AE27" s="88"/>
      <c r="AF27" s="88"/>
      <c r="AG27" s="88"/>
      <c r="AH27" s="88"/>
      <c r="AI27" s="88"/>
      <c r="AJ27" s="88"/>
      <c r="AK27" s="88"/>
      <c r="AL27" s="88"/>
      <c r="AM27" s="143">
        <v>43.639053254437869</v>
      </c>
      <c r="AN27" s="88">
        <v>108.16</v>
      </c>
      <c r="AO27" s="89">
        <v>7</v>
      </c>
      <c r="AP27" s="90">
        <v>5.9430000000000005</v>
      </c>
      <c r="AQ27" s="146">
        <f t="shared" si="13"/>
        <v>84.9</v>
      </c>
      <c r="AR27" s="146">
        <f t="shared" si="14"/>
        <v>15.099999999999994</v>
      </c>
      <c r="AS27" s="147">
        <v>32</v>
      </c>
      <c r="AT27" s="93">
        <v>15.4</v>
      </c>
      <c r="AU27" s="94">
        <v>8.4499999999999993</v>
      </c>
      <c r="AV27" s="146">
        <f t="shared" si="15"/>
        <v>54.870129870129873</v>
      </c>
      <c r="AW27" s="146">
        <f t="shared" si="16"/>
        <v>45.129870129870127</v>
      </c>
      <c r="AX27" s="138">
        <f t="shared" si="10"/>
        <v>78.375744633974804</v>
      </c>
      <c r="AY27" s="95">
        <v>69.25</v>
      </c>
      <c r="AZ27" s="96">
        <v>58.465000000000003</v>
      </c>
      <c r="BA27" s="96"/>
      <c r="BB27" s="96">
        <v>122.5</v>
      </c>
      <c r="BC27" s="96"/>
      <c r="BD27" s="97">
        <v>108.16</v>
      </c>
      <c r="BE27" s="142">
        <f t="shared" si="11"/>
        <v>2348</v>
      </c>
      <c r="BF27" s="98">
        <v>91</v>
      </c>
      <c r="BG27" s="98">
        <v>0</v>
      </c>
      <c r="BH27" s="98">
        <v>2257</v>
      </c>
      <c r="BI27" s="98">
        <v>0</v>
      </c>
      <c r="BJ27" s="98"/>
      <c r="BK27" s="98"/>
      <c r="BL27" s="97"/>
    </row>
    <row r="28" spans="1:64" outlineLevel="5" x14ac:dyDescent="0.3">
      <c r="A28" s="152">
        <f t="shared" si="5"/>
        <v>1</v>
      </c>
      <c r="B28" s="153">
        <f t="shared" si="12"/>
        <v>44208</v>
      </c>
      <c r="C28" s="138">
        <f t="shared" si="6"/>
        <v>39.5</v>
      </c>
      <c r="D28" s="84">
        <v>38</v>
      </c>
      <c r="E28" s="84">
        <v>41</v>
      </c>
      <c r="F28" s="84"/>
      <c r="G28" s="84"/>
      <c r="H28" s="84"/>
      <c r="I28" s="84"/>
      <c r="J28" s="84"/>
      <c r="K28" s="84"/>
      <c r="L28" s="140" t="str">
        <f t="shared" si="7"/>
        <v/>
      </c>
      <c r="M28" s="86" t="s">
        <v>56</v>
      </c>
      <c r="N28" s="86" t="s">
        <v>56</v>
      </c>
      <c r="O28" s="86"/>
      <c r="P28" s="86"/>
      <c r="Q28" s="86"/>
      <c r="R28" s="86"/>
      <c r="S28" s="86"/>
      <c r="T28" s="86"/>
      <c r="U28" s="142" t="str">
        <f t="shared" si="8"/>
        <v/>
      </c>
      <c r="V28" s="88" t="s">
        <v>56</v>
      </c>
      <c r="W28" s="88" t="s">
        <v>56</v>
      </c>
      <c r="X28" s="88"/>
      <c r="Y28" s="88"/>
      <c r="Z28" s="88"/>
      <c r="AA28" s="88"/>
      <c r="AB28" s="88"/>
      <c r="AC28" s="88"/>
      <c r="AD28" s="142" t="str">
        <f t="shared" si="9"/>
        <v/>
      </c>
      <c r="AE28" s="88"/>
      <c r="AF28" s="88"/>
      <c r="AG28" s="88"/>
      <c r="AH28" s="88"/>
      <c r="AI28" s="88"/>
      <c r="AJ28" s="88"/>
      <c r="AK28" s="88"/>
      <c r="AL28" s="88"/>
      <c r="AM28" s="143">
        <v>51.109907958852197</v>
      </c>
      <c r="AN28" s="88">
        <v>92.35</v>
      </c>
      <c r="AO28" s="89" t="s">
        <v>56</v>
      </c>
      <c r="AP28" s="90" t="s">
        <v>56</v>
      </c>
      <c r="AQ28" s="146" t="str">
        <f t="shared" si="13"/>
        <v/>
      </c>
      <c r="AR28" s="146" t="str">
        <f t="shared" si="14"/>
        <v/>
      </c>
      <c r="AS28" s="147">
        <v>21</v>
      </c>
      <c r="AT28" s="93" t="s">
        <v>56</v>
      </c>
      <c r="AU28" s="94" t="s">
        <v>56</v>
      </c>
      <c r="AV28" s="146" t="str">
        <f t="shared" si="15"/>
        <v/>
      </c>
      <c r="AW28" s="146" t="str">
        <f t="shared" si="16"/>
        <v/>
      </c>
      <c r="AX28" s="138" t="str">
        <f t="shared" si="10"/>
        <v/>
      </c>
      <c r="AY28" s="95" t="s">
        <v>56</v>
      </c>
      <c r="AZ28" s="96">
        <v>55.17</v>
      </c>
      <c r="BA28" s="96"/>
      <c r="BB28" s="96">
        <v>137</v>
      </c>
      <c r="BC28" s="96"/>
      <c r="BD28" s="97">
        <v>92.35</v>
      </c>
      <c r="BE28" s="142">
        <f t="shared" si="11"/>
        <v>6221</v>
      </c>
      <c r="BF28" s="98">
        <v>46</v>
      </c>
      <c r="BG28" s="98">
        <v>0</v>
      </c>
      <c r="BH28" s="98">
        <v>6175</v>
      </c>
      <c r="BI28" s="98">
        <v>0</v>
      </c>
      <c r="BJ28" s="98"/>
      <c r="BK28" s="98"/>
      <c r="BL28" s="97"/>
    </row>
    <row r="29" spans="1:64" outlineLevel="5" x14ac:dyDescent="0.3">
      <c r="A29" s="152">
        <f t="shared" si="5"/>
        <v>1</v>
      </c>
      <c r="B29" s="153">
        <f t="shared" si="12"/>
        <v>44209</v>
      </c>
      <c r="C29" s="138">
        <f t="shared" si="6"/>
        <v>39</v>
      </c>
      <c r="D29" s="84">
        <v>37</v>
      </c>
      <c r="E29" s="84">
        <v>41</v>
      </c>
      <c r="F29" s="84"/>
      <c r="G29" s="84"/>
      <c r="H29" s="84"/>
      <c r="I29" s="84"/>
      <c r="J29" s="84"/>
      <c r="K29" s="84"/>
      <c r="L29" s="140">
        <f t="shared" si="7"/>
        <v>7.8</v>
      </c>
      <c r="M29" s="86">
        <v>7.8</v>
      </c>
      <c r="N29" s="86">
        <v>7.71</v>
      </c>
      <c r="O29" s="86"/>
      <c r="P29" s="86"/>
      <c r="Q29" s="86"/>
      <c r="R29" s="86"/>
      <c r="S29" s="86"/>
      <c r="T29" s="86"/>
      <c r="U29" s="142">
        <f t="shared" si="8"/>
        <v>1010</v>
      </c>
      <c r="V29" s="88">
        <v>1100</v>
      </c>
      <c r="W29" s="88">
        <v>920</v>
      </c>
      <c r="X29" s="88"/>
      <c r="Y29" s="88"/>
      <c r="Z29" s="88"/>
      <c r="AA29" s="88"/>
      <c r="AB29" s="88"/>
      <c r="AC29" s="88"/>
      <c r="AD29" s="142" t="str">
        <f t="shared" si="9"/>
        <v/>
      </c>
      <c r="AE29" s="88"/>
      <c r="AF29" s="88"/>
      <c r="AG29" s="88"/>
      <c r="AH29" s="88"/>
      <c r="AI29" s="88"/>
      <c r="AJ29" s="88"/>
      <c r="AK29" s="88"/>
      <c r="AL29" s="88"/>
      <c r="AM29" s="143">
        <v>47.475357071011871</v>
      </c>
      <c r="AN29" s="88">
        <v>99.42</v>
      </c>
      <c r="AO29" s="89" t="s">
        <v>56</v>
      </c>
      <c r="AP29" s="90" t="s">
        <v>56</v>
      </c>
      <c r="AQ29" s="146" t="str">
        <f t="shared" si="13"/>
        <v/>
      </c>
      <c r="AR29" s="146" t="str">
        <f t="shared" si="14"/>
        <v/>
      </c>
      <c r="AS29" s="147">
        <v>20</v>
      </c>
      <c r="AT29" s="93">
        <v>16.100000000000001</v>
      </c>
      <c r="AU29" s="94">
        <v>7.45</v>
      </c>
      <c r="AV29" s="146">
        <f t="shared" si="15"/>
        <v>46.273291925465834</v>
      </c>
      <c r="AW29" s="146">
        <f t="shared" si="16"/>
        <v>53.726708074534166</v>
      </c>
      <c r="AX29" s="138" t="str">
        <f t="shared" si="10"/>
        <v/>
      </c>
      <c r="AY29" s="95">
        <v>75.650000000000006</v>
      </c>
      <c r="AZ29" s="96">
        <v>56.75</v>
      </c>
      <c r="BA29" s="96"/>
      <c r="BB29" s="96">
        <v>132.5</v>
      </c>
      <c r="BC29" s="96"/>
      <c r="BD29" s="97">
        <v>99.42</v>
      </c>
      <c r="BE29" s="142">
        <f t="shared" si="11"/>
        <v>8448</v>
      </c>
      <c r="BF29" s="98">
        <v>52</v>
      </c>
      <c r="BG29" s="98">
        <v>0</v>
      </c>
      <c r="BH29" s="98">
        <v>5102</v>
      </c>
      <c r="BI29" s="98">
        <v>3294</v>
      </c>
      <c r="BJ29" s="98"/>
      <c r="BK29" s="98"/>
      <c r="BL29" s="97"/>
    </row>
    <row r="30" spans="1:64" outlineLevel="5" x14ac:dyDescent="0.3">
      <c r="A30" s="152">
        <f t="shared" si="5"/>
        <v>1</v>
      </c>
      <c r="B30" s="153">
        <f t="shared" si="12"/>
        <v>44210</v>
      </c>
      <c r="C30" s="138">
        <f t="shared" si="6"/>
        <v>39.5</v>
      </c>
      <c r="D30" s="84">
        <v>38</v>
      </c>
      <c r="E30" s="84">
        <v>41</v>
      </c>
      <c r="F30" s="84"/>
      <c r="G30" s="84"/>
      <c r="H30" s="84"/>
      <c r="I30" s="84"/>
      <c r="J30" s="84"/>
      <c r="K30" s="84"/>
      <c r="L30" s="140">
        <f t="shared" si="7"/>
        <v>7.8</v>
      </c>
      <c r="M30" s="86">
        <v>7.83</v>
      </c>
      <c r="N30" s="86">
        <v>7.73</v>
      </c>
      <c r="O30" s="86"/>
      <c r="P30" s="86"/>
      <c r="Q30" s="86"/>
      <c r="R30" s="86"/>
      <c r="S30" s="86"/>
      <c r="T30" s="86"/>
      <c r="U30" s="142">
        <f t="shared" si="8"/>
        <v>1040</v>
      </c>
      <c r="V30" s="88">
        <v>1150</v>
      </c>
      <c r="W30" s="88">
        <v>930</v>
      </c>
      <c r="X30" s="88"/>
      <c r="Y30" s="88"/>
      <c r="Z30" s="88"/>
      <c r="AA30" s="88"/>
      <c r="AB30" s="88"/>
      <c r="AC30" s="88"/>
      <c r="AD30" s="142" t="str">
        <f t="shared" si="9"/>
        <v/>
      </c>
      <c r="AE30" s="88"/>
      <c r="AF30" s="88"/>
      <c r="AG30" s="88"/>
      <c r="AH30" s="88"/>
      <c r="AI30" s="88"/>
      <c r="AJ30" s="88"/>
      <c r="AK30" s="88"/>
      <c r="AL30" s="88"/>
      <c r="AM30" s="143">
        <v>53.825977876610793</v>
      </c>
      <c r="AN30" s="88">
        <v>87.69</v>
      </c>
      <c r="AO30" s="89" t="s">
        <v>56</v>
      </c>
      <c r="AP30" s="90" t="s">
        <v>56</v>
      </c>
      <c r="AQ30" s="146" t="str">
        <f t="shared" si="13"/>
        <v/>
      </c>
      <c r="AR30" s="146" t="str">
        <f t="shared" si="14"/>
        <v/>
      </c>
      <c r="AS30" s="147">
        <v>20</v>
      </c>
      <c r="AT30" s="93">
        <v>15.45</v>
      </c>
      <c r="AU30" s="94">
        <v>8.8000000000000007</v>
      </c>
      <c r="AV30" s="146">
        <f t="shared" si="15"/>
        <v>56.957928802589009</v>
      </c>
      <c r="AW30" s="146">
        <f t="shared" si="16"/>
        <v>43.042071197410991</v>
      </c>
      <c r="AX30" s="138" t="str">
        <f t="shared" si="10"/>
        <v/>
      </c>
      <c r="AY30" s="95">
        <v>75.099999999999994</v>
      </c>
      <c r="AZ30" s="96">
        <v>54.870000000000005</v>
      </c>
      <c r="BA30" s="96"/>
      <c r="BB30" s="96">
        <v>151</v>
      </c>
      <c r="BC30" s="96"/>
      <c r="BD30" s="97">
        <v>87.69</v>
      </c>
      <c r="BE30" s="142">
        <f t="shared" si="11"/>
        <v>6131</v>
      </c>
      <c r="BF30" s="98">
        <v>10</v>
      </c>
      <c r="BG30" s="98">
        <v>0</v>
      </c>
      <c r="BH30" s="98">
        <v>5506</v>
      </c>
      <c r="BI30" s="98">
        <v>615</v>
      </c>
      <c r="BJ30" s="98"/>
      <c r="BK30" s="98"/>
      <c r="BL30" s="97"/>
    </row>
    <row r="31" spans="1:64" outlineLevel="5" x14ac:dyDescent="0.3">
      <c r="A31" s="152">
        <f t="shared" si="5"/>
        <v>1</v>
      </c>
      <c r="B31" s="153">
        <f t="shared" si="12"/>
        <v>44211</v>
      </c>
      <c r="C31" s="138">
        <f t="shared" si="6"/>
        <v>39</v>
      </c>
      <c r="D31" s="84">
        <v>37</v>
      </c>
      <c r="E31" s="84">
        <v>41</v>
      </c>
      <c r="F31" s="84"/>
      <c r="G31" s="84"/>
      <c r="H31" s="84"/>
      <c r="I31" s="84"/>
      <c r="J31" s="84"/>
      <c r="K31" s="84"/>
      <c r="L31" s="140" t="str">
        <f t="shared" si="7"/>
        <v/>
      </c>
      <c r="M31" s="86" t="s">
        <v>56</v>
      </c>
      <c r="N31" s="86" t="s">
        <v>56</v>
      </c>
      <c r="O31" s="86"/>
      <c r="P31" s="86"/>
      <c r="Q31" s="86"/>
      <c r="R31" s="86"/>
      <c r="S31" s="86"/>
      <c r="T31" s="86"/>
      <c r="U31" s="142" t="str">
        <f t="shared" si="8"/>
        <v/>
      </c>
      <c r="V31" s="88" t="s">
        <v>56</v>
      </c>
      <c r="W31" s="88" t="s">
        <v>56</v>
      </c>
      <c r="X31" s="88"/>
      <c r="Y31" s="88"/>
      <c r="Z31" s="88"/>
      <c r="AA31" s="88"/>
      <c r="AB31" s="88"/>
      <c r="AC31" s="88"/>
      <c r="AD31" s="142" t="str">
        <f t="shared" si="9"/>
        <v/>
      </c>
      <c r="AE31" s="88"/>
      <c r="AF31" s="88"/>
      <c r="AG31" s="88"/>
      <c r="AH31" s="88"/>
      <c r="AI31" s="88"/>
      <c r="AJ31" s="88"/>
      <c r="AK31" s="88"/>
      <c r="AL31" s="88"/>
      <c r="AM31" s="143">
        <v>45.55105192047867</v>
      </c>
      <c r="AN31" s="88">
        <v>103.62</v>
      </c>
      <c r="AO31" s="89" t="s">
        <v>56</v>
      </c>
      <c r="AP31" s="90"/>
      <c r="AQ31" s="146" t="str">
        <f t="shared" si="13"/>
        <v/>
      </c>
      <c r="AR31" s="146" t="str">
        <f t="shared" si="14"/>
        <v/>
      </c>
      <c r="AS31" s="147">
        <v>20</v>
      </c>
      <c r="AT31" s="93" t="s">
        <v>56</v>
      </c>
      <c r="AU31" s="94" t="s">
        <v>56</v>
      </c>
      <c r="AV31" s="146" t="str">
        <f t="shared" si="15"/>
        <v/>
      </c>
      <c r="AW31" s="146" t="str">
        <f t="shared" si="16"/>
        <v/>
      </c>
      <c r="AX31" s="138" t="str">
        <f t="shared" si="10"/>
        <v/>
      </c>
      <c r="AY31" s="95" t="s">
        <v>56</v>
      </c>
      <c r="AZ31" s="96">
        <v>57.06</v>
      </c>
      <c r="BA31" s="96"/>
      <c r="BB31" s="96">
        <v>73.5</v>
      </c>
      <c r="BC31" s="96"/>
      <c r="BD31" s="97">
        <v>103.62</v>
      </c>
      <c r="BE31" s="142">
        <f t="shared" si="11"/>
        <v>8885</v>
      </c>
      <c r="BF31" s="98">
        <v>23</v>
      </c>
      <c r="BG31" s="98">
        <v>0</v>
      </c>
      <c r="BH31" s="98">
        <v>8167</v>
      </c>
      <c r="BI31" s="98">
        <v>695</v>
      </c>
      <c r="BJ31" s="98"/>
      <c r="BK31" s="98"/>
      <c r="BL31" s="97"/>
    </row>
    <row r="32" spans="1:64" outlineLevel="5" x14ac:dyDescent="0.3">
      <c r="A32" s="152">
        <f t="shared" si="5"/>
        <v>1</v>
      </c>
      <c r="B32" s="153">
        <f t="shared" si="12"/>
        <v>44212</v>
      </c>
      <c r="C32" s="138">
        <f t="shared" si="6"/>
        <v>36.5</v>
      </c>
      <c r="D32" s="84">
        <v>36</v>
      </c>
      <c r="E32" s="84">
        <v>37</v>
      </c>
      <c r="F32" s="84"/>
      <c r="G32" s="84"/>
      <c r="H32" s="84"/>
      <c r="I32" s="84"/>
      <c r="J32" s="84"/>
      <c r="K32" s="84"/>
      <c r="L32" s="140" t="str">
        <f t="shared" si="7"/>
        <v/>
      </c>
      <c r="M32" s="86"/>
      <c r="N32" s="86"/>
      <c r="O32" s="86"/>
      <c r="P32" s="86"/>
      <c r="Q32" s="86"/>
      <c r="R32" s="86"/>
      <c r="S32" s="86"/>
      <c r="T32" s="86"/>
      <c r="U32" s="142" t="str">
        <f t="shared" si="8"/>
        <v/>
      </c>
      <c r="V32" s="88"/>
      <c r="W32" s="88"/>
      <c r="X32" s="88"/>
      <c r="Y32" s="88"/>
      <c r="Z32" s="88"/>
      <c r="AA32" s="88"/>
      <c r="AB32" s="88"/>
      <c r="AC32" s="88"/>
      <c r="AD32" s="142" t="str">
        <f t="shared" si="9"/>
        <v/>
      </c>
      <c r="AE32" s="88"/>
      <c r="AF32" s="88"/>
      <c r="AG32" s="88"/>
      <c r="AH32" s="88"/>
      <c r="AI32" s="88"/>
      <c r="AJ32" s="88"/>
      <c r="AK32" s="88"/>
      <c r="AL32" s="88"/>
      <c r="AM32" s="143">
        <v>43.026435733819504</v>
      </c>
      <c r="AN32" s="88">
        <v>109.7</v>
      </c>
      <c r="AO32" s="89"/>
      <c r="AP32" s="90"/>
      <c r="AQ32" s="146" t="str">
        <f t="shared" si="13"/>
        <v/>
      </c>
      <c r="AR32" s="146" t="str">
        <f t="shared" si="14"/>
        <v/>
      </c>
      <c r="AS32" s="147">
        <v>10</v>
      </c>
      <c r="AT32" s="93" t="s">
        <v>56</v>
      </c>
      <c r="AU32" s="94" t="s">
        <v>56</v>
      </c>
      <c r="AV32" s="146" t="str">
        <f t="shared" si="15"/>
        <v/>
      </c>
      <c r="AW32" s="146" t="str">
        <f t="shared" si="16"/>
        <v/>
      </c>
      <c r="AX32" s="138" t="str">
        <f t="shared" si="10"/>
        <v/>
      </c>
      <c r="AY32" s="95" t="s">
        <v>56</v>
      </c>
      <c r="AZ32" s="96">
        <v>57.400000000000006</v>
      </c>
      <c r="BA32" s="96"/>
      <c r="BB32" s="96">
        <v>95</v>
      </c>
      <c r="BC32" s="96"/>
      <c r="BD32" s="97">
        <v>109.7</v>
      </c>
      <c r="BE32" s="142">
        <f t="shared" si="11"/>
        <v>8041</v>
      </c>
      <c r="BF32" s="98">
        <v>8</v>
      </c>
      <c r="BG32" s="98">
        <v>0</v>
      </c>
      <c r="BH32" s="98">
        <v>8033</v>
      </c>
      <c r="BI32" s="98">
        <v>0</v>
      </c>
      <c r="BJ32" s="98"/>
      <c r="BK32" s="98"/>
      <c r="BL32" s="97"/>
    </row>
    <row r="33" spans="1:64" outlineLevel="5" x14ac:dyDescent="0.3">
      <c r="A33" s="152">
        <f t="shared" si="5"/>
        <v>1</v>
      </c>
      <c r="B33" s="153">
        <f t="shared" si="12"/>
        <v>44213</v>
      </c>
      <c r="C33" s="138">
        <f t="shared" si="6"/>
        <v>37</v>
      </c>
      <c r="D33" s="84">
        <v>36</v>
      </c>
      <c r="E33" s="84">
        <v>38</v>
      </c>
      <c r="F33" s="84"/>
      <c r="G33" s="84"/>
      <c r="H33" s="84"/>
      <c r="I33" s="84"/>
      <c r="J33" s="84"/>
      <c r="K33" s="84"/>
      <c r="L33" s="140" t="str">
        <f t="shared" si="7"/>
        <v/>
      </c>
      <c r="M33" s="86"/>
      <c r="N33" s="86"/>
      <c r="O33" s="86"/>
      <c r="P33" s="86"/>
      <c r="Q33" s="86"/>
      <c r="R33" s="86"/>
      <c r="S33" s="86"/>
      <c r="T33" s="86"/>
      <c r="U33" s="142" t="str">
        <f t="shared" si="8"/>
        <v/>
      </c>
      <c r="V33" s="88"/>
      <c r="W33" s="88"/>
      <c r="X33" s="88"/>
      <c r="Y33" s="88"/>
      <c r="Z33" s="88"/>
      <c r="AA33" s="88"/>
      <c r="AB33" s="88"/>
      <c r="AC33" s="88"/>
      <c r="AD33" s="142" t="str">
        <f t="shared" si="9"/>
        <v/>
      </c>
      <c r="AE33" s="88"/>
      <c r="AF33" s="88"/>
      <c r="AG33" s="88"/>
      <c r="AH33" s="88"/>
      <c r="AI33" s="88"/>
      <c r="AJ33" s="88"/>
      <c r="AK33" s="88"/>
      <c r="AL33" s="88"/>
      <c r="AM33" s="143">
        <v>47.2</v>
      </c>
      <c r="AN33" s="88">
        <v>100</v>
      </c>
      <c r="AO33" s="89"/>
      <c r="AP33" s="90"/>
      <c r="AQ33" s="146" t="str">
        <f t="shared" si="13"/>
        <v/>
      </c>
      <c r="AR33" s="146" t="str">
        <f t="shared" si="14"/>
        <v/>
      </c>
      <c r="AS33" s="147">
        <v>10</v>
      </c>
      <c r="AT33" s="93" t="s">
        <v>56</v>
      </c>
      <c r="AU33" s="94" t="s">
        <v>56</v>
      </c>
      <c r="AV33" s="146" t="str">
        <f t="shared" si="15"/>
        <v/>
      </c>
      <c r="AW33" s="146" t="str">
        <f t="shared" si="16"/>
        <v/>
      </c>
      <c r="AX33" s="138" t="str">
        <f t="shared" si="10"/>
        <v/>
      </c>
      <c r="AY33" s="95" t="s">
        <v>56</v>
      </c>
      <c r="AZ33" s="96">
        <v>56.384999999999998</v>
      </c>
      <c r="BA33" s="96"/>
      <c r="BB33" s="96">
        <v>104</v>
      </c>
      <c r="BC33" s="96"/>
      <c r="BD33" s="97">
        <v>100</v>
      </c>
      <c r="BE33" s="142">
        <f t="shared" si="11"/>
        <v>6039</v>
      </c>
      <c r="BF33" s="98">
        <v>1</v>
      </c>
      <c r="BG33" s="98">
        <v>0</v>
      </c>
      <c r="BH33" s="98">
        <v>6038</v>
      </c>
      <c r="BI33" s="98">
        <v>0</v>
      </c>
      <c r="BJ33" s="98"/>
      <c r="BK33" s="98"/>
      <c r="BL33" s="97"/>
    </row>
    <row r="34" spans="1:64" outlineLevel="5" x14ac:dyDescent="0.3">
      <c r="A34" s="152">
        <f t="shared" si="5"/>
        <v>1</v>
      </c>
      <c r="B34" s="153">
        <f t="shared" si="12"/>
        <v>44214</v>
      </c>
      <c r="C34" s="138">
        <f t="shared" si="6"/>
        <v>39</v>
      </c>
      <c r="D34" s="84">
        <v>37</v>
      </c>
      <c r="E34" s="84">
        <v>41</v>
      </c>
      <c r="F34" s="84"/>
      <c r="G34" s="84"/>
      <c r="H34" s="84"/>
      <c r="I34" s="84"/>
      <c r="J34" s="84"/>
      <c r="K34" s="84"/>
      <c r="L34" s="140">
        <f t="shared" si="7"/>
        <v>7.8</v>
      </c>
      <c r="M34" s="86">
        <v>7.83</v>
      </c>
      <c r="N34" s="86">
        <v>7.71</v>
      </c>
      <c r="O34" s="86"/>
      <c r="P34" s="86"/>
      <c r="Q34" s="86"/>
      <c r="R34" s="86"/>
      <c r="S34" s="86"/>
      <c r="T34" s="86"/>
      <c r="U34" s="142">
        <f t="shared" si="8"/>
        <v>1000</v>
      </c>
      <c r="V34" s="88">
        <v>1050</v>
      </c>
      <c r="W34" s="88">
        <v>950</v>
      </c>
      <c r="X34" s="88"/>
      <c r="Y34" s="88"/>
      <c r="Z34" s="88"/>
      <c r="AA34" s="88"/>
      <c r="AB34" s="88"/>
      <c r="AC34" s="88"/>
      <c r="AD34" s="142" t="str">
        <f t="shared" si="9"/>
        <v/>
      </c>
      <c r="AE34" s="88"/>
      <c r="AF34" s="88"/>
      <c r="AG34" s="88"/>
      <c r="AH34" s="88"/>
      <c r="AI34" s="88"/>
      <c r="AJ34" s="88"/>
      <c r="AK34" s="88"/>
      <c r="AL34" s="88"/>
      <c r="AM34" s="143">
        <v>40.700181081314135</v>
      </c>
      <c r="AN34" s="88">
        <v>115.97</v>
      </c>
      <c r="AO34" s="89" t="s">
        <v>56</v>
      </c>
      <c r="AP34" s="90"/>
      <c r="AQ34" s="146" t="str">
        <f t="shared" si="13"/>
        <v/>
      </c>
      <c r="AR34" s="146" t="str">
        <f t="shared" si="14"/>
        <v/>
      </c>
      <c r="AS34" s="147">
        <v>20</v>
      </c>
      <c r="AT34" s="93">
        <v>16.25</v>
      </c>
      <c r="AU34" s="94">
        <v>8.8000000000000007</v>
      </c>
      <c r="AV34" s="146">
        <f t="shared" si="15"/>
        <v>54.15384615384616</v>
      </c>
      <c r="AW34" s="146">
        <f t="shared" si="16"/>
        <v>45.84615384615384</v>
      </c>
      <c r="AX34" s="138" t="str">
        <f t="shared" si="10"/>
        <v/>
      </c>
      <c r="AY34" s="95">
        <v>76.900000000000006</v>
      </c>
      <c r="AZ34" s="96">
        <v>60.664999999999999</v>
      </c>
      <c r="BA34" s="96"/>
      <c r="BB34" s="96">
        <v>90.5</v>
      </c>
      <c r="BC34" s="96"/>
      <c r="BD34" s="97">
        <v>115.97</v>
      </c>
      <c r="BE34" s="142">
        <f t="shared" si="11"/>
        <v>7549</v>
      </c>
      <c r="BF34" s="98">
        <v>0</v>
      </c>
      <c r="BG34" s="98">
        <v>0</v>
      </c>
      <c r="BH34" s="98">
        <v>6918</v>
      </c>
      <c r="BI34" s="98">
        <v>631</v>
      </c>
      <c r="BJ34" s="98"/>
      <c r="BK34" s="98"/>
      <c r="BL34" s="97"/>
    </row>
    <row r="35" spans="1:64" outlineLevel="5" x14ac:dyDescent="0.3">
      <c r="A35" s="152">
        <f t="shared" si="5"/>
        <v>1</v>
      </c>
      <c r="B35" s="153">
        <f t="shared" si="12"/>
        <v>44215</v>
      </c>
      <c r="C35" s="138">
        <f t="shared" si="6"/>
        <v>39</v>
      </c>
      <c r="D35" s="84">
        <v>37</v>
      </c>
      <c r="E35" s="84">
        <v>41</v>
      </c>
      <c r="F35" s="84"/>
      <c r="G35" s="84"/>
      <c r="H35" s="84"/>
      <c r="I35" s="84"/>
      <c r="J35" s="84"/>
      <c r="K35" s="84"/>
      <c r="L35" s="140" t="str">
        <f t="shared" si="7"/>
        <v/>
      </c>
      <c r="M35" s="86" t="s">
        <v>56</v>
      </c>
      <c r="N35" s="86" t="s">
        <v>56</v>
      </c>
      <c r="O35" s="86"/>
      <c r="P35" s="86"/>
      <c r="Q35" s="86"/>
      <c r="R35" s="86"/>
      <c r="S35" s="86"/>
      <c r="T35" s="86"/>
      <c r="U35" s="142" t="str">
        <f t="shared" si="8"/>
        <v/>
      </c>
      <c r="V35" s="88" t="s">
        <v>56</v>
      </c>
      <c r="W35" s="88" t="s">
        <v>56</v>
      </c>
      <c r="X35" s="88"/>
      <c r="Y35" s="88"/>
      <c r="Z35" s="88"/>
      <c r="AA35" s="88"/>
      <c r="AB35" s="88"/>
      <c r="AC35" s="88"/>
      <c r="AD35" s="142" t="str">
        <f t="shared" si="9"/>
        <v/>
      </c>
      <c r="AE35" s="88"/>
      <c r="AF35" s="88"/>
      <c r="AG35" s="88"/>
      <c r="AH35" s="88"/>
      <c r="AI35" s="88"/>
      <c r="AJ35" s="88"/>
      <c r="AK35" s="88"/>
      <c r="AL35" s="88"/>
      <c r="AM35" s="143">
        <v>37.071944706251962</v>
      </c>
      <c r="AN35" s="88">
        <v>127.32000000000001</v>
      </c>
      <c r="AO35" s="89" t="s">
        <v>56</v>
      </c>
      <c r="AP35" s="90"/>
      <c r="AQ35" s="146" t="str">
        <f t="shared" si="13"/>
        <v/>
      </c>
      <c r="AR35" s="146" t="str">
        <f t="shared" si="14"/>
        <v/>
      </c>
      <c r="AS35" s="147">
        <v>20</v>
      </c>
      <c r="AT35" s="93" t="s">
        <v>56</v>
      </c>
      <c r="AU35" s="94" t="s">
        <v>56</v>
      </c>
      <c r="AV35" s="146" t="str">
        <f t="shared" si="15"/>
        <v/>
      </c>
      <c r="AW35" s="146" t="str">
        <f t="shared" si="16"/>
        <v/>
      </c>
      <c r="AX35" s="138" t="str">
        <f t="shared" si="10"/>
        <v/>
      </c>
      <c r="AY35" s="95" t="s">
        <v>56</v>
      </c>
      <c r="AZ35" s="96">
        <v>58.370000000000005</v>
      </c>
      <c r="BA35" s="96"/>
      <c r="BB35" s="96">
        <v>128.5</v>
      </c>
      <c r="BC35" s="96"/>
      <c r="BD35" s="97">
        <v>127.32000000000001</v>
      </c>
      <c r="BE35" s="142">
        <f t="shared" si="11"/>
        <v>8953</v>
      </c>
      <c r="BF35" s="98">
        <v>66</v>
      </c>
      <c r="BG35" s="98">
        <v>0</v>
      </c>
      <c r="BH35" s="98">
        <v>8253</v>
      </c>
      <c r="BI35" s="98">
        <v>634</v>
      </c>
      <c r="BJ35" s="98"/>
      <c r="BK35" s="98"/>
      <c r="BL35" s="97"/>
    </row>
    <row r="36" spans="1:64" outlineLevel="5" x14ac:dyDescent="0.3">
      <c r="A36" s="152">
        <f t="shared" si="5"/>
        <v>1</v>
      </c>
      <c r="B36" s="153">
        <f t="shared" si="12"/>
        <v>44216</v>
      </c>
      <c r="C36" s="138">
        <f t="shared" si="6"/>
        <v>39</v>
      </c>
      <c r="D36" s="84">
        <v>38</v>
      </c>
      <c r="E36" s="84">
        <v>40</v>
      </c>
      <c r="F36" s="84"/>
      <c r="G36" s="84"/>
      <c r="H36" s="84"/>
      <c r="I36" s="84"/>
      <c r="J36" s="84"/>
      <c r="K36" s="84"/>
      <c r="L36" s="140" t="str">
        <f t="shared" si="7"/>
        <v/>
      </c>
      <c r="M36" s="86" t="s">
        <v>56</v>
      </c>
      <c r="N36" s="86" t="s">
        <v>56</v>
      </c>
      <c r="O36" s="86"/>
      <c r="P36" s="86"/>
      <c r="Q36" s="86"/>
      <c r="R36" s="86"/>
      <c r="S36" s="86"/>
      <c r="T36" s="86"/>
      <c r="U36" s="142" t="str">
        <f t="shared" si="8"/>
        <v/>
      </c>
      <c r="V36" s="88" t="s">
        <v>56</v>
      </c>
      <c r="W36" s="88" t="s">
        <v>56</v>
      </c>
      <c r="X36" s="88"/>
      <c r="Y36" s="88"/>
      <c r="Z36" s="88"/>
      <c r="AA36" s="88"/>
      <c r="AB36" s="88"/>
      <c r="AC36" s="88"/>
      <c r="AD36" s="142" t="str">
        <f t="shared" si="9"/>
        <v/>
      </c>
      <c r="AE36" s="88"/>
      <c r="AF36" s="88"/>
      <c r="AG36" s="88"/>
      <c r="AH36" s="88"/>
      <c r="AI36" s="88"/>
      <c r="AJ36" s="88"/>
      <c r="AK36" s="88"/>
      <c r="AL36" s="88"/>
      <c r="AM36" s="143">
        <v>40.943789035392086</v>
      </c>
      <c r="AN36" s="88">
        <v>115.28</v>
      </c>
      <c r="AO36" s="89" t="s">
        <v>56</v>
      </c>
      <c r="AP36" s="90"/>
      <c r="AQ36" s="146" t="str">
        <f t="shared" si="13"/>
        <v/>
      </c>
      <c r="AR36" s="146" t="str">
        <f t="shared" si="14"/>
        <v/>
      </c>
      <c r="AS36" s="147">
        <v>21</v>
      </c>
      <c r="AT36" s="93" t="s">
        <v>56</v>
      </c>
      <c r="AU36" s="94" t="s">
        <v>56</v>
      </c>
      <c r="AV36" s="146" t="str">
        <f t="shared" si="15"/>
        <v/>
      </c>
      <c r="AW36" s="146" t="str">
        <f t="shared" si="16"/>
        <v/>
      </c>
      <c r="AX36" s="138" t="str">
        <f t="shared" si="10"/>
        <v/>
      </c>
      <c r="AY36" s="95" t="s">
        <v>56</v>
      </c>
      <c r="AZ36" s="96">
        <v>55.355000000000004</v>
      </c>
      <c r="BA36" s="96"/>
      <c r="BB36" s="96">
        <v>51</v>
      </c>
      <c r="BC36" s="96"/>
      <c r="BD36" s="97">
        <v>115.28</v>
      </c>
      <c r="BE36" s="142">
        <f t="shared" si="11"/>
        <v>817</v>
      </c>
      <c r="BF36" s="98">
        <v>157</v>
      </c>
      <c r="BG36" s="98">
        <v>0</v>
      </c>
      <c r="BH36" s="98">
        <v>0</v>
      </c>
      <c r="BI36" s="98">
        <v>660</v>
      </c>
      <c r="BJ36" s="98"/>
      <c r="BK36" s="98"/>
      <c r="BL36" s="97"/>
    </row>
    <row r="37" spans="1:64" outlineLevel="5" x14ac:dyDescent="0.3">
      <c r="A37" s="152">
        <f t="shared" si="5"/>
        <v>1</v>
      </c>
      <c r="B37" s="153">
        <f t="shared" si="12"/>
        <v>44217</v>
      </c>
      <c r="C37" s="138">
        <f t="shared" si="6"/>
        <v>39</v>
      </c>
      <c r="D37" s="84">
        <v>37</v>
      </c>
      <c r="E37" s="84">
        <v>41</v>
      </c>
      <c r="F37" s="84"/>
      <c r="G37" s="84"/>
      <c r="H37" s="84"/>
      <c r="I37" s="84"/>
      <c r="J37" s="84"/>
      <c r="K37" s="84"/>
      <c r="L37" s="140" t="str">
        <f t="shared" si="7"/>
        <v/>
      </c>
      <c r="M37" s="86" t="s">
        <v>56</v>
      </c>
      <c r="N37" s="86" t="s">
        <v>56</v>
      </c>
      <c r="O37" s="86"/>
      <c r="P37" s="86"/>
      <c r="Q37" s="86"/>
      <c r="R37" s="86"/>
      <c r="S37" s="86"/>
      <c r="T37" s="86"/>
      <c r="U37" s="142" t="str">
        <f t="shared" si="8"/>
        <v/>
      </c>
      <c r="V37" s="88" t="s">
        <v>56</v>
      </c>
      <c r="W37" s="88" t="s">
        <v>56</v>
      </c>
      <c r="X37" s="88"/>
      <c r="Y37" s="88"/>
      <c r="Z37" s="88"/>
      <c r="AA37" s="88"/>
      <c r="AB37" s="88"/>
      <c r="AC37" s="88"/>
      <c r="AD37" s="142" t="str">
        <f t="shared" si="9"/>
        <v/>
      </c>
      <c r="AE37" s="88"/>
      <c r="AF37" s="88"/>
      <c r="AG37" s="88"/>
      <c r="AH37" s="88"/>
      <c r="AI37" s="88"/>
      <c r="AJ37" s="88"/>
      <c r="AK37" s="88"/>
      <c r="AL37" s="88"/>
      <c r="AM37" s="143">
        <v>38.67267513314215</v>
      </c>
      <c r="AN37" s="88">
        <v>122.05000000000001</v>
      </c>
      <c r="AO37" s="89" t="s">
        <v>56</v>
      </c>
      <c r="AP37" s="90"/>
      <c r="AQ37" s="146" t="str">
        <f t="shared" si="13"/>
        <v/>
      </c>
      <c r="AR37" s="146" t="str">
        <f t="shared" si="14"/>
        <v/>
      </c>
      <c r="AS37" s="147">
        <v>20</v>
      </c>
      <c r="AT37" s="93" t="s">
        <v>56</v>
      </c>
      <c r="AU37" s="94" t="s">
        <v>56</v>
      </c>
      <c r="AV37" s="146" t="str">
        <f t="shared" si="15"/>
        <v/>
      </c>
      <c r="AW37" s="146" t="str">
        <f t="shared" si="16"/>
        <v/>
      </c>
      <c r="AX37" s="138" t="str">
        <f t="shared" si="10"/>
        <v/>
      </c>
      <c r="AY37" s="95" t="s">
        <v>56</v>
      </c>
      <c r="AZ37" s="96">
        <v>60.05</v>
      </c>
      <c r="BA37" s="96"/>
      <c r="BB37" s="96">
        <v>54.5</v>
      </c>
      <c r="BC37" s="96"/>
      <c r="BD37" s="97">
        <v>122.05000000000001</v>
      </c>
      <c r="BE37" s="142">
        <f t="shared" si="11"/>
        <v>12989</v>
      </c>
      <c r="BF37" s="98">
        <v>20</v>
      </c>
      <c r="BG37" s="98">
        <v>0</v>
      </c>
      <c r="BH37" s="98">
        <v>12951</v>
      </c>
      <c r="BI37" s="98">
        <v>18</v>
      </c>
      <c r="BJ37" s="98"/>
      <c r="BK37" s="98"/>
      <c r="BL37" s="97"/>
    </row>
    <row r="38" spans="1:64" outlineLevel="5" x14ac:dyDescent="0.3">
      <c r="A38" s="152">
        <f t="shared" si="5"/>
        <v>1</v>
      </c>
      <c r="B38" s="153">
        <f t="shared" si="12"/>
        <v>44218</v>
      </c>
      <c r="C38" s="138">
        <f t="shared" si="6"/>
        <v>38</v>
      </c>
      <c r="D38" s="84">
        <v>37</v>
      </c>
      <c r="E38" s="84">
        <v>39</v>
      </c>
      <c r="F38" s="84"/>
      <c r="G38" s="84"/>
      <c r="H38" s="84"/>
      <c r="I38" s="84"/>
      <c r="J38" s="84"/>
      <c r="K38" s="84"/>
      <c r="L38" s="140" t="str">
        <f t="shared" si="7"/>
        <v/>
      </c>
      <c r="M38" s="86" t="s">
        <v>56</v>
      </c>
      <c r="N38" s="86" t="s">
        <v>56</v>
      </c>
      <c r="O38" s="86"/>
      <c r="P38" s="86"/>
      <c r="Q38" s="86"/>
      <c r="R38" s="86"/>
      <c r="S38" s="86"/>
      <c r="T38" s="86"/>
      <c r="U38" s="142" t="str">
        <f t="shared" si="8"/>
        <v/>
      </c>
      <c r="V38" s="88" t="s">
        <v>56</v>
      </c>
      <c r="W38" s="88" t="s">
        <v>56</v>
      </c>
      <c r="X38" s="88"/>
      <c r="Y38" s="88"/>
      <c r="Z38" s="88"/>
      <c r="AA38" s="88"/>
      <c r="AB38" s="88"/>
      <c r="AC38" s="88"/>
      <c r="AD38" s="142" t="str">
        <f t="shared" si="9"/>
        <v/>
      </c>
      <c r="AE38" s="88"/>
      <c r="AF38" s="88"/>
      <c r="AG38" s="88"/>
      <c r="AH38" s="88"/>
      <c r="AI38" s="88"/>
      <c r="AJ38" s="88"/>
      <c r="AK38" s="88"/>
      <c r="AL38" s="88"/>
      <c r="AM38" s="143">
        <v>49.382716049382715</v>
      </c>
      <c r="AN38" s="88">
        <v>95.58</v>
      </c>
      <c r="AO38" s="89" t="s">
        <v>56</v>
      </c>
      <c r="AP38" s="90"/>
      <c r="AQ38" s="146" t="str">
        <f t="shared" si="13"/>
        <v/>
      </c>
      <c r="AR38" s="146" t="str">
        <f t="shared" si="14"/>
        <v/>
      </c>
      <c r="AS38" s="147">
        <v>21</v>
      </c>
      <c r="AT38" s="93" t="s">
        <v>56</v>
      </c>
      <c r="AU38" s="94" t="s">
        <v>56</v>
      </c>
      <c r="AV38" s="146" t="str">
        <f t="shared" si="15"/>
        <v/>
      </c>
      <c r="AW38" s="146" t="str">
        <f t="shared" si="16"/>
        <v/>
      </c>
      <c r="AX38" s="138" t="str">
        <f t="shared" si="10"/>
        <v/>
      </c>
      <c r="AY38" s="95" t="s">
        <v>56</v>
      </c>
      <c r="AZ38" s="96">
        <v>59.774999999999999</v>
      </c>
      <c r="BA38" s="96"/>
      <c r="BB38" s="96">
        <v>62</v>
      </c>
      <c r="BC38" s="96"/>
      <c r="BD38" s="97">
        <v>95.58</v>
      </c>
      <c r="BE38" s="142">
        <f t="shared" si="11"/>
        <v>7713</v>
      </c>
      <c r="BF38" s="98">
        <v>102</v>
      </c>
      <c r="BG38" s="98">
        <v>0</v>
      </c>
      <c r="BH38" s="98">
        <v>6972</v>
      </c>
      <c r="BI38" s="98">
        <v>639</v>
      </c>
      <c r="BJ38" s="98"/>
      <c r="BK38" s="98"/>
      <c r="BL38" s="97"/>
    </row>
    <row r="39" spans="1:64" outlineLevel="5" x14ac:dyDescent="0.3">
      <c r="A39" s="152">
        <f t="shared" si="5"/>
        <v>1</v>
      </c>
      <c r="B39" s="153">
        <f t="shared" si="12"/>
        <v>44219</v>
      </c>
      <c r="C39" s="138">
        <f t="shared" si="6"/>
        <v>38.5</v>
      </c>
      <c r="D39" s="84">
        <v>37</v>
      </c>
      <c r="E39" s="84">
        <v>40</v>
      </c>
      <c r="F39" s="84"/>
      <c r="G39" s="84"/>
      <c r="H39" s="84"/>
      <c r="I39" s="84"/>
      <c r="J39" s="84"/>
      <c r="K39" s="84"/>
      <c r="L39" s="140" t="str">
        <f t="shared" si="7"/>
        <v/>
      </c>
      <c r="M39" s="86"/>
      <c r="N39" s="86"/>
      <c r="O39" s="86"/>
      <c r="P39" s="86"/>
      <c r="Q39" s="86"/>
      <c r="R39" s="86"/>
      <c r="S39" s="86"/>
      <c r="T39" s="86"/>
      <c r="U39" s="142" t="str">
        <f t="shared" si="8"/>
        <v/>
      </c>
      <c r="V39" s="88"/>
      <c r="W39" s="88"/>
      <c r="X39" s="88"/>
      <c r="Y39" s="88"/>
      <c r="Z39" s="88"/>
      <c r="AA39" s="88"/>
      <c r="AB39" s="88"/>
      <c r="AC39" s="88"/>
      <c r="AD39" s="142" t="str">
        <f t="shared" si="9"/>
        <v/>
      </c>
      <c r="AE39" s="88"/>
      <c r="AF39" s="88"/>
      <c r="AG39" s="88"/>
      <c r="AH39" s="88"/>
      <c r="AI39" s="88"/>
      <c r="AJ39" s="88"/>
      <c r="AK39" s="88"/>
      <c r="AL39" s="88"/>
      <c r="AM39" s="143">
        <v>48.360655737704924</v>
      </c>
      <c r="AN39" s="88">
        <v>97.6</v>
      </c>
      <c r="AO39" s="89"/>
      <c r="AP39" s="90"/>
      <c r="AQ39" s="146" t="str">
        <f t="shared" si="13"/>
        <v/>
      </c>
      <c r="AR39" s="146" t="str">
        <f t="shared" si="14"/>
        <v/>
      </c>
      <c r="AS39" s="147">
        <v>10</v>
      </c>
      <c r="AT39" s="93" t="s">
        <v>56</v>
      </c>
      <c r="AU39" s="94" t="s">
        <v>56</v>
      </c>
      <c r="AV39" s="146" t="str">
        <f t="shared" si="15"/>
        <v/>
      </c>
      <c r="AW39" s="146" t="str">
        <f t="shared" si="16"/>
        <v/>
      </c>
      <c r="AX39" s="138" t="str">
        <f t="shared" si="10"/>
        <v/>
      </c>
      <c r="AY39" s="95" t="s">
        <v>56</v>
      </c>
      <c r="AZ39" s="96">
        <v>60.504999999999995</v>
      </c>
      <c r="BA39" s="96"/>
      <c r="BB39" s="96">
        <v>69.5</v>
      </c>
      <c r="BC39" s="96"/>
      <c r="BD39" s="97">
        <v>97.6</v>
      </c>
      <c r="BE39" s="142">
        <f t="shared" si="11"/>
        <v>8453</v>
      </c>
      <c r="BF39" s="98">
        <v>467</v>
      </c>
      <c r="BG39" s="98">
        <v>0</v>
      </c>
      <c r="BH39" s="98">
        <v>7986</v>
      </c>
      <c r="BI39" s="98">
        <v>0</v>
      </c>
      <c r="BJ39" s="98"/>
      <c r="BK39" s="98"/>
      <c r="BL39" s="97"/>
    </row>
    <row r="40" spans="1:64" outlineLevel="5" x14ac:dyDescent="0.3">
      <c r="A40" s="152">
        <f t="shared" si="5"/>
        <v>1</v>
      </c>
      <c r="B40" s="153">
        <f t="shared" si="12"/>
        <v>44220</v>
      </c>
      <c r="C40" s="138">
        <f t="shared" si="6"/>
        <v>37</v>
      </c>
      <c r="D40" s="84">
        <v>37</v>
      </c>
      <c r="E40" s="84">
        <v>37</v>
      </c>
      <c r="F40" s="84"/>
      <c r="G40" s="84"/>
      <c r="H40" s="84"/>
      <c r="I40" s="84"/>
      <c r="J40" s="84"/>
      <c r="K40" s="84"/>
      <c r="L40" s="140" t="str">
        <f t="shared" si="7"/>
        <v/>
      </c>
      <c r="M40" s="86"/>
      <c r="N40" s="86"/>
      <c r="O40" s="86"/>
      <c r="P40" s="86"/>
      <c r="Q40" s="86"/>
      <c r="R40" s="86"/>
      <c r="S40" s="86"/>
      <c r="T40" s="86"/>
      <c r="U40" s="142" t="str">
        <f t="shared" si="8"/>
        <v/>
      </c>
      <c r="V40" s="88"/>
      <c r="W40" s="88"/>
      <c r="X40" s="88"/>
      <c r="Y40" s="88"/>
      <c r="Z40" s="88"/>
      <c r="AA40" s="88"/>
      <c r="AB40" s="88"/>
      <c r="AC40" s="88"/>
      <c r="AD40" s="142" t="str">
        <f t="shared" si="9"/>
        <v/>
      </c>
      <c r="AE40" s="88"/>
      <c r="AF40" s="88"/>
      <c r="AG40" s="88"/>
      <c r="AH40" s="88"/>
      <c r="AI40" s="88"/>
      <c r="AJ40" s="88"/>
      <c r="AK40" s="88"/>
      <c r="AL40" s="88"/>
      <c r="AM40" s="143">
        <v>59</v>
      </c>
      <c r="AN40" s="88">
        <v>80</v>
      </c>
      <c r="AO40" s="89"/>
      <c r="AP40" s="90"/>
      <c r="AQ40" s="146" t="str">
        <f t="shared" si="13"/>
        <v/>
      </c>
      <c r="AR40" s="146" t="str">
        <f t="shared" si="14"/>
        <v/>
      </c>
      <c r="AS40" s="147">
        <v>10</v>
      </c>
      <c r="AT40" s="93" t="s">
        <v>56</v>
      </c>
      <c r="AU40" s="94" t="s">
        <v>56</v>
      </c>
      <c r="AV40" s="146" t="str">
        <f t="shared" si="15"/>
        <v/>
      </c>
      <c r="AW40" s="146" t="str">
        <f t="shared" si="16"/>
        <v/>
      </c>
      <c r="AX40" s="138" t="str">
        <f t="shared" si="10"/>
        <v/>
      </c>
      <c r="AY40" s="95" t="s">
        <v>56</v>
      </c>
      <c r="AZ40" s="96">
        <v>60.795000000000002</v>
      </c>
      <c r="BA40" s="96"/>
      <c r="BB40" s="96">
        <v>73.5</v>
      </c>
      <c r="BC40" s="96"/>
      <c r="BD40" s="97">
        <v>80</v>
      </c>
      <c r="BE40" s="142">
        <f t="shared" si="11"/>
        <v>7523</v>
      </c>
      <c r="BF40" s="98">
        <v>339</v>
      </c>
      <c r="BG40" s="98">
        <v>0</v>
      </c>
      <c r="BH40" s="98">
        <v>7184</v>
      </c>
      <c r="BI40" s="98">
        <v>0</v>
      </c>
      <c r="BJ40" s="98"/>
      <c r="BK40" s="98"/>
      <c r="BL40" s="97"/>
    </row>
    <row r="41" spans="1:64" outlineLevel="5" x14ac:dyDescent="0.3">
      <c r="A41" s="152">
        <f t="shared" si="5"/>
        <v>1</v>
      </c>
      <c r="B41" s="153">
        <f t="shared" si="12"/>
        <v>44221</v>
      </c>
      <c r="C41" s="138">
        <f t="shared" si="6"/>
        <v>36</v>
      </c>
      <c r="D41" s="84">
        <v>36</v>
      </c>
      <c r="E41" s="84">
        <v>36</v>
      </c>
      <c r="F41" s="84"/>
      <c r="G41" s="84"/>
      <c r="H41" s="84"/>
      <c r="I41" s="84"/>
      <c r="J41" s="84"/>
      <c r="K41" s="84"/>
      <c r="L41" s="140">
        <f t="shared" si="7"/>
        <v>7.8</v>
      </c>
      <c r="M41" s="86">
        <v>7.81</v>
      </c>
      <c r="N41" s="86">
        <v>7.72</v>
      </c>
      <c r="O41" s="86"/>
      <c r="P41" s="86"/>
      <c r="Q41" s="86"/>
      <c r="R41" s="86"/>
      <c r="S41" s="86"/>
      <c r="T41" s="86"/>
      <c r="U41" s="142">
        <f t="shared" si="8"/>
        <v>1232.7</v>
      </c>
      <c r="V41" s="88">
        <v>1297.5</v>
      </c>
      <c r="W41" s="88">
        <v>1167.8</v>
      </c>
      <c r="X41" s="88"/>
      <c r="Y41" s="88"/>
      <c r="Z41" s="88"/>
      <c r="AA41" s="88"/>
      <c r="AB41" s="88"/>
      <c r="AC41" s="88"/>
      <c r="AD41" s="142" t="str">
        <f t="shared" si="9"/>
        <v/>
      </c>
      <c r="AE41" s="88"/>
      <c r="AF41" s="88"/>
      <c r="AG41" s="88"/>
      <c r="AH41" s="88"/>
      <c r="AI41" s="88"/>
      <c r="AJ41" s="88"/>
      <c r="AK41" s="88"/>
      <c r="AL41" s="88"/>
      <c r="AM41" s="143">
        <v>41.439859525899912</v>
      </c>
      <c r="AN41" s="88">
        <v>113.9</v>
      </c>
      <c r="AO41" s="89">
        <v>33.799999999999997</v>
      </c>
      <c r="AP41" s="90">
        <v>29.439799999999995</v>
      </c>
      <c r="AQ41" s="146">
        <f t="shared" si="13"/>
        <v>87.1</v>
      </c>
      <c r="AR41" s="146">
        <f t="shared" si="14"/>
        <v>12.900000000000006</v>
      </c>
      <c r="AS41" s="147">
        <v>21</v>
      </c>
      <c r="AT41" s="93">
        <v>15.3</v>
      </c>
      <c r="AU41" s="94">
        <v>8.15</v>
      </c>
      <c r="AV41" s="146">
        <f t="shared" si="15"/>
        <v>53.267973856209153</v>
      </c>
      <c r="AW41" s="146">
        <f t="shared" si="16"/>
        <v>46.732026143790847</v>
      </c>
      <c r="AX41" s="138">
        <f t="shared" si="10"/>
        <v>83.118030075550152</v>
      </c>
      <c r="AY41" s="95">
        <v>76.349999999999994</v>
      </c>
      <c r="AZ41" s="96">
        <v>59.879999999999995</v>
      </c>
      <c r="BA41" s="96"/>
      <c r="BB41" s="96">
        <v>76</v>
      </c>
      <c r="BC41" s="96"/>
      <c r="BD41" s="97">
        <v>113.9</v>
      </c>
      <c r="BE41" s="142">
        <f t="shared" si="11"/>
        <v>6913</v>
      </c>
      <c r="BF41" s="98">
        <v>322</v>
      </c>
      <c r="BG41" s="98">
        <v>0</v>
      </c>
      <c r="BH41" s="98">
        <v>5959</v>
      </c>
      <c r="BI41" s="98">
        <v>632</v>
      </c>
      <c r="BJ41" s="98"/>
      <c r="BK41" s="98"/>
      <c r="BL41" s="97"/>
    </row>
    <row r="42" spans="1:64" outlineLevel="5" x14ac:dyDescent="0.3">
      <c r="A42" s="152">
        <f t="shared" si="5"/>
        <v>1</v>
      </c>
      <c r="B42" s="153">
        <f t="shared" si="12"/>
        <v>44222</v>
      </c>
      <c r="C42" s="138">
        <f t="shared" si="6"/>
        <v>36</v>
      </c>
      <c r="D42" s="84">
        <v>36</v>
      </c>
      <c r="E42" s="84">
        <v>36</v>
      </c>
      <c r="F42" s="84"/>
      <c r="G42" s="84"/>
      <c r="H42" s="84"/>
      <c r="I42" s="84"/>
      <c r="J42" s="84"/>
      <c r="K42" s="84"/>
      <c r="L42" s="140" t="str">
        <f t="shared" si="7"/>
        <v/>
      </c>
      <c r="M42" s="86" t="s">
        <v>56</v>
      </c>
      <c r="N42" s="86" t="s">
        <v>56</v>
      </c>
      <c r="O42" s="86"/>
      <c r="P42" s="86"/>
      <c r="Q42" s="86"/>
      <c r="R42" s="86"/>
      <c r="S42" s="86"/>
      <c r="T42" s="86"/>
      <c r="U42" s="142" t="str">
        <f t="shared" si="8"/>
        <v/>
      </c>
      <c r="V42" s="88" t="s">
        <v>56</v>
      </c>
      <c r="W42" s="88" t="s">
        <v>56</v>
      </c>
      <c r="X42" s="88"/>
      <c r="Y42" s="88"/>
      <c r="Z42" s="88"/>
      <c r="AA42" s="88"/>
      <c r="AB42" s="88"/>
      <c r="AC42" s="88"/>
      <c r="AD42" s="142" t="str">
        <f t="shared" si="9"/>
        <v/>
      </c>
      <c r="AE42" s="88"/>
      <c r="AF42" s="88"/>
      <c r="AG42" s="88"/>
      <c r="AH42" s="88"/>
      <c r="AI42" s="88"/>
      <c r="AJ42" s="88"/>
      <c r="AK42" s="88"/>
      <c r="AL42" s="88"/>
      <c r="AM42" s="143">
        <v>41.818020731815359</v>
      </c>
      <c r="AN42" s="88">
        <v>112.87</v>
      </c>
      <c r="AO42" s="89" t="s">
        <v>56</v>
      </c>
      <c r="AP42" s="90" t="s">
        <v>56</v>
      </c>
      <c r="AQ42" s="146" t="str">
        <f t="shared" si="13"/>
        <v/>
      </c>
      <c r="AR42" s="146" t="str">
        <f t="shared" si="14"/>
        <v/>
      </c>
      <c r="AS42" s="147">
        <v>20</v>
      </c>
      <c r="AT42" s="93" t="s">
        <v>56</v>
      </c>
      <c r="AU42" s="94" t="s">
        <v>56</v>
      </c>
      <c r="AV42" s="146" t="str">
        <f t="shared" si="15"/>
        <v/>
      </c>
      <c r="AW42" s="146" t="str">
        <f t="shared" si="16"/>
        <v/>
      </c>
      <c r="AX42" s="138" t="str">
        <f t="shared" si="10"/>
        <v/>
      </c>
      <c r="AY42" s="95" t="s">
        <v>56</v>
      </c>
      <c r="AZ42" s="96">
        <v>57.84</v>
      </c>
      <c r="BA42" s="96"/>
      <c r="BB42" s="96">
        <v>99.5</v>
      </c>
      <c r="BC42" s="96"/>
      <c r="BD42" s="97">
        <v>112.87</v>
      </c>
      <c r="BE42" s="142">
        <f t="shared" si="11"/>
        <v>8990</v>
      </c>
      <c r="BF42" s="98">
        <v>86</v>
      </c>
      <c r="BG42" s="98">
        <v>0</v>
      </c>
      <c r="BH42" s="98">
        <v>8205</v>
      </c>
      <c r="BI42" s="98">
        <v>699</v>
      </c>
      <c r="BJ42" s="98"/>
      <c r="BK42" s="98"/>
      <c r="BL42" s="97"/>
    </row>
    <row r="43" spans="1:64" outlineLevel="5" x14ac:dyDescent="0.3">
      <c r="A43" s="152">
        <f t="shared" si="5"/>
        <v>1</v>
      </c>
      <c r="B43" s="153">
        <f t="shared" si="12"/>
        <v>44223</v>
      </c>
      <c r="C43" s="138">
        <f t="shared" si="6"/>
        <v>38.5</v>
      </c>
      <c r="D43" s="84">
        <v>39</v>
      </c>
      <c r="E43" s="84">
        <v>38</v>
      </c>
      <c r="F43" s="84"/>
      <c r="G43" s="84"/>
      <c r="H43" s="84"/>
      <c r="I43" s="84"/>
      <c r="J43" s="84"/>
      <c r="K43" s="84"/>
      <c r="L43" s="140">
        <f t="shared" si="7"/>
        <v>7.7</v>
      </c>
      <c r="M43" s="86">
        <v>7.79</v>
      </c>
      <c r="N43" s="86">
        <v>7.7</v>
      </c>
      <c r="O43" s="86"/>
      <c r="P43" s="86"/>
      <c r="Q43" s="86"/>
      <c r="R43" s="86"/>
      <c r="S43" s="86"/>
      <c r="T43" s="86"/>
      <c r="U43" s="142">
        <f t="shared" si="8"/>
        <v>1275</v>
      </c>
      <c r="V43" s="88">
        <v>1350</v>
      </c>
      <c r="W43" s="88">
        <v>1200</v>
      </c>
      <c r="X43" s="88"/>
      <c r="Y43" s="88"/>
      <c r="Z43" s="88"/>
      <c r="AA43" s="88"/>
      <c r="AB43" s="88"/>
      <c r="AC43" s="88"/>
      <c r="AD43" s="142" t="str">
        <f t="shared" si="9"/>
        <v/>
      </c>
      <c r="AE43" s="88"/>
      <c r="AF43" s="88"/>
      <c r="AG43" s="88"/>
      <c r="AH43" s="88"/>
      <c r="AI43" s="88"/>
      <c r="AJ43" s="88"/>
      <c r="AK43" s="88"/>
      <c r="AL43" s="88"/>
      <c r="AM43" s="143">
        <v>44.025743867176566</v>
      </c>
      <c r="AN43" s="88">
        <v>107.21000000000001</v>
      </c>
      <c r="AO43" s="89" t="s">
        <v>56</v>
      </c>
      <c r="AP43" s="90" t="s">
        <v>56</v>
      </c>
      <c r="AQ43" s="146" t="str">
        <f t="shared" si="13"/>
        <v/>
      </c>
      <c r="AR43" s="146" t="str">
        <f t="shared" si="14"/>
        <v/>
      </c>
      <c r="AS43" s="147">
        <v>20</v>
      </c>
      <c r="AT43" s="93">
        <v>14</v>
      </c>
      <c r="AU43" s="94">
        <v>8.5500000000000007</v>
      </c>
      <c r="AV43" s="146">
        <f t="shared" si="15"/>
        <v>61.071428571428577</v>
      </c>
      <c r="AW43" s="146">
        <f t="shared" si="16"/>
        <v>38.928571428571423</v>
      </c>
      <c r="AX43" s="138" t="str">
        <f t="shared" si="10"/>
        <v/>
      </c>
      <c r="AY43" s="95">
        <v>78.25</v>
      </c>
      <c r="AZ43" s="96">
        <v>60.265000000000001</v>
      </c>
      <c r="BA43" s="96"/>
      <c r="BB43" s="96">
        <v>71</v>
      </c>
      <c r="BC43" s="96"/>
      <c r="BD43" s="97">
        <v>107.21000000000001</v>
      </c>
      <c r="BE43" s="142">
        <f t="shared" si="11"/>
        <v>9957</v>
      </c>
      <c r="BF43" s="98">
        <v>17</v>
      </c>
      <c r="BG43" s="98">
        <v>0</v>
      </c>
      <c r="BH43" s="98">
        <v>9257</v>
      </c>
      <c r="BI43" s="98">
        <v>683</v>
      </c>
      <c r="BJ43" s="98"/>
      <c r="BK43" s="98"/>
      <c r="BL43" s="97"/>
    </row>
    <row r="44" spans="1:64" outlineLevel="5" x14ac:dyDescent="0.3">
      <c r="A44" s="152">
        <f t="shared" si="5"/>
        <v>1</v>
      </c>
      <c r="B44" s="153">
        <f t="shared" si="12"/>
        <v>44224</v>
      </c>
      <c r="C44" s="138">
        <f t="shared" si="6"/>
        <v>37.5</v>
      </c>
      <c r="D44" s="84">
        <v>38</v>
      </c>
      <c r="E44" s="84">
        <v>37</v>
      </c>
      <c r="F44" s="84"/>
      <c r="G44" s="84"/>
      <c r="H44" s="84"/>
      <c r="I44" s="84"/>
      <c r="J44" s="84"/>
      <c r="K44" s="84"/>
      <c r="L44" s="140">
        <f t="shared" si="7"/>
        <v>7.8</v>
      </c>
      <c r="M44" s="86">
        <v>7.79</v>
      </c>
      <c r="N44" s="86">
        <v>7.74</v>
      </c>
      <c r="O44" s="86"/>
      <c r="P44" s="86"/>
      <c r="Q44" s="86"/>
      <c r="R44" s="86"/>
      <c r="S44" s="86"/>
      <c r="T44" s="86"/>
      <c r="U44" s="142">
        <f t="shared" si="8"/>
        <v>1100</v>
      </c>
      <c r="V44" s="88">
        <v>1150</v>
      </c>
      <c r="W44" s="88">
        <v>1050</v>
      </c>
      <c r="X44" s="88"/>
      <c r="Y44" s="88"/>
      <c r="Z44" s="88"/>
      <c r="AA44" s="88"/>
      <c r="AB44" s="88"/>
      <c r="AC44" s="88"/>
      <c r="AD44" s="142" t="str">
        <f t="shared" si="9"/>
        <v/>
      </c>
      <c r="AE44" s="88"/>
      <c r="AF44" s="88"/>
      <c r="AG44" s="88"/>
      <c r="AH44" s="88"/>
      <c r="AI44" s="88"/>
      <c r="AJ44" s="88"/>
      <c r="AK44" s="88"/>
      <c r="AL44" s="88"/>
      <c r="AM44" s="143">
        <v>40.968665914417151</v>
      </c>
      <c r="AN44" s="88">
        <v>115.21</v>
      </c>
      <c r="AO44" s="89" t="s">
        <v>56</v>
      </c>
      <c r="AP44" s="90" t="s">
        <v>56</v>
      </c>
      <c r="AQ44" s="146" t="str">
        <f t="shared" si="13"/>
        <v/>
      </c>
      <c r="AR44" s="146" t="str">
        <f t="shared" si="14"/>
        <v/>
      </c>
      <c r="AS44" s="147">
        <v>20</v>
      </c>
      <c r="AT44" s="93">
        <v>15.25</v>
      </c>
      <c r="AU44" s="94">
        <v>8.9</v>
      </c>
      <c r="AV44" s="146">
        <f t="shared" si="15"/>
        <v>58.360655737704924</v>
      </c>
      <c r="AW44" s="146">
        <f t="shared" si="16"/>
        <v>41.639344262295076</v>
      </c>
      <c r="AX44" s="138" t="str">
        <f t="shared" si="10"/>
        <v/>
      </c>
      <c r="AY44" s="95">
        <v>75.900000000000006</v>
      </c>
      <c r="AZ44" s="96">
        <v>58.984999999999999</v>
      </c>
      <c r="BA44" s="96"/>
      <c r="BB44" s="96">
        <v>73.5</v>
      </c>
      <c r="BC44" s="96"/>
      <c r="BD44" s="97">
        <v>115.21</v>
      </c>
      <c r="BE44" s="142">
        <f t="shared" si="11"/>
        <v>9095</v>
      </c>
      <c r="BF44" s="98">
        <v>0</v>
      </c>
      <c r="BG44" s="98">
        <v>581</v>
      </c>
      <c r="BH44" s="98">
        <v>7835</v>
      </c>
      <c r="BI44" s="98">
        <v>679</v>
      </c>
      <c r="BJ44" s="98"/>
      <c r="BK44" s="98"/>
      <c r="BL44" s="97"/>
    </row>
    <row r="45" spans="1:64" outlineLevel="5" x14ac:dyDescent="0.3">
      <c r="A45" s="152">
        <f t="shared" si="5"/>
        <v>1</v>
      </c>
      <c r="B45" s="153">
        <f t="shared" si="12"/>
        <v>44225</v>
      </c>
      <c r="C45" s="138">
        <f t="shared" si="6"/>
        <v>38.5</v>
      </c>
      <c r="D45" s="84">
        <v>38</v>
      </c>
      <c r="E45" s="84">
        <v>39</v>
      </c>
      <c r="F45" s="84"/>
      <c r="G45" s="84"/>
      <c r="H45" s="84"/>
      <c r="I45" s="84"/>
      <c r="J45" s="84"/>
      <c r="K45" s="84"/>
      <c r="L45" s="140" t="str">
        <f t="shared" si="7"/>
        <v/>
      </c>
      <c r="M45" s="86" t="s">
        <v>56</v>
      </c>
      <c r="N45" s="86" t="s">
        <v>56</v>
      </c>
      <c r="O45" s="86"/>
      <c r="P45" s="86"/>
      <c r="Q45" s="86"/>
      <c r="R45" s="86"/>
      <c r="S45" s="86"/>
      <c r="T45" s="86"/>
      <c r="U45" s="142" t="str">
        <f t="shared" si="8"/>
        <v/>
      </c>
      <c r="V45" s="88" t="s">
        <v>56</v>
      </c>
      <c r="W45" s="88" t="s">
        <v>56</v>
      </c>
      <c r="X45" s="88"/>
      <c r="Y45" s="88"/>
      <c r="Z45" s="88"/>
      <c r="AA45" s="88"/>
      <c r="AB45" s="88"/>
      <c r="AC45" s="88"/>
      <c r="AD45" s="142" t="str">
        <f t="shared" si="9"/>
        <v/>
      </c>
      <c r="AE45" s="88"/>
      <c r="AF45" s="88"/>
      <c r="AG45" s="88"/>
      <c r="AH45" s="88"/>
      <c r="AI45" s="88"/>
      <c r="AJ45" s="88"/>
      <c r="AK45" s="88"/>
      <c r="AL45" s="88"/>
      <c r="AM45" s="143">
        <v>65.37396121883657</v>
      </c>
      <c r="AN45" s="88">
        <v>72.199999999999989</v>
      </c>
      <c r="AO45" s="89" t="s">
        <v>56</v>
      </c>
      <c r="AP45" s="90"/>
      <c r="AQ45" s="146" t="str">
        <f t="shared" si="13"/>
        <v/>
      </c>
      <c r="AR45" s="146" t="str">
        <f t="shared" si="14"/>
        <v/>
      </c>
      <c r="AS45" s="147">
        <v>20</v>
      </c>
      <c r="AT45" s="93" t="s">
        <v>56</v>
      </c>
      <c r="AU45" s="94" t="s">
        <v>56</v>
      </c>
      <c r="AV45" s="146" t="str">
        <f t="shared" si="15"/>
        <v/>
      </c>
      <c r="AW45" s="146" t="str">
        <f t="shared" si="16"/>
        <v/>
      </c>
      <c r="AX45" s="138" t="str">
        <f t="shared" si="10"/>
        <v/>
      </c>
      <c r="AY45" s="95" t="s">
        <v>56</v>
      </c>
      <c r="AZ45" s="96">
        <v>60.265000000000001</v>
      </c>
      <c r="BA45" s="96"/>
      <c r="BB45" s="96">
        <v>70.5</v>
      </c>
      <c r="BC45" s="96"/>
      <c r="BD45" s="97">
        <v>72.199999999999989</v>
      </c>
      <c r="BE45" s="142">
        <f t="shared" si="11"/>
        <v>8327</v>
      </c>
      <c r="BF45" s="98">
        <v>256</v>
      </c>
      <c r="BG45" s="98">
        <v>254</v>
      </c>
      <c r="BH45" s="98">
        <v>7272</v>
      </c>
      <c r="BI45" s="98">
        <v>545</v>
      </c>
      <c r="BJ45" s="98"/>
      <c r="BK45" s="98"/>
      <c r="BL45" s="97"/>
    </row>
    <row r="46" spans="1:64" outlineLevel="5" x14ac:dyDescent="0.3">
      <c r="A46" s="152">
        <f t="shared" si="5"/>
        <v>1</v>
      </c>
      <c r="B46" s="153">
        <f t="shared" si="12"/>
        <v>44226</v>
      </c>
      <c r="C46" s="138">
        <f t="shared" si="6"/>
        <v>37</v>
      </c>
      <c r="D46" s="84">
        <v>37</v>
      </c>
      <c r="E46" s="84">
        <v>37</v>
      </c>
      <c r="F46" s="84"/>
      <c r="G46" s="84"/>
      <c r="H46" s="84"/>
      <c r="I46" s="84"/>
      <c r="J46" s="84"/>
      <c r="K46" s="84"/>
      <c r="L46" s="140" t="str">
        <f t="shared" si="7"/>
        <v/>
      </c>
      <c r="M46" s="86"/>
      <c r="N46" s="86"/>
      <c r="O46" s="86"/>
      <c r="P46" s="86"/>
      <c r="Q46" s="86"/>
      <c r="R46" s="86"/>
      <c r="S46" s="86"/>
      <c r="T46" s="86"/>
      <c r="U46" s="142" t="str">
        <f t="shared" si="8"/>
        <v/>
      </c>
      <c r="V46" s="88"/>
      <c r="W46" s="88"/>
      <c r="X46" s="88"/>
      <c r="Y46" s="88"/>
      <c r="Z46" s="88"/>
      <c r="AA46" s="88"/>
      <c r="AB46" s="88"/>
      <c r="AC46" s="88"/>
      <c r="AD46" s="142" t="str">
        <f t="shared" si="9"/>
        <v/>
      </c>
      <c r="AE46" s="88"/>
      <c r="AF46" s="88"/>
      <c r="AG46" s="88"/>
      <c r="AH46" s="88"/>
      <c r="AI46" s="88"/>
      <c r="AJ46" s="88"/>
      <c r="AK46" s="88"/>
      <c r="AL46" s="88"/>
      <c r="AM46" s="143">
        <v>60.443078499167626</v>
      </c>
      <c r="AN46" s="88">
        <v>78.09</v>
      </c>
      <c r="AO46" s="89"/>
      <c r="AP46" s="90"/>
      <c r="AQ46" s="146" t="str">
        <f t="shared" si="13"/>
        <v/>
      </c>
      <c r="AR46" s="146" t="str">
        <f t="shared" si="14"/>
        <v/>
      </c>
      <c r="AS46" s="147">
        <v>10</v>
      </c>
      <c r="AT46" s="93" t="s">
        <v>56</v>
      </c>
      <c r="AU46" s="94" t="s">
        <v>56</v>
      </c>
      <c r="AV46" s="146" t="str">
        <f t="shared" si="15"/>
        <v/>
      </c>
      <c r="AW46" s="146" t="str">
        <f t="shared" si="16"/>
        <v/>
      </c>
      <c r="AX46" s="138" t="str">
        <f t="shared" si="10"/>
        <v/>
      </c>
      <c r="AY46" s="95" t="s">
        <v>56</v>
      </c>
      <c r="AZ46" s="96">
        <v>59.795000000000002</v>
      </c>
      <c r="BA46" s="96"/>
      <c r="BB46" s="96">
        <v>72.5</v>
      </c>
      <c r="BC46" s="96"/>
      <c r="BD46" s="97">
        <v>78.09</v>
      </c>
      <c r="BE46" s="142">
        <f t="shared" si="11"/>
        <v>8693</v>
      </c>
      <c r="BF46" s="98">
        <v>309</v>
      </c>
      <c r="BG46" s="98">
        <v>1758</v>
      </c>
      <c r="BH46" s="98">
        <v>6626</v>
      </c>
      <c r="BI46" s="98">
        <v>0</v>
      </c>
      <c r="BJ46" s="98"/>
      <c r="BK46" s="98"/>
      <c r="BL46" s="97"/>
    </row>
    <row r="47" spans="1:64" ht="17.25" outlineLevel="5" thickBot="1" x14ac:dyDescent="0.35">
      <c r="A47" s="154">
        <f t="shared" si="5"/>
        <v>1</v>
      </c>
      <c r="B47" s="155">
        <f t="shared" si="12"/>
        <v>44227</v>
      </c>
      <c r="C47" s="138">
        <f t="shared" si="6"/>
        <v>37</v>
      </c>
      <c r="D47" s="84">
        <v>37</v>
      </c>
      <c r="E47" s="84">
        <v>37</v>
      </c>
      <c r="F47" s="84"/>
      <c r="G47" s="84"/>
      <c r="H47" s="156"/>
      <c r="I47" s="156"/>
      <c r="J47" s="156"/>
      <c r="K47" s="156"/>
      <c r="L47" s="140" t="str">
        <f t="shared" si="7"/>
        <v/>
      </c>
      <c r="M47" s="86"/>
      <c r="N47" s="86"/>
      <c r="O47" s="86"/>
      <c r="P47" s="86"/>
      <c r="Q47" s="157"/>
      <c r="R47" s="157"/>
      <c r="S47" s="157"/>
      <c r="T47" s="157"/>
      <c r="U47" s="142" t="str">
        <f t="shared" si="8"/>
        <v/>
      </c>
      <c r="V47" s="158"/>
      <c r="W47" s="158"/>
      <c r="X47" s="158"/>
      <c r="Y47" s="158"/>
      <c r="Z47" s="158"/>
      <c r="AA47" s="158"/>
      <c r="AB47" s="158"/>
      <c r="AC47" s="158"/>
      <c r="AD47" s="142" t="str">
        <f t="shared" si="9"/>
        <v/>
      </c>
      <c r="AE47" s="158"/>
      <c r="AF47" s="158"/>
      <c r="AG47" s="158"/>
      <c r="AH47" s="158"/>
      <c r="AI47" s="158"/>
      <c r="AJ47" s="158"/>
      <c r="AK47" s="158"/>
      <c r="AL47" s="158"/>
      <c r="AM47" s="143">
        <v>52.444444444444443</v>
      </c>
      <c r="AN47" s="88">
        <v>90</v>
      </c>
      <c r="AO47" s="159"/>
      <c r="AP47" s="160"/>
      <c r="AQ47" s="146" t="str">
        <f t="shared" si="13"/>
        <v/>
      </c>
      <c r="AR47" s="146" t="str">
        <f t="shared" si="14"/>
        <v/>
      </c>
      <c r="AS47" s="147">
        <v>10</v>
      </c>
      <c r="AT47" s="161" t="s">
        <v>56</v>
      </c>
      <c r="AU47" s="162" t="s">
        <v>56</v>
      </c>
      <c r="AV47" s="146" t="str">
        <f t="shared" si="15"/>
        <v/>
      </c>
      <c r="AW47" s="146" t="str">
        <f t="shared" si="16"/>
        <v/>
      </c>
      <c r="AX47" s="138" t="str">
        <f t="shared" si="10"/>
        <v/>
      </c>
      <c r="AY47" s="95" t="s">
        <v>56</v>
      </c>
      <c r="AZ47" s="163">
        <v>60.19</v>
      </c>
      <c r="BA47" s="163"/>
      <c r="BB47" s="163">
        <v>77.5</v>
      </c>
      <c r="BC47" s="163"/>
      <c r="BD47" s="97">
        <v>90</v>
      </c>
      <c r="BE47" s="142">
        <f t="shared" si="11"/>
        <v>6317</v>
      </c>
      <c r="BF47" s="98">
        <v>228</v>
      </c>
      <c r="BG47" s="98">
        <v>0</v>
      </c>
      <c r="BH47" s="98">
        <v>6087</v>
      </c>
      <c r="BI47" s="98">
        <v>2</v>
      </c>
      <c r="BJ47" s="98"/>
      <c r="BK47" s="98"/>
      <c r="BL47" s="164"/>
    </row>
    <row r="48" spans="1:64" outlineLevel="4" x14ac:dyDescent="0.3">
      <c r="A48" s="63" t="s">
        <v>57</v>
      </c>
      <c r="B48" s="64"/>
      <c r="C48" s="65">
        <f t="shared" ref="C48:BL48" si="17">SUBTOTAL(4,C17:C47)</f>
        <v>40</v>
      </c>
      <c r="D48" s="66">
        <f t="shared" si="17"/>
        <v>40</v>
      </c>
      <c r="E48" s="66">
        <f t="shared" si="17"/>
        <v>41</v>
      </c>
      <c r="F48" s="66">
        <f t="shared" si="17"/>
        <v>0</v>
      </c>
      <c r="G48" s="66">
        <f t="shared" si="17"/>
        <v>0</v>
      </c>
      <c r="H48" s="66">
        <f t="shared" si="17"/>
        <v>0</v>
      </c>
      <c r="I48" s="66">
        <f t="shared" si="17"/>
        <v>0</v>
      </c>
      <c r="J48" s="66">
        <f t="shared" si="17"/>
        <v>0</v>
      </c>
      <c r="K48" s="66">
        <f t="shared" si="17"/>
        <v>0</v>
      </c>
      <c r="L48" s="67">
        <f t="shared" si="17"/>
        <v>7.8</v>
      </c>
      <c r="M48" s="68">
        <f t="shared" si="17"/>
        <v>7.83</v>
      </c>
      <c r="N48" s="68">
        <f t="shared" si="17"/>
        <v>7.74</v>
      </c>
      <c r="O48" s="68">
        <f t="shared" si="17"/>
        <v>0</v>
      </c>
      <c r="P48" s="68">
        <f t="shared" si="17"/>
        <v>0</v>
      </c>
      <c r="Q48" s="68">
        <f t="shared" si="17"/>
        <v>0</v>
      </c>
      <c r="R48" s="68">
        <f t="shared" si="17"/>
        <v>0</v>
      </c>
      <c r="S48" s="68">
        <f t="shared" si="17"/>
        <v>0</v>
      </c>
      <c r="T48" s="68">
        <f t="shared" si="17"/>
        <v>0</v>
      </c>
      <c r="U48" s="69">
        <f t="shared" si="17"/>
        <v>1275</v>
      </c>
      <c r="V48" s="70">
        <f t="shared" si="17"/>
        <v>1350</v>
      </c>
      <c r="W48" s="70">
        <f t="shared" si="17"/>
        <v>1200</v>
      </c>
      <c r="X48" s="70">
        <f t="shared" si="17"/>
        <v>0</v>
      </c>
      <c r="Y48" s="70">
        <f t="shared" si="17"/>
        <v>0</v>
      </c>
      <c r="Z48" s="70">
        <f t="shared" si="17"/>
        <v>0</v>
      </c>
      <c r="AA48" s="70">
        <f t="shared" si="17"/>
        <v>0</v>
      </c>
      <c r="AB48" s="70">
        <f t="shared" si="17"/>
        <v>0</v>
      </c>
      <c r="AC48" s="70">
        <f t="shared" si="17"/>
        <v>0</v>
      </c>
      <c r="AD48" s="69">
        <f t="shared" si="17"/>
        <v>0</v>
      </c>
      <c r="AE48" s="70">
        <f t="shared" si="17"/>
        <v>0</v>
      </c>
      <c r="AF48" s="70">
        <f t="shared" si="17"/>
        <v>0</v>
      </c>
      <c r="AG48" s="70">
        <f t="shared" si="17"/>
        <v>0</v>
      </c>
      <c r="AH48" s="70">
        <f t="shared" si="17"/>
        <v>0</v>
      </c>
      <c r="AI48" s="70">
        <f t="shared" si="17"/>
        <v>0</v>
      </c>
      <c r="AJ48" s="70">
        <f t="shared" si="17"/>
        <v>0</v>
      </c>
      <c r="AK48" s="70">
        <f t="shared" si="17"/>
        <v>0</v>
      </c>
      <c r="AL48" s="70">
        <f t="shared" si="17"/>
        <v>0</v>
      </c>
      <c r="AM48" s="70">
        <f t="shared" si="17"/>
        <v>131.11111111111111</v>
      </c>
      <c r="AN48" s="70">
        <f t="shared" si="17"/>
        <v>137.62</v>
      </c>
      <c r="AO48" s="71">
        <f t="shared" si="17"/>
        <v>33.799999999999997</v>
      </c>
      <c r="AP48" s="72">
        <f t="shared" si="17"/>
        <v>29.439799999999995</v>
      </c>
      <c r="AQ48" s="73">
        <f t="shared" si="17"/>
        <v>90.5</v>
      </c>
      <c r="AR48" s="73">
        <f t="shared" si="17"/>
        <v>15.099999999999994</v>
      </c>
      <c r="AS48" s="74">
        <f t="shared" si="17"/>
        <v>40</v>
      </c>
      <c r="AT48" s="75">
        <f t="shared" si="17"/>
        <v>17.899999999999999</v>
      </c>
      <c r="AU48" s="76">
        <f t="shared" si="17"/>
        <v>9.4499999999999993</v>
      </c>
      <c r="AV48" s="73">
        <f t="shared" si="17"/>
        <v>61.071428571428577</v>
      </c>
      <c r="AW48" s="73">
        <f t="shared" si="17"/>
        <v>53.726708074534166</v>
      </c>
      <c r="AX48" s="65">
        <f t="shared" si="17"/>
        <v>87.282192945176376</v>
      </c>
      <c r="AY48" s="77">
        <f t="shared" si="17"/>
        <v>78.25</v>
      </c>
      <c r="AZ48" s="78">
        <f t="shared" si="17"/>
        <v>60.795000000000002</v>
      </c>
      <c r="BA48" s="78">
        <f t="shared" si="17"/>
        <v>0</v>
      </c>
      <c r="BB48" s="78">
        <f t="shared" si="17"/>
        <v>159</v>
      </c>
      <c r="BC48" s="78">
        <f t="shared" si="17"/>
        <v>0</v>
      </c>
      <c r="BD48" s="79">
        <f t="shared" si="17"/>
        <v>137.62</v>
      </c>
      <c r="BE48" s="69">
        <f t="shared" si="17"/>
        <v>12989</v>
      </c>
      <c r="BF48" s="70">
        <f t="shared" si="17"/>
        <v>467</v>
      </c>
      <c r="BG48" s="80">
        <f t="shared" si="17"/>
        <v>1758</v>
      </c>
      <c r="BH48" s="80">
        <f t="shared" si="17"/>
        <v>12951</v>
      </c>
      <c r="BI48" s="80">
        <f t="shared" si="17"/>
        <v>3294</v>
      </c>
      <c r="BJ48" s="80">
        <f t="shared" si="17"/>
        <v>0</v>
      </c>
      <c r="BK48" s="80">
        <f t="shared" si="17"/>
        <v>0</v>
      </c>
      <c r="BL48" s="79">
        <f t="shared" si="17"/>
        <v>0</v>
      </c>
    </row>
    <row r="49" spans="1:64" outlineLevel="3" x14ac:dyDescent="0.3">
      <c r="A49" s="81" t="s">
        <v>58</v>
      </c>
      <c r="B49" s="82"/>
      <c r="C49" s="83">
        <f t="shared" ref="C49:BL49" si="18">SUBTOTAL(5,C17:C47)</f>
        <v>36</v>
      </c>
      <c r="D49" s="84">
        <f t="shared" si="18"/>
        <v>36</v>
      </c>
      <c r="E49" s="84">
        <f t="shared" si="18"/>
        <v>36</v>
      </c>
      <c r="F49" s="84">
        <f t="shared" si="18"/>
        <v>0</v>
      </c>
      <c r="G49" s="84">
        <f t="shared" si="18"/>
        <v>0</v>
      </c>
      <c r="H49" s="84">
        <f t="shared" si="18"/>
        <v>0</v>
      </c>
      <c r="I49" s="84">
        <f t="shared" si="18"/>
        <v>0</v>
      </c>
      <c r="J49" s="84">
        <f t="shared" si="18"/>
        <v>0</v>
      </c>
      <c r="K49" s="84">
        <f t="shared" si="18"/>
        <v>0</v>
      </c>
      <c r="L49" s="85">
        <f t="shared" si="18"/>
        <v>7.7</v>
      </c>
      <c r="M49" s="86">
        <f t="shared" si="18"/>
        <v>7.79</v>
      </c>
      <c r="N49" s="86">
        <f t="shared" si="18"/>
        <v>7.69</v>
      </c>
      <c r="O49" s="86">
        <f t="shared" si="18"/>
        <v>0</v>
      </c>
      <c r="P49" s="86">
        <f t="shared" si="18"/>
        <v>0</v>
      </c>
      <c r="Q49" s="86">
        <f t="shared" si="18"/>
        <v>0</v>
      </c>
      <c r="R49" s="86">
        <f t="shared" si="18"/>
        <v>0</v>
      </c>
      <c r="S49" s="86">
        <f t="shared" si="18"/>
        <v>0</v>
      </c>
      <c r="T49" s="86">
        <f t="shared" si="18"/>
        <v>0</v>
      </c>
      <c r="U49" s="87">
        <f t="shared" si="18"/>
        <v>778.5</v>
      </c>
      <c r="V49" s="88">
        <f t="shared" si="18"/>
        <v>865</v>
      </c>
      <c r="W49" s="88">
        <f t="shared" si="18"/>
        <v>692</v>
      </c>
      <c r="X49" s="88">
        <f t="shared" si="18"/>
        <v>0</v>
      </c>
      <c r="Y49" s="88">
        <f t="shared" si="18"/>
        <v>0</v>
      </c>
      <c r="Z49" s="88">
        <f t="shared" si="18"/>
        <v>0</v>
      </c>
      <c r="AA49" s="88">
        <f t="shared" si="18"/>
        <v>0</v>
      </c>
      <c r="AB49" s="88">
        <f t="shared" si="18"/>
        <v>0</v>
      </c>
      <c r="AC49" s="88">
        <f t="shared" si="18"/>
        <v>0</v>
      </c>
      <c r="AD49" s="87">
        <f t="shared" si="18"/>
        <v>0</v>
      </c>
      <c r="AE49" s="88">
        <f t="shared" si="18"/>
        <v>0</v>
      </c>
      <c r="AF49" s="88">
        <f t="shared" si="18"/>
        <v>0</v>
      </c>
      <c r="AG49" s="88">
        <f t="shared" si="18"/>
        <v>0</v>
      </c>
      <c r="AH49" s="88">
        <f t="shared" si="18"/>
        <v>0</v>
      </c>
      <c r="AI49" s="88">
        <f t="shared" si="18"/>
        <v>0</v>
      </c>
      <c r="AJ49" s="88">
        <f t="shared" si="18"/>
        <v>0</v>
      </c>
      <c r="AK49" s="88">
        <f t="shared" si="18"/>
        <v>0</v>
      </c>
      <c r="AL49" s="88">
        <f t="shared" si="18"/>
        <v>0</v>
      </c>
      <c r="AM49" s="88">
        <f t="shared" si="18"/>
        <v>34.29734050283389</v>
      </c>
      <c r="AN49" s="88">
        <f t="shared" si="18"/>
        <v>36</v>
      </c>
      <c r="AO49" s="89">
        <f t="shared" si="18"/>
        <v>7</v>
      </c>
      <c r="AP49" s="90">
        <f t="shared" si="18"/>
        <v>5.9430000000000005</v>
      </c>
      <c r="AQ49" s="91">
        <f t="shared" si="18"/>
        <v>84.9</v>
      </c>
      <c r="AR49" s="91">
        <f t="shared" si="18"/>
        <v>9.5</v>
      </c>
      <c r="AS49" s="92">
        <f t="shared" si="18"/>
        <v>0</v>
      </c>
      <c r="AT49" s="93">
        <f t="shared" si="18"/>
        <v>14</v>
      </c>
      <c r="AU49" s="94">
        <f t="shared" si="18"/>
        <v>7.45</v>
      </c>
      <c r="AV49" s="91">
        <f t="shared" si="18"/>
        <v>46.273291925465834</v>
      </c>
      <c r="AW49" s="91">
        <f t="shared" si="18"/>
        <v>38.928571428571423</v>
      </c>
      <c r="AX49" s="83">
        <f t="shared" si="18"/>
        <v>78.375744633974804</v>
      </c>
      <c r="AY49" s="95">
        <f t="shared" si="18"/>
        <v>69.25</v>
      </c>
      <c r="AZ49" s="96">
        <f t="shared" si="18"/>
        <v>54.870000000000005</v>
      </c>
      <c r="BA49" s="96">
        <f t="shared" si="18"/>
        <v>0</v>
      </c>
      <c r="BB49" s="96">
        <f t="shared" si="18"/>
        <v>51</v>
      </c>
      <c r="BC49" s="96">
        <f t="shared" si="18"/>
        <v>0</v>
      </c>
      <c r="BD49" s="97">
        <f t="shared" si="18"/>
        <v>36</v>
      </c>
      <c r="BE49" s="87">
        <f t="shared" si="18"/>
        <v>51</v>
      </c>
      <c r="BF49" s="88">
        <f t="shared" si="18"/>
        <v>0</v>
      </c>
      <c r="BG49" s="98">
        <f t="shared" si="18"/>
        <v>0</v>
      </c>
      <c r="BH49" s="98">
        <f t="shared" si="18"/>
        <v>0</v>
      </c>
      <c r="BI49" s="98">
        <f t="shared" si="18"/>
        <v>0</v>
      </c>
      <c r="BJ49" s="98">
        <f t="shared" si="18"/>
        <v>0</v>
      </c>
      <c r="BK49" s="98">
        <f t="shared" si="18"/>
        <v>0</v>
      </c>
      <c r="BL49" s="97">
        <f t="shared" si="18"/>
        <v>0</v>
      </c>
    </row>
    <row r="50" spans="1:64" outlineLevel="2" x14ac:dyDescent="0.3">
      <c r="A50" s="81" t="s">
        <v>59</v>
      </c>
      <c r="B50" s="82"/>
      <c r="C50" s="83">
        <f t="shared" ref="C50:BL50" si="19">IFERROR(SUBTOTAL(1,C17:C47),"")</f>
        <v>38.387096774193552</v>
      </c>
      <c r="D50" s="84">
        <f t="shared" si="19"/>
        <v>37.741935483870968</v>
      </c>
      <c r="E50" s="84">
        <f t="shared" si="19"/>
        <v>39.032258064516128</v>
      </c>
      <c r="F50" s="84" t="str">
        <f t="shared" si="19"/>
        <v/>
      </c>
      <c r="G50" s="84" t="str">
        <f t="shared" si="19"/>
        <v/>
      </c>
      <c r="H50" s="84" t="str">
        <f t="shared" si="19"/>
        <v/>
      </c>
      <c r="I50" s="84" t="str">
        <f t="shared" si="19"/>
        <v/>
      </c>
      <c r="J50" s="84" t="str">
        <f t="shared" si="19"/>
        <v/>
      </c>
      <c r="K50" s="84" t="str">
        <f t="shared" si="19"/>
        <v/>
      </c>
      <c r="L50" s="85">
        <f t="shared" si="19"/>
        <v>7.7888888888888879</v>
      </c>
      <c r="M50" s="86">
        <f t="shared" si="19"/>
        <v>7.8077777777777788</v>
      </c>
      <c r="N50" s="86">
        <f t="shared" si="19"/>
        <v>7.7133333333333338</v>
      </c>
      <c r="O50" s="86" t="str">
        <f t="shared" si="19"/>
        <v/>
      </c>
      <c r="P50" s="86" t="str">
        <f t="shared" si="19"/>
        <v/>
      </c>
      <c r="Q50" s="86" t="str">
        <f t="shared" si="19"/>
        <v/>
      </c>
      <c r="R50" s="86" t="str">
        <f t="shared" si="19"/>
        <v/>
      </c>
      <c r="S50" s="86" t="str">
        <f t="shared" si="19"/>
        <v/>
      </c>
      <c r="T50" s="86" t="str">
        <f t="shared" si="19"/>
        <v/>
      </c>
      <c r="U50" s="87">
        <f t="shared" si="19"/>
        <v>1054.5444444444445</v>
      </c>
      <c r="V50" s="88">
        <f t="shared" si="19"/>
        <v>1129.8111111111111</v>
      </c>
      <c r="W50" s="88">
        <f t="shared" si="19"/>
        <v>979.25555555555547</v>
      </c>
      <c r="X50" s="88" t="str">
        <f t="shared" si="19"/>
        <v/>
      </c>
      <c r="Y50" s="88" t="str">
        <f t="shared" si="19"/>
        <v/>
      </c>
      <c r="Z50" s="88" t="str">
        <f t="shared" si="19"/>
        <v/>
      </c>
      <c r="AA50" s="88" t="str">
        <f t="shared" si="19"/>
        <v/>
      </c>
      <c r="AB50" s="88" t="str">
        <f t="shared" si="19"/>
        <v/>
      </c>
      <c r="AC50" s="88" t="str">
        <f t="shared" si="19"/>
        <v/>
      </c>
      <c r="AD50" s="87" t="str">
        <f t="shared" si="19"/>
        <v/>
      </c>
      <c r="AE50" s="88" t="str">
        <f t="shared" si="19"/>
        <v/>
      </c>
      <c r="AF50" s="88" t="str">
        <f t="shared" si="19"/>
        <v/>
      </c>
      <c r="AG50" s="88" t="str">
        <f t="shared" si="19"/>
        <v/>
      </c>
      <c r="AH50" s="88" t="str">
        <f t="shared" si="19"/>
        <v/>
      </c>
      <c r="AI50" s="88" t="str">
        <f t="shared" si="19"/>
        <v/>
      </c>
      <c r="AJ50" s="88" t="str">
        <f t="shared" si="19"/>
        <v/>
      </c>
      <c r="AK50" s="88" t="str">
        <f t="shared" si="19"/>
        <v/>
      </c>
      <c r="AL50" s="88" t="str">
        <f t="shared" si="19"/>
        <v/>
      </c>
      <c r="AM50" s="88">
        <f t="shared" si="19"/>
        <v>52.019867649820057</v>
      </c>
      <c r="AN50" s="88">
        <f t="shared" si="19"/>
        <v>99.826774193548388</v>
      </c>
      <c r="AO50" s="89">
        <f t="shared" si="19"/>
        <v>22.533333333333331</v>
      </c>
      <c r="AP50" s="90">
        <f t="shared" si="19"/>
        <v>19.878933333333332</v>
      </c>
      <c r="AQ50" s="91">
        <f t="shared" si="19"/>
        <v>87.5</v>
      </c>
      <c r="AR50" s="91">
        <f t="shared" si="19"/>
        <v>12.5</v>
      </c>
      <c r="AS50" s="92">
        <f t="shared" si="19"/>
        <v>17.29032258064516</v>
      </c>
      <c r="AT50" s="93">
        <f t="shared" si="19"/>
        <v>15.877777777777778</v>
      </c>
      <c r="AU50" s="94">
        <f t="shared" si="19"/>
        <v>8.6666666666666661</v>
      </c>
      <c r="AV50" s="91">
        <f t="shared" si="19"/>
        <v>54.725684411379021</v>
      </c>
      <c r="AW50" s="91">
        <f t="shared" si="19"/>
        <v>45.274315588620979</v>
      </c>
      <c r="AX50" s="83">
        <f t="shared" si="19"/>
        <v>82.925322551567106</v>
      </c>
      <c r="AY50" s="95">
        <f t="shared" si="19"/>
        <v>75.444444444444443</v>
      </c>
      <c r="AZ50" s="96">
        <f t="shared" si="19"/>
        <v>58.231964285714298</v>
      </c>
      <c r="BA50" s="96" t="str">
        <f t="shared" si="19"/>
        <v/>
      </c>
      <c r="BB50" s="96">
        <f t="shared" si="19"/>
        <v>98.75</v>
      </c>
      <c r="BC50" s="96" t="str">
        <f t="shared" si="19"/>
        <v/>
      </c>
      <c r="BD50" s="97">
        <f>IFERROR(SUBTOTAL(1,BD17:BD47),"")</f>
        <v>99.826774193548388</v>
      </c>
      <c r="BE50" s="87">
        <f t="shared" si="19"/>
        <v>6480.9032258064517</v>
      </c>
      <c r="BF50" s="88">
        <f t="shared" si="19"/>
        <v>100.90322580645162</v>
      </c>
      <c r="BG50" s="98">
        <f t="shared" si="19"/>
        <v>83.645161290322577</v>
      </c>
      <c r="BH50" s="98">
        <f t="shared" si="19"/>
        <v>5960.0322580645161</v>
      </c>
      <c r="BI50" s="98">
        <f t="shared" si="19"/>
        <v>336.32258064516128</v>
      </c>
      <c r="BJ50" s="98" t="str">
        <f t="shared" si="19"/>
        <v/>
      </c>
      <c r="BK50" s="98" t="str">
        <f t="shared" si="19"/>
        <v/>
      </c>
      <c r="BL50" s="97" t="str">
        <f t="shared" si="19"/>
        <v/>
      </c>
    </row>
    <row r="51" spans="1:64" ht="17.25" outlineLevel="1" thickBot="1" x14ac:dyDescent="0.35">
      <c r="A51" s="99" t="s">
        <v>60</v>
      </c>
      <c r="B51" s="100"/>
      <c r="C51" s="101"/>
      <c r="D51" s="102"/>
      <c r="E51" s="102"/>
      <c r="F51" s="102"/>
      <c r="G51" s="102"/>
      <c r="H51" s="102"/>
      <c r="I51" s="102"/>
      <c r="J51" s="102"/>
      <c r="K51" s="102"/>
      <c r="L51" s="103"/>
      <c r="M51" s="104"/>
      <c r="N51" s="104"/>
      <c r="O51" s="104"/>
      <c r="P51" s="104"/>
      <c r="Q51" s="104"/>
      <c r="R51" s="104"/>
      <c r="S51" s="104"/>
      <c r="T51" s="104"/>
      <c r="U51" s="105"/>
      <c r="V51" s="106"/>
      <c r="W51" s="106"/>
      <c r="X51" s="106"/>
      <c r="Y51" s="106"/>
      <c r="Z51" s="106"/>
      <c r="AA51" s="106"/>
      <c r="AB51" s="106"/>
      <c r="AC51" s="106"/>
      <c r="AD51" s="105"/>
      <c r="AE51" s="106"/>
      <c r="AF51" s="106"/>
      <c r="AG51" s="106"/>
      <c r="AH51" s="106"/>
      <c r="AI51" s="106"/>
      <c r="AJ51" s="106"/>
      <c r="AK51" s="106"/>
      <c r="AL51" s="106"/>
      <c r="AM51" s="106"/>
      <c r="AN51" s="107">
        <f>SUBTOTAL(9,AN17:AN47)</f>
        <v>3094.63</v>
      </c>
      <c r="AO51" s="108"/>
      <c r="AP51" s="109"/>
      <c r="AQ51" s="110"/>
      <c r="AR51" s="110"/>
      <c r="AS51" s="111">
        <f>SUBTOTAL(9,AS17:AS47)</f>
        <v>536</v>
      </c>
      <c r="AT51" s="112"/>
      <c r="AU51" s="113"/>
      <c r="AV51" s="110"/>
      <c r="AW51" s="110"/>
      <c r="AX51" s="101"/>
      <c r="AY51" s="114"/>
      <c r="AZ51" s="115"/>
      <c r="BA51" s="115"/>
      <c r="BB51" s="115"/>
      <c r="BC51" s="115"/>
      <c r="BD51" s="116">
        <f>SUBTOTAL(9,BD17:BD47)</f>
        <v>3094.63</v>
      </c>
      <c r="BE51" s="117">
        <f t="shared" ref="BE51:BL51" si="20">SUBTOTAL(9,BE17:BE47)</f>
        <v>200908</v>
      </c>
      <c r="BF51" s="107">
        <f t="shared" si="20"/>
        <v>3128</v>
      </c>
      <c r="BG51" s="118">
        <f t="shared" si="20"/>
        <v>2593</v>
      </c>
      <c r="BH51" s="118">
        <f t="shared" si="20"/>
        <v>184761</v>
      </c>
      <c r="BI51" s="118">
        <f t="shared" si="20"/>
        <v>10426</v>
      </c>
      <c r="BJ51" s="118">
        <f t="shared" si="20"/>
        <v>0</v>
      </c>
      <c r="BK51" s="118">
        <f t="shared" si="20"/>
        <v>0</v>
      </c>
      <c r="BL51" s="116">
        <f t="shared" si="20"/>
        <v>0</v>
      </c>
    </row>
    <row r="52" spans="1:64" outlineLevel="5" x14ac:dyDescent="0.3">
      <c r="A52" s="136">
        <f t="shared" si="5"/>
        <v>2</v>
      </c>
      <c r="B52" s="165">
        <f>B47+1</f>
        <v>44228</v>
      </c>
      <c r="C52" s="138">
        <f t="shared" ref="C52:C80" si="21">IFERROR(ROUND(AVERAGE(D52:K52),1),"")</f>
        <v>38.5</v>
      </c>
      <c r="D52" s="84">
        <v>39</v>
      </c>
      <c r="E52" s="84">
        <v>38</v>
      </c>
      <c r="F52" s="84"/>
      <c r="G52" s="84"/>
      <c r="H52" s="139"/>
      <c r="I52" s="139"/>
      <c r="J52" s="139"/>
      <c r="K52" s="139"/>
      <c r="L52" s="140">
        <f t="shared" ref="L52:L80" si="22">IFERROR(ROUND(AVERAGE(M52:T52),1),"")</f>
        <v>7.7</v>
      </c>
      <c r="M52" s="141" t="s">
        <v>56</v>
      </c>
      <c r="N52" s="141">
        <v>7.7</v>
      </c>
      <c r="O52" s="141"/>
      <c r="P52" s="141"/>
      <c r="Q52" s="141"/>
      <c r="R52" s="141"/>
      <c r="S52" s="141"/>
      <c r="T52" s="141"/>
      <c r="U52" s="142">
        <f t="shared" ref="U52:U80" si="23">IFERROR(ROUND(AVERAGE(V52:AC52),1),"")</f>
        <v>1081</v>
      </c>
      <c r="V52" s="143" t="s">
        <v>56</v>
      </c>
      <c r="W52" s="143">
        <v>1081</v>
      </c>
      <c r="X52" s="143"/>
      <c r="Y52" s="143"/>
      <c r="Z52" s="143"/>
      <c r="AA52" s="143"/>
      <c r="AB52" s="143"/>
      <c r="AC52" s="143"/>
      <c r="AD52" s="142" t="str">
        <f t="shared" ref="AD52:AD80" si="24">IFERROR(ROUND(AVERAGE(AE52:AL52),1),"")</f>
        <v/>
      </c>
      <c r="AE52" s="143"/>
      <c r="AF52" s="143"/>
      <c r="AG52" s="143"/>
      <c r="AH52" s="143"/>
      <c r="AI52" s="143"/>
      <c r="AJ52" s="143"/>
      <c r="AK52" s="143"/>
      <c r="AL52" s="143"/>
      <c r="AM52" s="143">
        <v>46.374533307133035</v>
      </c>
      <c r="AN52" s="88">
        <v>101.78</v>
      </c>
      <c r="AO52" s="144">
        <v>35</v>
      </c>
      <c r="AP52" s="145">
        <v>30.905000000000001</v>
      </c>
      <c r="AQ52" s="146">
        <f t="shared" ref="AQ52:AQ80" si="25">IFERROR(AP52/AO52*100,"")</f>
        <v>88.3</v>
      </c>
      <c r="AR52" s="146">
        <f t="shared" ref="AR52:AR80" si="26">IFERROR(100-AQ52,"")</f>
        <v>11.700000000000003</v>
      </c>
      <c r="AS52" s="147">
        <v>20</v>
      </c>
      <c r="AT52" s="148">
        <v>16</v>
      </c>
      <c r="AU52" s="149">
        <v>8.4</v>
      </c>
      <c r="AV52" s="146">
        <f t="shared" ref="AV52:AV80" si="27">IFERROR(AU52/AT52*100,"")</f>
        <v>52.5</v>
      </c>
      <c r="AW52" s="146">
        <f t="shared" ref="AW52:AW80" si="28">IFERROR(100-AV52,"")</f>
        <v>47.5</v>
      </c>
      <c r="AX52" s="138">
        <f t="shared" ref="AX52:AX80" si="29">IFERROR((1-((AV52*AR52)/(AW52*AQ52)))*100,"")</f>
        <v>85.354950229480835</v>
      </c>
      <c r="AY52">
        <v>70.400000000000006</v>
      </c>
      <c r="AZ52" s="150">
        <v>60.075000000000003</v>
      </c>
      <c r="BA52" s="150"/>
      <c r="BB52" s="150">
        <v>87.5</v>
      </c>
      <c r="BC52" s="150"/>
      <c r="BD52" s="97">
        <v>101.78</v>
      </c>
      <c r="BE52" s="142">
        <f t="shared" ref="BE52:BE80" si="30">IF(SUM(BF52:BL52)=0,"",SUM(BF52:BL52))</f>
        <v>9556</v>
      </c>
      <c r="BF52" s="98">
        <v>193</v>
      </c>
      <c r="BG52" s="98">
        <v>316</v>
      </c>
      <c r="BH52" s="98">
        <v>8505</v>
      </c>
      <c r="BI52" s="98">
        <v>542</v>
      </c>
      <c r="BJ52" s="98"/>
      <c r="BK52" s="98"/>
      <c r="BL52" s="151"/>
    </row>
    <row r="53" spans="1:64" outlineLevel="5" x14ac:dyDescent="0.3">
      <c r="A53" s="152">
        <f t="shared" si="5"/>
        <v>2</v>
      </c>
      <c r="B53" s="153">
        <f t="shared" si="12"/>
        <v>44229</v>
      </c>
      <c r="C53" s="138">
        <f t="shared" si="21"/>
        <v>38.5</v>
      </c>
      <c r="D53" s="84">
        <v>39</v>
      </c>
      <c r="E53" s="84">
        <v>38</v>
      </c>
      <c r="F53" s="84"/>
      <c r="G53" s="84"/>
      <c r="H53" s="84"/>
      <c r="I53" s="84"/>
      <c r="J53" s="84"/>
      <c r="K53" s="84"/>
      <c r="L53" s="140" t="str">
        <f t="shared" si="22"/>
        <v/>
      </c>
      <c r="M53" s="141" t="s">
        <v>56</v>
      </c>
      <c r="N53" s="141" t="s">
        <v>56</v>
      </c>
      <c r="O53" s="141"/>
      <c r="P53" s="141"/>
      <c r="Q53" s="86"/>
      <c r="R53" s="86"/>
      <c r="S53" s="86"/>
      <c r="T53" s="86"/>
      <c r="U53" s="142" t="str">
        <f t="shared" si="23"/>
        <v/>
      </c>
      <c r="V53" s="88" t="s">
        <v>56</v>
      </c>
      <c r="W53" s="88" t="s">
        <v>56</v>
      </c>
      <c r="X53" s="88"/>
      <c r="Y53" s="88"/>
      <c r="Z53" s="88"/>
      <c r="AA53" s="88"/>
      <c r="AB53" s="88"/>
      <c r="AC53" s="88"/>
      <c r="AD53" s="142" t="str">
        <f t="shared" si="24"/>
        <v/>
      </c>
      <c r="AE53" s="88"/>
      <c r="AF53" s="88"/>
      <c r="AG53" s="88"/>
      <c r="AH53" s="88"/>
      <c r="AI53" s="88"/>
      <c r="AJ53" s="88"/>
      <c r="AK53" s="88"/>
      <c r="AL53" s="88"/>
      <c r="AM53" s="143">
        <v>39.037300471425027</v>
      </c>
      <c r="AN53" s="88">
        <v>120.91</v>
      </c>
      <c r="AO53" s="89" t="s">
        <v>56</v>
      </c>
      <c r="AP53" s="90" t="s">
        <v>56</v>
      </c>
      <c r="AQ53" s="146" t="str">
        <f t="shared" si="25"/>
        <v/>
      </c>
      <c r="AR53" s="146" t="str">
        <f t="shared" si="26"/>
        <v/>
      </c>
      <c r="AS53" s="147">
        <v>20</v>
      </c>
      <c r="AT53" s="148" t="s">
        <v>56</v>
      </c>
      <c r="AU53" s="149" t="s">
        <v>56</v>
      </c>
      <c r="AV53" s="146" t="str">
        <f t="shared" si="27"/>
        <v/>
      </c>
      <c r="AW53" s="146" t="str">
        <f t="shared" si="28"/>
        <v/>
      </c>
      <c r="AX53" s="138" t="str">
        <f t="shared" si="29"/>
        <v/>
      </c>
      <c r="AY53" s="95" t="s">
        <v>56</v>
      </c>
      <c r="AZ53" s="96">
        <v>59.709999999999994</v>
      </c>
      <c r="BA53" s="96"/>
      <c r="BB53" s="96">
        <v>88</v>
      </c>
      <c r="BC53" s="96"/>
      <c r="BD53" s="97">
        <v>120.91</v>
      </c>
      <c r="BE53" s="142">
        <f t="shared" si="30"/>
        <v>7650</v>
      </c>
      <c r="BF53" s="98">
        <v>279</v>
      </c>
      <c r="BG53" s="98">
        <v>0</v>
      </c>
      <c r="BH53" s="98">
        <v>6825</v>
      </c>
      <c r="BI53" s="98">
        <v>546</v>
      </c>
      <c r="BJ53" s="98"/>
      <c r="BK53" s="98"/>
      <c r="BL53" s="97"/>
    </row>
    <row r="54" spans="1:64" outlineLevel="5" x14ac:dyDescent="0.3">
      <c r="A54" s="152">
        <f t="shared" si="5"/>
        <v>2</v>
      </c>
      <c r="B54" s="153">
        <f t="shared" si="12"/>
        <v>44230</v>
      </c>
      <c r="C54" s="138">
        <f t="shared" si="21"/>
        <v>36</v>
      </c>
      <c r="D54" s="84">
        <v>37</v>
      </c>
      <c r="E54" s="84">
        <v>35</v>
      </c>
      <c r="F54" s="84"/>
      <c r="G54" s="84"/>
      <c r="H54" s="84"/>
      <c r="I54" s="84"/>
      <c r="J54" s="84"/>
      <c r="K54" s="84"/>
      <c r="L54" s="140">
        <f t="shared" si="22"/>
        <v>7.7</v>
      </c>
      <c r="M54" s="141">
        <v>7.77</v>
      </c>
      <c r="N54" s="141">
        <v>7.66</v>
      </c>
      <c r="O54" s="141"/>
      <c r="P54" s="141"/>
      <c r="Q54" s="86"/>
      <c r="R54" s="86"/>
      <c r="S54" s="86"/>
      <c r="T54" s="86"/>
      <c r="U54" s="142">
        <f t="shared" si="23"/>
        <v>1082.5</v>
      </c>
      <c r="V54" s="88">
        <v>1115</v>
      </c>
      <c r="W54" s="88">
        <v>1050</v>
      </c>
      <c r="X54" s="88"/>
      <c r="Y54" s="88"/>
      <c r="Z54" s="88"/>
      <c r="AA54" s="88"/>
      <c r="AB54" s="88"/>
      <c r="AC54" s="88"/>
      <c r="AD54" s="142" t="str">
        <f t="shared" si="24"/>
        <v/>
      </c>
      <c r="AE54" s="88"/>
      <c r="AF54" s="88"/>
      <c r="AG54" s="88"/>
      <c r="AH54" s="88"/>
      <c r="AI54" s="88"/>
      <c r="AJ54" s="88"/>
      <c r="AK54" s="88"/>
      <c r="AL54" s="88"/>
      <c r="AM54" s="143">
        <v>49.320794148380358</v>
      </c>
      <c r="AN54" s="88">
        <v>95.699999999999989</v>
      </c>
      <c r="AO54" s="89" t="s">
        <v>56</v>
      </c>
      <c r="AP54" s="90" t="s">
        <v>56</v>
      </c>
      <c r="AQ54" s="146" t="str">
        <f t="shared" si="25"/>
        <v/>
      </c>
      <c r="AR54" s="146" t="str">
        <f t="shared" si="26"/>
        <v/>
      </c>
      <c r="AS54" s="147">
        <v>20</v>
      </c>
      <c r="AT54" s="148">
        <v>14.9</v>
      </c>
      <c r="AU54" s="149">
        <v>8.75</v>
      </c>
      <c r="AV54" s="146">
        <f t="shared" si="27"/>
        <v>58.724832214765101</v>
      </c>
      <c r="AW54" s="146">
        <f t="shared" si="28"/>
        <v>41.275167785234899</v>
      </c>
      <c r="AX54" s="138" t="str">
        <f t="shared" si="29"/>
        <v/>
      </c>
      <c r="AY54" s="95">
        <v>76.949999999999989</v>
      </c>
      <c r="AZ54" s="96">
        <v>59.33</v>
      </c>
      <c r="BA54" s="96"/>
      <c r="BB54" s="96">
        <v>63.5</v>
      </c>
      <c r="BC54" s="96"/>
      <c r="BD54" s="97">
        <v>95.699999999999989</v>
      </c>
      <c r="BE54" s="142">
        <f t="shared" si="30"/>
        <v>9597</v>
      </c>
      <c r="BF54" s="98">
        <v>321</v>
      </c>
      <c r="BG54" s="98">
        <v>639</v>
      </c>
      <c r="BH54" s="98">
        <v>8045</v>
      </c>
      <c r="BI54" s="98">
        <v>592</v>
      </c>
      <c r="BJ54" s="98"/>
      <c r="BK54" s="98"/>
      <c r="BL54" s="97"/>
    </row>
    <row r="55" spans="1:64" outlineLevel="5" x14ac:dyDescent="0.3">
      <c r="A55" s="152">
        <f t="shared" si="5"/>
        <v>2</v>
      </c>
      <c r="B55" s="153">
        <f t="shared" si="12"/>
        <v>44231</v>
      </c>
      <c r="C55" s="138">
        <f t="shared" si="21"/>
        <v>38</v>
      </c>
      <c r="D55" s="84">
        <v>38</v>
      </c>
      <c r="E55" s="84">
        <v>38</v>
      </c>
      <c r="F55" s="84"/>
      <c r="G55" s="84"/>
      <c r="H55" s="84"/>
      <c r="I55" s="84"/>
      <c r="J55" s="84"/>
      <c r="K55" s="84"/>
      <c r="L55" s="140">
        <f t="shared" si="22"/>
        <v>7.8</v>
      </c>
      <c r="M55" s="141">
        <v>7.8</v>
      </c>
      <c r="N55" s="141">
        <v>7.71</v>
      </c>
      <c r="O55" s="141"/>
      <c r="P55" s="141"/>
      <c r="Q55" s="86"/>
      <c r="R55" s="86"/>
      <c r="S55" s="86"/>
      <c r="T55" s="86"/>
      <c r="U55" s="142">
        <f t="shared" si="23"/>
        <v>1254.5</v>
      </c>
      <c r="V55" s="88">
        <v>1359</v>
      </c>
      <c r="W55" s="88">
        <v>1150</v>
      </c>
      <c r="X55" s="88"/>
      <c r="Y55" s="88"/>
      <c r="Z55" s="88"/>
      <c r="AA55" s="88"/>
      <c r="AB55" s="88"/>
      <c r="AC55" s="88"/>
      <c r="AD55" s="142" t="str">
        <f t="shared" si="24"/>
        <v/>
      </c>
      <c r="AE55" s="88"/>
      <c r="AF55" s="88"/>
      <c r="AG55" s="88"/>
      <c r="AH55" s="88"/>
      <c r="AI55" s="88"/>
      <c r="AJ55" s="88"/>
      <c r="AK55" s="88"/>
      <c r="AL55" s="88"/>
      <c r="AM55" s="143">
        <v>45.945682857977225</v>
      </c>
      <c r="AN55" s="88">
        <v>102.72999999999999</v>
      </c>
      <c r="AO55" s="89" t="s">
        <v>56</v>
      </c>
      <c r="AP55" s="90"/>
      <c r="AQ55" s="146" t="str">
        <f t="shared" si="25"/>
        <v/>
      </c>
      <c r="AR55" s="146" t="str">
        <f t="shared" si="26"/>
        <v/>
      </c>
      <c r="AS55" s="147">
        <v>20</v>
      </c>
      <c r="AT55" s="148">
        <v>15.600000000000001</v>
      </c>
      <c r="AU55" s="149">
        <v>8.5500000000000007</v>
      </c>
      <c r="AV55" s="146">
        <f t="shared" si="27"/>
        <v>54.807692307692299</v>
      </c>
      <c r="AW55" s="146">
        <f t="shared" si="28"/>
        <v>45.192307692307701</v>
      </c>
      <c r="AX55" s="138" t="str">
        <f t="shared" si="29"/>
        <v/>
      </c>
      <c r="AY55" s="95">
        <v>73.25</v>
      </c>
      <c r="AZ55" s="96">
        <v>58.66</v>
      </c>
      <c r="BA55" s="96"/>
      <c r="BB55" s="96">
        <v>79.5</v>
      </c>
      <c r="BC55" s="96"/>
      <c r="BD55" s="97">
        <v>102.72999999999999</v>
      </c>
      <c r="BE55" s="142">
        <f t="shared" si="30"/>
        <v>10577</v>
      </c>
      <c r="BF55" s="98">
        <v>263</v>
      </c>
      <c r="BG55" s="98">
        <v>0</v>
      </c>
      <c r="BH55" s="98">
        <v>9690</v>
      </c>
      <c r="BI55" s="98">
        <v>624</v>
      </c>
      <c r="BJ55" s="98"/>
      <c r="BK55" s="98"/>
      <c r="BL55" s="97"/>
    </row>
    <row r="56" spans="1:64" outlineLevel="5" x14ac:dyDescent="0.3">
      <c r="A56" s="152">
        <f t="shared" si="5"/>
        <v>2</v>
      </c>
      <c r="B56" s="153">
        <f t="shared" si="12"/>
        <v>44232</v>
      </c>
      <c r="C56" s="138">
        <f t="shared" si="21"/>
        <v>38.5</v>
      </c>
      <c r="D56" s="84">
        <v>38</v>
      </c>
      <c r="E56" s="84">
        <v>39</v>
      </c>
      <c r="F56" s="84"/>
      <c r="G56" s="84"/>
      <c r="H56" s="84"/>
      <c r="I56" s="84"/>
      <c r="J56" s="84"/>
      <c r="K56" s="84"/>
      <c r="L56" s="140" t="str">
        <f t="shared" si="22"/>
        <v/>
      </c>
      <c r="M56" s="141" t="s">
        <v>56</v>
      </c>
      <c r="N56" s="141" t="s">
        <v>56</v>
      </c>
      <c r="O56" s="141"/>
      <c r="P56" s="141"/>
      <c r="Q56" s="86"/>
      <c r="R56" s="86"/>
      <c r="S56" s="86"/>
      <c r="T56" s="86"/>
      <c r="U56" s="142" t="str">
        <f t="shared" si="23"/>
        <v/>
      </c>
      <c r="V56" s="88" t="s">
        <v>56</v>
      </c>
      <c r="W56" s="88" t="s">
        <v>56</v>
      </c>
      <c r="X56" s="88"/>
      <c r="Y56" s="88"/>
      <c r="Z56" s="88"/>
      <c r="AA56" s="88"/>
      <c r="AB56" s="88"/>
      <c r="AC56" s="88"/>
      <c r="AD56" s="142" t="str">
        <f t="shared" si="24"/>
        <v/>
      </c>
      <c r="AE56" s="88"/>
      <c r="AF56" s="88"/>
      <c r="AG56" s="88"/>
      <c r="AH56" s="88"/>
      <c r="AI56" s="88"/>
      <c r="AJ56" s="88"/>
      <c r="AK56" s="88"/>
      <c r="AL56" s="88"/>
      <c r="AM56" s="143">
        <v>69.046225863077822</v>
      </c>
      <c r="AN56" s="88">
        <v>68.36</v>
      </c>
      <c r="AO56" s="89" t="s">
        <v>56</v>
      </c>
      <c r="AP56" s="90"/>
      <c r="AQ56" s="146" t="str">
        <f t="shared" si="25"/>
        <v/>
      </c>
      <c r="AR56" s="146" t="str">
        <f t="shared" si="26"/>
        <v/>
      </c>
      <c r="AS56" s="147">
        <v>10</v>
      </c>
      <c r="AT56" s="148" t="s">
        <v>56</v>
      </c>
      <c r="AU56" s="149" t="s">
        <v>56</v>
      </c>
      <c r="AV56" s="146" t="str">
        <f t="shared" si="27"/>
        <v/>
      </c>
      <c r="AW56" s="146" t="str">
        <f t="shared" si="28"/>
        <v/>
      </c>
      <c r="AX56" s="138" t="str">
        <f t="shared" si="29"/>
        <v/>
      </c>
      <c r="AY56" s="95" t="s">
        <v>56</v>
      </c>
      <c r="AZ56" s="96">
        <v>60.08</v>
      </c>
      <c r="BA56" s="96"/>
      <c r="BB56" s="96">
        <v>59.5</v>
      </c>
      <c r="BC56" s="96"/>
      <c r="BD56" s="97">
        <v>68.36</v>
      </c>
      <c r="BE56" s="142">
        <f t="shared" si="30"/>
        <v>8921</v>
      </c>
      <c r="BF56" s="98">
        <v>408</v>
      </c>
      <c r="BG56" s="98">
        <v>582</v>
      </c>
      <c r="BH56" s="98">
        <v>7263</v>
      </c>
      <c r="BI56" s="98">
        <v>668</v>
      </c>
      <c r="BJ56" s="98"/>
      <c r="BK56" s="98"/>
      <c r="BL56" s="97"/>
    </row>
    <row r="57" spans="1:64" outlineLevel="5" x14ac:dyDescent="0.3">
      <c r="A57" s="152">
        <f t="shared" si="5"/>
        <v>2</v>
      </c>
      <c r="B57" s="153">
        <f t="shared" si="12"/>
        <v>44233</v>
      </c>
      <c r="C57" s="138">
        <f t="shared" si="21"/>
        <v>38</v>
      </c>
      <c r="D57" s="84">
        <v>38</v>
      </c>
      <c r="E57" s="84">
        <v>38</v>
      </c>
      <c r="F57" s="84"/>
      <c r="G57" s="84"/>
      <c r="H57" s="84"/>
      <c r="I57" s="84"/>
      <c r="J57" s="84"/>
      <c r="K57" s="84"/>
      <c r="L57" s="140" t="str">
        <f t="shared" si="22"/>
        <v/>
      </c>
      <c r="M57" s="141"/>
      <c r="N57" s="141"/>
      <c r="O57" s="141"/>
      <c r="P57" s="141"/>
      <c r="Q57" s="86"/>
      <c r="R57" s="86"/>
      <c r="S57" s="86"/>
      <c r="T57" s="86"/>
      <c r="U57" s="142" t="str">
        <f t="shared" si="23"/>
        <v/>
      </c>
      <c r="V57" s="88"/>
      <c r="W57" s="88"/>
      <c r="X57" s="88"/>
      <c r="Y57" s="88"/>
      <c r="Z57" s="88"/>
      <c r="AA57" s="88"/>
      <c r="AB57" s="88"/>
      <c r="AC57" s="88"/>
      <c r="AD57" s="142" t="str">
        <f t="shared" si="24"/>
        <v/>
      </c>
      <c r="AE57" s="88"/>
      <c r="AF57" s="88"/>
      <c r="AG57" s="88"/>
      <c r="AH57" s="88"/>
      <c r="AI57" s="88"/>
      <c r="AJ57" s="88"/>
      <c r="AK57" s="88"/>
      <c r="AL57" s="88"/>
      <c r="AM57" s="143">
        <v>46.260903655787516</v>
      </c>
      <c r="AN57" s="88">
        <v>102.03</v>
      </c>
      <c r="AO57" s="89"/>
      <c r="AP57" s="90"/>
      <c r="AQ57" s="146" t="str">
        <f t="shared" si="25"/>
        <v/>
      </c>
      <c r="AR57" s="146" t="str">
        <f t="shared" si="26"/>
        <v/>
      </c>
      <c r="AS57" s="147">
        <v>10</v>
      </c>
      <c r="AT57" s="148" t="s">
        <v>56</v>
      </c>
      <c r="AU57" s="149" t="s">
        <v>56</v>
      </c>
      <c r="AV57" s="146" t="str">
        <f t="shared" si="27"/>
        <v/>
      </c>
      <c r="AW57" s="146" t="str">
        <f t="shared" si="28"/>
        <v/>
      </c>
      <c r="AX57" s="138" t="str">
        <f t="shared" si="29"/>
        <v/>
      </c>
      <c r="AY57" s="95" t="s">
        <v>56</v>
      </c>
      <c r="AZ57" s="96">
        <v>58.825000000000003</v>
      </c>
      <c r="BA57" s="96"/>
      <c r="BB57" s="96">
        <v>55.5</v>
      </c>
      <c r="BC57" s="96"/>
      <c r="BD57" s="97">
        <v>102.03</v>
      </c>
      <c r="BE57" s="142">
        <f t="shared" si="30"/>
        <v>7613</v>
      </c>
      <c r="BF57" s="98">
        <v>394</v>
      </c>
      <c r="BG57" s="98">
        <v>1530</v>
      </c>
      <c r="BH57" s="98">
        <v>5689</v>
      </c>
      <c r="BI57" s="98">
        <v>0</v>
      </c>
      <c r="BJ57" s="98"/>
      <c r="BK57" s="98"/>
      <c r="BL57" s="97"/>
    </row>
    <row r="58" spans="1:64" outlineLevel="5" x14ac:dyDescent="0.3">
      <c r="A58" s="152">
        <f t="shared" si="5"/>
        <v>2</v>
      </c>
      <c r="B58" s="153">
        <f t="shared" si="12"/>
        <v>44234</v>
      </c>
      <c r="C58" s="138">
        <f t="shared" si="21"/>
        <v>38</v>
      </c>
      <c r="D58" s="84">
        <v>38</v>
      </c>
      <c r="E58" s="84">
        <v>38</v>
      </c>
      <c r="F58" s="84"/>
      <c r="G58" s="84"/>
      <c r="H58" s="84"/>
      <c r="I58" s="84"/>
      <c r="J58" s="84"/>
      <c r="K58" s="84"/>
      <c r="L58" s="140" t="str">
        <f t="shared" si="22"/>
        <v/>
      </c>
      <c r="M58" s="141"/>
      <c r="N58" s="141"/>
      <c r="O58" s="141"/>
      <c r="P58" s="141"/>
      <c r="Q58" s="86"/>
      <c r="R58" s="86"/>
      <c r="S58" s="86"/>
      <c r="T58" s="86"/>
      <c r="U58" s="142" t="str">
        <f t="shared" si="23"/>
        <v/>
      </c>
      <c r="V58" s="88"/>
      <c r="W58" s="88"/>
      <c r="X58" s="88"/>
      <c r="Y58" s="88"/>
      <c r="Z58" s="88"/>
      <c r="AA58" s="88"/>
      <c r="AB58" s="88"/>
      <c r="AC58" s="88"/>
      <c r="AD58" s="142" t="str">
        <f t="shared" si="24"/>
        <v/>
      </c>
      <c r="AE58" s="88"/>
      <c r="AF58" s="88"/>
      <c r="AG58" s="88"/>
      <c r="AH58" s="88"/>
      <c r="AI58" s="88"/>
      <c r="AJ58" s="88"/>
      <c r="AK58" s="88"/>
      <c r="AL58" s="88"/>
      <c r="AM58" s="143">
        <v>49.684210526315788</v>
      </c>
      <c r="AN58" s="88">
        <v>95</v>
      </c>
      <c r="AO58" s="89"/>
      <c r="AP58" s="90"/>
      <c r="AQ58" s="146" t="str">
        <f t="shared" si="25"/>
        <v/>
      </c>
      <c r="AR58" s="146" t="str">
        <f t="shared" si="26"/>
        <v/>
      </c>
      <c r="AS58" s="147">
        <v>10</v>
      </c>
      <c r="AT58" s="148" t="s">
        <v>56</v>
      </c>
      <c r="AU58" s="149" t="s">
        <v>56</v>
      </c>
      <c r="AV58" s="146" t="str">
        <f t="shared" si="27"/>
        <v/>
      </c>
      <c r="AW58" s="146" t="str">
        <f t="shared" si="28"/>
        <v/>
      </c>
      <c r="AX58" s="138" t="str">
        <f t="shared" si="29"/>
        <v/>
      </c>
      <c r="AY58" s="95" t="s">
        <v>56</v>
      </c>
      <c r="AZ58" s="96">
        <v>58.674999999999997</v>
      </c>
      <c r="BA58" s="96"/>
      <c r="BB58" s="96">
        <v>75</v>
      </c>
      <c r="BC58" s="96"/>
      <c r="BD58" s="97">
        <v>95</v>
      </c>
      <c r="BE58" s="142">
        <f t="shared" si="30"/>
        <v>7509</v>
      </c>
      <c r="BF58" s="98">
        <v>321</v>
      </c>
      <c r="BG58" s="98">
        <v>453</v>
      </c>
      <c r="BH58" s="98">
        <v>6735</v>
      </c>
      <c r="BI58" s="98">
        <v>0</v>
      </c>
      <c r="BJ58" s="98"/>
      <c r="BK58" s="98"/>
      <c r="BL58" s="97"/>
    </row>
    <row r="59" spans="1:64" outlineLevel="5" x14ac:dyDescent="0.3">
      <c r="A59" s="152">
        <f t="shared" si="5"/>
        <v>2</v>
      </c>
      <c r="B59" s="153">
        <f t="shared" si="12"/>
        <v>44235</v>
      </c>
      <c r="C59" s="138">
        <f t="shared" si="21"/>
        <v>38.5</v>
      </c>
      <c r="D59" s="84">
        <v>38</v>
      </c>
      <c r="E59" s="84">
        <v>39</v>
      </c>
      <c r="F59" s="84"/>
      <c r="G59" s="84"/>
      <c r="H59" s="84"/>
      <c r="I59" s="84"/>
      <c r="J59" s="84"/>
      <c r="K59" s="84"/>
      <c r="L59" s="140">
        <f t="shared" si="22"/>
        <v>7.8</v>
      </c>
      <c r="M59" s="141">
        <v>7.84</v>
      </c>
      <c r="N59" s="141">
        <v>7.73</v>
      </c>
      <c r="O59" s="141"/>
      <c r="P59" s="141"/>
      <c r="Q59" s="86"/>
      <c r="R59" s="86"/>
      <c r="S59" s="86"/>
      <c r="T59" s="86"/>
      <c r="U59" s="142">
        <f t="shared" si="23"/>
        <v>1150</v>
      </c>
      <c r="V59" s="88">
        <v>1250</v>
      </c>
      <c r="W59" s="88">
        <v>1050</v>
      </c>
      <c r="X59" s="88"/>
      <c r="Y59" s="88"/>
      <c r="Z59" s="88"/>
      <c r="AA59" s="88"/>
      <c r="AB59" s="88"/>
      <c r="AC59" s="88"/>
      <c r="AD59" s="142" t="str">
        <f t="shared" si="24"/>
        <v/>
      </c>
      <c r="AE59" s="88"/>
      <c r="AF59" s="88"/>
      <c r="AG59" s="88"/>
      <c r="AH59" s="88"/>
      <c r="AI59" s="88"/>
      <c r="AJ59" s="88"/>
      <c r="AK59" s="88"/>
      <c r="AL59" s="88"/>
      <c r="AM59" s="143">
        <v>45.293158046252756</v>
      </c>
      <c r="AN59" s="88">
        <v>104.21000000000001</v>
      </c>
      <c r="AO59" s="89" t="s">
        <v>56</v>
      </c>
      <c r="AP59" s="90"/>
      <c r="AQ59" s="146" t="str">
        <f t="shared" si="25"/>
        <v/>
      </c>
      <c r="AR59" s="146" t="str">
        <f t="shared" si="26"/>
        <v/>
      </c>
      <c r="AS59" s="147">
        <v>20</v>
      </c>
      <c r="AT59" s="148">
        <v>15.45</v>
      </c>
      <c r="AU59" s="149">
        <v>8.9</v>
      </c>
      <c r="AV59" s="146">
        <f t="shared" si="27"/>
        <v>57.605177993527512</v>
      </c>
      <c r="AW59" s="146">
        <f t="shared" si="28"/>
        <v>42.394822006472488</v>
      </c>
      <c r="AX59" s="138" t="str">
        <f t="shared" si="29"/>
        <v/>
      </c>
      <c r="AY59" s="95">
        <v>73.75</v>
      </c>
      <c r="AZ59" s="96">
        <v>59.204999999999998</v>
      </c>
      <c r="BA59" s="96"/>
      <c r="BB59" s="96">
        <v>112</v>
      </c>
      <c r="BC59" s="96"/>
      <c r="BD59" s="97">
        <v>104.21000000000001</v>
      </c>
      <c r="BE59" s="142">
        <f t="shared" si="30"/>
        <v>9545</v>
      </c>
      <c r="BF59" s="98">
        <v>303</v>
      </c>
      <c r="BG59" s="98">
        <v>0</v>
      </c>
      <c r="BH59" s="98">
        <v>8600</v>
      </c>
      <c r="BI59" s="98">
        <v>642</v>
      </c>
      <c r="BJ59" s="98"/>
      <c r="BK59" s="98"/>
      <c r="BL59" s="97"/>
    </row>
    <row r="60" spans="1:64" outlineLevel="5" x14ac:dyDescent="0.3">
      <c r="A60" s="152">
        <f t="shared" si="5"/>
        <v>2</v>
      </c>
      <c r="B60" s="153">
        <f t="shared" si="12"/>
        <v>44236</v>
      </c>
      <c r="C60" s="138">
        <f t="shared" si="21"/>
        <v>38.5</v>
      </c>
      <c r="D60" s="84">
        <v>38</v>
      </c>
      <c r="E60" s="84">
        <v>39</v>
      </c>
      <c r="F60" s="84"/>
      <c r="G60" s="84"/>
      <c r="H60" s="84"/>
      <c r="I60" s="84"/>
      <c r="J60" s="84"/>
      <c r="K60" s="84"/>
      <c r="L60" s="140" t="str">
        <f t="shared" si="22"/>
        <v/>
      </c>
      <c r="M60" s="141" t="s">
        <v>56</v>
      </c>
      <c r="N60" s="141" t="s">
        <v>56</v>
      </c>
      <c r="O60" s="141"/>
      <c r="P60" s="141"/>
      <c r="Q60" s="86"/>
      <c r="R60" s="86"/>
      <c r="S60" s="86"/>
      <c r="T60" s="86"/>
      <c r="U60" s="142" t="str">
        <f t="shared" si="23"/>
        <v/>
      </c>
      <c r="V60" s="88" t="s">
        <v>56</v>
      </c>
      <c r="W60" s="88" t="s">
        <v>56</v>
      </c>
      <c r="X60" s="88"/>
      <c r="Y60" s="88"/>
      <c r="Z60" s="88"/>
      <c r="AA60" s="88"/>
      <c r="AB60" s="88"/>
      <c r="AC60" s="88"/>
      <c r="AD60" s="142" t="str">
        <f t="shared" si="24"/>
        <v/>
      </c>
      <c r="AE60" s="88"/>
      <c r="AF60" s="88"/>
      <c r="AG60" s="88"/>
      <c r="AH60" s="88"/>
      <c r="AI60" s="88"/>
      <c r="AJ60" s="88"/>
      <c r="AK60" s="88"/>
      <c r="AL60" s="88"/>
      <c r="AM60" s="143">
        <v>43.582640812557713</v>
      </c>
      <c r="AN60" s="88">
        <v>108.3</v>
      </c>
      <c r="AO60" s="89" t="s">
        <v>56</v>
      </c>
      <c r="AP60" s="90"/>
      <c r="AQ60" s="146" t="str">
        <f t="shared" si="25"/>
        <v/>
      </c>
      <c r="AR60" s="146" t="str">
        <f t="shared" si="26"/>
        <v/>
      </c>
      <c r="AS60" s="147">
        <v>20</v>
      </c>
      <c r="AT60" s="148" t="s">
        <v>56</v>
      </c>
      <c r="AU60" s="149" t="s">
        <v>56</v>
      </c>
      <c r="AV60" s="146" t="str">
        <f t="shared" si="27"/>
        <v/>
      </c>
      <c r="AW60" s="146" t="str">
        <f t="shared" si="28"/>
        <v/>
      </c>
      <c r="AX60" s="138" t="str">
        <f t="shared" si="29"/>
        <v/>
      </c>
      <c r="AY60" s="95" t="s">
        <v>56</v>
      </c>
      <c r="AZ60" s="96">
        <v>58.965000000000003</v>
      </c>
      <c r="BA60" s="96"/>
      <c r="BB60" s="96">
        <v>54</v>
      </c>
      <c r="BC60" s="96"/>
      <c r="BD60" s="97">
        <v>108.3</v>
      </c>
      <c r="BE60" s="142">
        <f t="shared" si="30"/>
        <v>8034</v>
      </c>
      <c r="BF60" s="98">
        <v>445</v>
      </c>
      <c r="BG60" s="98">
        <v>0</v>
      </c>
      <c r="BH60" s="98">
        <v>6959</v>
      </c>
      <c r="BI60" s="98">
        <v>630</v>
      </c>
      <c r="BJ60" s="98"/>
      <c r="BK60" s="98"/>
      <c r="BL60" s="97"/>
    </row>
    <row r="61" spans="1:64" outlineLevel="5" x14ac:dyDescent="0.3">
      <c r="A61" s="152">
        <f t="shared" si="5"/>
        <v>2</v>
      </c>
      <c r="B61" s="153">
        <f t="shared" si="12"/>
        <v>44237</v>
      </c>
      <c r="C61" s="138">
        <f t="shared" si="21"/>
        <v>38.5</v>
      </c>
      <c r="D61" s="84">
        <v>38</v>
      </c>
      <c r="E61" s="84">
        <v>39</v>
      </c>
      <c r="F61" s="84"/>
      <c r="G61" s="84"/>
      <c r="H61" s="84"/>
      <c r="I61" s="84"/>
      <c r="J61" s="84"/>
      <c r="K61" s="84"/>
      <c r="L61" s="140">
        <f t="shared" si="22"/>
        <v>7.8</v>
      </c>
      <c r="M61" s="141">
        <v>7.81</v>
      </c>
      <c r="N61" s="141">
        <v>7.7</v>
      </c>
      <c r="O61" s="141"/>
      <c r="P61" s="141"/>
      <c r="Q61" s="86"/>
      <c r="R61" s="86"/>
      <c r="S61" s="86"/>
      <c r="T61" s="86"/>
      <c r="U61" s="142">
        <f t="shared" si="23"/>
        <v>1205</v>
      </c>
      <c r="V61" s="88">
        <v>1250</v>
      </c>
      <c r="W61" s="88">
        <v>1160</v>
      </c>
      <c r="X61" s="88"/>
      <c r="Y61" s="88"/>
      <c r="Z61" s="88"/>
      <c r="AA61" s="88"/>
      <c r="AB61" s="88"/>
      <c r="AC61" s="88"/>
      <c r="AD61" s="142" t="str">
        <f t="shared" si="24"/>
        <v/>
      </c>
      <c r="AE61" s="88"/>
      <c r="AF61" s="88"/>
      <c r="AG61" s="88"/>
      <c r="AH61" s="88"/>
      <c r="AI61" s="88"/>
      <c r="AJ61" s="88"/>
      <c r="AK61" s="88"/>
      <c r="AL61" s="88"/>
      <c r="AM61" s="143">
        <v>37.750939774454132</v>
      </c>
      <c r="AN61" s="88">
        <v>125.03</v>
      </c>
      <c r="AO61" s="89" t="s">
        <v>56</v>
      </c>
      <c r="AP61" s="90"/>
      <c r="AQ61" s="146" t="str">
        <f t="shared" si="25"/>
        <v/>
      </c>
      <c r="AR61" s="146" t="str">
        <f t="shared" si="26"/>
        <v/>
      </c>
      <c r="AS61" s="147">
        <v>20</v>
      </c>
      <c r="AT61" s="148">
        <v>15.649999999999999</v>
      </c>
      <c r="AU61" s="149">
        <v>8.9499999999999993</v>
      </c>
      <c r="AV61" s="146">
        <f t="shared" si="27"/>
        <v>57.188498402555908</v>
      </c>
      <c r="AW61" s="146">
        <f t="shared" si="28"/>
        <v>42.811501597444092</v>
      </c>
      <c r="AX61" s="138" t="str">
        <f t="shared" si="29"/>
        <v/>
      </c>
      <c r="AY61" s="95">
        <v>76.8</v>
      </c>
      <c r="AZ61" s="96">
        <v>57.33</v>
      </c>
      <c r="BA61" s="96"/>
      <c r="BB61" s="96">
        <v>61.5</v>
      </c>
      <c r="BC61" s="96"/>
      <c r="BD61" s="97">
        <v>125.03</v>
      </c>
      <c r="BE61" s="142">
        <f t="shared" si="30"/>
        <v>7303</v>
      </c>
      <c r="BF61" s="98">
        <v>273</v>
      </c>
      <c r="BG61" s="98">
        <v>0</v>
      </c>
      <c r="BH61" s="98">
        <v>6404</v>
      </c>
      <c r="BI61" s="98">
        <v>626</v>
      </c>
      <c r="BJ61" s="98"/>
      <c r="BK61" s="98"/>
      <c r="BL61" s="97"/>
    </row>
    <row r="62" spans="1:64" outlineLevel="5" x14ac:dyDescent="0.3">
      <c r="A62" s="152">
        <f t="shared" si="5"/>
        <v>2</v>
      </c>
      <c r="B62" s="153">
        <f t="shared" si="12"/>
        <v>44238</v>
      </c>
      <c r="C62" s="138">
        <f t="shared" si="21"/>
        <v>38.5</v>
      </c>
      <c r="D62" s="84">
        <v>38</v>
      </c>
      <c r="E62" s="84">
        <v>39</v>
      </c>
      <c r="F62" s="84"/>
      <c r="G62" s="84"/>
      <c r="H62" s="84"/>
      <c r="I62" s="84"/>
      <c r="J62" s="84"/>
      <c r="K62" s="84"/>
      <c r="L62" s="140" t="str">
        <f t="shared" si="22"/>
        <v/>
      </c>
      <c r="M62" s="141"/>
      <c r="N62" s="141"/>
      <c r="O62" s="141"/>
      <c r="P62" s="141"/>
      <c r="Q62" s="86"/>
      <c r="R62" s="86"/>
      <c r="S62" s="86"/>
      <c r="T62" s="86"/>
      <c r="U62" s="142" t="str">
        <f t="shared" si="23"/>
        <v/>
      </c>
      <c r="V62" s="88"/>
      <c r="W62" s="88"/>
      <c r="X62" s="88"/>
      <c r="Y62" s="88"/>
      <c r="Z62" s="88"/>
      <c r="AA62" s="88"/>
      <c r="AB62" s="88"/>
      <c r="AC62" s="88"/>
      <c r="AD62" s="142" t="str">
        <f t="shared" si="24"/>
        <v/>
      </c>
      <c r="AE62" s="88"/>
      <c r="AF62" s="88"/>
      <c r="AG62" s="88"/>
      <c r="AH62" s="88"/>
      <c r="AI62" s="88"/>
      <c r="AJ62" s="88"/>
      <c r="AK62" s="88"/>
      <c r="AL62" s="88"/>
      <c r="AM62" s="143">
        <v>44.25691514299109</v>
      </c>
      <c r="AN62" s="88">
        <v>106.65</v>
      </c>
      <c r="AO62" s="89"/>
      <c r="AP62" s="90"/>
      <c r="AQ62" s="146" t="str">
        <f t="shared" si="25"/>
        <v/>
      </c>
      <c r="AR62" s="146" t="str">
        <f t="shared" si="26"/>
        <v/>
      </c>
      <c r="AS62" s="147">
        <v>10</v>
      </c>
      <c r="AT62" s="148" t="s">
        <v>56</v>
      </c>
      <c r="AU62" s="149" t="s">
        <v>56</v>
      </c>
      <c r="AV62" s="146" t="str">
        <f t="shared" si="27"/>
        <v/>
      </c>
      <c r="AW62" s="146" t="str">
        <f t="shared" si="28"/>
        <v/>
      </c>
      <c r="AX62" s="138" t="str">
        <f t="shared" si="29"/>
        <v/>
      </c>
      <c r="AY62" s="95" t="s">
        <v>56</v>
      </c>
      <c r="AZ62" s="96">
        <v>58.614999999999995</v>
      </c>
      <c r="BA62" s="96"/>
      <c r="BB62" s="96">
        <v>81.5</v>
      </c>
      <c r="BC62" s="96"/>
      <c r="BD62" s="97">
        <v>106.65</v>
      </c>
      <c r="BE62" s="142">
        <f t="shared" si="30"/>
        <v>7317</v>
      </c>
      <c r="BF62" s="98">
        <v>0</v>
      </c>
      <c r="BG62" s="98">
        <v>72</v>
      </c>
      <c r="BH62" s="98">
        <v>7245</v>
      </c>
      <c r="BI62" s="98">
        <v>0</v>
      </c>
      <c r="BJ62" s="98"/>
      <c r="BK62" s="98"/>
      <c r="BL62" s="97"/>
    </row>
    <row r="63" spans="1:64" outlineLevel="5" x14ac:dyDescent="0.3">
      <c r="A63" s="152">
        <f t="shared" si="5"/>
        <v>2</v>
      </c>
      <c r="B63" s="153">
        <f t="shared" si="12"/>
        <v>44239</v>
      </c>
      <c r="C63" s="138">
        <f t="shared" si="21"/>
        <v>36.5</v>
      </c>
      <c r="D63" s="84">
        <v>37</v>
      </c>
      <c r="E63" s="84">
        <v>36</v>
      </c>
      <c r="F63" s="84"/>
      <c r="G63" s="84"/>
      <c r="H63" s="84"/>
      <c r="I63" s="84"/>
      <c r="J63" s="84"/>
      <c r="K63" s="84"/>
      <c r="L63" s="140" t="str">
        <f t="shared" si="22"/>
        <v/>
      </c>
      <c r="M63" s="141"/>
      <c r="N63" s="141"/>
      <c r="O63" s="141"/>
      <c r="P63" s="141"/>
      <c r="Q63" s="86"/>
      <c r="R63" s="86"/>
      <c r="S63" s="86"/>
      <c r="T63" s="86"/>
      <c r="U63" s="142" t="str">
        <f t="shared" si="23"/>
        <v/>
      </c>
      <c r="V63" s="88"/>
      <c r="W63" s="88"/>
      <c r="X63" s="88"/>
      <c r="Y63" s="88"/>
      <c r="Z63" s="88"/>
      <c r="AA63" s="88"/>
      <c r="AB63" s="88"/>
      <c r="AC63" s="88"/>
      <c r="AD63" s="142" t="str">
        <f t="shared" si="24"/>
        <v/>
      </c>
      <c r="AE63" s="88"/>
      <c r="AF63" s="88"/>
      <c r="AG63" s="88"/>
      <c r="AH63" s="88"/>
      <c r="AI63" s="88"/>
      <c r="AJ63" s="88"/>
      <c r="AK63" s="88"/>
      <c r="AL63" s="88"/>
      <c r="AM63" s="143">
        <v>59</v>
      </c>
      <c r="AN63" s="88">
        <v>80</v>
      </c>
      <c r="AO63" s="89"/>
      <c r="AP63" s="90"/>
      <c r="AQ63" s="146" t="str">
        <f t="shared" si="25"/>
        <v/>
      </c>
      <c r="AR63" s="146" t="str">
        <f t="shared" si="26"/>
        <v/>
      </c>
      <c r="AS63" s="147">
        <v>10</v>
      </c>
      <c r="AT63" s="148" t="s">
        <v>56</v>
      </c>
      <c r="AU63" s="149" t="s">
        <v>56</v>
      </c>
      <c r="AV63" s="146" t="str">
        <f t="shared" si="27"/>
        <v/>
      </c>
      <c r="AW63" s="146" t="str">
        <f t="shared" si="28"/>
        <v/>
      </c>
      <c r="AX63" s="138" t="str">
        <f t="shared" si="29"/>
        <v/>
      </c>
      <c r="AY63" s="95" t="s">
        <v>56</v>
      </c>
      <c r="AZ63" s="96">
        <v>61.35</v>
      </c>
      <c r="BA63" s="96"/>
      <c r="BB63" s="96">
        <v>79.5</v>
      </c>
      <c r="BC63" s="96"/>
      <c r="BD63" s="97">
        <v>80</v>
      </c>
      <c r="BE63" s="142">
        <f t="shared" si="30"/>
        <v>8914</v>
      </c>
      <c r="BF63" s="98">
        <v>350</v>
      </c>
      <c r="BG63" s="98">
        <v>0</v>
      </c>
      <c r="BH63" s="98">
        <v>8564</v>
      </c>
      <c r="BI63" s="98">
        <v>0</v>
      </c>
      <c r="BJ63" s="98"/>
      <c r="BK63" s="98"/>
      <c r="BL63" s="97"/>
    </row>
    <row r="64" spans="1:64" outlineLevel="5" x14ac:dyDescent="0.3">
      <c r="A64" s="152">
        <f t="shared" si="5"/>
        <v>2</v>
      </c>
      <c r="B64" s="153">
        <f t="shared" si="12"/>
        <v>44240</v>
      </c>
      <c r="C64" s="138">
        <f t="shared" si="21"/>
        <v>37</v>
      </c>
      <c r="D64" s="84">
        <v>37</v>
      </c>
      <c r="E64" s="84">
        <v>37</v>
      </c>
      <c r="F64" s="84"/>
      <c r="G64" s="84"/>
      <c r="H64" s="84"/>
      <c r="I64" s="84"/>
      <c r="J64" s="84"/>
      <c r="K64" s="84"/>
      <c r="L64" s="140" t="str">
        <f t="shared" si="22"/>
        <v/>
      </c>
      <c r="M64" s="141"/>
      <c r="N64" s="141"/>
      <c r="O64" s="141"/>
      <c r="P64" s="141"/>
      <c r="Q64" s="86"/>
      <c r="R64" s="86"/>
      <c r="S64" s="86"/>
      <c r="T64" s="86"/>
      <c r="U64" s="142" t="str">
        <f t="shared" si="23"/>
        <v/>
      </c>
      <c r="V64" s="88"/>
      <c r="W64" s="88"/>
      <c r="X64" s="88"/>
      <c r="Y64" s="88"/>
      <c r="Z64" s="88"/>
      <c r="AA64" s="88"/>
      <c r="AB64" s="88"/>
      <c r="AC64" s="88"/>
      <c r="AD64" s="142" t="str">
        <f t="shared" si="24"/>
        <v/>
      </c>
      <c r="AE64" s="88"/>
      <c r="AF64" s="88"/>
      <c r="AG64" s="88"/>
      <c r="AH64" s="88"/>
      <c r="AI64" s="88"/>
      <c r="AJ64" s="88"/>
      <c r="AK64" s="88"/>
      <c r="AL64" s="88"/>
      <c r="AM64" s="143">
        <v>72.660098522167473</v>
      </c>
      <c r="AN64" s="88">
        <v>64.960000000000008</v>
      </c>
      <c r="AO64" s="89"/>
      <c r="AP64" s="90"/>
      <c r="AQ64" s="146" t="str">
        <f t="shared" si="25"/>
        <v/>
      </c>
      <c r="AR64" s="146" t="str">
        <f t="shared" si="26"/>
        <v/>
      </c>
      <c r="AS64" s="147">
        <v>20</v>
      </c>
      <c r="AT64" s="148" t="s">
        <v>56</v>
      </c>
      <c r="AU64" s="149" t="s">
        <v>56</v>
      </c>
      <c r="AV64" s="146" t="str">
        <f t="shared" si="27"/>
        <v/>
      </c>
      <c r="AW64" s="146" t="str">
        <f t="shared" si="28"/>
        <v/>
      </c>
      <c r="AX64" s="138" t="str">
        <f t="shared" si="29"/>
        <v/>
      </c>
      <c r="AY64" s="95" t="s">
        <v>56</v>
      </c>
      <c r="AZ64" s="96">
        <v>63.905000000000001</v>
      </c>
      <c r="BA64" s="96"/>
      <c r="BB64" s="96">
        <v>82</v>
      </c>
      <c r="BC64" s="96"/>
      <c r="BD64" s="97">
        <v>64.960000000000008</v>
      </c>
      <c r="BE64" s="142">
        <f t="shared" si="30"/>
        <v>6830</v>
      </c>
      <c r="BF64" s="98">
        <v>399</v>
      </c>
      <c r="BG64" s="98">
        <v>0</v>
      </c>
      <c r="BH64" s="98">
        <v>6431</v>
      </c>
      <c r="BI64" s="98">
        <v>0</v>
      </c>
      <c r="BJ64" s="98"/>
      <c r="BK64" s="98"/>
      <c r="BL64" s="97"/>
    </row>
    <row r="65" spans="1:64" outlineLevel="5" x14ac:dyDescent="0.3">
      <c r="A65" s="152">
        <f t="shared" si="5"/>
        <v>2</v>
      </c>
      <c r="B65" s="153">
        <f t="shared" si="12"/>
        <v>44241</v>
      </c>
      <c r="C65" s="138">
        <f t="shared" si="21"/>
        <v>38</v>
      </c>
      <c r="D65" s="84">
        <v>38</v>
      </c>
      <c r="E65" s="84">
        <v>38</v>
      </c>
      <c r="F65" s="84"/>
      <c r="G65" s="84"/>
      <c r="H65" s="84"/>
      <c r="I65" s="84"/>
      <c r="J65" s="84"/>
      <c r="K65" s="84"/>
      <c r="L65" s="140" t="str">
        <f t="shared" si="22"/>
        <v/>
      </c>
      <c r="M65" s="141"/>
      <c r="N65" s="141"/>
      <c r="O65" s="141"/>
      <c r="P65" s="141"/>
      <c r="Q65" s="86"/>
      <c r="R65" s="86"/>
      <c r="S65" s="86"/>
      <c r="T65" s="86"/>
      <c r="U65" s="142" t="str">
        <f t="shared" si="23"/>
        <v/>
      </c>
      <c r="V65" s="88"/>
      <c r="W65" s="88"/>
      <c r="X65" s="88"/>
      <c r="Y65" s="88"/>
      <c r="Z65" s="88"/>
      <c r="AA65" s="88"/>
      <c r="AB65" s="88"/>
      <c r="AC65" s="88"/>
      <c r="AD65" s="142" t="str">
        <f t="shared" si="24"/>
        <v/>
      </c>
      <c r="AE65" s="88"/>
      <c r="AF65" s="88"/>
      <c r="AG65" s="88"/>
      <c r="AH65" s="88"/>
      <c r="AI65" s="88"/>
      <c r="AJ65" s="88"/>
      <c r="AK65" s="88"/>
      <c r="AL65" s="88"/>
      <c r="AM65" s="143">
        <v>78.53577371048253</v>
      </c>
      <c r="AN65" s="88">
        <v>60.1</v>
      </c>
      <c r="AO65" s="89"/>
      <c r="AP65" s="90"/>
      <c r="AQ65" s="146" t="str">
        <f t="shared" si="25"/>
        <v/>
      </c>
      <c r="AR65" s="146" t="str">
        <f t="shared" si="26"/>
        <v/>
      </c>
      <c r="AS65" s="147">
        <v>10</v>
      </c>
      <c r="AT65" s="148" t="s">
        <v>56</v>
      </c>
      <c r="AU65" s="149" t="s">
        <v>56</v>
      </c>
      <c r="AV65" s="146" t="str">
        <f t="shared" si="27"/>
        <v/>
      </c>
      <c r="AW65" s="146" t="str">
        <f t="shared" si="28"/>
        <v/>
      </c>
      <c r="AX65" s="138" t="str">
        <f t="shared" si="29"/>
        <v/>
      </c>
      <c r="AY65" s="95" t="s">
        <v>56</v>
      </c>
      <c r="AZ65" s="96">
        <v>61.275000000000006</v>
      </c>
      <c r="BA65" s="96"/>
      <c r="BB65" s="96">
        <v>80.5</v>
      </c>
      <c r="BC65" s="96"/>
      <c r="BD65" s="97">
        <v>60.1</v>
      </c>
      <c r="BE65" s="142">
        <f t="shared" si="30"/>
        <v>6383</v>
      </c>
      <c r="BF65" s="98">
        <v>365</v>
      </c>
      <c r="BG65" s="98">
        <v>0</v>
      </c>
      <c r="BH65" s="98">
        <v>6018</v>
      </c>
      <c r="BI65" s="98">
        <v>0</v>
      </c>
      <c r="BJ65" s="98"/>
      <c r="BK65" s="98"/>
      <c r="BL65" s="97"/>
    </row>
    <row r="66" spans="1:64" outlineLevel="5" x14ac:dyDescent="0.3">
      <c r="A66" s="152">
        <f t="shared" si="5"/>
        <v>2</v>
      </c>
      <c r="B66" s="153">
        <f t="shared" si="12"/>
        <v>44242</v>
      </c>
      <c r="C66" s="138">
        <f t="shared" si="21"/>
        <v>38</v>
      </c>
      <c r="D66" s="84">
        <v>38</v>
      </c>
      <c r="E66" s="84">
        <v>38</v>
      </c>
      <c r="F66" s="84"/>
      <c r="G66" s="84"/>
      <c r="H66" s="84"/>
      <c r="I66" s="84"/>
      <c r="J66" s="84"/>
      <c r="K66" s="84"/>
      <c r="L66" s="140">
        <f t="shared" si="22"/>
        <v>7.7</v>
      </c>
      <c r="M66" s="141">
        <v>7.79</v>
      </c>
      <c r="N66" s="141">
        <v>7.65</v>
      </c>
      <c r="O66" s="141"/>
      <c r="P66" s="141"/>
      <c r="Q66" s="86"/>
      <c r="R66" s="86"/>
      <c r="S66" s="86"/>
      <c r="T66" s="86"/>
      <c r="U66" s="142">
        <f t="shared" si="23"/>
        <v>1074.5</v>
      </c>
      <c r="V66" s="88">
        <v>1189</v>
      </c>
      <c r="W66" s="88">
        <v>960</v>
      </c>
      <c r="X66" s="88"/>
      <c r="Y66" s="88"/>
      <c r="Z66" s="88"/>
      <c r="AA66" s="88"/>
      <c r="AB66" s="88"/>
      <c r="AC66" s="88"/>
      <c r="AD66" s="142" t="str">
        <f t="shared" si="24"/>
        <v/>
      </c>
      <c r="AE66" s="88"/>
      <c r="AF66" s="88"/>
      <c r="AG66" s="88"/>
      <c r="AH66" s="88"/>
      <c r="AI66" s="88"/>
      <c r="AJ66" s="88"/>
      <c r="AK66" s="88"/>
      <c r="AL66" s="88"/>
      <c r="AM66" s="143">
        <v>39.885076897076218</v>
      </c>
      <c r="AN66" s="88">
        <v>118.34</v>
      </c>
      <c r="AO66" s="89">
        <v>21.7</v>
      </c>
      <c r="AP66" s="90">
        <v>19.139400000000002</v>
      </c>
      <c r="AQ66" s="146">
        <f t="shared" si="25"/>
        <v>88.200000000000017</v>
      </c>
      <c r="AR66" s="146">
        <f t="shared" si="26"/>
        <v>11.799999999999983</v>
      </c>
      <c r="AS66" s="147">
        <v>20</v>
      </c>
      <c r="AT66" s="148">
        <v>16.2</v>
      </c>
      <c r="AU66" s="149">
        <v>9.0500000000000007</v>
      </c>
      <c r="AV66" s="146">
        <f t="shared" si="27"/>
        <v>55.864197530864203</v>
      </c>
      <c r="AW66" s="146">
        <f t="shared" si="28"/>
        <v>44.135802469135797</v>
      </c>
      <c r="AX66" s="138">
        <f t="shared" si="29"/>
        <v>83.066140208997368</v>
      </c>
      <c r="AY66" s="95">
        <v>78.150000000000006</v>
      </c>
      <c r="AZ66" s="96">
        <v>56.305</v>
      </c>
      <c r="BA66" s="96"/>
      <c r="BB66" s="96">
        <v>111</v>
      </c>
      <c r="BC66" s="96"/>
      <c r="BD66" s="97">
        <v>118.34</v>
      </c>
      <c r="BE66" s="142">
        <f t="shared" si="30"/>
        <v>8349</v>
      </c>
      <c r="BF66" s="98">
        <v>198</v>
      </c>
      <c r="BG66" s="98">
        <v>0</v>
      </c>
      <c r="BH66" s="98">
        <v>7486</v>
      </c>
      <c r="BI66" s="98">
        <v>665</v>
      </c>
      <c r="BJ66" s="98"/>
      <c r="BK66" s="98"/>
      <c r="BL66" s="97"/>
    </row>
    <row r="67" spans="1:64" outlineLevel="5" x14ac:dyDescent="0.3">
      <c r="A67" s="152">
        <f t="shared" si="5"/>
        <v>2</v>
      </c>
      <c r="B67" s="153">
        <f t="shared" si="12"/>
        <v>44243</v>
      </c>
      <c r="C67" s="138">
        <f t="shared" si="21"/>
        <v>38</v>
      </c>
      <c r="D67" s="84">
        <v>38</v>
      </c>
      <c r="E67" s="84">
        <v>38</v>
      </c>
      <c r="F67" s="84"/>
      <c r="G67" s="84"/>
      <c r="H67" s="84"/>
      <c r="I67" s="84"/>
      <c r="J67" s="84"/>
      <c r="K67" s="84"/>
      <c r="L67" s="140" t="str">
        <f t="shared" si="22"/>
        <v/>
      </c>
      <c r="M67" s="141" t="s">
        <v>56</v>
      </c>
      <c r="N67" s="141" t="s">
        <v>56</v>
      </c>
      <c r="O67" s="141"/>
      <c r="P67" s="141"/>
      <c r="Q67" s="86"/>
      <c r="R67" s="86"/>
      <c r="S67" s="86"/>
      <c r="T67" s="86"/>
      <c r="U67" s="142" t="str">
        <f t="shared" si="23"/>
        <v/>
      </c>
      <c r="V67" s="88" t="s">
        <v>56</v>
      </c>
      <c r="W67" s="88" t="s">
        <v>56</v>
      </c>
      <c r="X67" s="88"/>
      <c r="Y67" s="88"/>
      <c r="Z67" s="88"/>
      <c r="AA67" s="88"/>
      <c r="AB67" s="88"/>
      <c r="AC67" s="88"/>
      <c r="AD67" s="142" t="str">
        <f t="shared" si="24"/>
        <v/>
      </c>
      <c r="AE67" s="88"/>
      <c r="AF67" s="88"/>
      <c r="AG67" s="88"/>
      <c r="AH67" s="88"/>
      <c r="AI67" s="88"/>
      <c r="AJ67" s="88"/>
      <c r="AK67" s="88"/>
      <c r="AL67" s="88"/>
      <c r="AM67" s="143">
        <v>42.267395003134233</v>
      </c>
      <c r="AN67" s="88">
        <v>111.67</v>
      </c>
      <c r="AO67" s="89" t="s">
        <v>56</v>
      </c>
      <c r="AP67" s="90" t="s">
        <v>56</v>
      </c>
      <c r="AQ67" s="146" t="str">
        <f t="shared" si="25"/>
        <v/>
      </c>
      <c r="AR67" s="146" t="str">
        <f t="shared" si="26"/>
        <v/>
      </c>
      <c r="AS67" s="147">
        <v>40</v>
      </c>
      <c r="AT67" s="148" t="s">
        <v>56</v>
      </c>
      <c r="AU67" s="149" t="s">
        <v>56</v>
      </c>
      <c r="AV67" s="146" t="str">
        <f t="shared" si="27"/>
        <v/>
      </c>
      <c r="AW67" s="146" t="str">
        <f t="shared" si="28"/>
        <v/>
      </c>
      <c r="AX67" s="138" t="str">
        <f t="shared" si="29"/>
        <v/>
      </c>
      <c r="AY67" s="95" t="s">
        <v>56</v>
      </c>
      <c r="AZ67" s="96">
        <v>60.15</v>
      </c>
      <c r="BA67" s="96"/>
      <c r="BB67" s="96">
        <v>100</v>
      </c>
      <c r="BC67" s="96"/>
      <c r="BD67" s="97">
        <v>111.67</v>
      </c>
      <c r="BE67" s="142">
        <f t="shared" si="30"/>
        <v>9843</v>
      </c>
      <c r="BF67" s="98">
        <v>344</v>
      </c>
      <c r="BG67" s="98">
        <v>0</v>
      </c>
      <c r="BH67" s="98">
        <v>7974</v>
      </c>
      <c r="BI67" s="98">
        <v>1525</v>
      </c>
      <c r="BJ67" s="98"/>
      <c r="BK67" s="98"/>
      <c r="BL67" s="97"/>
    </row>
    <row r="68" spans="1:64" outlineLevel="5" x14ac:dyDescent="0.3">
      <c r="A68" s="152">
        <f t="shared" si="5"/>
        <v>2</v>
      </c>
      <c r="B68" s="153">
        <f t="shared" si="12"/>
        <v>44244</v>
      </c>
      <c r="C68" s="138">
        <f t="shared" si="21"/>
        <v>38.5</v>
      </c>
      <c r="D68" s="84">
        <v>39</v>
      </c>
      <c r="E68" s="84">
        <v>38</v>
      </c>
      <c r="F68" s="84"/>
      <c r="G68" s="84"/>
      <c r="H68" s="84"/>
      <c r="I68" s="84"/>
      <c r="J68" s="84"/>
      <c r="K68" s="84"/>
      <c r="L68" s="140">
        <f t="shared" si="22"/>
        <v>7.8</v>
      </c>
      <c r="M68" s="141">
        <v>7.83</v>
      </c>
      <c r="N68" s="141">
        <v>7.69</v>
      </c>
      <c r="O68" s="141"/>
      <c r="P68" s="141"/>
      <c r="Q68" s="86"/>
      <c r="R68" s="86"/>
      <c r="S68" s="86"/>
      <c r="T68" s="86"/>
      <c r="U68" s="142">
        <f t="shared" si="23"/>
        <v>1011</v>
      </c>
      <c r="V68" s="88">
        <v>1068</v>
      </c>
      <c r="W68" s="88">
        <v>954</v>
      </c>
      <c r="X68" s="88"/>
      <c r="Y68" s="88"/>
      <c r="Z68" s="88"/>
      <c r="AA68" s="88"/>
      <c r="AB68" s="88"/>
      <c r="AC68" s="88"/>
      <c r="AD68" s="142" t="str">
        <f t="shared" si="24"/>
        <v/>
      </c>
      <c r="AE68" s="88"/>
      <c r="AF68" s="88"/>
      <c r="AG68" s="88"/>
      <c r="AH68" s="88"/>
      <c r="AI68" s="88"/>
      <c r="AJ68" s="88"/>
      <c r="AK68" s="88"/>
      <c r="AL68" s="88"/>
      <c r="AM68" s="143">
        <v>41.140067985705571</v>
      </c>
      <c r="AN68" s="88">
        <v>114.72999999999999</v>
      </c>
      <c r="AO68" s="89" t="s">
        <v>56</v>
      </c>
      <c r="AP68" s="90" t="s">
        <v>56</v>
      </c>
      <c r="AQ68" s="146" t="str">
        <f t="shared" si="25"/>
        <v/>
      </c>
      <c r="AR68" s="146" t="str">
        <f t="shared" si="26"/>
        <v/>
      </c>
      <c r="AS68" s="147">
        <v>40</v>
      </c>
      <c r="AT68" s="148">
        <v>15.95</v>
      </c>
      <c r="AU68" s="149">
        <v>9.0500000000000007</v>
      </c>
      <c r="AV68" s="146">
        <f t="shared" si="27"/>
        <v>56.739811912225711</v>
      </c>
      <c r="AW68" s="146">
        <f t="shared" si="28"/>
        <v>43.260188087774289</v>
      </c>
      <c r="AX68" s="138" t="str">
        <f t="shared" si="29"/>
        <v/>
      </c>
      <c r="AY68" s="95">
        <v>76.599999999999994</v>
      </c>
      <c r="AZ68" s="96">
        <v>61.47</v>
      </c>
      <c r="BA68" s="96"/>
      <c r="BB68" s="96">
        <v>81.5</v>
      </c>
      <c r="BC68" s="96"/>
      <c r="BD68" s="97">
        <v>114.72999999999999</v>
      </c>
      <c r="BE68" s="142">
        <f t="shared" si="30"/>
        <v>10223</v>
      </c>
      <c r="BF68" s="98">
        <v>440</v>
      </c>
      <c r="BG68" s="98">
        <v>415</v>
      </c>
      <c r="BH68" s="98">
        <v>7015</v>
      </c>
      <c r="BI68" s="98">
        <v>2353</v>
      </c>
      <c r="BJ68" s="98"/>
      <c r="BK68" s="98"/>
      <c r="BL68" s="97"/>
    </row>
    <row r="69" spans="1:64" outlineLevel="5" x14ac:dyDescent="0.3">
      <c r="A69" s="152">
        <f t="shared" si="5"/>
        <v>2</v>
      </c>
      <c r="B69" s="153">
        <f t="shared" si="12"/>
        <v>44245</v>
      </c>
      <c r="C69" s="138">
        <f t="shared" si="21"/>
        <v>38</v>
      </c>
      <c r="D69" s="84">
        <v>38</v>
      </c>
      <c r="E69" s="84">
        <v>38</v>
      </c>
      <c r="F69" s="84"/>
      <c r="G69" s="84"/>
      <c r="H69" s="84"/>
      <c r="I69" s="84"/>
      <c r="J69" s="84"/>
      <c r="K69" s="84"/>
      <c r="L69" s="140">
        <f t="shared" si="22"/>
        <v>7.8</v>
      </c>
      <c r="M69" s="141">
        <v>7.7</v>
      </c>
      <c r="N69" s="141">
        <v>7.82</v>
      </c>
      <c r="O69" s="141"/>
      <c r="P69" s="141"/>
      <c r="Q69" s="86"/>
      <c r="R69" s="86"/>
      <c r="S69" s="86"/>
      <c r="T69" s="86"/>
      <c r="U69" s="142">
        <f t="shared" si="23"/>
        <v>1375</v>
      </c>
      <c r="V69" s="88">
        <v>1310</v>
      </c>
      <c r="W69" s="88">
        <v>1440</v>
      </c>
      <c r="X69" s="88"/>
      <c r="Y69" s="88"/>
      <c r="Z69" s="88"/>
      <c r="AA69" s="88"/>
      <c r="AB69" s="88"/>
      <c r="AC69" s="88"/>
      <c r="AD69" s="142" t="str">
        <f t="shared" si="24"/>
        <v/>
      </c>
      <c r="AE69" s="88"/>
      <c r="AF69" s="88"/>
      <c r="AG69" s="88"/>
      <c r="AH69" s="88"/>
      <c r="AI69" s="88"/>
      <c r="AJ69" s="88"/>
      <c r="AK69" s="88"/>
      <c r="AL69" s="88"/>
      <c r="AM69" s="143">
        <v>42.0377627360171</v>
      </c>
      <c r="AN69" s="88">
        <v>112.28</v>
      </c>
      <c r="AO69" s="89" t="s">
        <v>56</v>
      </c>
      <c r="AP69" s="90" t="s">
        <v>56</v>
      </c>
      <c r="AQ69" s="146" t="str">
        <f t="shared" si="25"/>
        <v/>
      </c>
      <c r="AR69" s="146" t="str">
        <f t="shared" si="26"/>
        <v/>
      </c>
      <c r="AS69" s="147">
        <v>40</v>
      </c>
      <c r="AT69" s="148">
        <v>16.899999999999999</v>
      </c>
      <c r="AU69" s="149">
        <v>8.6999999999999993</v>
      </c>
      <c r="AV69" s="146">
        <f t="shared" si="27"/>
        <v>51.479289940828401</v>
      </c>
      <c r="AW69" s="146">
        <f t="shared" si="28"/>
        <v>48.520710059171599</v>
      </c>
      <c r="AX69" s="138" t="str">
        <f t="shared" si="29"/>
        <v/>
      </c>
      <c r="AY69" s="95">
        <v>75.349999999999994</v>
      </c>
      <c r="AZ69" s="96">
        <v>59.424999999999997</v>
      </c>
      <c r="BA69" s="96"/>
      <c r="BB69" s="96">
        <v>89.5</v>
      </c>
      <c r="BC69" s="96"/>
      <c r="BD69" s="97">
        <v>112.28</v>
      </c>
      <c r="BE69" s="142">
        <f t="shared" si="30"/>
        <v>12103</v>
      </c>
      <c r="BF69" s="98">
        <v>210</v>
      </c>
      <c r="BG69" s="98">
        <v>3472</v>
      </c>
      <c r="BH69" s="98">
        <v>5421</v>
      </c>
      <c r="BI69" s="98">
        <v>3000</v>
      </c>
      <c r="BJ69" s="98"/>
      <c r="BK69" s="98"/>
      <c r="BL69" s="97"/>
    </row>
    <row r="70" spans="1:64" outlineLevel="5" x14ac:dyDescent="0.3">
      <c r="A70" s="152">
        <f t="shared" si="5"/>
        <v>2</v>
      </c>
      <c r="B70" s="153">
        <f t="shared" si="12"/>
        <v>44246</v>
      </c>
      <c r="C70" s="138">
        <f t="shared" si="21"/>
        <v>38</v>
      </c>
      <c r="D70" s="84">
        <v>38</v>
      </c>
      <c r="E70" s="84">
        <v>38</v>
      </c>
      <c r="F70" s="84"/>
      <c r="G70" s="84"/>
      <c r="H70" s="84"/>
      <c r="I70" s="84"/>
      <c r="J70" s="84"/>
      <c r="K70" s="84"/>
      <c r="L70" s="140" t="str">
        <f t="shared" si="22"/>
        <v/>
      </c>
      <c r="M70" s="141" t="s">
        <v>56</v>
      </c>
      <c r="N70" s="141" t="s">
        <v>56</v>
      </c>
      <c r="O70" s="141"/>
      <c r="P70" s="141"/>
      <c r="Q70" s="86"/>
      <c r="R70" s="86"/>
      <c r="S70" s="86"/>
      <c r="T70" s="86"/>
      <c r="U70" s="142" t="str">
        <f t="shared" si="23"/>
        <v/>
      </c>
      <c r="V70" s="88" t="s">
        <v>56</v>
      </c>
      <c r="W70" s="88" t="s">
        <v>56</v>
      </c>
      <c r="X70" s="88"/>
      <c r="Y70" s="88"/>
      <c r="Z70" s="88"/>
      <c r="AA70" s="88"/>
      <c r="AB70" s="88"/>
      <c r="AC70" s="88"/>
      <c r="AD70" s="142" t="str">
        <f t="shared" si="24"/>
        <v/>
      </c>
      <c r="AE70" s="88"/>
      <c r="AF70" s="88"/>
      <c r="AG70" s="88"/>
      <c r="AH70" s="88"/>
      <c r="AI70" s="88"/>
      <c r="AJ70" s="88"/>
      <c r="AK70" s="88"/>
      <c r="AL70" s="88"/>
      <c r="AM70" s="143">
        <v>39.750715849755764</v>
      </c>
      <c r="AN70" s="88">
        <v>118.74000000000001</v>
      </c>
      <c r="AO70" s="89" t="s">
        <v>56</v>
      </c>
      <c r="AP70" s="90"/>
      <c r="AQ70" s="146" t="str">
        <f t="shared" si="25"/>
        <v/>
      </c>
      <c r="AR70" s="146" t="str">
        <f t="shared" si="26"/>
        <v/>
      </c>
      <c r="AS70" s="147">
        <v>20</v>
      </c>
      <c r="AT70" s="148" t="s">
        <v>56</v>
      </c>
      <c r="AU70" s="149" t="s">
        <v>56</v>
      </c>
      <c r="AV70" s="146" t="str">
        <f t="shared" si="27"/>
        <v/>
      </c>
      <c r="AW70" s="146" t="str">
        <f t="shared" si="28"/>
        <v/>
      </c>
      <c r="AX70" s="138" t="str">
        <f t="shared" si="29"/>
        <v/>
      </c>
      <c r="AY70" s="95" t="s">
        <v>56</v>
      </c>
      <c r="AZ70" s="96">
        <v>59.870000000000005</v>
      </c>
      <c r="BA70" s="96"/>
      <c r="BB70" s="96">
        <v>73</v>
      </c>
      <c r="BC70" s="96"/>
      <c r="BD70" s="97">
        <v>118.74000000000001</v>
      </c>
      <c r="BE70" s="142">
        <f t="shared" si="30"/>
        <v>14377</v>
      </c>
      <c r="BF70" s="98">
        <v>171</v>
      </c>
      <c r="BG70" s="98">
        <v>3784</v>
      </c>
      <c r="BH70" s="98">
        <v>6357</v>
      </c>
      <c r="BI70" s="98">
        <v>4065</v>
      </c>
      <c r="BJ70" s="98"/>
      <c r="BK70" s="98"/>
      <c r="BL70" s="97"/>
    </row>
    <row r="71" spans="1:64" outlineLevel="5" x14ac:dyDescent="0.3">
      <c r="A71" s="152">
        <f t="shared" si="5"/>
        <v>2</v>
      </c>
      <c r="B71" s="153">
        <f t="shared" si="12"/>
        <v>44247</v>
      </c>
      <c r="C71" s="138">
        <f t="shared" si="21"/>
        <v>37</v>
      </c>
      <c r="D71" s="84">
        <v>37</v>
      </c>
      <c r="E71" s="84">
        <v>37</v>
      </c>
      <c r="F71" s="84"/>
      <c r="G71" s="84"/>
      <c r="H71" s="84"/>
      <c r="I71" s="84"/>
      <c r="J71" s="84"/>
      <c r="K71" s="84"/>
      <c r="L71" s="140" t="str">
        <f t="shared" si="22"/>
        <v/>
      </c>
      <c r="M71" s="141"/>
      <c r="N71" s="141"/>
      <c r="O71" s="141"/>
      <c r="P71" s="141"/>
      <c r="Q71" s="86"/>
      <c r="R71" s="86"/>
      <c r="S71" s="86"/>
      <c r="T71" s="86"/>
      <c r="U71" s="142" t="str">
        <f t="shared" si="23"/>
        <v/>
      </c>
      <c r="V71" s="88"/>
      <c r="W71" s="88"/>
      <c r="X71" s="88"/>
      <c r="Y71" s="88"/>
      <c r="Z71" s="88"/>
      <c r="AA71" s="88"/>
      <c r="AB71" s="88"/>
      <c r="AC71" s="88"/>
      <c r="AD71" s="142" t="str">
        <f t="shared" si="24"/>
        <v/>
      </c>
      <c r="AE71" s="88"/>
      <c r="AF71" s="88"/>
      <c r="AG71" s="88"/>
      <c r="AH71" s="88"/>
      <c r="AI71" s="88"/>
      <c r="AJ71" s="88"/>
      <c r="AK71" s="88"/>
      <c r="AL71" s="88"/>
      <c r="AM71" s="143">
        <v>45.358447049778974</v>
      </c>
      <c r="AN71" s="88">
        <v>104.06</v>
      </c>
      <c r="AO71" s="89"/>
      <c r="AP71" s="90"/>
      <c r="AQ71" s="146" t="str">
        <f t="shared" si="25"/>
        <v/>
      </c>
      <c r="AR71" s="146" t="str">
        <f t="shared" si="26"/>
        <v/>
      </c>
      <c r="AS71" s="147">
        <v>10</v>
      </c>
      <c r="AT71" s="148" t="s">
        <v>56</v>
      </c>
      <c r="AU71" s="149" t="s">
        <v>56</v>
      </c>
      <c r="AV71" s="146" t="str">
        <f t="shared" si="27"/>
        <v/>
      </c>
      <c r="AW71" s="146" t="str">
        <f t="shared" si="28"/>
        <v/>
      </c>
      <c r="AX71" s="138" t="str">
        <f t="shared" si="29"/>
        <v/>
      </c>
      <c r="AY71" s="95" t="s">
        <v>56</v>
      </c>
      <c r="AZ71" s="96">
        <v>59.795000000000002</v>
      </c>
      <c r="BA71" s="96"/>
      <c r="BB71" s="96">
        <v>78.5</v>
      </c>
      <c r="BC71" s="96"/>
      <c r="BD71" s="97">
        <v>104.06</v>
      </c>
      <c r="BE71" s="142">
        <f t="shared" si="30"/>
        <v>12027</v>
      </c>
      <c r="BF71" s="98">
        <v>283</v>
      </c>
      <c r="BG71" s="98">
        <v>3445</v>
      </c>
      <c r="BH71" s="98">
        <v>3768</v>
      </c>
      <c r="BI71" s="98">
        <v>4531</v>
      </c>
      <c r="BJ71" s="98"/>
      <c r="BK71" s="98"/>
      <c r="BL71" s="97"/>
    </row>
    <row r="72" spans="1:64" outlineLevel="5" x14ac:dyDescent="0.3">
      <c r="A72" s="152">
        <f t="shared" si="5"/>
        <v>2</v>
      </c>
      <c r="B72" s="153">
        <f t="shared" si="12"/>
        <v>44248</v>
      </c>
      <c r="C72" s="138">
        <f t="shared" si="21"/>
        <v>38</v>
      </c>
      <c r="D72" s="84">
        <v>38</v>
      </c>
      <c r="E72" s="84">
        <v>38</v>
      </c>
      <c r="F72" s="84"/>
      <c r="G72" s="84"/>
      <c r="H72" s="84"/>
      <c r="I72" s="84"/>
      <c r="J72" s="84"/>
      <c r="K72" s="84"/>
      <c r="L72" s="140" t="str">
        <f t="shared" si="22"/>
        <v/>
      </c>
      <c r="M72" s="141"/>
      <c r="N72" s="141"/>
      <c r="O72" s="141"/>
      <c r="P72" s="141"/>
      <c r="Q72" s="86"/>
      <c r="R72" s="86"/>
      <c r="S72" s="86"/>
      <c r="T72" s="86"/>
      <c r="U72" s="142" t="str">
        <f t="shared" si="23"/>
        <v/>
      </c>
      <c r="V72" s="88"/>
      <c r="W72" s="88"/>
      <c r="X72" s="88"/>
      <c r="Y72" s="88"/>
      <c r="Z72" s="88"/>
      <c r="AA72" s="88"/>
      <c r="AB72" s="88"/>
      <c r="AC72" s="88"/>
      <c r="AD72" s="142" t="str">
        <f t="shared" si="24"/>
        <v/>
      </c>
      <c r="AE72" s="88"/>
      <c r="AF72" s="88"/>
      <c r="AG72" s="88"/>
      <c r="AH72" s="88"/>
      <c r="AI72" s="88"/>
      <c r="AJ72" s="88"/>
      <c r="AK72" s="88"/>
      <c r="AL72" s="88"/>
      <c r="AM72" s="143">
        <v>44.952380952380949</v>
      </c>
      <c r="AN72" s="88">
        <v>105</v>
      </c>
      <c r="AO72" s="89"/>
      <c r="AP72" s="90"/>
      <c r="AQ72" s="146" t="str">
        <f t="shared" si="25"/>
        <v/>
      </c>
      <c r="AR72" s="146" t="str">
        <f t="shared" si="26"/>
        <v/>
      </c>
      <c r="AS72" s="147">
        <v>10</v>
      </c>
      <c r="AT72" s="148" t="s">
        <v>56</v>
      </c>
      <c r="AU72" s="149" t="s">
        <v>56</v>
      </c>
      <c r="AV72" s="146" t="str">
        <f t="shared" si="27"/>
        <v/>
      </c>
      <c r="AW72" s="146" t="str">
        <f t="shared" si="28"/>
        <v/>
      </c>
      <c r="AX72" s="138" t="str">
        <f t="shared" si="29"/>
        <v/>
      </c>
      <c r="AY72" s="95" t="s">
        <v>56</v>
      </c>
      <c r="AZ72" s="96">
        <v>59.424999999999997</v>
      </c>
      <c r="BA72" s="96"/>
      <c r="BB72" s="96">
        <v>88</v>
      </c>
      <c r="BC72" s="96"/>
      <c r="BD72" s="97">
        <v>105</v>
      </c>
      <c r="BE72" s="142">
        <f t="shared" si="30"/>
        <v>5330</v>
      </c>
      <c r="BF72" s="98">
        <v>185</v>
      </c>
      <c r="BG72" s="98">
        <v>0</v>
      </c>
      <c r="BH72" s="98">
        <v>0</v>
      </c>
      <c r="BI72" s="98">
        <v>5145</v>
      </c>
      <c r="BJ72" s="98"/>
      <c r="BK72" s="98"/>
      <c r="BL72" s="97"/>
    </row>
    <row r="73" spans="1:64" outlineLevel="5" x14ac:dyDescent="0.3">
      <c r="A73" s="152">
        <f t="shared" si="5"/>
        <v>2</v>
      </c>
      <c r="B73" s="153">
        <f t="shared" si="12"/>
        <v>44249</v>
      </c>
      <c r="C73" s="138">
        <f t="shared" si="21"/>
        <v>38</v>
      </c>
      <c r="D73" s="84">
        <v>38</v>
      </c>
      <c r="E73" s="84">
        <v>38</v>
      </c>
      <c r="F73" s="84"/>
      <c r="G73" s="84"/>
      <c r="H73" s="84"/>
      <c r="I73" s="84"/>
      <c r="J73" s="84"/>
      <c r="K73" s="84"/>
      <c r="L73" s="140">
        <f t="shared" si="22"/>
        <v>7.7</v>
      </c>
      <c r="M73" s="141">
        <v>7.75</v>
      </c>
      <c r="N73" s="141">
        <v>7.63</v>
      </c>
      <c r="O73" s="141"/>
      <c r="P73" s="141"/>
      <c r="Q73" s="86"/>
      <c r="R73" s="86"/>
      <c r="S73" s="86"/>
      <c r="T73" s="86"/>
      <c r="U73" s="142">
        <f t="shared" si="23"/>
        <v>1370</v>
      </c>
      <c r="V73" s="88">
        <v>1490</v>
      </c>
      <c r="W73" s="88">
        <v>1250</v>
      </c>
      <c r="X73" s="88"/>
      <c r="Y73" s="88"/>
      <c r="Z73" s="88"/>
      <c r="AA73" s="88"/>
      <c r="AB73" s="88"/>
      <c r="AC73" s="88"/>
      <c r="AD73" s="142" t="str">
        <f t="shared" si="24"/>
        <v/>
      </c>
      <c r="AE73" s="88"/>
      <c r="AF73" s="88"/>
      <c r="AG73" s="88"/>
      <c r="AH73" s="88"/>
      <c r="AI73" s="88"/>
      <c r="AJ73" s="88"/>
      <c r="AK73" s="88"/>
      <c r="AL73" s="88"/>
      <c r="AM73" s="143">
        <v>43.635018951650181</v>
      </c>
      <c r="AN73" s="88">
        <v>108.17</v>
      </c>
      <c r="AO73" s="89" t="s">
        <v>56</v>
      </c>
      <c r="AP73" s="90"/>
      <c r="AQ73" s="146" t="str">
        <f t="shared" si="25"/>
        <v/>
      </c>
      <c r="AR73" s="146" t="str">
        <f t="shared" si="26"/>
        <v/>
      </c>
      <c r="AS73" s="147">
        <v>40</v>
      </c>
      <c r="AT73" s="148">
        <v>15.799999999999999</v>
      </c>
      <c r="AU73" s="149">
        <v>8.85</v>
      </c>
      <c r="AV73" s="146">
        <f t="shared" si="27"/>
        <v>56.0126582278481</v>
      </c>
      <c r="AW73" s="146">
        <f t="shared" si="28"/>
        <v>43.9873417721519</v>
      </c>
      <c r="AX73" s="138" t="str">
        <f t="shared" si="29"/>
        <v/>
      </c>
      <c r="AY73" s="95">
        <v>74.650000000000006</v>
      </c>
      <c r="AZ73" s="96">
        <v>59.22</v>
      </c>
      <c r="BA73" s="96"/>
      <c r="BB73" s="96">
        <v>100</v>
      </c>
      <c r="BC73" s="96"/>
      <c r="BD73" s="97">
        <v>108.17</v>
      </c>
      <c r="BE73" s="142">
        <f t="shared" si="30"/>
        <v>7710</v>
      </c>
      <c r="BF73" s="98">
        <v>67</v>
      </c>
      <c r="BG73" s="98">
        <v>0</v>
      </c>
      <c r="BH73" s="98">
        <v>2580</v>
      </c>
      <c r="BI73" s="98">
        <v>5063</v>
      </c>
      <c r="BJ73" s="98"/>
      <c r="BK73" s="98"/>
      <c r="BL73" s="97"/>
    </row>
    <row r="74" spans="1:64" outlineLevel="5" x14ac:dyDescent="0.3">
      <c r="A74" s="152">
        <f t="shared" si="5"/>
        <v>2</v>
      </c>
      <c r="B74" s="153">
        <f t="shared" si="12"/>
        <v>44250</v>
      </c>
      <c r="C74" s="138">
        <f t="shared" si="21"/>
        <v>38</v>
      </c>
      <c r="D74" s="84">
        <v>38</v>
      </c>
      <c r="E74" s="84">
        <v>38</v>
      </c>
      <c r="F74" s="84"/>
      <c r="G74" s="84"/>
      <c r="H74" s="84"/>
      <c r="I74" s="84"/>
      <c r="J74" s="84"/>
      <c r="K74" s="84"/>
      <c r="L74" s="140" t="str">
        <f t="shared" si="22"/>
        <v/>
      </c>
      <c r="M74" s="141" t="s">
        <v>56</v>
      </c>
      <c r="N74" s="141" t="s">
        <v>56</v>
      </c>
      <c r="O74" s="141"/>
      <c r="P74" s="141"/>
      <c r="Q74" s="86"/>
      <c r="R74" s="86"/>
      <c r="S74" s="86"/>
      <c r="T74" s="86"/>
      <c r="U74" s="142" t="str">
        <f t="shared" si="23"/>
        <v/>
      </c>
      <c r="V74" s="88" t="s">
        <v>56</v>
      </c>
      <c r="W74" s="88" t="s">
        <v>56</v>
      </c>
      <c r="X74" s="88"/>
      <c r="Y74" s="88"/>
      <c r="Z74" s="88"/>
      <c r="AA74" s="88"/>
      <c r="AB74" s="88"/>
      <c r="AC74" s="88"/>
      <c r="AD74" s="142" t="str">
        <f t="shared" si="24"/>
        <v/>
      </c>
      <c r="AE74" s="88"/>
      <c r="AF74" s="88"/>
      <c r="AG74" s="88"/>
      <c r="AH74" s="88"/>
      <c r="AI74" s="88"/>
      <c r="AJ74" s="88"/>
      <c r="AK74" s="88"/>
      <c r="AL74" s="88"/>
      <c r="AM74" s="143">
        <v>38.342810722989441</v>
      </c>
      <c r="AN74" s="88">
        <v>123.1</v>
      </c>
      <c r="AO74" s="89" t="s">
        <v>56</v>
      </c>
      <c r="AP74" s="90"/>
      <c r="AQ74" s="146" t="str">
        <f t="shared" si="25"/>
        <v/>
      </c>
      <c r="AR74" s="146" t="str">
        <f t="shared" si="26"/>
        <v/>
      </c>
      <c r="AS74" s="147">
        <v>20</v>
      </c>
      <c r="AT74" s="148" t="s">
        <v>56</v>
      </c>
      <c r="AU74" s="149" t="s">
        <v>56</v>
      </c>
      <c r="AV74" s="146" t="str">
        <f t="shared" si="27"/>
        <v/>
      </c>
      <c r="AW74" s="146" t="str">
        <f t="shared" si="28"/>
        <v/>
      </c>
      <c r="AX74" s="138" t="str">
        <f t="shared" si="29"/>
        <v/>
      </c>
      <c r="AY74" s="95" t="s">
        <v>56</v>
      </c>
      <c r="AZ74" s="96">
        <v>59.2</v>
      </c>
      <c r="BA74" s="96"/>
      <c r="BB74" s="96">
        <v>106.5</v>
      </c>
      <c r="BC74" s="96"/>
      <c r="BD74" s="97">
        <v>123.1</v>
      </c>
      <c r="BE74" s="142">
        <f t="shared" si="30"/>
        <v>13057</v>
      </c>
      <c r="BF74" s="98">
        <v>0</v>
      </c>
      <c r="BG74" s="98">
        <v>0</v>
      </c>
      <c r="BH74" s="98">
        <v>7912</v>
      </c>
      <c r="BI74" s="98">
        <v>5145</v>
      </c>
      <c r="BJ74" s="98"/>
      <c r="BK74" s="98"/>
      <c r="BL74" s="97"/>
    </row>
    <row r="75" spans="1:64" outlineLevel="5" x14ac:dyDescent="0.3">
      <c r="A75" s="152">
        <f t="shared" si="5"/>
        <v>2</v>
      </c>
      <c r="B75" s="153">
        <f t="shared" si="12"/>
        <v>44251</v>
      </c>
      <c r="C75" s="138">
        <f t="shared" si="21"/>
        <v>38</v>
      </c>
      <c r="D75" s="84">
        <v>38</v>
      </c>
      <c r="E75" s="84">
        <v>38</v>
      </c>
      <c r="F75" s="84"/>
      <c r="G75" s="84"/>
      <c r="H75" s="84"/>
      <c r="I75" s="84"/>
      <c r="J75" s="84"/>
      <c r="K75" s="84"/>
      <c r="L75" s="140">
        <f t="shared" si="22"/>
        <v>7.7</v>
      </c>
      <c r="M75" s="141">
        <v>7.79</v>
      </c>
      <c r="N75" s="141">
        <v>7.7</v>
      </c>
      <c r="O75" s="141"/>
      <c r="P75" s="141"/>
      <c r="Q75" s="86"/>
      <c r="R75" s="86"/>
      <c r="S75" s="86"/>
      <c r="T75" s="86"/>
      <c r="U75" s="142">
        <f t="shared" si="23"/>
        <v>1350</v>
      </c>
      <c r="V75" s="88">
        <v>1450</v>
      </c>
      <c r="W75" s="88">
        <v>1250</v>
      </c>
      <c r="X75" s="88"/>
      <c r="Y75" s="88"/>
      <c r="Z75" s="88"/>
      <c r="AA75" s="88"/>
      <c r="AB75" s="88"/>
      <c r="AC75" s="88"/>
      <c r="AD75" s="142" t="str">
        <f t="shared" si="24"/>
        <v/>
      </c>
      <c r="AE75" s="88"/>
      <c r="AF75" s="88"/>
      <c r="AG75" s="88"/>
      <c r="AH75" s="88"/>
      <c r="AI75" s="88"/>
      <c r="AJ75" s="88"/>
      <c r="AK75" s="88"/>
      <c r="AL75" s="88"/>
      <c r="AM75" s="143">
        <v>38.19697337541475</v>
      </c>
      <c r="AN75" s="88">
        <v>123.57</v>
      </c>
      <c r="AO75" s="89" t="s">
        <v>56</v>
      </c>
      <c r="AP75" s="90"/>
      <c r="AQ75" s="146" t="str">
        <f t="shared" si="25"/>
        <v/>
      </c>
      <c r="AR75" s="146" t="str">
        <f t="shared" si="26"/>
        <v/>
      </c>
      <c r="AS75" s="147">
        <v>10</v>
      </c>
      <c r="AT75" s="148">
        <v>15.5</v>
      </c>
      <c r="AU75" s="149">
        <v>8.9</v>
      </c>
      <c r="AV75" s="146">
        <f t="shared" si="27"/>
        <v>57.41935483870968</v>
      </c>
      <c r="AW75" s="146">
        <f t="shared" si="28"/>
        <v>42.58064516129032</v>
      </c>
      <c r="AX75" s="138" t="str">
        <f t="shared" si="29"/>
        <v/>
      </c>
      <c r="AY75" s="95">
        <v>72.3</v>
      </c>
      <c r="AZ75" s="96">
        <v>61.269999999999996</v>
      </c>
      <c r="BA75" s="96"/>
      <c r="BB75" s="96">
        <v>93.5</v>
      </c>
      <c r="BC75" s="96"/>
      <c r="BD75" s="97">
        <v>123.57</v>
      </c>
      <c r="BE75" s="142">
        <f t="shared" si="30"/>
        <v>15485</v>
      </c>
      <c r="BF75" s="98">
        <v>60</v>
      </c>
      <c r="BG75" s="98">
        <v>27</v>
      </c>
      <c r="BH75" s="98">
        <v>10376</v>
      </c>
      <c r="BI75" s="98">
        <v>5022</v>
      </c>
      <c r="BJ75" s="98"/>
      <c r="BK75" s="98"/>
      <c r="BL75" s="97"/>
    </row>
    <row r="76" spans="1:64" outlineLevel="5" x14ac:dyDescent="0.3">
      <c r="A76" s="152">
        <f t="shared" si="5"/>
        <v>2</v>
      </c>
      <c r="B76" s="153">
        <f t="shared" si="12"/>
        <v>44252</v>
      </c>
      <c r="C76" s="138">
        <f t="shared" si="21"/>
        <v>37.5</v>
      </c>
      <c r="D76" s="84">
        <v>38</v>
      </c>
      <c r="E76" s="84">
        <v>37</v>
      </c>
      <c r="F76" s="84"/>
      <c r="G76" s="84"/>
      <c r="H76" s="84"/>
      <c r="I76" s="84"/>
      <c r="J76" s="84"/>
      <c r="K76" s="84"/>
      <c r="L76" s="140" t="str">
        <f t="shared" si="22"/>
        <v/>
      </c>
      <c r="M76" s="141" t="s">
        <v>56</v>
      </c>
      <c r="N76" s="141" t="s">
        <v>56</v>
      </c>
      <c r="O76" s="141"/>
      <c r="P76" s="141"/>
      <c r="Q76" s="86"/>
      <c r="R76" s="86"/>
      <c r="S76" s="86"/>
      <c r="T76" s="86"/>
      <c r="U76" s="142" t="str">
        <f t="shared" si="23"/>
        <v/>
      </c>
      <c r="V76" s="88" t="s">
        <v>56</v>
      </c>
      <c r="W76" s="88" t="s">
        <v>56</v>
      </c>
      <c r="X76" s="88"/>
      <c r="Y76" s="88"/>
      <c r="Z76" s="88"/>
      <c r="AA76" s="88"/>
      <c r="AB76" s="88"/>
      <c r="AC76" s="88"/>
      <c r="AD76" s="142" t="str">
        <f t="shared" si="24"/>
        <v/>
      </c>
      <c r="AE76" s="88"/>
      <c r="AF76" s="88"/>
      <c r="AG76" s="88"/>
      <c r="AH76" s="88"/>
      <c r="AI76" s="88"/>
      <c r="AJ76" s="88"/>
      <c r="AK76" s="88"/>
      <c r="AL76" s="88"/>
      <c r="AM76" s="143">
        <v>38.882939286596915</v>
      </c>
      <c r="AN76" s="88">
        <v>121.39</v>
      </c>
      <c r="AO76" s="89" t="s">
        <v>56</v>
      </c>
      <c r="AP76" s="90"/>
      <c r="AQ76" s="146" t="str">
        <f t="shared" si="25"/>
        <v/>
      </c>
      <c r="AR76" s="146" t="str">
        <f t="shared" si="26"/>
        <v/>
      </c>
      <c r="AS76" s="147">
        <v>20</v>
      </c>
      <c r="AT76" s="148" t="s">
        <v>56</v>
      </c>
      <c r="AU76" s="149" t="s">
        <v>56</v>
      </c>
      <c r="AV76" s="146" t="str">
        <f t="shared" si="27"/>
        <v/>
      </c>
      <c r="AW76" s="146" t="str">
        <f t="shared" si="28"/>
        <v/>
      </c>
      <c r="AX76" s="138" t="str">
        <f t="shared" si="29"/>
        <v/>
      </c>
      <c r="AY76" s="95" t="s">
        <v>56</v>
      </c>
      <c r="AZ76" s="96">
        <v>61.614999999999995</v>
      </c>
      <c r="BA76" s="96"/>
      <c r="BB76" s="96">
        <v>93</v>
      </c>
      <c r="BC76" s="96"/>
      <c r="BD76" s="97">
        <v>121.39</v>
      </c>
      <c r="BE76" s="142">
        <f t="shared" si="30"/>
        <v>14296</v>
      </c>
      <c r="BF76" s="98">
        <v>191</v>
      </c>
      <c r="BG76" s="98">
        <v>0</v>
      </c>
      <c r="BH76" s="98">
        <v>8703</v>
      </c>
      <c r="BI76" s="98">
        <v>5402</v>
      </c>
      <c r="BJ76" s="98"/>
      <c r="BK76" s="98"/>
      <c r="BL76" s="97"/>
    </row>
    <row r="77" spans="1:64" outlineLevel="5" x14ac:dyDescent="0.3">
      <c r="A77" s="152">
        <f t="shared" si="5"/>
        <v>2</v>
      </c>
      <c r="B77" s="153">
        <f t="shared" si="12"/>
        <v>44253</v>
      </c>
      <c r="C77" s="138">
        <f t="shared" si="21"/>
        <v>37</v>
      </c>
      <c r="D77" s="84">
        <v>37</v>
      </c>
      <c r="E77" s="84">
        <v>37</v>
      </c>
      <c r="F77" s="84"/>
      <c r="G77" s="84"/>
      <c r="H77" s="84"/>
      <c r="I77" s="84"/>
      <c r="J77" s="84"/>
      <c r="K77" s="84"/>
      <c r="L77" s="140" t="str">
        <f t="shared" si="22"/>
        <v/>
      </c>
      <c r="M77" s="141" t="s">
        <v>56</v>
      </c>
      <c r="N77" s="141" t="s">
        <v>56</v>
      </c>
      <c r="O77" s="141"/>
      <c r="P77" s="141"/>
      <c r="Q77" s="86"/>
      <c r="R77" s="86"/>
      <c r="S77" s="86"/>
      <c r="T77" s="86"/>
      <c r="U77" s="142" t="str">
        <f t="shared" si="23"/>
        <v/>
      </c>
      <c r="V77" s="88" t="s">
        <v>56</v>
      </c>
      <c r="W77" s="88" t="s">
        <v>56</v>
      </c>
      <c r="X77" s="88"/>
      <c r="Y77" s="88"/>
      <c r="Z77" s="88"/>
      <c r="AA77" s="88"/>
      <c r="AB77" s="88"/>
      <c r="AC77" s="88"/>
      <c r="AD77" s="142" t="str">
        <f t="shared" si="24"/>
        <v/>
      </c>
      <c r="AE77" s="88"/>
      <c r="AF77" s="88"/>
      <c r="AG77" s="88"/>
      <c r="AH77" s="88"/>
      <c r="AI77" s="88"/>
      <c r="AJ77" s="88"/>
      <c r="AK77" s="88"/>
      <c r="AL77" s="88"/>
      <c r="AM77" s="143">
        <v>37.778133504081957</v>
      </c>
      <c r="AN77" s="88">
        <v>124.94</v>
      </c>
      <c r="AO77" s="89" t="s">
        <v>56</v>
      </c>
      <c r="AP77" s="90"/>
      <c r="AQ77" s="146" t="str">
        <f t="shared" si="25"/>
        <v/>
      </c>
      <c r="AR77" s="146" t="str">
        <f t="shared" si="26"/>
        <v/>
      </c>
      <c r="AS77" s="147">
        <v>10</v>
      </c>
      <c r="AT77" s="148" t="s">
        <v>56</v>
      </c>
      <c r="AU77" s="149" t="s">
        <v>56</v>
      </c>
      <c r="AV77" s="146" t="str">
        <f t="shared" si="27"/>
        <v/>
      </c>
      <c r="AW77" s="146" t="str">
        <f t="shared" si="28"/>
        <v/>
      </c>
      <c r="AX77" s="138" t="str">
        <f t="shared" si="29"/>
        <v/>
      </c>
      <c r="AY77" s="95" t="s">
        <v>56</v>
      </c>
      <c r="AZ77" s="96">
        <v>59.22</v>
      </c>
      <c r="BA77" s="96"/>
      <c r="BB77" s="96">
        <v>92.5</v>
      </c>
      <c r="BC77" s="96"/>
      <c r="BD77" s="97">
        <v>124.94</v>
      </c>
      <c r="BE77" s="142">
        <f t="shared" si="30"/>
        <v>12830</v>
      </c>
      <c r="BF77" s="98">
        <v>190</v>
      </c>
      <c r="BG77" s="98">
        <v>33</v>
      </c>
      <c r="BH77" s="98">
        <v>7488</v>
      </c>
      <c r="BI77" s="98">
        <v>5119</v>
      </c>
      <c r="BJ77" s="98"/>
      <c r="BK77" s="98"/>
      <c r="BL77" s="97"/>
    </row>
    <row r="78" spans="1:64" outlineLevel="5" x14ac:dyDescent="0.3">
      <c r="A78" s="152">
        <f t="shared" si="5"/>
        <v>2</v>
      </c>
      <c r="B78" s="153">
        <f t="shared" si="12"/>
        <v>44254</v>
      </c>
      <c r="C78" s="138">
        <f t="shared" si="21"/>
        <v>37</v>
      </c>
      <c r="D78" s="84">
        <v>37</v>
      </c>
      <c r="E78" s="84">
        <v>37</v>
      </c>
      <c r="F78" s="84"/>
      <c r="G78" s="84"/>
      <c r="H78" s="84"/>
      <c r="I78" s="84"/>
      <c r="J78" s="84"/>
      <c r="K78" s="84"/>
      <c r="L78" s="140" t="str">
        <f t="shared" si="22"/>
        <v/>
      </c>
      <c r="M78" s="141"/>
      <c r="N78" s="141"/>
      <c r="O78" s="141"/>
      <c r="P78" s="141"/>
      <c r="Q78" s="86"/>
      <c r="R78" s="86"/>
      <c r="S78" s="86"/>
      <c r="T78" s="86"/>
      <c r="U78" s="142" t="str">
        <f t="shared" si="23"/>
        <v/>
      </c>
      <c r="V78" s="88"/>
      <c r="W78" s="88"/>
      <c r="X78" s="88"/>
      <c r="Y78" s="88"/>
      <c r="Z78" s="88"/>
      <c r="AA78" s="88"/>
      <c r="AB78" s="88"/>
      <c r="AC78" s="88"/>
      <c r="AD78" s="142" t="str">
        <f t="shared" si="24"/>
        <v/>
      </c>
      <c r="AE78" s="88"/>
      <c r="AF78" s="88"/>
      <c r="AG78" s="88"/>
      <c r="AH78" s="88"/>
      <c r="AI78" s="88"/>
      <c r="AJ78" s="88"/>
      <c r="AK78" s="88"/>
      <c r="AL78" s="88"/>
      <c r="AM78" s="143">
        <v>40.091735326594751</v>
      </c>
      <c r="AN78" s="88">
        <v>117.73</v>
      </c>
      <c r="AO78" s="89"/>
      <c r="AP78" s="90"/>
      <c r="AQ78" s="146" t="str">
        <f t="shared" si="25"/>
        <v/>
      </c>
      <c r="AR78" s="146" t="str">
        <f t="shared" si="26"/>
        <v/>
      </c>
      <c r="AS78" s="147">
        <v>0</v>
      </c>
      <c r="AT78" s="148" t="s">
        <v>56</v>
      </c>
      <c r="AU78" s="149" t="s">
        <v>56</v>
      </c>
      <c r="AV78" s="146" t="str">
        <f t="shared" si="27"/>
        <v/>
      </c>
      <c r="AW78" s="146" t="str">
        <f t="shared" si="28"/>
        <v/>
      </c>
      <c r="AX78" s="138" t="str">
        <f t="shared" si="29"/>
        <v/>
      </c>
      <c r="AY78" s="95" t="s">
        <v>56</v>
      </c>
      <c r="AZ78" s="96">
        <v>63.454999999999998</v>
      </c>
      <c r="BA78" s="96"/>
      <c r="BB78" s="96">
        <v>94</v>
      </c>
      <c r="BC78" s="96"/>
      <c r="BD78" s="97">
        <v>117.73</v>
      </c>
      <c r="BE78" s="142">
        <f t="shared" si="30"/>
        <v>9015</v>
      </c>
      <c r="BF78" s="98">
        <v>136</v>
      </c>
      <c r="BG78" s="98">
        <v>0</v>
      </c>
      <c r="BH78" s="98">
        <v>3998</v>
      </c>
      <c r="BI78" s="98">
        <v>4881</v>
      </c>
      <c r="BJ78" s="98"/>
      <c r="BK78" s="98"/>
      <c r="BL78" s="97"/>
    </row>
    <row r="79" spans="1:64" outlineLevel="5" x14ac:dyDescent="0.3">
      <c r="A79" s="152">
        <f t="shared" si="5"/>
        <v>2</v>
      </c>
      <c r="B79" s="166">
        <f t="shared" si="12"/>
        <v>44255</v>
      </c>
      <c r="C79" s="138">
        <f t="shared" si="21"/>
        <v>36.5</v>
      </c>
      <c r="D79" s="84">
        <v>37</v>
      </c>
      <c r="E79" s="84">
        <v>36</v>
      </c>
      <c r="F79" s="84"/>
      <c r="G79" s="84"/>
      <c r="H79" s="84"/>
      <c r="I79" s="84"/>
      <c r="J79" s="84"/>
      <c r="K79" s="84"/>
      <c r="L79" s="140" t="str">
        <f t="shared" si="22"/>
        <v/>
      </c>
      <c r="M79" s="141"/>
      <c r="N79" s="141"/>
      <c r="O79" s="141"/>
      <c r="P79" s="141"/>
      <c r="Q79" s="86"/>
      <c r="R79" s="86"/>
      <c r="S79" s="86"/>
      <c r="T79" s="86"/>
      <c r="U79" s="142" t="str">
        <f t="shared" si="23"/>
        <v/>
      </c>
      <c r="V79" s="88"/>
      <c r="W79" s="88"/>
      <c r="X79" s="88"/>
      <c r="Y79" s="88"/>
      <c r="Z79" s="88"/>
      <c r="AA79" s="88"/>
      <c r="AB79" s="88"/>
      <c r="AC79" s="88"/>
      <c r="AD79" s="142" t="str">
        <f t="shared" si="24"/>
        <v/>
      </c>
      <c r="AE79" s="88"/>
      <c r="AF79" s="88"/>
      <c r="AG79" s="88"/>
      <c r="AH79" s="88"/>
      <c r="AI79" s="88"/>
      <c r="AJ79" s="88"/>
      <c r="AK79" s="88"/>
      <c r="AL79" s="88"/>
      <c r="AM79" s="143">
        <v>52.444444444444443</v>
      </c>
      <c r="AN79" s="88">
        <v>90</v>
      </c>
      <c r="AO79" s="89"/>
      <c r="AP79" s="90"/>
      <c r="AQ79" s="146" t="str">
        <f t="shared" si="25"/>
        <v/>
      </c>
      <c r="AR79" s="146" t="str">
        <f t="shared" si="26"/>
        <v/>
      </c>
      <c r="AS79" s="147">
        <v>0</v>
      </c>
      <c r="AT79" s="148" t="s">
        <v>56</v>
      </c>
      <c r="AU79" s="149" t="s">
        <v>56</v>
      </c>
      <c r="AV79" s="146" t="str">
        <f t="shared" si="27"/>
        <v/>
      </c>
      <c r="AW79" s="146" t="str">
        <f t="shared" si="28"/>
        <v/>
      </c>
      <c r="AX79" s="138" t="str">
        <f t="shared" si="29"/>
        <v/>
      </c>
      <c r="AY79" s="95" t="s">
        <v>56</v>
      </c>
      <c r="AZ79" s="96">
        <v>63.99</v>
      </c>
      <c r="BA79" s="96"/>
      <c r="BB79" s="96">
        <v>107.5</v>
      </c>
      <c r="BC79" s="96"/>
      <c r="BD79" s="97">
        <v>90</v>
      </c>
      <c r="BE79" s="142">
        <f t="shared" si="30"/>
        <v>8229</v>
      </c>
      <c r="BF79" s="98">
        <v>235</v>
      </c>
      <c r="BG79" s="98">
        <v>0</v>
      </c>
      <c r="BH79" s="98">
        <v>3054</v>
      </c>
      <c r="BI79" s="98">
        <v>4940</v>
      </c>
      <c r="BJ79" s="98"/>
      <c r="BK79" s="98"/>
      <c r="BL79" s="97"/>
    </row>
    <row r="80" spans="1:64" ht="17.25" outlineLevel="5" thickBot="1" x14ac:dyDescent="0.35">
      <c r="A80" s="167" t="e">
        <f t="shared" si="5"/>
        <v>#VALUE!</v>
      </c>
      <c r="B80" s="182" t="s">
        <v>105</v>
      </c>
      <c r="C80" s="138" t="str">
        <f t="shared" si="21"/>
        <v/>
      </c>
      <c r="D80" s="84"/>
      <c r="E80" s="84"/>
      <c r="F80" s="84"/>
      <c r="G80" s="84"/>
      <c r="H80" s="84"/>
      <c r="I80" s="84"/>
      <c r="J80" s="84"/>
      <c r="K80" s="84"/>
      <c r="L80" s="140" t="str">
        <f t="shared" si="22"/>
        <v/>
      </c>
      <c r="M80" s="86"/>
      <c r="N80" s="86"/>
      <c r="O80" s="86"/>
      <c r="P80" s="86"/>
      <c r="Q80" s="86"/>
      <c r="R80" s="86"/>
      <c r="S80" s="86"/>
      <c r="T80" s="86"/>
      <c r="U80" s="142" t="str">
        <f t="shared" si="23"/>
        <v/>
      </c>
      <c r="V80" s="88"/>
      <c r="W80" s="88"/>
      <c r="X80" s="88"/>
      <c r="Y80" s="88"/>
      <c r="Z80" s="88"/>
      <c r="AA80" s="88"/>
      <c r="AB80" s="88"/>
      <c r="AC80" s="88"/>
      <c r="AD80" s="142" t="str">
        <f t="shared" si="24"/>
        <v/>
      </c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9"/>
      <c r="AP80" s="90"/>
      <c r="AQ80" s="146" t="str">
        <f t="shared" si="25"/>
        <v/>
      </c>
      <c r="AR80" s="146" t="str">
        <f t="shared" si="26"/>
        <v/>
      </c>
      <c r="AS80" s="147"/>
      <c r="AT80" s="148"/>
      <c r="AU80" s="149"/>
      <c r="AV80" s="146" t="str">
        <f t="shared" si="27"/>
        <v/>
      </c>
      <c r="AW80" s="146" t="str">
        <f t="shared" si="28"/>
        <v/>
      </c>
      <c r="AX80" s="138" t="str">
        <f t="shared" si="29"/>
        <v/>
      </c>
      <c r="AY80" s="95"/>
      <c r="AZ80" s="96"/>
      <c r="BA80" s="96"/>
      <c r="BB80" s="96"/>
      <c r="BC80" s="96"/>
      <c r="BD80" s="97"/>
      <c r="BE80" s="142" t="str">
        <f t="shared" si="30"/>
        <v/>
      </c>
      <c r="BF80" s="98"/>
      <c r="BG80" s="98"/>
      <c r="BH80" s="98"/>
      <c r="BI80" s="98"/>
      <c r="BJ80" s="98"/>
      <c r="BK80" s="98"/>
      <c r="BL80" s="97"/>
    </row>
    <row r="81" spans="1:64" outlineLevel="4" x14ac:dyDescent="0.3">
      <c r="A81" s="63" t="s">
        <v>61</v>
      </c>
      <c r="B81" s="64"/>
      <c r="C81" s="65">
        <f t="shared" ref="C81:BL81" si="31">SUBTOTAL(4,C52:C80)</f>
        <v>38.5</v>
      </c>
      <c r="D81" s="66">
        <f t="shared" si="31"/>
        <v>39</v>
      </c>
      <c r="E81" s="66">
        <f t="shared" si="31"/>
        <v>39</v>
      </c>
      <c r="F81" s="66">
        <f t="shared" si="31"/>
        <v>0</v>
      </c>
      <c r="G81" s="66">
        <f t="shared" si="31"/>
        <v>0</v>
      </c>
      <c r="H81" s="66">
        <f t="shared" si="31"/>
        <v>0</v>
      </c>
      <c r="I81" s="66">
        <f t="shared" si="31"/>
        <v>0</v>
      </c>
      <c r="J81" s="66">
        <f t="shared" si="31"/>
        <v>0</v>
      </c>
      <c r="K81" s="66">
        <f t="shared" si="31"/>
        <v>0</v>
      </c>
      <c r="L81" s="67">
        <f t="shared" si="31"/>
        <v>7.8</v>
      </c>
      <c r="M81" s="68">
        <f t="shared" si="31"/>
        <v>7.84</v>
      </c>
      <c r="N81" s="68">
        <f t="shared" si="31"/>
        <v>7.82</v>
      </c>
      <c r="O81" s="68">
        <f t="shared" si="31"/>
        <v>0</v>
      </c>
      <c r="P81" s="68">
        <f t="shared" si="31"/>
        <v>0</v>
      </c>
      <c r="Q81" s="68">
        <f t="shared" si="31"/>
        <v>0</v>
      </c>
      <c r="R81" s="68">
        <f t="shared" si="31"/>
        <v>0</v>
      </c>
      <c r="S81" s="68">
        <f t="shared" si="31"/>
        <v>0</v>
      </c>
      <c r="T81" s="68">
        <f t="shared" si="31"/>
        <v>0</v>
      </c>
      <c r="U81" s="69">
        <f t="shared" si="31"/>
        <v>1375</v>
      </c>
      <c r="V81" s="70">
        <f t="shared" si="31"/>
        <v>1490</v>
      </c>
      <c r="W81" s="70">
        <f t="shared" si="31"/>
        <v>1440</v>
      </c>
      <c r="X81" s="70">
        <f t="shared" si="31"/>
        <v>0</v>
      </c>
      <c r="Y81" s="70">
        <f t="shared" si="31"/>
        <v>0</v>
      </c>
      <c r="Z81" s="70">
        <f t="shared" si="31"/>
        <v>0</v>
      </c>
      <c r="AA81" s="70">
        <f t="shared" si="31"/>
        <v>0</v>
      </c>
      <c r="AB81" s="70">
        <f t="shared" si="31"/>
        <v>0</v>
      </c>
      <c r="AC81" s="70">
        <f t="shared" si="31"/>
        <v>0</v>
      </c>
      <c r="AD81" s="69">
        <f t="shared" si="31"/>
        <v>0</v>
      </c>
      <c r="AE81" s="70">
        <f t="shared" si="31"/>
        <v>0</v>
      </c>
      <c r="AF81" s="70">
        <f t="shared" si="31"/>
        <v>0</v>
      </c>
      <c r="AG81" s="70">
        <f t="shared" si="31"/>
        <v>0</v>
      </c>
      <c r="AH81" s="70">
        <f t="shared" si="31"/>
        <v>0</v>
      </c>
      <c r="AI81" s="70">
        <f t="shared" si="31"/>
        <v>0</v>
      </c>
      <c r="AJ81" s="70">
        <f t="shared" si="31"/>
        <v>0</v>
      </c>
      <c r="AK81" s="70">
        <f t="shared" si="31"/>
        <v>0</v>
      </c>
      <c r="AL81" s="70">
        <f t="shared" si="31"/>
        <v>0</v>
      </c>
      <c r="AM81" s="70">
        <f t="shared" si="31"/>
        <v>78.53577371048253</v>
      </c>
      <c r="AN81" s="70">
        <f t="shared" si="31"/>
        <v>125.03</v>
      </c>
      <c r="AO81" s="71">
        <f t="shared" si="31"/>
        <v>35</v>
      </c>
      <c r="AP81" s="72">
        <f t="shared" si="31"/>
        <v>30.905000000000001</v>
      </c>
      <c r="AQ81" s="73">
        <f t="shared" si="31"/>
        <v>88.3</v>
      </c>
      <c r="AR81" s="73">
        <f t="shared" si="31"/>
        <v>11.799999999999983</v>
      </c>
      <c r="AS81" s="74">
        <f t="shared" si="31"/>
        <v>40</v>
      </c>
      <c r="AT81" s="75">
        <f t="shared" si="31"/>
        <v>16.899999999999999</v>
      </c>
      <c r="AU81" s="76">
        <f t="shared" si="31"/>
        <v>9.0500000000000007</v>
      </c>
      <c r="AV81" s="73">
        <f t="shared" si="31"/>
        <v>58.724832214765101</v>
      </c>
      <c r="AW81" s="73">
        <f t="shared" si="31"/>
        <v>48.520710059171599</v>
      </c>
      <c r="AX81" s="65">
        <f t="shared" si="31"/>
        <v>85.354950229480835</v>
      </c>
      <c r="AY81" s="77">
        <f t="shared" si="31"/>
        <v>78.150000000000006</v>
      </c>
      <c r="AZ81" s="78">
        <f t="shared" si="31"/>
        <v>63.99</v>
      </c>
      <c r="BA81" s="78">
        <f t="shared" si="31"/>
        <v>0</v>
      </c>
      <c r="BB81" s="78">
        <f t="shared" si="31"/>
        <v>112</v>
      </c>
      <c r="BC81" s="78">
        <f t="shared" si="31"/>
        <v>0</v>
      </c>
      <c r="BD81" s="79">
        <f t="shared" si="31"/>
        <v>125.03</v>
      </c>
      <c r="BE81" s="69">
        <f t="shared" si="31"/>
        <v>15485</v>
      </c>
      <c r="BF81" s="70">
        <f t="shared" si="31"/>
        <v>445</v>
      </c>
      <c r="BG81" s="80">
        <f t="shared" si="31"/>
        <v>3784</v>
      </c>
      <c r="BH81" s="80">
        <f t="shared" si="31"/>
        <v>10376</v>
      </c>
      <c r="BI81" s="80">
        <f t="shared" si="31"/>
        <v>5402</v>
      </c>
      <c r="BJ81" s="80">
        <f t="shared" si="31"/>
        <v>0</v>
      </c>
      <c r="BK81" s="80">
        <f t="shared" si="31"/>
        <v>0</v>
      </c>
      <c r="BL81" s="79">
        <f t="shared" si="31"/>
        <v>0</v>
      </c>
    </row>
    <row r="82" spans="1:64" outlineLevel="3" x14ac:dyDescent="0.3">
      <c r="A82" s="81" t="s">
        <v>62</v>
      </c>
      <c r="B82" s="82"/>
      <c r="C82" s="83">
        <f t="shared" ref="C82:BL82" si="32">SUBTOTAL(5,C52:C80)</f>
        <v>36</v>
      </c>
      <c r="D82" s="84">
        <f t="shared" si="32"/>
        <v>37</v>
      </c>
      <c r="E82" s="84">
        <f t="shared" si="32"/>
        <v>35</v>
      </c>
      <c r="F82" s="84">
        <f t="shared" si="32"/>
        <v>0</v>
      </c>
      <c r="G82" s="84">
        <f t="shared" si="32"/>
        <v>0</v>
      </c>
      <c r="H82" s="84">
        <f t="shared" si="32"/>
        <v>0</v>
      </c>
      <c r="I82" s="84">
        <f t="shared" si="32"/>
        <v>0</v>
      </c>
      <c r="J82" s="84">
        <f t="shared" si="32"/>
        <v>0</v>
      </c>
      <c r="K82" s="84">
        <f t="shared" si="32"/>
        <v>0</v>
      </c>
      <c r="L82" s="85">
        <f t="shared" si="32"/>
        <v>7.7</v>
      </c>
      <c r="M82" s="86">
        <f t="shared" si="32"/>
        <v>7.7</v>
      </c>
      <c r="N82" s="86">
        <f t="shared" si="32"/>
        <v>7.63</v>
      </c>
      <c r="O82" s="86">
        <f t="shared" si="32"/>
        <v>0</v>
      </c>
      <c r="P82" s="86">
        <f t="shared" si="32"/>
        <v>0</v>
      </c>
      <c r="Q82" s="86">
        <f t="shared" si="32"/>
        <v>0</v>
      </c>
      <c r="R82" s="86">
        <f t="shared" si="32"/>
        <v>0</v>
      </c>
      <c r="S82" s="86">
        <f t="shared" si="32"/>
        <v>0</v>
      </c>
      <c r="T82" s="86">
        <f t="shared" si="32"/>
        <v>0</v>
      </c>
      <c r="U82" s="87">
        <f t="shared" si="32"/>
        <v>1011</v>
      </c>
      <c r="V82" s="88">
        <f t="shared" si="32"/>
        <v>1068</v>
      </c>
      <c r="W82" s="88">
        <f t="shared" si="32"/>
        <v>954</v>
      </c>
      <c r="X82" s="88">
        <f t="shared" si="32"/>
        <v>0</v>
      </c>
      <c r="Y82" s="88">
        <f t="shared" si="32"/>
        <v>0</v>
      </c>
      <c r="Z82" s="88">
        <f t="shared" si="32"/>
        <v>0</v>
      </c>
      <c r="AA82" s="88">
        <f t="shared" si="32"/>
        <v>0</v>
      </c>
      <c r="AB82" s="88">
        <f t="shared" si="32"/>
        <v>0</v>
      </c>
      <c r="AC82" s="88">
        <f t="shared" si="32"/>
        <v>0</v>
      </c>
      <c r="AD82" s="87">
        <f t="shared" si="32"/>
        <v>0</v>
      </c>
      <c r="AE82" s="88">
        <f t="shared" si="32"/>
        <v>0</v>
      </c>
      <c r="AF82" s="88">
        <f t="shared" si="32"/>
        <v>0</v>
      </c>
      <c r="AG82" s="88">
        <f t="shared" si="32"/>
        <v>0</v>
      </c>
      <c r="AH82" s="88">
        <f t="shared" si="32"/>
        <v>0</v>
      </c>
      <c r="AI82" s="88">
        <f t="shared" si="32"/>
        <v>0</v>
      </c>
      <c r="AJ82" s="88">
        <f t="shared" si="32"/>
        <v>0</v>
      </c>
      <c r="AK82" s="88">
        <f t="shared" si="32"/>
        <v>0</v>
      </c>
      <c r="AL82" s="88">
        <f t="shared" si="32"/>
        <v>0</v>
      </c>
      <c r="AM82" s="88">
        <f t="shared" si="32"/>
        <v>37.750939774454132</v>
      </c>
      <c r="AN82" s="88">
        <f t="shared" si="32"/>
        <v>60.1</v>
      </c>
      <c r="AO82" s="89">
        <f t="shared" si="32"/>
        <v>21.7</v>
      </c>
      <c r="AP82" s="90">
        <f t="shared" si="32"/>
        <v>19.139400000000002</v>
      </c>
      <c r="AQ82" s="91">
        <f t="shared" si="32"/>
        <v>88.200000000000017</v>
      </c>
      <c r="AR82" s="91">
        <f t="shared" si="32"/>
        <v>11.700000000000003</v>
      </c>
      <c r="AS82" s="92">
        <f t="shared" si="32"/>
        <v>0</v>
      </c>
      <c r="AT82" s="93">
        <f t="shared" si="32"/>
        <v>14.9</v>
      </c>
      <c r="AU82" s="94">
        <f t="shared" si="32"/>
        <v>8.4</v>
      </c>
      <c r="AV82" s="91">
        <f t="shared" si="32"/>
        <v>51.479289940828401</v>
      </c>
      <c r="AW82" s="91">
        <f t="shared" si="32"/>
        <v>41.275167785234899</v>
      </c>
      <c r="AX82" s="83">
        <f t="shared" si="32"/>
        <v>83.066140208997368</v>
      </c>
      <c r="AY82" s="95">
        <f t="shared" si="32"/>
        <v>70.400000000000006</v>
      </c>
      <c r="AZ82" s="96">
        <f t="shared" si="32"/>
        <v>56.305</v>
      </c>
      <c r="BA82" s="96">
        <f t="shared" si="32"/>
        <v>0</v>
      </c>
      <c r="BB82" s="96">
        <f t="shared" si="32"/>
        <v>54</v>
      </c>
      <c r="BC82" s="96">
        <f t="shared" si="32"/>
        <v>0</v>
      </c>
      <c r="BD82" s="97">
        <f t="shared" si="32"/>
        <v>60.1</v>
      </c>
      <c r="BE82" s="87">
        <f t="shared" si="32"/>
        <v>5330</v>
      </c>
      <c r="BF82" s="88">
        <f t="shared" si="32"/>
        <v>0</v>
      </c>
      <c r="BG82" s="98">
        <f t="shared" si="32"/>
        <v>0</v>
      </c>
      <c r="BH82" s="98">
        <f t="shared" si="32"/>
        <v>0</v>
      </c>
      <c r="BI82" s="98">
        <f t="shared" si="32"/>
        <v>0</v>
      </c>
      <c r="BJ82" s="98">
        <f t="shared" si="32"/>
        <v>0</v>
      </c>
      <c r="BK82" s="98">
        <f t="shared" si="32"/>
        <v>0</v>
      </c>
      <c r="BL82" s="97">
        <f t="shared" si="32"/>
        <v>0</v>
      </c>
    </row>
    <row r="83" spans="1:64" outlineLevel="2" x14ac:dyDescent="0.3">
      <c r="A83" s="81" t="s">
        <v>63</v>
      </c>
      <c r="B83" s="82"/>
      <c r="C83" s="83">
        <f t="shared" ref="C83:BL83" si="33">IFERROR(SUBTOTAL(1,C52:C80),"")</f>
        <v>37.803571428571431</v>
      </c>
      <c r="D83" s="84">
        <f t="shared" si="33"/>
        <v>37.857142857142854</v>
      </c>
      <c r="E83" s="84">
        <f t="shared" si="33"/>
        <v>37.75</v>
      </c>
      <c r="F83" s="84" t="str">
        <f t="shared" si="33"/>
        <v/>
      </c>
      <c r="G83" s="84" t="str">
        <f t="shared" si="33"/>
        <v/>
      </c>
      <c r="H83" s="84" t="str">
        <f t="shared" si="33"/>
        <v/>
      </c>
      <c r="I83" s="84" t="str">
        <f t="shared" si="33"/>
        <v/>
      </c>
      <c r="J83" s="84" t="str">
        <f t="shared" si="33"/>
        <v/>
      </c>
      <c r="K83" s="84" t="str">
        <f t="shared" si="33"/>
        <v/>
      </c>
      <c r="L83" s="85">
        <f t="shared" si="33"/>
        <v>7.75</v>
      </c>
      <c r="M83" s="86">
        <f t="shared" si="33"/>
        <v>7.7866666666666662</v>
      </c>
      <c r="N83" s="86">
        <f t="shared" si="33"/>
        <v>7.6989999999999998</v>
      </c>
      <c r="O83" s="86" t="str">
        <f t="shared" si="33"/>
        <v/>
      </c>
      <c r="P83" s="86" t="str">
        <f t="shared" si="33"/>
        <v/>
      </c>
      <c r="Q83" s="86" t="str">
        <f t="shared" si="33"/>
        <v/>
      </c>
      <c r="R83" s="86" t="str">
        <f t="shared" si="33"/>
        <v/>
      </c>
      <c r="S83" s="86" t="str">
        <f t="shared" si="33"/>
        <v/>
      </c>
      <c r="T83" s="86" t="str">
        <f t="shared" si="33"/>
        <v/>
      </c>
      <c r="U83" s="87">
        <f t="shared" si="33"/>
        <v>1195.3499999999999</v>
      </c>
      <c r="V83" s="88">
        <f t="shared" si="33"/>
        <v>1275.6666666666667</v>
      </c>
      <c r="W83" s="88">
        <f t="shared" si="33"/>
        <v>1134.5</v>
      </c>
      <c r="X83" s="88" t="str">
        <f t="shared" si="33"/>
        <v/>
      </c>
      <c r="Y83" s="88" t="str">
        <f t="shared" si="33"/>
        <v/>
      </c>
      <c r="Z83" s="88" t="str">
        <f t="shared" si="33"/>
        <v/>
      </c>
      <c r="AA83" s="88" t="str">
        <f t="shared" si="33"/>
        <v/>
      </c>
      <c r="AB83" s="88" t="str">
        <f t="shared" si="33"/>
        <v/>
      </c>
      <c r="AC83" s="88" t="str">
        <f t="shared" si="33"/>
        <v/>
      </c>
      <c r="AD83" s="87" t="str">
        <f t="shared" si="33"/>
        <v/>
      </c>
      <c r="AE83" s="88" t="str">
        <f t="shared" si="33"/>
        <v/>
      </c>
      <c r="AF83" s="88" t="str">
        <f t="shared" si="33"/>
        <v/>
      </c>
      <c r="AG83" s="88" t="str">
        <f t="shared" si="33"/>
        <v/>
      </c>
      <c r="AH83" s="88" t="str">
        <f t="shared" si="33"/>
        <v/>
      </c>
      <c r="AI83" s="88" t="str">
        <f t="shared" si="33"/>
        <v/>
      </c>
      <c r="AJ83" s="88" t="str">
        <f t="shared" si="33"/>
        <v/>
      </c>
      <c r="AK83" s="88" t="str">
        <f t="shared" si="33"/>
        <v/>
      </c>
      <c r="AL83" s="88" t="str">
        <f t="shared" si="33"/>
        <v/>
      </c>
      <c r="AM83" s="88">
        <f t="shared" si="33"/>
        <v>46.839752818736557</v>
      </c>
      <c r="AN83" s="88">
        <f t="shared" si="33"/>
        <v>104.62428571428572</v>
      </c>
      <c r="AO83" s="89">
        <f t="shared" si="33"/>
        <v>28.35</v>
      </c>
      <c r="AP83" s="90">
        <f t="shared" si="33"/>
        <v>25.022200000000002</v>
      </c>
      <c r="AQ83" s="91">
        <f t="shared" si="33"/>
        <v>88.25</v>
      </c>
      <c r="AR83" s="91">
        <f t="shared" si="33"/>
        <v>11.749999999999993</v>
      </c>
      <c r="AS83" s="92">
        <f t="shared" si="33"/>
        <v>17.857142857142858</v>
      </c>
      <c r="AT83" s="93">
        <f t="shared" si="33"/>
        <v>15.795000000000002</v>
      </c>
      <c r="AU83" s="94">
        <f t="shared" si="33"/>
        <v>8.8099999999999987</v>
      </c>
      <c r="AV83" s="91">
        <f t="shared" si="33"/>
        <v>55.834151336901684</v>
      </c>
      <c r="AW83" s="91">
        <f t="shared" si="33"/>
        <v>44.165848663098309</v>
      </c>
      <c r="AX83" s="83">
        <f t="shared" si="33"/>
        <v>84.210545219239094</v>
      </c>
      <c r="AY83" s="95">
        <f t="shared" si="33"/>
        <v>74.820000000000007</v>
      </c>
      <c r="AZ83" s="96">
        <f t="shared" si="33"/>
        <v>60.014642857142853</v>
      </c>
      <c r="BA83" s="96" t="str">
        <f t="shared" si="33"/>
        <v/>
      </c>
      <c r="BB83" s="96">
        <f t="shared" si="33"/>
        <v>84.571428571428569</v>
      </c>
      <c r="BC83" s="96" t="str">
        <f t="shared" si="33"/>
        <v/>
      </c>
      <c r="BD83" s="97">
        <f>IFERROR(SUBTOTAL(1,BD52:BD80),"")</f>
        <v>104.62428571428572</v>
      </c>
      <c r="BE83" s="87">
        <f t="shared" si="33"/>
        <v>9593.6785714285706</v>
      </c>
      <c r="BF83" s="88">
        <f t="shared" si="33"/>
        <v>250.85714285714286</v>
      </c>
      <c r="BG83" s="98">
        <f t="shared" si="33"/>
        <v>527.42857142857144</v>
      </c>
      <c r="BH83" s="98">
        <f t="shared" si="33"/>
        <v>6610.8928571428569</v>
      </c>
      <c r="BI83" s="98">
        <f t="shared" si="33"/>
        <v>2204.5</v>
      </c>
      <c r="BJ83" s="98" t="str">
        <f t="shared" si="33"/>
        <v/>
      </c>
      <c r="BK83" s="98" t="str">
        <f t="shared" si="33"/>
        <v/>
      </c>
      <c r="BL83" s="97" t="str">
        <f t="shared" si="33"/>
        <v/>
      </c>
    </row>
    <row r="84" spans="1:64" ht="17.25" outlineLevel="1" thickBot="1" x14ac:dyDescent="0.35">
      <c r="A84" s="99" t="s">
        <v>64</v>
      </c>
      <c r="B84" s="100"/>
      <c r="C84" s="101"/>
      <c r="D84" s="102"/>
      <c r="E84" s="102"/>
      <c r="F84" s="102"/>
      <c r="G84" s="102"/>
      <c r="H84" s="102"/>
      <c r="I84" s="102"/>
      <c r="J84" s="102"/>
      <c r="K84" s="102"/>
      <c r="L84" s="103"/>
      <c r="M84" s="104"/>
      <c r="N84" s="104"/>
      <c r="O84" s="104"/>
      <c r="P84" s="104"/>
      <c r="Q84" s="104"/>
      <c r="R84" s="104"/>
      <c r="S84" s="104"/>
      <c r="T84" s="104"/>
      <c r="U84" s="105"/>
      <c r="V84" s="106"/>
      <c r="W84" s="106"/>
      <c r="X84" s="106"/>
      <c r="Y84" s="106"/>
      <c r="Z84" s="106"/>
      <c r="AA84" s="106"/>
      <c r="AB84" s="106"/>
      <c r="AC84" s="106"/>
      <c r="AD84" s="105"/>
      <c r="AE84" s="106"/>
      <c r="AF84" s="106"/>
      <c r="AG84" s="106"/>
      <c r="AH84" s="106"/>
      <c r="AI84" s="106"/>
      <c r="AJ84" s="106"/>
      <c r="AK84" s="106"/>
      <c r="AL84" s="106"/>
      <c r="AM84" s="106"/>
      <c r="AN84" s="107">
        <f>SUBTOTAL(9,AN52:AN80)</f>
        <v>2929.48</v>
      </c>
      <c r="AO84" s="108"/>
      <c r="AP84" s="109"/>
      <c r="AQ84" s="110"/>
      <c r="AR84" s="110"/>
      <c r="AS84" s="111">
        <f>SUBTOTAL(9,AS52:AS80)</f>
        <v>500</v>
      </c>
      <c r="AT84" s="112"/>
      <c r="AU84" s="113"/>
      <c r="AV84" s="110"/>
      <c r="AW84" s="110"/>
      <c r="AX84" s="101"/>
      <c r="AY84" s="114"/>
      <c r="AZ84" s="115"/>
      <c r="BA84" s="115"/>
      <c r="BB84" s="115"/>
      <c r="BC84" s="115"/>
      <c r="BD84" s="116">
        <f>SUBTOTAL(9,BD52:BD80)</f>
        <v>2929.48</v>
      </c>
      <c r="BE84" s="117">
        <f t="shared" ref="BE84:BL84" si="34">SUBTOTAL(9,BE52:BE80)</f>
        <v>268623</v>
      </c>
      <c r="BF84" s="107">
        <f t="shared" si="34"/>
        <v>7024</v>
      </c>
      <c r="BG84" s="118">
        <f t="shared" si="34"/>
        <v>14768</v>
      </c>
      <c r="BH84" s="118">
        <f t="shared" si="34"/>
        <v>185105</v>
      </c>
      <c r="BI84" s="118">
        <f t="shared" si="34"/>
        <v>61726</v>
      </c>
      <c r="BJ84" s="118">
        <f t="shared" si="34"/>
        <v>0</v>
      </c>
      <c r="BK84" s="118">
        <f t="shared" si="34"/>
        <v>0</v>
      </c>
      <c r="BL84" s="116">
        <f t="shared" si="34"/>
        <v>0</v>
      </c>
    </row>
    <row r="85" spans="1:64" outlineLevel="5" x14ac:dyDescent="0.3">
      <c r="A85" s="136">
        <f t="shared" si="5"/>
        <v>3</v>
      </c>
      <c r="B85" s="137">
        <f>B79+1</f>
        <v>44256</v>
      </c>
      <c r="C85" s="138"/>
      <c r="D85" s="84">
        <v>37</v>
      </c>
      <c r="E85" s="84">
        <v>36</v>
      </c>
      <c r="F85" s="84"/>
      <c r="G85" s="84"/>
      <c r="H85" s="84"/>
      <c r="I85" s="84"/>
      <c r="J85" s="84"/>
      <c r="K85" s="84"/>
      <c r="L85" s="140" t="str">
        <f t="shared" ref="L85:L115" si="35">IFERROR(ROUND(AVERAGE(M85:T85),1),"")</f>
        <v/>
      </c>
      <c r="M85" s="86"/>
      <c r="N85" s="86"/>
      <c r="O85" s="86"/>
      <c r="P85" s="86"/>
      <c r="Q85" s="86"/>
      <c r="R85" s="86"/>
      <c r="S85" s="86"/>
      <c r="T85" s="86"/>
      <c r="U85" s="142" t="str">
        <f t="shared" ref="U85:U115" si="36">IFERROR(ROUND(AVERAGE(V85:AC85),1),"")</f>
        <v/>
      </c>
      <c r="V85" s="88"/>
      <c r="W85" s="88"/>
      <c r="X85" s="88"/>
      <c r="Y85" s="88"/>
      <c r="Z85" s="88"/>
      <c r="AA85" s="88"/>
      <c r="AB85" s="88"/>
      <c r="AC85" s="88"/>
      <c r="AD85" s="142" t="str">
        <f t="shared" ref="AD85:AD115" si="37">IFERROR(ROUND(AVERAGE(AE85:AL85),1),"")</f>
        <v/>
      </c>
      <c r="AE85" s="88"/>
      <c r="AF85" s="88"/>
      <c r="AG85" s="88"/>
      <c r="AH85" s="88"/>
      <c r="AI85" s="88"/>
      <c r="AJ85" s="88"/>
      <c r="AK85" s="88"/>
      <c r="AL85" s="88"/>
      <c r="AM85" s="88">
        <v>37.235721047649101</v>
      </c>
      <c r="AN85" s="88">
        <v>126.75999999999999</v>
      </c>
      <c r="AO85" s="89"/>
      <c r="AP85" s="90"/>
      <c r="AQ85" s="146" t="str">
        <f t="shared" ref="AQ85:AQ115" si="38">IFERROR(AP85/AO85*100,"")</f>
        <v/>
      </c>
      <c r="AR85" s="146" t="str">
        <f t="shared" ref="AR85:AR115" si="39">IFERROR(100-AQ85,"")</f>
        <v/>
      </c>
      <c r="AS85" s="147">
        <v>0</v>
      </c>
      <c r="AT85" s="148" t="s">
        <v>56</v>
      </c>
      <c r="AU85" s="149" t="s">
        <v>56</v>
      </c>
      <c r="AV85" s="146" t="str">
        <f t="shared" ref="AV85:AV115" si="40">IFERROR(AU85/AT85*100,"")</f>
        <v/>
      </c>
      <c r="AW85" s="146" t="str">
        <f t="shared" ref="AW85:AW115" si="41">IFERROR(100-AV85,"")</f>
        <v/>
      </c>
      <c r="AX85" s="138" t="str">
        <f t="shared" ref="AX85:AX115" si="42">IFERROR((1-((AV85*AR85)/(AW85*AQ85)))*100,"")</f>
        <v/>
      </c>
      <c r="AY85" s="95" t="s">
        <v>56</v>
      </c>
      <c r="AZ85" s="96">
        <v>61.995000000000005</v>
      </c>
      <c r="BA85" s="96"/>
      <c r="BB85" s="96">
        <v>166</v>
      </c>
      <c r="BC85" s="96"/>
      <c r="BD85" s="97">
        <v>126.75999999999999</v>
      </c>
      <c r="BE85" s="142">
        <f t="shared" ref="BE85:BE115" si="43">IF(SUM(BF85:BL85)=0,"",SUM(BF85:BL85))</f>
        <v>10806</v>
      </c>
      <c r="BF85" s="98">
        <v>309</v>
      </c>
      <c r="BG85" s="98">
        <v>0</v>
      </c>
      <c r="BH85" s="98">
        <v>4867</v>
      </c>
      <c r="BI85" s="98">
        <v>5630</v>
      </c>
      <c r="BJ85" s="98"/>
      <c r="BK85" s="98"/>
      <c r="BL85" s="98"/>
    </row>
    <row r="86" spans="1:64" outlineLevel="5" x14ac:dyDescent="0.3">
      <c r="A86" s="152">
        <f t="shared" si="5"/>
        <v>3</v>
      </c>
      <c r="B86" s="153">
        <f t="shared" ref="B86:B149" si="44">B85+1</f>
        <v>44257</v>
      </c>
      <c r="C86" s="138"/>
      <c r="D86" s="84">
        <v>37</v>
      </c>
      <c r="E86" s="84">
        <v>37</v>
      </c>
      <c r="F86" s="84"/>
      <c r="G86" s="84"/>
      <c r="H86" s="84"/>
      <c r="I86" s="84"/>
      <c r="J86" s="84"/>
      <c r="K86" s="84"/>
      <c r="L86" s="140" t="str">
        <f t="shared" si="35"/>
        <v/>
      </c>
      <c r="M86" s="86" t="s">
        <v>56</v>
      </c>
      <c r="N86" s="86" t="s">
        <v>56</v>
      </c>
      <c r="O86" s="86"/>
      <c r="P86" s="86"/>
      <c r="Q86" s="86"/>
      <c r="R86" s="86"/>
      <c r="S86" s="86"/>
      <c r="T86" s="86"/>
      <c r="U86" s="142" t="str">
        <f t="shared" si="36"/>
        <v/>
      </c>
      <c r="V86" s="88" t="s">
        <v>56</v>
      </c>
      <c r="W86" s="88" t="s">
        <v>56</v>
      </c>
      <c r="X86" s="88"/>
      <c r="Y86" s="88"/>
      <c r="Z86" s="88"/>
      <c r="AA86" s="88"/>
      <c r="AB86" s="88"/>
      <c r="AC86" s="88"/>
      <c r="AD86" s="142" t="str">
        <f t="shared" si="37"/>
        <v/>
      </c>
      <c r="AE86" s="88"/>
      <c r="AF86" s="88"/>
      <c r="AG86" s="88"/>
      <c r="AH86" s="88"/>
      <c r="AI86" s="88"/>
      <c r="AJ86" s="88"/>
      <c r="AK86" s="88"/>
      <c r="AL86" s="88"/>
      <c r="AM86" s="88">
        <v>37.203436588634034</v>
      </c>
      <c r="AN86" s="88">
        <v>126.87</v>
      </c>
      <c r="AO86" s="89" t="s">
        <v>56</v>
      </c>
      <c r="AP86" s="90" t="s">
        <v>56</v>
      </c>
      <c r="AQ86" s="146" t="str">
        <f t="shared" si="38"/>
        <v/>
      </c>
      <c r="AR86" s="146" t="str">
        <f t="shared" si="39"/>
        <v/>
      </c>
      <c r="AS86" s="147">
        <v>40</v>
      </c>
      <c r="AT86" s="148" t="s">
        <v>56</v>
      </c>
      <c r="AU86" s="149" t="s">
        <v>56</v>
      </c>
      <c r="AV86" s="146" t="str">
        <f t="shared" si="40"/>
        <v/>
      </c>
      <c r="AW86" s="146" t="str">
        <f t="shared" si="41"/>
        <v/>
      </c>
      <c r="AX86" s="138" t="str">
        <f t="shared" si="42"/>
        <v/>
      </c>
      <c r="AY86" s="95" t="s">
        <v>56</v>
      </c>
      <c r="AZ86" s="96">
        <v>59.935000000000002</v>
      </c>
      <c r="BA86" s="96"/>
      <c r="BB86" s="96">
        <v>193.5</v>
      </c>
      <c r="BC86" s="96"/>
      <c r="BD86" s="97">
        <v>126.87</v>
      </c>
      <c r="BE86" s="142">
        <f t="shared" si="43"/>
        <v>7930</v>
      </c>
      <c r="BF86" s="98">
        <v>52</v>
      </c>
      <c r="BG86" s="98">
        <v>0</v>
      </c>
      <c r="BH86" s="98">
        <v>3092</v>
      </c>
      <c r="BI86" s="98">
        <v>4786</v>
      </c>
      <c r="BJ86" s="98"/>
      <c r="BK86" s="98"/>
      <c r="BL86" s="98"/>
    </row>
    <row r="87" spans="1:64" outlineLevel="5" x14ac:dyDescent="0.3">
      <c r="A87" s="152">
        <f t="shared" si="5"/>
        <v>3</v>
      </c>
      <c r="B87" s="153">
        <f t="shared" si="44"/>
        <v>44258</v>
      </c>
      <c r="C87" s="138"/>
      <c r="D87" s="84">
        <v>36</v>
      </c>
      <c r="E87" s="84">
        <v>36</v>
      </c>
      <c r="F87" s="84"/>
      <c r="G87" s="84"/>
      <c r="H87" s="84"/>
      <c r="I87" s="84"/>
      <c r="J87" s="84"/>
      <c r="K87" s="84"/>
      <c r="L87" s="140" t="str">
        <f t="shared" si="35"/>
        <v/>
      </c>
      <c r="M87" s="86" t="s">
        <v>56</v>
      </c>
      <c r="N87" s="86" t="s">
        <v>56</v>
      </c>
      <c r="O87" s="86"/>
      <c r="P87" s="86"/>
      <c r="Q87" s="86"/>
      <c r="R87" s="86"/>
      <c r="S87" s="86"/>
      <c r="T87" s="86"/>
      <c r="U87" s="142" t="str">
        <f t="shared" si="36"/>
        <v/>
      </c>
      <c r="V87" s="88" t="s">
        <v>56</v>
      </c>
      <c r="W87" s="88" t="s">
        <v>56</v>
      </c>
      <c r="X87" s="88"/>
      <c r="Y87" s="88"/>
      <c r="Z87" s="88"/>
      <c r="AA87" s="88"/>
      <c r="AB87" s="88"/>
      <c r="AC87" s="88"/>
      <c r="AD87" s="142" t="str">
        <f t="shared" si="37"/>
        <v/>
      </c>
      <c r="AE87" s="88"/>
      <c r="AF87" s="88"/>
      <c r="AG87" s="88"/>
      <c r="AH87" s="88"/>
      <c r="AI87" s="88"/>
      <c r="AJ87" s="88"/>
      <c r="AK87" s="88"/>
      <c r="AL87" s="88"/>
      <c r="AM87" s="88">
        <v>38.985710745849509</v>
      </c>
      <c r="AN87" s="88">
        <v>121.07</v>
      </c>
      <c r="AO87" s="89" t="s">
        <v>56</v>
      </c>
      <c r="AP87" s="90" t="s">
        <v>56</v>
      </c>
      <c r="AQ87" s="146" t="str">
        <f t="shared" si="38"/>
        <v/>
      </c>
      <c r="AR87" s="146" t="str">
        <f t="shared" si="39"/>
        <v/>
      </c>
      <c r="AS87" s="147">
        <v>10</v>
      </c>
      <c r="AT87" s="148" t="s">
        <v>56</v>
      </c>
      <c r="AU87" s="149" t="s">
        <v>56</v>
      </c>
      <c r="AV87" s="146" t="str">
        <f t="shared" si="40"/>
        <v/>
      </c>
      <c r="AW87" s="146" t="str">
        <f t="shared" si="41"/>
        <v/>
      </c>
      <c r="AX87" s="138" t="str">
        <f t="shared" si="42"/>
        <v/>
      </c>
      <c r="AY87" s="95" t="s">
        <v>56</v>
      </c>
      <c r="AZ87" s="96">
        <v>63.545000000000002</v>
      </c>
      <c r="BA87" s="96"/>
      <c r="BB87" s="96">
        <v>98.5</v>
      </c>
      <c r="BC87" s="96"/>
      <c r="BD87" s="97">
        <v>121.07</v>
      </c>
      <c r="BE87" s="142">
        <f t="shared" si="43"/>
        <v>10591</v>
      </c>
      <c r="BF87" s="98">
        <v>0</v>
      </c>
      <c r="BG87" s="98">
        <v>0</v>
      </c>
      <c r="BH87" s="98">
        <v>5767</v>
      </c>
      <c r="BI87" s="98">
        <v>4824</v>
      </c>
      <c r="BJ87" s="98"/>
      <c r="BK87" s="98"/>
      <c r="BL87" s="98"/>
    </row>
    <row r="88" spans="1:64" outlineLevel="5" x14ac:dyDescent="0.3">
      <c r="A88" s="152">
        <f t="shared" si="5"/>
        <v>3</v>
      </c>
      <c r="B88" s="153">
        <f t="shared" si="44"/>
        <v>44259</v>
      </c>
      <c r="C88" s="138"/>
      <c r="D88" s="84">
        <v>36</v>
      </c>
      <c r="E88" s="84">
        <v>35</v>
      </c>
      <c r="F88" s="84"/>
      <c r="G88" s="84"/>
      <c r="H88" s="84"/>
      <c r="I88" s="84"/>
      <c r="J88" s="84"/>
      <c r="K88" s="84"/>
      <c r="L88" s="140">
        <f t="shared" si="35"/>
        <v>7.7</v>
      </c>
      <c r="M88" s="86">
        <v>7.74</v>
      </c>
      <c r="N88" s="86">
        <v>7.62</v>
      </c>
      <c r="O88" s="86"/>
      <c r="P88" s="86"/>
      <c r="Q88" s="86"/>
      <c r="R88" s="86"/>
      <c r="S88" s="86"/>
      <c r="T88" s="86"/>
      <c r="U88" s="142">
        <f t="shared" si="36"/>
        <v>1185</v>
      </c>
      <c r="V88" s="88">
        <v>1320</v>
      </c>
      <c r="W88" s="88">
        <v>1050</v>
      </c>
      <c r="X88" s="88"/>
      <c r="Y88" s="88"/>
      <c r="Z88" s="88"/>
      <c r="AA88" s="88"/>
      <c r="AB88" s="88"/>
      <c r="AC88" s="88"/>
      <c r="AD88" s="142" t="str">
        <f t="shared" si="37"/>
        <v/>
      </c>
      <c r="AE88" s="88"/>
      <c r="AF88" s="88"/>
      <c r="AG88" s="88"/>
      <c r="AH88" s="88"/>
      <c r="AI88" s="88"/>
      <c r="AJ88" s="88"/>
      <c r="AK88" s="88"/>
      <c r="AL88" s="88"/>
      <c r="AM88" s="88">
        <v>44.680045437334343</v>
      </c>
      <c r="AN88" s="88">
        <v>105.64</v>
      </c>
      <c r="AO88" s="89">
        <v>24.6</v>
      </c>
      <c r="AP88" s="90">
        <v>19.286400000000004</v>
      </c>
      <c r="AQ88" s="146">
        <f t="shared" si="38"/>
        <v>78.40000000000002</v>
      </c>
      <c r="AR88" s="146">
        <f t="shared" si="39"/>
        <v>21.59999999999998</v>
      </c>
      <c r="AS88" s="147">
        <v>20</v>
      </c>
      <c r="AT88" s="148">
        <v>16.05</v>
      </c>
      <c r="AU88" s="149">
        <v>6.9499999999999993</v>
      </c>
      <c r="AV88" s="146">
        <f t="shared" si="40"/>
        <v>43.302180685358252</v>
      </c>
      <c r="AW88" s="146">
        <f t="shared" si="41"/>
        <v>56.697819314641748</v>
      </c>
      <c r="AX88" s="138">
        <f t="shared" si="42"/>
        <v>78.958286611347859</v>
      </c>
      <c r="AY88" s="95">
        <v>76.849999999999994</v>
      </c>
      <c r="AZ88" s="96">
        <v>61.834999999999994</v>
      </c>
      <c r="BA88" s="96"/>
      <c r="BB88" s="96">
        <v>102.5</v>
      </c>
      <c r="BC88" s="96"/>
      <c r="BD88" s="97">
        <v>105.64</v>
      </c>
      <c r="BE88" s="142">
        <f t="shared" si="43"/>
        <v>14197</v>
      </c>
      <c r="BF88" s="98">
        <v>260</v>
      </c>
      <c r="BG88" s="98">
        <v>0</v>
      </c>
      <c r="BH88" s="98">
        <v>8961</v>
      </c>
      <c r="BI88" s="98">
        <v>4976</v>
      </c>
      <c r="BJ88" s="98"/>
      <c r="BK88" s="98"/>
      <c r="BL88" s="98"/>
    </row>
    <row r="89" spans="1:64" outlineLevel="5" x14ac:dyDescent="0.3">
      <c r="A89" s="152">
        <f t="shared" si="5"/>
        <v>3</v>
      </c>
      <c r="B89" s="153">
        <f t="shared" si="44"/>
        <v>44260</v>
      </c>
      <c r="C89" s="138"/>
      <c r="D89" s="84">
        <v>35</v>
      </c>
      <c r="E89" s="84">
        <v>35</v>
      </c>
      <c r="F89" s="84"/>
      <c r="G89" s="84"/>
      <c r="H89" s="84"/>
      <c r="I89" s="84"/>
      <c r="J89" s="84"/>
      <c r="K89" s="84"/>
      <c r="L89" s="140" t="str">
        <f t="shared" si="35"/>
        <v/>
      </c>
      <c r="M89" s="86" t="s">
        <v>56</v>
      </c>
      <c r="N89" s="86" t="s">
        <v>56</v>
      </c>
      <c r="O89" s="86"/>
      <c r="P89" s="86"/>
      <c r="Q89" s="86"/>
      <c r="R89" s="86"/>
      <c r="S89" s="86"/>
      <c r="T89" s="86"/>
      <c r="U89" s="142" t="str">
        <f t="shared" si="36"/>
        <v/>
      </c>
      <c r="V89" s="88" t="s">
        <v>56</v>
      </c>
      <c r="W89" s="88" t="s">
        <v>56</v>
      </c>
      <c r="X89" s="88"/>
      <c r="Y89" s="88"/>
      <c r="Z89" s="88"/>
      <c r="AA89" s="88"/>
      <c r="AB89" s="88"/>
      <c r="AC89" s="88"/>
      <c r="AD89" s="142" t="str">
        <f t="shared" si="37"/>
        <v/>
      </c>
      <c r="AE89" s="88"/>
      <c r="AF89" s="88"/>
      <c r="AG89" s="88"/>
      <c r="AH89" s="88"/>
      <c r="AI89" s="88"/>
      <c r="AJ89" s="88"/>
      <c r="AK89" s="88"/>
      <c r="AL89" s="88"/>
      <c r="AM89" s="88">
        <v>44.31924882629108</v>
      </c>
      <c r="AN89" s="88">
        <v>106.5</v>
      </c>
      <c r="AO89" s="89" t="s">
        <v>56</v>
      </c>
      <c r="AP89" s="90"/>
      <c r="AQ89" s="146" t="str">
        <f t="shared" si="38"/>
        <v/>
      </c>
      <c r="AR89" s="146" t="str">
        <f t="shared" si="39"/>
        <v/>
      </c>
      <c r="AS89" s="147">
        <v>20</v>
      </c>
      <c r="AT89" s="148" t="s">
        <v>56</v>
      </c>
      <c r="AU89" s="149" t="s">
        <v>56</v>
      </c>
      <c r="AV89" s="146" t="str">
        <f t="shared" si="40"/>
        <v/>
      </c>
      <c r="AW89" s="146" t="str">
        <f t="shared" si="41"/>
        <v/>
      </c>
      <c r="AX89" s="138" t="str">
        <f t="shared" si="42"/>
        <v/>
      </c>
      <c r="AY89" s="95" t="s">
        <v>56</v>
      </c>
      <c r="AZ89" s="96">
        <v>56.17</v>
      </c>
      <c r="BA89" s="96"/>
      <c r="BB89" s="96">
        <v>118</v>
      </c>
      <c r="BC89" s="96"/>
      <c r="BD89" s="97">
        <v>106.5</v>
      </c>
      <c r="BE89" s="142">
        <f t="shared" si="43"/>
        <v>9090</v>
      </c>
      <c r="BF89" s="98">
        <v>237</v>
      </c>
      <c r="BG89" s="98">
        <v>0</v>
      </c>
      <c r="BH89" s="98">
        <v>3474</v>
      </c>
      <c r="BI89" s="98">
        <v>5379</v>
      </c>
      <c r="BJ89" s="98"/>
      <c r="BK89" s="98"/>
      <c r="BL89" s="98"/>
    </row>
    <row r="90" spans="1:64" outlineLevel="5" x14ac:dyDescent="0.3">
      <c r="A90" s="152">
        <f t="shared" si="5"/>
        <v>3</v>
      </c>
      <c r="B90" s="153">
        <f t="shared" si="44"/>
        <v>44261</v>
      </c>
      <c r="C90" s="138"/>
      <c r="D90" s="84">
        <v>35</v>
      </c>
      <c r="E90" s="84">
        <v>35</v>
      </c>
      <c r="F90" s="84"/>
      <c r="G90" s="84"/>
      <c r="H90" s="84"/>
      <c r="I90" s="84"/>
      <c r="J90" s="84"/>
      <c r="K90" s="84"/>
      <c r="L90" s="140" t="str">
        <f t="shared" si="35"/>
        <v/>
      </c>
      <c r="M90" s="86"/>
      <c r="N90" s="86"/>
      <c r="O90" s="86"/>
      <c r="P90" s="86"/>
      <c r="Q90" s="86"/>
      <c r="R90" s="86"/>
      <c r="S90" s="86"/>
      <c r="T90" s="86"/>
      <c r="U90" s="142" t="str">
        <f t="shared" si="36"/>
        <v/>
      </c>
      <c r="V90" s="88"/>
      <c r="W90" s="88"/>
      <c r="X90" s="88"/>
      <c r="Y90" s="88"/>
      <c r="Z90" s="88"/>
      <c r="AA90" s="88"/>
      <c r="AB90" s="88"/>
      <c r="AC90" s="88"/>
      <c r="AD90" s="142" t="str">
        <f t="shared" si="37"/>
        <v/>
      </c>
      <c r="AE90" s="88"/>
      <c r="AF90" s="88"/>
      <c r="AG90" s="88"/>
      <c r="AH90" s="88"/>
      <c r="AI90" s="88"/>
      <c r="AJ90" s="88"/>
      <c r="AK90" s="88"/>
      <c r="AL90" s="88"/>
      <c r="AM90" s="88">
        <v>53.297199638663052</v>
      </c>
      <c r="AN90" s="88">
        <v>88.56</v>
      </c>
      <c r="AO90" s="89"/>
      <c r="AP90" s="90"/>
      <c r="AQ90" s="146" t="str">
        <f t="shared" si="38"/>
        <v/>
      </c>
      <c r="AR90" s="146" t="str">
        <f t="shared" si="39"/>
        <v/>
      </c>
      <c r="AS90" s="147">
        <v>10</v>
      </c>
      <c r="AT90" s="148" t="s">
        <v>56</v>
      </c>
      <c r="AU90" s="149" t="s">
        <v>56</v>
      </c>
      <c r="AV90" s="146" t="str">
        <f t="shared" si="40"/>
        <v/>
      </c>
      <c r="AW90" s="146" t="str">
        <f t="shared" si="41"/>
        <v/>
      </c>
      <c r="AX90" s="138" t="str">
        <f t="shared" si="42"/>
        <v/>
      </c>
      <c r="AY90" s="95" t="s">
        <v>56</v>
      </c>
      <c r="AZ90" s="96">
        <v>61.769999999999996</v>
      </c>
      <c r="BA90" s="96"/>
      <c r="BB90" s="96">
        <v>62</v>
      </c>
      <c r="BC90" s="96"/>
      <c r="BD90" s="97">
        <v>88.56</v>
      </c>
      <c r="BE90" s="142">
        <f t="shared" si="43"/>
        <v>11107</v>
      </c>
      <c r="BF90" s="98">
        <v>192</v>
      </c>
      <c r="BG90" s="98">
        <v>0</v>
      </c>
      <c r="BH90" s="98">
        <v>5948</v>
      </c>
      <c r="BI90" s="98">
        <v>4967</v>
      </c>
      <c r="BJ90" s="98"/>
      <c r="BK90" s="98"/>
      <c r="BL90" s="98"/>
    </row>
    <row r="91" spans="1:64" outlineLevel="5" x14ac:dyDescent="0.3">
      <c r="A91" s="152">
        <f t="shared" ref="A91:A162" si="45">MONTH(B91)</f>
        <v>3</v>
      </c>
      <c r="B91" s="153">
        <f t="shared" si="44"/>
        <v>44262</v>
      </c>
      <c r="C91" s="138"/>
      <c r="D91" s="84">
        <v>36</v>
      </c>
      <c r="E91" s="84">
        <v>36</v>
      </c>
      <c r="F91" s="84"/>
      <c r="G91" s="84"/>
      <c r="H91" s="84"/>
      <c r="I91" s="84"/>
      <c r="J91" s="84"/>
      <c r="K91" s="84"/>
      <c r="L91" s="140" t="str">
        <f t="shared" si="35"/>
        <v/>
      </c>
      <c r="M91" s="86"/>
      <c r="N91" s="86"/>
      <c r="O91" s="86"/>
      <c r="P91" s="86"/>
      <c r="Q91" s="86"/>
      <c r="R91" s="86"/>
      <c r="S91" s="86"/>
      <c r="T91" s="86"/>
      <c r="U91" s="142" t="str">
        <f t="shared" si="36"/>
        <v/>
      </c>
      <c r="V91" s="88"/>
      <c r="W91" s="88"/>
      <c r="X91" s="88"/>
      <c r="Y91" s="88"/>
      <c r="Z91" s="88"/>
      <c r="AA91" s="88"/>
      <c r="AB91" s="88"/>
      <c r="AC91" s="88"/>
      <c r="AD91" s="142" t="str">
        <f t="shared" si="37"/>
        <v/>
      </c>
      <c r="AE91" s="88"/>
      <c r="AF91" s="88"/>
      <c r="AG91" s="88"/>
      <c r="AH91" s="88"/>
      <c r="AI91" s="88"/>
      <c r="AJ91" s="88"/>
      <c r="AK91" s="88"/>
      <c r="AL91" s="88"/>
      <c r="AM91" s="88">
        <v>72.615384615384613</v>
      </c>
      <c r="AN91" s="88">
        <v>65</v>
      </c>
      <c r="AO91" s="89"/>
      <c r="AP91" s="90"/>
      <c r="AQ91" s="146" t="str">
        <f t="shared" si="38"/>
        <v/>
      </c>
      <c r="AR91" s="146" t="str">
        <f t="shared" si="39"/>
        <v/>
      </c>
      <c r="AS91" s="147">
        <v>10</v>
      </c>
      <c r="AT91" s="148" t="s">
        <v>56</v>
      </c>
      <c r="AU91" s="149" t="s">
        <v>56</v>
      </c>
      <c r="AV91" s="146" t="str">
        <f t="shared" si="40"/>
        <v/>
      </c>
      <c r="AW91" s="146" t="str">
        <f t="shared" si="41"/>
        <v/>
      </c>
      <c r="AX91" s="138" t="str">
        <f t="shared" si="42"/>
        <v/>
      </c>
      <c r="AY91" s="95" t="s">
        <v>56</v>
      </c>
      <c r="AZ91" s="96">
        <v>62.945</v>
      </c>
      <c r="BA91" s="96"/>
      <c r="BB91" s="96">
        <v>63.5</v>
      </c>
      <c r="BC91" s="96"/>
      <c r="BD91" s="97">
        <v>65</v>
      </c>
      <c r="BE91" s="142">
        <f t="shared" si="43"/>
        <v>9227</v>
      </c>
      <c r="BF91" s="98">
        <v>360</v>
      </c>
      <c r="BG91" s="98">
        <v>0</v>
      </c>
      <c r="BH91" s="98">
        <v>4084</v>
      </c>
      <c r="BI91" s="98">
        <v>4783</v>
      </c>
      <c r="BJ91" s="98"/>
      <c r="BK91" s="98"/>
      <c r="BL91" s="98"/>
    </row>
    <row r="92" spans="1:64" outlineLevel="5" x14ac:dyDescent="0.3">
      <c r="A92" s="152">
        <f t="shared" si="45"/>
        <v>3</v>
      </c>
      <c r="B92" s="153">
        <f t="shared" si="44"/>
        <v>44263</v>
      </c>
      <c r="C92" s="138"/>
      <c r="D92" s="84">
        <v>37</v>
      </c>
      <c r="E92" s="84">
        <v>35</v>
      </c>
      <c r="F92" s="84"/>
      <c r="G92" s="84"/>
      <c r="H92" s="84"/>
      <c r="I92" s="84"/>
      <c r="J92" s="84"/>
      <c r="K92" s="84"/>
      <c r="L92" s="140">
        <f t="shared" si="35"/>
        <v>7.7</v>
      </c>
      <c r="M92" s="86">
        <v>7.81</v>
      </c>
      <c r="N92" s="86">
        <v>7.65</v>
      </c>
      <c r="O92" s="86"/>
      <c r="P92" s="86"/>
      <c r="Q92" s="86"/>
      <c r="R92" s="86"/>
      <c r="S92" s="86"/>
      <c r="T92" s="86"/>
      <c r="U92" s="142">
        <f t="shared" si="36"/>
        <v>2000</v>
      </c>
      <c r="V92" s="88">
        <v>2200</v>
      </c>
      <c r="W92" s="88">
        <v>1800</v>
      </c>
      <c r="X92" s="88"/>
      <c r="Y92" s="88"/>
      <c r="Z92" s="88"/>
      <c r="AA92" s="88"/>
      <c r="AB92" s="88"/>
      <c r="AC92" s="88"/>
      <c r="AD92" s="142" t="str">
        <f t="shared" si="37"/>
        <v/>
      </c>
      <c r="AE92" s="88"/>
      <c r="AF92" s="88"/>
      <c r="AG92" s="88"/>
      <c r="AH92" s="88"/>
      <c r="AI92" s="88"/>
      <c r="AJ92" s="88"/>
      <c r="AK92" s="88"/>
      <c r="AL92" s="88"/>
      <c r="AM92" s="88">
        <v>43.223443223443219</v>
      </c>
      <c r="AN92" s="88">
        <v>109.2</v>
      </c>
      <c r="AO92" s="89" t="s">
        <v>56</v>
      </c>
      <c r="AP92" s="90"/>
      <c r="AQ92" s="146" t="str">
        <f t="shared" si="38"/>
        <v/>
      </c>
      <c r="AR92" s="146" t="str">
        <f t="shared" si="39"/>
        <v/>
      </c>
      <c r="AS92" s="147">
        <v>10</v>
      </c>
      <c r="AT92" s="148">
        <v>16.549999999999997</v>
      </c>
      <c r="AU92" s="149">
        <v>8.9499999999999993</v>
      </c>
      <c r="AV92" s="146">
        <f t="shared" si="40"/>
        <v>54.0785498489426</v>
      </c>
      <c r="AW92" s="146">
        <f t="shared" si="41"/>
        <v>45.9214501510574</v>
      </c>
      <c r="AX92" s="138" t="str">
        <f t="shared" si="42"/>
        <v/>
      </c>
      <c r="AY92" s="95">
        <v>71.550000000000011</v>
      </c>
      <c r="AZ92" s="96">
        <v>60.914999999999999</v>
      </c>
      <c r="BA92" s="96"/>
      <c r="BB92" s="96">
        <v>114.5</v>
      </c>
      <c r="BC92" s="96"/>
      <c r="BD92" s="97">
        <v>109.2</v>
      </c>
      <c r="BE92" s="142">
        <f t="shared" si="43"/>
        <v>7322</v>
      </c>
      <c r="BF92" s="98">
        <v>485</v>
      </c>
      <c r="BG92" s="98">
        <v>0</v>
      </c>
      <c r="BH92" s="98">
        <v>1881</v>
      </c>
      <c r="BI92" s="98">
        <v>4956</v>
      </c>
      <c r="BJ92" s="98"/>
      <c r="BK92" s="98"/>
      <c r="BL92" s="98"/>
    </row>
    <row r="93" spans="1:64" outlineLevel="5" x14ac:dyDescent="0.3">
      <c r="A93" s="152">
        <f t="shared" si="45"/>
        <v>3</v>
      </c>
      <c r="B93" s="153">
        <f t="shared" si="44"/>
        <v>44264</v>
      </c>
      <c r="C93" s="138"/>
      <c r="D93" s="84">
        <v>38</v>
      </c>
      <c r="E93" s="84">
        <v>37</v>
      </c>
      <c r="F93" s="84"/>
      <c r="G93" s="84"/>
      <c r="H93" s="84"/>
      <c r="I93" s="84"/>
      <c r="J93" s="84"/>
      <c r="K93" s="84"/>
      <c r="L93" s="140" t="str">
        <f t="shared" si="35"/>
        <v/>
      </c>
      <c r="M93" s="86" t="s">
        <v>56</v>
      </c>
      <c r="N93" s="86" t="s">
        <v>56</v>
      </c>
      <c r="O93" s="86"/>
      <c r="P93" s="86"/>
      <c r="Q93" s="86"/>
      <c r="R93" s="86"/>
      <c r="S93" s="86"/>
      <c r="T93" s="86"/>
      <c r="U93" s="142" t="str">
        <f t="shared" si="36"/>
        <v/>
      </c>
      <c r="V93" s="88" t="s">
        <v>56</v>
      </c>
      <c r="W93" s="88" t="s">
        <v>56</v>
      </c>
      <c r="X93" s="88"/>
      <c r="Y93" s="88"/>
      <c r="Z93" s="88"/>
      <c r="AA93" s="88"/>
      <c r="AB93" s="88"/>
      <c r="AC93" s="88"/>
      <c r="AD93" s="142" t="str">
        <f t="shared" si="37"/>
        <v/>
      </c>
      <c r="AE93" s="88"/>
      <c r="AF93" s="88"/>
      <c r="AG93" s="88"/>
      <c r="AH93" s="88"/>
      <c r="AI93" s="88"/>
      <c r="AJ93" s="88"/>
      <c r="AK93" s="88"/>
      <c r="AL93" s="88"/>
      <c r="AM93" s="88">
        <v>41.004256797845542</v>
      </c>
      <c r="AN93" s="88">
        <v>115.10999999999999</v>
      </c>
      <c r="AO93" s="89" t="s">
        <v>56</v>
      </c>
      <c r="AP93" s="90"/>
      <c r="AQ93" s="146" t="str">
        <f t="shared" si="38"/>
        <v/>
      </c>
      <c r="AR93" s="146" t="str">
        <f t="shared" si="39"/>
        <v/>
      </c>
      <c r="AS93" s="147">
        <v>10</v>
      </c>
      <c r="AT93" s="148" t="s">
        <v>56</v>
      </c>
      <c r="AU93" s="149" t="s">
        <v>56</v>
      </c>
      <c r="AV93" s="146" t="str">
        <f t="shared" si="40"/>
        <v/>
      </c>
      <c r="AW93" s="146" t="str">
        <f t="shared" si="41"/>
        <v/>
      </c>
      <c r="AX93" s="138" t="str">
        <f t="shared" si="42"/>
        <v/>
      </c>
      <c r="AY93" s="95" t="s">
        <v>56</v>
      </c>
      <c r="AZ93" s="96">
        <v>61.01</v>
      </c>
      <c r="BA93" s="96"/>
      <c r="BB93" s="96">
        <v>117</v>
      </c>
      <c r="BC93" s="96"/>
      <c r="BD93" s="97">
        <v>115.10999999999999</v>
      </c>
      <c r="BE93" s="142">
        <f t="shared" si="43"/>
        <v>9572</v>
      </c>
      <c r="BF93" s="98">
        <v>382</v>
      </c>
      <c r="BG93" s="98">
        <v>0</v>
      </c>
      <c r="BH93" s="98">
        <v>4363</v>
      </c>
      <c r="BI93" s="98">
        <v>4827</v>
      </c>
      <c r="BJ93" s="98"/>
      <c r="BK93" s="98"/>
      <c r="BL93" s="98"/>
    </row>
    <row r="94" spans="1:64" outlineLevel="5" x14ac:dyDescent="0.3">
      <c r="A94" s="152">
        <f t="shared" si="45"/>
        <v>3</v>
      </c>
      <c r="B94" s="153">
        <f t="shared" si="44"/>
        <v>44265</v>
      </c>
      <c r="C94" s="138"/>
      <c r="D94" s="84">
        <v>38</v>
      </c>
      <c r="E94" s="84">
        <v>38</v>
      </c>
      <c r="F94" s="84"/>
      <c r="G94" s="84"/>
      <c r="H94" s="84"/>
      <c r="I94" s="84"/>
      <c r="J94" s="84"/>
      <c r="K94" s="84"/>
      <c r="L94" s="140">
        <f t="shared" si="35"/>
        <v>7.7</v>
      </c>
      <c r="M94" s="86">
        <v>7.81</v>
      </c>
      <c r="N94" s="86">
        <v>7.65</v>
      </c>
      <c r="O94" s="86"/>
      <c r="P94" s="86"/>
      <c r="Q94" s="86"/>
      <c r="R94" s="86"/>
      <c r="S94" s="86"/>
      <c r="T94" s="86"/>
      <c r="U94" s="142">
        <f t="shared" si="36"/>
        <v>2000</v>
      </c>
      <c r="V94" s="88">
        <v>2200</v>
      </c>
      <c r="W94" s="88">
        <v>1800</v>
      </c>
      <c r="X94" s="88"/>
      <c r="Y94" s="88"/>
      <c r="Z94" s="88"/>
      <c r="AA94" s="88"/>
      <c r="AB94" s="88"/>
      <c r="AC94" s="88"/>
      <c r="AD94" s="142" t="str">
        <f t="shared" si="37"/>
        <v/>
      </c>
      <c r="AE94" s="88"/>
      <c r="AF94" s="88"/>
      <c r="AG94" s="88"/>
      <c r="AH94" s="88"/>
      <c r="AI94" s="88"/>
      <c r="AJ94" s="88"/>
      <c r="AK94" s="88"/>
      <c r="AL94" s="88"/>
      <c r="AM94" s="88">
        <v>38.603091518769929</v>
      </c>
      <c r="AN94" s="88">
        <v>122.27000000000001</v>
      </c>
      <c r="AO94" s="89" t="s">
        <v>56</v>
      </c>
      <c r="AP94" s="90"/>
      <c r="AQ94" s="146" t="str">
        <f t="shared" si="38"/>
        <v/>
      </c>
      <c r="AR94" s="146" t="str">
        <f t="shared" si="39"/>
        <v/>
      </c>
      <c r="AS94" s="147">
        <v>10</v>
      </c>
      <c r="AT94" s="148">
        <v>16.549999999999997</v>
      </c>
      <c r="AU94" s="149">
        <v>8.9499999999999993</v>
      </c>
      <c r="AV94" s="146">
        <f t="shared" si="40"/>
        <v>54.0785498489426</v>
      </c>
      <c r="AW94" s="146">
        <f t="shared" si="41"/>
        <v>45.9214501510574</v>
      </c>
      <c r="AX94" s="138" t="str">
        <f t="shared" si="42"/>
        <v/>
      </c>
      <c r="AY94" s="95">
        <v>71.550000000000011</v>
      </c>
      <c r="AZ94" s="96">
        <v>59.71</v>
      </c>
      <c r="BA94" s="96"/>
      <c r="BB94" s="96">
        <v>117</v>
      </c>
      <c r="BC94" s="96"/>
      <c r="BD94" s="97">
        <v>122.27000000000001</v>
      </c>
      <c r="BE94" s="142">
        <f t="shared" si="43"/>
        <v>8520</v>
      </c>
      <c r="BF94" s="98">
        <v>176</v>
      </c>
      <c r="BG94" s="98">
        <v>0</v>
      </c>
      <c r="BH94" s="98">
        <v>3219</v>
      </c>
      <c r="BI94" s="98">
        <v>5125</v>
      </c>
      <c r="BJ94" s="98"/>
      <c r="BK94" s="98"/>
      <c r="BL94" s="98"/>
    </row>
    <row r="95" spans="1:64" outlineLevel="5" x14ac:dyDescent="0.3">
      <c r="A95" s="152">
        <f t="shared" si="45"/>
        <v>3</v>
      </c>
      <c r="B95" s="153">
        <f t="shared" si="44"/>
        <v>44266</v>
      </c>
      <c r="C95" s="138"/>
      <c r="D95" s="84">
        <v>38</v>
      </c>
      <c r="E95" s="84">
        <v>38</v>
      </c>
      <c r="F95" s="84"/>
      <c r="G95" s="84"/>
      <c r="H95" s="84"/>
      <c r="I95" s="84"/>
      <c r="J95" s="84"/>
      <c r="K95" s="84"/>
      <c r="L95" s="140">
        <f t="shared" si="35"/>
        <v>7.7</v>
      </c>
      <c r="M95" s="86">
        <v>7.79</v>
      </c>
      <c r="N95" s="86">
        <v>7.65</v>
      </c>
      <c r="O95" s="86"/>
      <c r="P95" s="86"/>
      <c r="Q95" s="86"/>
      <c r="R95" s="86"/>
      <c r="S95" s="86"/>
      <c r="T95" s="86"/>
      <c r="U95" s="142">
        <f t="shared" si="36"/>
        <v>2065</v>
      </c>
      <c r="V95" s="88">
        <v>2150</v>
      </c>
      <c r="W95" s="88">
        <v>1980</v>
      </c>
      <c r="X95" s="88"/>
      <c r="Y95" s="88"/>
      <c r="Z95" s="88"/>
      <c r="AA95" s="88"/>
      <c r="AB95" s="88"/>
      <c r="AC95" s="88"/>
      <c r="AD95" s="142" t="str">
        <f t="shared" si="37"/>
        <v/>
      </c>
      <c r="AE95" s="88"/>
      <c r="AF95" s="88"/>
      <c r="AG95" s="88"/>
      <c r="AH95" s="88"/>
      <c r="AI95" s="88"/>
      <c r="AJ95" s="88"/>
      <c r="AK95" s="88"/>
      <c r="AL95" s="88"/>
      <c r="AM95" s="88">
        <v>40.201005025125632</v>
      </c>
      <c r="AN95" s="88">
        <v>117.41</v>
      </c>
      <c r="AO95" s="89" t="s">
        <v>56</v>
      </c>
      <c r="AP95" s="90"/>
      <c r="AQ95" s="146" t="str">
        <f t="shared" si="38"/>
        <v/>
      </c>
      <c r="AR95" s="146" t="str">
        <f t="shared" si="39"/>
        <v/>
      </c>
      <c r="AS95" s="147">
        <v>30</v>
      </c>
      <c r="AT95" s="148">
        <v>18.350000000000001</v>
      </c>
      <c r="AU95" s="149">
        <v>9.0500000000000007</v>
      </c>
      <c r="AV95" s="146">
        <f t="shared" si="40"/>
        <v>49.31880108991826</v>
      </c>
      <c r="AW95" s="146">
        <f t="shared" si="41"/>
        <v>50.68119891008174</v>
      </c>
      <c r="AX95" s="138" t="str">
        <f t="shared" si="42"/>
        <v/>
      </c>
      <c r="AY95" s="95">
        <v>76.150000000000006</v>
      </c>
      <c r="AZ95" s="96">
        <v>63.265000000000001</v>
      </c>
      <c r="BA95" s="96"/>
      <c r="BB95" s="96">
        <v>107.5</v>
      </c>
      <c r="BC95" s="96"/>
      <c r="BD95" s="97">
        <v>117.41</v>
      </c>
      <c r="BE95" s="142">
        <f t="shared" si="43"/>
        <v>10730</v>
      </c>
      <c r="BF95" s="98">
        <v>168</v>
      </c>
      <c r="BG95" s="98">
        <v>0</v>
      </c>
      <c r="BH95" s="98">
        <v>5525</v>
      </c>
      <c r="BI95" s="98">
        <v>5037</v>
      </c>
      <c r="BJ95" s="98"/>
      <c r="BK95" s="98"/>
      <c r="BL95" s="98"/>
    </row>
    <row r="96" spans="1:64" outlineLevel="5" x14ac:dyDescent="0.3">
      <c r="A96" s="152">
        <f t="shared" si="45"/>
        <v>3</v>
      </c>
      <c r="B96" s="153">
        <f t="shared" si="44"/>
        <v>44267</v>
      </c>
      <c r="C96" s="138"/>
      <c r="D96" s="84">
        <v>38</v>
      </c>
      <c r="E96" s="84">
        <v>38</v>
      </c>
      <c r="F96" s="84"/>
      <c r="G96" s="84"/>
      <c r="H96" s="84"/>
      <c r="I96" s="84"/>
      <c r="J96" s="84"/>
      <c r="K96" s="84"/>
      <c r="L96" s="140" t="str">
        <f t="shared" si="35"/>
        <v/>
      </c>
      <c r="M96" s="86" t="s">
        <v>56</v>
      </c>
      <c r="N96" s="86" t="s">
        <v>56</v>
      </c>
      <c r="O96" s="86"/>
      <c r="P96" s="86"/>
      <c r="Q96" s="86"/>
      <c r="R96" s="86"/>
      <c r="S96" s="86"/>
      <c r="T96" s="86"/>
      <c r="U96" s="142" t="str">
        <f t="shared" si="36"/>
        <v/>
      </c>
      <c r="V96" s="88" t="s">
        <v>56</v>
      </c>
      <c r="W96" s="88" t="s">
        <v>56</v>
      </c>
      <c r="X96" s="88"/>
      <c r="Y96" s="88"/>
      <c r="Z96" s="88"/>
      <c r="AA96" s="88"/>
      <c r="AB96" s="88"/>
      <c r="AC96" s="88"/>
      <c r="AD96" s="142" t="str">
        <f t="shared" si="37"/>
        <v/>
      </c>
      <c r="AE96" s="88"/>
      <c r="AF96" s="88"/>
      <c r="AG96" s="88"/>
      <c r="AH96" s="88"/>
      <c r="AI96" s="88"/>
      <c r="AJ96" s="88"/>
      <c r="AK96" s="88"/>
      <c r="AL96" s="88"/>
      <c r="AM96" s="88">
        <v>45.529082666152213</v>
      </c>
      <c r="AN96" s="88">
        <v>103.67</v>
      </c>
      <c r="AO96" s="89" t="s">
        <v>56</v>
      </c>
      <c r="AP96" s="90"/>
      <c r="AQ96" s="146" t="str">
        <f t="shared" si="38"/>
        <v/>
      </c>
      <c r="AR96" s="146" t="str">
        <f t="shared" si="39"/>
        <v/>
      </c>
      <c r="AS96" s="147">
        <v>30</v>
      </c>
      <c r="AT96" s="148" t="s">
        <v>56</v>
      </c>
      <c r="AU96" s="149" t="s">
        <v>56</v>
      </c>
      <c r="AV96" s="146" t="str">
        <f t="shared" si="40"/>
        <v/>
      </c>
      <c r="AW96" s="146" t="str">
        <f t="shared" si="41"/>
        <v/>
      </c>
      <c r="AX96" s="138" t="str">
        <f t="shared" si="42"/>
        <v/>
      </c>
      <c r="AY96" s="95" t="s">
        <v>56</v>
      </c>
      <c r="AZ96" s="96">
        <v>62.67</v>
      </c>
      <c r="BA96" s="96"/>
      <c r="BB96" s="96">
        <v>103</v>
      </c>
      <c r="BC96" s="96"/>
      <c r="BD96" s="97">
        <v>103.67</v>
      </c>
      <c r="BE96" s="142">
        <f t="shared" si="43"/>
        <v>12424</v>
      </c>
      <c r="BF96" s="98">
        <v>366</v>
      </c>
      <c r="BG96" s="98">
        <v>0</v>
      </c>
      <c r="BH96" s="98">
        <v>6858</v>
      </c>
      <c r="BI96" s="98">
        <v>5200</v>
      </c>
      <c r="BJ96" s="98"/>
      <c r="BK96" s="98"/>
      <c r="BL96" s="98"/>
    </row>
    <row r="97" spans="1:64" outlineLevel="5" x14ac:dyDescent="0.3">
      <c r="A97" s="152">
        <f t="shared" si="45"/>
        <v>3</v>
      </c>
      <c r="B97" s="153">
        <f t="shared" si="44"/>
        <v>44268</v>
      </c>
      <c r="C97" s="138"/>
      <c r="D97" s="84">
        <v>38</v>
      </c>
      <c r="E97" s="84">
        <v>38</v>
      </c>
      <c r="F97" s="84"/>
      <c r="G97" s="84"/>
      <c r="H97" s="84"/>
      <c r="I97" s="84"/>
      <c r="J97" s="84"/>
      <c r="K97" s="84"/>
      <c r="L97" s="140" t="str">
        <f t="shared" si="35"/>
        <v/>
      </c>
      <c r="M97" s="86"/>
      <c r="N97" s="86"/>
      <c r="O97" s="86"/>
      <c r="P97" s="86"/>
      <c r="Q97" s="86"/>
      <c r="R97" s="86"/>
      <c r="S97" s="86"/>
      <c r="T97" s="86"/>
      <c r="U97" s="142" t="str">
        <f t="shared" si="36"/>
        <v/>
      </c>
      <c r="V97" s="88"/>
      <c r="W97" s="88"/>
      <c r="X97" s="88"/>
      <c r="Y97" s="88"/>
      <c r="Z97" s="88"/>
      <c r="AA97" s="88"/>
      <c r="AB97" s="88"/>
      <c r="AC97" s="88"/>
      <c r="AD97" s="142" t="str">
        <f t="shared" si="37"/>
        <v/>
      </c>
      <c r="AE97" s="88"/>
      <c r="AF97" s="88"/>
      <c r="AG97" s="88"/>
      <c r="AH97" s="88"/>
      <c r="AI97" s="88"/>
      <c r="AJ97" s="88"/>
      <c r="AK97" s="88"/>
      <c r="AL97" s="88"/>
      <c r="AM97" s="88">
        <v>73.303307967075625</v>
      </c>
      <c r="AN97" s="88">
        <v>64.39</v>
      </c>
      <c r="AO97" s="89"/>
      <c r="AP97" s="90"/>
      <c r="AQ97" s="146" t="str">
        <f t="shared" si="38"/>
        <v/>
      </c>
      <c r="AR97" s="146" t="str">
        <f t="shared" si="39"/>
        <v/>
      </c>
      <c r="AS97" s="147">
        <v>0</v>
      </c>
      <c r="AT97" s="148" t="s">
        <v>56</v>
      </c>
      <c r="AU97" s="149" t="s">
        <v>56</v>
      </c>
      <c r="AV97" s="146" t="str">
        <f t="shared" si="40"/>
        <v/>
      </c>
      <c r="AW97" s="146" t="str">
        <f t="shared" si="41"/>
        <v/>
      </c>
      <c r="AX97" s="138" t="str">
        <f t="shared" si="42"/>
        <v/>
      </c>
      <c r="AY97" s="95" t="s">
        <v>56</v>
      </c>
      <c r="AZ97" s="96">
        <v>62.195</v>
      </c>
      <c r="BA97" s="96"/>
      <c r="BB97" s="96">
        <v>86</v>
      </c>
      <c r="BC97" s="96"/>
      <c r="BD97" s="97">
        <v>64.39</v>
      </c>
      <c r="BE97" s="142">
        <f t="shared" si="43"/>
        <v>10986</v>
      </c>
      <c r="BF97" s="98">
        <v>328</v>
      </c>
      <c r="BG97" s="98">
        <v>0</v>
      </c>
      <c r="BH97" s="98">
        <v>5518</v>
      </c>
      <c r="BI97" s="98">
        <v>5140</v>
      </c>
      <c r="BJ97" s="98"/>
      <c r="BK97" s="98"/>
      <c r="BL97" s="98"/>
    </row>
    <row r="98" spans="1:64" outlineLevel="5" x14ac:dyDescent="0.3">
      <c r="A98" s="152">
        <f t="shared" si="45"/>
        <v>3</v>
      </c>
      <c r="B98" s="153">
        <f t="shared" si="44"/>
        <v>44269</v>
      </c>
      <c r="C98" s="138"/>
      <c r="D98" s="84">
        <v>38</v>
      </c>
      <c r="E98" s="84">
        <v>38</v>
      </c>
      <c r="F98" s="84"/>
      <c r="G98" s="84"/>
      <c r="H98" s="84"/>
      <c r="I98" s="84"/>
      <c r="J98" s="84"/>
      <c r="K98" s="84"/>
      <c r="L98" s="140" t="str">
        <f t="shared" si="35"/>
        <v/>
      </c>
      <c r="M98" s="86"/>
      <c r="N98" s="86"/>
      <c r="O98" s="86"/>
      <c r="P98" s="86"/>
      <c r="Q98" s="86"/>
      <c r="R98" s="86"/>
      <c r="S98" s="86"/>
      <c r="T98" s="86"/>
      <c r="U98" s="142" t="str">
        <f t="shared" si="36"/>
        <v/>
      </c>
      <c r="V98" s="88"/>
      <c r="W98" s="88"/>
      <c r="X98" s="88"/>
      <c r="Y98" s="88"/>
      <c r="Z98" s="88"/>
      <c r="AA98" s="88"/>
      <c r="AB98" s="88"/>
      <c r="AC98" s="88"/>
      <c r="AD98" s="142" t="str">
        <f t="shared" si="37"/>
        <v/>
      </c>
      <c r="AE98" s="88"/>
      <c r="AF98" s="88"/>
      <c r="AG98" s="88"/>
      <c r="AH98" s="88"/>
      <c r="AI98" s="88"/>
      <c r="AJ98" s="88"/>
      <c r="AK98" s="88"/>
      <c r="AL98" s="88"/>
      <c r="AM98" s="88">
        <v>52.444444444444443</v>
      </c>
      <c r="AN98" s="88">
        <v>90</v>
      </c>
      <c r="AO98" s="89"/>
      <c r="AP98" s="90"/>
      <c r="AQ98" s="146" t="str">
        <f t="shared" si="38"/>
        <v/>
      </c>
      <c r="AR98" s="146" t="str">
        <f t="shared" si="39"/>
        <v/>
      </c>
      <c r="AS98" s="147">
        <v>0</v>
      </c>
      <c r="AT98" s="148" t="s">
        <v>56</v>
      </c>
      <c r="AU98" s="149" t="s">
        <v>56</v>
      </c>
      <c r="AV98" s="146" t="str">
        <f t="shared" si="40"/>
        <v/>
      </c>
      <c r="AW98" s="146" t="str">
        <f t="shared" si="41"/>
        <v/>
      </c>
      <c r="AX98" s="138" t="str">
        <f t="shared" si="42"/>
        <v/>
      </c>
      <c r="AY98" s="95" t="s">
        <v>56</v>
      </c>
      <c r="AZ98" s="96">
        <v>63.314999999999998</v>
      </c>
      <c r="BA98" s="96"/>
      <c r="BB98" s="96">
        <v>86</v>
      </c>
      <c r="BC98" s="96"/>
      <c r="BD98" s="97">
        <v>90</v>
      </c>
      <c r="BE98" s="142">
        <f t="shared" si="43"/>
        <v>6236</v>
      </c>
      <c r="BF98" s="98">
        <v>93</v>
      </c>
      <c r="BG98" s="98">
        <v>0</v>
      </c>
      <c r="BH98" s="98">
        <v>1595</v>
      </c>
      <c r="BI98" s="98">
        <v>4548</v>
      </c>
      <c r="BJ98" s="98"/>
      <c r="BK98" s="98"/>
      <c r="BL98" s="98"/>
    </row>
    <row r="99" spans="1:64" outlineLevel="5" x14ac:dyDescent="0.3">
      <c r="A99" s="152">
        <f t="shared" si="45"/>
        <v>3</v>
      </c>
      <c r="B99" s="153">
        <f t="shared" si="44"/>
        <v>44270</v>
      </c>
      <c r="C99" s="138"/>
      <c r="D99" s="84">
        <v>38</v>
      </c>
      <c r="E99" s="84">
        <v>38</v>
      </c>
      <c r="F99" s="84"/>
      <c r="G99" s="84"/>
      <c r="H99" s="84"/>
      <c r="I99" s="84"/>
      <c r="J99" s="84"/>
      <c r="K99" s="84"/>
      <c r="L99" s="140">
        <f t="shared" si="35"/>
        <v>7.7</v>
      </c>
      <c r="M99" s="86">
        <v>7.72</v>
      </c>
      <c r="N99" s="86">
        <v>7.58</v>
      </c>
      <c r="O99" s="86"/>
      <c r="P99" s="86"/>
      <c r="Q99" s="86"/>
      <c r="R99" s="86"/>
      <c r="S99" s="86"/>
      <c r="T99" s="86"/>
      <c r="U99" s="142">
        <f t="shared" si="36"/>
        <v>1800</v>
      </c>
      <c r="V99" s="88">
        <v>1950</v>
      </c>
      <c r="W99" s="88">
        <v>1650</v>
      </c>
      <c r="X99" s="88"/>
      <c r="Y99" s="88"/>
      <c r="Z99" s="88"/>
      <c r="AA99" s="88"/>
      <c r="AB99" s="88"/>
      <c r="AC99" s="88"/>
      <c r="AD99" s="142" t="str">
        <f t="shared" si="37"/>
        <v/>
      </c>
      <c r="AE99" s="88"/>
      <c r="AF99" s="88"/>
      <c r="AG99" s="88"/>
      <c r="AH99" s="88"/>
      <c r="AI99" s="88"/>
      <c r="AJ99" s="88"/>
      <c r="AK99" s="88"/>
      <c r="AL99" s="88"/>
      <c r="AM99" s="88">
        <v>49.852133502323611</v>
      </c>
      <c r="AN99" s="88">
        <v>94.68</v>
      </c>
      <c r="AO99" s="89">
        <v>24.6</v>
      </c>
      <c r="AP99" s="90">
        <v>19.286400000000004</v>
      </c>
      <c r="AQ99" s="146">
        <f t="shared" si="38"/>
        <v>78.40000000000002</v>
      </c>
      <c r="AR99" s="146">
        <f t="shared" si="39"/>
        <v>21.59999999999998</v>
      </c>
      <c r="AS99" s="147">
        <v>0</v>
      </c>
      <c r="AT99" s="148">
        <v>16.05</v>
      </c>
      <c r="AU99" s="149">
        <v>6.9499999999999993</v>
      </c>
      <c r="AV99" s="146">
        <f t="shared" si="40"/>
        <v>43.302180685358252</v>
      </c>
      <c r="AW99" s="146">
        <f t="shared" si="41"/>
        <v>56.697819314641748</v>
      </c>
      <c r="AX99" s="138">
        <f t="shared" si="42"/>
        <v>78.958286611347859</v>
      </c>
      <c r="AY99" s="95">
        <v>76.849999999999994</v>
      </c>
      <c r="AZ99" s="96">
        <v>63.314999999999998</v>
      </c>
      <c r="BA99" s="96"/>
      <c r="BB99" s="96">
        <v>86</v>
      </c>
      <c r="BC99" s="96"/>
      <c r="BD99" s="97">
        <v>94.68</v>
      </c>
      <c r="BE99" s="142">
        <f t="shared" si="43"/>
        <v>6123</v>
      </c>
      <c r="BF99" s="98">
        <v>269</v>
      </c>
      <c r="BG99" s="98">
        <v>0</v>
      </c>
      <c r="BH99" s="98">
        <v>873</v>
      </c>
      <c r="BI99" s="98">
        <v>4981</v>
      </c>
      <c r="BJ99" s="98"/>
      <c r="BK99" s="98"/>
      <c r="BL99" s="98"/>
    </row>
    <row r="100" spans="1:64" outlineLevel="5" x14ac:dyDescent="0.3">
      <c r="A100" s="152">
        <f t="shared" si="45"/>
        <v>3</v>
      </c>
      <c r="B100" s="153">
        <f t="shared" si="44"/>
        <v>44271</v>
      </c>
      <c r="C100" s="138"/>
      <c r="D100" s="84">
        <v>38</v>
      </c>
      <c r="E100" s="84">
        <v>38</v>
      </c>
      <c r="F100" s="84"/>
      <c r="G100" s="84"/>
      <c r="H100" s="84"/>
      <c r="I100" s="84"/>
      <c r="J100" s="84"/>
      <c r="K100" s="84"/>
      <c r="L100" s="140" t="str">
        <f t="shared" si="35"/>
        <v/>
      </c>
      <c r="M100" s="86" t="s">
        <v>56</v>
      </c>
      <c r="N100" s="86" t="s">
        <v>56</v>
      </c>
      <c r="O100" s="86"/>
      <c r="P100" s="86"/>
      <c r="Q100" s="86"/>
      <c r="R100" s="86"/>
      <c r="S100" s="86"/>
      <c r="T100" s="86"/>
      <c r="U100" s="142" t="str">
        <f t="shared" si="36"/>
        <v/>
      </c>
      <c r="V100" s="88" t="s">
        <v>56</v>
      </c>
      <c r="W100" s="88" t="s">
        <v>56</v>
      </c>
      <c r="X100" s="88"/>
      <c r="Y100" s="88"/>
      <c r="Z100" s="88"/>
      <c r="AA100" s="88"/>
      <c r="AB100" s="88"/>
      <c r="AC100" s="88"/>
      <c r="AD100" s="142" t="str">
        <f t="shared" si="37"/>
        <v/>
      </c>
      <c r="AE100" s="88"/>
      <c r="AF100" s="88"/>
      <c r="AG100" s="88"/>
      <c r="AH100" s="88"/>
      <c r="AI100" s="88"/>
      <c r="AJ100" s="88"/>
      <c r="AK100" s="88"/>
      <c r="AL100" s="88"/>
      <c r="AM100" s="88">
        <v>38.015463917525771</v>
      </c>
      <c r="AN100" s="88">
        <v>124.16</v>
      </c>
      <c r="AO100" s="89" t="s">
        <v>56</v>
      </c>
      <c r="AP100" s="90" t="s">
        <v>56</v>
      </c>
      <c r="AQ100" s="146" t="str">
        <f t="shared" si="38"/>
        <v/>
      </c>
      <c r="AR100" s="146" t="str">
        <f t="shared" si="39"/>
        <v/>
      </c>
      <c r="AS100" s="147">
        <v>20</v>
      </c>
      <c r="AT100" s="148" t="s">
        <v>56</v>
      </c>
      <c r="AU100" s="149" t="s">
        <v>56</v>
      </c>
      <c r="AV100" s="146" t="str">
        <f t="shared" si="40"/>
        <v/>
      </c>
      <c r="AW100" s="146" t="str">
        <f t="shared" si="41"/>
        <v/>
      </c>
      <c r="AX100" s="138" t="str">
        <f t="shared" si="42"/>
        <v/>
      </c>
      <c r="AY100" s="95" t="s">
        <v>56</v>
      </c>
      <c r="AZ100" s="96">
        <v>61.075000000000003</v>
      </c>
      <c r="BA100" s="96"/>
      <c r="BB100" s="96">
        <v>126</v>
      </c>
      <c r="BC100" s="96"/>
      <c r="BD100" s="97">
        <v>124.16</v>
      </c>
      <c r="BE100" s="142">
        <f t="shared" si="43"/>
        <v>9728</v>
      </c>
      <c r="BF100" s="98">
        <v>421</v>
      </c>
      <c r="BG100" s="98">
        <v>0</v>
      </c>
      <c r="BH100" s="98">
        <v>4055</v>
      </c>
      <c r="BI100" s="98">
        <v>5252</v>
      </c>
      <c r="BJ100" s="98"/>
      <c r="BK100" s="98"/>
      <c r="BL100" s="98"/>
    </row>
    <row r="101" spans="1:64" outlineLevel="5" x14ac:dyDescent="0.3">
      <c r="A101" s="152">
        <f t="shared" si="45"/>
        <v>3</v>
      </c>
      <c r="B101" s="153">
        <f t="shared" si="44"/>
        <v>44272</v>
      </c>
      <c r="C101" s="138"/>
      <c r="D101" s="84">
        <v>40</v>
      </c>
      <c r="E101" s="84">
        <v>38</v>
      </c>
      <c r="F101" s="84"/>
      <c r="G101" s="84"/>
      <c r="H101" s="84"/>
      <c r="I101" s="84"/>
      <c r="J101" s="84"/>
      <c r="K101" s="84"/>
      <c r="L101" s="140">
        <f t="shared" si="35"/>
        <v>7.7</v>
      </c>
      <c r="M101" s="86">
        <v>7.72</v>
      </c>
      <c r="N101" s="86">
        <v>7.6</v>
      </c>
      <c r="O101" s="86"/>
      <c r="P101" s="86"/>
      <c r="Q101" s="86"/>
      <c r="R101" s="86"/>
      <c r="S101" s="86"/>
      <c r="T101" s="86"/>
      <c r="U101" s="142">
        <f t="shared" si="36"/>
        <v>1725</v>
      </c>
      <c r="V101" s="88">
        <v>1900</v>
      </c>
      <c r="W101" s="88">
        <v>1550</v>
      </c>
      <c r="X101" s="88"/>
      <c r="Y101" s="88"/>
      <c r="Z101" s="88"/>
      <c r="AA101" s="88"/>
      <c r="AB101" s="88"/>
      <c r="AC101" s="88"/>
      <c r="AD101" s="142" t="str">
        <f t="shared" si="37"/>
        <v/>
      </c>
      <c r="AE101" s="88"/>
      <c r="AF101" s="88"/>
      <c r="AG101" s="88"/>
      <c r="AH101" s="88"/>
      <c r="AI101" s="88"/>
      <c r="AJ101" s="88"/>
      <c r="AK101" s="88"/>
      <c r="AL101" s="88"/>
      <c r="AM101" s="88">
        <v>36.187993559763854</v>
      </c>
      <c r="AN101" s="88">
        <v>130.43</v>
      </c>
      <c r="AO101" s="89" t="s">
        <v>56</v>
      </c>
      <c r="AP101" s="90" t="s">
        <v>56</v>
      </c>
      <c r="AQ101" s="146" t="str">
        <f t="shared" si="38"/>
        <v/>
      </c>
      <c r="AR101" s="146" t="str">
        <f t="shared" si="39"/>
        <v/>
      </c>
      <c r="AS101" s="147">
        <v>20</v>
      </c>
      <c r="AT101" s="148">
        <v>16.899999999999999</v>
      </c>
      <c r="AU101" s="149">
        <v>8.6999999999999993</v>
      </c>
      <c r="AV101" s="146">
        <f t="shared" si="40"/>
        <v>51.479289940828401</v>
      </c>
      <c r="AW101" s="146">
        <f t="shared" si="41"/>
        <v>48.520710059171599</v>
      </c>
      <c r="AX101" s="138" t="str">
        <f t="shared" si="42"/>
        <v/>
      </c>
      <c r="AY101" s="95">
        <v>75.349999999999994</v>
      </c>
      <c r="AZ101" s="96">
        <v>58.74</v>
      </c>
      <c r="BA101" s="96"/>
      <c r="BB101" s="96">
        <v>190.5</v>
      </c>
      <c r="BC101" s="96"/>
      <c r="BD101" s="97">
        <v>130.43</v>
      </c>
      <c r="BE101" s="142">
        <f t="shared" si="43"/>
        <v>10784</v>
      </c>
      <c r="BF101" s="98">
        <v>458</v>
      </c>
      <c r="BG101" s="98">
        <v>0</v>
      </c>
      <c r="BH101" s="98">
        <v>5128</v>
      </c>
      <c r="BI101" s="98">
        <v>5198</v>
      </c>
      <c r="BJ101" s="98"/>
      <c r="BK101" s="98"/>
      <c r="BL101" s="98"/>
    </row>
    <row r="102" spans="1:64" outlineLevel="5" x14ac:dyDescent="0.3">
      <c r="A102" s="152">
        <f t="shared" si="45"/>
        <v>3</v>
      </c>
      <c r="B102" s="153">
        <f t="shared" si="44"/>
        <v>44273</v>
      </c>
      <c r="C102" s="138"/>
      <c r="D102" s="84">
        <v>40</v>
      </c>
      <c r="E102" s="84">
        <v>38</v>
      </c>
      <c r="F102" s="84"/>
      <c r="G102" s="84"/>
      <c r="H102" s="84"/>
      <c r="I102" s="84"/>
      <c r="J102" s="84"/>
      <c r="K102" s="84"/>
      <c r="L102" s="140">
        <f t="shared" si="35"/>
        <v>7.7</v>
      </c>
      <c r="M102" s="86">
        <v>7.76</v>
      </c>
      <c r="N102" s="86">
        <v>7.64</v>
      </c>
      <c r="O102" s="86"/>
      <c r="P102" s="86"/>
      <c r="Q102" s="86"/>
      <c r="R102" s="86"/>
      <c r="S102" s="86"/>
      <c r="T102" s="86"/>
      <c r="U102" s="142">
        <f t="shared" si="36"/>
        <v>1650</v>
      </c>
      <c r="V102" s="88">
        <v>1850</v>
      </c>
      <c r="W102" s="88">
        <v>1450</v>
      </c>
      <c r="X102" s="88"/>
      <c r="Y102" s="88"/>
      <c r="Z102" s="88"/>
      <c r="AA102" s="88"/>
      <c r="AB102" s="88"/>
      <c r="AC102" s="88"/>
      <c r="AD102" s="142" t="str">
        <f t="shared" si="37"/>
        <v/>
      </c>
      <c r="AE102" s="88"/>
      <c r="AF102" s="88"/>
      <c r="AG102" s="88"/>
      <c r="AH102" s="88"/>
      <c r="AI102" s="88"/>
      <c r="AJ102" s="88"/>
      <c r="AK102" s="88"/>
      <c r="AL102" s="88"/>
      <c r="AM102" s="88">
        <v>42.912992090190016</v>
      </c>
      <c r="AN102" s="88">
        <v>109.99000000000001</v>
      </c>
      <c r="AO102" s="89" t="s">
        <v>56</v>
      </c>
      <c r="AP102" s="90"/>
      <c r="AQ102" s="146" t="str">
        <f t="shared" si="38"/>
        <v/>
      </c>
      <c r="AR102" s="146" t="str">
        <f t="shared" si="39"/>
        <v/>
      </c>
      <c r="AS102" s="147">
        <v>20</v>
      </c>
      <c r="AT102" s="148">
        <v>15.600000000000001</v>
      </c>
      <c r="AU102" s="149">
        <v>8.5500000000000007</v>
      </c>
      <c r="AV102" s="146">
        <f t="shared" si="40"/>
        <v>54.807692307692299</v>
      </c>
      <c r="AW102" s="146">
        <f t="shared" si="41"/>
        <v>45.192307692307701</v>
      </c>
      <c r="AX102" s="138" t="str">
        <f t="shared" si="42"/>
        <v/>
      </c>
      <c r="AY102" s="95">
        <v>73.25</v>
      </c>
      <c r="AZ102" s="96">
        <v>60.620000000000005</v>
      </c>
      <c r="BA102" s="96"/>
      <c r="BB102" s="96">
        <v>177.5</v>
      </c>
      <c r="BC102" s="96"/>
      <c r="BD102" s="97">
        <v>109.99000000000001</v>
      </c>
      <c r="BE102" s="142">
        <f t="shared" si="43"/>
        <v>10892</v>
      </c>
      <c r="BF102" s="98">
        <v>109</v>
      </c>
      <c r="BG102" s="98">
        <v>0</v>
      </c>
      <c r="BH102" s="98">
        <v>5729</v>
      </c>
      <c r="BI102" s="98">
        <v>5054</v>
      </c>
      <c r="BJ102" s="98"/>
      <c r="BK102" s="98"/>
      <c r="BL102" s="98"/>
    </row>
    <row r="103" spans="1:64" outlineLevel="5" x14ac:dyDescent="0.3">
      <c r="A103" s="152">
        <f t="shared" si="45"/>
        <v>3</v>
      </c>
      <c r="B103" s="153">
        <f t="shared" si="44"/>
        <v>44274</v>
      </c>
      <c r="C103" s="138"/>
      <c r="D103" s="84">
        <v>39</v>
      </c>
      <c r="E103" s="84">
        <v>38</v>
      </c>
      <c r="F103" s="84"/>
      <c r="G103" s="84"/>
      <c r="H103" s="84"/>
      <c r="I103" s="84"/>
      <c r="J103" s="84"/>
      <c r="K103" s="84"/>
      <c r="L103" s="140" t="str">
        <f t="shared" si="35"/>
        <v/>
      </c>
      <c r="M103" s="86" t="s">
        <v>56</v>
      </c>
      <c r="N103" s="86" t="s">
        <v>56</v>
      </c>
      <c r="O103" s="86"/>
      <c r="P103" s="86"/>
      <c r="Q103" s="86"/>
      <c r="R103" s="86"/>
      <c r="S103" s="86"/>
      <c r="T103" s="86"/>
      <c r="U103" s="142" t="str">
        <f t="shared" si="36"/>
        <v/>
      </c>
      <c r="V103" s="88" t="s">
        <v>56</v>
      </c>
      <c r="W103" s="88" t="s">
        <v>56</v>
      </c>
      <c r="X103" s="88"/>
      <c r="Y103" s="88"/>
      <c r="Z103" s="88"/>
      <c r="AA103" s="88"/>
      <c r="AB103" s="88"/>
      <c r="AC103" s="88"/>
      <c r="AD103" s="142" t="str">
        <f t="shared" si="37"/>
        <v/>
      </c>
      <c r="AE103" s="88"/>
      <c r="AF103" s="88"/>
      <c r="AG103" s="88"/>
      <c r="AH103" s="88"/>
      <c r="AI103" s="88"/>
      <c r="AJ103" s="88"/>
      <c r="AK103" s="88"/>
      <c r="AL103" s="88"/>
      <c r="AM103" s="88">
        <v>35.746743411087543</v>
      </c>
      <c r="AN103" s="88">
        <v>132.04000000000002</v>
      </c>
      <c r="AO103" s="89" t="s">
        <v>56</v>
      </c>
      <c r="AP103" s="90"/>
      <c r="AQ103" s="146" t="str">
        <f t="shared" si="38"/>
        <v/>
      </c>
      <c r="AR103" s="146" t="str">
        <f t="shared" si="39"/>
        <v/>
      </c>
      <c r="AS103" s="147">
        <v>40</v>
      </c>
      <c r="AT103" s="148" t="s">
        <v>56</v>
      </c>
      <c r="AU103" s="149" t="s">
        <v>56</v>
      </c>
      <c r="AV103" s="146" t="str">
        <f t="shared" si="40"/>
        <v/>
      </c>
      <c r="AW103" s="146" t="str">
        <f t="shared" si="41"/>
        <v/>
      </c>
      <c r="AX103" s="138" t="str">
        <f t="shared" si="42"/>
        <v/>
      </c>
      <c r="AY103" s="95" t="s">
        <v>56</v>
      </c>
      <c r="AZ103" s="96">
        <v>60.045000000000002</v>
      </c>
      <c r="BA103" s="96"/>
      <c r="BB103" s="96">
        <v>137</v>
      </c>
      <c r="BC103" s="96"/>
      <c r="BD103" s="97">
        <v>132.04000000000002</v>
      </c>
      <c r="BE103" s="142">
        <f t="shared" si="43"/>
        <v>11671</v>
      </c>
      <c r="BF103" s="98">
        <v>0</v>
      </c>
      <c r="BG103" s="98">
        <v>0</v>
      </c>
      <c r="BH103" s="98">
        <v>6514</v>
      </c>
      <c r="BI103" s="98">
        <v>5157</v>
      </c>
      <c r="BJ103" s="98"/>
      <c r="BK103" s="98"/>
      <c r="BL103" s="98"/>
    </row>
    <row r="104" spans="1:64" outlineLevel="5" x14ac:dyDescent="0.3">
      <c r="A104" s="152">
        <f t="shared" si="45"/>
        <v>3</v>
      </c>
      <c r="B104" s="153">
        <f t="shared" si="44"/>
        <v>44275</v>
      </c>
      <c r="C104" s="138"/>
      <c r="D104" s="84">
        <v>39</v>
      </c>
      <c r="E104" s="84">
        <v>38</v>
      </c>
      <c r="F104" s="84"/>
      <c r="G104" s="84"/>
      <c r="H104" s="84"/>
      <c r="I104" s="84"/>
      <c r="J104" s="84"/>
      <c r="K104" s="84"/>
      <c r="L104" s="140" t="str">
        <f t="shared" si="35"/>
        <v/>
      </c>
      <c r="M104" s="86"/>
      <c r="N104" s="86"/>
      <c r="O104" s="86"/>
      <c r="P104" s="86"/>
      <c r="Q104" s="86"/>
      <c r="R104" s="86"/>
      <c r="S104" s="86"/>
      <c r="T104" s="86"/>
      <c r="U104" s="142" t="str">
        <f t="shared" si="36"/>
        <v/>
      </c>
      <c r="V104" s="88"/>
      <c r="W104" s="88"/>
      <c r="X104" s="88"/>
      <c r="Y104" s="88"/>
      <c r="Z104" s="88"/>
      <c r="AA104" s="88"/>
      <c r="AB104" s="88"/>
      <c r="AC104" s="88"/>
      <c r="AD104" s="142" t="str">
        <f t="shared" si="37"/>
        <v/>
      </c>
      <c r="AE104" s="88"/>
      <c r="AF104" s="88"/>
      <c r="AG104" s="88"/>
      <c r="AH104" s="88"/>
      <c r="AI104" s="88"/>
      <c r="AJ104" s="88"/>
      <c r="AK104" s="88"/>
      <c r="AL104" s="88"/>
      <c r="AM104" s="88">
        <v>43.862094600873526</v>
      </c>
      <c r="AN104" s="88">
        <v>107.61</v>
      </c>
      <c r="AO104" s="89"/>
      <c r="AP104" s="90"/>
      <c r="AQ104" s="146" t="str">
        <f t="shared" si="38"/>
        <v/>
      </c>
      <c r="AR104" s="146" t="str">
        <f t="shared" si="39"/>
        <v/>
      </c>
      <c r="AS104" s="147">
        <v>0</v>
      </c>
      <c r="AT104" s="148" t="s">
        <v>56</v>
      </c>
      <c r="AU104" s="149" t="s">
        <v>56</v>
      </c>
      <c r="AV104" s="146" t="str">
        <f t="shared" si="40"/>
        <v/>
      </c>
      <c r="AW104" s="146" t="str">
        <f t="shared" si="41"/>
        <v/>
      </c>
      <c r="AX104" s="138" t="str">
        <f t="shared" si="42"/>
        <v/>
      </c>
      <c r="AY104" s="95" t="s">
        <v>56</v>
      </c>
      <c r="AZ104" s="96">
        <v>60.835000000000001</v>
      </c>
      <c r="BA104" s="96"/>
      <c r="BB104" s="96">
        <v>142</v>
      </c>
      <c r="BC104" s="96"/>
      <c r="BD104" s="97">
        <v>107.61</v>
      </c>
      <c r="BE104" s="142">
        <f t="shared" si="43"/>
        <v>11967</v>
      </c>
      <c r="BF104" s="98">
        <v>557</v>
      </c>
      <c r="BG104" s="98">
        <v>0</v>
      </c>
      <c r="BH104" s="98">
        <v>6262</v>
      </c>
      <c r="BI104" s="98">
        <v>5148</v>
      </c>
      <c r="BJ104" s="98"/>
      <c r="BK104" s="98"/>
      <c r="BL104" s="98"/>
    </row>
    <row r="105" spans="1:64" outlineLevel="5" x14ac:dyDescent="0.3">
      <c r="A105" s="152">
        <f t="shared" si="45"/>
        <v>3</v>
      </c>
      <c r="B105" s="153">
        <f t="shared" si="44"/>
        <v>44276</v>
      </c>
      <c r="C105" s="138"/>
      <c r="D105" s="84">
        <v>40</v>
      </c>
      <c r="E105" s="84">
        <v>39</v>
      </c>
      <c r="F105" s="84"/>
      <c r="G105" s="84"/>
      <c r="H105" s="84"/>
      <c r="I105" s="84"/>
      <c r="J105" s="84"/>
      <c r="K105" s="84"/>
      <c r="L105" s="140" t="str">
        <f t="shared" si="35"/>
        <v/>
      </c>
      <c r="M105" s="86"/>
      <c r="N105" s="86"/>
      <c r="O105" s="86"/>
      <c r="P105" s="86"/>
      <c r="Q105" s="86"/>
      <c r="R105" s="86"/>
      <c r="S105" s="86"/>
      <c r="T105" s="86"/>
      <c r="U105" s="142" t="str">
        <f t="shared" si="36"/>
        <v/>
      </c>
      <c r="V105" s="88"/>
      <c r="W105" s="88"/>
      <c r="X105" s="88"/>
      <c r="Y105" s="88"/>
      <c r="Z105" s="88"/>
      <c r="AA105" s="88"/>
      <c r="AB105" s="88"/>
      <c r="AC105" s="88"/>
      <c r="AD105" s="142" t="str">
        <f t="shared" si="37"/>
        <v/>
      </c>
      <c r="AE105" s="88"/>
      <c r="AF105" s="88"/>
      <c r="AG105" s="88"/>
      <c r="AH105" s="88"/>
      <c r="AI105" s="88"/>
      <c r="AJ105" s="88"/>
      <c r="AK105" s="88"/>
      <c r="AL105" s="88"/>
      <c r="AM105" s="88">
        <v>42.909090909090907</v>
      </c>
      <c r="AN105" s="88">
        <v>110</v>
      </c>
      <c r="AO105" s="89"/>
      <c r="AP105" s="90"/>
      <c r="AQ105" s="146" t="str">
        <f t="shared" si="38"/>
        <v/>
      </c>
      <c r="AR105" s="146" t="str">
        <f t="shared" si="39"/>
        <v/>
      </c>
      <c r="AS105" s="147">
        <v>0</v>
      </c>
      <c r="AT105" s="148" t="s">
        <v>56</v>
      </c>
      <c r="AU105" s="149" t="s">
        <v>56</v>
      </c>
      <c r="AV105" s="146" t="str">
        <f t="shared" si="40"/>
        <v/>
      </c>
      <c r="AW105" s="146" t="str">
        <f t="shared" si="41"/>
        <v/>
      </c>
      <c r="AX105" s="138" t="str">
        <f t="shared" si="42"/>
        <v/>
      </c>
      <c r="AY105" s="95" t="s">
        <v>56</v>
      </c>
      <c r="AZ105" s="96">
        <v>61.95</v>
      </c>
      <c r="BA105" s="96"/>
      <c r="BB105" s="96">
        <v>102.5</v>
      </c>
      <c r="BC105" s="96"/>
      <c r="BD105" s="97">
        <v>110</v>
      </c>
      <c r="BE105" s="142">
        <f t="shared" si="43"/>
        <v>9648</v>
      </c>
      <c r="BF105" s="98">
        <v>165</v>
      </c>
      <c r="BG105" s="98">
        <v>0</v>
      </c>
      <c r="BH105" s="98">
        <v>4475</v>
      </c>
      <c r="BI105" s="98">
        <v>5008</v>
      </c>
      <c r="BJ105" s="98"/>
      <c r="BK105" s="98"/>
      <c r="BL105" s="98"/>
    </row>
    <row r="106" spans="1:64" outlineLevel="5" x14ac:dyDescent="0.3">
      <c r="A106" s="152">
        <f t="shared" si="45"/>
        <v>3</v>
      </c>
      <c r="B106" s="153">
        <f t="shared" si="44"/>
        <v>44277</v>
      </c>
      <c r="C106" s="138"/>
      <c r="D106" s="84">
        <v>36</v>
      </c>
      <c r="E106" s="84">
        <v>37</v>
      </c>
      <c r="F106" s="84"/>
      <c r="G106" s="84"/>
      <c r="H106" s="84"/>
      <c r="I106" s="84"/>
      <c r="J106" s="84"/>
      <c r="K106" s="84"/>
      <c r="L106" s="140">
        <f t="shared" si="35"/>
        <v>7.7</v>
      </c>
      <c r="M106" s="86">
        <v>7.71</v>
      </c>
      <c r="N106" s="86">
        <v>7.62</v>
      </c>
      <c r="O106" s="86"/>
      <c r="P106" s="86"/>
      <c r="Q106" s="86"/>
      <c r="R106" s="86"/>
      <c r="S106" s="86"/>
      <c r="T106" s="86"/>
      <c r="U106" s="142">
        <f t="shared" si="36"/>
        <v>1150</v>
      </c>
      <c r="V106" s="88">
        <v>1250</v>
      </c>
      <c r="W106" s="88">
        <v>1050</v>
      </c>
      <c r="X106" s="88"/>
      <c r="Y106" s="88"/>
      <c r="Z106" s="88"/>
      <c r="AA106" s="88"/>
      <c r="AB106" s="88"/>
      <c r="AC106" s="88"/>
      <c r="AD106" s="142" t="str">
        <f t="shared" si="37"/>
        <v/>
      </c>
      <c r="AE106" s="88"/>
      <c r="AF106" s="88"/>
      <c r="AG106" s="88"/>
      <c r="AH106" s="88"/>
      <c r="AI106" s="88"/>
      <c r="AJ106" s="88"/>
      <c r="AK106" s="88"/>
      <c r="AL106" s="88"/>
      <c r="AM106" s="88">
        <v>35.366401918177729</v>
      </c>
      <c r="AN106" s="88">
        <v>133.46</v>
      </c>
      <c r="AO106" s="89" t="s">
        <v>56</v>
      </c>
      <c r="AP106" s="90"/>
      <c r="AQ106" s="146" t="str">
        <f t="shared" si="38"/>
        <v/>
      </c>
      <c r="AR106" s="146" t="str">
        <f t="shared" si="39"/>
        <v/>
      </c>
      <c r="AS106" s="147">
        <v>40</v>
      </c>
      <c r="AT106" s="148">
        <v>15.45</v>
      </c>
      <c r="AU106" s="149">
        <v>8.9</v>
      </c>
      <c r="AV106" s="146">
        <f t="shared" si="40"/>
        <v>57.605177993527512</v>
      </c>
      <c r="AW106" s="146">
        <f t="shared" si="41"/>
        <v>42.394822006472488</v>
      </c>
      <c r="AX106" s="138" t="str">
        <f t="shared" si="42"/>
        <v/>
      </c>
      <c r="AY106" s="95">
        <v>73.75</v>
      </c>
      <c r="AZ106" s="96">
        <v>62.54</v>
      </c>
      <c r="BA106" s="96"/>
      <c r="BB106" s="96">
        <v>101.5</v>
      </c>
      <c r="BC106" s="96"/>
      <c r="BD106" s="97">
        <v>133.46</v>
      </c>
      <c r="BE106" s="142">
        <f t="shared" si="43"/>
        <v>9034</v>
      </c>
      <c r="BF106" s="98">
        <v>133</v>
      </c>
      <c r="BG106" s="98">
        <v>0</v>
      </c>
      <c r="BH106" s="98">
        <v>3950</v>
      </c>
      <c r="BI106" s="98">
        <v>4951</v>
      </c>
      <c r="BJ106" s="98"/>
      <c r="BK106" s="98"/>
      <c r="BL106" s="98"/>
    </row>
    <row r="107" spans="1:64" outlineLevel="5" x14ac:dyDescent="0.3">
      <c r="A107" s="152">
        <f t="shared" si="45"/>
        <v>3</v>
      </c>
      <c r="B107" s="153">
        <f t="shared" si="44"/>
        <v>44278</v>
      </c>
      <c r="C107" s="138"/>
      <c r="D107" s="84">
        <v>36</v>
      </c>
      <c r="E107" s="84">
        <v>37</v>
      </c>
      <c r="F107" s="84"/>
      <c r="G107" s="84"/>
      <c r="H107" s="84"/>
      <c r="I107" s="84"/>
      <c r="J107" s="84"/>
      <c r="K107" s="84"/>
      <c r="L107" s="140" t="str">
        <f t="shared" si="35"/>
        <v/>
      </c>
      <c r="M107" s="86" t="s">
        <v>56</v>
      </c>
      <c r="N107" s="86" t="s">
        <v>56</v>
      </c>
      <c r="O107" s="86"/>
      <c r="P107" s="86"/>
      <c r="Q107" s="86"/>
      <c r="R107" s="86"/>
      <c r="S107" s="86"/>
      <c r="T107" s="86"/>
      <c r="U107" s="142" t="str">
        <f t="shared" si="36"/>
        <v/>
      </c>
      <c r="V107" s="88" t="s">
        <v>56</v>
      </c>
      <c r="W107" s="88" t="s">
        <v>56</v>
      </c>
      <c r="X107" s="88"/>
      <c r="Y107" s="88"/>
      <c r="Z107" s="88"/>
      <c r="AA107" s="88"/>
      <c r="AB107" s="88"/>
      <c r="AC107" s="88"/>
      <c r="AD107" s="142" t="str">
        <f t="shared" si="37"/>
        <v/>
      </c>
      <c r="AE107" s="88"/>
      <c r="AF107" s="88"/>
      <c r="AG107" s="88"/>
      <c r="AH107" s="88"/>
      <c r="AI107" s="88"/>
      <c r="AJ107" s="88"/>
      <c r="AK107" s="88"/>
      <c r="AL107" s="88"/>
      <c r="AM107" s="88">
        <v>37.741883895730048</v>
      </c>
      <c r="AN107" s="88">
        <v>125.06</v>
      </c>
      <c r="AO107" s="89" t="s">
        <v>56</v>
      </c>
      <c r="AP107" s="90"/>
      <c r="AQ107" s="146" t="str">
        <f t="shared" si="38"/>
        <v/>
      </c>
      <c r="AR107" s="146" t="str">
        <f t="shared" si="39"/>
        <v/>
      </c>
      <c r="AS107" s="147">
        <v>40</v>
      </c>
      <c r="AT107" s="148" t="s">
        <v>56</v>
      </c>
      <c r="AU107" s="149" t="s">
        <v>56</v>
      </c>
      <c r="AV107" s="146" t="str">
        <f t="shared" si="40"/>
        <v/>
      </c>
      <c r="AW107" s="146" t="str">
        <f t="shared" si="41"/>
        <v/>
      </c>
      <c r="AX107" s="138" t="str">
        <f t="shared" si="42"/>
        <v/>
      </c>
      <c r="AY107" s="95" t="s">
        <v>56</v>
      </c>
      <c r="AZ107" s="96">
        <v>59.83</v>
      </c>
      <c r="BA107" s="96"/>
      <c r="BB107" s="96">
        <v>129</v>
      </c>
      <c r="BC107" s="96"/>
      <c r="BD107" s="97">
        <v>125.06</v>
      </c>
      <c r="BE107" s="142">
        <f t="shared" si="43"/>
        <v>10654</v>
      </c>
      <c r="BF107" s="98">
        <v>119</v>
      </c>
      <c r="BG107" s="98">
        <v>0</v>
      </c>
      <c r="BH107" s="98">
        <v>5471</v>
      </c>
      <c r="BI107" s="98">
        <v>5064</v>
      </c>
      <c r="BJ107" s="98"/>
      <c r="BK107" s="98"/>
      <c r="BL107" s="98"/>
    </row>
    <row r="108" spans="1:64" outlineLevel="5" x14ac:dyDescent="0.3">
      <c r="A108" s="152">
        <f t="shared" si="45"/>
        <v>3</v>
      </c>
      <c r="B108" s="153">
        <f t="shared" si="44"/>
        <v>44279</v>
      </c>
      <c r="C108" s="138"/>
      <c r="D108" s="84">
        <v>38</v>
      </c>
      <c r="E108" s="84">
        <v>38</v>
      </c>
      <c r="F108" s="84"/>
      <c r="G108" s="84"/>
      <c r="H108" s="84"/>
      <c r="I108" s="84"/>
      <c r="J108" s="84"/>
      <c r="K108" s="84"/>
      <c r="L108" s="140">
        <f t="shared" si="35"/>
        <v>7.7</v>
      </c>
      <c r="M108" s="86">
        <v>7.75</v>
      </c>
      <c r="N108" s="86">
        <v>7.62</v>
      </c>
      <c r="O108" s="86"/>
      <c r="P108" s="86"/>
      <c r="Q108" s="86"/>
      <c r="R108" s="86"/>
      <c r="S108" s="86"/>
      <c r="T108" s="86"/>
      <c r="U108" s="142">
        <f t="shared" si="36"/>
        <v>1750</v>
      </c>
      <c r="V108" s="88">
        <v>1850</v>
      </c>
      <c r="W108" s="88">
        <v>1650</v>
      </c>
      <c r="X108" s="88"/>
      <c r="Y108" s="88"/>
      <c r="Z108" s="88"/>
      <c r="AA108" s="88"/>
      <c r="AB108" s="88"/>
      <c r="AC108" s="88"/>
      <c r="AD108" s="142" t="str">
        <f t="shared" si="37"/>
        <v/>
      </c>
      <c r="AE108" s="88"/>
      <c r="AF108" s="88"/>
      <c r="AG108" s="88"/>
      <c r="AH108" s="88"/>
      <c r="AI108" s="88"/>
      <c r="AJ108" s="88"/>
      <c r="AK108" s="88"/>
      <c r="AL108" s="88"/>
      <c r="AM108" s="88">
        <v>39.733984342116344</v>
      </c>
      <c r="AN108" s="88">
        <v>118.78999999999999</v>
      </c>
      <c r="AO108" s="89" t="s">
        <v>56</v>
      </c>
      <c r="AP108" s="90" t="s">
        <v>56</v>
      </c>
      <c r="AQ108" s="146" t="str">
        <f t="shared" si="38"/>
        <v/>
      </c>
      <c r="AR108" s="146" t="str">
        <f t="shared" si="39"/>
        <v/>
      </c>
      <c r="AS108" s="147">
        <v>39</v>
      </c>
      <c r="AT108" s="148">
        <v>16.399999999999999</v>
      </c>
      <c r="AU108" s="149">
        <v>9.6999999999999993</v>
      </c>
      <c r="AV108" s="146">
        <f t="shared" si="40"/>
        <v>59.146341463414629</v>
      </c>
      <c r="AW108" s="146">
        <f t="shared" si="41"/>
        <v>40.853658536585371</v>
      </c>
      <c r="AX108" s="138" t="str">
        <f t="shared" si="42"/>
        <v/>
      </c>
      <c r="AY108" s="95">
        <v>72.150000000000006</v>
      </c>
      <c r="AZ108" s="96">
        <v>60.14</v>
      </c>
      <c r="BA108" s="96"/>
      <c r="BB108" s="96">
        <v>130.5</v>
      </c>
      <c r="BC108" s="96"/>
      <c r="BD108" s="97">
        <v>118.78999999999999</v>
      </c>
      <c r="BE108" s="142">
        <f t="shared" si="43"/>
        <v>12641</v>
      </c>
      <c r="BF108" s="98">
        <v>145</v>
      </c>
      <c r="BG108" s="98">
        <v>0</v>
      </c>
      <c r="BH108" s="98">
        <v>7288</v>
      </c>
      <c r="BI108" s="98">
        <v>5208</v>
      </c>
      <c r="BJ108" s="98"/>
      <c r="BK108" s="98"/>
      <c r="BL108" s="98"/>
    </row>
    <row r="109" spans="1:64" outlineLevel="5" x14ac:dyDescent="0.3">
      <c r="A109" s="152">
        <f t="shared" si="45"/>
        <v>3</v>
      </c>
      <c r="B109" s="153">
        <f t="shared" si="44"/>
        <v>44280</v>
      </c>
      <c r="C109" s="138"/>
      <c r="D109" s="84">
        <v>38</v>
      </c>
      <c r="E109" s="84">
        <v>37</v>
      </c>
      <c r="F109" s="84"/>
      <c r="G109" s="84"/>
      <c r="H109" s="84"/>
      <c r="I109" s="84"/>
      <c r="J109" s="84"/>
      <c r="K109" s="84"/>
      <c r="L109" s="140">
        <f t="shared" si="35"/>
        <v>7.7</v>
      </c>
      <c r="M109" s="86">
        <v>7.78</v>
      </c>
      <c r="N109" s="86">
        <v>7.67</v>
      </c>
      <c r="O109" s="86"/>
      <c r="P109" s="86"/>
      <c r="Q109" s="86"/>
      <c r="R109" s="86"/>
      <c r="S109" s="86"/>
      <c r="T109" s="86"/>
      <c r="U109" s="142">
        <f t="shared" si="36"/>
        <v>1450</v>
      </c>
      <c r="V109" s="88">
        <v>1600</v>
      </c>
      <c r="W109" s="88">
        <v>1300</v>
      </c>
      <c r="X109" s="88"/>
      <c r="Y109" s="88"/>
      <c r="Z109" s="88"/>
      <c r="AA109" s="88"/>
      <c r="AB109" s="88"/>
      <c r="AC109" s="88"/>
      <c r="AD109" s="142" t="str">
        <f t="shared" si="37"/>
        <v/>
      </c>
      <c r="AE109" s="88"/>
      <c r="AF109" s="88"/>
      <c r="AG109" s="88"/>
      <c r="AH109" s="88"/>
      <c r="AI109" s="88"/>
      <c r="AJ109" s="88"/>
      <c r="AK109" s="88"/>
      <c r="AL109" s="88"/>
      <c r="AM109" s="88">
        <v>37.537776363925559</v>
      </c>
      <c r="AN109" s="88">
        <v>125.74</v>
      </c>
      <c r="AO109" s="89" t="s">
        <v>56</v>
      </c>
      <c r="AP109" s="90"/>
      <c r="AQ109" s="146" t="str">
        <f t="shared" si="38"/>
        <v/>
      </c>
      <c r="AR109" s="146" t="str">
        <f t="shared" si="39"/>
        <v/>
      </c>
      <c r="AS109" s="147">
        <v>40</v>
      </c>
      <c r="AT109" s="148">
        <v>16.399999999999999</v>
      </c>
      <c r="AU109" s="149">
        <v>9.3999999999999986</v>
      </c>
      <c r="AV109" s="146">
        <f t="shared" si="40"/>
        <v>57.317073170731703</v>
      </c>
      <c r="AW109" s="146">
        <f t="shared" si="41"/>
        <v>42.682926829268297</v>
      </c>
      <c r="AX109" s="138" t="str">
        <f t="shared" si="42"/>
        <v/>
      </c>
      <c r="AY109" s="95">
        <v>72.150000000000006</v>
      </c>
      <c r="AZ109" s="96">
        <v>60.625</v>
      </c>
      <c r="BA109" s="96"/>
      <c r="BB109" s="96">
        <v>145.5</v>
      </c>
      <c r="BC109" s="96"/>
      <c r="BD109" s="97">
        <v>125.74</v>
      </c>
      <c r="BE109" s="142">
        <f t="shared" si="43"/>
        <v>11281</v>
      </c>
      <c r="BF109" s="98">
        <v>139</v>
      </c>
      <c r="BG109" s="98">
        <v>0</v>
      </c>
      <c r="BH109" s="98">
        <v>5949</v>
      </c>
      <c r="BI109" s="98">
        <v>5193</v>
      </c>
      <c r="BJ109" s="98"/>
      <c r="BK109" s="98"/>
      <c r="BL109" s="98"/>
    </row>
    <row r="110" spans="1:64" outlineLevel="5" x14ac:dyDescent="0.3">
      <c r="A110" s="152">
        <f t="shared" si="45"/>
        <v>3</v>
      </c>
      <c r="B110" s="153">
        <f t="shared" si="44"/>
        <v>44281</v>
      </c>
      <c r="C110" s="138"/>
      <c r="D110" s="84">
        <v>38</v>
      </c>
      <c r="E110" s="84">
        <v>37</v>
      </c>
      <c r="F110" s="84"/>
      <c r="G110" s="84"/>
      <c r="H110" s="84"/>
      <c r="I110" s="84"/>
      <c r="J110" s="84"/>
      <c r="K110" s="84"/>
      <c r="L110" s="140" t="str">
        <f t="shared" si="35"/>
        <v/>
      </c>
      <c r="M110" s="86" t="s">
        <v>56</v>
      </c>
      <c r="N110" s="86" t="s">
        <v>56</v>
      </c>
      <c r="O110" s="86"/>
      <c r="P110" s="86"/>
      <c r="Q110" s="86"/>
      <c r="R110" s="86"/>
      <c r="S110" s="86"/>
      <c r="T110" s="86"/>
      <c r="U110" s="142" t="str">
        <f t="shared" si="36"/>
        <v/>
      </c>
      <c r="V110" s="88" t="s">
        <v>56</v>
      </c>
      <c r="W110" s="88" t="s">
        <v>56</v>
      </c>
      <c r="X110" s="88"/>
      <c r="Y110" s="88"/>
      <c r="Z110" s="88"/>
      <c r="AA110" s="88"/>
      <c r="AB110" s="88"/>
      <c r="AC110" s="88"/>
      <c r="AD110" s="142" t="str">
        <f t="shared" si="37"/>
        <v/>
      </c>
      <c r="AE110" s="88"/>
      <c r="AF110" s="88"/>
      <c r="AG110" s="88"/>
      <c r="AH110" s="88"/>
      <c r="AI110" s="88"/>
      <c r="AJ110" s="88"/>
      <c r="AK110" s="88"/>
      <c r="AL110" s="88"/>
      <c r="AM110" s="88">
        <v>41.810612100274604</v>
      </c>
      <c r="AN110" s="88">
        <v>112.89</v>
      </c>
      <c r="AO110" s="89" t="s">
        <v>56</v>
      </c>
      <c r="AP110" s="90"/>
      <c r="AQ110" s="146" t="str">
        <f t="shared" si="38"/>
        <v/>
      </c>
      <c r="AR110" s="146" t="str">
        <f t="shared" si="39"/>
        <v/>
      </c>
      <c r="AS110" s="147">
        <v>20</v>
      </c>
      <c r="AT110" s="148" t="s">
        <v>56</v>
      </c>
      <c r="AU110" s="149" t="s">
        <v>56</v>
      </c>
      <c r="AV110" s="146" t="str">
        <f t="shared" si="40"/>
        <v/>
      </c>
      <c r="AW110" s="146" t="str">
        <f t="shared" si="41"/>
        <v/>
      </c>
      <c r="AX110" s="138" t="str">
        <f t="shared" si="42"/>
        <v/>
      </c>
      <c r="AY110" s="95" t="s">
        <v>56</v>
      </c>
      <c r="AZ110" s="96">
        <v>62.284999999999997</v>
      </c>
      <c r="BA110" s="96"/>
      <c r="BB110" s="96">
        <v>135.5</v>
      </c>
      <c r="BC110" s="96"/>
      <c r="BD110" s="97">
        <v>112.89</v>
      </c>
      <c r="BE110" s="142">
        <f t="shared" si="43"/>
        <v>9473</v>
      </c>
      <c r="BF110" s="98">
        <v>128</v>
      </c>
      <c r="BG110" s="98">
        <v>0</v>
      </c>
      <c r="BH110" s="98">
        <v>4116</v>
      </c>
      <c r="BI110" s="98">
        <v>5229</v>
      </c>
      <c r="BJ110" s="98"/>
      <c r="BK110" s="98"/>
      <c r="BL110" s="98"/>
    </row>
    <row r="111" spans="1:64" outlineLevel="5" x14ac:dyDescent="0.3">
      <c r="A111" s="152">
        <f t="shared" si="45"/>
        <v>3</v>
      </c>
      <c r="B111" s="153">
        <f t="shared" si="44"/>
        <v>44282</v>
      </c>
      <c r="C111" s="138"/>
      <c r="D111" s="84">
        <v>37</v>
      </c>
      <c r="E111" s="84">
        <v>37</v>
      </c>
      <c r="F111" s="84"/>
      <c r="G111" s="84"/>
      <c r="H111" s="84"/>
      <c r="I111" s="84"/>
      <c r="J111" s="84"/>
      <c r="K111" s="84"/>
      <c r="L111" s="140" t="str">
        <f t="shared" si="35"/>
        <v/>
      </c>
      <c r="M111" s="86"/>
      <c r="N111" s="86"/>
      <c r="O111" s="86"/>
      <c r="P111" s="86"/>
      <c r="Q111" s="86"/>
      <c r="R111" s="86"/>
      <c r="S111" s="86"/>
      <c r="T111" s="86"/>
      <c r="U111" s="142" t="str">
        <f t="shared" si="36"/>
        <v/>
      </c>
      <c r="V111" s="88"/>
      <c r="W111" s="88"/>
      <c r="X111" s="88"/>
      <c r="Y111" s="88"/>
      <c r="Z111" s="88"/>
      <c r="AA111" s="88"/>
      <c r="AB111" s="88"/>
      <c r="AC111" s="88"/>
      <c r="AD111" s="142" t="str">
        <f t="shared" si="37"/>
        <v/>
      </c>
      <c r="AE111" s="88"/>
      <c r="AF111" s="88"/>
      <c r="AG111" s="88"/>
      <c r="AH111" s="88"/>
      <c r="AI111" s="88"/>
      <c r="AJ111" s="88"/>
      <c r="AK111" s="88"/>
      <c r="AL111" s="88"/>
      <c r="AM111" s="88">
        <v>43.41826878851991</v>
      </c>
      <c r="AN111" s="88">
        <v>108.71000000000001</v>
      </c>
      <c r="AO111" s="89"/>
      <c r="AP111" s="90"/>
      <c r="AQ111" s="146" t="str">
        <f t="shared" si="38"/>
        <v/>
      </c>
      <c r="AR111" s="146" t="str">
        <f t="shared" si="39"/>
        <v/>
      </c>
      <c r="AS111" s="147">
        <v>10</v>
      </c>
      <c r="AT111" s="148" t="s">
        <v>56</v>
      </c>
      <c r="AU111" s="149" t="s">
        <v>56</v>
      </c>
      <c r="AV111" s="146" t="str">
        <f t="shared" si="40"/>
        <v/>
      </c>
      <c r="AW111" s="146" t="str">
        <f t="shared" si="41"/>
        <v/>
      </c>
      <c r="AX111" s="138" t="str">
        <f t="shared" si="42"/>
        <v/>
      </c>
      <c r="AY111" s="95" t="s">
        <v>56</v>
      </c>
      <c r="AZ111" s="96">
        <v>62.040000000000006</v>
      </c>
      <c r="BA111" s="96"/>
      <c r="BB111" s="96">
        <v>136</v>
      </c>
      <c r="BC111" s="96"/>
      <c r="BD111" s="97">
        <v>108.71000000000001</v>
      </c>
      <c r="BE111" s="142">
        <f t="shared" si="43"/>
        <v>5265</v>
      </c>
      <c r="BF111" s="98">
        <v>126</v>
      </c>
      <c r="BG111" s="98">
        <v>0</v>
      </c>
      <c r="BH111" s="98">
        <v>31</v>
      </c>
      <c r="BI111" s="98">
        <v>5108</v>
      </c>
      <c r="BJ111" s="98"/>
      <c r="BK111" s="98"/>
      <c r="BL111" s="98"/>
    </row>
    <row r="112" spans="1:64" outlineLevel="5" x14ac:dyDescent="0.3">
      <c r="A112" s="152">
        <f t="shared" si="45"/>
        <v>3</v>
      </c>
      <c r="B112" s="153">
        <f t="shared" si="44"/>
        <v>44283</v>
      </c>
      <c r="C112" s="138"/>
      <c r="D112" s="84">
        <v>37</v>
      </c>
      <c r="E112" s="84">
        <v>37</v>
      </c>
      <c r="F112" s="84"/>
      <c r="G112" s="84"/>
      <c r="H112" s="84"/>
      <c r="I112" s="84"/>
      <c r="J112" s="84"/>
      <c r="K112" s="84"/>
      <c r="L112" s="140" t="str">
        <f t="shared" si="35"/>
        <v/>
      </c>
      <c r="M112" s="86"/>
      <c r="N112" s="86"/>
      <c r="O112" s="86"/>
      <c r="P112" s="86"/>
      <c r="Q112" s="86"/>
      <c r="R112" s="86"/>
      <c r="S112" s="86"/>
      <c r="T112" s="86"/>
      <c r="U112" s="142" t="str">
        <f t="shared" si="36"/>
        <v/>
      </c>
      <c r="V112" s="88"/>
      <c r="W112" s="88"/>
      <c r="X112" s="88"/>
      <c r="Y112" s="88"/>
      <c r="Z112" s="88"/>
      <c r="AA112" s="88"/>
      <c r="AB112" s="88"/>
      <c r="AC112" s="88"/>
      <c r="AD112" s="142" t="str">
        <f t="shared" si="37"/>
        <v/>
      </c>
      <c r="AE112" s="88"/>
      <c r="AF112" s="88"/>
      <c r="AG112" s="88"/>
      <c r="AH112" s="88"/>
      <c r="AI112" s="88"/>
      <c r="AJ112" s="88"/>
      <c r="AK112" s="88"/>
      <c r="AL112" s="88"/>
      <c r="AM112" s="88">
        <v>50.212765957446805</v>
      </c>
      <c r="AN112" s="88">
        <v>94</v>
      </c>
      <c r="AO112" s="89"/>
      <c r="AP112" s="90"/>
      <c r="AQ112" s="146" t="str">
        <f t="shared" si="38"/>
        <v/>
      </c>
      <c r="AR112" s="146" t="str">
        <f t="shared" si="39"/>
        <v/>
      </c>
      <c r="AS112" s="147">
        <v>10</v>
      </c>
      <c r="AT112" s="148" t="s">
        <v>56</v>
      </c>
      <c r="AU112" s="149" t="s">
        <v>56</v>
      </c>
      <c r="AV112" s="146" t="str">
        <f t="shared" si="40"/>
        <v/>
      </c>
      <c r="AW112" s="146" t="str">
        <f t="shared" si="41"/>
        <v/>
      </c>
      <c r="AX112" s="138" t="str">
        <f t="shared" si="42"/>
        <v/>
      </c>
      <c r="AY112" s="95" t="s">
        <v>56</v>
      </c>
      <c r="AZ112" s="96">
        <v>63.024999999999999</v>
      </c>
      <c r="BA112" s="96"/>
      <c r="BB112" s="96">
        <v>140.5</v>
      </c>
      <c r="BC112" s="96"/>
      <c r="BD112" s="97">
        <v>94</v>
      </c>
      <c r="BE112" s="142">
        <f t="shared" si="43"/>
        <v>5378</v>
      </c>
      <c r="BF112" s="98">
        <v>309</v>
      </c>
      <c r="BG112" s="98">
        <v>0</v>
      </c>
      <c r="BH112" s="98">
        <v>0</v>
      </c>
      <c r="BI112" s="98">
        <v>5069</v>
      </c>
      <c r="BJ112" s="98"/>
      <c r="BK112" s="98"/>
      <c r="BL112" s="98"/>
    </row>
    <row r="113" spans="1:64" outlineLevel="5" x14ac:dyDescent="0.3">
      <c r="A113" s="152">
        <f t="shared" si="45"/>
        <v>3</v>
      </c>
      <c r="B113" s="153">
        <f t="shared" si="44"/>
        <v>44284</v>
      </c>
      <c r="C113" s="138"/>
      <c r="D113" s="84">
        <v>38</v>
      </c>
      <c r="E113" s="84">
        <v>39</v>
      </c>
      <c r="F113" s="84"/>
      <c r="G113" s="84"/>
      <c r="H113" s="84"/>
      <c r="I113" s="84"/>
      <c r="J113" s="84"/>
      <c r="K113" s="84"/>
      <c r="L113" s="140">
        <f t="shared" si="35"/>
        <v>7.7</v>
      </c>
      <c r="M113" s="86">
        <v>7.76</v>
      </c>
      <c r="N113" s="86">
        <v>7.65</v>
      </c>
      <c r="O113" s="86"/>
      <c r="P113" s="86"/>
      <c r="Q113" s="86"/>
      <c r="R113" s="86"/>
      <c r="S113" s="86"/>
      <c r="T113" s="86"/>
      <c r="U113" s="142">
        <f t="shared" si="36"/>
        <v>2086.5</v>
      </c>
      <c r="V113" s="88">
        <v>2214</v>
      </c>
      <c r="W113" s="88">
        <v>1959</v>
      </c>
      <c r="X113" s="88"/>
      <c r="Y113" s="88"/>
      <c r="Z113" s="88"/>
      <c r="AA113" s="88"/>
      <c r="AB113" s="88"/>
      <c r="AC113" s="88"/>
      <c r="AD113" s="142" t="str">
        <f t="shared" si="37"/>
        <v/>
      </c>
      <c r="AE113" s="88"/>
      <c r="AF113" s="88"/>
      <c r="AG113" s="88"/>
      <c r="AH113" s="88"/>
      <c r="AI113" s="88"/>
      <c r="AJ113" s="88"/>
      <c r="AK113" s="88"/>
      <c r="AL113" s="88"/>
      <c r="AM113" s="88">
        <v>38.496044368322316</v>
      </c>
      <c r="AN113" s="88">
        <v>122.61000000000001</v>
      </c>
      <c r="AO113" s="89" t="s">
        <v>56</v>
      </c>
      <c r="AP113" s="90" t="s">
        <v>56</v>
      </c>
      <c r="AQ113" s="146" t="str">
        <f t="shared" si="38"/>
        <v/>
      </c>
      <c r="AR113" s="146" t="str">
        <f t="shared" si="39"/>
        <v/>
      </c>
      <c r="AS113" s="147">
        <v>43</v>
      </c>
      <c r="AT113" s="148">
        <v>14.8</v>
      </c>
      <c r="AU113" s="149">
        <v>8.0500000000000007</v>
      </c>
      <c r="AV113" s="146">
        <f t="shared" si="40"/>
        <v>54.391891891891895</v>
      </c>
      <c r="AW113" s="146">
        <f t="shared" si="41"/>
        <v>45.608108108108105</v>
      </c>
      <c r="AX113" s="138" t="str">
        <f t="shared" si="42"/>
        <v/>
      </c>
      <c r="AY113" s="95">
        <v>79.55</v>
      </c>
      <c r="AZ113" s="96">
        <v>63.655000000000001</v>
      </c>
      <c r="BA113" s="96"/>
      <c r="BB113" s="96">
        <v>104</v>
      </c>
      <c r="BC113" s="96"/>
      <c r="BD113" s="97">
        <v>122.61000000000001</v>
      </c>
      <c r="BE113" s="142">
        <f t="shared" si="43"/>
        <v>6147</v>
      </c>
      <c r="BF113" s="98">
        <v>291</v>
      </c>
      <c r="BG113" s="98">
        <v>0</v>
      </c>
      <c r="BH113" s="98">
        <v>850</v>
      </c>
      <c r="BI113" s="98">
        <v>5006</v>
      </c>
      <c r="BJ113" s="98"/>
      <c r="BK113" s="98"/>
      <c r="BL113" s="98"/>
    </row>
    <row r="114" spans="1:64" outlineLevel="5" x14ac:dyDescent="0.3">
      <c r="A114" s="152">
        <f t="shared" si="45"/>
        <v>3</v>
      </c>
      <c r="B114" s="153">
        <f t="shared" si="44"/>
        <v>44285</v>
      </c>
      <c r="C114" s="138"/>
      <c r="D114" s="84">
        <v>38</v>
      </c>
      <c r="E114" s="84">
        <v>38</v>
      </c>
      <c r="F114" s="84"/>
      <c r="G114" s="84"/>
      <c r="H114" s="84"/>
      <c r="I114" s="84"/>
      <c r="J114" s="84"/>
      <c r="K114" s="84"/>
      <c r="L114" s="140" t="str">
        <f t="shared" si="35"/>
        <v/>
      </c>
      <c r="M114" s="86" t="s">
        <v>56</v>
      </c>
      <c r="N114" s="86" t="s">
        <v>56</v>
      </c>
      <c r="O114" s="86"/>
      <c r="P114" s="86"/>
      <c r="Q114" s="86"/>
      <c r="R114" s="86"/>
      <c r="S114" s="86"/>
      <c r="T114" s="86"/>
      <c r="U114" s="142" t="str">
        <f t="shared" si="36"/>
        <v/>
      </c>
      <c r="V114" s="88" t="s">
        <v>56</v>
      </c>
      <c r="W114" s="88" t="s">
        <v>56</v>
      </c>
      <c r="X114" s="88"/>
      <c r="Y114" s="88"/>
      <c r="Z114" s="88"/>
      <c r="AA114" s="88"/>
      <c r="AB114" s="88"/>
      <c r="AC114" s="88"/>
      <c r="AD114" s="142" t="str">
        <f t="shared" si="37"/>
        <v/>
      </c>
      <c r="AE114" s="88"/>
      <c r="AF114" s="88"/>
      <c r="AG114" s="88"/>
      <c r="AH114" s="88"/>
      <c r="AI114" s="88"/>
      <c r="AJ114" s="88"/>
      <c r="AK114" s="88"/>
      <c r="AL114" s="88"/>
      <c r="AM114" s="88">
        <v>39.124668435013255</v>
      </c>
      <c r="AN114" s="88">
        <v>120.64000000000001</v>
      </c>
      <c r="AO114" s="89" t="s">
        <v>56</v>
      </c>
      <c r="AP114" s="90" t="s">
        <v>56</v>
      </c>
      <c r="AQ114" s="146" t="str">
        <f t="shared" si="38"/>
        <v/>
      </c>
      <c r="AR114" s="146" t="str">
        <f t="shared" si="39"/>
        <v/>
      </c>
      <c r="AS114" s="147">
        <v>40</v>
      </c>
      <c r="AT114" s="148" t="s">
        <v>56</v>
      </c>
      <c r="AU114" s="149" t="s">
        <v>56</v>
      </c>
      <c r="AV114" s="146" t="str">
        <f t="shared" si="40"/>
        <v/>
      </c>
      <c r="AW114" s="146" t="str">
        <f t="shared" si="41"/>
        <v/>
      </c>
      <c r="AX114" s="138" t="str">
        <f t="shared" si="42"/>
        <v/>
      </c>
      <c r="AY114" s="95" t="s">
        <v>56</v>
      </c>
      <c r="AZ114" s="96">
        <v>60.155000000000001</v>
      </c>
      <c r="BA114" s="96"/>
      <c r="BB114" s="96">
        <v>160</v>
      </c>
      <c r="BC114" s="96"/>
      <c r="BD114" s="97">
        <v>120.64000000000001</v>
      </c>
      <c r="BE114" s="142">
        <f t="shared" si="43"/>
        <v>5595</v>
      </c>
      <c r="BF114" s="98">
        <v>110</v>
      </c>
      <c r="BG114" s="98">
        <v>0</v>
      </c>
      <c r="BH114" s="98">
        <v>320</v>
      </c>
      <c r="BI114" s="98">
        <v>5165</v>
      </c>
      <c r="BJ114" s="98"/>
      <c r="BK114" s="98"/>
      <c r="BL114" s="98"/>
    </row>
    <row r="115" spans="1:64" ht="17.25" outlineLevel="5" thickBot="1" x14ac:dyDescent="0.35">
      <c r="A115" s="154">
        <f t="shared" si="45"/>
        <v>3</v>
      </c>
      <c r="B115" s="155">
        <f t="shared" si="44"/>
        <v>44286</v>
      </c>
      <c r="C115" s="138"/>
      <c r="D115" s="84">
        <v>38</v>
      </c>
      <c r="E115" s="84">
        <v>38</v>
      </c>
      <c r="F115" s="84"/>
      <c r="G115" s="84"/>
      <c r="H115" s="84"/>
      <c r="I115" s="84"/>
      <c r="J115" s="84"/>
      <c r="K115" s="84"/>
      <c r="L115" s="140">
        <f t="shared" si="35"/>
        <v>7.7</v>
      </c>
      <c r="M115" s="86">
        <v>7.71</v>
      </c>
      <c r="N115" s="86">
        <v>7.59</v>
      </c>
      <c r="O115" s="86"/>
      <c r="P115" s="86"/>
      <c r="Q115" s="86"/>
      <c r="R115" s="86"/>
      <c r="S115" s="86"/>
      <c r="T115" s="86"/>
      <c r="U115" s="142">
        <f t="shared" si="36"/>
        <v>1903</v>
      </c>
      <c r="V115" s="88">
        <v>2050</v>
      </c>
      <c r="W115" s="88">
        <v>1756</v>
      </c>
      <c r="X115" s="88"/>
      <c r="Y115" s="88"/>
      <c r="Z115" s="88"/>
      <c r="AA115" s="88"/>
      <c r="AB115" s="88"/>
      <c r="AC115" s="88"/>
      <c r="AD115" s="142" t="str">
        <f t="shared" si="37"/>
        <v/>
      </c>
      <c r="AE115" s="88"/>
      <c r="AF115" s="88"/>
      <c r="AG115" s="88"/>
      <c r="AH115" s="88"/>
      <c r="AI115" s="88"/>
      <c r="AJ115" s="88"/>
      <c r="AK115" s="88"/>
      <c r="AL115" s="88"/>
      <c r="AM115" s="88">
        <v>34.996663453696151</v>
      </c>
      <c r="AN115" s="88">
        <v>134.87</v>
      </c>
      <c r="AO115" s="89" t="s">
        <v>56</v>
      </c>
      <c r="AP115" s="90" t="s">
        <v>56</v>
      </c>
      <c r="AQ115" s="146" t="str">
        <f t="shared" si="38"/>
        <v/>
      </c>
      <c r="AR115" s="146" t="str">
        <f t="shared" si="39"/>
        <v/>
      </c>
      <c r="AS115" s="147">
        <v>0</v>
      </c>
      <c r="AT115" s="148">
        <v>15.8</v>
      </c>
      <c r="AU115" s="149">
        <v>8.6999999999999993</v>
      </c>
      <c r="AV115" s="146">
        <f t="shared" si="40"/>
        <v>55.063291139240498</v>
      </c>
      <c r="AW115" s="146">
        <f t="shared" si="41"/>
        <v>44.936708860759502</v>
      </c>
      <c r="AX115" s="138" t="str">
        <f t="shared" si="42"/>
        <v/>
      </c>
      <c r="AY115" s="95">
        <v>71</v>
      </c>
      <c r="AZ115" s="96">
        <v>60.34</v>
      </c>
      <c r="BA115" s="96"/>
      <c r="BB115" s="96">
        <v>174.5</v>
      </c>
      <c r="BC115" s="96"/>
      <c r="BD115" s="97">
        <v>134.87</v>
      </c>
      <c r="BE115" s="142">
        <f t="shared" si="43"/>
        <v>6475</v>
      </c>
      <c r="BF115" s="98">
        <v>137</v>
      </c>
      <c r="BG115" s="98">
        <v>83</v>
      </c>
      <c r="BH115" s="98">
        <v>1112</v>
      </c>
      <c r="BI115" s="98">
        <v>5143</v>
      </c>
      <c r="BJ115" s="98"/>
      <c r="BK115" s="98"/>
      <c r="BL115" s="98"/>
    </row>
    <row r="116" spans="1:64" outlineLevel="4" x14ac:dyDescent="0.3">
      <c r="A116" s="63" t="s">
        <v>65</v>
      </c>
      <c r="B116" s="64"/>
      <c r="C116" s="65">
        <f t="shared" ref="C116:BL116" si="46">SUBTOTAL(4,C85:C115)</f>
        <v>0</v>
      </c>
      <c r="D116" s="66">
        <f t="shared" si="46"/>
        <v>40</v>
      </c>
      <c r="E116" s="66">
        <f t="shared" si="46"/>
        <v>39</v>
      </c>
      <c r="F116" s="66">
        <f t="shared" si="46"/>
        <v>0</v>
      </c>
      <c r="G116" s="66">
        <f t="shared" si="46"/>
        <v>0</v>
      </c>
      <c r="H116" s="66">
        <f t="shared" si="46"/>
        <v>0</v>
      </c>
      <c r="I116" s="66">
        <f t="shared" si="46"/>
        <v>0</v>
      </c>
      <c r="J116" s="66">
        <f t="shared" si="46"/>
        <v>0</v>
      </c>
      <c r="K116" s="66">
        <f t="shared" si="46"/>
        <v>0</v>
      </c>
      <c r="L116" s="67">
        <f t="shared" si="46"/>
        <v>7.7</v>
      </c>
      <c r="M116" s="68">
        <f t="shared" si="46"/>
        <v>7.81</v>
      </c>
      <c r="N116" s="68">
        <f t="shared" si="46"/>
        <v>7.67</v>
      </c>
      <c r="O116" s="68">
        <f t="shared" si="46"/>
        <v>0</v>
      </c>
      <c r="P116" s="68">
        <f t="shared" si="46"/>
        <v>0</v>
      </c>
      <c r="Q116" s="68">
        <f t="shared" si="46"/>
        <v>0</v>
      </c>
      <c r="R116" s="68">
        <f t="shared" si="46"/>
        <v>0</v>
      </c>
      <c r="S116" s="68">
        <f t="shared" si="46"/>
        <v>0</v>
      </c>
      <c r="T116" s="68">
        <f t="shared" si="46"/>
        <v>0</v>
      </c>
      <c r="U116" s="69">
        <f t="shared" si="46"/>
        <v>2086.5</v>
      </c>
      <c r="V116" s="70">
        <f t="shared" si="46"/>
        <v>2214</v>
      </c>
      <c r="W116" s="70">
        <f t="shared" si="46"/>
        <v>1980</v>
      </c>
      <c r="X116" s="70">
        <f t="shared" si="46"/>
        <v>0</v>
      </c>
      <c r="Y116" s="70">
        <f t="shared" si="46"/>
        <v>0</v>
      </c>
      <c r="Z116" s="70">
        <f t="shared" si="46"/>
        <v>0</v>
      </c>
      <c r="AA116" s="70">
        <f t="shared" si="46"/>
        <v>0</v>
      </c>
      <c r="AB116" s="70">
        <f t="shared" si="46"/>
        <v>0</v>
      </c>
      <c r="AC116" s="70">
        <f t="shared" si="46"/>
        <v>0</v>
      </c>
      <c r="AD116" s="69">
        <f t="shared" si="46"/>
        <v>0</v>
      </c>
      <c r="AE116" s="70">
        <f t="shared" si="46"/>
        <v>0</v>
      </c>
      <c r="AF116" s="70">
        <f t="shared" si="46"/>
        <v>0</v>
      </c>
      <c r="AG116" s="70">
        <f t="shared" si="46"/>
        <v>0</v>
      </c>
      <c r="AH116" s="70">
        <f t="shared" si="46"/>
        <v>0</v>
      </c>
      <c r="AI116" s="70">
        <f t="shared" si="46"/>
        <v>0</v>
      </c>
      <c r="AJ116" s="70">
        <f t="shared" si="46"/>
        <v>0</v>
      </c>
      <c r="AK116" s="70">
        <f t="shared" si="46"/>
        <v>0</v>
      </c>
      <c r="AL116" s="70">
        <f t="shared" si="46"/>
        <v>0</v>
      </c>
      <c r="AM116" s="70">
        <f t="shared" si="46"/>
        <v>73.303307967075625</v>
      </c>
      <c r="AN116" s="70">
        <f t="shared" si="46"/>
        <v>134.87</v>
      </c>
      <c r="AO116" s="71">
        <f t="shared" si="46"/>
        <v>24.6</v>
      </c>
      <c r="AP116" s="72">
        <f t="shared" si="46"/>
        <v>19.286400000000004</v>
      </c>
      <c r="AQ116" s="73">
        <f t="shared" si="46"/>
        <v>78.40000000000002</v>
      </c>
      <c r="AR116" s="73">
        <f t="shared" si="46"/>
        <v>21.59999999999998</v>
      </c>
      <c r="AS116" s="74">
        <f t="shared" si="46"/>
        <v>43</v>
      </c>
      <c r="AT116" s="75">
        <f t="shared" si="46"/>
        <v>18.350000000000001</v>
      </c>
      <c r="AU116" s="76">
        <f t="shared" si="46"/>
        <v>9.6999999999999993</v>
      </c>
      <c r="AV116" s="73">
        <f t="shared" si="46"/>
        <v>59.146341463414629</v>
      </c>
      <c r="AW116" s="73">
        <f t="shared" si="46"/>
        <v>56.697819314641748</v>
      </c>
      <c r="AX116" s="65">
        <f t="shared" si="46"/>
        <v>78.958286611347859</v>
      </c>
      <c r="AY116" s="77">
        <f t="shared" si="46"/>
        <v>79.55</v>
      </c>
      <c r="AZ116" s="78">
        <f t="shared" si="46"/>
        <v>63.655000000000001</v>
      </c>
      <c r="BA116" s="78">
        <f t="shared" si="46"/>
        <v>0</v>
      </c>
      <c r="BB116" s="78">
        <f t="shared" si="46"/>
        <v>193.5</v>
      </c>
      <c r="BC116" s="78">
        <f t="shared" si="46"/>
        <v>0</v>
      </c>
      <c r="BD116" s="79">
        <f t="shared" si="46"/>
        <v>134.87</v>
      </c>
      <c r="BE116" s="69">
        <f t="shared" si="46"/>
        <v>14197</v>
      </c>
      <c r="BF116" s="70">
        <f t="shared" si="46"/>
        <v>557</v>
      </c>
      <c r="BG116" s="80">
        <f t="shared" si="46"/>
        <v>83</v>
      </c>
      <c r="BH116" s="80">
        <f t="shared" si="46"/>
        <v>8961</v>
      </c>
      <c r="BI116" s="80">
        <f t="shared" si="46"/>
        <v>5630</v>
      </c>
      <c r="BJ116" s="80">
        <f t="shared" si="46"/>
        <v>0</v>
      </c>
      <c r="BK116" s="80">
        <f t="shared" si="46"/>
        <v>0</v>
      </c>
      <c r="BL116" s="79">
        <f t="shared" si="46"/>
        <v>0</v>
      </c>
    </row>
    <row r="117" spans="1:64" outlineLevel="3" x14ac:dyDescent="0.3">
      <c r="A117" s="81" t="s">
        <v>66</v>
      </c>
      <c r="B117" s="82"/>
      <c r="C117" s="83">
        <f t="shared" ref="C117:BL117" si="47">SUBTOTAL(5,C85:C115)</f>
        <v>0</v>
      </c>
      <c r="D117" s="84">
        <f t="shared" si="47"/>
        <v>35</v>
      </c>
      <c r="E117" s="84">
        <f t="shared" si="47"/>
        <v>35</v>
      </c>
      <c r="F117" s="84">
        <f t="shared" si="47"/>
        <v>0</v>
      </c>
      <c r="G117" s="84">
        <f t="shared" si="47"/>
        <v>0</v>
      </c>
      <c r="H117" s="84">
        <f t="shared" si="47"/>
        <v>0</v>
      </c>
      <c r="I117" s="84">
        <f t="shared" si="47"/>
        <v>0</v>
      </c>
      <c r="J117" s="84">
        <f t="shared" si="47"/>
        <v>0</v>
      </c>
      <c r="K117" s="84">
        <f t="shared" si="47"/>
        <v>0</v>
      </c>
      <c r="L117" s="85">
        <f t="shared" si="47"/>
        <v>7.7</v>
      </c>
      <c r="M117" s="86">
        <f t="shared" si="47"/>
        <v>7.71</v>
      </c>
      <c r="N117" s="86">
        <f t="shared" si="47"/>
        <v>7.58</v>
      </c>
      <c r="O117" s="86">
        <f t="shared" si="47"/>
        <v>0</v>
      </c>
      <c r="P117" s="86">
        <f t="shared" si="47"/>
        <v>0</v>
      </c>
      <c r="Q117" s="86">
        <f t="shared" si="47"/>
        <v>0</v>
      </c>
      <c r="R117" s="86">
        <f t="shared" si="47"/>
        <v>0</v>
      </c>
      <c r="S117" s="86">
        <f t="shared" si="47"/>
        <v>0</v>
      </c>
      <c r="T117" s="86">
        <f t="shared" si="47"/>
        <v>0</v>
      </c>
      <c r="U117" s="87">
        <f t="shared" si="47"/>
        <v>1150</v>
      </c>
      <c r="V117" s="88">
        <f t="shared" si="47"/>
        <v>1250</v>
      </c>
      <c r="W117" s="88">
        <f t="shared" si="47"/>
        <v>1050</v>
      </c>
      <c r="X117" s="88">
        <f t="shared" si="47"/>
        <v>0</v>
      </c>
      <c r="Y117" s="88">
        <f t="shared" si="47"/>
        <v>0</v>
      </c>
      <c r="Z117" s="88">
        <f t="shared" si="47"/>
        <v>0</v>
      </c>
      <c r="AA117" s="88">
        <f t="shared" si="47"/>
        <v>0</v>
      </c>
      <c r="AB117" s="88">
        <f t="shared" si="47"/>
        <v>0</v>
      </c>
      <c r="AC117" s="88">
        <f t="shared" si="47"/>
        <v>0</v>
      </c>
      <c r="AD117" s="87">
        <f t="shared" si="47"/>
        <v>0</v>
      </c>
      <c r="AE117" s="88">
        <f t="shared" si="47"/>
        <v>0</v>
      </c>
      <c r="AF117" s="88">
        <f t="shared" si="47"/>
        <v>0</v>
      </c>
      <c r="AG117" s="88">
        <f t="shared" si="47"/>
        <v>0</v>
      </c>
      <c r="AH117" s="88">
        <f t="shared" si="47"/>
        <v>0</v>
      </c>
      <c r="AI117" s="88">
        <f t="shared" si="47"/>
        <v>0</v>
      </c>
      <c r="AJ117" s="88">
        <f t="shared" si="47"/>
        <v>0</v>
      </c>
      <c r="AK117" s="88">
        <f t="shared" si="47"/>
        <v>0</v>
      </c>
      <c r="AL117" s="88">
        <f t="shared" si="47"/>
        <v>0</v>
      </c>
      <c r="AM117" s="88">
        <f t="shared" si="47"/>
        <v>34.996663453696151</v>
      </c>
      <c r="AN117" s="88">
        <f t="shared" si="47"/>
        <v>64.39</v>
      </c>
      <c r="AO117" s="89">
        <f t="shared" si="47"/>
        <v>24.6</v>
      </c>
      <c r="AP117" s="90">
        <f t="shared" si="47"/>
        <v>19.286400000000004</v>
      </c>
      <c r="AQ117" s="91">
        <f t="shared" si="47"/>
        <v>78.40000000000002</v>
      </c>
      <c r="AR117" s="91">
        <f t="shared" si="47"/>
        <v>21.59999999999998</v>
      </c>
      <c r="AS117" s="92">
        <f t="shared" si="47"/>
        <v>0</v>
      </c>
      <c r="AT117" s="93">
        <f t="shared" si="47"/>
        <v>14.8</v>
      </c>
      <c r="AU117" s="94">
        <f t="shared" si="47"/>
        <v>6.9499999999999993</v>
      </c>
      <c r="AV117" s="91">
        <f t="shared" si="47"/>
        <v>43.302180685358252</v>
      </c>
      <c r="AW117" s="91">
        <f t="shared" si="47"/>
        <v>40.853658536585371</v>
      </c>
      <c r="AX117" s="83">
        <f t="shared" si="47"/>
        <v>78.958286611347859</v>
      </c>
      <c r="AY117" s="95">
        <f t="shared" si="47"/>
        <v>71</v>
      </c>
      <c r="AZ117" s="96">
        <f t="shared" si="47"/>
        <v>56.17</v>
      </c>
      <c r="BA117" s="96">
        <f t="shared" si="47"/>
        <v>0</v>
      </c>
      <c r="BB117" s="96">
        <f t="shared" si="47"/>
        <v>62</v>
      </c>
      <c r="BC117" s="96">
        <f t="shared" si="47"/>
        <v>0</v>
      </c>
      <c r="BD117" s="97">
        <f t="shared" si="47"/>
        <v>64.39</v>
      </c>
      <c r="BE117" s="87">
        <f t="shared" si="47"/>
        <v>5265</v>
      </c>
      <c r="BF117" s="88">
        <f t="shared" si="47"/>
        <v>0</v>
      </c>
      <c r="BG117" s="98">
        <f t="shared" si="47"/>
        <v>0</v>
      </c>
      <c r="BH117" s="98">
        <f t="shared" si="47"/>
        <v>0</v>
      </c>
      <c r="BI117" s="98">
        <f t="shared" si="47"/>
        <v>4548</v>
      </c>
      <c r="BJ117" s="98">
        <f t="shared" si="47"/>
        <v>0</v>
      </c>
      <c r="BK117" s="98">
        <f t="shared" si="47"/>
        <v>0</v>
      </c>
      <c r="BL117" s="97">
        <f t="shared" si="47"/>
        <v>0</v>
      </c>
    </row>
    <row r="118" spans="1:64" outlineLevel="2" x14ac:dyDescent="0.3">
      <c r="A118" s="81" t="s">
        <v>67</v>
      </c>
      <c r="B118" s="82"/>
      <c r="C118" s="83" t="str">
        <f t="shared" ref="C118:BL118" si="48">IFERROR(SUBTOTAL(1,C85:C115),"")</f>
        <v/>
      </c>
      <c r="D118" s="84">
        <f t="shared" si="48"/>
        <v>37.58064516129032</v>
      </c>
      <c r="E118" s="84">
        <f t="shared" si="48"/>
        <v>37.225806451612904</v>
      </c>
      <c r="F118" s="84" t="str">
        <f t="shared" si="48"/>
        <v/>
      </c>
      <c r="G118" s="84" t="str">
        <f t="shared" si="48"/>
        <v/>
      </c>
      <c r="H118" s="84" t="str">
        <f t="shared" si="48"/>
        <v/>
      </c>
      <c r="I118" s="84" t="str">
        <f t="shared" si="48"/>
        <v/>
      </c>
      <c r="J118" s="84" t="str">
        <f t="shared" si="48"/>
        <v/>
      </c>
      <c r="K118" s="84" t="str">
        <f t="shared" si="48"/>
        <v/>
      </c>
      <c r="L118" s="85">
        <f t="shared" si="48"/>
        <v>7.700000000000002</v>
      </c>
      <c r="M118" s="86">
        <f t="shared" si="48"/>
        <v>7.7549999999999999</v>
      </c>
      <c r="N118" s="86">
        <f t="shared" si="48"/>
        <v>7.6283333333333339</v>
      </c>
      <c r="O118" s="86" t="str">
        <f t="shared" si="48"/>
        <v/>
      </c>
      <c r="P118" s="86" t="str">
        <f t="shared" si="48"/>
        <v/>
      </c>
      <c r="Q118" s="86" t="str">
        <f t="shared" si="48"/>
        <v/>
      </c>
      <c r="R118" s="86" t="str">
        <f t="shared" si="48"/>
        <v/>
      </c>
      <c r="S118" s="86" t="str">
        <f t="shared" si="48"/>
        <v/>
      </c>
      <c r="T118" s="86" t="str">
        <f t="shared" si="48"/>
        <v/>
      </c>
      <c r="U118" s="87">
        <f t="shared" si="48"/>
        <v>1730.375</v>
      </c>
      <c r="V118" s="88">
        <f t="shared" si="48"/>
        <v>1877.8333333333333</v>
      </c>
      <c r="W118" s="88">
        <f t="shared" si="48"/>
        <v>1582.9166666666667</v>
      </c>
      <c r="X118" s="88" t="str">
        <f t="shared" si="48"/>
        <v/>
      </c>
      <c r="Y118" s="88" t="str">
        <f t="shared" si="48"/>
        <v/>
      </c>
      <c r="Z118" s="88" t="str">
        <f t="shared" si="48"/>
        <v/>
      </c>
      <c r="AA118" s="88" t="str">
        <f t="shared" si="48"/>
        <v/>
      </c>
      <c r="AB118" s="88" t="str">
        <f t="shared" si="48"/>
        <v/>
      </c>
      <c r="AC118" s="88" t="str">
        <f t="shared" si="48"/>
        <v/>
      </c>
      <c r="AD118" s="87" t="str">
        <f t="shared" si="48"/>
        <v/>
      </c>
      <c r="AE118" s="88" t="str">
        <f t="shared" si="48"/>
        <v/>
      </c>
      <c r="AF118" s="88" t="str">
        <f t="shared" si="48"/>
        <v/>
      </c>
      <c r="AG118" s="88" t="str">
        <f t="shared" si="48"/>
        <v/>
      </c>
      <c r="AH118" s="88" t="str">
        <f t="shared" si="48"/>
        <v/>
      </c>
      <c r="AI118" s="88" t="str">
        <f t="shared" si="48"/>
        <v/>
      </c>
      <c r="AJ118" s="88" t="str">
        <f t="shared" si="48"/>
        <v/>
      </c>
      <c r="AK118" s="88" t="str">
        <f t="shared" si="48"/>
        <v/>
      </c>
      <c r="AL118" s="88" t="str">
        <f t="shared" si="48"/>
        <v/>
      </c>
      <c r="AM118" s="88">
        <f t="shared" si="48"/>
        <v>43.566805166346469</v>
      </c>
      <c r="AN118" s="88">
        <f t="shared" si="48"/>
        <v>111.87516129032258</v>
      </c>
      <c r="AO118" s="89">
        <f t="shared" si="48"/>
        <v>24.6</v>
      </c>
      <c r="AP118" s="90">
        <f t="shared" si="48"/>
        <v>19.286400000000004</v>
      </c>
      <c r="AQ118" s="91">
        <f t="shared" si="48"/>
        <v>78.40000000000002</v>
      </c>
      <c r="AR118" s="91">
        <f t="shared" si="48"/>
        <v>21.59999999999998</v>
      </c>
      <c r="AS118" s="92">
        <f t="shared" si="48"/>
        <v>18.774193548387096</v>
      </c>
      <c r="AT118" s="93">
        <f t="shared" si="48"/>
        <v>16.241666666666667</v>
      </c>
      <c r="AU118" s="94">
        <f t="shared" si="48"/>
        <v>8.5708333333333329</v>
      </c>
      <c r="AV118" s="91">
        <f t="shared" si="48"/>
        <v>52.824251672153906</v>
      </c>
      <c r="AW118" s="91">
        <f t="shared" si="48"/>
        <v>47.175748327846094</v>
      </c>
      <c r="AX118" s="83">
        <f t="shared" si="48"/>
        <v>78.958286611347859</v>
      </c>
      <c r="AY118" s="95">
        <f t="shared" si="48"/>
        <v>74.17916666666666</v>
      </c>
      <c r="AZ118" s="96">
        <f t="shared" si="48"/>
        <v>61.370645161290334</v>
      </c>
      <c r="BA118" s="96" t="str">
        <f t="shared" si="48"/>
        <v/>
      </c>
      <c r="BB118" s="96">
        <f t="shared" si="48"/>
        <v>124.30645161290323</v>
      </c>
      <c r="BC118" s="96" t="str">
        <f t="shared" si="48"/>
        <v/>
      </c>
      <c r="BD118" s="97">
        <f>IFERROR(SUBTOTAL(1,BD85:BD115),"")</f>
        <v>111.87516129032258</v>
      </c>
      <c r="BE118" s="87">
        <f t="shared" si="48"/>
        <v>9403.032258064517</v>
      </c>
      <c r="BF118" s="88">
        <f t="shared" si="48"/>
        <v>226.58064516129033</v>
      </c>
      <c r="BG118" s="98">
        <f t="shared" si="48"/>
        <v>2.6774193548387095</v>
      </c>
      <c r="BH118" s="98">
        <f t="shared" si="48"/>
        <v>4105.6451612903229</v>
      </c>
      <c r="BI118" s="98">
        <f t="shared" si="48"/>
        <v>5068.1290322580644</v>
      </c>
      <c r="BJ118" s="98" t="str">
        <f t="shared" si="48"/>
        <v/>
      </c>
      <c r="BK118" s="98" t="str">
        <f t="shared" si="48"/>
        <v/>
      </c>
      <c r="BL118" s="97" t="str">
        <f t="shared" si="48"/>
        <v/>
      </c>
    </row>
    <row r="119" spans="1:64" ht="17.25" outlineLevel="1" thickBot="1" x14ac:dyDescent="0.35">
      <c r="A119" s="99" t="s">
        <v>68</v>
      </c>
      <c r="B119" s="100"/>
      <c r="C119" s="101"/>
      <c r="D119" s="102"/>
      <c r="E119" s="102"/>
      <c r="F119" s="102"/>
      <c r="G119" s="102"/>
      <c r="H119" s="102"/>
      <c r="I119" s="102"/>
      <c r="J119" s="102"/>
      <c r="K119" s="102"/>
      <c r="L119" s="103"/>
      <c r="M119" s="104"/>
      <c r="N119" s="104"/>
      <c r="O119" s="104"/>
      <c r="P119" s="104"/>
      <c r="Q119" s="104"/>
      <c r="R119" s="104"/>
      <c r="S119" s="104"/>
      <c r="T119" s="104"/>
      <c r="U119" s="105"/>
      <c r="V119" s="106"/>
      <c r="W119" s="106"/>
      <c r="X119" s="106"/>
      <c r="Y119" s="106"/>
      <c r="Z119" s="106"/>
      <c r="AA119" s="106"/>
      <c r="AB119" s="106"/>
      <c r="AC119" s="106"/>
      <c r="AD119" s="105"/>
      <c r="AE119" s="106"/>
      <c r="AF119" s="106"/>
      <c r="AG119" s="106"/>
      <c r="AH119" s="106"/>
      <c r="AI119" s="106"/>
      <c r="AJ119" s="106"/>
      <c r="AK119" s="106"/>
      <c r="AL119" s="106"/>
      <c r="AM119" s="106"/>
      <c r="AN119" s="107">
        <f>SUBTOTAL(9,AN85:AN115)</f>
        <v>3468.13</v>
      </c>
      <c r="AO119" s="108"/>
      <c r="AP119" s="109"/>
      <c r="AQ119" s="110"/>
      <c r="AR119" s="110"/>
      <c r="AS119" s="111">
        <f>SUBTOTAL(9,AS85:AS115)</f>
        <v>582</v>
      </c>
      <c r="AT119" s="112"/>
      <c r="AU119" s="113"/>
      <c r="AV119" s="110"/>
      <c r="AW119" s="110"/>
      <c r="AX119" s="101"/>
      <c r="AY119" s="114"/>
      <c r="AZ119" s="115"/>
      <c r="BA119" s="115"/>
      <c r="BB119" s="115"/>
      <c r="BC119" s="115"/>
      <c r="BD119" s="116">
        <f>SUBTOTAL(9,BD85:BD115)</f>
        <v>3468.13</v>
      </c>
      <c r="BE119" s="117">
        <f t="shared" ref="BE119:BL119" si="49">SUBTOTAL(9,BE85:BE115)</f>
        <v>291494</v>
      </c>
      <c r="BF119" s="107">
        <f t="shared" si="49"/>
        <v>7024</v>
      </c>
      <c r="BG119" s="118">
        <f t="shared" si="49"/>
        <v>83</v>
      </c>
      <c r="BH119" s="118">
        <f t="shared" si="49"/>
        <v>127275</v>
      </c>
      <c r="BI119" s="118">
        <f t="shared" si="49"/>
        <v>157112</v>
      </c>
      <c r="BJ119" s="118">
        <f t="shared" si="49"/>
        <v>0</v>
      </c>
      <c r="BK119" s="118">
        <f t="shared" si="49"/>
        <v>0</v>
      </c>
      <c r="BL119" s="116">
        <f t="shared" si="49"/>
        <v>0</v>
      </c>
    </row>
    <row r="120" spans="1:64" outlineLevel="5" x14ac:dyDescent="0.3">
      <c r="A120" s="136">
        <f t="shared" si="45"/>
        <v>4</v>
      </c>
      <c r="B120" s="165">
        <f>B115+1</f>
        <v>44287</v>
      </c>
      <c r="C120" s="138">
        <f t="shared" ref="C120:C149" si="50">IFERROR(ROUND(AVERAGE(D120:K120),1),"")</f>
        <v>37</v>
      </c>
      <c r="D120" s="84">
        <v>38</v>
      </c>
      <c r="E120" s="84">
        <v>36</v>
      </c>
      <c r="F120" s="84"/>
      <c r="G120" s="84"/>
      <c r="H120" s="84"/>
      <c r="I120" s="84"/>
      <c r="J120" s="84"/>
      <c r="K120" s="84"/>
      <c r="L120" s="140">
        <f t="shared" ref="L120:L149" si="51">IFERROR(ROUND(AVERAGE(M120:T120),1),"")</f>
        <v>7.7</v>
      </c>
      <c r="M120" s="86">
        <v>7.74</v>
      </c>
      <c r="N120" s="86">
        <v>7.66</v>
      </c>
      <c r="O120" s="86"/>
      <c r="P120" s="86"/>
      <c r="Q120" s="86"/>
      <c r="R120" s="86"/>
      <c r="S120" s="86"/>
      <c r="T120" s="86"/>
      <c r="U120" s="142">
        <f t="shared" ref="U120:U149" si="52">IFERROR(ROUND(AVERAGE(V120:AC120),1),"")</f>
        <v>2065</v>
      </c>
      <c r="V120" s="88">
        <v>2150</v>
      </c>
      <c r="W120" s="88">
        <v>1980</v>
      </c>
      <c r="X120" s="88"/>
      <c r="Y120" s="88"/>
      <c r="Z120" s="88"/>
      <c r="AA120" s="88"/>
      <c r="AB120" s="88"/>
      <c r="AC120" s="88"/>
      <c r="AD120" s="142" t="str">
        <f t="shared" ref="AD120:AD149" si="53">IFERROR(ROUND(AVERAGE(AE120:AL120),1),"")</f>
        <v/>
      </c>
      <c r="AE120" s="88"/>
      <c r="AF120" s="88"/>
      <c r="AG120" s="88"/>
      <c r="AH120" s="88"/>
      <c r="AI120" s="88"/>
      <c r="AJ120" s="88"/>
      <c r="AK120" s="88"/>
      <c r="AL120" s="88"/>
      <c r="AM120" s="88">
        <v>35.920852359208524</v>
      </c>
      <c r="AN120" s="88">
        <v>131.4</v>
      </c>
      <c r="AO120" s="89" t="s">
        <v>56</v>
      </c>
      <c r="AP120" s="90" t="s">
        <v>56</v>
      </c>
      <c r="AQ120" s="146" t="str">
        <f t="shared" ref="AQ120:AQ149" si="54">IFERROR(AP120/AO120*100,"")</f>
        <v/>
      </c>
      <c r="AR120" s="146" t="str">
        <f t="shared" ref="AR120:AR149" si="55">IFERROR(100-AQ120,"")</f>
        <v/>
      </c>
      <c r="AS120" s="147">
        <v>40</v>
      </c>
      <c r="AT120" s="148">
        <v>18.350000000000001</v>
      </c>
      <c r="AU120" s="149">
        <v>9.0500000000000007</v>
      </c>
      <c r="AV120" s="146">
        <f t="shared" ref="AV120:AV149" si="56">IFERROR(AU120/AT120*100,"")</f>
        <v>49.31880108991826</v>
      </c>
      <c r="AW120" s="146">
        <f t="shared" ref="AW120:AW149" si="57">IFERROR(100-AV120,"")</f>
        <v>50.68119891008174</v>
      </c>
      <c r="AX120" s="138" t="str">
        <f t="shared" ref="AX120:AX149" si="58">IFERROR((1-((AV120*AR120)/(AW120*AQ120)))*100,"")</f>
        <v/>
      </c>
      <c r="AY120" s="95">
        <v>76.150000000000006</v>
      </c>
      <c r="AZ120" s="96">
        <v>62.344999999999999</v>
      </c>
      <c r="BA120" s="96"/>
      <c r="BB120" s="96">
        <v>146.5</v>
      </c>
      <c r="BC120" s="96"/>
      <c r="BD120" s="97">
        <v>131.4</v>
      </c>
      <c r="BE120" s="142">
        <f t="shared" ref="BE120:BE149" si="59">IF(SUM(BF120:BL120)=0,"",SUM(BF120:BL120))</f>
        <v>6924</v>
      </c>
      <c r="BF120" s="98">
        <v>251</v>
      </c>
      <c r="BG120" s="98">
        <v>1699</v>
      </c>
      <c r="BH120" s="98">
        <v>0</v>
      </c>
      <c r="BI120" s="98">
        <v>4974</v>
      </c>
      <c r="BJ120" s="98"/>
      <c r="BK120" s="98"/>
      <c r="BL120" s="98"/>
    </row>
    <row r="121" spans="1:64" outlineLevel="5" x14ac:dyDescent="0.3">
      <c r="A121" s="152">
        <f t="shared" si="45"/>
        <v>4</v>
      </c>
      <c r="B121" s="153">
        <f t="shared" si="44"/>
        <v>44288</v>
      </c>
      <c r="C121" s="138">
        <f t="shared" si="50"/>
        <v>38</v>
      </c>
      <c r="D121" s="84">
        <v>38</v>
      </c>
      <c r="E121" s="84">
        <v>38</v>
      </c>
      <c r="F121" s="84"/>
      <c r="G121" s="84"/>
      <c r="H121" s="84"/>
      <c r="I121" s="84"/>
      <c r="J121" s="84"/>
      <c r="K121" s="84"/>
      <c r="L121" s="140" t="str">
        <f t="shared" si="51"/>
        <v/>
      </c>
      <c r="M121" s="86" t="s">
        <v>56</v>
      </c>
      <c r="N121" s="86" t="s">
        <v>56</v>
      </c>
      <c r="O121" s="86"/>
      <c r="P121" s="86"/>
      <c r="Q121" s="86"/>
      <c r="R121" s="86"/>
      <c r="S121" s="86"/>
      <c r="T121" s="86"/>
      <c r="U121" s="142" t="str">
        <f t="shared" si="52"/>
        <v/>
      </c>
      <c r="V121" s="88" t="s">
        <v>56</v>
      </c>
      <c r="W121" s="88" t="s">
        <v>56</v>
      </c>
      <c r="X121" s="88"/>
      <c r="Y121" s="88"/>
      <c r="Z121" s="88"/>
      <c r="AA121" s="88"/>
      <c r="AB121" s="88"/>
      <c r="AC121" s="88"/>
      <c r="AD121" s="142" t="str">
        <f t="shared" si="53"/>
        <v/>
      </c>
      <c r="AE121" s="88"/>
      <c r="AF121" s="88"/>
      <c r="AG121" s="88"/>
      <c r="AH121" s="88"/>
      <c r="AI121" s="88"/>
      <c r="AJ121" s="88"/>
      <c r="AK121" s="88"/>
      <c r="AL121" s="88"/>
      <c r="AM121" s="88">
        <v>36.620373962293435</v>
      </c>
      <c r="AN121" s="88">
        <v>128.88999999999999</v>
      </c>
      <c r="AO121" s="89" t="s">
        <v>56</v>
      </c>
      <c r="AP121" s="90"/>
      <c r="AQ121" s="146" t="str">
        <f t="shared" si="54"/>
        <v/>
      </c>
      <c r="AR121" s="146" t="str">
        <f t="shared" si="55"/>
        <v/>
      </c>
      <c r="AS121" s="147">
        <v>20</v>
      </c>
      <c r="AT121" s="148" t="s">
        <v>56</v>
      </c>
      <c r="AU121" s="149" t="s">
        <v>56</v>
      </c>
      <c r="AV121" s="146" t="str">
        <f t="shared" si="56"/>
        <v/>
      </c>
      <c r="AW121" s="146" t="str">
        <f t="shared" si="57"/>
        <v/>
      </c>
      <c r="AX121" s="138" t="str">
        <f t="shared" si="58"/>
        <v/>
      </c>
      <c r="AY121" s="95" t="s">
        <v>56</v>
      </c>
      <c r="AZ121" s="96">
        <v>59.905000000000001</v>
      </c>
      <c r="BA121" s="96"/>
      <c r="BB121" s="96">
        <v>148</v>
      </c>
      <c r="BC121" s="96"/>
      <c r="BD121" s="97">
        <v>128.88999999999999</v>
      </c>
      <c r="BE121" s="142">
        <f t="shared" si="59"/>
        <v>8765</v>
      </c>
      <c r="BF121" s="98">
        <v>476</v>
      </c>
      <c r="BG121" s="98">
        <v>3126</v>
      </c>
      <c r="BH121" s="98">
        <v>0</v>
      </c>
      <c r="BI121" s="98">
        <v>5163</v>
      </c>
      <c r="BJ121" s="98"/>
      <c r="BK121" s="98"/>
      <c r="BL121" s="98"/>
    </row>
    <row r="122" spans="1:64" outlineLevel="5" x14ac:dyDescent="0.3">
      <c r="A122" s="152">
        <f t="shared" si="45"/>
        <v>4</v>
      </c>
      <c r="B122" s="153">
        <f t="shared" si="44"/>
        <v>44289</v>
      </c>
      <c r="C122" s="138">
        <f t="shared" si="50"/>
        <v>38</v>
      </c>
      <c r="D122" s="84">
        <v>38</v>
      </c>
      <c r="E122" s="84">
        <v>38</v>
      </c>
      <c r="F122" s="84"/>
      <c r="G122" s="84"/>
      <c r="H122" s="84"/>
      <c r="I122" s="84"/>
      <c r="J122" s="84"/>
      <c r="K122" s="84"/>
      <c r="L122" s="140" t="str">
        <f t="shared" si="51"/>
        <v/>
      </c>
      <c r="M122" s="86"/>
      <c r="N122" s="86"/>
      <c r="O122" s="86"/>
      <c r="P122" s="86"/>
      <c r="Q122" s="86"/>
      <c r="R122" s="86"/>
      <c r="S122" s="86"/>
      <c r="T122" s="86"/>
      <c r="U122" s="142" t="str">
        <f t="shared" si="52"/>
        <v/>
      </c>
      <c r="V122" s="88"/>
      <c r="W122" s="88"/>
      <c r="X122" s="88"/>
      <c r="Y122" s="88"/>
      <c r="Z122" s="88"/>
      <c r="AA122" s="88"/>
      <c r="AB122" s="88"/>
      <c r="AC122" s="88"/>
      <c r="AD122" s="142" t="str">
        <f t="shared" si="53"/>
        <v/>
      </c>
      <c r="AE122" s="88"/>
      <c r="AF122" s="88"/>
      <c r="AG122" s="88"/>
      <c r="AH122" s="88"/>
      <c r="AI122" s="88"/>
      <c r="AJ122" s="88"/>
      <c r="AK122" s="88"/>
      <c r="AL122" s="88"/>
      <c r="AM122" s="88">
        <v>43.286867204695525</v>
      </c>
      <c r="AN122" s="88">
        <v>109.04</v>
      </c>
      <c r="AO122" s="89"/>
      <c r="AP122" s="90"/>
      <c r="AQ122" s="146" t="str">
        <f t="shared" si="54"/>
        <v/>
      </c>
      <c r="AR122" s="146" t="str">
        <f t="shared" si="55"/>
        <v/>
      </c>
      <c r="AS122" s="147">
        <v>10</v>
      </c>
      <c r="AT122" s="148" t="s">
        <v>56</v>
      </c>
      <c r="AU122" s="149" t="s">
        <v>56</v>
      </c>
      <c r="AV122" s="146" t="str">
        <f t="shared" si="56"/>
        <v/>
      </c>
      <c r="AW122" s="146" t="str">
        <f t="shared" si="57"/>
        <v/>
      </c>
      <c r="AX122" s="138" t="str">
        <f t="shared" si="58"/>
        <v/>
      </c>
      <c r="AY122" s="95" t="s">
        <v>56</v>
      </c>
      <c r="AZ122" s="96">
        <v>60.78</v>
      </c>
      <c r="BA122" s="96"/>
      <c r="BB122" s="96">
        <v>128.5</v>
      </c>
      <c r="BC122" s="96"/>
      <c r="BD122" s="97">
        <v>109.04</v>
      </c>
      <c r="BE122" s="142">
        <f t="shared" si="59"/>
        <v>7146</v>
      </c>
      <c r="BF122" s="98">
        <v>95</v>
      </c>
      <c r="BG122" s="98">
        <v>1976</v>
      </c>
      <c r="BH122" s="98">
        <v>0</v>
      </c>
      <c r="BI122" s="98">
        <v>5075</v>
      </c>
      <c r="BJ122" s="98"/>
      <c r="BK122" s="98"/>
      <c r="BL122" s="98"/>
    </row>
    <row r="123" spans="1:64" outlineLevel="5" x14ac:dyDescent="0.3">
      <c r="A123" s="152">
        <f t="shared" si="45"/>
        <v>4</v>
      </c>
      <c r="B123" s="153">
        <f t="shared" si="44"/>
        <v>44290</v>
      </c>
      <c r="C123" s="138">
        <f t="shared" si="50"/>
        <v>38</v>
      </c>
      <c r="D123" s="84">
        <v>38</v>
      </c>
      <c r="E123" s="84">
        <v>38</v>
      </c>
      <c r="F123" s="84"/>
      <c r="G123" s="84"/>
      <c r="H123" s="84"/>
      <c r="I123" s="84"/>
      <c r="J123" s="84"/>
      <c r="K123" s="84"/>
      <c r="L123" s="140" t="str">
        <f t="shared" si="51"/>
        <v/>
      </c>
      <c r="M123" s="86"/>
      <c r="N123" s="86"/>
      <c r="O123" s="86"/>
      <c r="P123" s="86"/>
      <c r="Q123" s="86"/>
      <c r="R123" s="86"/>
      <c r="S123" s="86"/>
      <c r="T123" s="86"/>
      <c r="U123" s="142" t="str">
        <f t="shared" si="52"/>
        <v/>
      </c>
      <c r="V123" s="88"/>
      <c r="W123" s="88"/>
      <c r="X123" s="88"/>
      <c r="Y123" s="88"/>
      <c r="Z123" s="88"/>
      <c r="AA123" s="88"/>
      <c r="AB123" s="88"/>
      <c r="AC123" s="88"/>
      <c r="AD123" s="142" t="str">
        <f t="shared" si="53"/>
        <v/>
      </c>
      <c r="AE123" s="88"/>
      <c r="AF123" s="88"/>
      <c r="AG123" s="88"/>
      <c r="AH123" s="88"/>
      <c r="AI123" s="88"/>
      <c r="AJ123" s="88"/>
      <c r="AK123" s="88"/>
      <c r="AL123" s="88"/>
      <c r="AM123" s="88">
        <v>65.555555555555557</v>
      </c>
      <c r="AN123" s="88">
        <v>72</v>
      </c>
      <c r="AO123" s="89"/>
      <c r="AP123" s="90"/>
      <c r="AQ123" s="146" t="str">
        <f t="shared" si="54"/>
        <v/>
      </c>
      <c r="AR123" s="146" t="str">
        <f t="shared" si="55"/>
        <v/>
      </c>
      <c r="AS123" s="147">
        <v>10</v>
      </c>
      <c r="AT123" s="148" t="s">
        <v>56</v>
      </c>
      <c r="AU123" s="149" t="s">
        <v>56</v>
      </c>
      <c r="AV123" s="146" t="str">
        <f t="shared" si="56"/>
        <v/>
      </c>
      <c r="AW123" s="146" t="str">
        <f t="shared" si="57"/>
        <v/>
      </c>
      <c r="AX123" s="138" t="str">
        <f t="shared" si="58"/>
        <v/>
      </c>
      <c r="AY123" s="95" t="s">
        <v>56</v>
      </c>
      <c r="AZ123" s="96">
        <v>62.855000000000004</v>
      </c>
      <c r="BA123" s="96"/>
      <c r="BB123" s="96">
        <v>141</v>
      </c>
      <c r="BC123" s="96"/>
      <c r="BD123" s="97">
        <v>72</v>
      </c>
      <c r="BE123" s="142">
        <f t="shared" si="59"/>
        <v>6533</v>
      </c>
      <c r="BF123" s="98">
        <v>183</v>
      </c>
      <c r="BG123" s="98">
        <v>1423</v>
      </c>
      <c r="BH123" s="98">
        <v>0</v>
      </c>
      <c r="BI123" s="98">
        <v>4927</v>
      </c>
      <c r="BJ123" s="98"/>
      <c r="BK123" s="98"/>
      <c r="BL123" s="98"/>
    </row>
    <row r="124" spans="1:64" outlineLevel="5" x14ac:dyDescent="0.3">
      <c r="A124" s="152">
        <f t="shared" si="45"/>
        <v>4</v>
      </c>
      <c r="B124" s="153">
        <f t="shared" si="44"/>
        <v>44291</v>
      </c>
      <c r="C124" s="138">
        <f t="shared" si="50"/>
        <v>39</v>
      </c>
      <c r="D124" s="84">
        <v>39</v>
      </c>
      <c r="E124" s="84">
        <v>39</v>
      </c>
      <c r="F124" s="84"/>
      <c r="G124" s="84"/>
      <c r="H124" s="84"/>
      <c r="I124" s="84"/>
      <c r="J124" s="84"/>
      <c r="K124" s="84"/>
      <c r="L124" s="140" t="str">
        <f t="shared" si="51"/>
        <v/>
      </c>
      <c r="M124" s="86" t="s">
        <v>56</v>
      </c>
      <c r="N124" s="86" t="s">
        <v>56</v>
      </c>
      <c r="O124" s="86"/>
      <c r="P124" s="86"/>
      <c r="Q124" s="86"/>
      <c r="R124" s="86"/>
      <c r="S124" s="86"/>
      <c r="T124" s="86"/>
      <c r="U124" s="142" t="str">
        <f t="shared" si="52"/>
        <v/>
      </c>
      <c r="V124" s="88" t="s">
        <v>56</v>
      </c>
      <c r="W124" s="88" t="s">
        <v>56</v>
      </c>
      <c r="X124" s="88"/>
      <c r="Y124" s="88"/>
      <c r="Z124" s="88"/>
      <c r="AA124" s="88"/>
      <c r="AB124" s="88"/>
      <c r="AC124" s="88"/>
      <c r="AD124" s="142" t="str">
        <f t="shared" si="53"/>
        <v/>
      </c>
      <c r="AE124" s="88"/>
      <c r="AF124" s="88"/>
      <c r="AG124" s="88"/>
      <c r="AH124" s="88"/>
      <c r="AI124" s="88"/>
      <c r="AJ124" s="88"/>
      <c r="AK124" s="88"/>
      <c r="AL124" s="88"/>
      <c r="AM124" s="88">
        <v>37.981813792548479</v>
      </c>
      <c r="AN124" s="88">
        <v>124.27000000000001</v>
      </c>
      <c r="AO124" s="89" t="s">
        <v>56</v>
      </c>
      <c r="AP124" s="90"/>
      <c r="AQ124" s="146" t="str">
        <f t="shared" si="54"/>
        <v/>
      </c>
      <c r="AR124" s="146" t="str">
        <f t="shared" si="55"/>
        <v/>
      </c>
      <c r="AS124" s="147">
        <v>40</v>
      </c>
      <c r="AT124" s="148" t="s">
        <v>56</v>
      </c>
      <c r="AU124" s="149" t="s">
        <v>56</v>
      </c>
      <c r="AV124" s="146" t="str">
        <f t="shared" si="56"/>
        <v/>
      </c>
      <c r="AW124" s="146" t="str">
        <f t="shared" si="57"/>
        <v/>
      </c>
      <c r="AX124" s="138" t="str">
        <f t="shared" si="58"/>
        <v/>
      </c>
      <c r="AY124" s="95" t="s">
        <v>56</v>
      </c>
      <c r="AZ124" s="96">
        <v>59.995000000000005</v>
      </c>
      <c r="BA124" s="96"/>
      <c r="BB124" s="96">
        <v>109</v>
      </c>
      <c r="BC124" s="96"/>
      <c r="BD124" s="97">
        <v>124.27000000000001</v>
      </c>
      <c r="BE124" s="142">
        <f t="shared" si="59"/>
        <v>6631</v>
      </c>
      <c r="BF124" s="98">
        <v>203</v>
      </c>
      <c r="BG124" s="98">
        <v>1327</v>
      </c>
      <c r="BH124" s="98">
        <v>0</v>
      </c>
      <c r="BI124" s="98">
        <v>5101</v>
      </c>
      <c r="BJ124" s="98"/>
      <c r="BK124" s="98"/>
      <c r="BL124" s="98"/>
    </row>
    <row r="125" spans="1:64" outlineLevel="5" x14ac:dyDescent="0.3">
      <c r="A125" s="152">
        <f t="shared" si="45"/>
        <v>4</v>
      </c>
      <c r="B125" s="153">
        <f t="shared" si="44"/>
        <v>44292</v>
      </c>
      <c r="C125" s="138">
        <f t="shared" si="50"/>
        <v>39</v>
      </c>
      <c r="D125" s="84">
        <v>39</v>
      </c>
      <c r="E125" s="84">
        <v>39</v>
      </c>
      <c r="F125" s="84"/>
      <c r="G125" s="84"/>
      <c r="H125" s="84"/>
      <c r="I125" s="84"/>
      <c r="J125" s="84"/>
      <c r="K125" s="84"/>
      <c r="L125" s="140" t="str">
        <f t="shared" si="51"/>
        <v/>
      </c>
      <c r="M125" s="86" t="s">
        <v>56</v>
      </c>
      <c r="N125" s="86" t="s">
        <v>56</v>
      </c>
      <c r="O125" s="86"/>
      <c r="P125" s="86"/>
      <c r="Q125" s="86"/>
      <c r="R125" s="86"/>
      <c r="S125" s="86"/>
      <c r="T125" s="86"/>
      <c r="U125" s="142" t="str">
        <f t="shared" si="52"/>
        <v/>
      </c>
      <c r="V125" s="88" t="s">
        <v>56</v>
      </c>
      <c r="W125" s="88" t="s">
        <v>56</v>
      </c>
      <c r="X125" s="88"/>
      <c r="Y125" s="88"/>
      <c r="Z125" s="88"/>
      <c r="AA125" s="88"/>
      <c r="AB125" s="88"/>
      <c r="AC125" s="88"/>
      <c r="AD125" s="142" t="str">
        <f t="shared" si="53"/>
        <v/>
      </c>
      <c r="AE125" s="88"/>
      <c r="AF125" s="88"/>
      <c r="AG125" s="88"/>
      <c r="AH125" s="88"/>
      <c r="AI125" s="88"/>
      <c r="AJ125" s="88"/>
      <c r="AK125" s="88"/>
      <c r="AL125" s="88"/>
      <c r="AM125" s="88">
        <v>38.558941262968716</v>
      </c>
      <c r="AN125" s="88">
        <v>122.41</v>
      </c>
      <c r="AO125" s="89" t="s">
        <v>56</v>
      </c>
      <c r="AP125" s="90"/>
      <c r="AQ125" s="146" t="str">
        <f t="shared" si="54"/>
        <v/>
      </c>
      <c r="AR125" s="146" t="str">
        <f t="shared" si="55"/>
        <v/>
      </c>
      <c r="AS125" s="147">
        <v>40</v>
      </c>
      <c r="AT125" s="148" t="s">
        <v>56</v>
      </c>
      <c r="AU125" s="149" t="s">
        <v>56</v>
      </c>
      <c r="AV125" s="146" t="str">
        <f t="shared" si="56"/>
        <v/>
      </c>
      <c r="AW125" s="146" t="str">
        <f t="shared" si="57"/>
        <v/>
      </c>
      <c r="AX125" s="138" t="str">
        <f t="shared" si="58"/>
        <v/>
      </c>
      <c r="AY125" s="95" t="s">
        <v>56</v>
      </c>
      <c r="AZ125" s="96">
        <v>59.295000000000002</v>
      </c>
      <c r="BA125" s="96"/>
      <c r="BB125" s="96">
        <v>120.5</v>
      </c>
      <c r="BC125" s="96"/>
      <c r="BD125" s="97">
        <v>122.41</v>
      </c>
      <c r="BE125" s="142">
        <f t="shared" si="59"/>
        <v>7611</v>
      </c>
      <c r="BF125" s="98">
        <v>182</v>
      </c>
      <c r="BG125" s="98">
        <v>2285</v>
      </c>
      <c r="BH125" s="98">
        <v>0</v>
      </c>
      <c r="BI125" s="98">
        <v>5144</v>
      </c>
      <c r="BJ125" s="98"/>
      <c r="BK125" s="98"/>
      <c r="BL125" s="98"/>
    </row>
    <row r="126" spans="1:64" outlineLevel="5" x14ac:dyDescent="0.3">
      <c r="A126" s="152">
        <f t="shared" si="45"/>
        <v>4</v>
      </c>
      <c r="B126" s="153">
        <f t="shared" si="44"/>
        <v>44293</v>
      </c>
      <c r="C126" s="138">
        <f t="shared" si="50"/>
        <v>38</v>
      </c>
      <c r="D126" s="84">
        <v>38</v>
      </c>
      <c r="E126" s="84">
        <v>38</v>
      </c>
      <c r="F126" s="84"/>
      <c r="G126" s="84"/>
      <c r="H126" s="84"/>
      <c r="I126" s="84"/>
      <c r="J126" s="84"/>
      <c r="K126" s="84"/>
      <c r="L126" s="140">
        <f t="shared" si="51"/>
        <v>7.6</v>
      </c>
      <c r="M126" s="86">
        <v>7.77</v>
      </c>
      <c r="N126" s="86">
        <v>7.52</v>
      </c>
      <c r="O126" s="86"/>
      <c r="P126" s="86"/>
      <c r="Q126" s="86"/>
      <c r="R126" s="86"/>
      <c r="S126" s="86"/>
      <c r="T126" s="86"/>
      <c r="U126" s="142">
        <f t="shared" si="52"/>
        <v>1585</v>
      </c>
      <c r="V126" s="88">
        <v>1750</v>
      </c>
      <c r="W126" s="88">
        <v>1420</v>
      </c>
      <c r="X126" s="88"/>
      <c r="Y126" s="88"/>
      <c r="Z126" s="88"/>
      <c r="AA126" s="88"/>
      <c r="AB126" s="88"/>
      <c r="AC126" s="88"/>
      <c r="AD126" s="142" t="str">
        <f t="shared" si="53"/>
        <v/>
      </c>
      <c r="AE126" s="88"/>
      <c r="AF126" s="88"/>
      <c r="AG126" s="88"/>
      <c r="AH126" s="88"/>
      <c r="AI126" s="88"/>
      <c r="AJ126" s="88"/>
      <c r="AK126" s="88"/>
      <c r="AL126" s="88"/>
      <c r="AM126" s="88">
        <v>34.513015501608663</v>
      </c>
      <c r="AN126" s="88">
        <v>136.76</v>
      </c>
      <c r="AO126" s="89" t="s">
        <v>56</v>
      </c>
      <c r="AP126" s="90" t="s">
        <v>56</v>
      </c>
      <c r="AQ126" s="146" t="str">
        <f t="shared" si="54"/>
        <v/>
      </c>
      <c r="AR126" s="146" t="str">
        <f t="shared" si="55"/>
        <v/>
      </c>
      <c r="AS126" s="147">
        <v>40</v>
      </c>
      <c r="AT126" s="148">
        <v>16.899999999999999</v>
      </c>
      <c r="AU126" s="149">
        <v>8.6999999999999993</v>
      </c>
      <c r="AV126" s="146">
        <f t="shared" si="56"/>
        <v>51.479289940828401</v>
      </c>
      <c r="AW126" s="146">
        <f t="shared" si="57"/>
        <v>48.520710059171599</v>
      </c>
      <c r="AX126" s="138" t="str">
        <f t="shared" si="58"/>
        <v/>
      </c>
      <c r="AY126" s="95">
        <v>75.349999999999994</v>
      </c>
      <c r="AZ126" s="96">
        <v>59.664999999999999</v>
      </c>
      <c r="BA126" s="96"/>
      <c r="BB126" s="96">
        <v>120.5</v>
      </c>
      <c r="BC126" s="96"/>
      <c r="BD126" s="97">
        <v>136.76</v>
      </c>
      <c r="BE126" s="142">
        <f t="shared" si="59"/>
        <v>8262</v>
      </c>
      <c r="BF126" s="98">
        <v>105</v>
      </c>
      <c r="BG126" s="98">
        <v>2853</v>
      </c>
      <c r="BH126" s="98">
        <v>127</v>
      </c>
      <c r="BI126" s="98">
        <v>5177</v>
      </c>
      <c r="BJ126" s="98"/>
      <c r="BK126" s="98"/>
      <c r="BL126" s="98"/>
    </row>
    <row r="127" spans="1:64" outlineLevel="5" x14ac:dyDescent="0.3">
      <c r="A127" s="152">
        <f t="shared" si="45"/>
        <v>4</v>
      </c>
      <c r="B127" s="153">
        <f t="shared" si="44"/>
        <v>44294</v>
      </c>
      <c r="C127" s="138">
        <f t="shared" si="50"/>
        <v>38</v>
      </c>
      <c r="D127" s="84">
        <v>38</v>
      </c>
      <c r="E127" s="84">
        <v>38</v>
      </c>
      <c r="F127" s="84"/>
      <c r="G127" s="84"/>
      <c r="H127" s="84"/>
      <c r="I127" s="84"/>
      <c r="J127" s="84"/>
      <c r="K127" s="84"/>
      <c r="L127" s="140">
        <f t="shared" si="51"/>
        <v>7.8</v>
      </c>
      <c r="M127" s="86">
        <v>7.81</v>
      </c>
      <c r="N127" s="86">
        <v>7.7</v>
      </c>
      <c r="O127" s="86"/>
      <c r="P127" s="86"/>
      <c r="Q127" s="86"/>
      <c r="R127" s="86"/>
      <c r="S127" s="86"/>
      <c r="T127" s="86"/>
      <c r="U127" s="142">
        <f t="shared" si="52"/>
        <v>1625</v>
      </c>
      <c r="V127" s="88">
        <v>1750</v>
      </c>
      <c r="W127" s="88">
        <v>1500</v>
      </c>
      <c r="X127" s="88"/>
      <c r="Y127" s="88"/>
      <c r="Z127" s="88"/>
      <c r="AA127" s="88"/>
      <c r="AB127" s="88"/>
      <c r="AC127" s="88"/>
      <c r="AD127" s="142" t="str">
        <f t="shared" si="53"/>
        <v/>
      </c>
      <c r="AE127" s="88"/>
      <c r="AF127" s="88"/>
      <c r="AG127" s="88"/>
      <c r="AH127" s="88"/>
      <c r="AI127" s="88"/>
      <c r="AJ127" s="88"/>
      <c r="AK127" s="88"/>
      <c r="AL127" s="88"/>
      <c r="AM127" s="88">
        <v>38.905374216946917</v>
      </c>
      <c r="AN127" s="88">
        <v>121.32</v>
      </c>
      <c r="AO127" s="89">
        <v>24.6</v>
      </c>
      <c r="AP127" s="90">
        <v>19.286400000000004</v>
      </c>
      <c r="AQ127" s="146">
        <f t="shared" si="54"/>
        <v>78.40000000000002</v>
      </c>
      <c r="AR127" s="146">
        <f t="shared" si="55"/>
        <v>21.59999999999998</v>
      </c>
      <c r="AS127" s="147">
        <v>45</v>
      </c>
      <c r="AT127" s="148">
        <v>16.05</v>
      </c>
      <c r="AU127" s="149">
        <v>6.9499999999999993</v>
      </c>
      <c r="AV127" s="146">
        <f t="shared" si="56"/>
        <v>43.302180685358252</v>
      </c>
      <c r="AW127" s="146">
        <f t="shared" si="57"/>
        <v>56.697819314641748</v>
      </c>
      <c r="AX127" s="138">
        <f t="shared" si="58"/>
        <v>78.958286611347859</v>
      </c>
      <c r="AY127" s="95">
        <v>76.849999999999994</v>
      </c>
      <c r="AZ127" s="96">
        <v>60.045000000000002</v>
      </c>
      <c r="BA127" s="96"/>
      <c r="BB127" s="96">
        <v>119</v>
      </c>
      <c r="BC127" s="96"/>
      <c r="BD127" s="97">
        <v>121.32</v>
      </c>
      <c r="BE127" s="142">
        <f t="shared" si="59"/>
        <v>6402</v>
      </c>
      <c r="BF127" s="98">
        <v>150</v>
      </c>
      <c r="BG127" s="98">
        <v>2378</v>
      </c>
      <c r="BH127" s="98">
        <v>288</v>
      </c>
      <c r="BI127" s="98">
        <v>3586</v>
      </c>
      <c r="BJ127" s="98"/>
      <c r="BK127" s="98"/>
      <c r="BL127" s="98"/>
    </row>
    <row r="128" spans="1:64" outlineLevel="5" x14ac:dyDescent="0.3">
      <c r="A128" s="152">
        <f t="shared" si="45"/>
        <v>4</v>
      </c>
      <c r="B128" s="153">
        <f t="shared" si="44"/>
        <v>44295</v>
      </c>
      <c r="C128" s="138">
        <f t="shared" si="50"/>
        <v>37.5</v>
      </c>
      <c r="D128" s="84">
        <v>38</v>
      </c>
      <c r="E128" s="84">
        <v>37</v>
      </c>
      <c r="F128" s="84"/>
      <c r="G128" s="84"/>
      <c r="H128" s="84"/>
      <c r="I128" s="84"/>
      <c r="J128" s="84"/>
      <c r="K128" s="84"/>
      <c r="L128" s="140" t="str">
        <f t="shared" si="51"/>
        <v/>
      </c>
      <c r="M128" s="86" t="s">
        <v>56</v>
      </c>
      <c r="N128" s="86" t="s">
        <v>56</v>
      </c>
      <c r="O128" s="86"/>
      <c r="P128" s="86"/>
      <c r="Q128" s="86"/>
      <c r="R128" s="86"/>
      <c r="S128" s="86"/>
      <c r="T128" s="86"/>
      <c r="U128" s="142" t="str">
        <f t="shared" si="52"/>
        <v/>
      </c>
      <c r="V128" s="88" t="s">
        <v>56</v>
      </c>
      <c r="W128" s="88" t="s">
        <v>56</v>
      </c>
      <c r="X128" s="88"/>
      <c r="Y128" s="88"/>
      <c r="Z128" s="88"/>
      <c r="AA128" s="88"/>
      <c r="AB128" s="88"/>
      <c r="AC128" s="88"/>
      <c r="AD128" s="142" t="str">
        <f t="shared" si="53"/>
        <v/>
      </c>
      <c r="AE128" s="88"/>
      <c r="AF128" s="88"/>
      <c r="AG128" s="88"/>
      <c r="AH128" s="88"/>
      <c r="AI128" s="88"/>
      <c r="AJ128" s="88"/>
      <c r="AK128" s="88"/>
      <c r="AL128" s="88"/>
      <c r="AM128" s="88">
        <v>42.293906810035843</v>
      </c>
      <c r="AN128" s="88">
        <v>111.6</v>
      </c>
      <c r="AO128" s="89" t="s">
        <v>56</v>
      </c>
      <c r="AP128" s="90" t="s">
        <v>56</v>
      </c>
      <c r="AQ128" s="146" t="str">
        <f t="shared" si="54"/>
        <v/>
      </c>
      <c r="AR128" s="146" t="str">
        <f t="shared" si="55"/>
        <v/>
      </c>
      <c r="AS128" s="147">
        <v>20</v>
      </c>
      <c r="AT128" s="148" t="s">
        <v>56</v>
      </c>
      <c r="AU128" s="149" t="s">
        <v>56</v>
      </c>
      <c r="AV128" s="146" t="str">
        <f t="shared" si="56"/>
        <v/>
      </c>
      <c r="AW128" s="146" t="str">
        <f t="shared" si="57"/>
        <v/>
      </c>
      <c r="AX128" s="138" t="str">
        <f t="shared" si="58"/>
        <v/>
      </c>
      <c r="AY128" s="95" t="s">
        <v>56</v>
      </c>
      <c r="AZ128" s="96">
        <v>59.980000000000004</v>
      </c>
      <c r="BA128" s="96"/>
      <c r="BB128" s="96">
        <v>123.5</v>
      </c>
      <c r="BC128" s="96"/>
      <c r="BD128" s="97">
        <v>111.6</v>
      </c>
      <c r="BE128" s="142">
        <f t="shared" si="59"/>
        <v>9590</v>
      </c>
      <c r="BF128" s="98">
        <v>174</v>
      </c>
      <c r="BG128" s="98">
        <v>2182</v>
      </c>
      <c r="BH128" s="98">
        <v>2185</v>
      </c>
      <c r="BI128" s="98">
        <v>5049</v>
      </c>
      <c r="BJ128" s="98"/>
      <c r="BK128" s="98"/>
      <c r="BL128" s="98"/>
    </row>
    <row r="129" spans="1:64" outlineLevel="5" x14ac:dyDescent="0.3">
      <c r="A129" s="152">
        <f t="shared" si="45"/>
        <v>4</v>
      </c>
      <c r="B129" s="153">
        <f t="shared" si="44"/>
        <v>44296</v>
      </c>
      <c r="C129" s="138">
        <f t="shared" si="50"/>
        <v>37.5</v>
      </c>
      <c r="D129" s="84">
        <v>38</v>
      </c>
      <c r="E129" s="84">
        <v>37</v>
      </c>
      <c r="F129" s="84"/>
      <c r="G129" s="84"/>
      <c r="H129" s="84"/>
      <c r="I129" s="84"/>
      <c r="J129" s="84"/>
      <c r="K129" s="84"/>
      <c r="L129" s="140" t="str">
        <f t="shared" si="51"/>
        <v/>
      </c>
      <c r="M129" s="86"/>
      <c r="N129" s="86"/>
      <c r="O129" s="86"/>
      <c r="P129" s="86"/>
      <c r="Q129" s="86"/>
      <c r="R129" s="86"/>
      <c r="S129" s="86"/>
      <c r="T129" s="86"/>
      <c r="U129" s="142" t="str">
        <f t="shared" si="52"/>
        <v/>
      </c>
      <c r="V129" s="88"/>
      <c r="W129" s="88"/>
      <c r="X129" s="88"/>
      <c r="Y129" s="88"/>
      <c r="Z129" s="88"/>
      <c r="AA129" s="88"/>
      <c r="AB129" s="88"/>
      <c r="AC129" s="88"/>
      <c r="AD129" s="142" t="str">
        <f t="shared" si="53"/>
        <v/>
      </c>
      <c r="AE129" s="88"/>
      <c r="AF129" s="88"/>
      <c r="AG129" s="88"/>
      <c r="AH129" s="88"/>
      <c r="AI129" s="88"/>
      <c r="AJ129" s="88"/>
      <c r="AK129" s="88"/>
      <c r="AL129" s="88"/>
      <c r="AM129" s="88">
        <v>44.786032830439318</v>
      </c>
      <c r="AN129" s="88">
        <v>105.39</v>
      </c>
      <c r="AO129" s="89"/>
      <c r="AP129" s="90"/>
      <c r="AQ129" s="146" t="str">
        <f t="shared" si="54"/>
        <v/>
      </c>
      <c r="AR129" s="146" t="str">
        <f t="shared" si="55"/>
        <v/>
      </c>
      <c r="AS129" s="147">
        <v>10</v>
      </c>
      <c r="AT129" s="148" t="s">
        <v>56</v>
      </c>
      <c r="AU129" s="149" t="s">
        <v>56</v>
      </c>
      <c r="AV129" s="146" t="str">
        <f t="shared" si="56"/>
        <v/>
      </c>
      <c r="AW129" s="146" t="str">
        <f t="shared" si="57"/>
        <v/>
      </c>
      <c r="AX129" s="138" t="str">
        <f t="shared" si="58"/>
        <v/>
      </c>
      <c r="AY129" s="95" t="s">
        <v>56</v>
      </c>
      <c r="AZ129" s="96">
        <v>60.424999999999997</v>
      </c>
      <c r="BA129" s="96"/>
      <c r="BB129" s="96">
        <v>117.5</v>
      </c>
      <c r="BC129" s="96"/>
      <c r="BD129" s="97">
        <v>105.39</v>
      </c>
      <c r="BE129" s="142">
        <f t="shared" si="59"/>
        <v>7298</v>
      </c>
      <c r="BF129" s="98">
        <v>142</v>
      </c>
      <c r="BG129" s="98">
        <v>1830</v>
      </c>
      <c r="BH129" s="98">
        <v>97</v>
      </c>
      <c r="BI129" s="98">
        <v>5229</v>
      </c>
      <c r="BJ129" s="98"/>
      <c r="BK129" s="98"/>
      <c r="BL129" s="98"/>
    </row>
    <row r="130" spans="1:64" outlineLevel="5" x14ac:dyDescent="0.3">
      <c r="A130" s="152">
        <f t="shared" si="45"/>
        <v>4</v>
      </c>
      <c r="B130" s="153">
        <f t="shared" si="44"/>
        <v>44297</v>
      </c>
      <c r="C130" s="138">
        <f t="shared" si="50"/>
        <v>38</v>
      </c>
      <c r="D130" s="84">
        <v>38</v>
      </c>
      <c r="E130" s="84">
        <v>38</v>
      </c>
      <c r="F130" s="84"/>
      <c r="G130" s="84"/>
      <c r="H130" s="84"/>
      <c r="I130" s="84"/>
      <c r="J130" s="84"/>
      <c r="K130" s="84"/>
      <c r="L130" s="140" t="str">
        <f t="shared" si="51"/>
        <v/>
      </c>
      <c r="M130" s="86"/>
      <c r="N130" s="86"/>
      <c r="O130" s="86"/>
      <c r="P130" s="86"/>
      <c r="Q130" s="86"/>
      <c r="R130" s="86"/>
      <c r="S130" s="86"/>
      <c r="T130" s="86"/>
      <c r="U130" s="142" t="str">
        <f t="shared" si="52"/>
        <v/>
      </c>
      <c r="V130" s="88"/>
      <c r="W130" s="88"/>
      <c r="X130" s="88"/>
      <c r="Y130" s="88"/>
      <c r="Z130" s="88"/>
      <c r="AA130" s="88"/>
      <c r="AB130" s="88"/>
      <c r="AC130" s="88"/>
      <c r="AD130" s="142" t="str">
        <f t="shared" si="53"/>
        <v/>
      </c>
      <c r="AE130" s="88"/>
      <c r="AF130" s="88"/>
      <c r="AG130" s="88"/>
      <c r="AH130" s="88"/>
      <c r="AI130" s="88"/>
      <c r="AJ130" s="88"/>
      <c r="AK130" s="88"/>
      <c r="AL130" s="88"/>
      <c r="AM130" s="88">
        <v>52.444444444444443</v>
      </c>
      <c r="AN130" s="88">
        <v>90</v>
      </c>
      <c r="AO130" s="89"/>
      <c r="AP130" s="90"/>
      <c r="AQ130" s="146" t="str">
        <f t="shared" si="54"/>
        <v/>
      </c>
      <c r="AR130" s="146" t="str">
        <f t="shared" si="55"/>
        <v/>
      </c>
      <c r="AS130" s="147">
        <v>10</v>
      </c>
      <c r="AT130" s="148" t="s">
        <v>56</v>
      </c>
      <c r="AU130" s="149" t="s">
        <v>56</v>
      </c>
      <c r="AV130" s="146" t="str">
        <f t="shared" si="56"/>
        <v/>
      </c>
      <c r="AW130" s="146" t="str">
        <f t="shared" si="57"/>
        <v/>
      </c>
      <c r="AX130" s="138" t="str">
        <f t="shared" si="58"/>
        <v/>
      </c>
      <c r="AY130" s="95" t="s">
        <v>56</v>
      </c>
      <c r="AZ130" s="96">
        <v>61.585000000000001</v>
      </c>
      <c r="BA130" s="96"/>
      <c r="BB130" s="96">
        <v>115.5</v>
      </c>
      <c r="BC130" s="96"/>
      <c r="BD130" s="97">
        <v>90</v>
      </c>
      <c r="BE130" s="142">
        <f t="shared" si="59"/>
        <v>7243</v>
      </c>
      <c r="BF130" s="98">
        <v>93</v>
      </c>
      <c r="BG130" s="98">
        <v>1959</v>
      </c>
      <c r="BH130" s="98">
        <v>11</v>
      </c>
      <c r="BI130" s="98">
        <v>5180</v>
      </c>
      <c r="BJ130" s="98"/>
      <c r="BK130" s="98"/>
      <c r="BL130" s="98"/>
    </row>
    <row r="131" spans="1:64" outlineLevel="5" x14ac:dyDescent="0.3">
      <c r="A131" s="152">
        <f t="shared" si="45"/>
        <v>4</v>
      </c>
      <c r="B131" s="153">
        <f t="shared" si="44"/>
        <v>44298</v>
      </c>
      <c r="C131" s="138">
        <f t="shared" si="50"/>
        <v>37</v>
      </c>
      <c r="D131" s="84">
        <v>37</v>
      </c>
      <c r="E131" s="84">
        <v>37</v>
      </c>
      <c r="F131" s="84"/>
      <c r="G131" s="84"/>
      <c r="H131" s="84"/>
      <c r="I131" s="84"/>
      <c r="J131" s="84"/>
      <c r="K131" s="84"/>
      <c r="L131" s="140">
        <f t="shared" si="51"/>
        <v>7.7</v>
      </c>
      <c r="M131" s="86">
        <v>7.79</v>
      </c>
      <c r="N131" s="86">
        <v>7.65</v>
      </c>
      <c r="O131" s="86"/>
      <c r="P131" s="86"/>
      <c r="Q131" s="86"/>
      <c r="R131" s="86"/>
      <c r="S131" s="86"/>
      <c r="T131" s="86"/>
      <c r="U131" s="142">
        <f t="shared" si="52"/>
        <v>1600</v>
      </c>
      <c r="V131" s="88">
        <v>1700</v>
      </c>
      <c r="W131" s="88">
        <v>1500</v>
      </c>
      <c r="X131" s="88"/>
      <c r="Y131" s="88"/>
      <c r="Z131" s="88"/>
      <c r="AA131" s="88"/>
      <c r="AB131" s="88"/>
      <c r="AC131" s="88"/>
      <c r="AD131" s="142" t="str">
        <f t="shared" si="53"/>
        <v/>
      </c>
      <c r="AE131" s="88"/>
      <c r="AF131" s="88"/>
      <c r="AG131" s="88"/>
      <c r="AH131" s="88"/>
      <c r="AI131" s="88"/>
      <c r="AJ131" s="88"/>
      <c r="AK131" s="88"/>
      <c r="AL131" s="88"/>
      <c r="AM131" s="88">
        <v>35.809119186708138</v>
      </c>
      <c r="AN131" s="88">
        <v>131.81</v>
      </c>
      <c r="AO131" s="89">
        <v>21.3</v>
      </c>
      <c r="AP131" s="90">
        <v>16.3371</v>
      </c>
      <c r="AQ131" s="146">
        <f t="shared" si="54"/>
        <v>76.699999999999989</v>
      </c>
      <c r="AR131" s="146">
        <f t="shared" si="55"/>
        <v>23.300000000000011</v>
      </c>
      <c r="AS131" s="147">
        <v>40</v>
      </c>
      <c r="AT131" s="148">
        <v>16.55</v>
      </c>
      <c r="AU131" s="149">
        <v>8.5500000000000007</v>
      </c>
      <c r="AV131" s="146">
        <f t="shared" si="56"/>
        <v>51.661631419939582</v>
      </c>
      <c r="AW131" s="146">
        <f t="shared" si="57"/>
        <v>48.338368580060418</v>
      </c>
      <c r="AX131" s="138">
        <f t="shared" si="58"/>
        <v>67.533409387222918</v>
      </c>
      <c r="AY131" s="95">
        <v>72.849999999999994</v>
      </c>
      <c r="AZ131" s="96">
        <v>63.505000000000003</v>
      </c>
      <c r="BA131" s="96"/>
      <c r="BB131" s="96">
        <v>113.5</v>
      </c>
      <c r="BC131" s="96"/>
      <c r="BD131" s="97">
        <v>131.81</v>
      </c>
      <c r="BE131" s="142">
        <f t="shared" si="59"/>
        <v>6200</v>
      </c>
      <c r="BF131" s="98">
        <v>117</v>
      </c>
      <c r="BG131" s="98">
        <v>0</v>
      </c>
      <c r="BH131" s="98">
        <v>697</v>
      </c>
      <c r="BI131" s="98">
        <v>5386</v>
      </c>
      <c r="BJ131" s="98"/>
      <c r="BK131" s="98"/>
      <c r="BL131" s="98"/>
    </row>
    <row r="132" spans="1:64" outlineLevel="5" x14ac:dyDescent="0.3">
      <c r="A132" s="152">
        <f t="shared" si="45"/>
        <v>4</v>
      </c>
      <c r="B132" s="153">
        <f t="shared" si="44"/>
        <v>44299</v>
      </c>
      <c r="C132" s="138">
        <f t="shared" si="50"/>
        <v>38</v>
      </c>
      <c r="D132" s="84">
        <v>38</v>
      </c>
      <c r="E132" s="84">
        <v>38</v>
      </c>
      <c r="F132" s="84"/>
      <c r="G132" s="84"/>
      <c r="H132" s="84"/>
      <c r="I132" s="84"/>
      <c r="J132" s="84"/>
      <c r="K132" s="84"/>
      <c r="L132" s="140" t="str">
        <f t="shared" si="51"/>
        <v/>
      </c>
      <c r="M132" s="86" t="s">
        <v>56</v>
      </c>
      <c r="N132" s="86" t="s">
        <v>56</v>
      </c>
      <c r="O132" s="86"/>
      <c r="P132" s="86"/>
      <c r="Q132" s="86"/>
      <c r="R132" s="86"/>
      <c r="S132" s="86"/>
      <c r="T132" s="86"/>
      <c r="U132" s="142" t="str">
        <f t="shared" si="52"/>
        <v/>
      </c>
      <c r="V132" s="88" t="s">
        <v>56</v>
      </c>
      <c r="W132" s="88" t="s">
        <v>56</v>
      </c>
      <c r="X132" s="88"/>
      <c r="Y132" s="88"/>
      <c r="Z132" s="88"/>
      <c r="AA132" s="88"/>
      <c r="AB132" s="88"/>
      <c r="AC132" s="88"/>
      <c r="AD132" s="142" t="str">
        <f t="shared" si="53"/>
        <v/>
      </c>
      <c r="AE132" s="88"/>
      <c r="AF132" s="88"/>
      <c r="AG132" s="88"/>
      <c r="AH132" s="88"/>
      <c r="AI132" s="88"/>
      <c r="AJ132" s="88"/>
      <c r="AK132" s="88"/>
      <c r="AL132" s="88"/>
      <c r="AM132" s="88">
        <v>37.04575778981242</v>
      </c>
      <c r="AN132" s="88">
        <v>127.41</v>
      </c>
      <c r="AO132" s="89" t="s">
        <v>56</v>
      </c>
      <c r="AP132" s="90" t="s">
        <v>56</v>
      </c>
      <c r="AQ132" s="146" t="str">
        <f t="shared" si="54"/>
        <v/>
      </c>
      <c r="AR132" s="146" t="str">
        <f t="shared" si="55"/>
        <v/>
      </c>
      <c r="AS132" s="147">
        <v>44</v>
      </c>
      <c r="AT132" s="148" t="s">
        <v>56</v>
      </c>
      <c r="AU132" s="149" t="s">
        <v>56</v>
      </c>
      <c r="AV132" s="146" t="str">
        <f t="shared" si="56"/>
        <v/>
      </c>
      <c r="AW132" s="146" t="str">
        <f t="shared" si="57"/>
        <v/>
      </c>
      <c r="AX132" s="138" t="str">
        <f t="shared" si="58"/>
        <v/>
      </c>
      <c r="AY132" s="95" t="s">
        <v>56</v>
      </c>
      <c r="AZ132" s="96">
        <v>59.075000000000003</v>
      </c>
      <c r="BA132" s="96"/>
      <c r="BB132" s="96">
        <v>115.5</v>
      </c>
      <c r="BC132" s="96"/>
      <c r="BD132" s="97">
        <v>127.41</v>
      </c>
      <c r="BE132" s="142">
        <f t="shared" si="59"/>
        <v>7329</v>
      </c>
      <c r="BF132" s="98">
        <v>120</v>
      </c>
      <c r="BG132" s="98">
        <v>717</v>
      </c>
      <c r="BH132" s="98">
        <v>1586</v>
      </c>
      <c r="BI132" s="98">
        <v>4906</v>
      </c>
      <c r="BJ132" s="98"/>
      <c r="BK132" s="98"/>
      <c r="BL132" s="98"/>
    </row>
    <row r="133" spans="1:64" outlineLevel="5" x14ac:dyDescent="0.3">
      <c r="A133" s="152">
        <f t="shared" si="45"/>
        <v>4</v>
      </c>
      <c r="B133" s="153">
        <f t="shared" si="44"/>
        <v>44300</v>
      </c>
      <c r="C133" s="138">
        <f t="shared" si="50"/>
        <v>38.5</v>
      </c>
      <c r="D133" s="84">
        <v>38</v>
      </c>
      <c r="E133" s="84">
        <v>39</v>
      </c>
      <c r="F133" s="84"/>
      <c r="G133" s="84"/>
      <c r="H133" s="84"/>
      <c r="I133" s="84"/>
      <c r="J133" s="84"/>
      <c r="K133" s="84"/>
      <c r="L133" s="140">
        <f t="shared" si="51"/>
        <v>7.7</v>
      </c>
      <c r="M133" s="86">
        <v>7.72</v>
      </c>
      <c r="N133" s="86">
        <v>7.59</v>
      </c>
      <c r="O133" s="86"/>
      <c r="P133" s="86"/>
      <c r="Q133" s="86"/>
      <c r="R133" s="86"/>
      <c r="S133" s="86"/>
      <c r="T133" s="86"/>
      <c r="U133" s="142">
        <f t="shared" si="52"/>
        <v>1675</v>
      </c>
      <c r="V133" s="88">
        <v>1820</v>
      </c>
      <c r="W133" s="88">
        <v>1530</v>
      </c>
      <c r="X133" s="88"/>
      <c r="Y133" s="88"/>
      <c r="Z133" s="88"/>
      <c r="AA133" s="88"/>
      <c r="AB133" s="88"/>
      <c r="AC133" s="88"/>
      <c r="AD133" s="142" t="str">
        <f t="shared" si="53"/>
        <v/>
      </c>
      <c r="AE133" s="88"/>
      <c r="AF133" s="88"/>
      <c r="AG133" s="88"/>
      <c r="AH133" s="88"/>
      <c r="AI133" s="88"/>
      <c r="AJ133" s="88"/>
      <c r="AK133" s="88"/>
      <c r="AL133" s="88"/>
      <c r="AM133" s="88">
        <v>38.36774508210047</v>
      </c>
      <c r="AN133" s="88">
        <v>123.02000000000001</v>
      </c>
      <c r="AO133" s="89" t="s">
        <v>56</v>
      </c>
      <c r="AP133" s="90" t="s">
        <v>56</v>
      </c>
      <c r="AQ133" s="146" t="str">
        <f t="shared" si="54"/>
        <v/>
      </c>
      <c r="AR133" s="146" t="str">
        <f t="shared" si="55"/>
        <v/>
      </c>
      <c r="AS133" s="147">
        <v>20</v>
      </c>
      <c r="AT133" s="148">
        <v>16.899999999999999</v>
      </c>
      <c r="AU133" s="149">
        <v>8.6999999999999993</v>
      </c>
      <c r="AV133" s="146">
        <f t="shared" si="56"/>
        <v>51.479289940828401</v>
      </c>
      <c r="AW133" s="146">
        <f t="shared" si="57"/>
        <v>48.520710059171599</v>
      </c>
      <c r="AX133" s="138" t="str">
        <f t="shared" si="58"/>
        <v/>
      </c>
      <c r="AY133" s="95">
        <v>75.349999999999994</v>
      </c>
      <c r="AZ133" s="96">
        <v>62.445</v>
      </c>
      <c r="BA133" s="96"/>
      <c r="BB133" s="96">
        <v>109.5</v>
      </c>
      <c r="BC133" s="96"/>
      <c r="BD133" s="97">
        <v>123.02000000000001</v>
      </c>
      <c r="BE133" s="142">
        <f t="shared" si="59"/>
        <v>7496</v>
      </c>
      <c r="BF133" s="98">
        <v>115</v>
      </c>
      <c r="BG133" s="98">
        <v>2165</v>
      </c>
      <c r="BH133" s="98">
        <v>9</v>
      </c>
      <c r="BI133" s="98">
        <v>5207</v>
      </c>
      <c r="BJ133" s="98"/>
      <c r="BK133" s="98"/>
      <c r="BL133" s="98"/>
    </row>
    <row r="134" spans="1:64" outlineLevel="5" x14ac:dyDescent="0.3">
      <c r="A134" s="152">
        <f t="shared" si="45"/>
        <v>4</v>
      </c>
      <c r="B134" s="153">
        <f t="shared" si="44"/>
        <v>44301</v>
      </c>
      <c r="C134" s="138">
        <f t="shared" si="50"/>
        <v>38</v>
      </c>
      <c r="D134" s="84">
        <v>38</v>
      </c>
      <c r="E134" s="84">
        <v>38</v>
      </c>
      <c r="F134" s="84"/>
      <c r="G134" s="84"/>
      <c r="H134" s="84"/>
      <c r="I134" s="84"/>
      <c r="J134" s="84"/>
      <c r="K134" s="84"/>
      <c r="L134" s="140">
        <f t="shared" si="51"/>
        <v>7.7</v>
      </c>
      <c r="M134" s="86">
        <v>7.79</v>
      </c>
      <c r="N134" s="86">
        <v>7.63</v>
      </c>
      <c r="O134" s="86"/>
      <c r="P134" s="86"/>
      <c r="Q134" s="86"/>
      <c r="R134" s="86"/>
      <c r="S134" s="86"/>
      <c r="T134" s="86"/>
      <c r="U134" s="142">
        <f t="shared" si="52"/>
        <v>1725</v>
      </c>
      <c r="V134" s="88">
        <v>1800</v>
      </c>
      <c r="W134" s="88">
        <v>1650</v>
      </c>
      <c r="X134" s="88"/>
      <c r="Y134" s="88"/>
      <c r="Z134" s="88"/>
      <c r="AA134" s="88"/>
      <c r="AB134" s="88"/>
      <c r="AC134" s="88"/>
      <c r="AD134" s="142" t="str">
        <f t="shared" si="53"/>
        <v/>
      </c>
      <c r="AE134" s="88"/>
      <c r="AF134" s="88"/>
      <c r="AG134" s="88"/>
      <c r="AH134" s="88"/>
      <c r="AI134" s="88"/>
      <c r="AJ134" s="88"/>
      <c r="AK134" s="88"/>
      <c r="AL134" s="88"/>
      <c r="AM134" s="88">
        <v>38.94710784718211</v>
      </c>
      <c r="AN134" s="88">
        <v>121.19</v>
      </c>
      <c r="AO134" s="89" t="s">
        <v>56</v>
      </c>
      <c r="AP134" s="90" t="s">
        <v>56</v>
      </c>
      <c r="AQ134" s="146" t="str">
        <f t="shared" si="54"/>
        <v/>
      </c>
      <c r="AR134" s="146" t="str">
        <f t="shared" si="55"/>
        <v/>
      </c>
      <c r="AS134" s="147">
        <v>20</v>
      </c>
      <c r="AT134" s="148">
        <v>16.450000000000003</v>
      </c>
      <c r="AU134" s="149">
        <v>9.1</v>
      </c>
      <c r="AV134" s="146">
        <f t="shared" si="56"/>
        <v>55.319148936170201</v>
      </c>
      <c r="AW134" s="146">
        <f t="shared" si="57"/>
        <v>44.680851063829799</v>
      </c>
      <c r="AX134" s="138" t="str">
        <f t="shared" si="58"/>
        <v/>
      </c>
      <c r="AY134" s="95">
        <v>75.599999999999994</v>
      </c>
      <c r="AZ134" s="96">
        <v>62.134999999999998</v>
      </c>
      <c r="BA134" s="96"/>
      <c r="BB134" s="96">
        <v>91.5</v>
      </c>
      <c r="BC134" s="96"/>
      <c r="BD134" s="97">
        <v>121.19</v>
      </c>
      <c r="BE134" s="142">
        <f t="shared" si="59"/>
        <v>6878</v>
      </c>
      <c r="BF134" s="98">
        <v>110</v>
      </c>
      <c r="BG134" s="98">
        <v>1268</v>
      </c>
      <c r="BH134" s="98">
        <v>282</v>
      </c>
      <c r="BI134" s="98">
        <v>5218</v>
      </c>
      <c r="BJ134" s="98"/>
      <c r="BK134" s="98"/>
      <c r="BL134" s="98"/>
    </row>
    <row r="135" spans="1:64" outlineLevel="5" x14ac:dyDescent="0.3">
      <c r="A135" s="152">
        <f t="shared" si="45"/>
        <v>4</v>
      </c>
      <c r="B135" s="153">
        <f t="shared" si="44"/>
        <v>44302</v>
      </c>
      <c r="C135" s="138">
        <f t="shared" si="50"/>
        <v>38</v>
      </c>
      <c r="D135" s="84">
        <v>38</v>
      </c>
      <c r="E135" s="84">
        <v>38</v>
      </c>
      <c r="F135" s="84"/>
      <c r="G135" s="84"/>
      <c r="H135" s="84"/>
      <c r="I135" s="84"/>
      <c r="J135" s="84"/>
      <c r="K135" s="84"/>
      <c r="L135" s="140" t="str">
        <f t="shared" si="51"/>
        <v/>
      </c>
      <c r="M135" s="86" t="s">
        <v>56</v>
      </c>
      <c r="N135" s="86" t="s">
        <v>56</v>
      </c>
      <c r="O135" s="86"/>
      <c r="P135" s="86"/>
      <c r="Q135" s="86"/>
      <c r="R135" s="86"/>
      <c r="S135" s="86"/>
      <c r="T135" s="86"/>
      <c r="U135" s="142" t="str">
        <f t="shared" si="52"/>
        <v/>
      </c>
      <c r="V135" s="88" t="s">
        <v>56</v>
      </c>
      <c r="W135" s="88" t="s">
        <v>56</v>
      </c>
      <c r="X135" s="88"/>
      <c r="Y135" s="88"/>
      <c r="Z135" s="88"/>
      <c r="AA135" s="88"/>
      <c r="AB135" s="88"/>
      <c r="AC135" s="88"/>
      <c r="AD135" s="142" t="str">
        <f t="shared" si="53"/>
        <v/>
      </c>
      <c r="AE135" s="88"/>
      <c r="AF135" s="88"/>
      <c r="AG135" s="88"/>
      <c r="AH135" s="88"/>
      <c r="AI135" s="88"/>
      <c r="AJ135" s="88"/>
      <c r="AK135" s="88"/>
      <c r="AL135" s="88"/>
      <c r="AM135" s="88">
        <v>40.672124084446352</v>
      </c>
      <c r="AN135" s="88">
        <v>116.05000000000001</v>
      </c>
      <c r="AO135" s="89" t="s">
        <v>56</v>
      </c>
      <c r="AP135" s="90" t="s">
        <v>56</v>
      </c>
      <c r="AQ135" s="146" t="str">
        <f t="shared" si="54"/>
        <v/>
      </c>
      <c r="AR135" s="146" t="str">
        <f t="shared" si="55"/>
        <v/>
      </c>
      <c r="AS135" s="147">
        <v>20</v>
      </c>
      <c r="AT135" s="148" t="s">
        <v>56</v>
      </c>
      <c r="AU135" s="149" t="s">
        <v>56</v>
      </c>
      <c r="AV135" s="146" t="str">
        <f t="shared" si="56"/>
        <v/>
      </c>
      <c r="AW135" s="146" t="str">
        <f t="shared" si="57"/>
        <v/>
      </c>
      <c r="AX135" s="138" t="str">
        <f t="shared" si="58"/>
        <v/>
      </c>
      <c r="AY135" s="95" t="s">
        <v>56</v>
      </c>
      <c r="AZ135" s="96">
        <v>61.019999999999996</v>
      </c>
      <c r="BA135" s="96"/>
      <c r="BB135" s="96">
        <v>85.5</v>
      </c>
      <c r="BC135" s="96"/>
      <c r="BD135" s="97">
        <v>116.05000000000001</v>
      </c>
      <c r="BE135" s="142">
        <f t="shared" si="59"/>
        <v>7534</v>
      </c>
      <c r="BF135" s="98">
        <v>115</v>
      </c>
      <c r="BG135" s="98">
        <v>1674</v>
      </c>
      <c r="BH135" s="98">
        <v>371</v>
      </c>
      <c r="BI135" s="98">
        <v>5374</v>
      </c>
      <c r="BJ135" s="98"/>
      <c r="BK135" s="98"/>
      <c r="BL135" s="98"/>
    </row>
    <row r="136" spans="1:64" outlineLevel="5" x14ac:dyDescent="0.3">
      <c r="A136" s="152">
        <f t="shared" si="45"/>
        <v>4</v>
      </c>
      <c r="B136" s="153">
        <f t="shared" si="44"/>
        <v>44303</v>
      </c>
      <c r="C136" s="138">
        <f t="shared" si="50"/>
        <v>38</v>
      </c>
      <c r="D136" s="84">
        <v>38</v>
      </c>
      <c r="E136" s="84">
        <v>38</v>
      </c>
      <c r="F136" s="84"/>
      <c r="G136" s="84"/>
      <c r="H136" s="84"/>
      <c r="I136" s="84"/>
      <c r="J136" s="84"/>
      <c r="K136" s="84"/>
      <c r="L136" s="140" t="str">
        <f t="shared" si="51"/>
        <v/>
      </c>
      <c r="M136" s="86"/>
      <c r="N136" s="86"/>
      <c r="O136" s="86"/>
      <c r="P136" s="86"/>
      <c r="Q136" s="86"/>
      <c r="R136" s="86"/>
      <c r="S136" s="86"/>
      <c r="T136" s="86"/>
      <c r="U136" s="142" t="str">
        <f t="shared" si="52"/>
        <v/>
      </c>
      <c r="V136" s="88"/>
      <c r="W136" s="88"/>
      <c r="X136" s="88"/>
      <c r="Y136" s="88"/>
      <c r="Z136" s="88"/>
      <c r="AA136" s="88"/>
      <c r="AB136" s="88"/>
      <c r="AC136" s="88"/>
      <c r="AD136" s="142" t="str">
        <f t="shared" si="53"/>
        <v/>
      </c>
      <c r="AE136" s="88"/>
      <c r="AF136" s="88"/>
      <c r="AG136" s="88"/>
      <c r="AH136" s="88"/>
      <c r="AI136" s="88"/>
      <c r="AJ136" s="88"/>
      <c r="AK136" s="88"/>
      <c r="AL136" s="88"/>
      <c r="AM136" s="88">
        <v>39.212428345933368</v>
      </c>
      <c r="AN136" s="88">
        <v>120.37</v>
      </c>
      <c r="AO136" s="89"/>
      <c r="AP136" s="90"/>
      <c r="AQ136" s="146" t="str">
        <f t="shared" si="54"/>
        <v/>
      </c>
      <c r="AR136" s="146" t="str">
        <f t="shared" si="55"/>
        <v/>
      </c>
      <c r="AS136" s="147">
        <v>10</v>
      </c>
      <c r="AT136" s="148" t="s">
        <v>56</v>
      </c>
      <c r="AU136" s="149" t="s">
        <v>56</v>
      </c>
      <c r="AV136" s="146" t="str">
        <f t="shared" si="56"/>
        <v/>
      </c>
      <c r="AW136" s="146" t="str">
        <f t="shared" si="57"/>
        <v/>
      </c>
      <c r="AX136" s="138" t="str">
        <f t="shared" si="58"/>
        <v/>
      </c>
      <c r="AY136" s="95" t="s">
        <v>56</v>
      </c>
      <c r="AZ136" s="96">
        <v>61.08</v>
      </c>
      <c r="BA136" s="96"/>
      <c r="BB136" s="96">
        <v>83.5</v>
      </c>
      <c r="BC136" s="96"/>
      <c r="BD136" s="97">
        <v>120.37</v>
      </c>
      <c r="BE136" s="142">
        <f t="shared" si="59"/>
        <v>7083</v>
      </c>
      <c r="BF136" s="98">
        <v>110</v>
      </c>
      <c r="BG136" s="98">
        <v>1504</v>
      </c>
      <c r="BH136" s="98">
        <v>184</v>
      </c>
      <c r="BI136" s="98">
        <v>5285</v>
      </c>
      <c r="BJ136" s="98"/>
      <c r="BK136" s="98"/>
      <c r="BL136" s="98"/>
    </row>
    <row r="137" spans="1:64" outlineLevel="5" x14ac:dyDescent="0.3">
      <c r="A137" s="152">
        <f t="shared" si="45"/>
        <v>4</v>
      </c>
      <c r="B137" s="153">
        <f t="shared" si="44"/>
        <v>44304</v>
      </c>
      <c r="C137" s="138">
        <f t="shared" si="50"/>
        <v>38</v>
      </c>
      <c r="D137" s="84">
        <v>38</v>
      </c>
      <c r="E137" s="84">
        <v>38</v>
      </c>
      <c r="F137" s="84"/>
      <c r="G137" s="84"/>
      <c r="H137" s="84"/>
      <c r="I137" s="84"/>
      <c r="J137" s="84"/>
      <c r="K137" s="84"/>
      <c r="L137" s="140" t="str">
        <f t="shared" si="51"/>
        <v/>
      </c>
      <c r="M137" s="86"/>
      <c r="N137" s="86"/>
      <c r="O137" s="86"/>
      <c r="P137" s="86"/>
      <c r="Q137" s="86"/>
      <c r="R137" s="86"/>
      <c r="S137" s="86"/>
      <c r="T137" s="86"/>
      <c r="U137" s="142" t="str">
        <f t="shared" si="52"/>
        <v/>
      </c>
      <c r="V137" s="88"/>
      <c r="W137" s="88"/>
      <c r="X137" s="88"/>
      <c r="Y137" s="88"/>
      <c r="Z137" s="88"/>
      <c r="AA137" s="88"/>
      <c r="AB137" s="88"/>
      <c r="AC137" s="88"/>
      <c r="AD137" s="142" t="str">
        <f t="shared" si="53"/>
        <v/>
      </c>
      <c r="AE137" s="88"/>
      <c r="AF137" s="88"/>
      <c r="AG137" s="88"/>
      <c r="AH137" s="88"/>
      <c r="AI137" s="88"/>
      <c r="AJ137" s="88"/>
      <c r="AK137" s="88"/>
      <c r="AL137" s="88"/>
      <c r="AM137" s="88">
        <v>47.2</v>
      </c>
      <c r="AN137" s="88">
        <v>100</v>
      </c>
      <c r="AO137" s="89"/>
      <c r="AP137" s="90"/>
      <c r="AQ137" s="146" t="str">
        <f t="shared" si="54"/>
        <v/>
      </c>
      <c r="AR137" s="146" t="str">
        <f t="shared" si="55"/>
        <v/>
      </c>
      <c r="AS137" s="147">
        <v>10</v>
      </c>
      <c r="AT137" s="148" t="s">
        <v>56</v>
      </c>
      <c r="AU137" s="149" t="s">
        <v>56</v>
      </c>
      <c r="AV137" s="146" t="str">
        <f t="shared" si="56"/>
        <v/>
      </c>
      <c r="AW137" s="146" t="str">
        <f t="shared" si="57"/>
        <v/>
      </c>
      <c r="AX137" s="138" t="str">
        <f t="shared" si="58"/>
        <v/>
      </c>
      <c r="AY137" s="95" t="s">
        <v>56</v>
      </c>
      <c r="AZ137" s="96">
        <v>60.594999999999999</v>
      </c>
      <c r="BA137" s="96"/>
      <c r="BB137" s="96">
        <v>76.5</v>
      </c>
      <c r="BC137" s="96"/>
      <c r="BD137" s="97">
        <v>100</v>
      </c>
      <c r="BE137" s="142">
        <f t="shared" si="59"/>
        <v>7499</v>
      </c>
      <c r="BF137" s="98">
        <v>100</v>
      </c>
      <c r="BG137" s="98">
        <v>1688</v>
      </c>
      <c r="BH137" s="98">
        <v>617</v>
      </c>
      <c r="BI137" s="98">
        <v>5094</v>
      </c>
      <c r="BJ137" s="98"/>
      <c r="BK137" s="98"/>
      <c r="BL137" s="98"/>
    </row>
    <row r="138" spans="1:64" outlineLevel="5" x14ac:dyDescent="0.3">
      <c r="A138" s="152">
        <f t="shared" si="45"/>
        <v>4</v>
      </c>
      <c r="B138" s="153">
        <f t="shared" si="44"/>
        <v>44305</v>
      </c>
      <c r="C138" s="138">
        <f t="shared" si="50"/>
        <v>38.5</v>
      </c>
      <c r="D138" s="84">
        <v>38</v>
      </c>
      <c r="E138" s="84">
        <v>39</v>
      </c>
      <c r="F138" s="84"/>
      <c r="G138" s="84"/>
      <c r="H138" s="84"/>
      <c r="I138" s="84"/>
      <c r="J138" s="84"/>
      <c r="K138" s="84"/>
      <c r="L138" s="140">
        <f t="shared" si="51"/>
        <v>7.7</v>
      </c>
      <c r="M138" s="86">
        <v>7.74</v>
      </c>
      <c r="N138" s="86">
        <v>7.61</v>
      </c>
      <c r="O138" s="86"/>
      <c r="P138" s="86"/>
      <c r="Q138" s="86"/>
      <c r="R138" s="86"/>
      <c r="S138" s="86"/>
      <c r="T138" s="86"/>
      <c r="U138" s="142">
        <f t="shared" si="52"/>
        <v>1600</v>
      </c>
      <c r="V138" s="88">
        <v>1680</v>
      </c>
      <c r="W138" s="88">
        <v>1520</v>
      </c>
      <c r="X138" s="88"/>
      <c r="Y138" s="88"/>
      <c r="Z138" s="88"/>
      <c r="AA138" s="88"/>
      <c r="AB138" s="88"/>
      <c r="AC138" s="88"/>
      <c r="AD138" s="142" t="str">
        <f t="shared" si="53"/>
        <v/>
      </c>
      <c r="AE138" s="88"/>
      <c r="AF138" s="88"/>
      <c r="AG138" s="88"/>
      <c r="AH138" s="88"/>
      <c r="AI138" s="88"/>
      <c r="AJ138" s="88"/>
      <c r="AK138" s="88"/>
      <c r="AL138" s="88"/>
      <c r="AM138" s="88">
        <v>44.444444444444443</v>
      </c>
      <c r="AN138" s="88">
        <v>106.2</v>
      </c>
      <c r="AO138" s="89">
        <v>21.3</v>
      </c>
      <c r="AP138" s="90">
        <v>16.3371</v>
      </c>
      <c r="AQ138" s="146">
        <f t="shared" si="54"/>
        <v>76.699999999999989</v>
      </c>
      <c r="AR138" s="146">
        <f t="shared" si="55"/>
        <v>23.300000000000011</v>
      </c>
      <c r="AS138" s="147">
        <v>20</v>
      </c>
      <c r="AT138" s="148">
        <v>16.600000000000001</v>
      </c>
      <c r="AU138" s="149">
        <v>8.5500000000000007</v>
      </c>
      <c r="AV138" s="146">
        <f t="shared" si="56"/>
        <v>51.506024096385538</v>
      </c>
      <c r="AW138" s="146">
        <f t="shared" si="57"/>
        <v>48.493975903614462</v>
      </c>
      <c r="AX138" s="138">
        <f t="shared" si="58"/>
        <v>67.735065229538321</v>
      </c>
      <c r="AY138" s="95">
        <v>74</v>
      </c>
      <c r="AZ138" s="96">
        <v>61.129999999999995</v>
      </c>
      <c r="BA138" s="96"/>
      <c r="BB138" s="96">
        <v>109.5</v>
      </c>
      <c r="BC138" s="96"/>
      <c r="BD138" s="97">
        <v>106.2</v>
      </c>
      <c r="BE138" s="142">
        <f t="shared" si="59"/>
        <v>6073</v>
      </c>
      <c r="BF138" s="98">
        <v>101</v>
      </c>
      <c r="BG138" s="98">
        <v>850</v>
      </c>
      <c r="BH138" s="98">
        <v>0</v>
      </c>
      <c r="BI138" s="98">
        <v>5122</v>
      </c>
      <c r="BJ138" s="98"/>
      <c r="BK138" s="98"/>
      <c r="BL138" s="98"/>
    </row>
    <row r="139" spans="1:64" outlineLevel="5" x14ac:dyDescent="0.3">
      <c r="A139" s="152">
        <f t="shared" si="45"/>
        <v>4</v>
      </c>
      <c r="B139" s="153">
        <f t="shared" si="44"/>
        <v>44306</v>
      </c>
      <c r="C139" s="138">
        <f t="shared" si="50"/>
        <v>38</v>
      </c>
      <c r="D139" s="84">
        <v>38</v>
      </c>
      <c r="E139" s="84">
        <v>38</v>
      </c>
      <c r="F139" s="84"/>
      <c r="G139" s="84"/>
      <c r="H139" s="84"/>
      <c r="I139" s="84"/>
      <c r="J139" s="84"/>
      <c r="K139" s="84"/>
      <c r="L139" s="140" t="str">
        <f t="shared" si="51"/>
        <v/>
      </c>
      <c r="M139" s="86" t="s">
        <v>56</v>
      </c>
      <c r="N139" s="86" t="s">
        <v>56</v>
      </c>
      <c r="O139" s="86"/>
      <c r="P139" s="86"/>
      <c r="Q139" s="86"/>
      <c r="R139" s="86"/>
      <c r="S139" s="86"/>
      <c r="T139" s="86"/>
      <c r="U139" s="142" t="str">
        <f t="shared" si="52"/>
        <v/>
      </c>
      <c r="V139" s="88" t="s">
        <v>56</v>
      </c>
      <c r="W139" s="88" t="s">
        <v>56</v>
      </c>
      <c r="X139" s="88"/>
      <c r="Y139" s="88"/>
      <c r="Z139" s="88"/>
      <c r="AA139" s="88"/>
      <c r="AB139" s="88"/>
      <c r="AC139" s="88"/>
      <c r="AD139" s="142" t="str">
        <f t="shared" si="53"/>
        <v/>
      </c>
      <c r="AE139" s="88"/>
      <c r="AF139" s="88"/>
      <c r="AG139" s="88"/>
      <c r="AH139" s="88"/>
      <c r="AI139" s="88"/>
      <c r="AJ139" s="88"/>
      <c r="AK139" s="88"/>
      <c r="AL139" s="88"/>
      <c r="AM139" s="88">
        <v>39.33988998166361</v>
      </c>
      <c r="AN139" s="88">
        <v>119.98</v>
      </c>
      <c r="AO139" s="89" t="s">
        <v>56</v>
      </c>
      <c r="AP139" s="90" t="s">
        <v>56</v>
      </c>
      <c r="AQ139" s="146" t="str">
        <f t="shared" si="54"/>
        <v/>
      </c>
      <c r="AR139" s="146" t="str">
        <f t="shared" si="55"/>
        <v/>
      </c>
      <c r="AS139" s="147">
        <v>0</v>
      </c>
      <c r="AT139" s="148" t="s">
        <v>56</v>
      </c>
      <c r="AU139" s="149" t="s">
        <v>56</v>
      </c>
      <c r="AV139" s="146" t="str">
        <f t="shared" si="56"/>
        <v/>
      </c>
      <c r="AW139" s="146" t="str">
        <f t="shared" si="57"/>
        <v/>
      </c>
      <c r="AX139" s="138" t="str">
        <f t="shared" si="58"/>
        <v/>
      </c>
      <c r="AY139" s="95" t="s">
        <v>56</v>
      </c>
      <c r="AZ139" s="96">
        <v>58.46</v>
      </c>
      <c r="BA139" s="96"/>
      <c r="BB139" s="96">
        <v>137</v>
      </c>
      <c r="BC139" s="96"/>
      <c r="BD139" s="97">
        <v>119.98</v>
      </c>
      <c r="BE139" s="142">
        <f t="shared" si="59"/>
        <v>5755</v>
      </c>
      <c r="BF139" s="98">
        <v>100</v>
      </c>
      <c r="BG139" s="98">
        <v>341</v>
      </c>
      <c r="BH139" s="98">
        <v>0</v>
      </c>
      <c r="BI139" s="98">
        <v>5314</v>
      </c>
      <c r="BJ139" s="98"/>
      <c r="BK139" s="98"/>
      <c r="BL139" s="98"/>
    </row>
    <row r="140" spans="1:64" outlineLevel="5" x14ac:dyDescent="0.3">
      <c r="A140" s="152">
        <f t="shared" si="45"/>
        <v>4</v>
      </c>
      <c r="B140" s="153">
        <f t="shared" si="44"/>
        <v>44307</v>
      </c>
      <c r="C140" s="138">
        <f t="shared" si="50"/>
        <v>38</v>
      </c>
      <c r="D140" s="84">
        <v>38</v>
      </c>
      <c r="E140" s="84">
        <v>38</v>
      </c>
      <c r="F140" s="84"/>
      <c r="G140" s="84"/>
      <c r="H140" s="84"/>
      <c r="I140" s="84"/>
      <c r="J140" s="84"/>
      <c r="K140" s="84"/>
      <c r="L140" s="140">
        <f t="shared" si="51"/>
        <v>7.7</v>
      </c>
      <c r="M140" s="86">
        <v>7.73</v>
      </c>
      <c r="N140" s="86">
        <v>7.61</v>
      </c>
      <c r="O140" s="86"/>
      <c r="P140" s="86"/>
      <c r="Q140" s="86"/>
      <c r="R140" s="86"/>
      <c r="S140" s="86"/>
      <c r="T140" s="86"/>
      <c r="U140" s="142">
        <f t="shared" si="52"/>
        <v>1625</v>
      </c>
      <c r="V140" s="88">
        <v>1700</v>
      </c>
      <c r="W140" s="88">
        <v>1550</v>
      </c>
      <c r="X140" s="88"/>
      <c r="Y140" s="88"/>
      <c r="Z140" s="88"/>
      <c r="AA140" s="88"/>
      <c r="AB140" s="88"/>
      <c r="AC140" s="88"/>
      <c r="AD140" s="142" t="str">
        <f t="shared" si="53"/>
        <v/>
      </c>
      <c r="AE140" s="88"/>
      <c r="AF140" s="88"/>
      <c r="AG140" s="88"/>
      <c r="AH140" s="88"/>
      <c r="AI140" s="88"/>
      <c r="AJ140" s="88"/>
      <c r="AK140" s="88"/>
      <c r="AL140" s="88"/>
      <c r="AM140" s="88">
        <v>36.794512004989087</v>
      </c>
      <c r="AN140" s="88">
        <v>128.28</v>
      </c>
      <c r="AO140" s="89" t="s">
        <v>56</v>
      </c>
      <c r="AP140" s="90" t="s">
        <v>56</v>
      </c>
      <c r="AQ140" s="146" t="str">
        <f t="shared" si="54"/>
        <v/>
      </c>
      <c r="AR140" s="146" t="str">
        <f t="shared" si="55"/>
        <v/>
      </c>
      <c r="AS140" s="147">
        <v>20</v>
      </c>
      <c r="AT140" s="148">
        <v>16.399999999999999</v>
      </c>
      <c r="AU140" s="149">
        <v>9.6999999999999993</v>
      </c>
      <c r="AV140" s="146">
        <f t="shared" si="56"/>
        <v>59.146341463414629</v>
      </c>
      <c r="AW140" s="146">
        <f t="shared" si="57"/>
        <v>40.853658536585371</v>
      </c>
      <c r="AX140" s="138" t="str">
        <f t="shared" si="58"/>
        <v/>
      </c>
      <c r="AY140" s="95">
        <v>72.150000000000006</v>
      </c>
      <c r="AZ140" s="96">
        <v>62.89</v>
      </c>
      <c r="BA140" s="96"/>
      <c r="BB140" s="96">
        <v>138</v>
      </c>
      <c r="BC140" s="96"/>
      <c r="BD140" s="97">
        <v>128.28</v>
      </c>
      <c r="BE140" s="142">
        <f t="shared" si="59"/>
        <v>6767</v>
      </c>
      <c r="BF140" s="98">
        <v>100</v>
      </c>
      <c r="BG140" s="98">
        <v>1481</v>
      </c>
      <c r="BH140" s="98">
        <v>71</v>
      </c>
      <c r="BI140" s="98">
        <v>5115</v>
      </c>
      <c r="BJ140" s="98"/>
      <c r="BK140" s="98"/>
      <c r="BL140" s="98"/>
    </row>
    <row r="141" spans="1:64" outlineLevel="5" x14ac:dyDescent="0.3">
      <c r="A141" s="152">
        <f t="shared" si="45"/>
        <v>4</v>
      </c>
      <c r="B141" s="153">
        <f t="shared" si="44"/>
        <v>44308</v>
      </c>
      <c r="C141" s="138">
        <f t="shared" si="50"/>
        <v>38.5</v>
      </c>
      <c r="D141" s="84">
        <v>38</v>
      </c>
      <c r="E141" s="84">
        <v>39</v>
      </c>
      <c r="F141" s="84"/>
      <c r="G141" s="84"/>
      <c r="H141" s="84"/>
      <c r="I141" s="84"/>
      <c r="J141" s="84"/>
      <c r="K141" s="84"/>
      <c r="L141" s="140">
        <f t="shared" si="51"/>
        <v>7.7</v>
      </c>
      <c r="M141" s="86">
        <v>7.76</v>
      </c>
      <c r="N141" s="86">
        <v>7.62</v>
      </c>
      <c r="O141" s="86"/>
      <c r="P141" s="86"/>
      <c r="Q141" s="86"/>
      <c r="R141" s="86"/>
      <c r="S141" s="86"/>
      <c r="T141" s="86"/>
      <c r="U141" s="142">
        <f t="shared" si="52"/>
        <v>1700</v>
      </c>
      <c r="V141" s="88">
        <v>1850</v>
      </c>
      <c r="W141" s="88">
        <v>1550</v>
      </c>
      <c r="X141" s="88"/>
      <c r="Y141" s="88"/>
      <c r="Z141" s="88"/>
      <c r="AA141" s="88"/>
      <c r="AB141" s="88"/>
      <c r="AC141" s="88"/>
      <c r="AD141" s="142" t="str">
        <f t="shared" si="53"/>
        <v/>
      </c>
      <c r="AE141" s="88"/>
      <c r="AF141" s="88"/>
      <c r="AG141" s="88"/>
      <c r="AH141" s="88"/>
      <c r="AI141" s="88"/>
      <c r="AJ141" s="88"/>
      <c r="AK141" s="88"/>
      <c r="AL141" s="88"/>
      <c r="AM141" s="88">
        <v>36.765851378719425</v>
      </c>
      <c r="AN141" s="88">
        <v>128.38</v>
      </c>
      <c r="AO141" s="89" t="s">
        <v>56</v>
      </c>
      <c r="AP141" s="90" t="s">
        <v>56</v>
      </c>
      <c r="AQ141" s="146" t="str">
        <f t="shared" si="54"/>
        <v/>
      </c>
      <c r="AR141" s="146" t="str">
        <f t="shared" si="55"/>
        <v/>
      </c>
      <c r="AS141" s="147">
        <v>20</v>
      </c>
      <c r="AT141" s="148">
        <v>19.850000000000001</v>
      </c>
      <c r="AU141" s="149">
        <v>12.100000000000001</v>
      </c>
      <c r="AV141" s="146">
        <f t="shared" si="56"/>
        <v>60.957178841309826</v>
      </c>
      <c r="AW141" s="146">
        <f t="shared" si="57"/>
        <v>39.042821158690174</v>
      </c>
      <c r="AX141" s="138" t="str">
        <f t="shared" si="58"/>
        <v/>
      </c>
      <c r="AY141" s="95">
        <v>75.550000000000011</v>
      </c>
      <c r="AZ141" s="96">
        <v>60.46</v>
      </c>
      <c r="BA141" s="96"/>
      <c r="BB141" s="96">
        <v>185.5</v>
      </c>
      <c r="BC141" s="96"/>
      <c r="BD141" s="97">
        <v>128.38</v>
      </c>
      <c r="BE141" s="142">
        <f t="shared" si="59"/>
        <v>6230</v>
      </c>
      <c r="BF141" s="98">
        <v>100</v>
      </c>
      <c r="BG141" s="98">
        <v>1009</v>
      </c>
      <c r="BH141" s="98">
        <v>14</v>
      </c>
      <c r="BI141" s="98">
        <v>5107</v>
      </c>
      <c r="BJ141" s="98"/>
      <c r="BK141" s="98"/>
      <c r="BL141" s="98"/>
    </row>
    <row r="142" spans="1:64" outlineLevel="5" x14ac:dyDescent="0.3">
      <c r="A142" s="152">
        <f t="shared" si="45"/>
        <v>4</v>
      </c>
      <c r="B142" s="153">
        <f t="shared" si="44"/>
        <v>44309</v>
      </c>
      <c r="C142" s="138">
        <f t="shared" si="50"/>
        <v>38.5</v>
      </c>
      <c r="D142" s="84">
        <v>38</v>
      </c>
      <c r="E142" s="84">
        <v>39</v>
      </c>
      <c r="F142" s="84"/>
      <c r="G142" s="84"/>
      <c r="H142" s="84"/>
      <c r="I142" s="84"/>
      <c r="J142" s="84"/>
      <c r="K142" s="84"/>
      <c r="L142" s="140" t="str">
        <f t="shared" si="51"/>
        <v/>
      </c>
      <c r="M142" s="86" t="s">
        <v>56</v>
      </c>
      <c r="N142" s="86" t="s">
        <v>56</v>
      </c>
      <c r="O142" s="86"/>
      <c r="P142" s="86"/>
      <c r="Q142" s="86"/>
      <c r="R142" s="86"/>
      <c r="S142" s="86"/>
      <c r="T142" s="86"/>
      <c r="U142" s="142" t="str">
        <f t="shared" si="52"/>
        <v/>
      </c>
      <c r="V142" s="88" t="s">
        <v>56</v>
      </c>
      <c r="W142" s="88" t="s">
        <v>56</v>
      </c>
      <c r="X142" s="88"/>
      <c r="Y142" s="88"/>
      <c r="Z142" s="88"/>
      <c r="AA142" s="88"/>
      <c r="AB142" s="88"/>
      <c r="AC142" s="88"/>
      <c r="AD142" s="142" t="str">
        <f t="shared" si="53"/>
        <v/>
      </c>
      <c r="AE142" s="88"/>
      <c r="AF142" s="88"/>
      <c r="AG142" s="88"/>
      <c r="AH142" s="88"/>
      <c r="AI142" s="88"/>
      <c r="AJ142" s="88"/>
      <c r="AK142" s="88"/>
      <c r="AL142" s="88"/>
      <c r="AM142" s="88">
        <v>36.052551176290869</v>
      </c>
      <c r="AN142" s="88">
        <v>130.91999999999999</v>
      </c>
      <c r="AO142" s="89" t="s">
        <v>56</v>
      </c>
      <c r="AP142" s="90" t="s">
        <v>56</v>
      </c>
      <c r="AQ142" s="146" t="str">
        <f t="shared" si="54"/>
        <v/>
      </c>
      <c r="AR142" s="146" t="str">
        <f t="shared" si="55"/>
        <v/>
      </c>
      <c r="AS142" s="147">
        <v>22</v>
      </c>
      <c r="AT142" s="148" t="s">
        <v>56</v>
      </c>
      <c r="AU142" s="149" t="s">
        <v>56</v>
      </c>
      <c r="AV142" s="146" t="str">
        <f t="shared" si="56"/>
        <v/>
      </c>
      <c r="AW142" s="146" t="str">
        <f t="shared" si="57"/>
        <v/>
      </c>
      <c r="AX142" s="138" t="str">
        <f t="shared" si="58"/>
        <v/>
      </c>
      <c r="AY142" s="95" t="s">
        <v>56</v>
      </c>
      <c r="AZ142" s="96">
        <v>61.81</v>
      </c>
      <c r="BA142" s="96"/>
      <c r="BB142" s="96">
        <v>118</v>
      </c>
      <c r="BC142" s="96"/>
      <c r="BD142" s="97">
        <v>130.91999999999999</v>
      </c>
      <c r="BE142" s="142">
        <f t="shared" si="59"/>
        <v>5296</v>
      </c>
      <c r="BF142" s="98">
        <v>100</v>
      </c>
      <c r="BG142" s="98">
        <v>0</v>
      </c>
      <c r="BH142" s="98">
        <v>10</v>
      </c>
      <c r="BI142" s="98">
        <v>5186</v>
      </c>
      <c r="BJ142" s="98"/>
      <c r="BK142" s="98"/>
      <c r="BL142" s="98"/>
    </row>
    <row r="143" spans="1:64" outlineLevel="5" x14ac:dyDescent="0.3">
      <c r="A143" s="152">
        <f t="shared" si="45"/>
        <v>4</v>
      </c>
      <c r="B143" s="153">
        <f t="shared" si="44"/>
        <v>44310</v>
      </c>
      <c r="C143" s="138">
        <f t="shared" si="50"/>
        <v>38.5</v>
      </c>
      <c r="D143" s="84">
        <v>38</v>
      </c>
      <c r="E143" s="84">
        <v>39</v>
      </c>
      <c r="F143" s="84"/>
      <c r="G143" s="84"/>
      <c r="H143" s="84"/>
      <c r="I143" s="84"/>
      <c r="J143" s="84"/>
      <c r="K143" s="84"/>
      <c r="L143" s="140" t="str">
        <f t="shared" si="51"/>
        <v/>
      </c>
      <c r="M143" s="86"/>
      <c r="N143" s="86"/>
      <c r="O143" s="86"/>
      <c r="P143" s="86"/>
      <c r="Q143" s="86"/>
      <c r="R143" s="86"/>
      <c r="S143" s="86"/>
      <c r="T143" s="86"/>
      <c r="U143" s="142" t="str">
        <f t="shared" si="52"/>
        <v/>
      </c>
      <c r="V143" s="88"/>
      <c r="W143" s="88"/>
      <c r="X143" s="88"/>
      <c r="Y143" s="88"/>
      <c r="Z143" s="88"/>
      <c r="AA143" s="88"/>
      <c r="AB143" s="88"/>
      <c r="AC143" s="88"/>
      <c r="AD143" s="142" t="str">
        <f t="shared" si="53"/>
        <v/>
      </c>
      <c r="AE143" s="88"/>
      <c r="AF143" s="88"/>
      <c r="AG143" s="88"/>
      <c r="AH143" s="88"/>
      <c r="AI143" s="88"/>
      <c r="AJ143" s="88"/>
      <c r="AK143" s="88"/>
      <c r="AL143" s="88"/>
      <c r="AM143" s="88">
        <v>34.921574430304815</v>
      </c>
      <c r="AN143" s="88">
        <v>135.16000000000003</v>
      </c>
      <c r="AO143" s="89"/>
      <c r="AP143" s="90"/>
      <c r="AQ143" s="146" t="str">
        <f t="shared" si="54"/>
        <v/>
      </c>
      <c r="AR143" s="146" t="str">
        <f t="shared" si="55"/>
        <v/>
      </c>
      <c r="AS143" s="147">
        <v>10</v>
      </c>
      <c r="AT143" s="148" t="s">
        <v>56</v>
      </c>
      <c r="AU143" s="149" t="s">
        <v>56</v>
      </c>
      <c r="AV143" s="146" t="str">
        <f t="shared" si="56"/>
        <v/>
      </c>
      <c r="AW143" s="146" t="str">
        <f t="shared" si="57"/>
        <v/>
      </c>
      <c r="AX143" s="138" t="str">
        <f t="shared" si="58"/>
        <v/>
      </c>
      <c r="AY143" s="95" t="s">
        <v>56</v>
      </c>
      <c r="AZ143" s="96">
        <v>61.4</v>
      </c>
      <c r="BA143" s="96"/>
      <c r="BB143" s="96">
        <v>119.5</v>
      </c>
      <c r="BC143" s="96"/>
      <c r="BD143" s="97">
        <v>135.16000000000003</v>
      </c>
      <c r="BE143" s="142">
        <f t="shared" si="59"/>
        <v>6311</v>
      </c>
      <c r="BF143" s="98">
        <v>100</v>
      </c>
      <c r="BG143" s="98">
        <v>0</v>
      </c>
      <c r="BH143" s="98">
        <v>990</v>
      </c>
      <c r="BI143" s="98">
        <v>5221</v>
      </c>
      <c r="BJ143" s="98"/>
      <c r="BK143" s="98"/>
      <c r="BL143" s="98"/>
    </row>
    <row r="144" spans="1:64" outlineLevel="5" x14ac:dyDescent="0.3">
      <c r="A144" s="152">
        <f t="shared" si="45"/>
        <v>4</v>
      </c>
      <c r="B144" s="153">
        <f t="shared" si="44"/>
        <v>44311</v>
      </c>
      <c r="C144" s="138">
        <f t="shared" si="50"/>
        <v>38.5</v>
      </c>
      <c r="D144" s="84">
        <v>38</v>
      </c>
      <c r="E144" s="84">
        <v>39</v>
      </c>
      <c r="F144" s="84"/>
      <c r="G144" s="84"/>
      <c r="H144" s="84"/>
      <c r="I144" s="84"/>
      <c r="J144" s="84"/>
      <c r="K144" s="84"/>
      <c r="L144" s="140" t="str">
        <f t="shared" si="51"/>
        <v/>
      </c>
      <c r="M144" s="86"/>
      <c r="N144" s="86"/>
      <c r="O144" s="86"/>
      <c r="P144" s="86"/>
      <c r="Q144" s="86"/>
      <c r="R144" s="86"/>
      <c r="S144" s="86"/>
      <c r="T144" s="86"/>
      <c r="U144" s="142" t="str">
        <f t="shared" si="52"/>
        <v/>
      </c>
      <c r="V144" s="88"/>
      <c r="W144" s="88"/>
      <c r="X144" s="88"/>
      <c r="Y144" s="88"/>
      <c r="Z144" s="88"/>
      <c r="AA144" s="88"/>
      <c r="AB144" s="88"/>
      <c r="AC144" s="88"/>
      <c r="AD144" s="142" t="str">
        <f t="shared" si="53"/>
        <v/>
      </c>
      <c r="AE144" s="88"/>
      <c r="AF144" s="88"/>
      <c r="AG144" s="88"/>
      <c r="AH144" s="88"/>
      <c r="AI144" s="88"/>
      <c r="AJ144" s="88"/>
      <c r="AK144" s="88"/>
      <c r="AL144" s="88"/>
      <c r="AM144" s="88">
        <v>49.684210526315788</v>
      </c>
      <c r="AN144" s="88">
        <v>95</v>
      </c>
      <c r="AO144" s="89"/>
      <c r="AP144" s="90"/>
      <c r="AQ144" s="146" t="str">
        <f t="shared" si="54"/>
        <v/>
      </c>
      <c r="AR144" s="146" t="str">
        <f t="shared" si="55"/>
        <v/>
      </c>
      <c r="AS144" s="147">
        <v>10</v>
      </c>
      <c r="AT144" s="148" t="s">
        <v>56</v>
      </c>
      <c r="AU144" s="149" t="s">
        <v>56</v>
      </c>
      <c r="AV144" s="146" t="str">
        <f t="shared" si="56"/>
        <v/>
      </c>
      <c r="AW144" s="146" t="str">
        <f t="shared" si="57"/>
        <v/>
      </c>
      <c r="AX144" s="138" t="str">
        <f t="shared" si="58"/>
        <v/>
      </c>
      <c r="AY144" s="95" t="s">
        <v>56</v>
      </c>
      <c r="AZ144" s="96">
        <v>61.835000000000001</v>
      </c>
      <c r="BA144" s="96"/>
      <c r="BB144" s="96">
        <v>108</v>
      </c>
      <c r="BC144" s="96"/>
      <c r="BD144" s="97">
        <v>95</v>
      </c>
      <c r="BE144" s="142">
        <f t="shared" si="59"/>
        <v>6882</v>
      </c>
      <c r="BF144" s="98">
        <v>100</v>
      </c>
      <c r="BG144" s="98">
        <v>0</v>
      </c>
      <c r="BH144" s="98">
        <v>1631</v>
      </c>
      <c r="BI144" s="98">
        <v>5151</v>
      </c>
      <c r="BJ144" s="98"/>
      <c r="BK144" s="98"/>
      <c r="BL144" s="98"/>
    </row>
    <row r="145" spans="1:64" outlineLevel="5" x14ac:dyDescent="0.3">
      <c r="A145" s="152">
        <f t="shared" si="45"/>
        <v>4</v>
      </c>
      <c r="B145" s="153">
        <f t="shared" si="44"/>
        <v>44312</v>
      </c>
      <c r="C145" s="138">
        <f t="shared" si="50"/>
        <v>38.5</v>
      </c>
      <c r="D145" s="84">
        <v>38</v>
      </c>
      <c r="E145" s="84">
        <v>39</v>
      </c>
      <c r="F145" s="84"/>
      <c r="G145" s="84"/>
      <c r="H145" s="84"/>
      <c r="I145" s="84"/>
      <c r="J145" s="84"/>
      <c r="K145" s="84"/>
      <c r="L145" s="140" t="str">
        <f t="shared" si="51"/>
        <v/>
      </c>
      <c r="M145" s="86" t="s">
        <v>56</v>
      </c>
      <c r="N145" s="86" t="s">
        <v>56</v>
      </c>
      <c r="O145" s="86"/>
      <c r="P145" s="86"/>
      <c r="Q145" s="86"/>
      <c r="R145" s="86"/>
      <c r="S145" s="86"/>
      <c r="T145" s="86"/>
      <c r="U145" s="142" t="str">
        <f t="shared" si="52"/>
        <v/>
      </c>
      <c r="V145" s="88" t="s">
        <v>56</v>
      </c>
      <c r="W145" s="88" t="s">
        <v>56</v>
      </c>
      <c r="X145" s="88"/>
      <c r="Y145" s="88"/>
      <c r="Z145" s="88"/>
      <c r="AA145" s="88"/>
      <c r="AB145" s="88"/>
      <c r="AC145" s="88"/>
      <c r="AD145" s="142" t="str">
        <f t="shared" si="53"/>
        <v/>
      </c>
      <c r="AE145" s="88"/>
      <c r="AF145" s="88"/>
      <c r="AG145" s="88"/>
      <c r="AH145" s="88"/>
      <c r="AI145" s="88"/>
      <c r="AJ145" s="88"/>
      <c r="AK145" s="88"/>
      <c r="AL145" s="88"/>
      <c r="AM145" s="88">
        <v>39.643877036788176</v>
      </c>
      <c r="AN145" s="88">
        <v>119.06</v>
      </c>
      <c r="AO145" s="89" t="s">
        <v>56</v>
      </c>
      <c r="AP145" s="90"/>
      <c r="AQ145" s="146" t="str">
        <f t="shared" si="54"/>
        <v/>
      </c>
      <c r="AR145" s="146" t="str">
        <f t="shared" si="55"/>
        <v/>
      </c>
      <c r="AS145" s="147">
        <v>24</v>
      </c>
      <c r="AT145" s="148" t="s">
        <v>56</v>
      </c>
      <c r="AU145" s="149" t="s">
        <v>56</v>
      </c>
      <c r="AV145" s="146" t="str">
        <f t="shared" si="56"/>
        <v/>
      </c>
      <c r="AW145" s="146" t="str">
        <f t="shared" si="57"/>
        <v/>
      </c>
      <c r="AX145" s="138" t="str">
        <f t="shared" si="58"/>
        <v/>
      </c>
      <c r="AY145" s="95" t="s">
        <v>56</v>
      </c>
      <c r="AZ145" s="96">
        <v>61.144999999999996</v>
      </c>
      <c r="BA145" s="96"/>
      <c r="BB145" s="96">
        <v>140.5</v>
      </c>
      <c r="BC145" s="96"/>
      <c r="BD145" s="97">
        <v>119.06</v>
      </c>
      <c r="BE145" s="142">
        <f t="shared" si="59"/>
        <v>7056</v>
      </c>
      <c r="BF145" s="98">
        <v>100</v>
      </c>
      <c r="BG145" s="98">
        <v>0</v>
      </c>
      <c r="BH145" s="98">
        <v>1753</v>
      </c>
      <c r="BI145" s="98">
        <v>5203</v>
      </c>
      <c r="BJ145" s="98"/>
      <c r="BK145" s="98"/>
      <c r="BL145" s="98"/>
    </row>
    <row r="146" spans="1:64" outlineLevel="5" x14ac:dyDescent="0.3">
      <c r="A146" s="152">
        <f t="shared" si="45"/>
        <v>4</v>
      </c>
      <c r="B146" s="153">
        <f t="shared" si="44"/>
        <v>44313</v>
      </c>
      <c r="C146" s="138">
        <f t="shared" si="50"/>
        <v>38.5</v>
      </c>
      <c r="D146" s="84">
        <v>38</v>
      </c>
      <c r="E146" s="84">
        <v>39</v>
      </c>
      <c r="F146" s="84"/>
      <c r="G146" s="84"/>
      <c r="H146" s="84"/>
      <c r="I146" s="84"/>
      <c r="J146" s="84"/>
      <c r="K146" s="84"/>
      <c r="L146" s="140" t="str">
        <f t="shared" si="51"/>
        <v/>
      </c>
      <c r="M146" s="86" t="s">
        <v>56</v>
      </c>
      <c r="N146" s="86" t="s">
        <v>56</v>
      </c>
      <c r="O146" s="86"/>
      <c r="P146" s="86"/>
      <c r="Q146" s="86"/>
      <c r="R146" s="86"/>
      <c r="S146" s="86"/>
      <c r="T146" s="86"/>
      <c r="U146" s="142" t="str">
        <f t="shared" si="52"/>
        <v/>
      </c>
      <c r="V146" s="88" t="s">
        <v>56</v>
      </c>
      <c r="W146" s="88" t="s">
        <v>56</v>
      </c>
      <c r="X146" s="88"/>
      <c r="Y146" s="88"/>
      <c r="Z146" s="88"/>
      <c r="AA146" s="88"/>
      <c r="AB146" s="88"/>
      <c r="AC146" s="88"/>
      <c r="AD146" s="142" t="str">
        <f t="shared" si="53"/>
        <v/>
      </c>
      <c r="AE146" s="88"/>
      <c r="AF146" s="88"/>
      <c r="AG146" s="88"/>
      <c r="AH146" s="88"/>
      <c r="AI146" s="88"/>
      <c r="AJ146" s="88"/>
      <c r="AK146" s="88"/>
      <c r="AL146" s="88"/>
      <c r="AM146" s="88">
        <v>43.69156715727113</v>
      </c>
      <c r="AN146" s="88">
        <v>108.03</v>
      </c>
      <c r="AO146" s="89" t="s">
        <v>56</v>
      </c>
      <c r="AP146" s="90" t="s">
        <v>56</v>
      </c>
      <c r="AQ146" s="146" t="str">
        <f t="shared" si="54"/>
        <v/>
      </c>
      <c r="AR146" s="146" t="str">
        <f t="shared" si="55"/>
        <v/>
      </c>
      <c r="AS146" s="147">
        <v>20</v>
      </c>
      <c r="AT146" s="148" t="s">
        <v>56</v>
      </c>
      <c r="AU146" s="149" t="s">
        <v>56</v>
      </c>
      <c r="AV146" s="146" t="str">
        <f t="shared" si="56"/>
        <v/>
      </c>
      <c r="AW146" s="146" t="str">
        <f t="shared" si="57"/>
        <v/>
      </c>
      <c r="AX146" s="138" t="str">
        <f t="shared" si="58"/>
        <v/>
      </c>
      <c r="AY146" s="95" t="s">
        <v>56</v>
      </c>
      <c r="AZ146" s="96">
        <v>60.564999999999998</v>
      </c>
      <c r="BA146" s="96"/>
      <c r="BB146" s="96">
        <v>118</v>
      </c>
      <c r="BC146" s="96"/>
      <c r="BD146" s="97">
        <v>108.03</v>
      </c>
      <c r="BE146" s="142">
        <f t="shared" si="59"/>
        <v>5550</v>
      </c>
      <c r="BF146" s="98">
        <v>100</v>
      </c>
      <c r="BG146" s="98">
        <v>0</v>
      </c>
      <c r="BH146" s="98">
        <v>143</v>
      </c>
      <c r="BI146" s="98">
        <v>5307</v>
      </c>
      <c r="BJ146" s="98"/>
      <c r="BK146" s="98"/>
      <c r="BL146" s="98"/>
    </row>
    <row r="147" spans="1:64" outlineLevel="5" x14ac:dyDescent="0.3">
      <c r="A147" s="152">
        <f t="shared" si="45"/>
        <v>4</v>
      </c>
      <c r="B147" s="153">
        <f t="shared" si="44"/>
        <v>44314</v>
      </c>
      <c r="C147" s="138">
        <f t="shared" si="50"/>
        <v>38.5</v>
      </c>
      <c r="D147" s="84">
        <v>38</v>
      </c>
      <c r="E147" s="84">
        <v>39</v>
      </c>
      <c r="F147" s="84"/>
      <c r="G147" s="84"/>
      <c r="H147" s="84"/>
      <c r="I147" s="84"/>
      <c r="J147" s="84"/>
      <c r="K147" s="84"/>
      <c r="L147" s="140">
        <f t="shared" si="51"/>
        <v>7.7</v>
      </c>
      <c r="M147" s="86">
        <v>7.75</v>
      </c>
      <c r="N147" s="86">
        <v>7.64</v>
      </c>
      <c r="O147" s="86"/>
      <c r="P147" s="86"/>
      <c r="Q147" s="86"/>
      <c r="R147" s="86"/>
      <c r="S147" s="86"/>
      <c r="T147" s="86"/>
      <c r="U147" s="142">
        <f t="shared" si="52"/>
        <v>1700</v>
      </c>
      <c r="V147" s="88">
        <v>1800</v>
      </c>
      <c r="W147" s="88">
        <v>1600</v>
      </c>
      <c r="X147" s="88"/>
      <c r="Y147" s="88"/>
      <c r="Z147" s="88"/>
      <c r="AA147" s="88"/>
      <c r="AB147" s="88"/>
      <c r="AC147" s="88"/>
      <c r="AD147" s="142" t="str">
        <f t="shared" si="53"/>
        <v/>
      </c>
      <c r="AE147" s="88"/>
      <c r="AF147" s="88"/>
      <c r="AG147" s="88"/>
      <c r="AH147" s="88"/>
      <c r="AI147" s="88"/>
      <c r="AJ147" s="88"/>
      <c r="AK147" s="88"/>
      <c r="AL147" s="88"/>
      <c r="AM147" s="88">
        <v>42.695612844866574</v>
      </c>
      <c r="AN147" s="88">
        <v>110.55000000000001</v>
      </c>
      <c r="AO147" s="89" t="s">
        <v>56</v>
      </c>
      <c r="AP147" s="90" t="s">
        <v>56</v>
      </c>
      <c r="AQ147" s="146" t="str">
        <f t="shared" si="54"/>
        <v/>
      </c>
      <c r="AR147" s="146" t="str">
        <f t="shared" si="55"/>
        <v/>
      </c>
      <c r="AS147" s="147">
        <v>20</v>
      </c>
      <c r="AT147" s="148">
        <v>16.05</v>
      </c>
      <c r="AU147" s="149">
        <v>9.1000000000000014</v>
      </c>
      <c r="AV147" s="146">
        <f t="shared" si="56"/>
        <v>56.697819314641748</v>
      </c>
      <c r="AW147" s="146">
        <f t="shared" si="57"/>
        <v>43.302180685358252</v>
      </c>
      <c r="AX147" s="138" t="str">
        <f t="shared" si="58"/>
        <v/>
      </c>
      <c r="AY147" s="95">
        <v>75.150000000000006</v>
      </c>
      <c r="AZ147" s="96">
        <v>57.394999999999996</v>
      </c>
      <c r="BA147" s="96"/>
      <c r="BB147" s="96">
        <v>119.5</v>
      </c>
      <c r="BC147" s="96"/>
      <c r="BD147" s="97">
        <v>110.55000000000001</v>
      </c>
      <c r="BE147" s="142">
        <f t="shared" si="59"/>
        <v>5613</v>
      </c>
      <c r="BF147" s="98">
        <v>100</v>
      </c>
      <c r="BG147" s="98">
        <v>0</v>
      </c>
      <c r="BH147" s="98">
        <v>117</v>
      </c>
      <c r="BI147" s="98">
        <v>5396</v>
      </c>
      <c r="BJ147" s="98"/>
      <c r="BK147" s="98"/>
      <c r="BL147" s="98"/>
    </row>
    <row r="148" spans="1:64" outlineLevel="5" x14ac:dyDescent="0.3">
      <c r="A148" s="152">
        <f t="shared" si="45"/>
        <v>4</v>
      </c>
      <c r="B148" s="153">
        <f t="shared" si="44"/>
        <v>44315</v>
      </c>
      <c r="C148" s="138">
        <f t="shared" si="50"/>
        <v>38.5</v>
      </c>
      <c r="D148" s="84">
        <v>38</v>
      </c>
      <c r="E148" s="84">
        <v>39</v>
      </c>
      <c r="F148" s="84"/>
      <c r="G148" s="84"/>
      <c r="H148" s="84"/>
      <c r="I148" s="84"/>
      <c r="J148" s="84"/>
      <c r="K148" s="84"/>
      <c r="L148" s="140">
        <f t="shared" si="51"/>
        <v>7.7</v>
      </c>
      <c r="M148" s="86">
        <v>7.74</v>
      </c>
      <c r="N148" s="86">
        <v>7.61</v>
      </c>
      <c r="O148" s="86"/>
      <c r="P148" s="86"/>
      <c r="Q148" s="86"/>
      <c r="R148" s="86"/>
      <c r="S148" s="86"/>
      <c r="T148" s="86"/>
      <c r="U148" s="142">
        <f t="shared" si="52"/>
        <v>1575</v>
      </c>
      <c r="V148" s="88">
        <v>1450</v>
      </c>
      <c r="W148" s="88">
        <v>1700</v>
      </c>
      <c r="X148" s="88"/>
      <c r="Y148" s="88"/>
      <c r="Z148" s="88"/>
      <c r="AA148" s="88"/>
      <c r="AB148" s="88"/>
      <c r="AC148" s="88"/>
      <c r="AD148" s="142" t="str">
        <f t="shared" si="53"/>
        <v/>
      </c>
      <c r="AE148" s="88"/>
      <c r="AF148" s="88"/>
      <c r="AG148" s="88"/>
      <c r="AH148" s="88"/>
      <c r="AI148" s="88"/>
      <c r="AJ148" s="88"/>
      <c r="AK148" s="88"/>
      <c r="AL148" s="88"/>
      <c r="AM148" s="88">
        <v>39.218944744495225</v>
      </c>
      <c r="AN148" s="88">
        <v>120.35</v>
      </c>
      <c r="AO148" s="89">
        <v>17.8</v>
      </c>
      <c r="AP148" s="90">
        <v>14.507</v>
      </c>
      <c r="AQ148" s="146">
        <f t="shared" si="54"/>
        <v>81.5</v>
      </c>
      <c r="AR148" s="146">
        <f t="shared" si="55"/>
        <v>18.5</v>
      </c>
      <c r="AS148" s="147">
        <v>20</v>
      </c>
      <c r="AT148" s="148">
        <v>16.100000000000001</v>
      </c>
      <c r="AU148" s="149">
        <v>8.9499999999999993</v>
      </c>
      <c r="AV148" s="146">
        <f t="shared" si="56"/>
        <v>55.590062111801231</v>
      </c>
      <c r="AW148" s="146">
        <f t="shared" si="57"/>
        <v>44.409937888198769</v>
      </c>
      <c r="AX148" s="138">
        <f t="shared" si="58"/>
        <v>71.58608262902743</v>
      </c>
      <c r="AY148" s="95">
        <v>76.25</v>
      </c>
      <c r="AZ148" s="96">
        <v>59.76</v>
      </c>
      <c r="BA148" s="96"/>
      <c r="BB148" s="96">
        <v>136</v>
      </c>
      <c r="BC148" s="96"/>
      <c r="BD148" s="97">
        <v>120.35</v>
      </c>
      <c r="BE148" s="142">
        <f t="shared" si="59"/>
        <v>6879</v>
      </c>
      <c r="BF148" s="98">
        <v>100</v>
      </c>
      <c r="BG148" s="98">
        <v>0</v>
      </c>
      <c r="BH148" s="98">
        <v>1364</v>
      </c>
      <c r="BI148" s="98">
        <v>5415</v>
      </c>
      <c r="BJ148" s="98"/>
      <c r="BK148" s="98"/>
      <c r="BL148" s="98"/>
    </row>
    <row r="149" spans="1:64" ht="17.25" outlineLevel="5" thickBot="1" x14ac:dyDescent="0.35">
      <c r="A149" s="154">
        <f t="shared" si="45"/>
        <v>4</v>
      </c>
      <c r="B149" s="155">
        <f t="shared" si="44"/>
        <v>44316</v>
      </c>
      <c r="C149" s="138">
        <f t="shared" si="50"/>
        <v>38.5</v>
      </c>
      <c r="D149" s="84">
        <v>38</v>
      </c>
      <c r="E149" s="84">
        <v>39</v>
      </c>
      <c r="F149" s="84"/>
      <c r="G149" s="84"/>
      <c r="H149" s="84"/>
      <c r="I149" s="84"/>
      <c r="J149" s="84"/>
      <c r="K149" s="84"/>
      <c r="L149" s="140" t="str">
        <f t="shared" si="51"/>
        <v/>
      </c>
      <c r="M149" s="86" t="s">
        <v>56</v>
      </c>
      <c r="N149" s="86" t="s">
        <v>56</v>
      </c>
      <c r="O149" s="86"/>
      <c r="P149" s="86"/>
      <c r="Q149" s="86"/>
      <c r="R149" s="86"/>
      <c r="S149" s="86"/>
      <c r="T149" s="86"/>
      <c r="U149" s="142" t="str">
        <f t="shared" si="52"/>
        <v/>
      </c>
      <c r="V149" s="88" t="s">
        <v>56</v>
      </c>
      <c r="W149" s="88" t="s">
        <v>56</v>
      </c>
      <c r="X149" s="88"/>
      <c r="Y149" s="88"/>
      <c r="Z149" s="88"/>
      <c r="AA149" s="88"/>
      <c r="AB149" s="88"/>
      <c r="AC149" s="88"/>
      <c r="AD149" s="142" t="str">
        <f t="shared" si="53"/>
        <v/>
      </c>
      <c r="AE149" s="88"/>
      <c r="AF149" s="88"/>
      <c r="AG149" s="88"/>
      <c r="AH149" s="88"/>
      <c r="AI149" s="88"/>
      <c r="AJ149" s="88"/>
      <c r="AK149" s="88"/>
      <c r="AL149" s="88"/>
      <c r="AM149" s="88">
        <v>34.505446304554425</v>
      </c>
      <c r="AN149" s="88">
        <v>136.79</v>
      </c>
      <c r="AO149" s="89" t="s">
        <v>56</v>
      </c>
      <c r="AP149" s="90" t="s">
        <v>56</v>
      </c>
      <c r="AQ149" s="146" t="str">
        <f t="shared" si="54"/>
        <v/>
      </c>
      <c r="AR149" s="146" t="str">
        <f t="shared" si="55"/>
        <v/>
      </c>
      <c r="AS149" s="147">
        <v>0</v>
      </c>
      <c r="AT149" s="148" t="s">
        <v>56</v>
      </c>
      <c r="AU149" s="149" t="s">
        <v>56</v>
      </c>
      <c r="AV149" s="146" t="str">
        <f t="shared" si="56"/>
        <v/>
      </c>
      <c r="AW149" s="146" t="str">
        <f t="shared" si="57"/>
        <v/>
      </c>
      <c r="AX149" s="138" t="str">
        <f t="shared" si="58"/>
        <v/>
      </c>
      <c r="AY149" s="95" t="s">
        <v>56</v>
      </c>
      <c r="AZ149" s="96">
        <v>60.914999999999999</v>
      </c>
      <c r="BA149" s="96"/>
      <c r="BB149" s="96">
        <v>113</v>
      </c>
      <c r="BC149" s="96"/>
      <c r="BD149" s="97">
        <v>136.79</v>
      </c>
      <c r="BE149" s="142">
        <f t="shared" si="59"/>
        <v>6687</v>
      </c>
      <c r="BF149" s="98">
        <v>19</v>
      </c>
      <c r="BG149" s="98">
        <v>0</v>
      </c>
      <c r="BH149" s="98">
        <v>1291</v>
      </c>
      <c r="BI149" s="98">
        <v>5377</v>
      </c>
      <c r="BJ149" s="98"/>
      <c r="BK149" s="98"/>
      <c r="BL149" s="98"/>
    </row>
    <row r="150" spans="1:64" outlineLevel="4" x14ac:dyDescent="0.3">
      <c r="A150" s="63" t="s">
        <v>69</v>
      </c>
      <c r="B150" s="64"/>
      <c r="C150" s="65">
        <f t="shared" ref="C150:BL150" si="60">SUBTOTAL(4,C120:C149)</f>
        <v>39</v>
      </c>
      <c r="D150" s="66">
        <f t="shared" si="60"/>
        <v>39</v>
      </c>
      <c r="E150" s="66">
        <f t="shared" si="60"/>
        <v>39</v>
      </c>
      <c r="F150" s="66">
        <f t="shared" si="60"/>
        <v>0</v>
      </c>
      <c r="G150" s="66">
        <f t="shared" si="60"/>
        <v>0</v>
      </c>
      <c r="H150" s="66">
        <f t="shared" si="60"/>
        <v>0</v>
      </c>
      <c r="I150" s="66">
        <f t="shared" si="60"/>
        <v>0</v>
      </c>
      <c r="J150" s="66">
        <f t="shared" si="60"/>
        <v>0</v>
      </c>
      <c r="K150" s="66">
        <f t="shared" si="60"/>
        <v>0</v>
      </c>
      <c r="L150" s="67">
        <f t="shared" si="60"/>
        <v>7.8</v>
      </c>
      <c r="M150" s="68">
        <f t="shared" si="60"/>
        <v>7.81</v>
      </c>
      <c r="N150" s="68">
        <f t="shared" si="60"/>
        <v>7.7</v>
      </c>
      <c r="O150" s="68">
        <f t="shared" si="60"/>
        <v>0</v>
      </c>
      <c r="P150" s="68">
        <f t="shared" si="60"/>
        <v>0</v>
      </c>
      <c r="Q150" s="68">
        <f t="shared" si="60"/>
        <v>0</v>
      </c>
      <c r="R150" s="68">
        <f t="shared" si="60"/>
        <v>0</v>
      </c>
      <c r="S150" s="68">
        <f t="shared" si="60"/>
        <v>0</v>
      </c>
      <c r="T150" s="68">
        <f t="shared" si="60"/>
        <v>0</v>
      </c>
      <c r="U150" s="69">
        <f t="shared" si="60"/>
        <v>2065</v>
      </c>
      <c r="V150" s="70">
        <f t="shared" si="60"/>
        <v>2150</v>
      </c>
      <c r="W150" s="70">
        <f t="shared" si="60"/>
        <v>1980</v>
      </c>
      <c r="X150" s="70">
        <f t="shared" si="60"/>
        <v>0</v>
      </c>
      <c r="Y150" s="70">
        <f t="shared" si="60"/>
        <v>0</v>
      </c>
      <c r="Z150" s="70">
        <f t="shared" si="60"/>
        <v>0</v>
      </c>
      <c r="AA150" s="70">
        <f t="shared" si="60"/>
        <v>0</v>
      </c>
      <c r="AB150" s="70">
        <f t="shared" si="60"/>
        <v>0</v>
      </c>
      <c r="AC150" s="70">
        <f t="shared" si="60"/>
        <v>0</v>
      </c>
      <c r="AD150" s="69">
        <f t="shared" si="60"/>
        <v>0</v>
      </c>
      <c r="AE150" s="70">
        <f t="shared" si="60"/>
        <v>0</v>
      </c>
      <c r="AF150" s="70">
        <f t="shared" si="60"/>
        <v>0</v>
      </c>
      <c r="AG150" s="70">
        <f t="shared" si="60"/>
        <v>0</v>
      </c>
      <c r="AH150" s="70">
        <f t="shared" si="60"/>
        <v>0</v>
      </c>
      <c r="AI150" s="70">
        <f t="shared" si="60"/>
        <v>0</v>
      </c>
      <c r="AJ150" s="70">
        <f t="shared" si="60"/>
        <v>0</v>
      </c>
      <c r="AK150" s="70">
        <f t="shared" si="60"/>
        <v>0</v>
      </c>
      <c r="AL150" s="70">
        <f t="shared" si="60"/>
        <v>0</v>
      </c>
      <c r="AM150" s="70">
        <f t="shared" si="60"/>
        <v>65.555555555555557</v>
      </c>
      <c r="AN150" s="70">
        <f t="shared" si="60"/>
        <v>136.79</v>
      </c>
      <c r="AO150" s="71">
        <f t="shared" si="60"/>
        <v>24.6</v>
      </c>
      <c r="AP150" s="72">
        <f t="shared" si="60"/>
        <v>19.286400000000004</v>
      </c>
      <c r="AQ150" s="73">
        <f t="shared" si="60"/>
        <v>81.5</v>
      </c>
      <c r="AR150" s="73">
        <f t="shared" si="60"/>
        <v>23.300000000000011</v>
      </c>
      <c r="AS150" s="74">
        <f t="shared" si="60"/>
        <v>45</v>
      </c>
      <c r="AT150" s="75">
        <f t="shared" si="60"/>
        <v>19.850000000000001</v>
      </c>
      <c r="AU150" s="76">
        <f t="shared" si="60"/>
        <v>12.100000000000001</v>
      </c>
      <c r="AV150" s="73">
        <f t="shared" si="60"/>
        <v>60.957178841309826</v>
      </c>
      <c r="AW150" s="73">
        <f t="shared" si="60"/>
        <v>56.697819314641748</v>
      </c>
      <c r="AX150" s="65">
        <f t="shared" si="60"/>
        <v>78.958286611347859</v>
      </c>
      <c r="AY150" s="77">
        <f t="shared" si="60"/>
        <v>76.849999999999994</v>
      </c>
      <c r="AZ150" s="78">
        <f t="shared" si="60"/>
        <v>63.505000000000003</v>
      </c>
      <c r="BA150" s="78">
        <f t="shared" si="60"/>
        <v>0</v>
      </c>
      <c r="BB150" s="78">
        <f t="shared" si="60"/>
        <v>185.5</v>
      </c>
      <c r="BC150" s="78">
        <f t="shared" si="60"/>
        <v>0</v>
      </c>
      <c r="BD150" s="79">
        <f t="shared" si="60"/>
        <v>136.79</v>
      </c>
      <c r="BE150" s="69">
        <f t="shared" si="60"/>
        <v>9590</v>
      </c>
      <c r="BF150" s="70">
        <f t="shared" si="60"/>
        <v>476</v>
      </c>
      <c r="BG150" s="80">
        <f t="shared" si="60"/>
        <v>3126</v>
      </c>
      <c r="BH150" s="80">
        <f t="shared" si="60"/>
        <v>2185</v>
      </c>
      <c r="BI150" s="80">
        <f t="shared" si="60"/>
        <v>5415</v>
      </c>
      <c r="BJ150" s="80">
        <f t="shared" si="60"/>
        <v>0</v>
      </c>
      <c r="BK150" s="80">
        <f t="shared" si="60"/>
        <v>0</v>
      </c>
      <c r="BL150" s="79">
        <f t="shared" si="60"/>
        <v>0</v>
      </c>
    </row>
    <row r="151" spans="1:64" outlineLevel="3" x14ac:dyDescent="0.3">
      <c r="A151" s="81" t="s">
        <v>70</v>
      </c>
      <c r="B151" s="82"/>
      <c r="C151" s="83">
        <f t="shared" ref="C151:BL151" si="61">SUBTOTAL(5,C120:C149)</f>
        <v>37</v>
      </c>
      <c r="D151" s="84">
        <f t="shared" si="61"/>
        <v>37</v>
      </c>
      <c r="E151" s="84">
        <f t="shared" si="61"/>
        <v>36</v>
      </c>
      <c r="F151" s="84">
        <f t="shared" si="61"/>
        <v>0</v>
      </c>
      <c r="G151" s="84">
        <f t="shared" si="61"/>
        <v>0</v>
      </c>
      <c r="H151" s="84">
        <f t="shared" si="61"/>
        <v>0</v>
      </c>
      <c r="I151" s="84">
        <f t="shared" si="61"/>
        <v>0</v>
      </c>
      <c r="J151" s="84">
        <f t="shared" si="61"/>
        <v>0</v>
      </c>
      <c r="K151" s="84">
        <f t="shared" si="61"/>
        <v>0</v>
      </c>
      <c r="L151" s="85">
        <f t="shared" si="61"/>
        <v>7.6</v>
      </c>
      <c r="M151" s="86">
        <f t="shared" si="61"/>
        <v>7.72</v>
      </c>
      <c r="N151" s="86">
        <f t="shared" si="61"/>
        <v>7.52</v>
      </c>
      <c r="O151" s="86">
        <f t="shared" si="61"/>
        <v>0</v>
      </c>
      <c r="P151" s="86">
        <f t="shared" si="61"/>
        <v>0</v>
      </c>
      <c r="Q151" s="86">
        <f t="shared" si="61"/>
        <v>0</v>
      </c>
      <c r="R151" s="86">
        <f t="shared" si="61"/>
        <v>0</v>
      </c>
      <c r="S151" s="86">
        <f t="shared" si="61"/>
        <v>0</v>
      </c>
      <c r="T151" s="86">
        <f t="shared" si="61"/>
        <v>0</v>
      </c>
      <c r="U151" s="87">
        <f t="shared" si="61"/>
        <v>1575</v>
      </c>
      <c r="V151" s="88">
        <f t="shared" si="61"/>
        <v>1450</v>
      </c>
      <c r="W151" s="88">
        <f t="shared" si="61"/>
        <v>1420</v>
      </c>
      <c r="X151" s="88">
        <f t="shared" si="61"/>
        <v>0</v>
      </c>
      <c r="Y151" s="88">
        <f t="shared" si="61"/>
        <v>0</v>
      </c>
      <c r="Z151" s="88">
        <f t="shared" si="61"/>
        <v>0</v>
      </c>
      <c r="AA151" s="88">
        <f t="shared" si="61"/>
        <v>0</v>
      </c>
      <c r="AB151" s="88">
        <f t="shared" si="61"/>
        <v>0</v>
      </c>
      <c r="AC151" s="88">
        <f t="shared" si="61"/>
        <v>0</v>
      </c>
      <c r="AD151" s="87">
        <f t="shared" si="61"/>
        <v>0</v>
      </c>
      <c r="AE151" s="88">
        <f t="shared" si="61"/>
        <v>0</v>
      </c>
      <c r="AF151" s="88">
        <f t="shared" si="61"/>
        <v>0</v>
      </c>
      <c r="AG151" s="88">
        <f t="shared" si="61"/>
        <v>0</v>
      </c>
      <c r="AH151" s="88">
        <f t="shared" si="61"/>
        <v>0</v>
      </c>
      <c r="AI151" s="88">
        <f t="shared" si="61"/>
        <v>0</v>
      </c>
      <c r="AJ151" s="88">
        <f t="shared" si="61"/>
        <v>0</v>
      </c>
      <c r="AK151" s="88">
        <f t="shared" si="61"/>
        <v>0</v>
      </c>
      <c r="AL151" s="88">
        <f t="shared" si="61"/>
        <v>0</v>
      </c>
      <c r="AM151" s="88">
        <f t="shared" si="61"/>
        <v>34.505446304554425</v>
      </c>
      <c r="AN151" s="88">
        <f t="shared" si="61"/>
        <v>72</v>
      </c>
      <c r="AO151" s="89">
        <f t="shared" si="61"/>
        <v>17.8</v>
      </c>
      <c r="AP151" s="90">
        <f t="shared" si="61"/>
        <v>14.507</v>
      </c>
      <c r="AQ151" s="91">
        <f t="shared" si="61"/>
        <v>76.699999999999989</v>
      </c>
      <c r="AR151" s="91">
        <f t="shared" si="61"/>
        <v>18.5</v>
      </c>
      <c r="AS151" s="92">
        <f t="shared" si="61"/>
        <v>0</v>
      </c>
      <c r="AT151" s="93">
        <f t="shared" si="61"/>
        <v>16.05</v>
      </c>
      <c r="AU151" s="94">
        <f t="shared" si="61"/>
        <v>6.9499999999999993</v>
      </c>
      <c r="AV151" s="91">
        <f t="shared" si="61"/>
        <v>43.302180685358252</v>
      </c>
      <c r="AW151" s="91">
        <f t="shared" si="61"/>
        <v>39.042821158690174</v>
      </c>
      <c r="AX151" s="83">
        <f t="shared" si="61"/>
        <v>67.533409387222918</v>
      </c>
      <c r="AY151" s="95">
        <f t="shared" si="61"/>
        <v>72.150000000000006</v>
      </c>
      <c r="AZ151" s="96">
        <f t="shared" si="61"/>
        <v>57.394999999999996</v>
      </c>
      <c r="BA151" s="96">
        <f t="shared" si="61"/>
        <v>0</v>
      </c>
      <c r="BB151" s="96">
        <f t="shared" si="61"/>
        <v>76.5</v>
      </c>
      <c r="BC151" s="96">
        <f t="shared" si="61"/>
        <v>0</v>
      </c>
      <c r="BD151" s="97">
        <f t="shared" si="61"/>
        <v>72</v>
      </c>
      <c r="BE151" s="87">
        <f t="shared" si="61"/>
        <v>5296</v>
      </c>
      <c r="BF151" s="88">
        <f t="shared" si="61"/>
        <v>19</v>
      </c>
      <c r="BG151" s="98">
        <f t="shared" si="61"/>
        <v>0</v>
      </c>
      <c r="BH151" s="98">
        <f t="shared" si="61"/>
        <v>0</v>
      </c>
      <c r="BI151" s="98">
        <f t="shared" si="61"/>
        <v>3586</v>
      </c>
      <c r="BJ151" s="98">
        <f t="shared" si="61"/>
        <v>0</v>
      </c>
      <c r="BK151" s="98">
        <f t="shared" si="61"/>
        <v>0</v>
      </c>
      <c r="BL151" s="97">
        <f t="shared" si="61"/>
        <v>0</v>
      </c>
    </row>
    <row r="152" spans="1:64" outlineLevel="2" x14ac:dyDescent="0.3">
      <c r="A152" s="81" t="s">
        <v>71</v>
      </c>
      <c r="B152" s="82"/>
      <c r="C152" s="83">
        <f t="shared" ref="C152:BL152" si="62">IFERROR(SUBTOTAL(1,C120:C149),"")</f>
        <v>38.15</v>
      </c>
      <c r="D152" s="84">
        <f t="shared" si="62"/>
        <v>38.033333333333331</v>
      </c>
      <c r="E152" s="84">
        <f t="shared" si="62"/>
        <v>38.266666666666666</v>
      </c>
      <c r="F152" s="84" t="str">
        <f t="shared" si="62"/>
        <v/>
      </c>
      <c r="G152" s="84" t="str">
        <f t="shared" si="62"/>
        <v/>
      </c>
      <c r="H152" s="84" t="str">
        <f t="shared" si="62"/>
        <v/>
      </c>
      <c r="I152" s="84" t="str">
        <f t="shared" si="62"/>
        <v/>
      </c>
      <c r="J152" s="84" t="str">
        <f t="shared" si="62"/>
        <v/>
      </c>
      <c r="K152" s="84" t="str">
        <f t="shared" si="62"/>
        <v/>
      </c>
      <c r="L152" s="85">
        <f t="shared" si="62"/>
        <v>7.700000000000002</v>
      </c>
      <c r="M152" s="86">
        <f t="shared" si="62"/>
        <v>7.7581818181818187</v>
      </c>
      <c r="N152" s="86">
        <f t="shared" si="62"/>
        <v>7.621818181818182</v>
      </c>
      <c r="O152" s="86" t="str">
        <f t="shared" si="62"/>
        <v/>
      </c>
      <c r="P152" s="86" t="str">
        <f t="shared" si="62"/>
        <v/>
      </c>
      <c r="Q152" s="86" t="str">
        <f t="shared" si="62"/>
        <v/>
      </c>
      <c r="R152" s="86" t="str">
        <f t="shared" si="62"/>
        <v/>
      </c>
      <c r="S152" s="86" t="str">
        <f t="shared" si="62"/>
        <v/>
      </c>
      <c r="T152" s="86" t="str">
        <f t="shared" si="62"/>
        <v/>
      </c>
      <c r="U152" s="87">
        <f t="shared" si="62"/>
        <v>1679.5454545454545</v>
      </c>
      <c r="V152" s="88">
        <f t="shared" si="62"/>
        <v>1768.1818181818182</v>
      </c>
      <c r="W152" s="88">
        <f t="shared" si="62"/>
        <v>1590.909090909091</v>
      </c>
      <c r="X152" s="88" t="str">
        <f t="shared" si="62"/>
        <v/>
      </c>
      <c r="Y152" s="88" t="str">
        <f t="shared" si="62"/>
        <v/>
      </c>
      <c r="Z152" s="88" t="str">
        <f t="shared" si="62"/>
        <v/>
      </c>
      <c r="AA152" s="88" t="str">
        <f t="shared" si="62"/>
        <v/>
      </c>
      <c r="AB152" s="88" t="str">
        <f t="shared" si="62"/>
        <v/>
      </c>
      <c r="AC152" s="88" t="str">
        <f t="shared" si="62"/>
        <v/>
      </c>
      <c r="AD152" s="87" t="str">
        <f t="shared" si="62"/>
        <v/>
      </c>
      <c r="AE152" s="88" t="str">
        <f t="shared" si="62"/>
        <v/>
      </c>
      <c r="AF152" s="88" t="str">
        <f t="shared" si="62"/>
        <v/>
      </c>
      <c r="AG152" s="88" t="str">
        <f t="shared" si="62"/>
        <v/>
      </c>
      <c r="AH152" s="88" t="str">
        <f t="shared" si="62"/>
        <v/>
      </c>
      <c r="AI152" s="88" t="str">
        <f t="shared" si="62"/>
        <v/>
      </c>
      <c r="AJ152" s="88" t="str">
        <f t="shared" si="62"/>
        <v/>
      </c>
      <c r="AK152" s="88" t="str">
        <f t="shared" si="62"/>
        <v/>
      </c>
      <c r="AL152" s="88" t="str">
        <f t="shared" si="62"/>
        <v/>
      </c>
      <c r="AM152" s="88">
        <f t="shared" si="62"/>
        <v>40.862664743587729</v>
      </c>
      <c r="AN152" s="88">
        <f t="shared" si="62"/>
        <v>117.721</v>
      </c>
      <c r="AO152" s="89">
        <f t="shared" si="62"/>
        <v>21.25</v>
      </c>
      <c r="AP152" s="90">
        <f t="shared" si="62"/>
        <v>16.616900000000001</v>
      </c>
      <c r="AQ152" s="91">
        <f t="shared" si="62"/>
        <v>78.325000000000003</v>
      </c>
      <c r="AR152" s="91">
        <f t="shared" si="62"/>
        <v>21.675000000000001</v>
      </c>
      <c r="AS152" s="92">
        <f t="shared" si="62"/>
        <v>21.166666666666668</v>
      </c>
      <c r="AT152" s="93">
        <f t="shared" si="62"/>
        <v>16.927272727272729</v>
      </c>
      <c r="AU152" s="94">
        <f t="shared" si="62"/>
        <v>9.040909090909091</v>
      </c>
      <c r="AV152" s="91">
        <f t="shared" si="62"/>
        <v>53.314342530963273</v>
      </c>
      <c r="AW152" s="91">
        <f t="shared" si="62"/>
        <v>46.685657469036727</v>
      </c>
      <c r="AX152" s="83">
        <f t="shared" si="62"/>
        <v>71.453210964284125</v>
      </c>
      <c r="AY152" s="95">
        <f t="shared" si="62"/>
        <v>75.022727272727266</v>
      </c>
      <c r="AZ152" s="96">
        <f t="shared" si="62"/>
        <v>60.816500000000012</v>
      </c>
      <c r="BA152" s="96" t="str">
        <f t="shared" si="62"/>
        <v/>
      </c>
      <c r="BB152" s="96">
        <f t="shared" si="62"/>
        <v>120.25</v>
      </c>
      <c r="BC152" s="96" t="str">
        <f t="shared" si="62"/>
        <v/>
      </c>
      <c r="BD152" s="97">
        <f>IFERROR(SUBTOTAL(1,BD120:BD149),"")</f>
        <v>117.721</v>
      </c>
      <c r="BE152" s="87">
        <f t="shared" si="62"/>
        <v>6917.4333333333334</v>
      </c>
      <c r="BF152" s="88">
        <f t="shared" si="62"/>
        <v>132.03333333333333</v>
      </c>
      <c r="BG152" s="98">
        <f t="shared" si="62"/>
        <v>1191.1666666666667</v>
      </c>
      <c r="BH152" s="98">
        <f t="shared" si="62"/>
        <v>461.26666666666665</v>
      </c>
      <c r="BI152" s="98">
        <f t="shared" si="62"/>
        <v>5132.9666666666662</v>
      </c>
      <c r="BJ152" s="98" t="str">
        <f t="shared" si="62"/>
        <v/>
      </c>
      <c r="BK152" s="98" t="str">
        <f t="shared" si="62"/>
        <v/>
      </c>
      <c r="BL152" s="97" t="str">
        <f t="shared" si="62"/>
        <v/>
      </c>
    </row>
    <row r="153" spans="1:64" ht="17.25" outlineLevel="1" thickBot="1" x14ac:dyDescent="0.35">
      <c r="A153" s="99" t="s">
        <v>72</v>
      </c>
      <c r="B153" s="100"/>
      <c r="C153" s="101"/>
      <c r="D153" s="102"/>
      <c r="E153" s="102"/>
      <c r="F153" s="102"/>
      <c r="G153" s="102"/>
      <c r="H153" s="102"/>
      <c r="I153" s="102"/>
      <c r="J153" s="102"/>
      <c r="K153" s="102"/>
      <c r="L153" s="103"/>
      <c r="M153" s="104"/>
      <c r="N153" s="104"/>
      <c r="O153" s="104"/>
      <c r="P153" s="104"/>
      <c r="Q153" s="104"/>
      <c r="R153" s="104"/>
      <c r="S153" s="104"/>
      <c r="T153" s="104"/>
      <c r="U153" s="105"/>
      <c r="V153" s="106"/>
      <c r="W153" s="106"/>
      <c r="X153" s="106"/>
      <c r="Y153" s="106"/>
      <c r="Z153" s="106"/>
      <c r="AA153" s="106"/>
      <c r="AB153" s="106"/>
      <c r="AC153" s="106"/>
      <c r="AD153" s="105"/>
      <c r="AE153" s="106"/>
      <c r="AF153" s="106"/>
      <c r="AG153" s="106"/>
      <c r="AH153" s="106"/>
      <c r="AI153" s="106"/>
      <c r="AJ153" s="106"/>
      <c r="AK153" s="106"/>
      <c r="AL153" s="106"/>
      <c r="AM153" s="106"/>
      <c r="AN153" s="107">
        <f>SUBTOTAL(9,AN120:AN149)</f>
        <v>3531.63</v>
      </c>
      <c r="AO153" s="108"/>
      <c r="AP153" s="109"/>
      <c r="AQ153" s="110"/>
      <c r="AR153" s="110"/>
      <c r="AS153" s="111">
        <f>SUBTOTAL(9,AS120:AS149)</f>
        <v>635</v>
      </c>
      <c r="AT153" s="112"/>
      <c r="AU153" s="113"/>
      <c r="AV153" s="110"/>
      <c r="AW153" s="110"/>
      <c r="AX153" s="101"/>
      <c r="AY153" s="114"/>
      <c r="AZ153" s="115"/>
      <c r="BA153" s="115"/>
      <c r="BB153" s="115"/>
      <c r="BC153" s="115"/>
      <c r="BD153" s="116">
        <f>SUBTOTAL(9,BD120:BD149)</f>
        <v>3531.63</v>
      </c>
      <c r="BE153" s="117">
        <f t="shared" ref="BE153:BL153" si="63">SUBTOTAL(9,BE120:BE149)</f>
        <v>207523</v>
      </c>
      <c r="BF153" s="107">
        <f t="shared" si="63"/>
        <v>3961</v>
      </c>
      <c r="BG153" s="118">
        <f t="shared" si="63"/>
        <v>35735</v>
      </c>
      <c r="BH153" s="118">
        <f t="shared" si="63"/>
        <v>13838</v>
      </c>
      <c r="BI153" s="118">
        <f t="shared" si="63"/>
        <v>153989</v>
      </c>
      <c r="BJ153" s="118">
        <f t="shared" si="63"/>
        <v>0</v>
      </c>
      <c r="BK153" s="118">
        <f t="shared" si="63"/>
        <v>0</v>
      </c>
      <c r="BL153" s="116">
        <f t="shared" si="63"/>
        <v>0</v>
      </c>
    </row>
    <row r="154" spans="1:64" outlineLevel="5" x14ac:dyDescent="0.3">
      <c r="A154" s="136">
        <f t="shared" si="45"/>
        <v>5</v>
      </c>
      <c r="B154" s="165">
        <f>B149+1</f>
        <v>44317</v>
      </c>
      <c r="C154" s="138">
        <f t="shared" ref="C154:C184" si="64">IFERROR(ROUND(AVERAGE(D154:K154),1),"")</f>
        <v>38.5</v>
      </c>
      <c r="D154" s="84">
        <v>38</v>
      </c>
      <c r="E154" s="84">
        <v>39</v>
      </c>
      <c r="F154" s="84"/>
      <c r="G154" s="84"/>
      <c r="H154" s="84"/>
      <c r="I154" s="84"/>
      <c r="J154" s="84"/>
      <c r="K154" s="84"/>
      <c r="L154" s="140" t="str">
        <f t="shared" ref="L154:L184" si="65">IFERROR(ROUND(AVERAGE(M154:T154),1),"")</f>
        <v/>
      </c>
      <c r="M154" s="86"/>
      <c r="N154" s="86"/>
      <c r="O154" s="86"/>
      <c r="P154" s="86"/>
      <c r="Q154" s="86"/>
      <c r="R154" s="86"/>
      <c r="S154" s="86"/>
      <c r="T154" s="86"/>
      <c r="U154" s="142" t="str">
        <f t="shared" ref="U154:U184" si="66">IFERROR(ROUND(AVERAGE(V154:AC154),1),"")</f>
        <v/>
      </c>
      <c r="V154" s="88"/>
      <c r="W154" s="88"/>
      <c r="X154" s="88"/>
      <c r="Y154" s="88"/>
      <c r="Z154" s="88"/>
      <c r="AA154" s="88"/>
      <c r="AB154" s="88"/>
      <c r="AC154" s="88"/>
      <c r="AD154" s="142" t="str">
        <f t="shared" ref="AD154:AD184" si="67">IFERROR(ROUND(AVERAGE(AE154:AL154),1),"")</f>
        <v/>
      </c>
      <c r="AE154" s="88"/>
      <c r="AF154" s="88"/>
      <c r="AG154" s="88"/>
      <c r="AH154" s="88"/>
      <c r="AI154" s="88"/>
      <c r="AJ154" s="88"/>
      <c r="AK154" s="88"/>
      <c r="AL154" s="88"/>
      <c r="AM154" s="88">
        <v>35.174007004992923</v>
      </c>
      <c r="AN154" s="88">
        <v>134.19</v>
      </c>
      <c r="AO154" s="89"/>
      <c r="AP154" s="90"/>
      <c r="AQ154" s="146" t="str">
        <f t="shared" ref="AQ154:AQ184" si="68">IFERROR(AP154/AO154*100,"")</f>
        <v/>
      </c>
      <c r="AR154" s="146" t="str">
        <f t="shared" ref="AR154:AR184" si="69">IFERROR(100-AQ154,"")</f>
        <v/>
      </c>
      <c r="AS154" s="147">
        <v>10</v>
      </c>
      <c r="AT154" s="148" t="s">
        <v>56</v>
      </c>
      <c r="AU154" s="149" t="s">
        <v>56</v>
      </c>
      <c r="AV154" s="146" t="str">
        <f t="shared" ref="AV154:AV184" si="70">IFERROR(AU154/AT154*100,"")</f>
        <v/>
      </c>
      <c r="AW154" s="146" t="str">
        <f t="shared" ref="AW154:AW184" si="71">IFERROR(100-AV154,"")</f>
        <v/>
      </c>
      <c r="AX154" s="138" t="str">
        <f t="shared" ref="AX154:AX184" si="72">IFERROR((1-((AV154*AR154)/(AW154*AQ154)))*100,"")</f>
        <v/>
      </c>
      <c r="AY154" s="95" t="s">
        <v>56</v>
      </c>
      <c r="AZ154" s="96">
        <v>61.005000000000003</v>
      </c>
      <c r="BA154" s="96"/>
      <c r="BB154" s="96">
        <v>112</v>
      </c>
      <c r="BC154" s="96"/>
      <c r="BD154" s="97">
        <v>134.19</v>
      </c>
      <c r="BE154" s="142">
        <f t="shared" ref="BE154:BE184" si="73">IF(SUM(BF154:BL154)=0,"",SUM(BF154:BL154))</f>
        <v>7867</v>
      </c>
      <c r="BF154" s="98">
        <v>192</v>
      </c>
      <c r="BG154" s="98">
        <v>0</v>
      </c>
      <c r="BH154" s="98">
        <v>2672</v>
      </c>
      <c r="BI154" s="98">
        <v>5003</v>
      </c>
      <c r="BJ154" s="98"/>
      <c r="BK154" s="98"/>
      <c r="BL154" s="97"/>
    </row>
    <row r="155" spans="1:64" outlineLevel="5" x14ac:dyDescent="0.3">
      <c r="A155" s="152">
        <f t="shared" si="45"/>
        <v>5</v>
      </c>
      <c r="B155" s="153">
        <f t="shared" ref="B155:B218" si="74">B154+1</f>
        <v>44318</v>
      </c>
      <c r="C155" s="138">
        <f t="shared" si="64"/>
        <v>38.5</v>
      </c>
      <c r="D155" s="84">
        <v>38</v>
      </c>
      <c r="E155" s="84">
        <v>39</v>
      </c>
      <c r="F155" s="84"/>
      <c r="G155" s="84"/>
      <c r="H155" s="84"/>
      <c r="I155" s="84"/>
      <c r="J155" s="84"/>
      <c r="K155" s="84"/>
      <c r="L155" s="140" t="str">
        <f t="shared" si="65"/>
        <v/>
      </c>
      <c r="M155" s="86"/>
      <c r="N155" s="86"/>
      <c r="O155" s="86"/>
      <c r="P155" s="86"/>
      <c r="Q155" s="86"/>
      <c r="R155" s="86"/>
      <c r="S155" s="86"/>
      <c r="T155" s="86"/>
      <c r="U155" s="142" t="str">
        <f t="shared" si="66"/>
        <v/>
      </c>
      <c r="V155" s="88"/>
      <c r="W155" s="88"/>
      <c r="X155" s="88"/>
      <c r="Y155" s="88"/>
      <c r="Z155" s="88"/>
      <c r="AA155" s="88"/>
      <c r="AB155" s="88"/>
      <c r="AC155" s="88"/>
      <c r="AD155" s="142" t="str">
        <f t="shared" si="67"/>
        <v/>
      </c>
      <c r="AE155" s="88"/>
      <c r="AF155" s="88"/>
      <c r="AG155" s="88"/>
      <c r="AH155" s="88"/>
      <c r="AI155" s="88"/>
      <c r="AJ155" s="88"/>
      <c r="AK155" s="88"/>
      <c r="AL155" s="88"/>
      <c r="AM155" s="88">
        <v>42.909090909090907</v>
      </c>
      <c r="AN155" s="88">
        <v>110</v>
      </c>
      <c r="AO155" s="89"/>
      <c r="AP155" s="90"/>
      <c r="AQ155" s="146" t="str">
        <f t="shared" si="68"/>
        <v/>
      </c>
      <c r="AR155" s="146" t="str">
        <f t="shared" si="69"/>
        <v/>
      </c>
      <c r="AS155" s="147">
        <v>10</v>
      </c>
      <c r="AT155" s="148" t="s">
        <v>56</v>
      </c>
      <c r="AU155" s="149" t="s">
        <v>56</v>
      </c>
      <c r="AV155" s="146" t="str">
        <f t="shared" si="70"/>
        <v/>
      </c>
      <c r="AW155" s="146" t="str">
        <f t="shared" si="71"/>
        <v/>
      </c>
      <c r="AX155" s="138" t="str">
        <f t="shared" si="72"/>
        <v/>
      </c>
      <c r="AY155" s="95" t="s">
        <v>56</v>
      </c>
      <c r="AZ155" s="96">
        <v>61.135000000000005</v>
      </c>
      <c r="BA155" s="96"/>
      <c r="BB155" s="96">
        <v>114</v>
      </c>
      <c r="BC155" s="96"/>
      <c r="BD155" s="97">
        <v>110</v>
      </c>
      <c r="BE155" s="142">
        <f t="shared" si="73"/>
        <v>7399</v>
      </c>
      <c r="BF155" s="98">
        <v>224</v>
      </c>
      <c r="BG155" s="98">
        <v>0</v>
      </c>
      <c r="BH155" s="98">
        <v>2112</v>
      </c>
      <c r="BI155" s="98">
        <v>5063</v>
      </c>
      <c r="BJ155" s="98"/>
      <c r="BK155" s="98"/>
      <c r="BL155" s="97"/>
    </row>
    <row r="156" spans="1:64" outlineLevel="5" x14ac:dyDescent="0.3">
      <c r="A156" s="152">
        <f t="shared" si="45"/>
        <v>5</v>
      </c>
      <c r="B156" s="153">
        <f t="shared" si="74"/>
        <v>44319</v>
      </c>
      <c r="C156" s="138">
        <f t="shared" si="64"/>
        <v>38</v>
      </c>
      <c r="D156" s="84">
        <v>38</v>
      </c>
      <c r="E156" s="84">
        <v>38</v>
      </c>
      <c r="F156" s="84"/>
      <c r="G156" s="84"/>
      <c r="H156" s="84"/>
      <c r="I156" s="84"/>
      <c r="J156" s="84"/>
      <c r="K156" s="84"/>
      <c r="L156" s="140">
        <f t="shared" si="65"/>
        <v>7.7</v>
      </c>
      <c r="M156" s="86">
        <v>7.77</v>
      </c>
      <c r="N156" s="86">
        <v>7.65</v>
      </c>
      <c r="O156" s="86"/>
      <c r="P156" s="86"/>
      <c r="Q156" s="86"/>
      <c r="R156" s="86"/>
      <c r="S156" s="86"/>
      <c r="T156" s="86"/>
      <c r="U156" s="142">
        <f t="shared" si="66"/>
        <v>1650</v>
      </c>
      <c r="V156" s="88">
        <v>1800</v>
      </c>
      <c r="W156" s="88">
        <v>1500</v>
      </c>
      <c r="X156" s="88"/>
      <c r="Y156" s="88"/>
      <c r="Z156" s="88"/>
      <c r="AA156" s="88"/>
      <c r="AB156" s="88"/>
      <c r="AC156" s="88"/>
      <c r="AD156" s="142" t="str">
        <f t="shared" si="67"/>
        <v/>
      </c>
      <c r="AE156" s="88"/>
      <c r="AF156" s="88"/>
      <c r="AG156" s="88"/>
      <c r="AH156" s="88"/>
      <c r="AI156" s="88"/>
      <c r="AJ156" s="88"/>
      <c r="AK156" s="88"/>
      <c r="AL156" s="88"/>
      <c r="AM156" s="88">
        <v>42.362232992281456</v>
      </c>
      <c r="AN156" s="88">
        <v>111.42</v>
      </c>
      <c r="AO156" s="89">
        <v>18</v>
      </c>
      <c r="AP156" s="90">
        <v>14.958</v>
      </c>
      <c r="AQ156" s="146">
        <f t="shared" si="68"/>
        <v>83.1</v>
      </c>
      <c r="AR156" s="146">
        <f t="shared" si="69"/>
        <v>16.900000000000006</v>
      </c>
      <c r="AS156" s="147">
        <v>20</v>
      </c>
      <c r="AT156" s="148">
        <v>16.350000000000001</v>
      </c>
      <c r="AU156" s="149">
        <v>9</v>
      </c>
      <c r="AV156" s="146">
        <f t="shared" si="70"/>
        <v>55.045871559633021</v>
      </c>
      <c r="AW156" s="146">
        <f t="shared" si="71"/>
        <v>44.954128440366979</v>
      </c>
      <c r="AX156" s="138">
        <f t="shared" si="72"/>
        <v>75.097620275547044</v>
      </c>
      <c r="AY156" s="95">
        <v>75.650000000000006</v>
      </c>
      <c r="AZ156" s="96">
        <v>61.32</v>
      </c>
      <c r="BA156" s="96"/>
      <c r="BB156" s="96">
        <v>80</v>
      </c>
      <c r="BC156" s="96"/>
      <c r="BD156" s="97">
        <v>111.42</v>
      </c>
      <c r="BE156" s="142">
        <f t="shared" si="73"/>
        <v>6986</v>
      </c>
      <c r="BF156" s="98">
        <v>317</v>
      </c>
      <c r="BG156" s="98">
        <v>13</v>
      </c>
      <c r="BH156" s="98">
        <v>1685</v>
      </c>
      <c r="BI156" s="98">
        <v>4971</v>
      </c>
      <c r="BJ156" s="98"/>
      <c r="BK156" s="98"/>
      <c r="BL156" s="97"/>
    </row>
    <row r="157" spans="1:64" outlineLevel="5" x14ac:dyDescent="0.3">
      <c r="A157" s="152">
        <f t="shared" si="45"/>
        <v>5</v>
      </c>
      <c r="B157" s="153">
        <f t="shared" si="74"/>
        <v>44320</v>
      </c>
      <c r="C157" s="138">
        <f t="shared" si="64"/>
        <v>38</v>
      </c>
      <c r="D157" s="84">
        <v>38</v>
      </c>
      <c r="E157" s="84">
        <v>38</v>
      </c>
      <c r="F157" s="84"/>
      <c r="G157" s="84"/>
      <c r="H157" s="84"/>
      <c r="I157" s="84"/>
      <c r="J157" s="84"/>
      <c r="K157" s="84"/>
      <c r="L157" s="140" t="str">
        <f t="shared" si="65"/>
        <v/>
      </c>
      <c r="M157" s="86" t="s">
        <v>56</v>
      </c>
      <c r="N157" s="86" t="s">
        <v>56</v>
      </c>
      <c r="O157" s="86"/>
      <c r="P157" s="86"/>
      <c r="Q157" s="86"/>
      <c r="R157" s="86"/>
      <c r="S157" s="86"/>
      <c r="T157" s="86"/>
      <c r="U157" s="142" t="str">
        <f t="shared" si="66"/>
        <v/>
      </c>
      <c r="V157" s="88" t="s">
        <v>56</v>
      </c>
      <c r="W157" s="88" t="s">
        <v>56</v>
      </c>
      <c r="X157" s="88"/>
      <c r="Y157" s="88"/>
      <c r="Z157" s="88"/>
      <c r="AA157" s="88"/>
      <c r="AB157" s="88"/>
      <c r="AC157" s="88"/>
      <c r="AD157" s="142" t="str">
        <f t="shared" si="67"/>
        <v/>
      </c>
      <c r="AE157" s="88"/>
      <c r="AF157" s="88"/>
      <c r="AG157" s="88"/>
      <c r="AH157" s="88"/>
      <c r="AI157" s="88"/>
      <c r="AJ157" s="88"/>
      <c r="AK157" s="88"/>
      <c r="AL157" s="88"/>
      <c r="AM157" s="88">
        <v>41.651959054006355</v>
      </c>
      <c r="AN157" s="88">
        <v>113.32</v>
      </c>
      <c r="AO157" s="89" t="s">
        <v>56</v>
      </c>
      <c r="AP157" s="90" t="s">
        <v>56</v>
      </c>
      <c r="AQ157" s="146" t="str">
        <f t="shared" si="68"/>
        <v/>
      </c>
      <c r="AR157" s="146" t="str">
        <f t="shared" si="69"/>
        <v/>
      </c>
      <c r="AS157" s="147">
        <v>0</v>
      </c>
      <c r="AT157" s="148" t="s">
        <v>56</v>
      </c>
      <c r="AU157" s="149" t="s">
        <v>56</v>
      </c>
      <c r="AV157" s="146" t="str">
        <f t="shared" si="70"/>
        <v/>
      </c>
      <c r="AW157" s="146" t="str">
        <f t="shared" si="71"/>
        <v/>
      </c>
      <c r="AX157" s="138" t="str">
        <f t="shared" si="72"/>
        <v/>
      </c>
      <c r="AY157" s="95" t="s">
        <v>56</v>
      </c>
      <c r="AZ157" s="96">
        <v>61.405000000000001</v>
      </c>
      <c r="BA157" s="96"/>
      <c r="BB157" s="96">
        <v>107</v>
      </c>
      <c r="BC157" s="96"/>
      <c r="BD157" s="97">
        <v>113.32</v>
      </c>
      <c r="BE157" s="142">
        <f t="shared" si="73"/>
        <v>6648</v>
      </c>
      <c r="BF157" s="98">
        <v>0</v>
      </c>
      <c r="BG157" s="98">
        <v>0</v>
      </c>
      <c r="BH157" s="98">
        <v>1258</v>
      </c>
      <c r="BI157" s="98">
        <v>5390</v>
      </c>
      <c r="BJ157" s="98"/>
      <c r="BK157" s="98"/>
      <c r="BL157" s="97"/>
    </row>
    <row r="158" spans="1:64" outlineLevel="5" x14ac:dyDescent="0.3">
      <c r="A158" s="152">
        <f t="shared" si="45"/>
        <v>5</v>
      </c>
      <c r="B158" s="153">
        <f t="shared" si="74"/>
        <v>44321</v>
      </c>
      <c r="C158" s="138">
        <f t="shared" si="64"/>
        <v>37.5</v>
      </c>
      <c r="D158" s="84">
        <v>37</v>
      </c>
      <c r="E158" s="84">
        <v>38</v>
      </c>
      <c r="F158" s="84"/>
      <c r="G158" s="84"/>
      <c r="H158" s="84"/>
      <c r="I158" s="84"/>
      <c r="J158" s="84"/>
      <c r="K158" s="84"/>
      <c r="L158" s="140" t="str">
        <f t="shared" si="65"/>
        <v/>
      </c>
      <c r="M158" s="86" t="s">
        <v>56</v>
      </c>
      <c r="N158" s="86" t="s">
        <v>56</v>
      </c>
      <c r="O158" s="86"/>
      <c r="P158" s="86"/>
      <c r="Q158" s="86"/>
      <c r="R158" s="86"/>
      <c r="S158" s="86"/>
      <c r="T158" s="86"/>
      <c r="U158" s="142" t="str">
        <f t="shared" si="66"/>
        <v/>
      </c>
      <c r="V158" s="88" t="s">
        <v>56</v>
      </c>
      <c r="W158" s="88" t="s">
        <v>56</v>
      </c>
      <c r="X158" s="88"/>
      <c r="Y158" s="88"/>
      <c r="Z158" s="88"/>
      <c r="AA158" s="88"/>
      <c r="AB158" s="88"/>
      <c r="AC158" s="88"/>
      <c r="AD158" s="142" t="str">
        <f t="shared" si="67"/>
        <v/>
      </c>
      <c r="AE158" s="88"/>
      <c r="AF158" s="88"/>
      <c r="AG158" s="88"/>
      <c r="AH158" s="88"/>
      <c r="AI158" s="88"/>
      <c r="AJ158" s="88"/>
      <c r="AK158" s="88"/>
      <c r="AL158" s="88"/>
      <c r="AM158" s="88">
        <v>45.08118433619866</v>
      </c>
      <c r="AN158" s="88">
        <v>104.7</v>
      </c>
      <c r="AO158" s="89" t="s">
        <v>56</v>
      </c>
      <c r="AP158" s="90" t="s">
        <v>56</v>
      </c>
      <c r="AQ158" s="146" t="str">
        <f t="shared" si="68"/>
        <v/>
      </c>
      <c r="AR158" s="146" t="str">
        <f t="shared" si="69"/>
        <v/>
      </c>
      <c r="AS158" s="147">
        <v>0</v>
      </c>
      <c r="AT158" s="148" t="s">
        <v>56</v>
      </c>
      <c r="AU158" s="149" t="s">
        <v>56</v>
      </c>
      <c r="AV158" s="146" t="str">
        <f t="shared" si="70"/>
        <v/>
      </c>
      <c r="AW158" s="146" t="str">
        <f t="shared" si="71"/>
        <v/>
      </c>
      <c r="AX158" s="138" t="str">
        <f t="shared" si="72"/>
        <v/>
      </c>
      <c r="AY158" s="95" t="s">
        <v>56</v>
      </c>
      <c r="AZ158" s="96">
        <v>62.734999999999999</v>
      </c>
      <c r="BA158" s="96"/>
      <c r="BB158" s="96">
        <v>111</v>
      </c>
      <c r="BC158" s="96"/>
      <c r="BD158" s="97">
        <v>104.7</v>
      </c>
      <c r="BE158" s="142">
        <f t="shared" si="73"/>
        <v>6396</v>
      </c>
      <c r="BF158" s="98">
        <v>0</v>
      </c>
      <c r="BG158" s="98">
        <v>0</v>
      </c>
      <c r="BH158" s="98">
        <v>1021</v>
      </c>
      <c r="BI158" s="98">
        <v>5375</v>
      </c>
      <c r="BJ158" s="98"/>
      <c r="BK158" s="98"/>
      <c r="BL158" s="97"/>
    </row>
    <row r="159" spans="1:64" outlineLevel="5" x14ac:dyDescent="0.3">
      <c r="A159" s="152">
        <f t="shared" si="45"/>
        <v>5</v>
      </c>
      <c r="B159" s="153">
        <f t="shared" si="74"/>
        <v>44322</v>
      </c>
      <c r="C159" s="138">
        <f t="shared" si="64"/>
        <v>37</v>
      </c>
      <c r="D159" s="84">
        <v>37</v>
      </c>
      <c r="E159" s="84">
        <v>37</v>
      </c>
      <c r="F159" s="84"/>
      <c r="G159" s="84"/>
      <c r="H159" s="84"/>
      <c r="I159" s="84"/>
      <c r="J159" s="84"/>
      <c r="K159" s="84"/>
      <c r="L159" s="140">
        <f t="shared" si="65"/>
        <v>7.7</v>
      </c>
      <c r="M159" s="86">
        <v>7.76</v>
      </c>
      <c r="N159" s="86">
        <v>7.65</v>
      </c>
      <c r="O159" s="86"/>
      <c r="P159" s="86"/>
      <c r="Q159" s="86"/>
      <c r="R159" s="86"/>
      <c r="S159" s="86"/>
      <c r="T159" s="86"/>
      <c r="U159" s="142">
        <f t="shared" si="66"/>
        <v>1600</v>
      </c>
      <c r="V159" s="88">
        <v>1750</v>
      </c>
      <c r="W159" s="88">
        <v>1450</v>
      </c>
      <c r="X159" s="88"/>
      <c r="Y159" s="88"/>
      <c r="Z159" s="88"/>
      <c r="AA159" s="88"/>
      <c r="AB159" s="88"/>
      <c r="AC159" s="88"/>
      <c r="AD159" s="142" t="str">
        <f t="shared" si="67"/>
        <v/>
      </c>
      <c r="AE159" s="88"/>
      <c r="AF159" s="88"/>
      <c r="AG159" s="88"/>
      <c r="AH159" s="88"/>
      <c r="AI159" s="88"/>
      <c r="AJ159" s="88"/>
      <c r="AK159" s="88"/>
      <c r="AL159" s="88"/>
      <c r="AM159" s="88">
        <v>40.331538921644025</v>
      </c>
      <c r="AN159" s="88">
        <v>117.03</v>
      </c>
      <c r="AO159" s="89" t="s">
        <v>56</v>
      </c>
      <c r="AP159" s="90" t="s">
        <v>56</v>
      </c>
      <c r="AQ159" s="146" t="str">
        <f t="shared" si="68"/>
        <v/>
      </c>
      <c r="AR159" s="146" t="str">
        <f t="shared" si="69"/>
        <v/>
      </c>
      <c r="AS159" s="147">
        <v>20</v>
      </c>
      <c r="AT159" s="148">
        <v>13.55</v>
      </c>
      <c r="AU159" s="149">
        <v>7.15</v>
      </c>
      <c r="AV159" s="146">
        <f t="shared" si="70"/>
        <v>52.767527675276746</v>
      </c>
      <c r="AW159" s="146">
        <f t="shared" si="71"/>
        <v>47.232472324723254</v>
      </c>
      <c r="AX159" s="138" t="str">
        <f t="shared" si="72"/>
        <v/>
      </c>
      <c r="AY159" s="95">
        <v>76.599999999999994</v>
      </c>
      <c r="AZ159" s="96">
        <v>61.484999999999999</v>
      </c>
      <c r="BA159" s="96"/>
      <c r="BB159" s="96">
        <v>93</v>
      </c>
      <c r="BC159" s="96"/>
      <c r="BD159" s="97">
        <v>117.03</v>
      </c>
      <c r="BE159" s="142">
        <f t="shared" si="73"/>
        <v>8135</v>
      </c>
      <c r="BF159" s="98">
        <v>405</v>
      </c>
      <c r="BG159" s="98">
        <v>0</v>
      </c>
      <c r="BH159" s="98">
        <v>2457</v>
      </c>
      <c r="BI159" s="98">
        <v>5273</v>
      </c>
      <c r="BJ159" s="98"/>
      <c r="BK159" s="98"/>
      <c r="BL159" s="97"/>
    </row>
    <row r="160" spans="1:64" outlineLevel="5" x14ac:dyDescent="0.3">
      <c r="A160" s="152">
        <f t="shared" si="45"/>
        <v>5</v>
      </c>
      <c r="B160" s="153">
        <f t="shared" si="74"/>
        <v>44323</v>
      </c>
      <c r="C160" s="138">
        <f t="shared" si="64"/>
        <v>38</v>
      </c>
      <c r="D160" s="84">
        <v>38</v>
      </c>
      <c r="E160" s="84">
        <v>38</v>
      </c>
      <c r="F160" s="84"/>
      <c r="G160" s="84"/>
      <c r="H160" s="84"/>
      <c r="I160" s="84"/>
      <c r="J160" s="84"/>
      <c r="K160" s="84"/>
      <c r="L160" s="140" t="str">
        <f t="shared" si="65"/>
        <v/>
      </c>
      <c r="M160" s="86" t="s">
        <v>56</v>
      </c>
      <c r="N160" s="86" t="s">
        <v>56</v>
      </c>
      <c r="O160" s="86"/>
      <c r="P160" s="86"/>
      <c r="Q160" s="86"/>
      <c r="R160" s="86"/>
      <c r="S160" s="86"/>
      <c r="T160" s="86"/>
      <c r="U160" s="142" t="str">
        <f t="shared" si="66"/>
        <v/>
      </c>
      <c r="V160" s="88" t="s">
        <v>56</v>
      </c>
      <c r="W160" s="88" t="s">
        <v>56</v>
      </c>
      <c r="X160" s="88"/>
      <c r="Y160" s="88"/>
      <c r="Z160" s="88"/>
      <c r="AA160" s="88"/>
      <c r="AB160" s="88"/>
      <c r="AC160" s="88"/>
      <c r="AD160" s="142" t="str">
        <f t="shared" si="67"/>
        <v/>
      </c>
      <c r="AE160" s="88"/>
      <c r="AF160" s="88"/>
      <c r="AG160" s="88"/>
      <c r="AH160" s="88"/>
      <c r="AI160" s="88"/>
      <c r="AJ160" s="88"/>
      <c r="AK160" s="88"/>
      <c r="AL160" s="88"/>
      <c r="AM160" s="88">
        <v>40.027137042062421</v>
      </c>
      <c r="AN160" s="88">
        <v>117.91999999999999</v>
      </c>
      <c r="AO160" s="89" t="s">
        <v>56</v>
      </c>
      <c r="AP160" s="90" t="s">
        <v>56</v>
      </c>
      <c r="AQ160" s="146" t="str">
        <f t="shared" si="68"/>
        <v/>
      </c>
      <c r="AR160" s="146" t="str">
        <f t="shared" si="69"/>
        <v/>
      </c>
      <c r="AS160" s="147">
        <v>20</v>
      </c>
      <c r="AT160" s="148" t="s">
        <v>56</v>
      </c>
      <c r="AU160" s="149" t="s">
        <v>56</v>
      </c>
      <c r="AV160" s="146" t="str">
        <f t="shared" si="70"/>
        <v/>
      </c>
      <c r="AW160" s="146" t="str">
        <f t="shared" si="71"/>
        <v/>
      </c>
      <c r="AX160" s="138" t="str">
        <f t="shared" si="72"/>
        <v/>
      </c>
      <c r="AY160" s="95" t="s">
        <v>56</v>
      </c>
      <c r="AZ160" s="96">
        <v>62.064999999999998</v>
      </c>
      <c r="BA160" s="96"/>
      <c r="BB160" s="96">
        <v>67</v>
      </c>
      <c r="BC160" s="96"/>
      <c r="BD160" s="97">
        <v>117.91999999999999</v>
      </c>
      <c r="BE160" s="142">
        <f t="shared" si="73"/>
        <v>6541</v>
      </c>
      <c r="BF160" s="98">
        <v>100</v>
      </c>
      <c r="BG160" s="98">
        <v>0</v>
      </c>
      <c r="BH160" s="98">
        <v>1171</v>
      </c>
      <c r="BI160" s="98">
        <v>5270</v>
      </c>
      <c r="BJ160" s="98"/>
      <c r="BK160" s="98"/>
      <c r="BL160" s="97"/>
    </row>
    <row r="161" spans="1:64" outlineLevel="5" x14ac:dyDescent="0.3">
      <c r="A161" s="152">
        <f t="shared" si="45"/>
        <v>5</v>
      </c>
      <c r="B161" s="153">
        <f t="shared" si="74"/>
        <v>44324</v>
      </c>
      <c r="C161" s="138">
        <f t="shared" si="64"/>
        <v>38</v>
      </c>
      <c r="D161" s="84">
        <v>38</v>
      </c>
      <c r="E161" s="84">
        <v>38</v>
      </c>
      <c r="F161" s="84"/>
      <c r="G161" s="84"/>
      <c r="H161" s="84"/>
      <c r="I161" s="84"/>
      <c r="J161" s="84"/>
      <c r="K161" s="84"/>
      <c r="L161" s="140" t="str">
        <f t="shared" si="65"/>
        <v/>
      </c>
      <c r="M161" s="86"/>
      <c r="N161" s="86"/>
      <c r="O161" s="86"/>
      <c r="P161" s="86"/>
      <c r="Q161" s="86"/>
      <c r="R161" s="86"/>
      <c r="S161" s="86"/>
      <c r="T161" s="86"/>
      <c r="U161" s="142" t="str">
        <f t="shared" si="66"/>
        <v/>
      </c>
      <c r="V161" s="88"/>
      <c r="W161" s="88"/>
      <c r="X161" s="88"/>
      <c r="Y161" s="88"/>
      <c r="Z161" s="88"/>
      <c r="AA161" s="88"/>
      <c r="AB161" s="88"/>
      <c r="AC161" s="88"/>
      <c r="AD161" s="142" t="str">
        <f t="shared" si="67"/>
        <v/>
      </c>
      <c r="AE161" s="88"/>
      <c r="AF161" s="88"/>
      <c r="AG161" s="88"/>
      <c r="AH161" s="88"/>
      <c r="AI161" s="88"/>
      <c r="AJ161" s="88"/>
      <c r="AK161" s="88"/>
      <c r="AL161" s="88"/>
      <c r="AM161" s="88">
        <v>43.980618710398808</v>
      </c>
      <c r="AN161" s="88">
        <v>107.32</v>
      </c>
      <c r="AO161" s="89"/>
      <c r="AP161" s="90"/>
      <c r="AQ161" s="146" t="str">
        <f t="shared" si="68"/>
        <v/>
      </c>
      <c r="AR161" s="146" t="str">
        <f t="shared" si="69"/>
        <v/>
      </c>
      <c r="AS161" s="147">
        <v>10</v>
      </c>
      <c r="AT161" s="148" t="s">
        <v>56</v>
      </c>
      <c r="AU161" s="149" t="s">
        <v>56</v>
      </c>
      <c r="AV161" s="146" t="str">
        <f t="shared" si="70"/>
        <v/>
      </c>
      <c r="AW161" s="146" t="str">
        <f t="shared" si="71"/>
        <v/>
      </c>
      <c r="AX161" s="138" t="str">
        <f t="shared" si="72"/>
        <v/>
      </c>
      <c r="AY161" s="95" t="s">
        <v>56</v>
      </c>
      <c r="AZ161" s="96">
        <v>61.03</v>
      </c>
      <c r="BA161" s="96"/>
      <c r="BB161" s="96">
        <v>90.5</v>
      </c>
      <c r="BC161" s="96"/>
      <c r="BD161" s="97">
        <v>107.32</v>
      </c>
      <c r="BE161" s="142">
        <f t="shared" si="73"/>
        <v>7282</v>
      </c>
      <c r="BF161" s="98">
        <v>133</v>
      </c>
      <c r="BG161" s="98">
        <v>0</v>
      </c>
      <c r="BH161" s="98">
        <v>1922</v>
      </c>
      <c r="BI161" s="98">
        <v>5227</v>
      </c>
      <c r="BJ161" s="98"/>
      <c r="BK161" s="98"/>
      <c r="BL161" s="97"/>
    </row>
    <row r="162" spans="1:64" outlineLevel="5" x14ac:dyDescent="0.3">
      <c r="A162" s="152">
        <f t="shared" si="45"/>
        <v>5</v>
      </c>
      <c r="B162" s="153">
        <f t="shared" si="74"/>
        <v>44325</v>
      </c>
      <c r="C162" s="138">
        <f t="shared" si="64"/>
        <v>37</v>
      </c>
      <c r="D162" s="84">
        <v>37</v>
      </c>
      <c r="E162" s="84">
        <v>37</v>
      </c>
      <c r="F162" s="84"/>
      <c r="G162" s="84"/>
      <c r="H162" s="84"/>
      <c r="I162" s="84"/>
      <c r="J162" s="84"/>
      <c r="K162" s="84"/>
      <c r="L162" s="140" t="str">
        <f t="shared" si="65"/>
        <v/>
      </c>
      <c r="M162" s="86"/>
      <c r="N162" s="86"/>
      <c r="O162" s="86"/>
      <c r="P162" s="86"/>
      <c r="Q162" s="86"/>
      <c r="R162" s="86"/>
      <c r="S162" s="86"/>
      <c r="T162" s="86"/>
      <c r="U162" s="142" t="str">
        <f t="shared" si="66"/>
        <v/>
      </c>
      <c r="V162" s="88"/>
      <c r="W162" s="88"/>
      <c r="X162" s="88"/>
      <c r="Y162" s="88"/>
      <c r="Z162" s="88"/>
      <c r="AA162" s="88"/>
      <c r="AB162" s="88"/>
      <c r="AC162" s="88"/>
      <c r="AD162" s="142" t="str">
        <f t="shared" si="67"/>
        <v/>
      </c>
      <c r="AE162" s="88"/>
      <c r="AF162" s="88"/>
      <c r="AG162" s="88"/>
      <c r="AH162" s="88"/>
      <c r="AI162" s="88"/>
      <c r="AJ162" s="88"/>
      <c r="AK162" s="88"/>
      <c r="AL162" s="88"/>
      <c r="AM162" s="88">
        <v>49.684210526315788</v>
      </c>
      <c r="AN162" s="88">
        <v>95</v>
      </c>
      <c r="AO162" s="89"/>
      <c r="AP162" s="90"/>
      <c r="AQ162" s="146" t="str">
        <f t="shared" si="68"/>
        <v/>
      </c>
      <c r="AR162" s="146" t="str">
        <f t="shared" si="69"/>
        <v/>
      </c>
      <c r="AS162" s="147">
        <v>10</v>
      </c>
      <c r="AT162" s="148" t="s">
        <v>56</v>
      </c>
      <c r="AU162" s="149" t="s">
        <v>56</v>
      </c>
      <c r="AV162" s="146" t="str">
        <f t="shared" si="70"/>
        <v/>
      </c>
      <c r="AW162" s="146" t="str">
        <f t="shared" si="71"/>
        <v/>
      </c>
      <c r="AX162" s="138" t="str">
        <f t="shared" si="72"/>
        <v/>
      </c>
      <c r="AY162" s="95" t="s">
        <v>56</v>
      </c>
      <c r="AZ162" s="96">
        <v>61</v>
      </c>
      <c r="BA162" s="96"/>
      <c r="BB162" s="96">
        <v>95</v>
      </c>
      <c r="BC162" s="96"/>
      <c r="BD162" s="97">
        <v>95</v>
      </c>
      <c r="BE162" s="142">
        <f t="shared" si="73"/>
        <v>6552</v>
      </c>
      <c r="BF162" s="98">
        <v>41</v>
      </c>
      <c r="BG162" s="98">
        <v>0</v>
      </c>
      <c r="BH162" s="98">
        <v>1349</v>
      </c>
      <c r="BI162" s="98">
        <v>5162</v>
      </c>
      <c r="BJ162" s="98"/>
      <c r="BK162" s="98"/>
      <c r="BL162" s="97"/>
    </row>
    <row r="163" spans="1:64" outlineLevel="5" x14ac:dyDescent="0.3">
      <c r="A163" s="152">
        <f t="shared" ref="A163:A234" si="75">MONTH(B163)</f>
        <v>5</v>
      </c>
      <c r="B163" s="153">
        <f t="shared" si="74"/>
        <v>44326</v>
      </c>
      <c r="C163" s="138">
        <f t="shared" si="64"/>
        <v>36.5</v>
      </c>
      <c r="D163" s="84">
        <v>37</v>
      </c>
      <c r="E163" s="84">
        <v>36</v>
      </c>
      <c r="F163" s="84"/>
      <c r="G163" s="84"/>
      <c r="H163" s="84"/>
      <c r="I163" s="84"/>
      <c r="J163" s="84"/>
      <c r="K163" s="84"/>
      <c r="L163" s="140">
        <f t="shared" si="65"/>
        <v>7.7</v>
      </c>
      <c r="M163" s="86">
        <v>7.78</v>
      </c>
      <c r="N163" s="86">
        <v>7.64</v>
      </c>
      <c r="O163" s="86"/>
      <c r="P163" s="86"/>
      <c r="Q163" s="86"/>
      <c r="R163" s="86"/>
      <c r="S163" s="86"/>
      <c r="T163" s="86"/>
      <c r="U163" s="142">
        <f t="shared" si="66"/>
        <v>1575</v>
      </c>
      <c r="V163" s="88">
        <v>1700</v>
      </c>
      <c r="W163" s="88">
        <v>1450</v>
      </c>
      <c r="X163" s="88"/>
      <c r="Y163" s="88"/>
      <c r="Z163" s="88"/>
      <c r="AA163" s="88"/>
      <c r="AB163" s="88"/>
      <c r="AC163" s="88"/>
      <c r="AD163" s="142" t="str">
        <f t="shared" si="67"/>
        <v/>
      </c>
      <c r="AE163" s="88"/>
      <c r="AF163" s="88"/>
      <c r="AG163" s="88"/>
      <c r="AH163" s="88"/>
      <c r="AI163" s="88"/>
      <c r="AJ163" s="88"/>
      <c r="AK163" s="88"/>
      <c r="AL163" s="88"/>
      <c r="AM163" s="88">
        <v>42.286328614943557</v>
      </c>
      <c r="AN163" s="88">
        <v>111.62</v>
      </c>
      <c r="AO163" s="89">
        <v>16.100000000000001</v>
      </c>
      <c r="AP163" s="90">
        <v>13.6045</v>
      </c>
      <c r="AQ163" s="146">
        <f t="shared" si="68"/>
        <v>84.499999999999986</v>
      </c>
      <c r="AR163" s="146">
        <f t="shared" si="69"/>
        <v>15.500000000000014</v>
      </c>
      <c r="AS163" s="147">
        <v>20</v>
      </c>
      <c r="AT163" s="148">
        <v>17.100000000000001</v>
      </c>
      <c r="AU163" s="149">
        <v>9.15</v>
      </c>
      <c r="AV163" s="146">
        <f t="shared" si="70"/>
        <v>53.508771929824562</v>
      </c>
      <c r="AW163" s="146">
        <f t="shared" si="71"/>
        <v>46.491228070175438</v>
      </c>
      <c r="AX163" s="138">
        <f t="shared" si="72"/>
        <v>78.888020542592358</v>
      </c>
      <c r="AY163" s="95">
        <v>74.7</v>
      </c>
      <c r="AZ163" s="96">
        <v>62</v>
      </c>
      <c r="BA163" s="96"/>
      <c r="BB163" s="96">
        <v>81</v>
      </c>
      <c r="BC163" s="96"/>
      <c r="BD163" s="97">
        <v>111.62</v>
      </c>
      <c r="BE163" s="142">
        <f t="shared" si="73"/>
        <v>6267</v>
      </c>
      <c r="BF163" s="98">
        <v>0</v>
      </c>
      <c r="BG163" s="98">
        <v>0</v>
      </c>
      <c r="BH163" s="98">
        <v>1072</v>
      </c>
      <c r="BI163" s="98">
        <v>5195</v>
      </c>
      <c r="BJ163" s="98"/>
      <c r="BK163" s="98"/>
      <c r="BL163" s="97"/>
    </row>
    <row r="164" spans="1:64" outlineLevel="5" x14ac:dyDescent="0.3">
      <c r="A164" s="152">
        <f t="shared" si="75"/>
        <v>5</v>
      </c>
      <c r="B164" s="153">
        <f t="shared" si="74"/>
        <v>44327</v>
      </c>
      <c r="C164" s="138">
        <f t="shared" si="64"/>
        <v>36</v>
      </c>
      <c r="D164" s="84">
        <v>36</v>
      </c>
      <c r="E164" s="84">
        <v>36</v>
      </c>
      <c r="F164" s="84"/>
      <c r="G164" s="84"/>
      <c r="H164" s="84"/>
      <c r="I164" s="84"/>
      <c r="J164" s="84"/>
      <c r="K164" s="84"/>
      <c r="L164" s="140" t="str">
        <f t="shared" si="65"/>
        <v/>
      </c>
      <c r="M164" s="86" t="s">
        <v>56</v>
      </c>
      <c r="N164" s="86" t="s">
        <v>56</v>
      </c>
      <c r="O164" s="86"/>
      <c r="P164" s="86"/>
      <c r="Q164" s="86"/>
      <c r="R164" s="86"/>
      <c r="S164" s="86"/>
      <c r="T164" s="86"/>
      <c r="U164" s="142" t="str">
        <f t="shared" si="66"/>
        <v/>
      </c>
      <c r="V164" s="88" t="s">
        <v>56</v>
      </c>
      <c r="W164" s="88" t="s">
        <v>56</v>
      </c>
      <c r="X164" s="88"/>
      <c r="Y164" s="88"/>
      <c r="Z164" s="88"/>
      <c r="AA164" s="88"/>
      <c r="AB164" s="88"/>
      <c r="AC164" s="88"/>
      <c r="AD164" s="142" t="str">
        <f t="shared" si="67"/>
        <v/>
      </c>
      <c r="AE164" s="88"/>
      <c r="AF164" s="88"/>
      <c r="AG164" s="88"/>
      <c r="AH164" s="88"/>
      <c r="AI164" s="88"/>
      <c r="AJ164" s="88"/>
      <c r="AK164" s="88"/>
      <c r="AL164" s="88"/>
      <c r="AM164" s="88">
        <v>38.402082824831176</v>
      </c>
      <c r="AN164" s="88">
        <v>122.91</v>
      </c>
      <c r="AO164" s="89" t="s">
        <v>56</v>
      </c>
      <c r="AP164" s="90" t="s">
        <v>56</v>
      </c>
      <c r="AQ164" s="146" t="str">
        <f t="shared" si="68"/>
        <v/>
      </c>
      <c r="AR164" s="146" t="str">
        <f t="shared" si="69"/>
        <v/>
      </c>
      <c r="AS164" s="147">
        <v>20</v>
      </c>
      <c r="AT164" s="148" t="s">
        <v>56</v>
      </c>
      <c r="AU164" s="149" t="s">
        <v>56</v>
      </c>
      <c r="AV164" s="146" t="str">
        <f t="shared" si="70"/>
        <v/>
      </c>
      <c r="AW164" s="146" t="str">
        <f t="shared" si="71"/>
        <v/>
      </c>
      <c r="AX164" s="138" t="str">
        <f t="shared" si="72"/>
        <v/>
      </c>
      <c r="AY164" s="95" t="s">
        <v>56</v>
      </c>
      <c r="AZ164" s="96">
        <v>60.795000000000002</v>
      </c>
      <c r="BA164" s="96"/>
      <c r="BB164" s="96">
        <v>90</v>
      </c>
      <c r="BC164" s="96"/>
      <c r="BD164" s="97">
        <v>122.91</v>
      </c>
      <c r="BE164" s="142">
        <f t="shared" si="73"/>
        <v>8446</v>
      </c>
      <c r="BF164" s="98">
        <v>246</v>
      </c>
      <c r="BG164" s="98">
        <v>0</v>
      </c>
      <c r="BH164" s="98">
        <v>2835</v>
      </c>
      <c r="BI164" s="98">
        <v>5365</v>
      </c>
      <c r="BJ164" s="98"/>
      <c r="BK164" s="98"/>
      <c r="BL164" s="97"/>
    </row>
    <row r="165" spans="1:64" outlineLevel="5" x14ac:dyDescent="0.3">
      <c r="A165" s="152">
        <f t="shared" si="75"/>
        <v>5</v>
      </c>
      <c r="B165" s="153">
        <f t="shared" si="74"/>
        <v>44328</v>
      </c>
      <c r="C165" s="138">
        <f t="shared" si="64"/>
        <v>35.5</v>
      </c>
      <c r="D165" s="84">
        <v>35</v>
      </c>
      <c r="E165" s="84">
        <v>36</v>
      </c>
      <c r="F165" s="84"/>
      <c r="G165" s="84"/>
      <c r="H165" s="84"/>
      <c r="I165" s="84"/>
      <c r="J165" s="84"/>
      <c r="K165" s="84"/>
      <c r="L165" s="140">
        <f t="shared" si="65"/>
        <v>7.7</v>
      </c>
      <c r="M165" s="86">
        <v>7.72</v>
      </c>
      <c r="N165" s="86">
        <v>7.59</v>
      </c>
      <c r="O165" s="86"/>
      <c r="P165" s="86"/>
      <c r="Q165" s="86"/>
      <c r="R165" s="86"/>
      <c r="S165" s="86"/>
      <c r="T165" s="86"/>
      <c r="U165" s="142">
        <f t="shared" si="66"/>
        <v>1550</v>
      </c>
      <c r="V165" s="88">
        <v>1650</v>
      </c>
      <c r="W165" s="88">
        <v>1450</v>
      </c>
      <c r="X165" s="88"/>
      <c r="Y165" s="88"/>
      <c r="Z165" s="88"/>
      <c r="AA165" s="88"/>
      <c r="AB165" s="88"/>
      <c r="AC165" s="88"/>
      <c r="AD165" s="142" t="str">
        <f t="shared" si="67"/>
        <v/>
      </c>
      <c r="AE165" s="88"/>
      <c r="AF165" s="88"/>
      <c r="AG165" s="88"/>
      <c r="AH165" s="88"/>
      <c r="AI165" s="88"/>
      <c r="AJ165" s="88"/>
      <c r="AK165" s="88"/>
      <c r="AL165" s="88"/>
      <c r="AM165" s="88">
        <v>34.888018330992679</v>
      </c>
      <c r="AN165" s="88">
        <v>135.29000000000002</v>
      </c>
      <c r="AO165" s="89" t="s">
        <v>56</v>
      </c>
      <c r="AP165" s="90" t="s">
        <v>56</v>
      </c>
      <c r="AQ165" s="146" t="str">
        <f t="shared" si="68"/>
        <v/>
      </c>
      <c r="AR165" s="146" t="str">
        <f t="shared" si="69"/>
        <v/>
      </c>
      <c r="AS165" s="147">
        <v>25</v>
      </c>
      <c r="AT165" s="148">
        <v>16.899999999999999</v>
      </c>
      <c r="AU165" s="149">
        <v>8.6999999999999993</v>
      </c>
      <c r="AV165" s="146">
        <f t="shared" si="70"/>
        <v>51.479289940828401</v>
      </c>
      <c r="AW165" s="146">
        <f t="shared" si="71"/>
        <v>48.520710059171599</v>
      </c>
      <c r="AX165" s="138" t="str">
        <f t="shared" si="72"/>
        <v/>
      </c>
      <c r="AY165" s="95">
        <v>75.349999999999994</v>
      </c>
      <c r="AZ165" s="96">
        <v>62.015000000000001</v>
      </c>
      <c r="BA165" s="96"/>
      <c r="BB165" s="96">
        <v>102</v>
      </c>
      <c r="BC165" s="96"/>
      <c r="BD165" s="97">
        <v>135.29000000000002</v>
      </c>
      <c r="BE165" s="142">
        <f t="shared" si="73"/>
        <v>6974</v>
      </c>
      <c r="BF165" s="98">
        <v>243</v>
      </c>
      <c r="BG165" s="98">
        <v>288</v>
      </c>
      <c r="BH165" s="98">
        <v>1133</v>
      </c>
      <c r="BI165" s="98">
        <v>5310</v>
      </c>
      <c r="BJ165" s="98"/>
      <c r="BK165" s="98"/>
      <c r="BL165" s="97"/>
    </row>
    <row r="166" spans="1:64" outlineLevel="5" x14ac:dyDescent="0.3">
      <c r="A166" s="152">
        <f t="shared" si="75"/>
        <v>5</v>
      </c>
      <c r="B166" s="153">
        <f t="shared" si="74"/>
        <v>44329</v>
      </c>
      <c r="C166" s="138">
        <f t="shared" si="64"/>
        <v>37</v>
      </c>
      <c r="D166" s="84">
        <v>37</v>
      </c>
      <c r="E166" s="84">
        <v>37</v>
      </c>
      <c r="F166" s="84"/>
      <c r="G166" s="84"/>
      <c r="H166" s="84"/>
      <c r="I166" s="84"/>
      <c r="J166" s="84"/>
      <c r="K166" s="84"/>
      <c r="L166" s="140">
        <f t="shared" si="65"/>
        <v>7.6</v>
      </c>
      <c r="M166" s="86">
        <v>7.7</v>
      </c>
      <c r="N166" s="86">
        <v>7.51</v>
      </c>
      <c r="O166" s="86"/>
      <c r="P166" s="86"/>
      <c r="Q166" s="86"/>
      <c r="R166" s="86"/>
      <c r="S166" s="86"/>
      <c r="T166" s="86"/>
      <c r="U166" s="142">
        <f t="shared" si="66"/>
        <v>1507.5</v>
      </c>
      <c r="V166" s="88">
        <v>1650</v>
      </c>
      <c r="W166" s="88">
        <v>1365</v>
      </c>
      <c r="X166" s="88"/>
      <c r="Y166" s="88"/>
      <c r="Z166" s="88"/>
      <c r="AA166" s="88"/>
      <c r="AB166" s="88"/>
      <c r="AC166" s="88"/>
      <c r="AD166" s="142" t="str">
        <f t="shared" si="67"/>
        <v/>
      </c>
      <c r="AE166" s="88"/>
      <c r="AF166" s="88"/>
      <c r="AG166" s="88"/>
      <c r="AH166" s="88"/>
      <c r="AI166" s="88"/>
      <c r="AJ166" s="88"/>
      <c r="AK166" s="88"/>
      <c r="AL166" s="88"/>
      <c r="AM166" s="88">
        <v>66.582028494851173</v>
      </c>
      <c r="AN166" s="88">
        <v>70.89</v>
      </c>
      <c r="AO166" s="89" t="s">
        <v>56</v>
      </c>
      <c r="AP166" s="90" t="s">
        <v>56</v>
      </c>
      <c r="AQ166" s="146" t="str">
        <f t="shared" si="68"/>
        <v/>
      </c>
      <c r="AR166" s="146" t="str">
        <f t="shared" si="69"/>
        <v/>
      </c>
      <c r="AS166" s="147">
        <v>10</v>
      </c>
      <c r="AT166" s="148">
        <v>16.25</v>
      </c>
      <c r="AU166" s="149">
        <v>8.8999999999999986</v>
      </c>
      <c r="AV166" s="146">
        <f t="shared" si="70"/>
        <v>54.769230769230759</v>
      </c>
      <c r="AW166" s="146">
        <f t="shared" si="71"/>
        <v>45.230769230769241</v>
      </c>
      <c r="AX166" s="138" t="str">
        <f t="shared" si="72"/>
        <v/>
      </c>
      <c r="AY166" s="95">
        <v>75.199999999999989</v>
      </c>
      <c r="AZ166" s="96">
        <v>64.875</v>
      </c>
      <c r="BA166" s="96"/>
      <c r="BB166" s="96">
        <v>85</v>
      </c>
      <c r="BC166" s="96"/>
      <c r="BD166" s="97">
        <v>70.89</v>
      </c>
      <c r="BE166" s="142">
        <f t="shared" si="73"/>
        <v>4115</v>
      </c>
      <c r="BF166" s="98">
        <v>212</v>
      </c>
      <c r="BG166" s="98">
        <v>0</v>
      </c>
      <c r="BH166" s="98">
        <v>697</v>
      </c>
      <c r="BI166" s="98">
        <v>3206</v>
      </c>
      <c r="BJ166" s="98"/>
      <c r="BK166" s="98"/>
      <c r="BL166" s="97"/>
    </row>
    <row r="167" spans="1:64" outlineLevel="5" x14ac:dyDescent="0.3">
      <c r="A167" s="152">
        <f t="shared" si="75"/>
        <v>5</v>
      </c>
      <c r="B167" s="153">
        <f t="shared" si="74"/>
        <v>44330</v>
      </c>
      <c r="C167" s="138">
        <f t="shared" si="64"/>
        <v>37</v>
      </c>
      <c r="D167" s="84">
        <v>37</v>
      </c>
      <c r="E167" s="84">
        <v>37</v>
      </c>
      <c r="F167" s="84"/>
      <c r="G167" s="84"/>
      <c r="H167" s="84"/>
      <c r="I167" s="84"/>
      <c r="J167" s="84"/>
      <c r="K167" s="84"/>
      <c r="L167" s="140" t="str">
        <f t="shared" si="65"/>
        <v/>
      </c>
      <c r="M167" s="86" t="s">
        <v>56</v>
      </c>
      <c r="N167" s="86" t="s">
        <v>56</v>
      </c>
      <c r="O167" s="86"/>
      <c r="P167" s="86"/>
      <c r="Q167" s="86"/>
      <c r="R167" s="86"/>
      <c r="S167" s="86"/>
      <c r="T167" s="86"/>
      <c r="U167" s="142" t="str">
        <f t="shared" si="66"/>
        <v/>
      </c>
      <c r="V167" s="88" t="s">
        <v>56</v>
      </c>
      <c r="W167" s="88" t="s">
        <v>56</v>
      </c>
      <c r="X167" s="88"/>
      <c r="Y167" s="88"/>
      <c r="Z167" s="88"/>
      <c r="AA167" s="88"/>
      <c r="AB167" s="88"/>
      <c r="AC167" s="88"/>
      <c r="AD167" s="142" t="str">
        <f t="shared" si="67"/>
        <v/>
      </c>
      <c r="AE167" s="88"/>
      <c r="AF167" s="88"/>
      <c r="AG167" s="88"/>
      <c r="AH167" s="88"/>
      <c r="AI167" s="88"/>
      <c r="AJ167" s="88"/>
      <c r="AK167" s="88"/>
      <c r="AL167" s="88"/>
      <c r="AM167" s="88">
        <v>40.480274442538594</v>
      </c>
      <c r="AN167" s="88">
        <v>116.6</v>
      </c>
      <c r="AO167" s="89" t="s">
        <v>56</v>
      </c>
      <c r="AP167" s="90" t="s">
        <v>56</v>
      </c>
      <c r="AQ167" s="146" t="str">
        <f t="shared" si="68"/>
        <v/>
      </c>
      <c r="AR167" s="146" t="str">
        <f t="shared" si="69"/>
        <v/>
      </c>
      <c r="AS167" s="147">
        <v>10</v>
      </c>
      <c r="AT167" s="148" t="s">
        <v>56</v>
      </c>
      <c r="AU167" s="149" t="s">
        <v>56</v>
      </c>
      <c r="AV167" s="146" t="str">
        <f t="shared" si="70"/>
        <v/>
      </c>
      <c r="AW167" s="146" t="str">
        <f t="shared" si="71"/>
        <v/>
      </c>
      <c r="AX167" s="138" t="str">
        <f t="shared" si="72"/>
        <v/>
      </c>
      <c r="AY167" s="95" t="s">
        <v>56</v>
      </c>
      <c r="AZ167" s="96">
        <v>65.61</v>
      </c>
      <c r="BA167" s="96"/>
      <c r="BB167" s="96">
        <v>87</v>
      </c>
      <c r="BC167" s="96"/>
      <c r="BD167" s="97">
        <v>116.6</v>
      </c>
      <c r="BE167" s="142">
        <f t="shared" si="73"/>
        <v>5645</v>
      </c>
      <c r="BF167" s="98">
        <v>197</v>
      </c>
      <c r="BG167" s="98">
        <v>0</v>
      </c>
      <c r="BH167" s="98">
        <v>41</v>
      </c>
      <c r="BI167" s="98">
        <v>5407</v>
      </c>
      <c r="BJ167" s="98"/>
      <c r="BK167" s="98"/>
      <c r="BL167" s="97"/>
    </row>
    <row r="168" spans="1:64" outlineLevel="5" x14ac:dyDescent="0.3">
      <c r="A168" s="152">
        <f t="shared" si="75"/>
        <v>5</v>
      </c>
      <c r="B168" s="153">
        <f t="shared" si="74"/>
        <v>44331</v>
      </c>
      <c r="C168" s="138">
        <f t="shared" si="64"/>
        <v>37</v>
      </c>
      <c r="D168" s="84">
        <v>37</v>
      </c>
      <c r="E168" s="84">
        <v>37</v>
      </c>
      <c r="F168" s="84"/>
      <c r="G168" s="84"/>
      <c r="H168" s="84"/>
      <c r="I168" s="84"/>
      <c r="J168" s="84"/>
      <c r="K168" s="84"/>
      <c r="L168" s="140" t="str">
        <f t="shared" si="65"/>
        <v/>
      </c>
      <c r="M168" s="86"/>
      <c r="N168" s="86"/>
      <c r="O168" s="86"/>
      <c r="P168" s="86"/>
      <c r="Q168" s="86"/>
      <c r="R168" s="86"/>
      <c r="S168" s="86"/>
      <c r="T168" s="86"/>
      <c r="U168" s="142" t="str">
        <f t="shared" si="66"/>
        <v/>
      </c>
      <c r="V168" s="88"/>
      <c r="W168" s="88"/>
      <c r="X168" s="88"/>
      <c r="Y168" s="88"/>
      <c r="Z168" s="88"/>
      <c r="AA168" s="88"/>
      <c r="AB168" s="88"/>
      <c r="AC168" s="88"/>
      <c r="AD168" s="142" t="str">
        <f t="shared" si="67"/>
        <v/>
      </c>
      <c r="AE168" s="88"/>
      <c r="AF168" s="88"/>
      <c r="AG168" s="88"/>
      <c r="AH168" s="88"/>
      <c r="AI168" s="88"/>
      <c r="AJ168" s="88"/>
      <c r="AK168" s="88"/>
      <c r="AL168" s="88"/>
      <c r="AM168" s="88">
        <v>37.118590751808746</v>
      </c>
      <c r="AN168" s="88">
        <v>127.16</v>
      </c>
      <c r="AO168" s="89"/>
      <c r="AP168" s="90"/>
      <c r="AQ168" s="146" t="str">
        <f t="shared" si="68"/>
        <v/>
      </c>
      <c r="AR168" s="146" t="str">
        <f t="shared" si="69"/>
        <v/>
      </c>
      <c r="AS168" s="147">
        <v>0</v>
      </c>
      <c r="AT168" s="148" t="s">
        <v>56</v>
      </c>
      <c r="AU168" s="149" t="s">
        <v>56</v>
      </c>
      <c r="AV168" s="146" t="str">
        <f t="shared" si="70"/>
        <v/>
      </c>
      <c r="AW168" s="146" t="str">
        <f t="shared" si="71"/>
        <v/>
      </c>
      <c r="AX168" s="138" t="str">
        <f t="shared" si="72"/>
        <v/>
      </c>
      <c r="AY168" s="95" t="s">
        <v>56</v>
      </c>
      <c r="AZ168" s="96">
        <v>63.444999999999993</v>
      </c>
      <c r="BA168" s="96"/>
      <c r="BB168" s="96">
        <v>80</v>
      </c>
      <c r="BC168" s="96"/>
      <c r="BD168" s="97">
        <v>127.16</v>
      </c>
      <c r="BE168" s="142">
        <f t="shared" si="73"/>
        <v>7818</v>
      </c>
      <c r="BF168" s="98">
        <v>258</v>
      </c>
      <c r="BG168" s="98">
        <v>0</v>
      </c>
      <c r="BH168" s="98">
        <v>2224</v>
      </c>
      <c r="BI168" s="98">
        <v>5336</v>
      </c>
      <c r="BJ168" s="98"/>
      <c r="BK168" s="98"/>
      <c r="BL168" s="97"/>
    </row>
    <row r="169" spans="1:64" outlineLevel="5" x14ac:dyDescent="0.3">
      <c r="A169" s="152">
        <f t="shared" si="75"/>
        <v>5</v>
      </c>
      <c r="B169" s="153">
        <f t="shared" si="74"/>
        <v>44332</v>
      </c>
      <c r="C169" s="138">
        <f t="shared" si="64"/>
        <v>37</v>
      </c>
      <c r="D169" s="84">
        <v>37</v>
      </c>
      <c r="E169" s="84">
        <v>37</v>
      </c>
      <c r="F169" s="84"/>
      <c r="G169" s="84"/>
      <c r="H169" s="84"/>
      <c r="I169" s="84"/>
      <c r="J169" s="84"/>
      <c r="K169" s="84"/>
      <c r="L169" s="140" t="str">
        <f t="shared" si="65"/>
        <v/>
      </c>
      <c r="M169" s="86"/>
      <c r="N169" s="86"/>
      <c r="O169" s="86"/>
      <c r="P169" s="86"/>
      <c r="Q169" s="86"/>
      <c r="R169" s="86"/>
      <c r="S169" s="86"/>
      <c r="T169" s="86"/>
      <c r="U169" s="142" t="str">
        <f t="shared" si="66"/>
        <v/>
      </c>
      <c r="V169" s="88"/>
      <c r="W169" s="88"/>
      <c r="X169" s="88"/>
      <c r="Y169" s="88"/>
      <c r="Z169" s="88"/>
      <c r="AA169" s="88"/>
      <c r="AB169" s="88"/>
      <c r="AC169" s="88"/>
      <c r="AD169" s="142" t="str">
        <f t="shared" si="67"/>
        <v/>
      </c>
      <c r="AE169" s="88"/>
      <c r="AF169" s="88"/>
      <c r="AG169" s="88"/>
      <c r="AH169" s="88"/>
      <c r="AI169" s="88"/>
      <c r="AJ169" s="88"/>
      <c r="AK169" s="88"/>
      <c r="AL169" s="88"/>
      <c r="AM169" s="88">
        <v>39.333333333333336</v>
      </c>
      <c r="AN169" s="88">
        <v>120</v>
      </c>
      <c r="AO169" s="89"/>
      <c r="AP169" s="90"/>
      <c r="AQ169" s="146" t="str">
        <f t="shared" si="68"/>
        <v/>
      </c>
      <c r="AR169" s="146" t="str">
        <f t="shared" si="69"/>
        <v/>
      </c>
      <c r="AS169" s="147">
        <v>0</v>
      </c>
      <c r="AT169" s="148" t="s">
        <v>56</v>
      </c>
      <c r="AU169" s="149" t="s">
        <v>56</v>
      </c>
      <c r="AV169" s="146" t="str">
        <f t="shared" si="70"/>
        <v/>
      </c>
      <c r="AW169" s="146" t="str">
        <f t="shared" si="71"/>
        <v/>
      </c>
      <c r="AX169" s="138" t="str">
        <f t="shared" si="72"/>
        <v/>
      </c>
      <c r="AY169" s="95" t="s">
        <v>56</v>
      </c>
      <c r="AZ169" s="96">
        <v>62.844999999999999</v>
      </c>
      <c r="BA169" s="96"/>
      <c r="BB169" s="96">
        <v>90.5</v>
      </c>
      <c r="BC169" s="96"/>
      <c r="BD169" s="97">
        <v>120</v>
      </c>
      <c r="BE169" s="142">
        <f t="shared" si="73"/>
        <v>6945</v>
      </c>
      <c r="BF169" s="98">
        <v>269</v>
      </c>
      <c r="BG169" s="98">
        <v>0</v>
      </c>
      <c r="BH169" s="98">
        <v>1301</v>
      </c>
      <c r="BI169" s="98">
        <v>5375</v>
      </c>
      <c r="BJ169" s="98"/>
      <c r="BK169" s="98"/>
      <c r="BL169" s="97"/>
    </row>
    <row r="170" spans="1:64" outlineLevel="5" x14ac:dyDescent="0.3">
      <c r="A170" s="152">
        <f t="shared" si="75"/>
        <v>5</v>
      </c>
      <c r="B170" s="153">
        <f t="shared" si="74"/>
        <v>44333</v>
      </c>
      <c r="C170" s="138">
        <f t="shared" si="64"/>
        <v>37</v>
      </c>
      <c r="D170" s="84">
        <v>37</v>
      </c>
      <c r="E170" s="84">
        <v>37</v>
      </c>
      <c r="F170" s="84"/>
      <c r="G170" s="84"/>
      <c r="H170" s="84"/>
      <c r="I170" s="84"/>
      <c r="J170" s="84"/>
      <c r="K170" s="84"/>
      <c r="L170" s="140" t="str">
        <f t="shared" si="65"/>
        <v/>
      </c>
      <c r="M170" s="86" t="s">
        <v>56</v>
      </c>
      <c r="N170" s="86" t="s">
        <v>56</v>
      </c>
      <c r="O170" s="86"/>
      <c r="P170" s="86"/>
      <c r="Q170" s="86"/>
      <c r="R170" s="86"/>
      <c r="S170" s="86"/>
      <c r="T170" s="86"/>
      <c r="U170" s="142" t="str">
        <f t="shared" si="66"/>
        <v/>
      </c>
      <c r="V170" s="88" t="s">
        <v>56</v>
      </c>
      <c r="W170" s="88" t="s">
        <v>56</v>
      </c>
      <c r="X170" s="88"/>
      <c r="Y170" s="88"/>
      <c r="Z170" s="88"/>
      <c r="AA170" s="88"/>
      <c r="AB170" s="88"/>
      <c r="AC170" s="88"/>
      <c r="AD170" s="142" t="str">
        <f t="shared" si="67"/>
        <v/>
      </c>
      <c r="AE170" s="88"/>
      <c r="AF170" s="88"/>
      <c r="AG170" s="88"/>
      <c r="AH170" s="88"/>
      <c r="AI170" s="88"/>
      <c r="AJ170" s="88"/>
      <c r="AK170" s="88"/>
      <c r="AL170" s="88"/>
      <c r="AM170" s="88">
        <v>63.483523873570952</v>
      </c>
      <c r="AN170" s="88">
        <v>74.349999999999994</v>
      </c>
      <c r="AO170" s="89" t="s">
        <v>56</v>
      </c>
      <c r="AP170" s="90"/>
      <c r="AQ170" s="146" t="str">
        <f t="shared" si="68"/>
        <v/>
      </c>
      <c r="AR170" s="146" t="str">
        <f t="shared" si="69"/>
        <v/>
      </c>
      <c r="AS170" s="147">
        <v>0</v>
      </c>
      <c r="AT170" s="148" t="s">
        <v>56</v>
      </c>
      <c r="AU170" s="149" t="s">
        <v>56</v>
      </c>
      <c r="AV170" s="146" t="str">
        <f t="shared" si="70"/>
        <v/>
      </c>
      <c r="AW170" s="146" t="str">
        <f t="shared" si="71"/>
        <v/>
      </c>
      <c r="AX170" s="138" t="str">
        <f t="shared" si="72"/>
        <v/>
      </c>
      <c r="AY170" s="95" t="s">
        <v>56</v>
      </c>
      <c r="AZ170" s="96">
        <v>62.349999999999994</v>
      </c>
      <c r="BA170" s="96"/>
      <c r="BB170" s="96">
        <v>90</v>
      </c>
      <c r="BC170" s="96"/>
      <c r="BD170" s="97">
        <v>74.349999999999994</v>
      </c>
      <c r="BE170" s="142">
        <f t="shared" si="73"/>
        <v>3847</v>
      </c>
      <c r="BF170" s="98">
        <v>207</v>
      </c>
      <c r="BG170" s="98">
        <v>66</v>
      </c>
      <c r="BH170" s="98">
        <v>432</v>
      </c>
      <c r="BI170" s="98">
        <v>3142</v>
      </c>
      <c r="BJ170" s="98"/>
      <c r="BK170" s="98"/>
      <c r="BL170" s="97"/>
    </row>
    <row r="171" spans="1:64" outlineLevel="5" x14ac:dyDescent="0.3">
      <c r="A171" s="152">
        <f t="shared" si="75"/>
        <v>5</v>
      </c>
      <c r="B171" s="153">
        <f t="shared" si="74"/>
        <v>44334</v>
      </c>
      <c r="C171" s="138">
        <f t="shared" si="64"/>
        <v>37</v>
      </c>
      <c r="D171" s="84">
        <v>37</v>
      </c>
      <c r="E171" s="84">
        <v>37</v>
      </c>
      <c r="F171" s="84"/>
      <c r="G171" s="84"/>
      <c r="H171" s="84"/>
      <c r="I171" s="84"/>
      <c r="J171" s="84"/>
      <c r="K171" s="84"/>
      <c r="L171" s="140" t="str">
        <f t="shared" si="65"/>
        <v/>
      </c>
      <c r="M171" s="86" t="s">
        <v>56</v>
      </c>
      <c r="N171" s="86" t="s">
        <v>56</v>
      </c>
      <c r="O171" s="86"/>
      <c r="P171" s="86"/>
      <c r="Q171" s="86"/>
      <c r="R171" s="86"/>
      <c r="S171" s="86"/>
      <c r="T171" s="86"/>
      <c r="U171" s="142" t="str">
        <f t="shared" si="66"/>
        <v/>
      </c>
      <c r="V171" s="88" t="s">
        <v>56</v>
      </c>
      <c r="W171" s="88" t="s">
        <v>56</v>
      </c>
      <c r="X171" s="88"/>
      <c r="Y171" s="88"/>
      <c r="Z171" s="88"/>
      <c r="AA171" s="88"/>
      <c r="AB171" s="88"/>
      <c r="AC171" s="88"/>
      <c r="AD171" s="142" t="str">
        <f t="shared" si="67"/>
        <v/>
      </c>
      <c r="AE171" s="88"/>
      <c r="AF171" s="88"/>
      <c r="AG171" s="88"/>
      <c r="AH171" s="88"/>
      <c r="AI171" s="88"/>
      <c r="AJ171" s="88"/>
      <c r="AK171" s="88"/>
      <c r="AL171" s="88"/>
      <c r="AM171" s="88">
        <v>39.697224558452476</v>
      </c>
      <c r="AN171" s="88">
        <v>118.9</v>
      </c>
      <c r="AO171" s="89" t="s">
        <v>56</v>
      </c>
      <c r="AP171" s="90"/>
      <c r="AQ171" s="146" t="str">
        <f t="shared" si="68"/>
        <v/>
      </c>
      <c r="AR171" s="146" t="str">
        <f t="shared" si="69"/>
        <v/>
      </c>
      <c r="AS171" s="147">
        <v>0</v>
      </c>
      <c r="AT171" s="148" t="s">
        <v>56</v>
      </c>
      <c r="AU171" s="149" t="s">
        <v>56</v>
      </c>
      <c r="AV171" s="146" t="str">
        <f t="shared" si="70"/>
        <v/>
      </c>
      <c r="AW171" s="146" t="str">
        <f t="shared" si="71"/>
        <v/>
      </c>
      <c r="AX171" s="138" t="str">
        <f t="shared" si="72"/>
        <v/>
      </c>
      <c r="AY171" s="95" t="s">
        <v>56</v>
      </c>
      <c r="AZ171" s="96">
        <v>61.510000000000005</v>
      </c>
      <c r="BA171" s="96"/>
      <c r="BB171" s="96">
        <v>89.5</v>
      </c>
      <c r="BC171" s="96"/>
      <c r="BD171" s="97">
        <v>118.9</v>
      </c>
      <c r="BE171" s="142">
        <f t="shared" si="73"/>
        <v>1846</v>
      </c>
      <c r="BF171" s="98">
        <v>147</v>
      </c>
      <c r="BG171" s="98">
        <v>0</v>
      </c>
      <c r="BH171" s="98">
        <v>1699</v>
      </c>
      <c r="BI171" s="98">
        <v>0</v>
      </c>
      <c r="BJ171" s="98"/>
      <c r="BK171" s="98"/>
      <c r="BL171" s="97"/>
    </row>
    <row r="172" spans="1:64" outlineLevel="5" x14ac:dyDescent="0.3">
      <c r="A172" s="152">
        <f t="shared" si="75"/>
        <v>5</v>
      </c>
      <c r="B172" s="153">
        <f t="shared" si="74"/>
        <v>44335</v>
      </c>
      <c r="C172" s="138">
        <f t="shared" si="64"/>
        <v>37</v>
      </c>
      <c r="D172" s="84">
        <v>37</v>
      </c>
      <c r="E172" s="84">
        <v>37</v>
      </c>
      <c r="F172" s="84"/>
      <c r="G172" s="84"/>
      <c r="H172" s="84"/>
      <c r="I172" s="84"/>
      <c r="J172" s="84"/>
      <c r="K172" s="84"/>
      <c r="L172" s="140" t="str">
        <f t="shared" si="65"/>
        <v/>
      </c>
      <c r="M172" s="86" t="s">
        <v>56</v>
      </c>
      <c r="N172" s="86" t="s">
        <v>56</v>
      </c>
      <c r="O172" s="86"/>
      <c r="P172" s="86"/>
      <c r="Q172" s="86"/>
      <c r="R172" s="86"/>
      <c r="S172" s="86"/>
      <c r="T172" s="86"/>
      <c r="U172" s="142" t="str">
        <f t="shared" si="66"/>
        <v/>
      </c>
      <c r="V172" s="88" t="s">
        <v>56</v>
      </c>
      <c r="W172" s="88" t="s">
        <v>56</v>
      </c>
      <c r="X172" s="88"/>
      <c r="Y172" s="88"/>
      <c r="Z172" s="88"/>
      <c r="AA172" s="88"/>
      <c r="AB172" s="88"/>
      <c r="AC172" s="88"/>
      <c r="AD172" s="142" t="str">
        <f t="shared" si="67"/>
        <v/>
      </c>
      <c r="AE172" s="88"/>
      <c r="AF172" s="88"/>
      <c r="AG172" s="88"/>
      <c r="AH172" s="88"/>
      <c r="AI172" s="88"/>
      <c r="AJ172" s="88"/>
      <c r="AK172" s="88"/>
      <c r="AL172" s="88"/>
      <c r="AM172" s="88">
        <v>33.35689045936396</v>
      </c>
      <c r="AN172" s="88">
        <v>141.5</v>
      </c>
      <c r="AO172" s="89" t="s">
        <v>56</v>
      </c>
      <c r="AP172" s="90"/>
      <c r="AQ172" s="146" t="str">
        <f t="shared" si="68"/>
        <v/>
      </c>
      <c r="AR172" s="146" t="str">
        <f t="shared" si="69"/>
        <v/>
      </c>
      <c r="AS172" s="147">
        <v>0</v>
      </c>
      <c r="AT172" s="148" t="s">
        <v>56</v>
      </c>
      <c r="AU172" s="149" t="s">
        <v>56</v>
      </c>
      <c r="AV172" s="146" t="str">
        <f t="shared" si="70"/>
        <v/>
      </c>
      <c r="AW172" s="146" t="str">
        <f t="shared" si="71"/>
        <v/>
      </c>
      <c r="AX172" s="138" t="str">
        <f t="shared" si="72"/>
        <v/>
      </c>
      <c r="AY172" s="95" t="s">
        <v>56</v>
      </c>
      <c r="AZ172" s="96">
        <v>59.79</v>
      </c>
      <c r="BA172" s="96"/>
      <c r="BB172" s="96">
        <v>107.5</v>
      </c>
      <c r="BC172" s="96"/>
      <c r="BD172" s="97">
        <v>141.5</v>
      </c>
      <c r="BE172" s="142">
        <f t="shared" si="73"/>
        <v>1748</v>
      </c>
      <c r="BF172" s="98">
        <v>276</v>
      </c>
      <c r="BG172" s="98">
        <v>1459</v>
      </c>
      <c r="BH172" s="98">
        <v>13</v>
      </c>
      <c r="BI172" s="98">
        <v>0</v>
      </c>
      <c r="BJ172" s="98"/>
      <c r="BK172" s="98"/>
      <c r="BL172" s="97"/>
    </row>
    <row r="173" spans="1:64" outlineLevel="5" x14ac:dyDescent="0.3">
      <c r="A173" s="152">
        <f t="shared" si="75"/>
        <v>5</v>
      </c>
      <c r="B173" s="153">
        <f t="shared" si="74"/>
        <v>44336</v>
      </c>
      <c r="C173" s="138">
        <f t="shared" si="64"/>
        <v>37.5</v>
      </c>
      <c r="D173" s="84">
        <v>37</v>
      </c>
      <c r="E173" s="84">
        <v>38</v>
      </c>
      <c r="F173" s="84"/>
      <c r="G173" s="84"/>
      <c r="H173" s="84"/>
      <c r="I173" s="84"/>
      <c r="J173" s="84"/>
      <c r="K173" s="84"/>
      <c r="L173" s="140" t="str">
        <f t="shared" si="65"/>
        <v/>
      </c>
      <c r="M173" s="86" t="s">
        <v>56</v>
      </c>
      <c r="N173" s="86" t="s">
        <v>56</v>
      </c>
      <c r="O173" s="86"/>
      <c r="P173" s="86"/>
      <c r="Q173" s="86"/>
      <c r="R173" s="86"/>
      <c r="S173" s="86"/>
      <c r="T173" s="86"/>
      <c r="U173" s="142" t="str">
        <f t="shared" si="66"/>
        <v/>
      </c>
      <c r="V173" s="88" t="s">
        <v>56</v>
      </c>
      <c r="W173" s="88" t="s">
        <v>56</v>
      </c>
      <c r="X173" s="88"/>
      <c r="Y173" s="88"/>
      <c r="Z173" s="88"/>
      <c r="AA173" s="88"/>
      <c r="AB173" s="88"/>
      <c r="AC173" s="88"/>
      <c r="AD173" s="142" t="str">
        <f t="shared" si="67"/>
        <v/>
      </c>
      <c r="AE173" s="88"/>
      <c r="AF173" s="88"/>
      <c r="AG173" s="88"/>
      <c r="AH173" s="88"/>
      <c r="AI173" s="88"/>
      <c r="AJ173" s="88"/>
      <c r="AK173" s="88"/>
      <c r="AL173" s="88"/>
      <c r="AM173" s="88">
        <v>31.831669813865659</v>
      </c>
      <c r="AN173" s="88">
        <v>148.28</v>
      </c>
      <c r="AO173" s="89" t="s">
        <v>56</v>
      </c>
      <c r="AP173" s="90"/>
      <c r="AQ173" s="146" t="str">
        <f t="shared" si="68"/>
        <v/>
      </c>
      <c r="AR173" s="146" t="str">
        <f t="shared" si="69"/>
        <v/>
      </c>
      <c r="AS173" s="147">
        <v>20</v>
      </c>
      <c r="AT173" s="148" t="s">
        <v>56</v>
      </c>
      <c r="AU173" s="149" t="s">
        <v>56</v>
      </c>
      <c r="AV173" s="146" t="str">
        <f t="shared" si="70"/>
        <v/>
      </c>
      <c r="AW173" s="146" t="str">
        <f t="shared" si="71"/>
        <v/>
      </c>
      <c r="AX173" s="138" t="str">
        <f t="shared" si="72"/>
        <v/>
      </c>
      <c r="AY173" s="95" t="s">
        <v>56</v>
      </c>
      <c r="AZ173" s="96">
        <v>60.84</v>
      </c>
      <c r="BA173" s="96"/>
      <c r="BB173" s="96">
        <v>66.5</v>
      </c>
      <c r="BC173" s="96"/>
      <c r="BD173" s="97">
        <v>148.28</v>
      </c>
      <c r="BE173" s="142">
        <f t="shared" si="73"/>
        <v>2387</v>
      </c>
      <c r="BF173" s="98">
        <v>217</v>
      </c>
      <c r="BG173" s="98">
        <v>2168</v>
      </c>
      <c r="BH173" s="98">
        <v>2</v>
      </c>
      <c r="BI173" s="98">
        <v>0</v>
      </c>
      <c r="BJ173" s="98"/>
      <c r="BK173" s="98"/>
      <c r="BL173" s="97"/>
    </row>
    <row r="174" spans="1:64" outlineLevel="5" x14ac:dyDescent="0.3">
      <c r="A174" s="152">
        <f t="shared" si="75"/>
        <v>5</v>
      </c>
      <c r="B174" s="153">
        <f t="shared" si="74"/>
        <v>44337</v>
      </c>
      <c r="C174" s="138">
        <f t="shared" si="64"/>
        <v>38</v>
      </c>
      <c r="D174" s="84">
        <v>38</v>
      </c>
      <c r="E174" s="84">
        <v>38</v>
      </c>
      <c r="F174" s="84"/>
      <c r="G174" s="84"/>
      <c r="H174" s="84"/>
      <c r="I174" s="84"/>
      <c r="J174" s="84"/>
      <c r="K174" s="84"/>
      <c r="L174" s="140" t="str">
        <f t="shared" si="65"/>
        <v/>
      </c>
      <c r="M174" s="86" t="s">
        <v>56</v>
      </c>
      <c r="N174" s="86" t="s">
        <v>56</v>
      </c>
      <c r="O174" s="86"/>
      <c r="P174" s="86"/>
      <c r="Q174" s="86"/>
      <c r="R174" s="86"/>
      <c r="S174" s="86"/>
      <c r="T174" s="86"/>
      <c r="U174" s="142" t="str">
        <f t="shared" si="66"/>
        <v/>
      </c>
      <c r="V174" s="88" t="s">
        <v>56</v>
      </c>
      <c r="W174" s="88" t="s">
        <v>56</v>
      </c>
      <c r="X174" s="88"/>
      <c r="Y174" s="88"/>
      <c r="Z174" s="88"/>
      <c r="AA174" s="88"/>
      <c r="AB174" s="88"/>
      <c r="AC174" s="88"/>
      <c r="AD174" s="142" t="str">
        <f t="shared" si="67"/>
        <v/>
      </c>
      <c r="AE174" s="88"/>
      <c r="AF174" s="88"/>
      <c r="AG174" s="88"/>
      <c r="AH174" s="88"/>
      <c r="AI174" s="88"/>
      <c r="AJ174" s="88"/>
      <c r="AK174" s="88"/>
      <c r="AL174" s="88"/>
      <c r="AM174" s="88">
        <v>35.566272323110546</v>
      </c>
      <c r="AN174" s="88">
        <v>132.70999999999998</v>
      </c>
      <c r="AO174" s="89" t="s">
        <v>56</v>
      </c>
      <c r="AP174" s="90"/>
      <c r="AQ174" s="146" t="str">
        <f t="shared" si="68"/>
        <v/>
      </c>
      <c r="AR174" s="146" t="str">
        <f t="shared" si="69"/>
        <v/>
      </c>
      <c r="AS174" s="147">
        <v>20</v>
      </c>
      <c r="AT174" s="148" t="s">
        <v>56</v>
      </c>
      <c r="AU174" s="149" t="s">
        <v>56</v>
      </c>
      <c r="AV174" s="146" t="str">
        <f t="shared" si="70"/>
        <v/>
      </c>
      <c r="AW174" s="146" t="str">
        <f t="shared" si="71"/>
        <v/>
      </c>
      <c r="AX174" s="138" t="str">
        <f t="shared" si="72"/>
        <v/>
      </c>
      <c r="AY174" s="95" t="s">
        <v>56</v>
      </c>
      <c r="AZ174" s="96">
        <v>61.5</v>
      </c>
      <c r="BA174" s="96"/>
      <c r="BB174" s="96">
        <v>79.5</v>
      </c>
      <c r="BC174" s="96"/>
      <c r="BD174" s="97">
        <v>132.70999999999998</v>
      </c>
      <c r="BE174" s="142">
        <f t="shared" si="73"/>
        <v>3575</v>
      </c>
      <c r="BF174" s="98">
        <v>203</v>
      </c>
      <c r="BG174" s="98">
        <v>2692</v>
      </c>
      <c r="BH174" s="98">
        <v>0</v>
      </c>
      <c r="BI174" s="98">
        <v>680</v>
      </c>
      <c r="BJ174" s="98"/>
      <c r="BK174" s="98"/>
      <c r="BL174" s="97"/>
    </row>
    <row r="175" spans="1:64" outlineLevel="5" x14ac:dyDescent="0.3">
      <c r="A175" s="152">
        <f t="shared" si="75"/>
        <v>5</v>
      </c>
      <c r="B175" s="153">
        <f t="shared" si="74"/>
        <v>44338</v>
      </c>
      <c r="C175" s="138">
        <f t="shared" si="64"/>
        <v>38</v>
      </c>
      <c r="D175" s="84">
        <v>38</v>
      </c>
      <c r="E175" s="84">
        <v>38</v>
      </c>
      <c r="F175" s="84"/>
      <c r="G175" s="84"/>
      <c r="H175" s="84"/>
      <c r="I175" s="84"/>
      <c r="J175" s="84"/>
      <c r="K175" s="84"/>
      <c r="L175" s="140" t="str">
        <f t="shared" si="65"/>
        <v/>
      </c>
      <c r="M175" s="86"/>
      <c r="N175" s="86"/>
      <c r="O175" s="86"/>
      <c r="P175" s="86"/>
      <c r="Q175" s="86"/>
      <c r="R175" s="86"/>
      <c r="S175" s="86"/>
      <c r="T175" s="86"/>
      <c r="U175" s="142" t="str">
        <f t="shared" si="66"/>
        <v/>
      </c>
      <c r="V175" s="88"/>
      <c r="W175" s="88"/>
      <c r="X175" s="88"/>
      <c r="Y175" s="88"/>
      <c r="Z175" s="88"/>
      <c r="AA175" s="88"/>
      <c r="AB175" s="88"/>
      <c r="AC175" s="88"/>
      <c r="AD175" s="142" t="str">
        <f t="shared" si="67"/>
        <v/>
      </c>
      <c r="AE175" s="88"/>
      <c r="AF175" s="88"/>
      <c r="AG175" s="88"/>
      <c r="AH175" s="88"/>
      <c r="AI175" s="88"/>
      <c r="AJ175" s="88"/>
      <c r="AK175" s="88"/>
      <c r="AL175" s="88"/>
      <c r="AM175" s="88">
        <v>36.577805331680104</v>
      </c>
      <c r="AN175" s="88">
        <v>129.04</v>
      </c>
      <c r="AO175" s="89"/>
      <c r="AP175" s="90"/>
      <c r="AQ175" s="146" t="str">
        <f t="shared" si="68"/>
        <v/>
      </c>
      <c r="AR175" s="146" t="str">
        <f t="shared" si="69"/>
        <v/>
      </c>
      <c r="AS175" s="147">
        <v>10</v>
      </c>
      <c r="AT175" s="148" t="s">
        <v>56</v>
      </c>
      <c r="AU175" s="149" t="s">
        <v>56</v>
      </c>
      <c r="AV175" s="146" t="str">
        <f t="shared" si="70"/>
        <v/>
      </c>
      <c r="AW175" s="146" t="str">
        <f t="shared" si="71"/>
        <v/>
      </c>
      <c r="AX175" s="138" t="str">
        <f t="shared" si="72"/>
        <v/>
      </c>
      <c r="AY175" s="95" t="s">
        <v>56</v>
      </c>
      <c r="AZ175" s="96">
        <v>62.275000000000006</v>
      </c>
      <c r="BA175" s="96"/>
      <c r="BB175" s="96">
        <v>83.5</v>
      </c>
      <c r="BC175" s="96"/>
      <c r="BD175" s="97">
        <v>129.04</v>
      </c>
      <c r="BE175" s="142">
        <f t="shared" si="73"/>
        <v>6028</v>
      </c>
      <c r="BF175" s="98">
        <v>204</v>
      </c>
      <c r="BG175" s="98">
        <v>963</v>
      </c>
      <c r="BH175" s="98">
        <v>0</v>
      </c>
      <c r="BI175" s="98">
        <v>4861</v>
      </c>
      <c r="BJ175" s="98"/>
      <c r="BK175" s="98"/>
      <c r="BL175" s="97"/>
    </row>
    <row r="176" spans="1:64" outlineLevel="5" x14ac:dyDescent="0.3">
      <c r="A176" s="152">
        <f t="shared" si="75"/>
        <v>5</v>
      </c>
      <c r="B176" s="153">
        <f t="shared" si="74"/>
        <v>44339</v>
      </c>
      <c r="C176" s="138">
        <f t="shared" si="64"/>
        <v>38</v>
      </c>
      <c r="D176" s="84">
        <v>38</v>
      </c>
      <c r="E176" s="84">
        <v>38</v>
      </c>
      <c r="F176" s="84"/>
      <c r="G176" s="84"/>
      <c r="H176" s="84"/>
      <c r="I176" s="84"/>
      <c r="J176" s="84"/>
      <c r="K176" s="84"/>
      <c r="L176" s="140" t="str">
        <f t="shared" si="65"/>
        <v/>
      </c>
      <c r="M176" s="86"/>
      <c r="N176" s="86"/>
      <c r="O176" s="86"/>
      <c r="P176" s="86"/>
      <c r="Q176" s="86"/>
      <c r="R176" s="86"/>
      <c r="S176" s="86"/>
      <c r="T176" s="86"/>
      <c r="U176" s="142" t="str">
        <f t="shared" si="66"/>
        <v/>
      </c>
      <c r="V176" s="88"/>
      <c r="W176" s="88"/>
      <c r="X176" s="88"/>
      <c r="Y176" s="88"/>
      <c r="Z176" s="88"/>
      <c r="AA176" s="88"/>
      <c r="AB176" s="88"/>
      <c r="AC176" s="88"/>
      <c r="AD176" s="142" t="str">
        <f t="shared" si="67"/>
        <v/>
      </c>
      <c r="AE176" s="88"/>
      <c r="AF176" s="88"/>
      <c r="AG176" s="88"/>
      <c r="AH176" s="88"/>
      <c r="AI176" s="88"/>
      <c r="AJ176" s="88"/>
      <c r="AK176" s="88"/>
      <c r="AL176" s="88"/>
      <c r="AM176" s="88">
        <v>57.560975609756099</v>
      </c>
      <c r="AN176" s="88">
        <v>82</v>
      </c>
      <c r="AO176" s="89"/>
      <c r="AP176" s="90"/>
      <c r="AQ176" s="146" t="str">
        <f t="shared" si="68"/>
        <v/>
      </c>
      <c r="AR176" s="146" t="str">
        <f t="shared" si="69"/>
        <v/>
      </c>
      <c r="AS176" s="147">
        <v>10</v>
      </c>
      <c r="AT176" s="148" t="s">
        <v>56</v>
      </c>
      <c r="AU176" s="149" t="s">
        <v>56</v>
      </c>
      <c r="AV176" s="146" t="str">
        <f t="shared" si="70"/>
        <v/>
      </c>
      <c r="AW176" s="146" t="str">
        <f t="shared" si="71"/>
        <v/>
      </c>
      <c r="AX176" s="138" t="str">
        <f t="shared" si="72"/>
        <v/>
      </c>
      <c r="AY176" s="95" t="s">
        <v>56</v>
      </c>
      <c r="AZ176" s="96">
        <v>61.725000000000001</v>
      </c>
      <c r="BA176" s="96"/>
      <c r="BB176" s="96">
        <v>82</v>
      </c>
      <c r="BC176" s="96"/>
      <c r="BD176" s="97">
        <v>82</v>
      </c>
      <c r="BE176" s="142">
        <f t="shared" si="73"/>
        <v>4142</v>
      </c>
      <c r="BF176" s="98">
        <v>192</v>
      </c>
      <c r="BG176" s="98">
        <v>1551</v>
      </c>
      <c r="BH176" s="98">
        <v>23</v>
      </c>
      <c r="BI176" s="98">
        <v>2376</v>
      </c>
      <c r="BJ176" s="98"/>
      <c r="BK176" s="98"/>
      <c r="BL176" s="97"/>
    </row>
    <row r="177" spans="1:64" outlineLevel="5" x14ac:dyDescent="0.3">
      <c r="A177" s="152">
        <f t="shared" si="75"/>
        <v>5</v>
      </c>
      <c r="B177" s="153">
        <f t="shared" si="74"/>
        <v>44340</v>
      </c>
      <c r="C177" s="138">
        <f t="shared" si="64"/>
        <v>37</v>
      </c>
      <c r="D177" s="84">
        <v>37</v>
      </c>
      <c r="E177" s="84">
        <v>37</v>
      </c>
      <c r="F177" s="84"/>
      <c r="G177" s="84"/>
      <c r="H177" s="84"/>
      <c r="I177" s="84"/>
      <c r="J177" s="84"/>
      <c r="K177" s="84"/>
      <c r="L177" s="140">
        <f t="shared" si="65"/>
        <v>7.7</v>
      </c>
      <c r="M177" s="86">
        <v>7.74</v>
      </c>
      <c r="N177" s="86">
        <v>7.61</v>
      </c>
      <c r="O177" s="86"/>
      <c r="P177" s="86"/>
      <c r="Q177" s="86"/>
      <c r="R177" s="86"/>
      <c r="S177" s="86"/>
      <c r="T177" s="86"/>
      <c r="U177" s="142">
        <f t="shared" si="66"/>
        <v>1625</v>
      </c>
      <c r="V177" s="88">
        <v>1750</v>
      </c>
      <c r="W177" s="88">
        <v>1500</v>
      </c>
      <c r="X177" s="88"/>
      <c r="Y177" s="88"/>
      <c r="Z177" s="88"/>
      <c r="AA177" s="88"/>
      <c r="AB177" s="88"/>
      <c r="AC177" s="88"/>
      <c r="AD177" s="142" t="str">
        <f t="shared" si="67"/>
        <v/>
      </c>
      <c r="AE177" s="88"/>
      <c r="AF177" s="88"/>
      <c r="AG177" s="88"/>
      <c r="AH177" s="88"/>
      <c r="AI177" s="88"/>
      <c r="AJ177" s="88"/>
      <c r="AK177" s="88"/>
      <c r="AL177" s="88"/>
      <c r="AM177" s="88">
        <v>38.076798967408841</v>
      </c>
      <c r="AN177" s="88">
        <v>123.96</v>
      </c>
      <c r="AO177" s="89">
        <v>24.6</v>
      </c>
      <c r="AP177" s="90">
        <v>20.860799999999998</v>
      </c>
      <c r="AQ177" s="146">
        <f t="shared" si="68"/>
        <v>84.799999999999983</v>
      </c>
      <c r="AR177" s="146">
        <f t="shared" si="69"/>
        <v>15.200000000000017</v>
      </c>
      <c r="AS177" s="147">
        <v>20</v>
      </c>
      <c r="AT177" s="148">
        <v>17.95</v>
      </c>
      <c r="AU177" s="149">
        <v>9.8500000000000014</v>
      </c>
      <c r="AV177" s="146">
        <f t="shared" si="70"/>
        <v>54.874651810584972</v>
      </c>
      <c r="AW177" s="146">
        <f t="shared" si="71"/>
        <v>45.125348189415028</v>
      </c>
      <c r="AX177" s="138">
        <f t="shared" si="72"/>
        <v>78.202888423014173</v>
      </c>
      <c r="AY177" s="95">
        <v>74.95</v>
      </c>
      <c r="AZ177" s="96">
        <v>63.614999999999995</v>
      </c>
      <c r="BA177" s="96"/>
      <c r="BB177" s="96">
        <v>88.5</v>
      </c>
      <c r="BC177" s="96"/>
      <c r="BD177" s="97">
        <v>123.96</v>
      </c>
      <c r="BE177" s="142">
        <f t="shared" si="73"/>
        <v>5739</v>
      </c>
      <c r="BF177" s="98">
        <v>87</v>
      </c>
      <c r="BG177" s="98">
        <v>1080</v>
      </c>
      <c r="BH177" s="98">
        <v>0</v>
      </c>
      <c r="BI177" s="98">
        <v>4572</v>
      </c>
      <c r="BJ177" s="98"/>
      <c r="BK177" s="98"/>
      <c r="BL177" s="97"/>
    </row>
    <row r="178" spans="1:64" outlineLevel="5" x14ac:dyDescent="0.3">
      <c r="A178" s="152">
        <f t="shared" si="75"/>
        <v>5</v>
      </c>
      <c r="B178" s="153">
        <f t="shared" si="74"/>
        <v>44341</v>
      </c>
      <c r="C178" s="138">
        <f t="shared" si="64"/>
        <v>37</v>
      </c>
      <c r="D178" s="84">
        <v>37</v>
      </c>
      <c r="E178" s="84">
        <v>37</v>
      </c>
      <c r="F178" s="84"/>
      <c r="G178" s="84"/>
      <c r="H178" s="84"/>
      <c r="I178" s="84"/>
      <c r="J178" s="84"/>
      <c r="K178" s="84"/>
      <c r="L178" s="140" t="str">
        <f t="shared" si="65"/>
        <v/>
      </c>
      <c r="M178" s="86" t="s">
        <v>56</v>
      </c>
      <c r="N178" s="86" t="s">
        <v>56</v>
      </c>
      <c r="O178" s="86"/>
      <c r="P178" s="86"/>
      <c r="Q178" s="86"/>
      <c r="R178" s="86"/>
      <c r="S178" s="86"/>
      <c r="T178" s="86"/>
      <c r="U178" s="142" t="str">
        <f t="shared" si="66"/>
        <v/>
      </c>
      <c r="V178" s="88" t="s">
        <v>56</v>
      </c>
      <c r="W178" s="88" t="s">
        <v>56</v>
      </c>
      <c r="X178" s="88"/>
      <c r="Y178" s="88"/>
      <c r="Z178" s="88"/>
      <c r="AA178" s="88"/>
      <c r="AB178" s="88"/>
      <c r="AC178" s="88"/>
      <c r="AD178" s="142" t="str">
        <f t="shared" si="67"/>
        <v/>
      </c>
      <c r="AE178" s="88"/>
      <c r="AF178" s="88"/>
      <c r="AG178" s="88"/>
      <c r="AH178" s="88"/>
      <c r="AI178" s="88"/>
      <c r="AJ178" s="88"/>
      <c r="AK178" s="88"/>
      <c r="AL178" s="88"/>
      <c r="AM178" s="88">
        <v>42.991164951270605</v>
      </c>
      <c r="AN178" s="88">
        <v>109.79</v>
      </c>
      <c r="AO178" s="89" t="s">
        <v>56</v>
      </c>
      <c r="AP178" s="90" t="s">
        <v>56</v>
      </c>
      <c r="AQ178" s="146" t="str">
        <f t="shared" si="68"/>
        <v/>
      </c>
      <c r="AR178" s="146" t="str">
        <f t="shared" si="69"/>
        <v/>
      </c>
      <c r="AS178" s="147">
        <v>24</v>
      </c>
      <c r="AT178" s="148" t="s">
        <v>56</v>
      </c>
      <c r="AU178" s="149" t="s">
        <v>56</v>
      </c>
      <c r="AV178" s="146" t="str">
        <f t="shared" si="70"/>
        <v/>
      </c>
      <c r="AW178" s="146" t="str">
        <f t="shared" si="71"/>
        <v/>
      </c>
      <c r="AX178" s="138" t="str">
        <f t="shared" si="72"/>
        <v/>
      </c>
      <c r="AY178" s="95" t="s">
        <v>56</v>
      </c>
      <c r="AZ178" s="96">
        <v>58.769999999999996</v>
      </c>
      <c r="BA178" s="96"/>
      <c r="BB178" s="96">
        <v>108</v>
      </c>
      <c r="BC178" s="96"/>
      <c r="BD178" s="97">
        <v>109.79</v>
      </c>
      <c r="BE178" s="142">
        <f t="shared" si="73"/>
        <v>5416</v>
      </c>
      <c r="BF178" s="98">
        <v>192</v>
      </c>
      <c r="BG178" s="98">
        <v>1053</v>
      </c>
      <c r="BH178" s="98">
        <v>65</v>
      </c>
      <c r="BI178" s="98">
        <v>4106</v>
      </c>
      <c r="BJ178" s="98"/>
      <c r="BK178" s="98"/>
      <c r="BL178" s="97"/>
    </row>
    <row r="179" spans="1:64" outlineLevel="5" x14ac:dyDescent="0.3">
      <c r="A179" s="152">
        <f t="shared" si="75"/>
        <v>5</v>
      </c>
      <c r="B179" s="153">
        <f t="shared" si="74"/>
        <v>44342</v>
      </c>
      <c r="C179" s="138">
        <f t="shared" si="64"/>
        <v>37</v>
      </c>
      <c r="D179" s="84">
        <v>37</v>
      </c>
      <c r="E179" s="84">
        <v>37</v>
      </c>
      <c r="F179" s="84"/>
      <c r="G179" s="84"/>
      <c r="H179" s="84"/>
      <c r="I179" s="84"/>
      <c r="J179" s="84"/>
      <c r="K179" s="84"/>
      <c r="L179" s="140" t="str">
        <f t="shared" si="65"/>
        <v/>
      </c>
      <c r="M179" s="86" t="s">
        <v>56</v>
      </c>
      <c r="N179" s="86" t="s">
        <v>56</v>
      </c>
      <c r="O179" s="86"/>
      <c r="P179" s="86"/>
      <c r="Q179" s="86"/>
      <c r="R179" s="86"/>
      <c r="S179" s="86"/>
      <c r="T179" s="86"/>
      <c r="U179" s="142" t="str">
        <f t="shared" si="66"/>
        <v/>
      </c>
      <c r="V179" s="88" t="s">
        <v>56</v>
      </c>
      <c r="W179" s="88" t="s">
        <v>56</v>
      </c>
      <c r="X179" s="88"/>
      <c r="Y179" s="88"/>
      <c r="Z179" s="88"/>
      <c r="AA179" s="88"/>
      <c r="AB179" s="88"/>
      <c r="AC179" s="88"/>
      <c r="AD179" s="142" t="str">
        <f t="shared" si="67"/>
        <v/>
      </c>
      <c r="AE179" s="88"/>
      <c r="AF179" s="88"/>
      <c r="AG179" s="88"/>
      <c r="AH179" s="88"/>
      <c r="AI179" s="88"/>
      <c r="AJ179" s="88"/>
      <c r="AK179" s="88"/>
      <c r="AL179" s="88"/>
      <c r="AM179" s="88">
        <v>40.609137055837564</v>
      </c>
      <c r="AN179" s="88">
        <v>116.22999999999999</v>
      </c>
      <c r="AO179" s="89" t="s">
        <v>56</v>
      </c>
      <c r="AP179" s="90" t="s">
        <v>56</v>
      </c>
      <c r="AQ179" s="146" t="str">
        <f t="shared" si="68"/>
        <v/>
      </c>
      <c r="AR179" s="146" t="str">
        <f t="shared" si="69"/>
        <v/>
      </c>
      <c r="AS179" s="147">
        <v>42</v>
      </c>
      <c r="AT179" s="148" t="s">
        <v>56</v>
      </c>
      <c r="AU179" s="149" t="s">
        <v>56</v>
      </c>
      <c r="AV179" s="146" t="str">
        <f t="shared" si="70"/>
        <v/>
      </c>
      <c r="AW179" s="146" t="str">
        <f t="shared" si="71"/>
        <v/>
      </c>
      <c r="AX179" s="138" t="str">
        <f t="shared" si="72"/>
        <v/>
      </c>
      <c r="AY179" s="95" t="s">
        <v>56</v>
      </c>
      <c r="AZ179" s="96">
        <v>62.545000000000002</v>
      </c>
      <c r="BA179" s="96"/>
      <c r="BB179" s="96">
        <v>68</v>
      </c>
      <c r="BC179" s="96"/>
      <c r="BD179" s="97">
        <v>116.22999999999999</v>
      </c>
      <c r="BE179" s="142">
        <f t="shared" si="73"/>
        <v>7815</v>
      </c>
      <c r="BF179" s="98">
        <v>224</v>
      </c>
      <c r="BG179" s="98">
        <v>323</v>
      </c>
      <c r="BH179" s="98">
        <v>2880</v>
      </c>
      <c r="BI179" s="98">
        <v>4388</v>
      </c>
      <c r="BJ179" s="98"/>
      <c r="BK179" s="98"/>
      <c r="BL179" s="97"/>
    </row>
    <row r="180" spans="1:64" outlineLevel="5" x14ac:dyDescent="0.3">
      <c r="A180" s="152">
        <f t="shared" si="75"/>
        <v>5</v>
      </c>
      <c r="B180" s="153">
        <f t="shared" si="74"/>
        <v>44343</v>
      </c>
      <c r="C180" s="138">
        <f t="shared" si="64"/>
        <v>37.5</v>
      </c>
      <c r="D180" s="84">
        <v>37.5</v>
      </c>
      <c r="E180" s="84">
        <v>37.5</v>
      </c>
      <c r="F180" s="84"/>
      <c r="G180" s="84"/>
      <c r="H180" s="84"/>
      <c r="I180" s="84"/>
      <c r="J180" s="84"/>
      <c r="K180" s="84"/>
      <c r="L180" s="140" t="str">
        <f t="shared" si="65"/>
        <v/>
      </c>
      <c r="M180" s="86" t="s">
        <v>56</v>
      </c>
      <c r="N180" s="86" t="s">
        <v>56</v>
      </c>
      <c r="O180" s="86"/>
      <c r="P180" s="86"/>
      <c r="Q180" s="86"/>
      <c r="R180" s="86"/>
      <c r="S180" s="86"/>
      <c r="T180" s="86"/>
      <c r="U180" s="142" t="str">
        <f t="shared" si="66"/>
        <v/>
      </c>
      <c r="V180" s="88" t="s">
        <v>56</v>
      </c>
      <c r="W180" s="88" t="s">
        <v>56</v>
      </c>
      <c r="X180" s="88"/>
      <c r="Y180" s="88"/>
      <c r="Z180" s="88"/>
      <c r="AA180" s="88"/>
      <c r="AB180" s="88"/>
      <c r="AC180" s="88"/>
      <c r="AD180" s="142" t="str">
        <f t="shared" si="67"/>
        <v/>
      </c>
      <c r="AE180" s="88"/>
      <c r="AF180" s="88"/>
      <c r="AG180" s="88"/>
      <c r="AH180" s="88"/>
      <c r="AI180" s="88"/>
      <c r="AJ180" s="88"/>
      <c r="AK180" s="88"/>
      <c r="AL180" s="88"/>
      <c r="AM180" s="88">
        <v>36.428185536775487</v>
      </c>
      <c r="AN180" s="88">
        <v>129.57</v>
      </c>
      <c r="AO180" s="89" t="s">
        <v>56</v>
      </c>
      <c r="AP180" s="90" t="s">
        <v>56</v>
      </c>
      <c r="AQ180" s="146" t="str">
        <f t="shared" si="68"/>
        <v/>
      </c>
      <c r="AR180" s="146" t="str">
        <f t="shared" si="69"/>
        <v/>
      </c>
      <c r="AS180" s="147">
        <v>42</v>
      </c>
      <c r="AT180" s="148" t="s">
        <v>56</v>
      </c>
      <c r="AU180" s="149" t="s">
        <v>56</v>
      </c>
      <c r="AV180" s="146" t="str">
        <f t="shared" si="70"/>
        <v/>
      </c>
      <c r="AW180" s="146" t="str">
        <f t="shared" si="71"/>
        <v/>
      </c>
      <c r="AX180" s="138" t="str">
        <f t="shared" si="72"/>
        <v/>
      </c>
      <c r="AY180" s="95" t="s">
        <v>56</v>
      </c>
      <c r="AZ180" s="96">
        <v>59.67</v>
      </c>
      <c r="BA180" s="96"/>
      <c r="BB180" s="96">
        <v>68.5</v>
      </c>
      <c r="BC180" s="96"/>
      <c r="BD180" s="97">
        <v>129.57</v>
      </c>
      <c r="BE180" s="142">
        <f t="shared" si="73"/>
        <v>10753</v>
      </c>
      <c r="BF180" s="98">
        <v>274</v>
      </c>
      <c r="BG180" s="98">
        <v>0</v>
      </c>
      <c r="BH180" s="98">
        <v>6164</v>
      </c>
      <c r="BI180" s="98">
        <v>4315</v>
      </c>
      <c r="BJ180" s="98"/>
      <c r="BK180" s="98"/>
      <c r="BL180" s="97"/>
    </row>
    <row r="181" spans="1:64" outlineLevel="5" x14ac:dyDescent="0.3">
      <c r="A181" s="152">
        <f t="shared" si="75"/>
        <v>5</v>
      </c>
      <c r="B181" s="153">
        <f t="shared" si="74"/>
        <v>44344</v>
      </c>
      <c r="C181" s="138">
        <f t="shared" si="64"/>
        <v>37</v>
      </c>
      <c r="D181" s="84">
        <v>37</v>
      </c>
      <c r="E181" s="84">
        <v>37</v>
      </c>
      <c r="F181" s="84"/>
      <c r="G181" s="84"/>
      <c r="H181" s="84"/>
      <c r="I181" s="84"/>
      <c r="J181" s="84"/>
      <c r="K181" s="84"/>
      <c r="L181" s="140" t="str">
        <f t="shared" si="65"/>
        <v/>
      </c>
      <c r="M181" s="86" t="s">
        <v>56</v>
      </c>
      <c r="N181" s="86" t="s">
        <v>56</v>
      </c>
      <c r="O181" s="86"/>
      <c r="P181" s="86"/>
      <c r="Q181" s="86"/>
      <c r="R181" s="86"/>
      <c r="S181" s="86"/>
      <c r="T181" s="86"/>
      <c r="U181" s="142" t="str">
        <f t="shared" si="66"/>
        <v/>
      </c>
      <c r="V181" s="88" t="s">
        <v>56</v>
      </c>
      <c r="W181" s="88" t="s">
        <v>56</v>
      </c>
      <c r="X181" s="88"/>
      <c r="Y181" s="88"/>
      <c r="Z181" s="88"/>
      <c r="AA181" s="88"/>
      <c r="AB181" s="88"/>
      <c r="AC181" s="88"/>
      <c r="AD181" s="142" t="str">
        <f t="shared" si="67"/>
        <v/>
      </c>
      <c r="AE181" s="88"/>
      <c r="AF181" s="88"/>
      <c r="AG181" s="88"/>
      <c r="AH181" s="88"/>
      <c r="AI181" s="88"/>
      <c r="AJ181" s="88"/>
      <c r="AK181" s="88"/>
      <c r="AL181" s="88"/>
      <c r="AM181" s="88">
        <v>41.338237870029772</v>
      </c>
      <c r="AN181" s="88">
        <v>114.18</v>
      </c>
      <c r="AO181" s="89" t="s">
        <v>56</v>
      </c>
      <c r="AP181" s="90"/>
      <c r="AQ181" s="146" t="str">
        <f t="shared" si="68"/>
        <v/>
      </c>
      <c r="AR181" s="146" t="str">
        <f t="shared" si="69"/>
        <v/>
      </c>
      <c r="AS181" s="147">
        <v>21</v>
      </c>
      <c r="AT181" s="148" t="s">
        <v>56</v>
      </c>
      <c r="AU181" s="149" t="s">
        <v>56</v>
      </c>
      <c r="AV181" s="146" t="str">
        <f t="shared" si="70"/>
        <v/>
      </c>
      <c r="AW181" s="146" t="str">
        <f t="shared" si="71"/>
        <v/>
      </c>
      <c r="AX181" s="138" t="str">
        <f t="shared" si="72"/>
        <v/>
      </c>
      <c r="AY181" s="95" t="s">
        <v>56</v>
      </c>
      <c r="AZ181" s="96">
        <v>61.19</v>
      </c>
      <c r="BA181" s="96"/>
      <c r="BB181" s="96">
        <v>95</v>
      </c>
      <c r="BC181" s="96"/>
      <c r="BD181" s="97">
        <v>114.18</v>
      </c>
      <c r="BE181" s="142">
        <f t="shared" si="73"/>
        <v>10632</v>
      </c>
      <c r="BF181" s="98">
        <v>222</v>
      </c>
      <c r="BG181" s="98">
        <v>496</v>
      </c>
      <c r="BH181" s="98">
        <v>5594</v>
      </c>
      <c r="BI181" s="98">
        <v>4320</v>
      </c>
      <c r="BJ181" s="98"/>
      <c r="BK181" s="98"/>
      <c r="BL181" s="97"/>
    </row>
    <row r="182" spans="1:64" outlineLevel="5" x14ac:dyDescent="0.3">
      <c r="A182" s="152">
        <f t="shared" si="75"/>
        <v>5</v>
      </c>
      <c r="B182" s="153">
        <f t="shared" si="74"/>
        <v>44345</v>
      </c>
      <c r="C182" s="138">
        <f t="shared" si="64"/>
        <v>37</v>
      </c>
      <c r="D182" s="84">
        <v>37</v>
      </c>
      <c r="E182" s="84">
        <v>37</v>
      </c>
      <c r="F182" s="84"/>
      <c r="G182" s="84"/>
      <c r="H182" s="84"/>
      <c r="I182" s="84"/>
      <c r="J182" s="84"/>
      <c r="K182" s="84"/>
      <c r="L182" s="140" t="str">
        <f t="shared" si="65"/>
        <v/>
      </c>
      <c r="M182" s="86"/>
      <c r="N182" s="86"/>
      <c r="O182" s="86"/>
      <c r="P182" s="86"/>
      <c r="Q182" s="86"/>
      <c r="R182" s="86"/>
      <c r="S182" s="86"/>
      <c r="T182" s="86"/>
      <c r="U182" s="142" t="str">
        <f t="shared" si="66"/>
        <v/>
      </c>
      <c r="V182" s="88"/>
      <c r="W182" s="88"/>
      <c r="X182" s="88"/>
      <c r="Y182" s="88"/>
      <c r="Z182" s="88"/>
      <c r="AA182" s="88"/>
      <c r="AB182" s="88"/>
      <c r="AC182" s="88"/>
      <c r="AD182" s="142" t="str">
        <f t="shared" si="67"/>
        <v/>
      </c>
      <c r="AE182" s="88"/>
      <c r="AF182" s="88"/>
      <c r="AG182" s="88"/>
      <c r="AH182" s="88"/>
      <c r="AI182" s="88"/>
      <c r="AJ182" s="88"/>
      <c r="AK182" s="88"/>
      <c r="AL182" s="88"/>
      <c r="AM182" s="88">
        <v>48.760330578512395</v>
      </c>
      <c r="AN182" s="88">
        <v>96.8</v>
      </c>
      <c r="AO182" s="89"/>
      <c r="AP182" s="90"/>
      <c r="AQ182" s="146" t="str">
        <f t="shared" si="68"/>
        <v/>
      </c>
      <c r="AR182" s="146" t="str">
        <f t="shared" si="69"/>
        <v/>
      </c>
      <c r="AS182" s="147">
        <v>10</v>
      </c>
      <c r="AT182" s="148" t="s">
        <v>56</v>
      </c>
      <c r="AU182" s="149" t="s">
        <v>56</v>
      </c>
      <c r="AV182" s="146" t="str">
        <f t="shared" si="70"/>
        <v/>
      </c>
      <c r="AW182" s="146" t="str">
        <f t="shared" si="71"/>
        <v/>
      </c>
      <c r="AX182" s="138" t="str">
        <f t="shared" si="72"/>
        <v/>
      </c>
      <c r="AY182" s="95" t="s">
        <v>56</v>
      </c>
      <c r="AZ182" s="96">
        <v>60.384999999999998</v>
      </c>
      <c r="BA182" s="96"/>
      <c r="BB182" s="96">
        <v>91.5</v>
      </c>
      <c r="BC182" s="96"/>
      <c r="BD182" s="97">
        <v>96.8</v>
      </c>
      <c r="BE182" s="142">
        <f t="shared" si="73"/>
        <v>6993</v>
      </c>
      <c r="BF182" s="98">
        <v>186</v>
      </c>
      <c r="BG182" s="98">
        <v>646</v>
      </c>
      <c r="BH182" s="98">
        <v>1681</v>
      </c>
      <c r="BI182" s="98">
        <v>4480</v>
      </c>
      <c r="BJ182" s="98"/>
      <c r="BK182" s="98"/>
      <c r="BL182" s="97"/>
    </row>
    <row r="183" spans="1:64" outlineLevel="5" x14ac:dyDescent="0.3">
      <c r="A183" s="152">
        <f t="shared" si="75"/>
        <v>5</v>
      </c>
      <c r="B183" s="153">
        <f t="shared" si="74"/>
        <v>44346</v>
      </c>
      <c r="C183" s="138">
        <f t="shared" si="64"/>
        <v>37.299999999999997</v>
      </c>
      <c r="D183" s="84">
        <v>37</v>
      </c>
      <c r="E183" s="84">
        <v>37.5</v>
      </c>
      <c r="F183" s="84"/>
      <c r="G183" s="84"/>
      <c r="H183" s="84"/>
      <c r="I183" s="84"/>
      <c r="J183" s="84"/>
      <c r="K183" s="84"/>
      <c r="L183" s="140" t="str">
        <f t="shared" si="65"/>
        <v/>
      </c>
      <c r="M183" s="86"/>
      <c r="N183" s="86"/>
      <c r="O183" s="86"/>
      <c r="P183" s="86"/>
      <c r="Q183" s="86"/>
      <c r="R183" s="86"/>
      <c r="S183" s="86"/>
      <c r="T183" s="86"/>
      <c r="U183" s="142" t="str">
        <f t="shared" si="66"/>
        <v/>
      </c>
      <c r="V183" s="88"/>
      <c r="W183" s="88"/>
      <c r="X183" s="88"/>
      <c r="Y183" s="88"/>
      <c r="Z183" s="88"/>
      <c r="AA183" s="88"/>
      <c r="AB183" s="88"/>
      <c r="AC183" s="88"/>
      <c r="AD183" s="142" t="str">
        <f t="shared" si="67"/>
        <v/>
      </c>
      <c r="AE183" s="88"/>
      <c r="AF183" s="88"/>
      <c r="AG183" s="88"/>
      <c r="AH183" s="88"/>
      <c r="AI183" s="88"/>
      <c r="AJ183" s="88"/>
      <c r="AK183" s="88"/>
      <c r="AL183" s="88"/>
      <c r="AM183" s="88">
        <v>39.333333333333336</v>
      </c>
      <c r="AN183" s="88">
        <v>120</v>
      </c>
      <c r="AO183" s="89"/>
      <c r="AP183" s="90"/>
      <c r="AQ183" s="146" t="str">
        <f t="shared" si="68"/>
        <v/>
      </c>
      <c r="AR183" s="146" t="str">
        <f t="shared" si="69"/>
        <v/>
      </c>
      <c r="AS183" s="147">
        <v>10</v>
      </c>
      <c r="AT183" s="148" t="s">
        <v>56</v>
      </c>
      <c r="AU183" s="149" t="s">
        <v>56</v>
      </c>
      <c r="AV183" s="146" t="str">
        <f t="shared" si="70"/>
        <v/>
      </c>
      <c r="AW183" s="146" t="str">
        <f t="shared" si="71"/>
        <v/>
      </c>
      <c r="AX183" s="138" t="str">
        <f t="shared" si="72"/>
        <v/>
      </c>
      <c r="AY183" s="95" t="s">
        <v>56</v>
      </c>
      <c r="AZ183" s="96">
        <v>64.3</v>
      </c>
      <c r="BA183" s="96"/>
      <c r="BB183" s="96">
        <v>88.5</v>
      </c>
      <c r="BC183" s="96"/>
      <c r="BD183" s="97">
        <v>120</v>
      </c>
      <c r="BE183" s="142">
        <f t="shared" si="73"/>
        <v>5657</v>
      </c>
      <c r="BF183" s="98">
        <v>174</v>
      </c>
      <c r="BG183" s="98">
        <v>0</v>
      </c>
      <c r="BH183" s="98">
        <v>1042</v>
      </c>
      <c r="BI183" s="98">
        <v>4441</v>
      </c>
      <c r="BJ183" s="98"/>
      <c r="BK183" s="98"/>
      <c r="BL183" s="97"/>
    </row>
    <row r="184" spans="1:64" ht="17.25" outlineLevel="5" thickBot="1" x14ac:dyDescent="0.35">
      <c r="A184" s="154">
        <f t="shared" si="75"/>
        <v>5</v>
      </c>
      <c r="B184" s="155">
        <f t="shared" si="74"/>
        <v>44347</v>
      </c>
      <c r="C184" s="138">
        <f t="shared" si="64"/>
        <v>38</v>
      </c>
      <c r="D184" s="84">
        <v>38</v>
      </c>
      <c r="E184" s="84">
        <v>38</v>
      </c>
      <c r="F184" s="84"/>
      <c r="G184" s="84"/>
      <c r="H184" s="84"/>
      <c r="I184" s="84"/>
      <c r="J184" s="84"/>
      <c r="K184" s="84"/>
      <c r="L184" s="140" t="str">
        <f t="shared" si="65"/>
        <v/>
      </c>
      <c r="M184" s="86" t="s">
        <v>56</v>
      </c>
      <c r="N184" s="86" t="s">
        <v>56</v>
      </c>
      <c r="O184" s="86"/>
      <c r="P184" s="86"/>
      <c r="Q184" s="86"/>
      <c r="R184" s="86"/>
      <c r="S184" s="86"/>
      <c r="T184" s="86"/>
      <c r="U184" s="142" t="str">
        <f t="shared" si="66"/>
        <v/>
      </c>
      <c r="V184" s="88"/>
      <c r="W184" s="88"/>
      <c r="X184" s="88"/>
      <c r="Y184" s="88"/>
      <c r="Z184" s="88"/>
      <c r="AA184" s="88"/>
      <c r="AB184" s="88"/>
      <c r="AC184" s="88"/>
      <c r="AD184" s="142" t="str">
        <f t="shared" si="67"/>
        <v/>
      </c>
      <c r="AE184" s="88"/>
      <c r="AF184" s="88"/>
      <c r="AG184" s="88"/>
      <c r="AH184" s="88"/>
      <c r="AI184" s="88"/>
      <c r="AJ184" s="88"/>
      <c r="AK184" s="88"/>
      <c r="AL184" s="88"/>
      <c r="AM184" s="88">
        <v>40.074715571404312</v>
      </c>
      <c r="AN184" s="88">
        <v>117.78</v>
      </c>
      <c r="AO184" s="89" t="s">
        <v>56</v>
      </c>
      <c r="AP184" s="90"/>
      <c r="AQ184" s="146" t="str">
        <f t="shared" si="68"/>
        <v/>
      </c>
      <c r="AR184" s="146" t="str">
        <f t="shared" si="69"/>
        <v/>
      </c>
      <c r="AS184" s="147">
        <v>40</v>
      </c>
      <c r="AT184" s="148" t="s">
        <v>56</v>
      </c>
      <c r="AU184" s="149" t="s">
        <v>56</v>
      </c>
      <c r="AV184" s="146" t="str">
        <f t="shared" si="70"/>
        <v/>
      </c>
      <c r="AW184" s="146" t="str">
        <f t="shared" si="71"/>
        <v/>
      </c>
      <c r="AX184" s="138" t="str">
        <f t="shared" si="72"/>
        <v/>
      </c>
      <c r="AY184" s="95" t="s">
        <v>56</v>
      </c>
      <c r="AZ184" s="96">
        <v>61.635000000000005</v>
      </c>
      <c r="BA184" s="96"/>
      <c r="BB184" s="96">
        <v>72.5</v>
      </c>
      <c r="BC184" s="96"/>
      <c r="BD184" s="97">
        <v>117.78</v>
      </c>
      <c r="BE184" s="142">
        <f t="shared" si="73"/>
        <v>8831</v>
      </c>
      <c r="BF184" s="98">
        <v>337</v>
      </c>
      <c r="BG184" s="98">
        <v>0</v>
      </c>
      <c r="BH184" s="98">
        <v>3935</v>
      </c>
      <c r="BI184" s="98">
        <v>4559</v>
      </c>
      <c r="BJ184" s="98"/>
      <c r="BK184" s="98"/>
      <c r="BL184" s="97"/>
    </row>
    <row r="185" spans="1:64" outlineLevel="4" x14ac:dyDescent="0.3">
      <c r="A185" s="63" t="s">
        <v>73</v>
      </c>
      <c r="B185" s="64"/>
      <c r="C185" s="65">
        <f t="shared" ref="C185:BL185" si="76">SUBTOTAL(4,C154:C184)</f>
        <v>38.5</v>
      </c>
      <c r="D185" s="66">
        <f t="shared" si="76"/>
        <v>38</v>
      </c>
      <c r="E185" s="66">
        <f t="shared" si="76"/>
        <v>39</v>
      </c>
      <c r="F185" s="66">
        <f t="shared" si="76"/>
        <v>0</v>
      </c>
      <c r="G185" s="66">
        <f t="shared" si="76"/>
        <v>0</v>
      </c>
      <c r="H185" s="66">
        <f t="shared" si="76"/>
        <v>0</v>
      </c>
      <c r="I185" s="66">
        <f t="shared" si="76"/>
        <v>0</v>
      </c>
      <c r="J185" s="66">
        <f t="shared" si="76"/>
        <v>0</v>
      </c>
      <c r="K185" s="66">
        <f t="shared" si="76"/>
        <v>0</v>
      </c>
      <c r="L185" s="67">
        <f t="shared" si="76"/>
        <v>7.7</v>
      </c>
      <c r="M185" s="68">
        <f t="shared" si="76"/>
        <v>7.78</v>
      </c>
      <c r="N185" s="68">
        <f t="shared" si="76"/>
        <v>7.65</v>
      </c>
      <c r="O185" s="68">
        <f t="shared" si="76"/>
        <v>0</v>
      </c>
      <c r="P185" s="68">
        <f t="shared" si="76"/>
        <v>0</v>
      </c>
      <c r="Q185" s="68">
        <f t="shared" si="76"/>
        <v>0</v>
      </c>
      <c r="R185" s="68">
        <f t="shared" si="76"/>
        <v>0</v>
      </c>
      <c r="S185" s="68">
        <f t="shared" si="76"/>
        <v>0</v>
      </c>
      <c r="T185" s="68">
        <f t="shared" si="76"/>
        <v>0</v>
      </c>
      <c r="U185" s="69">
        <f t="shared" si="76"/>
        <v>1650</v>
      </c>
      <c r="V185" s="70">
        <f t="shared" si="76"/>
        <v>1800</v>
      </c>
      <c r="W185" s="70">
        <f t="shared" si="76"/>
        <v>1500</v>
      </c>
      <c r="X185" s="70">
        <f t="shared" si="76"/>
        <v>0</v>
      </c>
      <c r="Y185" s="70">
        <f t="shared" si="76"/>
        <v>0</v>
      </c>
      <c r="Z185" s="70">
        <f t="shared" si="76"/>
        <v>0</v>
      </c>
      <c r="AA185" s="70">
        <f t="shared" si="76"/>
        <v>0</v>
      </c>
      <c r="AB185" s="70">
        <f t="shared" si="76"/>
        <v>0</v>
      </c>
      <c r="AC185" s="70">
        <f t="shared" si="76"/>
        <v>0</v>
      </c>
      <c r="AD185" s="69">
        <f t="shared" si="76"/>
        <v>0</v>
      </c>
      <c r="AE185" s="70">
        <f t="shared" si="76"/>
        <v>0</v>
      </c>
      <c r="AF185" s="70">
        <f t="shared" si="76"/>
        <v>0</v>
      </c>
      <c r="AG185" s="70">
        <f t="shared" si="76"/>
        <v>0</v>
      </c>
      <c r="AH185" s="70">
        <f t="shared" si="76"/>
        <v>0</v>
      </c>
      <c r="AI185" s="70">
        <f t="shared" si="76"/>
        <v>0</v>
      </c>
      <c r="AJ185" s="70">
        <f t="shared" si="76"/>
        <v>0</v>
      </c>
      <c r="AK185" s="70">
        <f t="shared" si="76"/>
        <v>0</v>
      </c>
      <c r="AL185" s="70">
        <f t="shared" si="76"/>
        <v>0</v>
      </c>
      <c r="AM185" s="70">
        <f t="shared" si="76"/>
        <v>66.582028494851173</v>
      </c>
      <c r="AN185" s="70">
        <f t="shared" si="76"/>
        <v>148.28</v>
      </c>
      <c r="AO185" s="71">
        <f t="shared" si="76"/>
        <v>24.6</v>
      </c>
      <c r="AP185" s="72">
        <f t="shared" si="76"/>
        <v>20.860799999999998</v>
      </c>
      <c r="AQ185" s="73">
        <f t="shared" si="76"/>
        <v>84.799999999999983</v>
      </c>
      <c r="AR185" s="73">
        <f t="shared" si="76"/>
        <v>16.900000000000006</v>
      </c>
      <c r="AS185" s="74">
        <f t="shared" si="76"/>
        <v>42</v>
      </c>
      <c r="AT185" s="75">
        <f t="shared" si="76"/>
        <v>17.95</v>
      </c>
      <c r="AU185" s="76">
        <f t="shared" si="76"/>
        <v>9.8500000000000014</v>
      </c>
      <c r="AV185" s="73">
        <f t="shared" si="76"/>
        <v>55.045871559633021</v>
      </c>
      <c r="AW185" s="73">
        <f t="shared" si="76"/>
        <v>48.520710059171599</v>
      </c>
      <c r="AX185" s="65">
        <f t="shared" si="76"/>
        <v>78.888020542592358</v>
      </c>
      <c r="AY185" s="77">
        <f t="shared" si="76"/>
        <v>76.599999999999994</v>
      </c>
      <c r="AZ185" s="78">
        <f t="shared" si="76"/>
        <v>65.61</v>
      </c>
      <c r="BA185" s="78">
        <f t="shared" si="76"/>
        <v>0</v>
      </c>
      <c r="BB185" s="78">
        <f t="shared" si="76"/>
        <v>114</v>
      </c>
      <c r="BC185" s="78">
        <f t="shared" si="76"/>
        <v>0</v>
      </c>
      <c r="BD185" s="79">
        <f t="shared" si="76"/>
        <v>148.28</v>
      </c>
      <c r="BE185" s="69">
        <f t="shared" si="76"/>
        <v>10753</v>
      </c>
      <c r="BF185" s="70">
        <f t="shared" si="76"/>
        <v>405</v>
      </c>
      <c r="BG185" s="80">
        <f t="shared" si="76"/>
        <v>2692</v>
      </c>
      <c r="BH185" s="80">
        <f t="shared" si="76"/>
        <v>6164</v>
      </c>
      <c r="BI185" s="80">
        <f t="shared" si="76"/>
        <v>5407</v>
      </c>
      <c r="BJ185" s="80">
        <f t="shared" si="76"/>
        <v>0</v>
      </c>
      <c r="BK185" s="80">
        <f t="shared" si="76"/>
        <v>0</v>
      </c>
      <c r="BL185" s="79">
        <f t="shared" si="76"/>
        <v>0</v>
      </c>
    </row>
    <row r="186" spans="1:64" outlineLevel="3" x14ac:dyDescent="0.3">
      <c r="A186" s="81" t="s">
        <v>74</v>
      </c>
      <c r="B186" s="82"/>
      <c r="C186" s="83">
        <f t="shared" ref="C186:BL186" si="77">SUBTOTAL(5,C154:C184)</f>
        <v>35.5</v>
      </c>
      <c r="D186" s="84">
        <f t="shared" si="77"/>
        <v>35</v>
      </c>
      <c r="E186" s="84">
        <f t="shared" si="77"/>
        <v>36</v>
      </c>
      <c r="F186" s="84">
        <f t="shared" si="77"/>
        <v>0</v>
      </c>
      <c r="G186" s="84">
        <f t="shared" si="77"/>
        <v>0</v>
      </c>
      <c r="H186" s="84">
        <f t="shared" si="77"/>
        <v>0</v>
      </c>
      <c r="I186" s="84">
        <f t="shared" si="77"/>
        <v>0</v>
      </c>
      <c r="J186" s="84">
        <f t="shared" si="77"/>
        <v>0</v>
      </c>
      <c r="K186" s="84">
        <f t="shared" si="77"/>
        <v>0</v>
      </c>
      <c r="L186" s="85">
        <f t="shared" si="77"/>
        <v>7.6</v>
      </c>
      <c r="M186" s="86">
        <f t="shared" si="77"/>
        <v>7.7</v>
      </c>
      <c r="N186" s="86">
        <f t="shared" si="77"/>
        <v>7.51</v>
      </c>
      <c r="O186" s="86">
        <f t="shared" si="77"/>
        <v>0</v>
      </c>
      <c r="P186" s="86">
        <f t="shared" si="77"/>
        <v>0</v>
      </c>
      <c r="Q186" s="86">
        <f t="shared" si="77"/>
        <v>0</v>
      </c>
      <c r="R186" s="86">
        <f t="shared" si="77"/>
        <v>0</v>
      </c>
      <c r="S186" s="86">
        <f t="shared" si="77"/>
        <v>0</v>
      </c>
      <c r="T186" s="86">
        <f t="shared" si="77"/>
        <v>0</v>
      </c>
      <c r="U186" s="87">
        <f t="shared" si="77"/>
        <v>1507.5</v>
      </c>
      <c r="V186" s="88">
        <f t="shared" si="77"/>
        <v>1650</v>
      </c>
      <c r="W186" s="88">
        <f t="shared" si="77"/>
        <v>1365</v>
      </c>
      <c r="X186" s="88">
        <f t="shared" si="77"/>
        <v>0</v>
      </c>
      <c r="Y186" s="88">
        <f t="shared" si="77"/>
        <v>0</v>
      </c>
      <c r="Z186" s="88">
        <f t="shared" si="77"/>
        <v>0</v>
      </c>
      <c r="AA186" s="88">
        <f t="shared" si="77"/>
        <v>0</v>
      </c>
      <c r="AB186" s="88">
        <f t="shared" si="77"/>
        <v>0</v>
      </c>
      <c r="AC186" s="88">
        <f t="shared" si="77"/>
        <v>0</v>
      </c>
      <c r="AD186" s="87">
        <f t="shared" si="77"/>
        <v>0</v>
      </c>
      <c r="AE186" s="88">
        <f t="shared" si="77"/>
        <v>0</v>
      </c>
      <c r="AF186" s="88">
        <f t="shared" si="77"/>
        <v>0</v>
      </c>
      <c r="AG186" s="88">
        <f t="shared" si="77"/>
        <v>0</v>
      </c>
      <c r="AH186" s="88">
        <f t="shared" si="77"/>
        <v>0</v>
      </c>
      <c r="AI186" s="88">
        <f t="shared" si="77"/>
        <v>0</v>
      </c>
      <c r="AJ186" s="88">
        <f t="shared" si="77"/>
        <v>0</v>
      </c>
      <c r="AK186" s="88">
        <f t="shared" si="77"/>
        <v>0</v>
      </c>
      <c r="AL186" s="88">
        <f t="shared" si="77"/>
        <v>0</v>
      </c>
      <c r="AM186" s="88">
        <f t="shared" si="77"/>
        <v>31.831669813865659</v>
      </c>
      <c r="AN186" s="88">
        <f t="shared" si="77"/>
        <v>70.89</v>
      </c>
      <c r="AO186" s="89">
        <f t="shared" si="77"/>
        <v>16.100000000000001</v>
      </c>
      <c r="AP186" s="90">
        <f t="shared" si="77"/>
        <v>13.6045</v>
      </c>
      <c r="AQ186" s="91">
        <f t="shared" si="77"/>
        <v>83.1</v>
      </c>
      <c r="AR186" s="91">
        <f t="shared" si="77"/>
        <v>15.200000000000017</v>
      </c>
      <c r="AS186" s="92">
        <f t="shared" si="77"/>
        <v>0</v>
      </c>
      <c r="AT186" s="93">
        <f t="shared" si="77"/>
        <v>13.55</v>
      </c>
      <c r="AU186" s="94">
        <f t="shared" si="77"/>
        <v>7.15</v>
      </c>
      <c r="AV186" s="91">
        <f t="shared" si="77"/>
        <v>51.479289940828401</v>
      </c>
      <c r="AW186" s="91">
        <f t="shared" si="77"/>
        <v>44.954128440366979</v>
      </c>
      <c r="AX186" s="83">
        <f t="shared" si="77"/>
        <v>75.097620275547044</v>
      </c>
      <c r="AY186" s="95">
        <f t="shared" si="77"/>
        <v>74.7</v>
      </c>
      <c r="AZ186" s="96">
        <f t="shared" si="77"/>
        <v>58.769999999999996</v>
      </c>
      <c r="BA186" s="96">
        <f t="shared" si="77"/>
        <v>0</v>
      </c>
      <c r="BB186" s="96">
        <f t="shared" si="77"/>
        <v>66.5</v>
      </c>
      <c r="BC186" s="96">
        <f t="shared" si="77"/>
        <v>0</v>
      </c>
      <c r="BD186" s="97">
        <f t="shared" si="77"/>
        <v>70.89</v>
      </c>
      <c r="BE186" s="87">
        <f t="shared" si="77"/>
        <v>1748</v>
      </c>
      <c r="BF186" s="88">
        <f t="shared" si="77"/>
        <v>0</v>
      </c>
      <c r="BG186" s="98">
        <f t="shared" si="77"/>
        <v>0</v>
      </c>
      <c r="BH186" s="98">
        <f t="shared" si="77"/>
        <v>0</v>
      </c>
      <c r="BI186" s="98">
        <f t="shared" si="77"/>
        <v>0</v>
      </c>
      <c r="BJ186" s="98">
        <f t="shared" si="77"/>
        <v>0</v>
      </c>
      <c r="BK186" s="98">
        <f t="shared" si="77"/>
        <v>0</v>
      </c>
      <c r="BL186" s="97">
        <f t="shared" si="77"/>
        <v>0</v>
      </c>
    </row>
    <row r="187" spans="1:64" outlineLevel="2" x14ac:dyDescent="0.3">
      <c r="A187" s="81" t="s">
        <v>75</v>
      </c>
      <c r="B187" s="82"/>
      <c r="C187" s="83">
        <f t="shared" ref="C187:BL187" si="78">IFERROR(SUBTOTAL(1,C154:C184),"")</f>
        <v>37.316129032258061</v>
      </c>
      <c r="D187" s="84">
        <f t="shared" si="78"/>
        <v>37.241935483870968</v>
      </c>
      <c r="E187" s="84">
        <f t="shared" si="78"/>
        <v>37.387096774193552</v>
      </c>
      <c r="F187" s="84" t="str">
        <f t="shared" si="78"/>
        <v/>
      </c>
      <c r="G187" s="84" t="str">
        <f t="shared" si="78"/>
        <v/>
      </c>
      <c r="H187" s="84" t="str">
        <f t="shared" si="78"/>
        <v/>
      </c>
      <c r="I187" s="84" t="str">
        <f t="shared" si="78"/>
        <v/>
      </c>
      <c r="J187" s="84" t="str">
        <f t="shared" si="78"/>
        <v/>
      </c>
      <c r="K187" s="84" t="str">
        <f t="shared" si="78"/>
        <v/>
      </c>
      <c r="L187" s="85">
        <f t="shared" si="78"/>
        <v>7.6833333333333336</v>
      </c>
      <c r="M187" s="86">
        <f t="shared" si="78"/>
        <v>7.7450000000000001</v>
      </c>
      <c r="N187" s="86">
        <f t="shared" si="78"/>
        <v>7.6083333333333334</v>
      </c>
      <c r="O187" s="86" t="str">
        <f t="shared" si="78"/>
        <v/>
      </c>
      <c r="P187" s="86" t="str">
        <f t="shared" si="78"/>
        <v/>
      </c>
      <c r="Q187" s="86" t="str">
        <f t="shared" si="78"/>
        <v/>
      </c>
      <c r="R187" s="86" t="str">
        <f t="shared" si="78"/>
        <v/>
      </c>
      <c r="S187" s="86" t="str">
        <f t="shared" si="78"/>
        <v/>
      </c>
      <c r="T187" s="86" t="str">
        <f t="shared" si="78"/>
        <v/>
      </c>
      <c r="U187" s="87">
        <f t="shared" si="78"/>
        <v>1584.5833333333333</v>
      </c>
      <c r="V187" s="88">
        <f t="shared" si="78"/>
        <v>1716.6666666666667</v>
      </c>
      <c r="W187" s="88">
        <f t="shared" si="78"/>
        <v>1452.5</v>
      </c>
      <c r="X187" s="88" t="str">
        <f t="shared" si="78"/>
        <v/>
      </c>
      <c r="Y187" s="88" t="str">
        <f t="shared" si="78"/>
        <v/>
      </c>
      <c r="Z187" s="88" t="str">
        <f t="shared" si="78"/>
        <v/>
      </c>
      <c r="AA187" s="88" t="str">
        <f t="shared" si="78"/>
        <v/>
      </c>
      <c r="AB187" s="88" t="str">
        <f t="shared" si="78"/>
        <v/>
      </c>
      <c r="AC187" s="88" t="str">
        <f t="shared" si="78"/>
        <v/>
      </c>
      <c r="AD187" s="87" t="str">
        <f t="shared" si="78"/>
        <v/>
      </c>
      <c r="AE187" s="88" t="str">
        <f t="shared" si="78"/>
        <v/>
      </c>
      <c r="AF187" s="88" t="str">
        <f t="shared" si="78"/>
        <v/>
      </c>
      <c r="AG187" s="88" t="str">
        <f t="shared" si="78"/>
        <v/>
      </c>
      <c r="AH187" s="88" t="str">
        <f t="shared" si="78"/>
        <v/>
      </c>
      <c r="AI187" s="88" t="str">
        <f t="shared" si="78"/>
        <v/>
      </c>
      <c r="AJ187" s="88" t="str">
        <f t="shared" si="78"/>
        <v/>
      </c>
      <c r="AK187" s="88" t="str">
        <f t="shared" si="78"/>
        <v/>
      </c>
      <c r="AL187" s="88" t="str">
        <f t="shared" si="78"/>
        <v/>
      </c>
      <c r="AM187" s="88">
        <f t="shared" si="78"/>
        <v>42.128351681440741</v>
      </c>
      <c r="AN187" s="88">
        <f t="shared" si="78"/>
        <v>115.17612903225807</v>
      </c>
      <c r="AO187" s="89">
        <f t="shared" si="78"/>
        <v>19.566666666666666</v>
      </c>
      <c r="AP187" s="90">
        <f t="shared" si="78"/>
        <v>16.474433333333334</v>
      </c>
      <c r="AQ187" s="91">
        <f t="shared" si="78"/>
        <v>84.133333333333312</v>
      </c>
      <c r="AR187" s="91">
        <f t="shared" si="78"/>
        <v>15.86666666666668</v>
      </c>
      <c r="AS187" s="92">
        <f t="shared" si="78"/>
        <v>14.64516129032258</v>
      </c>
      <c r="AT187" s="93">
        <f t="shared" si="78"/>
        <v>16.350000000000001</v>
      </c>
      <c r="AU187" s="94">
        <f t="shared" si="78"/>
        <v>8.7916666666666661</v>
      </c>
      <c r="AV187" s="91">
        <f t="shared" si="78"/>
        <v>53.740890614229748</v>
      </c>
      <c r="AW187" s="91">
        <f t="shared" si="78"/>
        <v>46.259109385770252</v>
      </c>
      <c r="AX187" s="83">
        <f t="shared" si="78"/>
        <v>77.396176413717868</v>
      </c>
      <c r="AY187" s="95">
        <f t="shared" si="78"/>
        <v>75.408333333333317</v>
      </c>
      <c r="AZ187" s="96">
        <f t="shared" si="78"/>
        <v>61.834354838709679</v>
      </c>
      <c r="BA187" s="96" t="str">
        <f t="shared" si="78"/>
        <v/>
      </c>
      <c r="BB187" s="96">
        <f t="shared" si="78"/>
        <v>89.161290322580641</v>
      </c>
      <c r="BC187" s="96" t="str">
        <f t="shared" si="78"/>
        <v/>
      </c>
      <c r="BD187" s="97">
        <f>IFERROR(SUBTOTAL(1,BD154:BD184),"")</f>
        <v>115.17612903225807</v>
      </c>
      <c r="BE187" s="87">
        <f t="shared" si="78"/>
        <v>6304.0322580645161</v>
      </c>
      <c r="BF187" s="88">
        <f t="shared" si="78"/>
        <v>192.87096774193549</v>
      </c>
      <c r="BG187" s="98">
        <f t="shared" si="78"/>
        <v>412.83870967741933</v>
      </c>
      <c r="BH187" s="98">
        <f t="shared" si="78"/>
        <v>1563.8709677419354</v>
      </c>
      <c r="BI187" s="98">
        <f t="shared" si="78"/>
        <v>4134.4516129032254</v>
      </c>
      <c r="BJ187" s="98" t="str">
        <f t="shared" si="78"/>
        <v/>
      </c>
      <c r="BK187" s="98" t="str">
        <f t="shared" si="78"/>
        <v/>
      </c>
      <c r="BL187" s="97" t="str">
        <f t="shared" si="78"/>
        <v/>
      </c>
    </row>
    <row r="188" spans="1:64" ht="17.25" outlineLevel="1" thickBot="1" x14ac:dyDescent="0.35">
      <c r="A188" s="99" t="s">
        <v>76</v>
      </c>
      <c r="B188" s="100"/>
      <c r="C188" s="101"/>
      <c r="D188" s="102"/>
      <c r="E188" s="102"/>
      <c r="F188" s="102"/>
      <c r="G188" s="102"/>
      <c r="H188" s="102"/>
      <c r="I188" s="102"/>
      <c r="J188" s="102"/>
      <c r="K188" s="102"/>
      <c r="L188" s="103"/>
      <c r="M188" s="104"/>
      <c r="N188" s="104"/>
      <c r="O188" s="104"/>
      <c r="P188" s="104"/>
      <c r="Q188" s="104"/>
      <c r="R188" s="104"/>
      <c r="S188" s="104"/>
      <c r="T188" s="104"/>
      <c r="U188" s="105"/>
      <c r="V188" s="106"/>
      <c r="W188" s="106"/>
      <c r="X188" s="106"/>
      <c r="Y188" s="106"/>
      <c r="Z188" s="106"/>
      <c r="AA188" s="106"/>
      <c r="AB188" s="106"/>
      <c r="AC188" s="106"/>
      <c r="AD188" s="105"/>
      <c r="AE188" s="106"/>
      <c r="AF188" s="106"/>
      <c r="AG188" s="106"/>
      <c r="AH188" s="106"/>
      <c r="AI188" s="106"/>
      <c r="AJ188" s="106"/>
      <c r="AK188" s="106"/>
      <c r="AL188" s="106"/>
      <c r="AM188" s="106"/>
      <c r="AN188" s="107">
        <f>SUBTOTAL(9,AN154:AN184)</f>
        <v>3570.4600000000005</v>
      </c>
      <c r="AO188" s="108"/>
      <c r="AP188" s="109"/>
      <c r="AQ188" s="110"/>
      <c r="AR188" s="110"/>
      <c r="AS188" s="111">
        <f>SUBTOTAL(9,AS154:AS184)</f>
        <v>454</v>
      </c>
      <c r="AT188" s="112"/>
      <c r="AU188" s="113"/>
      <c r="AV188" s="110"/>
      <c r="AW188" s="110"/>
      <c r="AX188" s="101"/>
      <c r="AY188" s="114"/>
      <c r="AZ188" s="115"/>
      <c r="BA188" s="115"/>
      <c r="BB188" s="115"/>
      <c r="BC188" s="115"/>
      <c r="BD188" s="116">
        <f>SUBTOTAL(9,BD154:BD184)</f>
        <v>3570.4600000000005</v>
      </c>
      <c r="BE188" s="117">
        <f t="shared" ref="BE188:BL188" si="79">SUBTOTAL(9,BE154:BE184)</f>
        <v>195425</v>
      </c>
      <c r="BF188" s="107">
        <f t="shared" si="79"/>
        <v>5979</v>
      </c>
      <c r="BG188" s="118">
        <f t="shared" si="79"/>
        <v>12798</v>
      </c>
      <c r="BH188" s="118">
        <f t="shared" si="79"/>
        <v>48480</v>
      </c>
      <c r="BI188" s="118">
        <f t="shared" si="79"/>
        <v>128168</v>
      </c>
      <c r="BJ188" s="118">
        <f t="shared" si="79"/>
        <v>0</v>
      </c>
      <c r="BK188" s="118">
        <f t="shared" si="79"/>
        <v>0</v>
      </c>
      <c r="BL188" s="116">
        <f t="shared" si="79"/>
        <v>0</v>
      </c>
    </row>
    <row r="189" spans="1:64" outlineLevel="5" x14ac:dyDescent="0.3">
      <c r="A189" s="136">
        <f t="shared" si="75"/>
        <v>6</v>
      </c>
      <c r="B189" s="165">
        <f>B184+1</f>
        <v>44348</v>
      </c>
      <c r="C189" s="138">
        <f t="shared" ref="C189:C218" si="80">IFERROR(ROUND(AVERAGE(D189:K189),1),"")</f>
        <v>38</v>
      </c>
      <c r="D189" s="84">
        <v>38</v>
      </c>
      <c r="E189" s="84">
        <v>38</v>
      </c>
      <c r="F189" s="84"/>
      <c r="G189" s="84"/>
      <c r="H189" s="84"/>
      <c r="I189" s="84"/>
      <c r="J189" s="84"/>
      <c r="K189" s="84"/>
      <c r="L189" s="140" t="str">
        <f t="shared" ref="L189:L218" si="81">IFERROR(ROUND(AVERAGE(M189:T189),1),"")</f>
        <v/>
      </c>
      <c r="M189" s="86" t="s">
        <v>56</v>
      </c>
      <c r="N189" s="86" t="s">
        <v>56</v>
      </c>
      <c r="O189" s="86"/>
      <c r="P189" s="86"/>
      <c r="Q189" s="86"/>
      <c r="R189" s="86"/>
      <c r="S189" s="86"/>
      <c r="T189" s="86"/>
      <c r="U189" s="142" t="str">
        <f t="shared" ref="U189:U218" si="82">IFERROR(ROUND(AVERAGE(V189:AC189),1),"")</f>
        <v/>
      </c>
      <c r="V189" s="88" t="s">
        <v>56</v>
      </c>
      <c r="W189" s="88" t="s">
        <v>56</v>
      </c>
      <c r="X189" s="88"/>
      <c r="Y189" s="88"/>
      <c r="Z189" s="88"/>
      <c r="AA189" s="88"/>
      <c r="AB189" s="88"/>
      <c r="AC189" s="88"/>
      <c r="AD189" s="142" t="str">
        <f t="shared" ref="AD189:AD218" si="83">IFERROR(ROUND(AVERAGE(AE189:AL189),1),"")</f>
        <v/>
      </c>
      <c r="AE189" s="88"/>
      <c r="AF189" s="88"/>
      <c r="AG189" s="88"/>
      <c r="AH189" s="88"/>
      <c r="AI189" s="88"/>
      <c r="AJ189" s="88"/>
      <c r="AK189" s="88"/>
      <c r="AL189" s="88"/>
      <c r="AM189" s="88">
        <v>35.213369143539239</v>
      </c>
      <c r="AN189" s="88">
        <v>134.04000000000002</v>
      </c>
      <c r="AO189" s="89" t="s">
        <v>56</v>
      </c>
      <c r="AP189" s="90" t="s">
        <v>56</v>
      </c>
      <c r="AQ189" s="146" t="str">
        <f t="shared" ref="AQ189:AQ218" si="84">IFERROR(AP189/AO189*100,"")</f>
        <v/>
      </c>
      <c r="AR189" s="146" t="str">
        <f t="shared" ref="AR189:AR218" si="85">IFERROR(100-AQ189,"")</f>
        <v/>
      </c>
      <c r="AS189" s="147">
        <v>40</v>
      </c>
      <c r="AT189" s="148" t="s">
        <v>56</v>
      </c>
      <c r="AU189" s="149" t="s">
        <v>56</v>
      </c>
      <c r="AV189" s="146" t="str">
        <f t="shared" ref="AV189:AV218" si="86">IFERROR(AU189/AT189*100,"")</f>
        <v/>
      </c>
      <c r="AW189" s="146" t="str">
        <f t="shared" ref="AW189:AW218" si="87">IFERROR(100-AV189,"")</f>
        <v/>
      </c>
      <c r="AX189" s="138" t="str">
        <f t="shared" ref="AX189:AX218" si="88">IFERROR((1-((AV189*AR189)/(AW189*AQ189)))*100,"")</f>
        <v/>
      </c>
      <c r="AY189" s="95" t="s">
        <v>56</v>
      </c>
      <c r="AZ189" s="96">
        <v>60.31</v>
      </c>
      <c r="BA189" s="96"/>
      <c r="BB189" s="96">
        <v>79</v>
      </c>
      <c r="BC189" s="96"/>
      <c r="BD189" s="97">
        <v>134.04000000000002</v>
      </c>
      <c r="BE189" s="142">
        <f t="shared" ref="BE189:BE218" si="89">IF(SUM(BF189:BL189)=0,"",SUM(BF189:BL189))</f>
        <v>10785</v>
      </c>
      <c r="BF189" s="98">
        <v>237</v>
      </c>
      <c r="BG189" s="98">
        <v>913</v>
      </c>
      <c r="BH189" s="98">
        <v>5024</v>
      </c>
      <c r="BI189" s="98">
        <v>4611</v>
      </c>
      <c r="BJ189" s="98"/>
      <c r="BK189" s="98"/>
      <c r="BL189" s="98"/>
    </row>
    <row r="190" spans="1:64" outlineLevel="5" x14ac:dyDescent="0.3">
      <c r="A190" s="152">
        <f t="shared" si="75"/>
        <v>6</v>
      </c>
      <c r="B190" s="153">
        <f t="shared" si="74"/>
        <v>44349</v>
      </c>
      <c r="C190" s="138">
        <f t="shared" si="80"/>
        <v>36.5</v>
      </c>
      <c r="D190" s="84">
        <v>37</v>
      </c>
      <c r="E190" s="84">
        <v>36</v>
      </c>
      <c r="F190" s="84"/>
      <c r="G190" s="84"/>
      <c r="H190" s="84"/>
      <c r="I190" s="84"/>
      <c r="J190" s="84"/>
      <c r="K190" s="84"/>
      <c r="L190" s="140">
        <f t="shared" si="81"/>
        <v>7.7</v>
      </c>
      <c r="M190" s="86">
        <v>7.73</v>
      </c>
      <c r="N190" s="86">
        <v>7.61</v>
      </c>
      <c r="O190" s="86"/>
      <c r="P190" s="86"/>
      <c r="Q190" s="86"/>
      <c r="R190" s="86"/>
      <c r="S190" s="86"/>
      <c r="T190" s="86"/>
      <c r="U190" s="142">
        <f t="shared" si="82"/>
        <v>1445</v>
      </c>
      <c r="V190" s="88">
        <v>1570</v>
      </c>
      <c r="W190" s="88">
        <v>1320</v>
      </c>
      <c r="X190" s="88"/>
      <c r="Y190" s="88"/>
      <c r="Z190" s="88"/>
      <c r="AA190" s="88"/>
      <c r="AB190" s="88"/>
      <c r="AC190" s="88"/>
      <c r="AD190" s="142" t="str">
        <f t="shared" si="83"/>
        <v/>
      </c>
      <c r="AE190" s="88"/>
      <c r="AF190" s="88"/>
      <c r="AG190" s="88"/>
      <c r="AH190" s="88"/>
      <c r="AI190" s="88"/>
      <c r="AJ190" s="88"/>
      <c r="AK190" s="88"/>
      <c r="AL190" s="88"/>
      <c r="AM190" s="88">
        <v>39.517749497655728</v>
      </c>
      <c r="AN190" s="88">
        <v>119.44</v>
      </c>
      <c r="AO190" s="89" t="s">
        <v>56</v>
      </c>
      <c r="AP190" s="90" t="s">
        <v>56</v>
      </c>
      <c r="AQ190" s="146" t="str">
        <f t="shared" si="84"/>
        <v/>
      </c>
      <c r="AR190" s="146" t="str">
        <f t="shared" si="85"/>
        <v/>
      </c>
      <c r="AS190" s="147">
        <v>40</v>
      </c>
      <c r="AT190" s="148">
        <v>16.399999999999999</v>
      </c>
      <c r="AU190" s="149">
        <v>9.6999999999999993</v>
      </c>
      <c r="AV190" s="146">
        <f t="shared" si="86"/>
        <v>59.146341463414629</v>
      </c>
      <c r="AW190" s="146">
        <f t="shared" si="87"/>
        <v>40.853658536585371</v>
      </c>
      <c r="AX190" s="138" t="str">
        <f t="shared" si="88"/>
        <v/>
      </c>
      <c r="AY190" s="95">
        <v>72.150000000000006</v>
      </c>
      <c r="AZ190" s="96">
        <v>63.284999999999997</v>
      </c>
      <c r="BA190" s="96"/>
      <c r="BB190" s="96">
        <v>58</v>
      </c>
      <c r="BC190" s="96"/>
      <c r="BD190" s="97">
        <v>119.44</v>
      </c>
      <c r="BE190" s="142">
        <f t="shared" si="89"/>
        <v>11666</v>
      </c>
      <c r="BF190" s="98">
        <v>333</v>
      </c>
      <c r="BG190" s="98">
        <v>3372</v>
      </c>
      <c r="BH190" s="98">
        <v>3637</v>
      </c>
      <c r="BI190" s="98">
        <v>4324</v>
      </c>
      <c r="BJ190" s="98"/>
      <c r="BK190" s="98"/>
      <c r="BL190" s="98"/>
    </row>
    <row r="191" spans="1:64" outlineLevel="5" x14ac:dyDescent="0.3">
      <c r="A191" s="152">
        <f t="shared" si="75"/>
        <v>6</v>
      </c>
      <c r="B191" s="153">
        <f t="shared" si="74"/>
        <v>44350</v>
      </c>
      <c r="C191" s="138">
        <f t="shared" si="80"/>
        <v>37.5</v>
      </c>
      <c r="D191" s="84">
        <v>38</v>
      </c>
      <c r="E191" s="84">
        <v>37</v>
      </c>
      <c r="F191" s="84"/>
      <c r="G191" s="84"/>
      <c r="H191" s="84"/>
      <c r="I191" s="84"/>
      <c r="J191" s="84"/>
      <c r="K191" s="84"/>
      <c r="L191" s="140">
        <f t="shared" si="81"/>
        <v>7.7</v>
      </c>
      <c r="M191" s="86">
        <v>7.78</v>
      </c>
      <c r="N191" s="86">
        <v>7.62</v>
      </c>
      <c r="O191" s="86"/>
      <c r="P191" s="86"/>
      <c r="Q191" s="86"/>
      <c r="R191" s="86"/>
      <c r="S191" s="86"/>
      <c r="T191" s="86"/>
      <c r="U191" s="142">
        <f t="shared" si="82"/>
        <v>1650</v>
      </c>
      <c r="V191" s="88">
        <v>1850</v>
      </c>
      <c r="W191" s="88">
        <v>1450</v>
      </c>
      <c r="X191" s="88"/>
      <c r="Y191" s="88"/>
      <c r="Z191" s="88"/>
      <c r="AA191" s="88"/>
      <c r="AB191" s="88"/>
      <c r="AC191" s="88"/>
      <c r="AD191" s="142" t="str">
        <f t="shared" si="83"/>
        <v/>
      </c>
      <c r="AE191" s="88"/>
      <c r="AF191" s="88"/>
      <c r="AG191" s="88"/>
      <c r="AH191" s="88"/>
      <c r="AI191" s="88"/>
      <c r="AJ191" s="88"/>
      <c r="AK191" s="88"/>
      <c r="AL191" s="88"/>
      <c r="AM191" s="88">
        <v>42.244697037501126</v>
      </c>
      <c r="AN191" s="88">
        <v>111.72999999999999</v>
      </c>
      <c r="AO191" s="89" t="s">
        <v>56</v>
      </c>
      <c r="AP191" s="90"/>
      <c r="AQ191" s="146" t="str">
        <f t="shared" si="84"/>
        <v/>
      </c>
      <c r="AR191" s="146" t="str">
        <f t="shared" si="85"/>
        <v/>
      </c>
      <c r="AS191" s="147">
        <v>40</v>
      </c>
      <c r="AT191" s="148">
        <v>13.55</v>
      </c>
      <c r="AU191" s="149">
        <v>7.15</v>
      </c>
      <c r="AV191" s="146">
        <f t="shared" si="86"/>
        <v>52.767527675276746</v>
      </c>
      <c r="AW191" s="146">
        <f t="shared" si="87"/>
        <v>47.232472324723254</v>
      </c>
      <c r="AX191" s="138" t="str">
        <f t="shared" si="88"/>
        <v/>
      </c>
      <c r="AY191" s="95">
        <v>76.599999999999994</v>
      </c>
      <c r="AZ191" s="96">
        <v>60.984999999999999</v>
      </c>
      <c r="BA191" s="96"/>
      <c r="BB191" s="96">
        <v>82</v>
      </c>
      <c r="BC191" s="96"/>
      <c r="BD191" s="97">
        <v>111.72999999999999</v>
      </c>
      <c r="BE191" s="142">
        <f t="shared" si="89"/>
        <v>13599</v>
      </c>
      <c r="BF191" s="98">
        <v>199</v>
      </c>
      <c r="BG191" s="98">
        <v>3265</v>
      </c>
      <c r="BH191" s="98">
        <v>5811</v>
      </c>
      <c r="BI191" s="98">
        <v>4324</v>
      </c>
      <c r="BJ191" s="98"/>
      <c r="BK191" s="98"/>
      <c r="BL191" s="98"/>
    </row>
    <row r="192" spans="1:64" outlineLevel="5" x14ac:dyDescent="0.3">
      <c r="A192" s="152">
        <f t="shared" si="75"/>
        <v>6</v>
      </c>
      <c r="B192" s="153">
        <f t="shared" si="74"/>
        <v>44351</v>
      </c>
      <c r="C192" s="138">
        <f t="shared" si="80"/>
        <v>38</v>
      </c>
      <c r="D192" s="84">
        <v>38</v>
      </c>
      <c r="E192" s="84">
        <v>38</v>
      </c>
      <c r="F192" s="84"/>
      <c r="G192" s="84"/>
      <c r="H192" s="84"/>
      <c r="I192" s="84"/>
      <c r="J192" s="84"/>
      <c r="K192" s="84"/>
      <c r="L192" s="140" t="str">
        <f t="shared" si="81"/>
        <v/>
      </c>
      <c r="M192" s="86" t="s">
        <v>56</v>
      </c>
      <c r="N192" s="86" t="s">
        <v>56</v>
      </c>
      <c r="O192" s="86"/>
      <c r="P192" s="86"/>
      <c r="Q192" s="86"/>
      <c r="R192" s="86"/>
      <c r="S192" s="86"/>
      <c r="T192" s="86"/>
      <c r="U192" s="142" t="str">
        <f t="shared" si="82"/>
        <v/>
      </c>
      <c r="V192" s="88" t="s">
        <v>56</v>
      </c>
      <c r="W192" s="88" t="s">
        <v>56</v>
      </c>
      <c r="X192" s="88"/>
      <c r="Y192" s="88"/>
      <c r="Z192" s="88"/>
      <c r="AA192" s="88"/>
      <c r="AB192" s="88"/>
      <c r="AC192" s="88"/>
      <c r="AD192" s="142" t="str">
        <f t="shared" si="83"/>
        <v/>
      </c>
      <c r="AE192" s="88"/>
      <c r="AF192" s="88"/>
      <c r="AG192" s="88"/>
      <c r="AH192" s="88"/>
      <c r="AI192" s="88"/>
      <c r="AJ192" s="88"/>
      <c r="AK192" s="88"/>
      <c r="AL192" s="88"/>
      <c r="AM192" s="88">
        <v>48.962655601659748</v>
      </c>
      <c r="AN192" s="88">
        <v>96.4</v>
      </c>
      <c r="AO192" s="89" t="s">
        <v>56</v>
      </c>
      <c r="AP192" s="90"/>
      <c r="AQ192" s="146" t="str">
        <f t="shared" si="84"/>
        <v/>
      </c>
      <c r="AR192" s="146" t="str">
        <f t="shared" si="85"/>
        <v/>
      </c>
      <c r="AS192" s="147">
        <v>40</v>
      </c>
      <c r="AT192" s="148" t="s">
        <v>56</v>
      </c>
      <c r="AU192" s="149" t="s">
        <v>56</v>
      </c>
      <c r="AV192" s="146" t="str">
        <f t="shared" si="86"/>
        <v/>
      </c>
      <c r="AW192" s="146" t="str">
        <f t="shared" si="87"/>
        <v/>
      </c>
      <c r="AX192" s="138" t="str">
        <f t="shared" si="88"/>
        <v/>
      </c>
      <c r="AY192" s="95" t="s">
        <v>56</v>
      </c>
      <c r="AZ192" s="96">
        <v>61.19</v>
      </c>
      <c r="BA192" s="96"/>
      <c r="BB192" s="96">
        <v>80.5</v>
      </c>
      <c r="BC192" s="96"/>
      <c r="BD192" s="97">
        <v>96.4</v>
      </c>
      <c r="BE192" s="142">
        <f t="shared" si="89"/>
        <v>9083</v>
      </c>
      <c r="BF192" s="98">
        <v>291</v>
      </c>
      <c r="BG192" s="98">
        <v>0</v>
      </c>
      <c r="BH192" s="98">
        <v>4055</v>
      </c>
      <c r="BI192" s="98">
        <v>4737</v>
      </c>
      <c r="BJ192" s="98"/>
      <c r="BK192" s="98"/>
      <c r="BL192" s="98"/>
    </row>
    <row r="193" spans="1:64" outlineLevel="5" x14ac:dyDescent="0.3">
      <c r="A193" s="152">
        <f t="shared" si="75"/>
        <v>6</v>
      </c>
      <c r="B193" s="153">
        <f t="shared" si="74"/>
        <v>44352</v>
      </c>
      <c r="C193" s="138">
        <f t="shared" si="80"/>
        <v>38</v>
      </c>
      <c r="D193" s="84">
        <v>38</v>
      </c>
      <c r="E193" s="84">
        <v>38</v>
      </c>
      <c r="F193" s="84"/>
      <c r="G193" s="84"/>
      <c r="H193" s="84"/>
      <c r="I193" s="84"/>
      <c r="J193" s="84"/>
      <c r="K193" s="84"/>
      <c r="L193" s="140" t="str">
        <f t="shared" si="81"/>
        <v/>
      </c>
      <c r="M193" s="86"/>
      <c r="N193" s="86"/>
      <c r="O193" s="86"/>
      <c r="P193" s="86"/>
      <c r="Q193" s="86"/>
      <c r="R193" s="86"/>
      <c r="S193" s="86"/>
      <c r="T193" s="86"/>
      <c r="U193" s="142" t="str">
        <f t="shared" si="82"/>
        <v/>
      </c>
      <c r="V193" s="88"/>
      <c r="W193" s="88"/>
      <c r="X193" s="88"/>
      <c r="Y193" s="88"/>
      <c r="Z193" s="88"/>
      <c r="AA193" s="88"/>
      <c r="AB193" s="88"/>
      <c r="AC193" s="88"/>
      <c r="AD193" s="142" t="str">
        <f t="shared" si="83"/>
        <v/>
      </c>
      <c r="AE193" s="88"/>
      <c r="AF193" s="88"/>
      <c r="AG193" s="88"/>
      <c r="AH193" s="88"/>
      <c r="AI193" s="88"/>
      <c r="AJ193" s="88"/>
      <c r="AK193" s="88"/>
      <c r="AL193" s="88"/>
      <c r="AM193" s="88">
        <v>54.699269903812727</v>
      </c>
      <c r="AN193" s="88">
        <v>86.289999999999992</v>
      </c>
      <c r="AO193" s="89"/>
      <c r="AP193" s="90"/>
      <c r="AQ193" s="146" t="str">
        <f t="shared" si="84"/>
        <v/>
      </c>
      <c r="AR193" s="146" t="str">
        <f t="shared" si="85"/>
        <v/>
      </c>
      <c r="AS193" s="147">
        <v>0</v>
      </c>
      <c r="AT193" s="148" t="s">
        <v>56</v>
      </c>
      <c r="AU193" s="149" t="s">
        <v>56</v>
      </c>
      <c r="AV193" s="146" t="str">
        <f t="shared" si="86"/>
        <v/>
      </c>
      <c r="AW193" s="146" t="str">
        <f t="shared" si="87"/>
        <v/>
      </c>
      <c r="AX193" s="138" t="str">
        <f t="shared" si="88"/>
        <v/>
      </c>
      <c r="AY193" s="95" t="s">
        <v>56</v>
      </c>
      <c r="AZ193" s="96">
        <v>61.94</v>
      </c>
      <c r="BA193" s="96"/>
      <c r="BB193" s="96">
        <v>59</v>
      </c>
      <c r="BC193" s="96"/>
      <c r="BD193" s="97">
        <v>86.289999999999992</v>
      </c>
      <c r="BE193" s="142">
        <f t="shared" si="89"/>
        <v>5009</v>
      </c>
      <c r="BF193" s="98">
        <v>234</v>
      </c>
      <c r="BG193" s="98">
        <v>0</v>
      </c>
      <c r="BH193" s="98">
        <v>0</v>
      </c>
      <c r="BI193" s="98">
        <v>4775</v>
      </c>
      <c r="BJ193" s="98"/>
      <c r="BK193" s="98"/>
      <c r="BL193" s="98"/>
    </row>
    <row r="194" spans="1:64" outlineLevel="5" x14ac:dyDescent="0.3">
      <c r="A194" s="152">
        <f t="shared" si="75"/>
        <v>6</v>
      </c>
      <c r="B194" s="153">
        <f t="shared" si="74"/>
        <v>44353</v>
      </c>
      <c r="C194" s="138">
        <f t="shared" si="80"/>
        <v>38</v>
      </c>
      <c r="D194" s="84">
        <v>38</v>
      </c>
      <c r="E194" s="84">
        <v>38</v>
      </c>
      <c r="F194" s="84"/>
      <c r="G194" s="84"/>
      <c r="H194" s="84"/>
      <c r="I194" s="84"/>
      <c r="J194" s="84"/>
      <c r="K194" s="84"/>
      <c r="L194" s="140" t="str">
        <f t="shared" si="81"/>
        <v/>
      </c>
      <c r="M194" s="86"/>
      <c r="N194" s="86"/>
      <c r="O194" s="86"/>
      <c r="P194" s="86"/>
      <c r="Q194" s="86"/>
      <c r="R194" s="86"/>
      <c r="S194" s="86"/>
      <c r="T194" s="86"/>
      <c r="U194" s="142" t="str">
        <f t="shared" si="82"/>
        <v/>
      </c>
      <c r="V194" s="88"/>
      <c r="W194" s="88"/>
      <c r="X194" s="88"/>
      <c r="Y194" s="88"/>
      <c r="Z194" s="88"/>
      <c r="AA194" s="88"/>
      <c r="AB194" s="88"/>
      <c r="AC194" s="88"/>
      <c r="AD194" s="142" t="str">
        <f t="shared" si="83"/>
        <v/>
      </c>
      <c r="AE194" s="88"/>
      <c r="AF194" s="88"/>
      <c r="AG194" s="88"/>
      <c r="AH194" s="88"/>
      <c r="AI194" s="88"/>
      <c r="AJ194" s="88"/>
      <c r="AK194" s="88"/>
      <c r="AL194" s="88"/>
      <c r="AM194" s="88">
        <v>78.666666666666671</v>
      </c>
      <c r="AN194" s="88">
        <v>60</v>
      </c>
      <c r="AO194" s="89"/>
      <c r="AP194" s="90"/>
      <c r="AQ194" s="146" t="str">
        <f t="shared" si="84"/>
        <v/>
      </c>
      <c r="AR194" s="146" t="str">
        <f t="shared" si="85"/>
        <v/>
      </c>
      <c r="AS194" s="147">
        <v>0</v>
      </c>
      <c r="AT194" s="148" t="s">
        <v>56</v>
      </c>
      <c r="AU194" s="149" t="s">
        <v>56</v>
      </c>
      <c r="AV194" s="146" t="str">
        <f t="shared" si="86"/>
        <v/>
      </c>
      <c r="AW194" s="146" t="str">
        <f t="shared" si="87"/>
        <v/>
      </c>
      <c r="AX194" s="138" t="str">
        <f t="shared" si="88"/>
        <v/>
      </c>
      <c r="AY194" s="95" t="s">
        <v>56</v>
      </c>
      <c r="AZ194" s="96">
        <v>64.099999999999994</v>
      </c>
      <c r="BA194" s="96"/>
      <c r="BB194" s="96">
        <v>90</v>
      </c>
      <c r="BC194" s="96"/>
      <c r="BD194" s="97">
        <v>60</v>
      </c>
      <c r="BE194" s="142">
        <f t="shared" si="89"/>
        <v>5055</v>
      </c>
      <c r="BF194" s="98">
        <v>181</v>
      </c>
      <c r="BG194" s="98">
        <v>0</v>
      </c>
      <c r="BH194" s="98">
        <v>0</v>
      </c>
      <c r="BI194" s="98">
        <v>4874</v>
      </c>
      <c r="BJ194" s="98"/>
      <c r="BK194" s="98"/>
      <c r="BL194" s="98"/>
    </row>
    <row r="195" spans="1:64" outlineLevel="5" x14ac:dyDescent="0.3">
      <c r="A195" s="152">
        <f t="shared" si="75"/>
        <v>6</v>
      </c>
      <c r="B195" s="153">
        <f t="shared" si="74"/>
        <v>44354</v>
      </c>
      <c r="C195" s="138">
        <f t="shared" si="80"/>
        <v>38</v>
      </c>
      <c r="D195" s="84">
        <v>38</v>
      </c>
      <c r="E195" s="84">
        <v>38</v>
      </c>
      <c r="F195" s="84"/>
      <c r="G195" s="84"/>
      <c r="H195" s="84"/>
      <c r="I195" s="84"/>
      <c r="J195" s="84"/>
      <c r="K195" s="84"/>
      <c r="L195" s="140" t="str">
        <f t="shared" si="81"/>
        <v/>
      </c>
      <c r="M195" s="86" t="s">
        <v>56</v>
      </c>
      <c r="N195" s="86" t="s">
        <v>56</v>
      </c>
      <c r="O195" s="86"/>
      <c r="P195" s="86"/>
      <c r="Q195" s="86"/>
      <c r="R195" s="86"/>
      <c r="S195" s="86"/>
      <c r="T195" s="86"/>
      <c r="U195" s="142" t="str">
        <f t="shared" si="82"/>
        <v/>
      </c>
      <c r="V195" s="88" t="s">
        <v>56</v>
      </c>
      <c r="W195" s="88" t="s">
        <v>56</v>
      </c>
      <c r="X195" s="88"/>
      <c r="Y195" s="88"/>
      <c r="Z195" s="88"/>
      <c r="AA195" s="88"/>
      <c r="AB195" s="88"/>
      <c r="AC195" s="88"/>
      <c r="AD195" s="142" t="str">
        <f t="shared" si="83"/>
        <v/>
      </c>
      <c r="AE195" s="88"/>
      <c r="AF195" s="88"/>
      <c r="AG195" s="88"/>
      <c r="AH195" s="88"/>
      <c r="AI195" s="88"/>
      <c r="AJ195" s="88"/>
      <c r="AK195" s="88"/>
      <c r="AL195" s="88"/>
      <c r="AM195" s="88"/>
      <c r="AN195" s="88">
        <v>20.56</v>
      </c>
      <c r="AO195" s="89" t="s">
        <v>56</v>
      </c>
      <c r="AP195" s="90"/>
      <c r="AQ195" s="146" t="str">
        <f t="shared" si="84"/>
        <v/>
      </c>
      <c r="AR195" s="146" t="str">
        <f t="shared" si="85"/>
        <v/>
      </c>
      <c r="AS195" s="147">
        <v>0</v>
      </c>
      <c r="AT195" s="148" t="s">
        <v>56</v>
      </c>
      <c r="AU195" s="149" t="s">
        <v>56</v>
      </c>
      <c r="AV195" s="146" t="str">
        <f t="shared" si="86"/>
        <v/>
      </c>
      <c r="AW195" s="146" t="str">
        <f t="shared" si="87"/>
        <v/>
      </c>
      <c r="AX195" s="138" t="str">
        <f t="shared" si="88"/>
        <v/>
      </c>
      <c r="AY195" s="95" t="s">
        <v>56</v>
      </c>
      <c r="AZ195" s="96">
        <v>65.400000000000006</v>
      </c>
      <c r="BA195" s="96"/>
      <c r="BB195" s="96">
        <v>58.5</v>
      </c>
      <c r="BC195" s="96"/>
      <c r="BD195" s="97">
        <v>20.56</v>
      </c>
      <c r="BE195" s="142">
        <f t="shared" si="89"/>
        <v>4843</v>
      </c>
      <c r="BF195" s="98">
        <v>196</v>
      </c>
      <c r="BG195" s="98">
        <v>0</v>
      </c>
      <c r="BH195" s="98">
        <v>0</v>
      </c>
      <c r="BI195" s="98">
        <v>4647</v>
      </c>
      <c r="BJ195" s="98"/>
      <c r="BK195" s="98"/>
      <c r="BL195" s="98"/>
    </row>
    <row r="196" spans="1:64" outlineLevel="5" x14ac:dyDescent="0.3">
      <c r="A196" s="152">
        <f t="shared" si="75"/>
        <v>6</v>
      </c>
      <c r="B196" s="153">
        <f t="shared" si="74"/>
        <v>44355</v>
      </c>
      <c r="C196" s="138">
        <f t="shared" si="80"/>
        <v>38</v>
      </c>
      <c r="D196" s="84">
        <v>38</v>
      </c>
      <c r="E196" s="84">
        <v>38</v>
      </c>
      <c r="F196" s="84"/>
      <c r="G196" s="84"/>
      <c r="H196" s="84"/>
      <c r="I196" s="84"/>
      <c r="J196" s="84"/>
      <c r="K196" s="84"/>
      <c r="L196" s="140" t="str">
        <f t="shared" si="81"/>
        <v/>
      </c>
      <c r="M196" s="86" t="s">
        <v>56</v>
      </c>
      <c r="N196" s="86" t="s">
        <v>56</v>
      </c>
      <c r="O196" s="86"/>
      <c r="P196" s="86"/>
      <c r="Q196" s="86"/>
      <c r="R196" s="86"/>
      <c r="S196" s="86"/>
      <c r="T196" s="86"/>
      <c r="U196" s="142" t="str">
        <f t="shared" si="82"/>
        <v/>
      </c>
      <c r="V196" s="88" t="s">
        <v>56</v>
      </c>
      <c r="W196" s="88" t="s">
        <v>56</v>
      </c>
      <c r="X196" s="88"/>
      <c r="Y196" s="88"/>
      <c r="Z196" s="88"/>
      <c r="AA196" s="88"/>
      <c r="AB196" s="88"/>
      <c r="AC196" s="88"/>
      <c r="AD196" s="142" t="str">
        <f t="shared" si="83"/>
        <v/>
      </c>
      <c r="AE196" s="88"/>
      <c r="AF196" s="88"/>
      <c r="AG196" s="88"/>
      <c r="AH196" s="88"/>
      <c r="AI196" s="88"/>
      <c r="AJ196" s="88"/>
      <c r="AK196" s="88"/>
      <c r="AL196" s="88"/>
      <c r="AM196" s="88"/>
      <c r="AN196" s="88">
        <v>20</v>
      </c>
      <c r="AO196" s="89" t="s">
        <v>56</v>
      </c>
      <c r="AP196" s="90"/>
      <c r="AQ196" s="146" t="str">
        <f t="shared" si="84"/>
        <v/>
      </c>
      <c r="AR196" s="146" t="str">
        <f t="shared" si="85"/>
        <v/>
      </c>
      <c r="AS196" s="147">
        <v>0</v>
      </c>
      <c r="AT196" s="148" t="s">
        <v>56</v>
      </c>
      <c r="AU196" s="149" t="s">
        <v>56</v>
      </c>
      <c r="AV196" s="146" t="str">
        <f t="shared" si="86"/>
        <v/>
      </c>
      <c r="AW196" s="146" t="str">
        <f t="shared" si="87"/>
        <v/>
      </c>
      <c r="AX196" s="138" t="str">
        <f t="shared" si="88"/>
        <v/>
      </c>
      <c r="AY196" s="95" t="s">
        <v>56</v>
      </c>
      <c r="AZ196" s="96">
        <v>64.914999999999992</v>
      </c>
      <c r="BA196" s="96"/>
      <c r="BB196" s="96">
        <v>58.5</v>
      </c>
      <c r="BC196" s="96"/>
      <c r="BD196" s="97">
        <v>20</v>
      </c>
      <c r="BE196" s="142">
        <f t="shared" si="89"/>
        <v>2544</v>
      </c>
      <c r="BF196" s="98">
        <v>4</v>
      </c>
      <c r="BG196" s="98">
        <v>0</v>
      </c>
      <c r="BH196" s="98">
        <v>0</v>
      </c>
      <c r="BI196" s="98">
        <v>2540</v>
      </c>
      <c r="BJ196" s="98"/>
      <c r="BK196" s="98"/>
      <c r="BL196" s="98"/>
    </row>
    <row r="197" spans="1:64" outlineLevel="5" x14ac:dyDescent="0.3">
      <c r="A197" s="152">
        <f t="shared" si="75"/>
        <v>6</v>
      </c>
      <c r="B197" s="153">
        <f t="shared" si="74"/>
        <v>44356</v>
      </c>
      <c r="C197" s="138">
        <f t="shared" si="80"/>
        <v>38</v>
      </c>
      <c r="D197" s="84">
        <v>38</v>
      </c>
      <c r="E197" s="84">
        <v>38</v>
      </c>
      <c r="F197" s="84"/>
      <c r="G197" s="84"/>
      <c r="H197" s="84"/>
      <c r="I197" s="84"/>
      <c r="J197" s="84"/>
      <c r="K197" s="84"/>
      <c r="L197" s="140" t="str">
        <f t="shared" si="81"/>
        <v/>
      </c>
      <c r="M197" s="86" t="s">
        <v>56</v>
      </c>
      <c r="N197" s="86" t="s">
        <v>56</v>
      </c>
      <c r="O197" s="86"/>
      <c r="P197" s="86"/>
      <c r="Q197" s="86"/>
      <c r="R197" s="86"/>
      <c r="S197" s="86"/>
      <c r="T197" s="86"/>
      <c r="U197" s="142" t="str">
        <f t="shared" si="82"/>
        <v/>
      </c>
      <c r="V197" s="88" t="s">
        <v>56</v>
      </c>
      <c r="W197" s="88" t="s">
        <v>56</v>
      </c>
      <c r="X197" s="88"/>
      <c r="Y197" s="88"/>
      <c r="Z197" s="88"/>
      <c r="AA197" s="88"/>
      <c r="AB197" s="88"/>
      <c r="AC197" s="88"/>
      <c r="AD197" s="142" t="str">
        <f t="shared" si="83"/>
        <v/>
      </c>
      <c r="AE197" s="88"/>
      <c r="AF197" s="88"/>
      <c r="AG197" s="88"/>
      <c r="AH197" s="88"/>
      <c r="AI197" s="88"/>
      <c r="AJ197" s="88"/>
      <c r="AK197" s="88"/>
      <c r="AL197" s="88"/>
      <c r="AM197" s="88"/>
      <c r="AN197" s="88">
        <v>11</v>
      </c>
      <c r="AO197" s="89" t="s">
        <v>56</v>
      </c>
      <c r="AP197" s="90"/>
      <c r="AQ197" s="146" t="str">
        <f t="shared" si="84"/>
        <v/>
      </c>
      <c r="AR197" s="146" t="str">
        <f t="shared" si="85"/>
        <v/>
      </c>
      <c r="AS197" s="147">
        <v>0</v>
      </c>
      <c r="AT197" s="148" t="s">
        <v>56</v>
      </c>
      <c r="AU197" s="149" t="s">
        <v>56</v>
      </c>
      <c r="AV197" s="146" t="str">
        <f t="shared" si="86"/>
        <v/>
      </c>
      <c r="AW197" s="146" t="str">
        <f t="shared" si="87"/>
        <v/>
      </c>
      <c r="AX197" s="138" t="str">
        <f t="shared" si="88"/>
        <v/>
      </c>
      <c r="AY197" s="95" t="s">
        <v>56</v>
      </c>
      <c r="AZ197" s="96">
        <v>62.81</v>
      </c>
      <c r="BA197" s="96"/>
      <c r="BB197" s="96">
        <v>59.5</v>
      </c>
      <c r="BC197" s="96"/>
      <c r="BD197" s="97">
        <v>11</v>
      </c>
      <c r="BE197" s="142">
        <f t="shared" si="89"/>
        <v>892</v>
      </c>
      <c r="BF197" s="98">
        <v>0</v>
      </c>
      <c r="BG197" s="98">
        <v>0</v>
      </c>
      <c r="BH197" s="98">
        <v>0</v>
      </c>
      <c r="BI197" s="98">
        <v>892</v>
      </c>
      <c r="BJ197" s="98"/>
      <c r="BK197" s="98"/>
      <c r="BL197" s="98"/>
    </row>
    <row r="198" spans="1:64" outlineLevel="5" x14ac:dyDescent="0.3">
      <c r="A198" s="152">
        <f t="shared" si="75"/>
        <v>6</v>
      </c>
      <c r="B198" s="153">
        <f t="shared" si="74"/>
        <v>44357</v>
      </c>
      <c r="C198" s="138">
        <f t="shared" si="80"/>
        <v>37.5</v>
      </c>
      <c r="D198" s="84">
        <v>38</v>
      </c>
      <c r="E198" s="84">
        <v>37</v>
      </c>
      <c r="F198" s="84"/>
      <c r="G198" s="84"/>
      <c r="H198" s="84"/>
      <c r="I198" s="84"/>
      <c r="J198" s="84"/>
      <c r="K198" s="84"/>
      <c r="L198" s="140" t="str">
        <f t="shared" si="81"/>
        <v/>
      </c>
      <c r="M198" s="86" t="s">
        <v>56</v>
      </c>
      <c r="N198" s="86" t="s">
        <v>56</v>
      </c>
      <c r="O198" s="86"/>
      <c r="P198" s="86"/>
      <c r="Q198" s="86"/>
      <c r="R198" s="86"/>
      <c r="S198" s="86"/>
      <c r="T198" s="86"/>
      <c r="U198" s="142" t="str">
        <f t="shared" si="82"/>
        <v/>
      </c>
      <c r="V198" s="88" t="s">
        <v>56</v>
      </c>
      <c r="W198" s="88" t="s">
        <v>56</v>
      </c>
      <c r="X198" s="88"/>
      <c r="Y198" s="88"/>
      <c r="Z198" s="88"/>
      <c r="AA198" s="88"/>
      <c r="AB198" s="88"/>
      <c r="AC198" s="88"/>
      <c r="AD198" s="142" t="str">
        <f t="shared" si="83"/>
        <v/>
      </c>
      <c r="AE198" s="88"/>
      <c r="AF198" s="88"/>
      <c r="AG198" s="88"/>
      <c r="AH198" s="88"/>
      <c r="AI198" s="88"/>
      <c r="AJ198" s="88"/>
      <c r="AK198" s="88"/>
      <c r="AL198" s="88"/>
      <c r="AM198" s="88"/>
      <c r="AN198" s="88">
        <v>0</v>
      </c>
      <c r="AO198" s="89" t="s">
        <v>56</v>
      </c>
      <c r="AP198" s="90"/>
      <c r="AQ198" s="146" t="str">
        <f t="shared" si="84"/>
        <v/>
      </c>
      <c r="AR198" s="146" t="str">
        <f t="shared" si="85"/>
        <v/>
      </c>
      <c r="AS198" s="147">
        <v>0</v>
      </c>
      <c r="AT198" s="148" t="s">
        <v>56</v>
      </c>
      <c r="AU198" s="149" t="s">
        <v>56</v>
      </c>
      <c r="AV198" s="146" t="str">
        <f t="shared" si="86"/>
        <v/>
      </c>
      <c r="AW198" s="146" t="str">
        <f t="shared" si="87"/>
        <v/>
      </c>
      <c r="AX198" s="138" t="str">
        <f t="shared" si="88"/>
        <v/>
      </c>
      <c r="AY198" s="95" t="s">
        <v>56</v>
      </c>
      <c r="AZ198" s="96">
        <v>61.015000000000001</v>
      </c>
      <c r="BA198" s="96"/>
      <c r="BB198" s="96">
        <v>59</v>
      </c>
      <c r="BC198" s="96"/>
      <c r="BD198" s="97">
        <v>0</v>
      </c>
      <c r="BE198" s="142">
        <f t="shared" si="89"/>
        <v>903</v>
      </c>
      <c r="BF198" s="98">
        <v>0</v>
      </c>
      <c r="BG198" s="98">
        <v>0</v>
      </c>
      <c r="BH198" s="98">
        <v>0</v>
      </c>
      <c r="BI198" s="98">
        <v>903</v>
      </c>
      <c r="BJ198" s="98"/>
      <c r="BK198" s="98"/>
      <c r="BL198" s="98"/>
    </row>
    <row r="199" spans="1:64" outlineLevel="5" x14ac:dyDescent="0.3">
      <c r="A199" s="152">
        <f t="shared" si="75"/>
        <v>6</v>
      </c>
      <c r="B199" s="153">
        <f t="shared" si="74"/>
        <v>44358</v>
      </c>
      <c r="C199" s="138">
        <f t="shared" si="80"/>
        <v>37.5</v>
      </c>
      <c r="D199" s="84">
        <v>38</v>
      </c>
      <c r="E199" s="84">
        <v>37</v>
      </c>
      <c r="F199" s="84"/>
      <c r="G199" s="84"/>
      <c r="H199" s="84"/>
      <c r="I199" s="84"/>
      <c r="J199" s="84"/>
      <c r="K199" s="84"/>
      <c r="L199" s="140" t="str">
        <f t="shared" si="81"/>
        <v/>
      </c>
      <c r="M199" s="86" t="s">
        <v>56</v>
      </c>
      <c r="N199" s="86" t="s">
        <v>56</v>
      </c>
      <c r="O199" s="86"/>
      <c r="P199" s="86"/>
      <c r="Q199" s="86"/>
      <c r="R199" s="86"/>
      <c r="S199" s="86"/>
      <c r="T199" s="86"/>
      <c r="U199" s="142" t="str">
        <f t="shared" si="82"/>
        <v/>
      </c>
      <c r="V199" s="88" t="s">
        <v>56</v>
      </c>
      <c r="W199" s="88" t="s">
        <v>56</v>
      </c>
      <c r="X199" s="88"/>
      <c r="Y199" s="88"/>
      <c r="Z199" s="88"/>
      <c r="AA199" s="88"/>
      <c r="AB199" s="88"/>
      <c r="AC199" s="88"/>
      <c r="AD199" s="142" t="str">
        <f t="shared" si="83"/>
        <v/>
      </c>
      <c r="AE199" s="88"/>
      <c r="AF199" s="88"/>
      <c r="AG199" s="88"/>
      <c r="AH199" s="88"/>
      <c r="AI199" s="88"/>
      <c r="AJ199" s="88"/>
      <c r="AK199" s="88"/>
      <c r="AL199" s="88"/>
      <c r="AM199" s="88"/>
      <c r="AN199" s="88">
        <v>0</v>
      </c>
      <c r="AO199" s="89" t="s">
        <v>56</v>
      </c>
      <c r="AP199" s="90"/>
      <c r="AQ199" s="146" t="str">
        <f t="shared" si="84"/>
        <v/>
      </c>
      <c r="AR199" s="146" t="str">
        <f t="shared" si="85"/>
        <v/>
      </c>
      <c r="AS199" s="147">
        <v>0</v>
      </c>
      <c r="AT199" s="148" t="s">
        <v>56</v>
      </c>
      <c r="AU199" s="149" t="s">
        <v>56</v>
      </c>
      <c r="AV199" s="146" t="str">
        <f t="shared" si="86"/>
        <v/>
      </c>
      <c r="AW199" s="146" t="str">
        <f t="shared" si="87"/>
        <v/>
      </c>
      <c r="AX199" s="138" t="str">
        <f t="shared" si="88"/>
        <v/>
      </c>
      <c r="AY199" s="95" t="s">
        <v>56</v>
      </c>
      <c r="AZ199" s="96">
        <v>60.814999999999998</v>
      </c>
      <c r="BA199" s="96"/>
      <c r="BB199" s="96">
        <v>57</v>
      </c>
      <c r="BC199" s="96"/>
      <c r="BD199" s="97">
        <v>0</v>
      </c>
      <c r="BE199" s="142" t="str">
        <f t="shared" si="89"/>
        <v/>
      </c>
      <c r="BF199" s="98">
        <v>0</v>
      </c>
      <c r="BG199" s="98">
        <v>0</v>
      </c>
      <c r="BH199" s="98">
        <v>0</v>
      </c>
      <c r="BI199" s="98">
        <v>0</v>
      </c>
      <c r="BJ199" s="98"/>
      <c r="BK199" s="98"/>
      <c r="BL199" s="98"/>
    </row>
    <row r="200" spans="1:64" outlineLevel="5" x14ac:dyDescent="0.3">
      <c r="A200" s="152">
        <f t="shared" si="75"/>
        <v>6</v>
      </c>
      <c r="B200" s="153">
        <f t="shared" si="74"/>
        <v>44359</v>
      </c>
      <c r="C200" s="138">
        <f t="shared" si="80"/>
        <v>37.5</v>
      </c>
      <c r="D200" s="84">
        <v>38</v>
      </c>
      <c r="E200" s="84">
        <v>37</v>
      </c>
      <c r="F200" s="84"/>
      <c r="G200" s="84"/>
      <c r="H200" s="84"/>
      <c r="I200" s="84"/>
      <c r="J200" s="84"/>
      <c r="K200" s="84"/>
      <c r="L200" s="140" t="str">
        <f t="shared" si="81"/>
        <v/>
      </c>
      <c r="M200" s="86"/>
      <c r="N200" s="86"/>
      <c r="O200" s="86"/>
      <c r="P200" s="86"/>
      <c r="Q200" s="86"/>
      <c r="R200" s="86"/>
      <c r="S200" s="86"/>
      <c r="T200" s="86"/>
      <c r="U200" s="142" t="str">
        <f t="shared" si="82"/>
        <v/>
      </c>
      <c r="V200" s="88"/>
      <c r="W200" s="88"/>
      <c r="X200" s="88"/>
      <c r="Y200" s="88"/>
      <c r="Z200" s="88"/>
      <c r="AA200" s="88"/>
      <c r="AB200" s="88"/>
      <c r="AC200" s="88"/>
      <c r="AD200" s="142" t="str">
        <f t="shared" si="83"/>
        <v/>
      </c>
      <c r="AE200" s="88"/>
      <c r="AF200" s="88"/>
      <c r="AG200" s="88"/>
      <c r="AH200" s="88"/>
      <c r="AI200" s="88"/>
      <c r="AJ200" s="88"/>
      <c r="AK200" s="88"/>
      <c r="AL200" s="88"/>
      <c r="AM200" s="88"/>
      <c r="AN200" s="88">
        <v>0</v>
      </c>
      <c r="AO200" s="89"/>
      <c r="AP200" s="90"/>
      <c r="AQ200" s="146" t="str">
        <f t="shared" si="84"/>
        <v/>
      </c>
      <c r="AR200" s="146" t="str">
        <f t="shared" si="85"/>
        <v/>
      </c>
      <c r="AS200" s="147">
        <v>0</v>
      </c>
      <c r="AT200" s="148" t="s">
        <v>56</v>
      </c>
      <c r="AU200" s="149" t="s">
        <v>56</v>
      </c>
      <c r="AV200" s="146" t="str">
        <f t="shared" si="86"/>
        <v/>
      </c>
      <c r="AW200" s="146" t="str">
        <f t="shared" si="87"/>
        <v/>
      </c>
      <c r="AX200" s="138" t="str">
        <f t="shared" si="88"/>
        <v/>
      </c>
      <c r="AY200" s="95" t="s">
        <v>56</v>
      </c>
      <c r="AZ200" s="96">
        <v>61.875</v>
      </c>
      <c r="BA200" s="96"/>
      <c r="BB200" s="96">
        <v>64.5</v>
      </c>
      <c r="BC200" s="96"/>
      <c r="BD200" s="97">
        <v>0</v>
      </c>
      <c r="BE200" s="142" t="str">
        <f t="shared" si="89"/>
        <v/>
      </c>
      <c r="BF200" s="98">
        <v>0</v>
      </c>
      <c r="BG200" s="98">
        <v>0</v>
      </c>
      <c r="BH200" s="98">
        <v>0</v>
      </c>
      <c r="BI200" s="98">
        <v>0</v>
      </c>
      <c r="BJ200" s="98"/>
      <c r="BK200" s="98"/>
      <c r="BL200" s="98"/>
    </row>
    <row r="201" spans="1:64" outlineLevel="5" x14ac:dyDescent="0.3">
      <c r="A201" s="152">
        <f t="shared" si="75"/>
        <v>6</v>
      </c>
      <c r="B201" s="153">
        <f t="shared" si="74"/>
        <v>44360</v>
      </c>
      <c r="C201" s="138">
        <f t="shared" si="80"/>
        <v>37.5</v>
      </c>
      <c r="D201" s="84">
        <v>38</v>
      </c>
      <c r="E201" s="84">
        <v>37</v>
      </c>
      <c r="F201" s="84"/>
      <c r="G201" s="84"/>
      <c r="H201" s="84"/>
      <c r="I201" s="84"/>
      <c r="J201" s="84"/>
      <c r="K201" s="84"/>
      <c r="L201" s="140" t="str">
        <f t="shared" si="81"/>
        <v/>
      </c>
      <c r="M201" s="86"/>
      <c r="N201" s="86"/>
      <c r="O201" s="86"/>
      <c r="P201" s="86"/>
      <c r="Q201" s="86"/>
      <c r="R201" s="86"/>
      <c r="S201" s="86"/>
      <c r="T201" s="86"/>
      <c r="U201" s="142" t="str">
        <f t="shared" si="82"/>
        <v/>
      </c>
      <c r="V201" s="88"/>
      <c r="W201" s="88"/>
      <c r="X201" s="88"/>
      <c r="Y201" s="88"/>
      <c r="Z201" s="88"/>
      <c r="AA201" s="88"/>
      <c r="AB201" s="88"/>
      <c r="AC201" s="88"/>
      <c r="AD201" s="142" t="str">
        <f t="shared" si="83"/>
        <v/>
      </c>
      <c r="AE201" s="88"/>
      <c r="AF201" s="88"/>
      <c r="AG201" s="88"/>
      <c r="AH201" s="88"/>
      <c r="AI201" s="88"/>
      <c r="AJ201" s="88"/>
      <c r="AK201" s="88"/>
      <c r="AL201" s="88"/>
      <c r="AM201" s="88"/>
      <c r="AN201" s="88">
        <v>0</v>
      </c>
      <c r="AO201" s="89"/>
      <c r="AP201" s="90"/>
      <c r="AQ201" s="146" t="str">
        <f t="shared" si="84"/>
        <v/>
      </c>
      <c r="AR201" s="146" t="str">
        <f t="shared" si="85"/>
        <v/>
      </c>
      <c r="AS201" s="147">
        <v>0</v>
      </c>
      <c r="AT201" s="148" t="s">
        <v>56</v>
      </c>
      <c r="AU201" s="149" t="s">
        <v>56</v>
      </c>
      <c r="AV201" s="146" t="str">
        <f t="shared" si="86"/>
        <v/>
      </c>
      <c r="AW201" s="146" t="str">
        <f t="shared" si="87"/>
        <v/>
      </c>
      <c r="AX201" s="138" t="str">
        <f t="shared" si="88"/>
        <v/>
      </c>
      <c r="AY201" s="95" t="s">
        <v>56</v>
      </c>
      <c r="AZ201" s="96">
        <v>62.924999999999997</v>
      </c>
      <c r="BA201" s="96"/>
      <c r="BB201" s="96">
        <v>67</v>
      </c>
      <c r="BC201" s="96"/>
      <c r="BD201" s="97">
        <v>0</v>
      </c>
      <c r="BE201" s="142" t="str">
        <f t="shared" si="89"/>
        <v/>
      </c>
      <c r="BF201" s="98">
        <v>0</v>
      </c>
      <c r="BG201" s="98">
        <v>0</v>
      </c>
      <c r="BH201" s="98">
        <v>0</v>
      </c>
      <c r="BI201" s="98">
        <v>0</v>
      </c>
      <c r="BJ201" s="98"/>
      <c r="BK201" s="98"/>
      <c r="BL201" s="98"/>
    </row>
    <row r="202" spans="1:64" outlineLevel="5" x14ac:dyDescent="0.3">
      <c r="A202" s="152">
        <f t="shared" si="75"/>
        <v>6</v>
      </c>
      <c r="B202" s="153">
        <f t="shared" si="74"/>
        <v>44361</v>
      </c>
      <c r="C202" s="138">
        <f t="shared" si="80"/>
        <v>36.5</v>
      </c>
      <c r="D202" s="84">
        <v>37</v>
      </c>
      <c r="E202" s="84">
        <v>36</v>
      </c>
      <c r="F202" s="84"/>
      <c r="G202" s="84"/>
      <c r="H202" s="84"/>
      <c r="I202" s="84"/>
      <c r="J202" s="84"/>
      <c r="K202" s="84"/>
      <c r="L202" s="140" t="str">
        <f t="shared" si="81"/>
        <v/>
      </c>
      <c r="M202" s="86" t="s">
        <v>56</v>
      </c>
      <c r="N202" s="86" t="s">
        <v>56</v>
      </c>
      <c r="O202" s="86"/>
      <c r="P202" s="86"/>
      <c r="Q202" s="86"/>
      <c r="R202" s="86"/>
      <c r="S202" s="86"/>
      <c r="T202" s="86"/>
      <c r="U202" s="142" t="str">
        <f t="shared" si="82"/>
        <v/>
      </c>
      <c r="V202" s="88" t="s">
        <v>56</v>
      </c>
      <c r="W202" s="88" t="s">
        <v>56</v>
      </c>
      <c r="X202" s="88"/>
      <c r="Y202" s="88"/>
      <c r="Z202" s="88"/>
      <c r="AA202" s="88"/>
      <c r="AB202" s="88"/>
      <c r="AC202" s="88"/>
      <c r="AD202" s="142" t="str">
        <f t="shared" si="83"/>
        <v/>
      </c>
      <c r="AE202" s="88"/>
      <c r="AF202" s="88"/>
      <c r="AG202" s="88"/>
      <c r="AH202" s="88"/>
      <c r="AI202" s="88"/>
      <c r="AJ202" s="88"/>
      <c r="AK202" s="88"/>
      <c r="AL202" s="88"/>
      <c r="AM202" s="88"/>
      <c r="AN202" s="88">
        <v>20</v>
      </c>
      <c r="AO202" s="89" t="s">
        <v>56</v>
      </c>
      <c r="AP202" s="90"/>
      <c r="AQ202" s="146" t="str">
        <f t="shared" si="84"/>
        <v/>
      </c>
      <c r="AR202" s="146" t="str">
        <f t="shared" si="85"/>
        <v/>
      </c>
      <c r="AS202" s="147">
        <v>0</v>
      </c>
      <c r="AT202" s="148" t="s">
        <v>56</v>
      </c>
      <c r="AU202" s="149" t="s">
        <v>56</v>
      </c>
      <c r="AV202" s="146" t="str">
        <f t="shared" si="86"/>
        <v/>
      </c>
      <c r="AW202" s="146" t="str">
        <f t="shared" si="87"/>
        <v/>
      </c>
      <c r="AX202" s="138" t="str">
        <f t="shared" si="88"/>
        <v/>
      </c>
      <c r="AY202" s="95" t="s">
        <v>56</v>
      </c>
      <c r="AZ202" s="96">
        <v>62.465000000000003</v>
      </c>
      <c r="BA202" s="96"/>
      <c r="BB202" s="96">
        <v>75.5</v>
      </c>
      <c r="BC202" s="96"/>
      <c r="BD202" s="97">
        <v>20</v>
      </c>
      <c r="BE202" s="142" t="str">
        <f t="shared" si="89"/>
        <v/>
      </c>
      <c r="BF202" s="98">
        <v>0</v>
      </c>
      <c r="BG202" s="98">
        <v>0</v>
      </c>
      <c r="BH202" s="98">
        <v>0</v>
      </c>
      <c r="BI202" s="98">
        <v>0</v>
      </c>
      <c r="BJ202" s="98"/>
      <c r="BK202" s="98"/>
      <c r="BL202" s="98"/>
    </row>
    <row r="203" spans="1:64" outlineLevel="5" x14ac:dyDescent="0.3">
      <c r="A203" s="152">
        <f t="shared" si="75"/>
        <v>6</v>
      </c>
      <c r="B203" s="153">
        <f t="shared" si="74"/>
        <v>44362</v>
      </c>
      <c r="C203" s="138">
        <f t="shared" si="80"/>
        <v>36.5</v>
      </c>
      <c r="D203" s="84">
        <v>37</v>
      </c>
      <c r="E203" s="84">
        <v>36</v>
      </c>
      <c r="F203" s="84"/>
      <c r="G203" s="84"/>
      <c r="H203" s="84"/>
      <c r="I203" s="84"/>
      <c r="J203" s="84"/>
      <c r="K203" s="84"/>
      <c r="L203" s="140" t="str">
        <f t="shared" si="81"/>
        <v/>
      </c>
      <c r="M203" s="86" t="s">
        <v>56</v>
      </c>
      <c r="N203" s="86" t="s">
        <v>56</v>
      </c>
      <c r="O203" s="86"/>
      <c r="P203" s="86"/>
      <c r="Q203" s="86"/>
      <c r="R203" s="86"/>
      <c r="S203" s="86"/>
      <c r="T203" s="86"/>
      <c r="U203" s="142" t="str">
        <f t="shared" si="82"/>
        <v/>
      </c>
      <c r="V203" s="88" t="s">
        <v>56</v>
      </c>
      <c r="W203" s="88" t="s">
        <v>56</v>
      </c>
      <c r="X203" s="88"/>
      <c r="Y203" s="88"/>
      <c r="Z203" s="88"/>
      <c r="AA203" s="88"/>
      <c r="AB203" s="88"/>
      <c r="AC203" s="88"/>
      <c r="AD203" s="142" t="str">
        <f t="shared" si="83"/>
        <v/>
      </c>
      <c r="AE203" s="88"/>
      <c r="AF203" s="88"/>
      <c r="AG203" s="88"/>
      <c r="AH203" s="88"/>
      <c r="AI203" s="88"/>
      <c r="AJ203" s="88"/>
      <c r="AK203" s="88"/>
      <c r="AL203" s="88"/>
      <c r="AM203" s="88"/>
      <c r="AN203" s="88">
        <v>0</v>
      </c>
      <c r="AO203" s="89" t="s">
        <v>56</v>
      </c>
      <c r="AP203" s="90"/>
      <c r="AQ203" s="146" t="str">
        <f t="shared" si="84"/>
        <v/>
      </c>
      <c r="AR203" s="146" t="str">
        <f t="shared" si="85"/>
        <v/>
      </c>
      <c r="AS203" s="147">
        <v>0</v>
      </c>
      <c r="AT203" s="148" t="s">
        <v>56</v>
      </c>
      <c r="AU203" s="149" t="s">
        <v>56</v>
      </c>
      <c r="AV203" s="146" t="str">
        <f t="shared" si="86"/>
        <v/>
      </c>
      <c r="AW203" s="146" t="str">
        <f t="shared" si="87"/>
        <v/>
      </c>
      <c r="AX203" s="138" t="str">
        <f t="shared" si="88"/>
        <v/>
      </c>
      <c r="AY203" s="95" t="s">
        <v>56</v>
      </c>
      <c r="AZ203" s="96">
        <v>62.284999999999997</v>
      </c>
      <c r="BA203" s="96"/>
      <c r="BB203" s="96">
        <v>71</v>
      </c>
      <c r="BC203" s="96"/>
      <c r="BD203" s="97">
        <v>0</v>
      </c>
      <c r="BE203" s="142" t="str">
        <f t="shared" si="89"/>
        <v/>
      </c>
      <c r="BF203" s="98">
        <v>0</v>
      </c>
      <c r="BG203" s="98">
        <v>0</v>
      </c>
      <c r="BH203" s="98">
        <v>0</v>
      </c>
      <c r="BI203" s="98">
        <v>0</v>
      </c>
      <c r="BJ203" s="98"/>
      <c r="BK203" s="98"/>
      <c r="BL203" s="98"/>
    </row>
    <row r="204" spans="1:64" outlineLevel="5" x14ac:dyDescent="0.3">
      <c r="A204" s="152">
        <f t="shared" si="75"/>
        <v>6</v>
      </c>
      <c r="B204" s="153">
        <f t="shared" si="74"/>
        <v>44363</v>
      </c>
      <c r="C204" s="138">
        <f t="shared" si="80"/>
        <v>36.5</v>
      </c>
      <c r="D204" s="84">
        <v>37</v>
      </c>
      <c r="E204" s="84">
        <v>36</v>
      </c>
      <c r="F204" s="84"/>
      <c r="G204" s="84"/>
      <c r="H204" s="84"/>
      <c r="I204" s="84"/>
      <c r="J204" s="84"/>
      <c r="K204" s="84"/>
      <c r="L204" s="140" t="str">
        <f t="shared" si="81"/>
        <v/>
      </c>
      <c r="M204" s="86" t="s">
        <v>56</v>
      </c>
      <c r="N204" s="86" t="s">
        <v>56</v>
      </c>
      <c r="O204" s="86"/>
      <c r="P204" s="86"/>
      <c r="Q204" s="86"/>
      <c r="R204" s="86"/>
      <c r="S204" s="86"/>
      <c r="T204" s="86"/>
      <c r="U204" s="142" t="str">
        <f t="shared" si="82"/>
        <v/>
      </c>
      <c r="V204" s="88" t="s">
        <v>56</v>
      </c>
      <c r="W204" s="88" t="s">
        <v>56</v>
      </c>
      <c r="X204" s="88"/>
      <c r="Y204" s="88"/>
      <c r="Z204" s="88"/>
      <c r="AA204" s="88"/>
      <c r="AB204" s="88"/>
      <c r="AC204" s="88"/>
      <c r="AD204" s="142" t="str">
        <f t="shared" si="83"/>
        <v/>
      </c>
      <c r="AE204" s="88"/>
      <c r="AF204" s="88"/>
      <c r="AG204" s="88"/>
      <c r="AH204" s="88"/>
      <c r="AI204" s="88"/>
      <c r="AJ204" s="88"/>
      <c r="AK204" s="88"/>
      <c r="AL204" s="88"/>
      <c r="AM204" s="88"/>
      <c r="AN204" s="88">
        <v>0</v>
      </c>
      <c r="AO204" s="89" t="s">
        <v>56</v>
      </c>
      <c r="AP204" s="90"/>
      <c r="AQ204" s="146" t="str">
        <f t="shared" si="84"/>
        <v/>
      </c>
      <c r="AR204" s="146" t="str">
        <f t="shared" si="85"/>
        <v/>
      </c>
      <c r="AS204" s="147">
        <v>20</v>
      </c>
      <c r="AT204" s="148" t="s">
        <v>56</v>
      </c>
      <c r="AU204" s="149" t="s">
        <v>56</v>
      </c>
      <c r="AV204" s="146" t="str">
        <f t="shared" si="86"/>
        <v/>
      </c>
      <c r="AW204" s="146" t="str">
        <f t="shared" si="87"/>
        <v/>
      </c>
      <c r="AX204" s="138" t="str">
        <f t="shared" si="88"/>
        <v/>
      </c>
      <c r="AY204" s="95" t="s">
        <v>56</v>
      </c>
      <c r="AZ204" s="96">
        <v>61.92</v>
      </c>
      <c r="BA204" s="96"/>
      <c r="BB204" s="96">
        <v>73.5</v>
      </c>
      <c r="BC204" s="96"/>
      <c r="BD204" s="97">
        <v>0</v>
      </c>
      <c r="BE204" s="142" t="str">
        <f t="shared" si="89"/>
        <v/>
      </c>
      <c r="BF204" s="98">
        <v>0</v>
      </c>
      <c r="BG204" s="98">
        <v>0</v>
      </c>
      <c r="BH204" s="98">
        <v>0</v>
      </c>
      <c r="BI204" s="98">
        <v>0</v>
      </c>
      <c r="BJ204" s="98"/>
      <c r="BK204" s="98"/>
      <c r="BL204" s="98"/>
    </row>
    <row r="205" spans="1:64" outlineLevel="5" x14ac:dyDescent="0.3">
      <c r="A205" s="152">
        <f t="shared" si="75"/>
        <v>6</v>
      </c>
      <c r="B205" s="153">
        <f t="shared" si="74"/>
        <v>44364</v>
      </c>
      <c r="C205" s="138">
        <f t="shared" si="80"/>
        <v>38</v>
      </c>
      <c r="D205" s="84">
        <v>38</v>
      </c>
      <c r="E205" s="84">
        <v>38</v>
      </c>
      <c r="F205" s="84"/>
      <c r="G205" s="84"/>
      <c r="H205" s="84"/>
      <c r="I205" s="84"/>
      <c r="J205" s="84"/>
      <c r="K205" s="84"/>
      <c r="L205" s="140" t="str">
        <f t="shared" si="81"/>
        <v/>
      </c>
      <c r="M205" s="86" t="s">
        <v>56</v>
      </c>
      <c r="N205" s="86" t="s">
        <v>56</v>
      </c>
      <c r="O205" s="86"/>
      <c r="P205" s="86"/>
      <c r="Q205" s="86"/>
      <c r="R205" s="86"/>
      <c r="S205" s="86"/>
      <c r="T205" s="86"/>
      <c r="U205" s="142" t="str">
        <f t="shared" si="82"/>
        <v/>
      </c>
      <c r="V205" s="88" t="s">
        <v>56</v>
      </c>
      <c r="W205" s="88" t="s">
        <v>56</v>
      </c>
      <c r="X205" s="88"/>
      <c r="Y205" s="88"/>
      <c r="Z205" s="88"/>
      <c r="AA205" s="88"/>
      <c r="AB205" s="88"/>
      <c r="AC205" s="88"/>
      <c r="AD205" s="142" t="str">
        <f t="shared" si="83"/>
        <v/>
      </c>
      <c r="AE205" s="88"/>
      <c r="AF205" s="88"/>
      <c r="AG205" s="88"/>
      <c r="AH205" s="88"/>
      <c r="AI205" s="88"/>
      <c r="AJ205" s="88"/>
      <c r="AK205" s="88"/>
      <c r="AL205" s="88"/>
      <c r="AM205" s="88">
        <v>69.812157964798104</v>
      </c>
      <c r="AN205" s="88">
        <v>67.61</v>
      </c>
      <c r="AO205" s="89" t="s">
        <v>56</v>
      </c>
      <c r="AP205" s="90"/>
      <c r="AQ205" s="146" t="str">
        <f t="shared" si="84"/>
        <v/>
      </c>
      <c r="AR205" s="146" t="str">
        <f t="shared" si="85"/>
        <v/>
      </c>
      <c r="AS205" s="147">
        <v>40</v>
      </c>
      <c r="AT205" s="148" t="s">
        <v>56</v>
      </c>
      <c r="AU205" s="149" t="s">
        <v>56</v>
      </c>
      <c r="AV205" s="146" t="str">
        <f t="shared" si="86"/>
        <v/>
      </c>
      <c r="AW205" s="146" t="str">
        <f t="shared" si="87"/>
        <v/>
      </c>
      <c r="AX205" s="138" t="str">
        <f t="shared" si="88"/>
        <v/>
      </c>
      <c r="AY205" s="95" t="s">
        <v>56</v>
      </c>
      <c r="AZ205" s="96">
        <v>64.960000000000008</v>
      </c>
      <c r="BA205" s="96"/>
      <c r="BB205" s="96">
        <v>73.5</v>
      </c>
      <c r="BC205" s="96"/>
      <c r="BD205" s="97">
        <v>67.61</v>
      </c>
      <c r="BE205" s="142">
        <f t="shared" si="89"/>
        <v>470</v>
      </c>
      <c r="BF205" s="98">
        <v>82</v>
      </c>
      <c r="BG205" s="98">
        <v>0</v>
      </c>
      <c r="BH205" s="98">
        <v>0</v>
      </c>
      <c r="BI205" s="98">
        <v>388</v>
      </c>
      <c r="BJ205" s="98"/>
      <c r="BK205" s="98"/>
      <c r="BL205" s="98"/>
    </row>
    <row r="206" spans="1:64" outlineLevel="5" x14ac:dyDescent="0.3">
      <c r="A206" s="152">
        <f t="shared" si="75"/>
        <v>6</v>
      </c>
      <c r="B206" s="153">
        <f t="shared" si="74"/>
        <v>44365</v>
      </c>
      <c r="C206" s="138">
        <f t="shared" si="80"/>
        <v>38</v>
      </c>
      <c r="D206" s="84">
        <v>38</v>
      </c>
      <c r="E206" s="84">
        <v>38</v>
      </c>
      <c r="F206" s="84"/>
      <c r="G206" s="84"/>
      <c r="H206" s="84"/>
      <c r="I206" s="84"/>
      <c r="J206" s="84"/>
      <c r="K206" s="84"/>
      <c r="L206" s="140" t="str">
        <f t="shared" si="81"/>
        <v/>
      </c>
      <c r="M206" s="86" t="s">
        <v>56</v>
      </c>
      <c r="N206" s="86" t="s">
        <v>56</v>
      </c>
      <c r="O206" s="86"/>
      <c r="P206" s="86"/>
      <c r="Q206" s="86"/>
      <c r="R206" s="86"/>
      <c r="S206" s="86"/>
      <c r="T206" s="86"/>
      <c r="U206" s="142" t="str">
        <f t="shared" si="82"/>
        <v/>
      </c>
      <c r="V206" s="88" t="s">
        <v>56</v>
      </c>
      <c r="W206" s="88" t="s">
        <v>56</v>
      </c>
      <c r="X206" s="88"/>
      <c r="Y206" s="88"/>
      <c r="Z206" s="88"/>
      <c r="AA206" s="88"/>
      <c r="AB206" s="88"/>
      <c r="AC206" s="88"/>
      <c r="AD206" s="142" t="str">
        <f t="shared" si="83"/>
        <v/>
      </c>
      <c r="AE206" s="88"/>
      <c r="AF206" s="88"/>
      <c r="AG206" s="88"/>
      <c r="AH206" s="88"/>
      <c r="AI206" s="88"/>
      <c r="AJ206" s="88"/>
      <c r="AK206" s="88"/>
      <c r="AL206" s="88"/>
      <c r="AM206" s="88">
        <v>50.611194509972123</v>
      </c>
      <c r="AN206" s="88">
        <v>93.259999999999991</v>
      </c>
      <c r="AO206" s="89" t="s">
        <v>56</v>
      </c>
      <c r="AP206" s="90"/>
      <c r="AQ206" s="146" t="str">
        <f t="shared" si="84"/>
        <v/>
      </c>
      <c r="AR206" s="146" t="str">
        <f t="shared" si="85"/>
        <v/>
      </c>
      <c r="AS206" s="147">
        <v>30</v>
      </c>
      <c r="AT206" s="148" t="s">
        <v>56</v>
      </c>
      <c r="AU206" s="149" t="s">
        <v>56</v>
      </c>
      <c r="AV206" s="146" t="str">
        <f t="shared" si="86"/>
        <v/>
      </c>
      <c r="AW206" s="146" t="str">
        <f t="shared" si="87"/>
        <v/>
      </c>
      <c r="AX206" s="138" t="str">
        <f t="shared" si="88"/>
        <v/>
      </c>
      <c r="AY206" s="95" t="s">
        <v>56</v>
      </c>
      <c r="AZ206" s="96">
        <v>61.125</v>
      </c>
      <c r="BA206" s="96"/>
      <c r="BB206" s="96">
        <v>69.5</v>
      </c>
      <c r="BC206" s="96"/>
      <c r="BD206" s="97">
        <v>93.259999999999991</v>
      </c>
      <c r="BE206" s="142">
        <f t="shared" si="89"/>
        <v>3448</v>
      </c>
      <c r="BF206" s="98">
        <v>0</v>
      </c>
      <c r="BG206" s="98">
        <v>0</v>
      </c>
      <c r="BH206" s="98">
        <v>0</v>
      </c>
      <c r="BI206" s="98">
        <v>3448</v>
      </c>
      <c r="BJ206" s="98"/>
      <c r="BK206" s="98"/>
      <c r="BL206" s="98"/>
    </row>
    <row r="207" spans="1:64" outlineLevel="5" x14ac:dyDescent="0.3">
      <c r="A207" s="152">
        <f t="shared" si="75"/>
        <v>6</v>
      </c>
      <c r="B207" s="153">
        <f t="shared" si="74"/>
        <v>44366</v>
      </c>
      <c r="C207" s="138">
        <f t="shared" si="80"/>
        <v>38</v>
      </c>
      <c r="D207" s="84">
        <v>38</v>
      </c>
      <c r="E207" s="84">
        <v>38</v>
      </c>
      <c r="F207" s="84"/>
      <c r="G207" s="84"/>
      <c r="H207" s="84"/>
      <c r="I207" s="84"/>
      <c r="J207" s="84"/>
      <c r="K207" s="84"/>
      <c r="L207" s="140" t="str">
        <f t="shared" si="81"/>
        <v/>
      </c>
      <c r="M207" s="86"/>
      <c r="N207" s="86"/>
      <c r="O207" s="86"/>
      <c r="P207" s="86"/>
      <c r="Q207" s="86"/>
      <c r="R207" s="86"/>
      <c r="S207" s="86"/>
      <c r="T207" s="86"/>
      <c r="U207" s="142" t="str">
        <f t="shared" si="82"/>
        <v/>
      </c>
      <c r="V207" s="88"/>
      <c r="W207" s="88"/>
      <c r="X207" s="88"/>
      <c r="Y207" s="88"/>
      <c r="Z207" s="88"/>
      <c r="AA207" s="88"/>
      <c r="AB207" s="88"/>
      <c r="AC207" s="88"/>
      <c r="AD207" s="142" t="str">
        <f t="shared" si="83"/>
        <v/>
      </c>
      <c r="AE207" s="88"/>
      <c r="AF207" s="88"/>
      <c r="AG207" s="88"/>
      <c r="AH207" s="88"/>
      <c r="AI207" s="88"/>
      <c r="AJ207" s="88"/>
      <c r="AK207" s="88"/>
      <c r="AL207" s="88"/>
      <c r="AM207" s="88">
        <v>48.410256410256409</v>
      </c>
      <c r="AN207" s="88">
        <v>97.5</v>
      </c>
      <c r="AO207" s="89"/>
      <c r="AP207" s="90"/>
      <c r="AQ207" s="146" t="str">
        <f t="shared" si="84"/>
        <v/>
      </c>
      <c r="AR207" s="146" t="str">
        <f t="shared" si="85"/>
        <v/>
      </c>
      <c r="AS207" s="147">
        <v>10</v>
      </c>
      <c r="AT207" s="148" t="s">
        <v>56</v>
      </c>
      <c r="AU207" s="149" t="s">
        <v>56</v>
      </c>
      <c r="AV207" s="146" t="str">
        <f t="shared" si="86"/>
        <v/>
      </c>
      <c r="AW207" s="146" t="str">
        <f t="shared" si="87"/>
        <v/>
      </c>
      <c r="AX207" s="138" t="str">
        <f t="shared" si="88"/>
        <v/>
      </c>
      <c r="AY207" s="95" t="s">
        <v>56</v>
      </c>
      <c r="AZ207" s="96">
        <v>61.594999999999999</v>
      </c>
      <c r="BA207" s="96"/>
      <c r="BB207" s="96">
        <v>68.5</v>
      </c>
      <c r="BC207" s="96"/>
      <c r="BD207" s="97">
        <v>97.5</v>
      </c>
      <c r="BE207" s="142">
        <f t="shared" si="89"/>
        <v>5755</v>
      </c>
      <c r="BF207" s="98">
        <v>277</v>
      </c>
      <c r="BG207" s="98">
        <v>0</v>
      </c>
      <c r="BH207" s="98">
        <v>0</v>
      </c>
      <c r="BI207" s="98">
        <v>5478</v>
      </c>
      <c r="BJ207" s="98"/>
      <c r="BK207" s="98"/>
      <c r="BL207" s="98"/>
    </row>
    <row r="208" spans="1:64" outlineLevel="5" x14ac:dyDescent="0.3">
      <c r="A208" s="152">
        <f t="shared" si="75"/>
        <v>6</v>
      </c>
      <c r="B208" s="153">
        <f t="shared" si="74"/>
        <v>44367</v>
      </c>
      <c r="C208" s="138">
        <f t="shared" si="80"/>
        <v>38</v>
      </c>
      <c r="D208" s="84">
        <v>38</v>
      </c>
      <c r="E208" s="84">
        <v>38</v>
      </c>
      <c r="F208" s="84"/>
      <c r="G208" s="84"/>
      <c r="H208" s="84"/>
      <c r="I208" s="84"/>
      <c r="J208" s="84"/>
      <c r="K208" s="84"/>
      <c r="L208" s="140" t="str">
        <f t="shared" si="81"/>
        <v/>
      </c>
      <c r="M208" s="86"/>
      <c r="N208" s="86"/>
      <c r="O208" s="86"/>
      <c r="P208" s="86"/>
      <c r="Q208" s="86"/>
      <c r="R208" s="86"/>
      <c r="S208" s="86"/>
      <c r="T208" s="86"/>
      <c r="U208" s="142" t="str">
        <f t="shared" si="82"/>
        <v/>
      </c>
      <c r="V208" s="88"/>
      <c r="W208" s="88"/>
      <c r="X208" s="88"/>
      <c r="Y208" s="88"/>
      <c r="Z208" s="88"/>
      <c r="AA208" s="88"/>
      <c r="AB208" s="88"/>
      <c r="AC208" s="88"/>
      <c r="AD208" s="142" t="str">
        <f t="shared" si="83"/>
        <v/>
      </c>
      <c r="AE208" s="88"/>
      <c r="AF208" s="88"/>
      <c r="AG208" s="88"/>
      <c r="AH208" s="88"/>
      <c r="AI208" s="88"/>
      <c r="AJ208" s="88"/>
      <c r="AK208" s="88"/>
      <c r="AL208" s="88"/>
      <c r="AM208" s="88">
        <v>59</v>
      </c>
      <c r="AN208" s="88">
        <v>80</v>
      </c>
      <c r="AO208" s="89"/>
      <c r="AP208" s="90"/>
      <c r="AQ208" s="146" t="str">
        <f t="shared" si="84"/>
        <v/>
      </c>
      <c r="AR208" s="146" t="str">
        <f t="shared" si="85"/>
        <v/>
      </c>
      <c r="AS208" s="147">
        <v>10</v>
      </c>
      <c r="AT208" s="148" t="s">
        <v>56</v>
      </c>
      <c r="AU208" s="149" t="s">
        <v>56</v>
      </c>
      <c r="AV208" s="146" t="str">
        <f t="shared" si="86"/>
        <v/>
      </c>
      <c r="AW208" s="146" t="str">
        <f t="shared" si="87"/>
        <v/>
      </c>
      <c r="AX208" s="138" t="str">
        <f t="shared" si="88"/>
        <v/>
      </c>
      <c r="AY208" s="95" t="s">
        <v>56</v>
      </c>
      <c r="AZ208" s="96">
        <v>62.795000000000002</v>
      </c>
      <c r="BA208" s="96"/>
      <c r="BB208" s="96">
        <v>73.5</v>
      </c>
      <c r="BC208" s="96"/>
      <c r="BD208" s="97">
        <v>80</v>
      </c>
      <c r="BE208" s="142">
        <f t="shared" si="89"/>
        <v>5450</v>
      </c>
      <c r="BF208" s="98">
        <v>163</v>
      </c>
      <c r="BG208" s="98">
        <v>0</v>
      </c>
      <c r="BH208" s="98">
        <v>0</v>
      </c>
      <c r="BI208" s="98">
        <v>5287</v>
      </c>
      <c r="BJ208" s="98"/>
      <c r="BK208" s="98"/>
      <c r="BL208" s="98"/>
    </row>
    <row r="209" spans="1:64" outlineLevel="5" x14ac:dyDescent="0.3">
      <c r="A209" s="152">
        <f t="shared" si="75"/>
        <v>6</v>
      </c>
      <c r="B209" s="153">
        <f t="shared" si="74"/>
        <v>44368</v>
      </c>
      <c r="C209" s="138">
        <f t="shared" si="80"/>
        <v>38</v>
      </c>
      <c r="D209" s="84">
        <v>38</v>
      </c>
      <c r="E209" s="84">
        <v>38</v>
      </c>
      <c r="F209" s="84"/>
      <c r="G209" s="84"/>
      <c r="H209" s="84"/>
      <c r="I209" s="84"/>
      <c r="J209" s="84"/>
      <c r="K209" s="84"/>
      <c r="L209" s="140">
        <f t="shared" si="81"/>
        <v>7.7</v>
      </c>
      <c r="M209" s="86">
        <v>7.72</v>
      </c>
      <c r="N209" s="86">
        <v>7.6</v>
      </c>
      <c r="O209" s="86"/>
      <c r="P209" s="86"/>
      <c r="Q209" s="86"/>
      <c r="R209" s="86"/>
      <c r="S209" s="86"/>
      <c r="T209" s="86"/>
      <c r="U209" s="142">
        <f t="shared" si="82"/>
        <v>1725</v>
      </c>
      <c r="V209" s="88">
        <v>1900</v>
      </c>
      <c r="W209" s="88">
        <v>1550</v>
      </c>
      <c r="X209" s="88"/>
      <c r="Y209" s="88"/>
      <c r="Z209" s="88"/>
      <c r="AA209" s="88"/>
      <c r="AB209" s="88"/>
      <c r="AC209" s="88"/>
      <c r="AD209" s="142" t="str">
        <f t="shared" si="83"/>
        <v/>
      </c>
      <c r="AE209" s="88"/>
      <c r="AF209" s="88"/>
      <c r="AG209" s="88"/>
      <c r="AH209" s="88"/>
      <c r="AI209" s="88"/>
      <c r="AJ209" s="88"/>
      <c r="AK209" s="88"/>
      <c r="AL209" s="88"/>
      <c r="AM209" s="88">
        <v>41.501802514727871</v>
      </c>
      <c r="AN209" s="88">
        <v>113.72999999999999</v>
      </c>
      <c r="AO209" s="89" t="s">
        <v>56</v>
      </c>
      <c r="AP209" s="90"/>
      <c r="AQ209" s="146" t="str">
        <f t="shared" si="84"/>
        <v/>
      </c>
      <c r="AR209" s="146" t="str">
        <f t="shared" si="85"/>
        <v/>
      </c>
      <c r="AS209" s="147">
        <v>40</v>
      </c>
      <c r="AT209" s="148">
        <v>16.899999999999999</v>
      </c>
      <c r="AU209" s="149">
        <v>8.6999999999999993</v>
      </c>
      <c r="AV209" s="146">
        <f t="shared" si="86"/>
        <v>51.479289940828401</v>
      </c>
      <c r="AW209" s="146">
        <f t="shared" si="87"/>
        <v>48.520710059171599</v>
      </c>
      <c r="AX209" s="138" t="str">
        <f t="shared" si="88"/>
        <v/>
      </c>
      <c r="AY209" s="95">
        <v>75.349999999999994</v>
      </c>
      <c r="AZ209" s="96">
        <v>60.004999999999995</v>
      </c>
      <c r="BA209" s="96"/>
      <c r="BB209" s="96">
        <v>74</v>
      </c>
      <c r="BC209" s="96"/>
      <c r="BD209" s="97">
        <v>113.72999999999999</v>
      </c>
      <c r="BE209" s="142">
        <f t="shared" si="89"/>
        <v>5117</v>
      </c>
      <c r="BF209" s="98">
        <v>258</v>
      </c>
      <c r="BG209" s="98">
        <v>0</v>
      </c>
      <c r="BH209" s="98">
        <v>0</v>
      </c>
      <c r="BI209" s="98">
        <v>4859</v>
      </c>
      <c r="BJ209" s="98"/>
      <c r="BK209" s="98"/>
      <c r="BL209" s="98"/>
    </row>
    <row r="210" spans="1:64" outlineLevel="5" x14ac:dyDescent="0.3">
      <c r="A210" s="152">
        <f t="shared" si="75"/>
        <v>6</v>
      </c>
      <c r="B210" s="153">
        <f t="shared" si="74"/>
        <v>44369</v>
      </c>
      <c r="C210" s="138">
        <f t="shared" si="80"/>
        <v>38</v>
      </c>
      <c r="D210" s="84">
        <v>38</v>
      </c>
      <c r="E210" s="84">
        <v>38</v>
      </c>
      <c r="F210" s="84"/>
      <c r="G210" s="84"/>
      <c r="H210" s="84"/>
      <c r="I210" s="84"/>
      <c r="J210" s="84"/>
      <c r="K210" s="84"/>
      <c r="L210" s="140" t="str">
        <f t="shared" si="81"/>
        <v/>
      </c>
      <c r="M210" s="86" t="s">
        <v>56</v>
      </c>
      <c r="N210" s="86" t="s">
        <v>56</v>
      </c>
      <c r="O210" s="86"/>
      <c r="P210" s="86"/>
      <c r="Q210" s="86"/>
      <c r="R210" s="86"/>
      <c r="S210" s="86"/>
      <c r="T210" s="86"/>
      <c r="U210" s="142" t="str">
        <f t="shared" si="82"/>
        <v/>
      </c>
      <c r="V210" s="88" t="s">
        <v>56</v>
      </c>
      <c r="W210" s="88" t="s">
        <v>56</v>
      </c>
      <c r="X210" s="88"/>
      <c r="Y210" s="88"/>
      <c r="Z210" s="88"/>
      <c r="AA210" s="88"/>
      <c r="AB210" s="88"/>
      <c r="AC210" s="88"/>
      <c r="AD210" s="142" t="str">
        <f t="shared" si="83"/>
        <v/>
      </c>
      <c r="AE210" s="88"/>
      <c r="AF210" s="88"/>
      <c r="AG210" s="88"/>
      <c r="AH210" s="88"/>
      <c r="AI210" s="88"/>
      <c r="AJ210" s="88"/>
      <c r="AK210" s="88"/>
      <c r="AL210" s="88"/>
      <c r="AM210" s="88">
        <v>58.070866141732282</v>
      </c>
      <c r="AN210" s="88">
        <v>81.28</v>
      </c>
      <c r="AO210" s="89" t="s">
        <v>56</v>
      </c>
      <c r="AP210" s="90" t="s">
        <v>56</v>
      </c>
      <c r="AQ210" s="146" t="str">
        <f t="shared" si="84"/>
        <v/>
      </c>
      <c r="AR210" s="146" t="str">
        <f t="shared" si="85"/>
        <v/>
      </c>
      <c r="AS210" s="147">
        <v>35</v>
      </c>
      <c r="AT210" s="148" t="s">
        <v>56</v>
      </c>
      <c r="AU210" s="149" t="s">
        <v>56</v>
      </c>
      <c r="AV210" s="146" t="str">
        <f t="shared" si="86"/>
        <v/>
      </c>
      <c r="AW210" s="146" t="str">
        <f t="shared" si="87"/>
        <v/>
      </c>
      <c r="AX210" s="138" t="str">
        <f t="shared" si="88"/>
        <v/>
      </c>
      <c r="AY210" s="95" t="s">
        <v>56</v>
      </c>
      <c r="AZ210" s="96">
        <v>61.894999999999996</v>
      </c>
      <c r="BA210" s="96"/>
      <c r="BB210" s="96">
        <v>74.5</v>
      </c>
      <c r="BC210" s="96"/>
      <c r="BD210" s="97">
        <v>81.28</v>
      </c>
      <c r="BE210" s="142">
        <f t="shared" si="89"/>
        <v>4167</v>
      </c>
      <c r="BF210" s="98">
        <v>195</v>
      </c>
      <c r="BG210" s="98">
        <v>0</v>
      </c>
      <c r="BH210" s="98">
        <v>0</v>
      </c>
      <c r="BI210" s="98">
        <v>3972</v>
      </c>
      <c r="BJ210" s="98"/>
      <c r="BK210" s="98"/>
      <c r="BL210" s="98"/>
    </row>
    <row r="211" spans="1:64" outlineLevel="5" x14ac:dyDescent="0.3">
      <c r="A211" s="152">
        <f t="shared" si="75"/>
        <v>6</v>
      </c>
      <c r="B211" s="153">
        <f t="shared" si="74"/>
        <v>44370</v>
      </c>
      <c r="C211" s="138">
        <f t="shared" si="80"/>
        <v>38</v>
      </c>
      <c r="D211" s="84">
        <v>38</v>
      </c>
      <c r="E211" s="84">
        <v>38</v>
      </c>
      <c r="F211" s="84"/>
      <c r="G211" s="84"/>
      <c r="H211" s="84"/>
      <c r="I211" s="84"/>
      <c r="J211" s="84"/>
      <c r="K211" s="84"/>
      <c r="L211" s="140" t="str">
        <f t="shared" si="81"/>
        <v/>
      </c>
      <c r="M211" s="86" t="s">
        <v>56</v>
      </c>
      <c r="N211" s="86" t="s">
        <v>56</v>
      </c>
      <c r="O211" s="86"/>
      <c r="P211" s="86"/>
      <c r="Q211" s="86"/>
      <c r="R211" s="86"/>
      <c r="S211" s="86"/>
      <c r="T211" s="86"/>
      <c r="U211" s="142" t="str">
        <f t="shared" si="82"/>
        <v/>
      </c>
      <c r="V211" s="88" t="s">
        <v>56</v>
      </c>
      <c r="W211" s="88" t="s">
        <v>56</v>
      </c>
      <c r="X211" s="88"/>
      <c r="Y211" s="88"/>
      <c r="Z211" s="88"/>
      <c r="AA211" s="88"/>
      <c r="AB211" s="88"/>
      <c r="AC211" s="88"/>
      <c r="AD211" s="142" t="str">
        <f t="shared" si="83"/>
        <v/>
      </c>
      <c r="AE211" s="88"/>
      <c r="AF211" s="88"/>
      <c r="AG211" s="88"/>
      <c r="AH211" s="88"/>
      <c r="AI211" s="88"/>
      <c r="AJ211" s="88"/>
      <c r="AK211" s="88"/>
      <c r="AL211" s="88"/>
      <c r="AM211" s="88">
        <v>51.365763412776147</v>
      </c>
      <c r="AN211" s="88">
        <v>91.89</v>
      </c>
      <c r="AO211" s="89" t="s">
        <v>56</v>
      </c>
      <c r="AP211" s="90" t="s">
        <v>56</v>
      </c>
      <c r="AQ211" s="146" t="str">
        <f t="shared" si="84"/>
        <v/>
      </c>
      <c r="AR211" s="146" t="str">
        <f t="shared" si="85"/>
        <v/>
      </c>
      <c r="AS211" s="147">
        <v>40</v>
      </c>
      <c r="AT211" s="148" t="s">
        <v>56</v>
      </c>
      <c r="AU211" s="149" t="s">
        <v>56</v>
      </c>
      <c r="AV211" s="146" t="str">
        <f t="shared" si="86"/>
        <v/>
      </c>
      <c r="AW211" s="146" t="str">
        <f t="shared" si="87"/>
        <v/>
      </c>
      <c r="AX211" s="138" t="str">
        <f t="shared" si="88"/>
        <v/>
      </c>
      <c r="AY211" s="95" t="s">
        <v>56</v>
      </c>
      <c r="AZ211" s="96">
        <v>64.525000000000006</v>
      </c>
      <c r="BA211" s="96"/>
      <c r="BB211" s="96">
        <v>58</v>
      </c>
      <c r="BC211" s="96"/>
      <c r="BD211" s="97">
        <v>91.89</v>
      </c>
      <c r="BE211" s="142">
        <f t="shared" si="89"/>
        <v>4389</v>
      </c>
      <c r="BF211" s="98">
        <v>30</v>
      </c>
      <c r="BG211" s="98">
        <v>0</v>
      </c>
      <c r="BH211" s="98">
        <v>0</v>
      </c>
      <c r="BI211" s="98">
        <v>4359</v>
      </c>
      <c r="BJ211" s="98"/>
      <c r="BK211" s="98"/>
      <c r="BL211" s="98"/>
    </row>
    <row r="212" spans="1:64" outlineLevel="5" x14ac:dyDescent="0.3">
      <c r="A212" s="152">
        <f t="shared" si="75"/>
        <v>6</v>
      </c>
      <c r="B212" s="153">
        <f t="shared" si="74"/>
        <v>44371</v>
      </c>
      <c r="C212" s="138">
        <f t="shared" si="80"/>
        <v>38</v>
      </c>
      <c r="D212" s="84">
        <v>38</v>
      </c>
      <c r="E212" s="84">
        <v>38</v>
      </c>
      <c r="F212" s="84"/>
      <c r="G212" s="84"/>
      <c r="H212" s="84"/>
      <c r="I212" s="84"/>
      <c r="J212" s="84"/>
      <c r="K212" s="84"/>
      <c r="L212" s="140" t="str">
        <f t="shared" si="81"/>
        <v/>
      </c>
      <c r="M212" s="86" t="s">
        <v>56</v>
      </c>
      <c r="N212" s="86" t="s">
        <v>56</v>
      </c>
      <c r="O212" s="86"/>
      <c r="P212" s="86"/>
      <c r="Q212" s="86"/>
      <c r="R212" s="86"/>
      <c r="S212" s="86"/>
      <c r="T212" s="86"/>
      <c r="U212" s="142" t="str">
        <f t="shared" si="82"/>
        <v/>
      </c>
      <c r="V212" s="88" t="s">
        <v>56</v>
      </c>
      <c r="W212" s="88" t="s">
        <v>56</v>
      </c>
      <c r="X212" s="88"/>
      <c r="Y212" s="88"/>
      <c r="Z212" s="88"/>
      <c r="AA212" s="88"/>
      <c r="AB212" s="88"/>
      <c r="AC212" s="88"/>
      <c r="AD212" s="142" t="str">
        <f t="shared" si="83"/>
        <v/>
      </c>
      <c r="AE212" s="88"/>
      <c r="AF212" s="88"/>
      <c r="AG212" s="88"/>
      <c r="AH212" s="88"/>
      <c r="AI212" s="88"/>
      <c r="AJ212" s="88"/>
      <c r="AK212" s="88"/>
      <c r="AL212" s="88"/>
      <c r="AM212" s="88">
        <v>34.895756321159254</v>
      </c>
      <c r="AN212" s="88">
        <v>135.26</v>
      </c>
      <c r="AO212" s="89" t="s">
        <v>56</v>
      </c>
      <c r="AP212" s="90"/>
      <c r="AQ212" s="146" t="str">
        <f t="shared" si="84"/>
        <v/>
      </c>
      <c r="AR212" s="146" t="str">
        <f t="shared" si="85"/>
        <v/>
      </c>
      <c r="AS212" s="147">
        <v>40</v>
      </c>
      <c r="AT212" s="148" t="s">
        <v>56</v>
      </c>
      <c r="AU212" s="149" t="s">
        <v>56</v>
      </c>
      <c r="AV212" s="146" t="str">
        <f t="shared" si="86"/>
        <v/>
      </c>
      <c r="AW212" s="146" t="str">
        <f t="shared" si="87"/>
        <v/>
      </c>
      <c r="AX212" s="138" t="str">
        <f t="shared" si="88"/>
        <v/>
      </c>
      <c r="AY212" s="95" t="s">
        <v>56</v>
      </c>
      <c r="AZ212" s="96">
        <v>62.465000000000003</v>
      </c>
      <c r="BA212" s="96"/>
      <c r="BB212" s="96">
        <v>73</v>
      </c>
      <c r="BC212" s="96"/>
      <c r="BD212" s="97">
        <v>135.26</v>
      </c>
      <c r="BE212" s="142">
        <f t="shared" si="89"/>
        <v>4701</v>
      </c>
      <c r="BF212" s="98">
        <v>323</v>
      </c>
      <c r="BG212" s="98">
        <v>0</v>
      </c>
      <c r="BH212" s="98">
        <v>0</v>
      </c>
      <c r="BI212" s="98">
        <v>4378</v>
      </c>
      <c r="BJ212" s="98"/>
      <c r="BK212" s="98"/>
      <c r="BL212" s="98"/>
    </row>
    <row r="213" spans="1:64" outlineLevel="5" x14ac:dyDescent="0.3">
      <c r="A213" s="152">
        <f t="shared" si="75"/>
        <v>6</v>
      </c>
      <c r="B213" s="153">
        <f t="shared" si="74"/>
        <v>44372</v>
      </c>
      <c r="C213" s="138">
        <f t="shared" si="80"/>
        <v>38</v>
      </c>
      <c r="D213" s="84">
        <v>38</v>
      </c>
      <c r="E213" s="84">
        <v>38</v>
      </c>
      <c r="F213" s="84"/>
      <c r="G213" s="84"/>
      <c r="H213" s="84"/>
      <c r="I213" s="84"/>
      <c r="J213" s="84"/>
      <c r="K213" s="84"/>
      <c r="L213" s="140" t="str">
        <f t="shared" si="81"/>
        <v/>
      </c>
      <c r="M213" s="86" t="s">
        <v>56</v>
      </c>
      <c r="N213" s="86" t="s">
        <v>56</v>
      </c>
      <c r="O213" s="86"/>
      <c r="P213" s="86"/>
      <c r="Q213" s="86"/>
      <c r="R213" s="86"/>
      <c r="S213" s="86"/>
      <c r="T213" s="86"/>
      <c r="U213" s="142" t="str">
        <f t="shared" si="82"/>
        <v/>
      </c>
      <c r="V213" s="88" t="s">
        <v>56</v>
      </c>
      <c r="W213" s="88" t="s">
        <v>56</v>
      </c>
      <c r="X213" s="88"/>
      <c r="Y213" s="88"/>
      <c r="Z213" s="88"/>
      <c r="AA213" s="88"/>
      <c r="AB213" s="88"/>
      <c r="AC213" s="88"/>
      <c r="AD213" s="142" t="str">
        <f t="shared" si="83"/>
        <v/>
      </c>
      <c r="AE213" s="88"/>
      <c r="AF213" s="88"/>
      <c r="AG213" s="88"/>
      <c r="AH213" s="88"/>
      <c r="AI213" s="88"/>
      <c r="AJ213" s="88"/>
      <c r="AK213" s="88"/>
      <c r="AL213" s="88"/>
      <c r="AM213" s="88">
        <v>31.171575749570728</v>
      </c>
      <c r="AN213" s="88">
        <v>151.42000000000002</v>
      </c>
      <c r="AO213" s="89" t="s">
        <v>56</v>
      </c>
      <c r="AP213" s="90"/>
      <c r="AQ213" s="146" t="str">
        <f t="shared" si="84"/>
        <v/>
      </c>
      <c r="AR213" s="146" t="str">
        <f t="shared" si="85"/>
        <v/>
      </c>
      <c r="AS213" s="147">
        <v>22</v>
      </c>
      <c r="AT213" s="148" t="s">
        <v>56</v>
      </c>
      <c r="AU213" s="149" t="s">
        <v>56</v>
      </c>
      <c r="AV213" s="146" t="str">
        <f t="shared" si="86"/>
        <v/>
      </c>
      <c r="AW213" s="146" t="str">
        <f t="shared" si="87"/>
        <v/>
      </c>
      <c r="AX213" s="138" t="str">
        <f t="shared" si="88"/>
        <v/>
      </c>
      <c r="AY213" s="95" t="s">
        <v>56</v>
      </c>
      <c r="AZ213" s="96">
        <v>60.395000000000003</v>
      </c>
      <c r="BA213" s="96"/>
      <c r="BB213" s="96">
        <v>72</v>
      </c>
      <c r="BC213" s="96"/>
      <c r="BD213" s="97">
        <v>151.42000000000002</v>
      </c>
      <c r="BE213" s="142">
        <f t="shared" si="89"/>
        <v>5184</v>
      </c>
      <c r="BF213" s="98">
        <v>276</v>
      </c>
      <c r="BG213" s="98">
        <v>0</v>
      </c>
      <c r="BH213" s="98">
        <v>0</v>
      </c>
      <c r="BI213" s="98">
        <v>4908</v>
      </c>
      <c r="BJ213" s="98"/>
      <c r="BK213" s="98"/>
      <c r="BL213" s="98"/>
    </row>
    <row r="214" spans="1:64" outlineLevel="5" x14ac:dyDescent="0.3">
      <c r="A214" s="152">
        <f t="shared" si="75"/>
        <v>6</v>
      </c>
      <c r="B214" s="153">
        <f t="shared" si="74"/>
        <v>44373</v>
      </c>
      <c r="C214" s="138">
        <f t="shared" si="80"/>
        <v>38</v>
      </c>
      <c r="D214" s="84">
        <v>38</v>
      </c>
      <c r="E214" s="84">
        <v>38</v>
      </c>
      <c r="F214" s="84"/>
      <c r="G214" s="84"/>
      <c r="H214" s="84"/>
      <c r="I214" s="84"/>
      <c r="J214" s="84"/>
      <c r="K214" s="84"/>
      <c r="L214" s="140" t="str">
        <f t="shared" si="81"/>
        <v/>
      </c>
      <c r="M214" s="86"/>
      <c r="N214" s="86"/>
      <c r="O214" s="86"/>
      <c r="P214" s="86"/>
      <c r="Q214" s="86"/>
      <c r="R214" s="86"/>
      <c r="S214" s="86"/>
      <c r="T214" s="86"/>
      <c r="U214" s="142" t="str">
        <f t="shared" si="82"/>
        <v/>
      </c>
      <c r="V214" s="88"/>
      <c r="W214" s="88"/>
      <c r="X214" s="88"/>
      <c r="Y214" s="88"/>
      <c r="Z214" s="88"/>
      <c r="AA214" s="88"/>
      <c r="AB214" s="88"/>
      <c r="AC214" s="88"/>
      <c r="AD214" s="142" t="str">
        <f t="shared" si="83"/>
        <v/>
      </c>
      <c r="AE214" s="88"/>
      <c r="AF214" s="88"/>
      <c r="AG214" s="88"/>
      <c r="AH214" s="88"/>
      <c r="AI214" s="88"/>
      <c r="AJ214" s="88"/>
      <c r="AK214" s="88"/>
      <c r="AL214" s="88"/>
      <c r="AM214" s="88">
        <v>31.675726461311324</v>
      </c>
      <c r="AN214" s="88">
        <v>149.01</v>
      </c>
      <c r="AO214" s="89"/>
      <c r="AP214" s="90"/>
      <c r="AQ214" s="146" t="str">
        <f t="shared" si="84"/>
        <v/>
      </c>
      <c r="AR214" s="146" t="str">
        <f t="shared" si="85"/>
        <v/>
      </c>
      <c r="AS214" s="147">
        <v>10</v>
      </c>
      <c r="AT214" s="148" t="s">
        <v>56</v>
      </c>
      <c r="AU214" s="149" t="s">
        <v>56</v>
      </c>
      <c r="AV214" s="146" t="str">
        <f t="shared" si="86"/>
        <v/>
      </c>
      <c r="AW214" s="146" t="str">
        <f t="shared" si="87"/>
        <v/>
      </c>
      <c r="AX214" s="138" t="str">
        <f t="shared" si="88"/>
        <v/>
      </c>
      <c r="AY214" s="95" t="s">
        <v>56</v>
      </c>
      <c r="AZ214" s="96">
        <v>61.424999999999997</v>
      </c>
      <c r="BA214" s="96"/>
      <c r="BB214" s="96">
        <v>73</v>
      </c>
      <c r="BC214" s="96"/>
      <c r="BD214" s="97">
        <v>149.01</v>
      </c>
      <c r="BE214" s="142">
        <f t="shared" si="89"/>
        <v>4762</v>
      </c>
      <c r="BF214" s="98">
        <v>249</v>
      </c>
      <c r="BG214" s="98">
        <v>0</v>
      </c>
      <c r="BH214" s="98">
        <v>0</v>
      </c>
      <c r="BI214" s="98">
        <v>4513</v>
      </c>
      <c r="BJ214" s="98"/>
      <c r="BK214" s="98"/>
      <c r="BL214" s="98"/>
    </row>
    <row r="215" spans="1:64" outlineLevel="5" x14ac:dyDescent="0.3">
      <c r="A215" s="152">
        <f t="shared" si="75"/>
        <v>6</v>
      </c>
      <c r="B215" s="153">
        <f t="shared" si="74"/>
        <v>44374</v>
      </c>
      <c r="C215" s="138">
        <f t="shared" si="80"/>
        <v>38</v>
      </c>
      <c r="D215" s="84">
        <v>38</v>
      </c>
      <c r="E215" s="84">
        <v>38</v>
      </c>
      <c r="F215" s="84"/>
      <c r="G215" s="84"/>
      <c r="H215" s="84"/>
      <c r="I215" s="84"/>
      <c r="J215" s="84"/>
      <c r="K215" s="84"/>
      <c r="L215" s="140" t="str">
        <f t="shared" si="81"/>
        <v/>
      </c>
      <c r="M215" s="86"/>
      <c r="N215" s="86"/>
      <c r="O215" s="86"/>
      <c r="P215" s="86"/>
      <c r="Q215" s="86"/>
      <c r="R215" s="86"/>
      <c r="S215" s="86"/>
      <c r="T215" s="86"/>
      <c r="U215" s="142" t="str">
        <f t="shared" si="82"/>
        <v/>
      </c>
      <c r="V215" s="88"/>
      <c r="W215" s="88"/>
      <c r="X215" s="88"/>
      <c r="Y215" s="88"/>
      <c r="Z215" s="88"/>
      <c r="AA215" s="88"/>
      <c r="AB215" s="88"/>
      <c r="AC215" s="88"/>
      <c r="AD215" s="142" t="str">
        <f t="shared" si="83"/>
        <v/>
      </c>
      <c r="AE215" s="88"/>
      <c r="AF215" s="88"/>
      <c r="AG215" s="88"/>
      <c r="AH215" s="88"/>
      <c r="AI215" s="88"/>
      <c r="AJ215" s="88"/>
      <c r="AK215" s="88"/>
      <c r="AL215" s="88"/>
      <c r="AM215" s="88">
        <v>42.909090909090907</v>
      </c>
      <c r="AN215" s="88">
        <v>110</v>
      </c>
      <c r="AO215" s="89"/>
      <c r="AP215" s="90"/>
      <c r="AQ215" s="146" t="str">
        <f t="shared" si="84"/>
        <v/>
      </c>
      <c r="AR215" s="146" t="str">
        <f t="shared" si="85"/>
        <v/>
      </c>
      <c r="AS215" s="147">
        <v>10</v>
      </c>
      <c r="AT215" s="148" t="s">
        <v>56</v>
      </c>
      <c r="AU215" s="149" t="s">
        <v>56</v>
      </c>
      <c r="AV215" s="146" t="str">
        <f t="shared" si="86"/>
        <v/>
      </c>
      <c r="AW215" s="146" t="str">
        <f t="shared" si="87"/>
        <v/>
      </c>
      <c r="AX215" s="138" t="str">
        <f t="shared" si="88"/>
        <v/>
      </c>
      <c r="AY215" s="95" t="s">
        <v>56</v>
      </c>
      <c r="AZ215" s="96">
        <v>61.344999999999999</v>
      </c>
      <c r="BA215" s="96"/>
      <c r="BB215" s="96">
        <v>74</v>
      </c>
      <c r="BC215" s="96"/>
      <c r="BD215" s="97">
        <v>110</v>
      </c>
      <c r="BE215" s="142">
        <f t="shared" si="89"/>
        <v>4548</v>
      </c>
      <c r="BF215" s="98">
        <v>265</v>
      </c>
      <c r="BG215" s="98">
        <v>0</v>
      </c>
      <c r="BH215" s="98">
        <v>0</v>
      </c>
      <c r="BI215" s="98">
        <v>4283</v>
      </c>
      <c r="BJ215" s="98"/>
      <c r="BK215" s="98"/>
      <c r="BL215" s="98"/>
    </row>
    <row r="216" spans="1:64" outlineLevel="5" x14ac:dyDescent="0.3">
      <c r="A216" s="152">
        <f t="shared" si="75"/>
        <v>6</v>
      </c>
      <c r="B216" s="153">
        <f t="shared" si="74"/>
        <v>44375</v>
      </c>
      <c r="C216" s="138">
        <f t="shared" si="80"/>
        <v>38</v>
      </c>
      <c r="D216" s="84">
        <v>38</v>
      </c>
      <c r="E216" s="84">
        <v>38</v>
      </c>
      <c r="F216" s="84"/>
      <c r="G216" s="84"/>
      <c r="H216" s="84"/>
      <c r="I216" s="84"/>
      <c r="J216" s="84"/>
      <c r="K216" s="84"/>
      <c r="L216" s="140">
        <f t="shared" si="81"/>
        <v>7.7</v>
      </c>
      <c r="M216" s="86">
        <v>7.74</v>
      </c>
      <c r="N216" s="86">
        <v>7.61</v>
      </c>
      <c r="O216" s="86"/>
      <c r="P216" s="86"/>
      <c r="Q216" s="86"/>
      <c r="R216" s="86"/>
      <c r="S216" s="86"/>
      <c r="T216" s="86"/>
      <c r="U216" s="142">
        <f t="shared" si="82"/>
        <v>1400</v>
      </c>
      <c r="V216" s="88">
        <v>1500</v>
      </c>
      <c r="W216" s="88">
        <v>1300</v>
      </c>
      <c r="X216" s="88"/>
      <c r="Y216" s="88"/>
      <c r="Z216" s="88"/>
      <c r="AA216" s="88"/>
      <c r="AB216" s="88"/>
      <c r="AC216" s="88"/>
      <c r="AD216" s="142" t="str">
        <f t="shared" si="83"/>
        <v/>
      </c>
      <c r="AE216" s="88"/>
      <c r="AF216" s="88"/>
      <c r="AG216" s="88"/>
      <c r="AH216" s="88"/>
      <c r="AI216" s="88"/>
      <c r="AJ216" s="88"/>
      <c r="AK216" s="88"/>
      <c r="AL216" s="88"/>
      <c r="AM216" s="88">
        <v>37.723785166240411</v>
      </c>
      <c r="AN216" s="88">
        <v>125.12</v>
      </c>
      <c r="AO216" s="89">
        <v>21.3</v>
      </c>
      <c r="AP216" s="90">
        <v>16.3371</v>
      </c>
      <c r="AQ216" s="146">
        <f t="shared" si="84"/>
        <v>76.699999999999989</v>
      </c>
      <c r="AR216" s="146">
        <f t="shared" si="85"/>
        <v>23.300000000000011</v>
      </c>
      <c r="AS216" s="147">
        <v>40</v>
      </c>
      <c r="AT216" s="148">
        <v>16.600000000000001</v>
      </c>
      <c r="AU216" s="149">
        <v>8.5500000000000007</v>
      </c>
      <c r="AV216" s="146">
        <f t="shared" si="86"/>
        <v>51.506024096385538</v>
      </c>
      <c r="AW216" s="146">
        <f t="shared" si="87"/>
        <v>48.493975903614462</v>
      </c>
      <c r="AX216" s="138">
        <f t="shared" si="88"/>
        <v>67.735065229538321</v>
      </c>
      <c r="AY216" s="95">
        <v>74</v>
      </c>
      <c r="AZ216" s="96">
        <v>62.96</v>
      </c>
      <c r="BA216" s="96"/>
      <c r="BB216" s="96">
        <v>98</v>
      </c>
      <c r="BC216" s="96"/>
      <c r="BD216" s="97">
        <v>125.12</v>
      </c>
      <c r="BE216" s="142">
        <f t="shared" si="89"/>
        <v>4740</v>
      </c>
      <c r="BF216" s="98">
        <v>279</v>
      </c>
      <c r="BG216" s="98">
        <v>0</v>
      </c>
      <c r="BH216" s="98">
        <v>0</v>
      </c>
      <c r="BI216" s="98">
        <v>4461</v>
      </c>
      <c r="BJ216" s="98"/>
      <c r="BK216" s="98"/>
      <c r="BL216" s="98"/>
    </row>
    <row r="217" spans="1:64" outlineLevel="5" x14ac:dyDescent="0.3">
      <c r="A217" s="152">
        <f t="shared" si="75"/>
        <v>6</v>
      </c>
      <c r="B217" s="153">
        <f t="shared" si="74"/>
        <v>44376</v>
      </c>
      <c r="C217" s="138">
        <f t="shared" si="80"/>
        <v>38</v>
      </c>
      <c r="D217" s="84">
        <v>38</v>
      </c>
      <c r="E217" s="84">
        <v>38</v>
      </c>
      <c r="F217" s="84"/>
      <c r="G217" s="84"/>
      <c r="H217" s="84"/>
      <c r="I217" s="84"/>
      <c r="J217" s="84"/>
      <c r="K217" s="84"/>
      <c r="L217" s="140" t="str">
        <f t="shared" si="81"/>
        <v/>
      </c>
      <c r="M217" s="86" t="s">
        <v>56</v>
      </c>
      <c r="N217" s="86" t="s">
        <v>56</v>
      </c>
      <c r="O217" s="86"/>
      <c r="P217" s="86"/>
      <c r="Q217" s="86"/>
      <c r="R217" s="86"/>
      <c r="S217" s="86"/>
      <c r="T217" s="86"/>
      <c r="U217" s="142" t="str">
        <f t="shared" si="82"/>
        <v/>
      </c>
      <c r="V217" s="88" t="s">
        <v>56</v>
      </c>
      <c r="W217" s="88" t="s">
        <v>56</v>
      </c>
      <c r="X217" s="88"/>
      <c r="Y217" s="88"/>
      <c r="Z217" s="88"/>
      <c r="AA217" s="88"/>
      <c r="AB217" s="88"/>
      <c r="AC217" s="88"/>
      <c r="AD217" s="142" t="str">
        <f t="shared" si="83"/>
        <v/>
      </c>
      <c r="AE217" s="88"/>
      <c r="AF217" s="88"/>
      <c r="AG217" s="88"/>
      <c r="AH217" s="88"/>
      <c r="AI217" s="88"/>
      <c r="AJ217" s="88"/>
      <c r="AK217" s="88"/>
      <c r="AL217" s="88"/>
      <c r="AM217" s="88">
        <v>36.313278965994769</v>
      </c>
      <c r="AN217" s="88">
        <v>129.97999999999999</v>
      </c>
      <c r="AO217" s="89" t="s">
        <v>56</v>
      </c>
      <c r="AP217" s="90" t="s">
        <v>56</v>
      </c>
      <c r="AQ217" s="146" t="str">
        <f t="shared" si="84"/>
        <v/>
      </c>
      <c r="AR217" s="146" t="str">
        <f t="shared" si="85"/>
        <v/>
      </c>
      <c r="AS217" s="147">
        <v>40</v>
      </c>
      <c r="AT217" s="148" t="s">
        <v>56</v>
      </c>
      <c r="AU217" s="149" t="s">
        <v>56</v>
      </c>
      <c r="AV217" s="146" t="str">
        <f t="shared" si="86"/>
        <v/>
      </c>
      <c r="AW217" s="146" t="str">
        <f t="shared" si="87"/>
        <v/>
      </c>
      <c r="AX217" s="138" t="str">
        <f t="shared" si="88"/>
        <v/>
      </c>
      <c r="AY217" s="95" t="s">
        <v>56</v>
      </c>
      <c r="AZ217" s="96">
        <v>59.04</v>
      </c>
      <c r="BA217" s="96"/>
      <c r="BB217" s="96">
        <v>131.5</v>
      </c>
      <c r="BC217" s="96"/>
      <c r="BD217" s="97">
        <v>129.97999999999999</v>
      </c>
      <c r="BE217" s="142">
        <f t="shared" si="89"/>
        <v>5089</v>
      </c>
      <c r="BF217" s="98">
        <v>274</v>
      </c>
      <c r="BG217" s="98">
        <v>0</v>
      </c>
      <c r="BH217" s="98">
        <v>0</v>
      </c>
      <c r="BI217" s="98">
        <v>4815</v>
      </c>
      <c r="BJ217" s="98"/>
      <c r="BK217" s="98"/>
      <c r="BL217" s="98"/>
    </row>
    <row r="218" spans="1:64" ht="17.25" outlineLevel="5" thickBot="1" x14ac:dyDescent="0.35">
      <c r="A218" s="154">
        <f t="shared" si="75"/>
        <v>6</v>
      </c>
      <c r="B218" s="155">
        <f t="shared" si="74"/>
        <v>44377</v>
      </c>
      <c r="C218" s="138">
        <f t="shared" si="80"/>
        <v>38.5</v>
      </c>
      <c r="D218" s="84">
        <v>39</v>
      </c>
      <c r="E218" s="84">
        <v>38</v>
      </c>
      <c r="F218" s="84"/>
      <c r="G218" s="84"/>
      <c r="H218" s="84"/>
      <c r="I218" s="84"/>
      <c r="J218" s="84"/>
      <c r="K218" s="84"/>
      <c r="L218" s="140">
        <f t="shared" si="81"/>
        <v>7.7</v>
      </c>
      <c r="M218" s="86">
        <v>7.73</v>
      </c>
      <c r="N218" s="86">
        <v>7.58</v>
      </c>
      <c r="O218" s="86"/>
      <c r="P218" s="86"/>
      <c r="Q218" s="86"/>
      <c r="R218" s="86"/>
      <c r="S218" s="86"/>
      <c r="T218" s="86"/>
      <c r="U218" s="142">
        <f t="shared" si="82"/>
        <v>1320</v>
      </c>
      <c r="V218" s="88">
        <v>1420</v>
      </c>
      <c r="W218" s="88">
        <v>1220</v>
      </c>
      <c r="X218" s="88"/>
      <c r="Y218" s="88"/>
      <c r="Z218" s="88"/>
      <c r="AA218" s="88"/>
      <c r="AB218" s="88"/>
      <c r="AC218" s="88"/>
      <c r="AD218" s="142" t="str">
        <f t="shared" si="83"/>
        <v/>
      </c>
      <c r="AE218" s="88"/>
      <c r="AF218" s="88"/>
      <c r="AG218" s="88"/>
      <c r="AH218" s="88"/>
      <c r="AI218" s="88"/>
      <c r="AJ218" s="88"/>
      <c r="AK218" s="88"/>
      <c r="AL218" s="88"/>
      <c r="AM218" s="88">
        <v>45.977011494252878</v>
      </c>
      <c r="AN218" s="88">
        <v>102.66</v>
      </c>
      <c r="AO218" s="89" t="s">
        <v>56</v>
      </c>
      <c r="AP218" s="90" t="s">
        <v>56</v>
      </c>
      <c r="AQ218" s="146" t="str">
        <f t="shared" si="84"/>
        <v/>
      </c>
      <c r="AR218" s="146" t="str">
        <f t="shared" si="85"/>
        <v/>
      </c>
      <c r="AS218" s="147">
        <v>40</v>
      </c>
      <c r="AT218" s="148">
        <v>16.899999999999999</v>
      </c>
      <c r="AU218" s="149">
        <v>8.6999999999999993</v>
      </c>
      <c r="AV218" s="146">
        <f t="shared" si="86"/>
        <v>51.479289940828401</v>
      </c>
      <c r="AW218" s="146">
        <f t="shared" si="87"/>
        <v>48.520710059171599</v>
      </c>
      <c r="AX218" s="138" t="str">
        <f t="shared" si="88"/>
        <v/>
      </c>
      <c r="AY218" s="95">
        <v>75.349999999999994</v>
      </c>
      <c r="AZ218" s="96">
        <v>59.650000000000006</v>
      </c>
      <c r="BA218" s="96"/>
      <c r="BB218" s="96">
        <v>135</v>
      </c>
      <c r="BC218" s="96"/>
      <c r="BD218" s="97">
        <v>102.66</v>
      </c>
      <c r="BE218" s="142">
        <f t="shared" si="89"/>
        <v>1987</v>
      </c>
      <c r="BF218" s="98">
        <v>253</v>
      </c>
      <c r="BG218" s="98">
        <v>0</v>
      </c>
      <c r="BH218" s="98">
        <v>0</v>
      </c>
      <c r="BI218" s="98">
        <v>1734</v>
      </c>
      <c r="BJ218" s="98"/>
      <c r="BK218" s="98"/>
      <c r="BL218" s="98"/>
    </row>
    <row r="219" spans="1:64" outlineLevel="4" x14ac:dyDescent="0.3">
      <c r="A219" s="63" t="s">
        <v>77</v>
      </c>
      <c r="B219" s="64"/>
      <c r="C219" s="65">
        <f t="shared" ref="C219:BL219" si="90">SUBTOTAL(4,C189:C218)</f>
        <v>38.5</v>
      </c>
      <c r="D219" s="66">
        <f t="shared" si="90"/>
        <v>39</v>
      </c>
      <c r="E219" s="66">
        <f t="shared" si="90"/>
        <v>38</v>
      </c>
      <c r="F219" s="66">
        <f t="shared" si="90"/>
        <v>0</v>
      </c>
      <c r="G219" s="66">
        <f t="shared" si="90"/>
        <v>0</v>
      </c>
      <c r="H219" s="66">
        <f t="shared" si="90"/>
        <v>0</v>
      </c>
      <c r="I219" s="66">
        <f t="shared" si="90"/>
        <v>0</v>
      </c>
      <c r="J219" s="66">
        <f t="shared" si="90"/>
        <v>0</v>
      </c>
      <c r="K219" s="66">
        <f t="shared" si="90"/>
        <v>0</v>
      </c>
      <c r="L219" s="67">
        <f t="shared" si="90"/>
        <v>7.7</v>
      </c>
      <c r="M219" s="68">
        <f t="shared" si="90"/>
        <v>7.78</v>
      </c>
      <c r="N219" s="68">
        <f t="shared" si="90"/>
        <v>7.62</v>
      </c>
      <c r="O219" s="68">
        <f t="shared" si="90"/>
        <v>0</v>
      </c>
      <c r="P219" s="68">
        <f t="shared" si="90"/>
        <v>0</v>
      </c>
      <c r="Q219" s="68">
        <f t="shared" si="90"/>
        <v>0</v>
      </c>
      <c r="R219" s="68">
        <f t="shared" si="90"/>
        <v>0</v>
      </c>
      <c r="S219" s="68">
        <f t="shared" si="90"/>
        <v>0</v>
      </c>
      <c r="T219" s="68">
        <f t="shared" si="90"/>
        <v>0</v>
      </c>
      <c r="U219" s="69">
        <f t="shared" si="90"/>
        <v>1725</v>
      </c>
      <c r="V219" s="70">
        <f t="shared" si="90"/>
        <v>1900</v>
      </c>
      <c r="W219" s="70">
        <f t="shared" si="90"/>
        <v>1550</v>
      </c>
      <c r="X219" s="70">
        <f t="shared" si="90"/>
        <v>0</v>
      </c>
      <c r="Y219" s="70">
        <f t="shared" si="90"/>
        <v>0</v>
      </c>
      <c r="Z219" s="70">
        <f t="shared" si="90"/>
        <v>0</v>
      </c>
      <c r="AA219" s="70">
        <f t="shared" si="90"/>
        <v>0</v>
      </c>
      <c r="AB219" s="70">
        <f t="shared" si="90"/>
        <v>0</v>
      </c>
      <c r="AC219" s="70">
        <f t="shared" si="90"/>
        <v>0</v>
      </c>
      <c r="AD219" s="69">
        <f t="shared" si="90"/>
        <v>0</v>
      </c>
      <c r="AE219" s="70">
        <f t="shared" si="90"/>
        <v>0</v>
      </c>
      <c r="AF219" s="70">
        <f t="shared" si="90"/>
        <v>0</v>
      </c>
      <c r="AG219" s="70">
        <f t="shared" si="90"/>
        <v>0</v>
      </c>
      <c r="AH219" s="70">
        <f t="shared" si="90"/>
        <v>0</v>
      </c>
      <c r="AI219" s="70">
        <f t="shared" si="90"/>
        <v>0</v>
      </c>
      <c r="AJ219" s="70">
        <f t="shared" si="90"/>
        <v>0</v>
      </c>
      <c r="AK219" s="70">
        <f t="shared" si="90"/>
        <v>0</v>
      </c>
      <c r="AL219" s="70">
        <f t="shared" si="90"/>
        <v>0</v>
      </c>
      <c r="AM219" s="70">
        <f t="shared" si="90"/>
        <v>78.666666666666671</v>
      </c>
      <c r="AN219" s="70">
        <f t="shared" si="90"/>
        <v>151.42000000000002</v>
      </c>
      <c r="AO219" s="71">
        <f t="shared" si="90"/>
        <v>21.3</v>
      </c>
      <c r="AP219" s="72">
        <f t="shared" si="90"/>
        <v>16.3371</v>
      </c>
      <c r="AQ219" s="73">
        <f t="shared" si="90"/>
        <v>76.699999999999989</v>
      </c>
      <c r="AR219" s="73">
        <f t="shared" si="90"/>
        <v>23.300000000000011</v>
      </c>
      <c r="AS219" s="74">
        <f t="shared" si="90"/>
        <v>40</v>
      </c>
      <c r="AT219" s="75">
        <f t="shared" si="90"/>
        <v>16.899999999999999</v>
      </c>
      <c r="AU219" s="76">
        <f t="shared" si="90"/>
        <v>9.6999999999999993</v>
      </c>
      <c r="AV219" s="73">
        <f t="shared" si="90"/>
        <v>59.146341463414629</v>
      </c>
      <c r="AW219" s="73">
        <f t="shared" si="90"/>
        <v>48.520710059171599</v>
      </c>
      <c r="AX219" s="65">
        <f t="shared" si="90"/>
        <v>67.735065229538321</v>
      </c>
      <c r="AY219" s="77">
        <f t="shared" si="90"/>
        <v>76.599999999999994</v>
      </c>
      <c r="AZ219" s="78">
        <f t="shared" si="90"/>
        <v>65.400000000000006</v>
      </c>
      <c r="BA219" s="78">
        <f t="shared" si="90"/>
        <v>0</v>
      </c>
      <c r="BB219" s="78">
        <f t="shared" si="90"/>
        <v>135</v>
      </c>
      <c r="BC219" s="78">
        <f t="shared" si="90"/>
        <v>0</v>
      </c>
      <c r="BD219" s="79">
        <f t="shared" si="90"/>
        <v>151.42000000000002</v>
      </c>
      <c r="BE219" s="69">
        <f t="shared" si="90"/>
        <v>13599</v>
      </c>
      <c r="BF219" s="70">
        <f t="shared" si="90"/>
        <v>333</v>
      </c>
      <c r="BG219" s="80">
        <f t="shared" si="90"/>
        <v>3372</v>
      </c>
      <c r="BH219" s="80">
        <f t="shared" si="90"/>
        <v>5811</v>
      </c>
      <c r="BI219" s="80">
        <f t="shared" si="90"/>
        <v>5478</v>
      </c>
      <c r="BJ219" s="80">
        <f t="shared" si="90"/>
        <v>0</v>
      </c>
      <c r="BK219" s="80">
        <f t="shared" si="90"/>
        <v>0</v>
      </c>
      <c r="BL219" s="79">
        <f t="shared" si="90"/>
        <v>0</v>
      </c>
    </row>
    <row r="220" spans="1:64" outlineLevel="3" x14ac:dyDescent="0.3">
      <c r="A220" s="81" t="s">
        <v>78</v>
      </c>
      <c r="B220" s="82"/>
      <c r="C220" s="83">
        <f t="shared" ref="C220:BL220" si="91">SUBTOTAL(5,C189:C218)</f>
        <v>36.5</v>
      </c>
      <c r="D220" s="84">
        <f t="shared" si="91"/>
        <v>37</v>
      </c>
      <c r="E220" s="84">
        <f t="shared" si="91"/>
        <v>36</v>
      </c>
      <c r="F220" s="84">
        <f t="shared" si="91"/>
        <v>0</v>
      </c>
      <c r="G220" s="84">
        <f t="shared" si="91"/>
        <v>0</v>
      </c>
      <c r="H220" s="84">
        <f t="shared" si="91"/>
        <v>0</v>
      </c>
      <c r="I220" s="84">
        <f t="shared" si="91"/>
        <v>0</v>
      </c>
      <c r="J220" s="84">
        <f t="shared" si="91"/>
        <v>0</v>
      </c>
      <c r="K220" s="84">
        <f t="shared" si="91"/>
        <v>0</v>
      </c>
      <c r="L220" s="85">
        <f t="shared" si="91"/>
        <v>7.7</v>
      </c>
      <c r="M220" s="86">
        <f t="shared" si="91"/>
        <v>7.72</v>
      </c>
      <c r="N220" s="86">
        <f t="shared" si="91"/>
        <v>7.58</v>
      </c>
      <c r="O220" s="86">
        <f t="shared" si="91"/>
        <v>0</v>
      </c>
      <c r="P220" s="86">
        <f t="shared" si="91"/>
        <v>0</v>
      </c>
      <c r="Q220" s="86">
        <f t="shared" si="91"/>
        <v>0</v>
      </c>
      <c r="R220" s="86">
        <f t="shared" si="91"/>
        <v>0</v>
      </c>
      <c r="S220" s="86">
        <f t="shared" si="91"/>
        <v>0</v>
      </c>
      <c r="T220" s="86">
        <f t="shared" si="91"/>
        <v>0</v>
      </c>
      <c r="U220" s="87">
        <f t="shared" si="91"/>
        <v>1320</v>
      </c>
      <c r="V220" s="88">
        <f t="shared" si="91"/>
        <v>1420</v>
      </c>
      <c r="W220" s="88">
        <f t="shared" si="91"/>
        <v>1220</v>
      </c>
      <c r="X220" s="88">
        <f t="shared" si="91"/>
        <v>0</v>
      </c>
      <c r="Y220" s="88">
        <f t="shared" si="91"/>
        <v>0</v>
      </c>
      <c r="Z220" s="88">
        <f t="shared" si="91"/>
        <v>0</v>
      </c>
      <c r="AA220" s="88">
        <f t="shared" si="91"/>
        <v>0</v>
      </c>
      <c r="AB220" s="88">
        <f t="shared" si="91"/>
        <v>0</v>
      </c>
      <c r="AC220" s="88">
        <f t="shared" si="91"/>
        <v>0</v>
      </c>
      <c r="AD220" s="87">
        <f t="shared" si="91"/>
        <v>0</v>
      </c>
      <c r="AE220" s="88">
        <f t="shared" si="91"/>
        <v>0</v>
      </c>
      <c r="AF220" s="88">
        <f t="shared" si="91"/>
        <v>0</v>
      </c>
      <c r="AG220" s="88">
        <f t="shared" si="91"/>
        <v>0</v>
      </c>
      <c r="AH220" s="88">
        <f t="shared" si="91"/>
        <v>0</v>
      </c>
      <c r="AI220" s="88">
        <f t="shared" si="91"/>
        <v>0</v>
      </c>
      <c r="AJ220" s="88">
        <f t="shared" si="91"/>
        <v>0</v>
      </c>
      <c r="AK220" s="88">
        <f t="shared" si="91"/>
        <v>0</v>
      </c>
      <c r="AL220" s="88">
        <f t="shared" si="91"/>
        <v>0</v>
      </c>
      <c r="AM220" s="88">
        <f t="shared" si="91"/>
        <v>31.171575749570728</v>
      </c>
      <c r="AN220" s="88">
        <f t="shared" si="91"/>
        <v>0</v>
      </c>
      <c r="AO220" s="89">
        <f t="shared" si="91"/>
        <v>21.3</v>
      </c>
      <c r="AP220" s="90">
        <f t="shared" si="91"/>
        <v>16.3371</v>
      </c>
      <c r="AQ220" s="91">
        <f t="shared" si="91"/>
        <v>76.699999999999989</v>
      </c>
      <c r="AR220" s="91">
        <f t="shared" si="91"/>
        <v>23.300000000000011</v>
      </c>
      <c r="AS220" s="92">
        <f t="shared" si="91"/>
        <v>0</v>
      </c>
      <c r="AT220" s="93">
        <f t="shared" si="91"/>
        <v>13.55</v>
      </c>
      <c r="AU220" s="94">
        <f t="shared" si="91"/>
        <v>7.15</v>
      </c>
      <c r="AV220" s="91">
        <f t="shared" si="91"/>
        <v>51.479289940828401</v>
      </c>
      <c r="AW220" s="91">
        <f t="shared" si="91"/>
        <v>40.853658536585371</v>
      </c>
      <c r="AX220" s="83">
        <f t="shared" si="91"/>
        <v>67.735065229538321</v>
      </c>
      <c r="AY220" s="95">
        <f t="shared" si="91"/>
        <v>72.150000000000006</v>
      </c>
      <c r="AZ220" s="96">
        <f t="shared" si="91"/>
        <v>59.04</v>
      </c>
      <c r="BA220" s="96">
        <f t="shared" si="91"/>
        <v>0</v>
      </c>
      <c r="BB220" s="96">
        <f t="shared" si="91"/>
        <v>57</v>
      </c>
      <c r="BC220" s="96">
        <f t="shared" si="91"/>
        <v>0</v>
      </c>
      <c r="BD220" s="97">
        <f t="shared" si="91"/>
        <v>0</v>
      </c>
      <c r="BE220" s="87">
        <f t="shared" si="91"/>
        <v>470</v>
      </c>
      <c r="BF220" s="88">
        <f t="shared" si="91"/>
        <v>0</v>
      </c>
      <c r="BG220" s="98">
        <f t="shared" si="91"/>
        <v>0</v>
      </c>
      <c r="BH220" s="98">
        <f t="shared" si="91"/>
        <v>0</v>
      </c>
      <c r="BI220" s="98">
        <f t="shared" si="91"/>
        <v>0</v>
      </c>
      <c r="BJ220" s="98">
        <f t="shared" si="91"/>
        <v>0</v>
      </c>
      <c r="BK220" s="98">
        <f t="shared" si="91"/>
        <v>0</v>
      </c>
      <c r="BL220" s="97">
        <f t="shared" si="91"/>
        <v>0</v>
      </c>
    </row>
    <row r="221" spans="1:64" outlineLevel="2" x14ac:dyDescent="0.3">
      <c r="A221" s="81" t="s">
        <v>79</v>
      </c>
      <c r="B221" s="82"/>
      <c r="C221" s="83">
        <f t="shared" ref="C221:BL221" si="92">IFERROR(SUBTOTAL(1,C189:C218),"")</f>
        <v>37.733333333333334</v>
      </c>
      <c r="D221" s="84">
        <f t="shared" si="92"/>
        <v>37.9</v>
      </c>
      <c r="E221" s="84">
        <f t="shared" si="92"/>
        <v>37.56666666666667</v>
      </c>
      <c r="F221" s="84" t="str">
        <f t="shared" si="92"/>
        <v/>
      </c>
      <c r="G221" s="84" t="str">
        <f t="shared" si="92"/>
        <v/>
      </c>
      <c r="H221" s="84" t="str">
        <f t="shared" si="92"/>
        <v/>
      </c>
      <c r="I221" s="84" t="str">
        <f t="shared" si="92"/>
        <v/>
      </c>
      <c r="J221" s="84" t="str">
        <f t="shared" si="92"/>
        <v/>
      </c>
      <c r="K221" s="84" t="str">
        <f t="shared" si="92"/>
        <v/>
      </c>
      <c r="L221" s="85">
        <f t="shared" si="92"/>
        <v>7.7</v>
      </c>
      <c r="M221" s="86">
        <f t="shared" si="92"/>
        <v>7.74</v>
      </c>
      <c r="N221" s="86">
        <f t="shared" si="92"/>
        <v>7.6039999999999992</v>
      </c>
      <c r="O221" s="86" t="str">
        <f t="shared" si="92"/>
        <v/>
      </c>
      <c r="P221" s="86" t="str">
        <f t="shared" si="92"/>
        <v/>
      </c>
      <c r="Q221" s="86" t="str">
        <f t="shared" si="92"/>
        <v/>
      </c>
      <c r="R221" s="86" t="str">
        <f t="shared" si="92"/>
        <v/>
      </c>
      <c r="S221" s="86" t="str">
        <f t="shared" si="92"/>
        <v/>
      </c>
      <c r="T221" s="86" t="str">
        <f t="shared" si="92"/>
        <v/>
      </c>
      <c r="U221" s="87">
        <f t="shared" si="92"/>
        <v>1508</v>
      </c>
      <c r="V221" s="88">
        <f t="shared" si="92"/>
        <v>1648</v>
      </c>
      <c r="W221" s="88">
        <f t="shared" si="92"/>
        <v>1368</v>
      </c>
      <c r="X221" s="88" t="str">
        <f t="shared" si="92"/>
        <v/>
      </c>
      <c r="Y221" s="88" t="str">
        <f t="shared" si="92"/>
        <v/>
      </c>
      <c r="Z221" s="88" t="str">
        <f t="shared" si="92"/>
        <v/>
      </c>
      <c r="AA221" s="88" t="str">
        <f t="shared" si="92"/>
        <v/>
      </c>
      <c r="AB221" s="88" t="str">
        <f t="shared" si="92"/>
        <v/>
      </c>
      <c r="AC221" s="88" t="str">
        <f t="shared" si="92"/>
        <v/>
      </c>
      <c r="AD221" s="87" t="str">
        <f t="shared" si="92"/>
        <v/>
      </c>
      <c r="AE221" s="88" t="str">
        <f t="shared" si="92"/>
        <v/>
      </c>
      <c r="AF221" s="88" t="str">
        <f t="shared" si="92"/>
        <v/>
      </c>
      <c r="AG221" s="88" t="str">
        <f t="shared" si="92"/>
        <v/>
      </c>
      <c r="AH221" s="88" t="str">
        <f t="shared" si="92"/>
        <v/>
      </c>
      <c r="AI221" s="88" t="str">
        <f t="shared" si="92"/>
        <v/>
      </c>
      <c r="AJ221" s="88" t="str">
        <f t="shared" si="92"/>
        <v/>
      </c>
      <c r="AK221" s="88" t="str">
        <f t="shared" si="92"/>
        <v/>
      </c>
      <c r="AL221" s="88" t="str">
        <f t="shared" si="92"/>
        <v/>
      </c>
      <c r="AM221" s="88">
        <f t="shared" si="92"/>
        <v>46.937133693635914</v>
      </c>
      <c r="AN221" s="88">
        <f t="shared" si="92"/>
        <v>73.605999999999995</v>
      </c>
      <c r="AO221" s="89">
        <f t="shared" si="92"/>
        <v>21.3</v>
      </c>
      <c r="AP221" s="90">
        <f t="shared" si="92"/>
        <v>16.3371</v>
      </c>
      <c r="AQ221" s="91">
        <f t="shared" si="92"/>
        <v>76.699999999999989</v>
      </c>
      <c r="AR221" s="91">
        <f t="shared" si="92"/>
        <v>23.300000000000011</v>
      </c>
      <c r="AS221" s="92">
        <f t="shared" si="92"/>
        <v>19.566666666666666</v>
      </c>
      <c r="AT221" s="93">
        <f t="shared" si="92"/>
        <v>16.07</v>
      </c>
      <c r="AU221" s="94">
        <f t="shared" si="92"/>
        <v>8.5599999999999987</v>
      </c>
      <c r="AV221" s="91">
        <f t="shared" si="92"/>
        <v>53.275694623346752</v>
      </c>
      <c r="AW221" s="91">
        <f t="shared" si="92"/>
        <v>46.724305376653248</v>
      </c>
      <c r="AX221" s="83">
        <f t="shared" si="92"/>
        <v>67.735065229538321</v>
      </c>
      <c r="AY221" s="95">
        <f t="shared" si="92"/>
        <v>74.690000000000012</v>
      </c>
      <c r="AZ221" s="96">
        <f t="shared" si="92"/>
        <v>62.080499999999994</v>
      </c>
      <c r="BA221" s="96" t="str">
        <f t="shared" si="92"/>
        <v/>
      </c>
      <c r="BB221" s="96">
        <f t="shared" si="92"/>
        <v>74.683333333333337</v>
      </c>
      <c r="BC221" s="96" t="str">
        <f t="shared" si="92"/>
        <v/>
      </c>
      <c r="BD221" s="97">
        <f>IFERROR(SUBTOTAL(1,BD189:BD218),"")</f>
        <v>73.605999999999995</v>
      </c>
      <c r="BE221" s="87">
        <f t="shared" si="92"/>
        <v>5174.416666666667</v>
      </c>
      <c r="BF221" s="88">
        <f t="shared" si="92"/>
        <v>153.30000000000001</v>
      </c>
      <c r="BG221" s="98">
        <f t="shared" si="92"/>
        <v>251.66666666666666</v>
      </c>
      <c r="BH221" s="98">
        <f t="shared" si="92"/>
        <v>617.56666666666672</v>
      </c>
      <c r="BI221" s="98">
        <f t="shared" si="92"/>
        <v>3117</v>
      </c>
      <c r="BJ221" s="98" t="str">
        <f t="shared" si="92"/>
        <v/>
      </c>
      <c r="BK221" s="98" t="str">
        <f t="shared" si="92"/>
        <v/>
      </c>
      <c r="BL221" s="97" t="str">
        <f t="shared" si="92"/>
        <v/>
      </c>
    </row>
    <row r="222" spans="1:64" ht="17.25" outlineLevel="1" thickBot="1" x14ac:dyDescent="0.35">
      <c r="A222" s="99" t="s">
        <v>80</v>
      </c>
      <c r="B222" s="100"/>
      <c r="C222" s="101"/>
      <c r="D222" s="102"/>
      <c r="E222" s="102"/>
      <c r="F222" s="102"/>
      <c r="G222" s="102"/>
      <c r="H222" s="102"/>
      <c r="I222" s="102"/>
      <c r="J222" s="102"/>
      <c r="K222" s="102"/>
      <c r="L222" s="103"/>
      <c r="M222" s="104"/>
      <c r="N222" s="104"/>
      <c r="O222" s="104"/>
      <c r="P222" s="104"/>
      <c r="Q222" s="104"/>
      <c r="R222" s="104"/>
      <c r="S222" s="104"/>
      <c r="T222" s="104"/>
      <c r="U222" s="105"/>
      <c r="V222" s="106"/>
      <c r="W222" s="106"/>
      <c r="X222" s="106"/>
      <c r="Y222" s="106"/>
      <c r="Z222" s="106"/>
      <c r="AA222" s="106"/>
      <c r="AB222" s="106"/>
      <c r="AC222" s="106"/>
      <c r="AD222" s="105"/>
      <c r="AE222" s="106"/>
      <c r="AF222" s="106"/>
      <c r="AG222" s="106"/>
      <c r="AH222" s="106"/>
      <c r="AI222" s="106"/>
      <c r="AJ222" s="106"/>
      <c r="AK222" s="106"/>
      <c r="AL222" s="106"/>
      <c r="AM222" s="106"/>
      <c r="AN222" s="107">
        <f>SUBTOTAL(9,AN189:AN218)</f>
        <v>2208.1799999999998</v>
      </c>
      <c r="AO222" s="108"/>
      <c r="AP222" s="109"/>
      <c r="AQ222" s="110"/>
      <c r="AR222" s="110"/>
      <c r="AS222" s="111">
        <f>SUBTOTAL(9,AS189:AS218)</f>
        <v>587</v>
      </c>
      <c r="AT222" s="112"/>
      <c r="AU222" s="113"/>
      <c r="AV222" s="110"/>
      <c r="AW222" s="110"/>
      <c r="AX222" s="101"/>
      <c r="AY222" s="114"/>
      <c r="AZ222" s="115"/>
      <c r="BA222" s="115"/>
      <c r="BB222" s="115"/>
      <c r="BC222" s="115"/>
      <c r="BD222" s="116">
        <f>SUBTOTAL(9,BD189:BD218)</f>
        <v>2208.1799999999998</v>
      </c>
      <c r="BE222" s="117">
        <f t="shared" ref="BE222:BL222" si="93">SUBTOTAL(9,BE189:BE218)</f>
        <v>124186</v>
      </c>
      <c r="BF222" s="107">
        <f t="shared" si="93"/>
        <v>4599</v>
      </c>
      <c r="BG222" s="118">
        <f t="shared" si="93"/>
        <v>7550</v>
      </c>
      <c r="BH222" s="118">
        <f t="shared" si="93"/>
        <v>18527</v>
      </c>
      <c r="BI222" s="118">
        <f t="shared" si="93"/>
        <v>93510</v>
      </c>
      <c r="BJ222" s="118">
        <f t="shared" si="93"/>
        <v>0</v>
      </c>
      <c r="BK222" s="118">
        <f t="shared" si="93"/>
        <v>0</v>
      </c>
      <c r="BL222" s="116">
        <f t="shared" si="93"/>
        <v>0</v>
      </c>
    </row>
    <row r="223" spans="1:64" outlineLevel="5" x14ac:dyDescent="0.3">
      <c r="A223" s="136">
        <f t="shared" si="75"/>
        <v>7</v>
      </c>
      <c r="B223" s="165">
        <f>B218+1</f>
        <v>44378</v>
      </c>
      <c r="C223" s="138">
        <f t="shared" ref="C223:C253" si="94">IFERROR(ROUND(AVERAGE(D223:K223),1),"")</f>
        <v>38.5</v>
      </c>
      <c r="D223" s="84">
        <v>39</v>
      </c>
      <c r="E223" s="84">
        <v>38</v>
      </c>
      <c r="F223" s="84"/>
      <c r="G223" s="84"/>
      <c r="H223" s="84"/>
      <c r="I223" s="84"/>
      <c r="J223" s="84"/>
      <c r="K223" s="84"/>
      <c r="L223" s="140" t="str">
        <f t="shared" ref="L223:L253" si="95">IFERROR(ROUND(AVERAGE(M223:T223),1),"")</f>
        <v/>
      </c>
      <c r="M223" s="86" t="s">
        <v>56</v>
      </c>
      <c r="N223" s="86" t="s">
        <v>56</v>
      </c>
      <c r="O223" s="86"/>
      <c r="P223" s="86"/>
      <c r="Q223" s="86"/>
      <c r="R223" s="86"/>
      <c r="S223" s="86"/>
      <c r="T223" s="86"/>
      <c r="U223" s="142" t="str">
        <f t="shared" ref="U223:U253" si="96">IFERROR(ROUND(AVERAGE(V223:AC223),1),"")</f>
        <v/>
      </c>
      <c r="V223" s="88" t="s">
        <v>56</v>
      </c>
      <c r="W223" s="88" t="s">
        <v>56</v>
      </c>
      <c r="X223" s="88"/>
      <c r="Y223" s="88"/>
      <c r="Z223" s="88"/>
      <c r="AA223" s="88"/>
      <c r="AB223" s="88"/>
      <c r="AC223" s="88"/>
      <c r="AD223" s="142" t="str">
        <f t="shared" ref="AD223:AD253" si="97">IFERROR(ROUND(AVERAGE(AE223:AL223),1),"")</f>
        <v/>
      </c>
      <c r="AE223" s="88"/>
      <c r="AF223" s="88"/>
      <c r="AG223" s="88"/>
      <c r="AH223" s="88"/>
      <c r="AI223" s="88"/>
      <c r="AJ223" s="88"/>
      <c r="AK223" s="88"/>
      <c r="AL223" s="88"/>
      <c r="AM223" s="88">
        <v>34.578754578754577</v>
      </c>
      <c r="AN223" s="88">
        <v>136.5</v>
      </c>
      <c r="AO223" s="89" t="s">
        <v>56</v>
      </c>
      <c r="AP223" s="90" t="s">
        <v>56</v>
      </c>
      <c r="AQ223" s="146" t="str">
        <f t="shared" ref="AQ223:AQ253" si="98">IFERROR(AP223/AO223*100,"")</f>
        <v/>
      </c>
      <c r="AR223" s="146" t="str">
        <f t="shared" ref="AR223:AR253" si="99">IFERROR(100-AQ223,"")</f>
        <v/>
      </c>
      <c r="AS223" s="147">
        <v>40</v>
      </c>
      <c r="AT223" s="148" t="s">
        <v>56</v>
      </c>
      <c r="AU223" s="149" t="s">
        <v>56</v>
      </c>
      <c r="AV223" s="146" t="str">
        <f t="shared" ref="AV223:AV253" si="100">IFERROR(AU223/AT223*100,"")</f>
        <v/>
      </c>
      <c r="AW223" s="146" t="str">
        <f t="shared" ref="AW223:AW253" si="101">IFERROR(100-AV223,"")</f>
        <v/>
      </c>
      <c r="AX223" s="168" t="str">
        <f t="shared" ref="AX223:AX253" si="102">IFERROR((1-((AV223*AR223)/(AW223*AQ223)))*100,"")</f>
        <v/>
      </c>
      <c r="AY223" s="95" t="s">
        <v>56</v>
      </c>
      <c r="AZ223" s="96">
        <v>63.585000000000001</v>
      </c>
      <c r="BA223" s="96"/>
      <c r="BB223" s="96">
        <v>104.5</v>
      </c>
      <c r="BC223" s="96"/>
      <c r="BD223" s="97">
        <v>136.5</v>
      </c>
      <c r="BE223" s="142">
        <f t="shared" ref="BE223:BE253" si="103">IF(SUM(BF223:BL223)=0,"",SUM(BF223:BL223))</f>
        <v>257</v>
      </c>
      <c r="BF223" s="98">
        <v>257</v>
      </c>
      <c r="BG223" s="98">
        <v>0</v>
      </c>
      <c r="BH223" s="98">
        <v>0</v>
      </c>
      <c r="BI223" s="98">
        <v>0</v>
      </c>
      <c r="BJ223" s="98"/>
      <c r="BK223" s="98"/>
      <c r="BL223" s="97"/>
    </row>
    <row r="224" spans="1:64" outlineLevel="5" x14ac:dyDescent="0.3">
      <c r="A224" s="152">
        <f t="shared" si="75"/>
        <v>7</v>
      </c>
      <c r="B224" s="153">
        <f t="shared" ref="B224:B287" si="104">B223+1</f>
        <v>44379</v>
      </c>
      <c r="C224" s="138">
        <f t="shared" si="94"/>
        <v>38.5</v>
      </c>
      <c r="D224" s="84">
        <v>39</v>
      </c>
      <c r="E224" s="84">
        <v>38</v>
      </c>
      <c r="F224" s="84"/>
      <c r="G224" s="84"/>
      <c r="H224" s="84"/>
      <c r="I224" s="84"/>
      <c r="J224" s="84"/>
      <c r="K224" s="84"/>
      <c r="L224" s="140" t="str">
        <f t="shared" si="95"/>
        <v/>
      </c>
      <c r="M224" s="86" t="s">
        <v>56</v>
      </c>
      <c r="N224" s="86" t="s">
        <v>56</v>
      </c>
      <c r="O224" s="86"/>
      <c r="P224" s="86"/>
      <c r="Q224" s="86"/>
      <c r="R224" s="86"/>
      <c r="S224" s="86"/>
      <c r="T224" s="86"/>
      <c r="U224" s="142" t="str">
        <f t="shared" si="96"/>
        <v/>
      </c>
      <c r="V224" s="88" t="s">
        <v>56</v>
      </c>
      <c r="W224" s="88" t="s">
        <v>56</v>
      </c>
      <c r="X224" s="88"/>
      <c r="Y224" s="88"/>
      <c r="Z224" s="88"/>
      <c r="AA224" s="88"/>
      <c r="AB224" s="88"/>
      <c r="AC224" s="88"/>
      <c r="AD224" s="142" t="str">
        <f t="shared" si="97"/>
        <v/>
      </c>
      <c r="AE224" s="88"/>
      <c r="AF224" s="88"/>
      <c r="AG224" s="88"/>
      <c r="AH224" s="88"/>
      <c r="AI224" s="88"/>
      <c r="AJ224" s="88"/>
      <c r="AK224" s="88"/>
      <c r="AL224" s="88"/>
      <c r="AM224" s="88">
        <v>47.561467150342608</v>
      </c>
      <c r="AN224" s="88">
        <v>99.24</v>
      </c>
      <c r="AO224" s="89" t="s">
        <v>56</v>
      </c>
      <c r="AP224" s="90" t="s">
        <v>56</v>
      </c>
      <c r="AQ224" s="146" t="str">
        <f t="shared" si="98"/>
        <v/>
      </c>
      <c r="AR224" s="146" t="str">
        <f t="shared" si="99"/>
        <v/>
      </c>
      <c r="AS224" s="147">
        <v>20</v>
      </c>
      <c r="AT224" s="148" t="s">
        <v>56</v>
      </c>
      <c r="AU224" s="149" t="s">
        <v>56</v>
      </c>
      <c r="AV224" s="146" t="str">
        <f t="shared" si="100"/>
        <v/>
      </c>
      <c r="AW224" s="146" t="str">
        <f t="shared" si="101"/>
        <v/>
      </c>
      <c r="AX224" s="168" t="str">
        <f t="shared" si="102"/>
        <v/>
      </c>
      <c r="AY224" s="95" t="s">
        <v>56</v>
      </c>
      <c r="AZ224" s="96">
        <v>61.71</v>
      </c>
      <c r="BA224" s="96"/>
      <c r="BB224" s="96">
        <v>85</v>
      </c>
      <c r="BC224" s="96"/>
      <c r="BD224" s="97">
        <v>99.24</v>
      </c>
      <c r="BE224" s="142">
        <f t="shared" si="103"/>
        <v>125</v>
      </c>
      <c r="BF224" s="98">
        <v>125</v>
      </c>
      <c r="BG224" s="98">
        <v>0</v>
      </c>
      <c r="BH224" s="98">
        <v>0</v>
      </c>
      <c r="BI224" s="98">
        <v>0</v>
      </c>
      <c r="BJ224" s="98"/>
      <c r="BK224" s="98"/>
      <c r="BL224" s="97"/>
    </row>
    <row r="225" spans="1:64" outlineLevel="5" x14ac:dyDescent="0.3">
      <c r="A225" s="152">
        <f t="shared" si="75"/>
        <v>7</v>
      </c>
      <c r="B225" s="153">
        <f t="shared" si="104"/>
        <v>44380</v>
      </c>
      <c r="C225" s="138">
        <f t="shared" si="94"/>
        <v>39</v>
      </c>
      <c r="D225" s="84">
        <v>39</v>
      </c>
      <c r="E225" s="84">
        <v>39</v>
      </c>
      <c r="F225" s="84"/>
      <c r="G225" s="84"/>
      <c r="H225" s="84"/>
      <c r="I225" s="84"/>
      <c r="J225" s="84"/>
      <c r="K225" s="84"/>
      <c r="L225" s="140" t="str">
        <f t="shared" si="95"/>
        <v/>
      </c>
      <c r="M225" s="86"/>
      <c r="N225" s="86"/>
      <c r="O225" s="86"/>
      <c r="P225" s="86"/>
      <c r="Q225" s="86"/>
      <c r="R225" s="86"/>
      <c r="S225" s="86"/>
      <c r="T225" s="86"/>
      <c r="U225" s="142" t="str">
        <f t="shared" si="96"/>
        <v/>
      </c>
      <c r="V225" s="88"/>
      <c r="W225" s="88"/>
      <c r="X225" s="88"/>
      <c r="Y225" s="88"/>
      <c r="Z225" s="88"/>
      <c r="AA225" s="88"/>
      <c r="AB225" s="88"/>
      <c r="AC225" s="88"/>
      <c r="AD225" s="142" t="str">
        <f t="shared" si="97"/>
        <v/>
      </c>
      <c r="AE225" s="88"/>
      <c r="AF225" s="88"/>
      <c r="AG225" s="88"/>
      <c r="AH225" s="88"/>
      <c r="AI225" s="88"/>
      <c r="AJ225" s="88"/>
      <c r="AK225" s="88"/>
      <c r="AL225" s="88"/>
      <c r="AM225" s="88">
        <v>31.256208198132576</v>
      </c>
      <c r="AN225" s="88">
        <v>151.01</v>
      </c>
      <c r="AO225" s="89"/>
      <c r="AP225" s="90"/>
      <c r="AQ225" s="146" t="str">
        <f t="shared" si="98"/>
        <v/>
      </c>
      <c r="AR225" s="146" t="str">
        <f t="shared" si="99"/>
        <v/>
      </c>
      <c r="AS225" s="147">
        <v>10</v>
      </c>
      <c r="AT225" s="148" t="s">
        <v>56</v>
      </c>
      <c r="AU225" s="149" t="s">
        <v>56</v>
      </c>
      <c r="AV225" s="146" t="str">
        <f t="shared" si="100"/>
        <v/>
      </c>
      <c r="AW225" s="146" t="str">
        <f t="shared" si="101"/>
        <v/>
      </c>
      <c r="AX225" s="168" t="str">
        <f t="shared" si="102"/>
        <v/>
      </c>
      <c r="AY225" s="95" t="s">
        <v>56</v>
      </c>
      <c r="AZ225" s="96">
        <v>61.204999999999998</v>
      </c>
      <c r="BA225" s="96"/>
      <c r="BB225" s="96">
        <v>82.5</v>
      </c>
      <c r="BC225" s="96"/>
      <c r="BD225" s="97">
        <v>151.01</v>
      </c>
      <c r="BE225" s="142">
        <f t="shared" si="103"/>
        <v>233</v>
      </c>
      <c r="BF225" s="98">
        <v>233</v>
      </c>
      <c r="BG225" s="98">
        <v>0</v>
      </c>
      <c r="BH225" s="98">
        <v>0</v>
      </c>
      <c r="BI225" s="98">
        <v>0</v>
      </c>
      <c r="BJ225" s="98"/>
      <c r="BK225" s="98"/>
      <c r="BL225" s="97"/>
    </row>
    <row r="226" spans="1:64" outlineLevel="5" x14ac:dyDescent="0.3">
      <c r="A226" s="152">
        <f t="shared" si="75"/>
        <v>7</v>
      </c>
      <c r="B226" s="153">
        <f t="shared" si="104"/>
        <v>44381</v>
      </c>
      <c r="C226" s="138">
        <f t="shared" si="94"/>
        <v>39</v>
      </c>
      <c r="D226" s="84">
        <v>39</v>
      </c>
      <c r="E226" s="84">
        <v>39</v>
      </c>
      <c r="F226" s="84"/>
      <c r="G226" s="84"/>
      <c r="H226" s="84"/>
      <c r="I226" s="84"/>
      <c r="J226" s="84"/>
      <c r="K226" s="84"/>
      <c r="L226" s="140" t="str">
        <f t="shared" si="95"/>
        <v/>
      </c>
      <c r="M226" s="86"/>
      <c r="N226" s="86"/>
      <c r="O226" s="86"/>
      <c r="P226" s="86"/>
      <c r="Q226" s="86"/>
      <c r="R226" s="86"/>
      <c r="S226" s="86"/>
      <c r="T226" s="86"/>
      <c r="U226" s="142" t="str">
        <f t="shared" si="96"/>
        <v/>
      </c>
      <c r="V226" s="88"/>
      <c r="W226" s="88"/>
      <c r="X226" s="88"/>
      <c r="Y226" s="88"/>
      <c r="Z226" s="88"/>
      <c r="AA226" s="88"/>
      <c r="AB226" s="88"/>
      <c r="AC226" s="88"/>
      <c r="AD226" s="142" t="str">
        <f t="shared" si="97"/>
        <v/>
      </c>
      <c r="AE226" s="88"/>
      <c r="AF226" s="88"/>
      <c r="AG226" s="88"/>
      <c r="AH226" s="88"/>
      <c r="AI226" s="88"/>
      <c r="AJ226" s="88"/>
      <c r="AK226" s="88"/>
      <c r="AL226" s="88"/>
      <c r="AM226" s="88">
        <v>36.307692307692307</v>
      </c>
      <c r="AN226" s="88">
        <v>130</v>
      </c>
      <c r="AO226" s="89"/>
      <c r="AP226" s="90"/>
      <c r="AQ226" s="146" t="str">
        <f t="shared" si="98"/>
        <v/>
      </c>
      <c r="AR226" s="146" t="str">
        <f t="shared" si="99"/>
        <v/>
      </c>
      <c r="AS226" s="147">
        <v>10</v>
      </c>
      <c r="AT226" s="148" t="s">
        <v>56</v>
      </c>
      <c r="AU226" s="149" t="s">
        <v>56</v>
      </c>
      <c r="AV226" s="146" t="str">
        <f t="shared" si="100"/>
        <v/>
      </c>
      <c r="AW226" s="146" t="str">
        <f t="shared" si="101"/>
        <v/>
      </c>
      <c r="AX226" s="168" t="str">
        <f t="shared" si="102"/>
        <v/>
      </c>
      <c r="AY226" s="95" t="s">
        <v>56</v>
      </c>
      <c r="AZ226" s="96">
        <v>61.195</v>
      </c>
      <c r="BA226" s="96"/>
      <c r="BB226" s="96">
        <v>84.5</v>
      </c>
      <c r="BC226" s="96"/>
      <c r="BD226" s="97">
        <v>130</v>
      </c>
      <c r="BE226" s="142">
        <f t="shared" si="103"/>
        <v>290</v>
      </c>
      <c r="BF226" s="98">
        <v>290</v>
      </c>
      <c r="BG226" s="98">
        <v>0</v>
      </c>
      <c r="BH226" s="98">
        <v>0</v>
      </c>
      <c r="BI226" s="98">
        <v>0</v>
      </c>
      <c r="BJ226" s="98"/>
      <c r="BK226" s="98"/>
      <c r="BL226" s="97"/>
    </row>
    <row r="227" spans="1:64" outlineLevel="5" x14ac:dyDescent="0.3">
      <c r="A227" s="152">
        <f t="shared" si="75"/>
        <v>7</v>
      </c>
      <c r="B227" s="153">
        <f t="shared" si="104"/>
        <v>44382</v>
      </c>
      <c r="C227" s="138">
        <f t="shared" si="94"/>
        <v>39</v>
      </c>
      <c r="D227" s="84">
        <v>39</v>
      </c>
      <c r="E227" s="84">
        <v>39</v>
      </c>
      <c r="F227" s="84"/>
      <c r="G227" s="84"/>
      <c r="H227" s="84"/>
      <c r="I227" s="84"/>
      <c r="J227" s="84"/>
      <c r="K227" s="84"/>
      <c r="L227" s="140">
        <f t="shared" si="95"/>
        <v>7.7</v>
      </c>
      <c r="M227" s="86">
        <v>7.71</v>
      </c>
      <c r="N227" s="86">
        <v>7.64</v>
      </c>
      <c r="O227" s="86"/>
      <c r="P227" s="86"/>
      <c r="Q227" s="86"/>
      <c r="R227" s="86"/>
      <c r="S227" s="86"/>
      <c r="T227" s="86"/>
      <c r="U227" s="142">
        <f t="shared" si="96"/>
        <v>2090</v>
      </c>
      <c r="V227" s="88">
        <v>2290</v>
      </c>
      <c r="W227" s="88">
        <v>1890</v>
      </c>
      <c r="X227" s="88"/>
      <c r="Y227" s="88"/>
      <c r="Z227" s="88"/>
      <c r="AA227" s="88"/>
      <c r="AB227" s="88"/>
      <c r="AC227" s="88"/>
      <c r="AD227" s="142" t="str">
        <f t="shared" si="97"/>
        <v/>
      </c>
      <c r="AE227" s="88"/>
      <c r="AF227" s="88"/>
      <c r="AG227" s="88"/>
      <c r="AH227" s="88"/>
      <c r="AI227" s="88"/>
      <c r="AJ227" s="88"/>
      <c r="AK227" s="88"/>
      <c r="AL227" s="88"/>
      <c r="AM227" s="88">
        <v>37.802338619253561</v>
      </c>
      <c r="AN227" s="88">
        <v>124.86</v>
      </c>
      <c r="AO227" s="89"/>
      <c r="AP227" s="90"/>
      <c r="AQ227" s="146" t="str">
        <f t="shared" si="98"/>
        <v/>
      </c>
      <c r="AR227" s="146" t="str">
        <f t="shared" si="99"/>
        <v/>
      </c>
      <c r="AS227" s="147">
        <v>40</v>
      </c>
      <c r="AT227" s="148">
        <v>15.4</v>
      </c>
      <c r="AU227" s="149">
        <v>8.8000000000000007</v>
      </c>
      <c r="AV227" s="146">
        <f t="shared" si="100"/>
        <v>57.142857142857153</v>
      </c>
      <c r="AW227" s="146">
        <f t="shared" si="101"/>
        <v>42.857142857142847</v>
      </c>
      <c r="AX227" s="168" t="str">
        <f t="shared" si="102"/>
        <v/>
      </c>
      <c r="AY227" s="95">
        <v>70.900000000000006</v>
      </c>
      <c r="AZ227" s="96">
        <v>62.564999999999998</v>
      </c>
      <c r="BA227" s="96"/>
      <c r="BB227" s="96">
        <v>87</v>
      </c>
      <c r="BC227" s="96"/>
      <c r="BD227" s="97">
        <v>124.86</v>
      </c>
      <c r="BE227" s="142">
        <f t="shared" si="103"/>
        <v>1373</v>
      </c>
      <c r="BF227" s="98">
        <v>0</v>
      </c>
      <c r="BG227" s="98">
        <v>0</v>
      </c>
      <c r="BH227" s="98">
        <v>5</v>
      </c>
      <c r="BI227" s="98">
        <v>1368</v>
      </c>
      <c r="BJ227" s="98"/>
      <c r="BK227" s="98"/>
      <c r="BL227" s="97"/>
    </row>
    <row r="228" spans="1:64" outlineLevel="5" x14ac:dyDescent="0.3">
      <c r="A228" s="152">
        <f t="shared" si="75"/>
        <v>7</v>
      </c>
      <c r="B228" s="153">
        <f t="shared" si="104"/>
        <v>44383</v>
      </c>
      <c r="C228" s="138">
        <f t="shared" si="94"/>
        <v>39</v>
      </c>
      <c r="D228" s="84">
        <v>39</v>
      </c>
      <c r="E228" s="84">
        <v>39</v>
      </c>
      <c r="F228" s="84"/>
      <c r="G228" s="84"/>
      <c r="H228" s="84"/>
      <c r="I228" s="84"/>
      <c r="J228" s="84"/>
      <c r="K228" s="84"/>
      <c r="L228" s="140" t="str">
        <f t="shared" si="95"/>
        <v/>
      </c>
      <c r="M228" s="86" t="s">
        <v>56</v>
      </c>
      <c r="N228" s="86" t="s">
        <v>56</v>
      </c>
      <c r="O228" s="86"/>
      <c r="P228" s="86"/>
      <c r="Q228" s="86"/>
      <c r="R228" s="86"/>
      <c r="S228" s="86"/>
      <c r="T228" s="86"/>
      <c r="U228" s="142" t="str">
        <f t="shared" si="96"/>
        <v/>
      </c>
      <c r="V228" s="88" t="s">
        <v>56</v>
      </c>
      <c r="W228" s="88" t="s">
        <v>56</v>
      </c>
      <c r="X228" s="88"/>
      <c r="Y228" s="88"/>
      <c r="Z228" s="88"/>
      <c r="AA228" s="88"/>
      <c r="AB228" s="88"/>
      <c r="AC228" s="88"/>
      <c r="AD228" s="142" t="str">
        <f t="shared" si="97"/>
        <v/>
      </c>
      <c r="AE228" s="88"/>
      <c r="AF228" s="88"/>
      <c r="AG228" s="88"/>
      <c r="AH228" s="88"/>
      <c r="AI228" s="88"/>
      <c r="AJ228" s="88"/>
      <c r="AK228" s="88"/>
      <c r="AL228" s="88"/>
      <c r="AM228" s="88">
        <v>39.034072113794245</v>
      </c>
      <c r="AN228" s="88">
        <v>120.92</v>
      </c>
      <c r="AO228" s="89" t="s">
        <v>56</v>
      </c>
      <c r="AP228" s="90" t="s">
        <v>56</v>
      </c>
      <c r="AQ228" s="146" t="str">
        <f t="shared" si="98"/>
        <v/>
      </c>
      <c r="AR228" s="146" t="str">
        <f t="shared" si="99"/>
        <v/>
      </c>
      <c r="AS228" s="147">
        <v>40</v>
      </c>
      <c r="AT228" s="148" t="s">
        <v>56</v>
      </c>
      <c r="AU228" s="149" t="s">
        <v>56</v>
      </c>
      <c r="AV228" s="146" t="str">
        <f t="shared" si="100"/>
        <v/>
      </c>
      <c r="AW228" s="146" t="str">
        <f t="shared" si="101"/>
        <v/>
      </c>
      <c r="AX228" s="168" t="str">
        <f t="shared" si="102"/>
        <v/>
      </c>
      <c r="AY228" s="95" t="s">
        <v>56</v>
      </c>
      <c r="AZ228" s="96">
        <v>60.965000000000003</v>
      </c>
      <c r="BA228" s="96"/>
      <c r="BB228" s="96">
        <v>87.5</v>
      </c>
      <c r="BC228" s="96"/>
      <c r="BD228" s="97">
        <v>120.92</v>
      </c>
      <c r="BE228" s="142">
        <f t="shared" si="103"/>
        <v>5497</v>
      </c>
      <c r="BF228" s="98">
        <v>142</v>
      </c>
      <c r="BG228" s="98">
        <v>0</v>
      </c>
      <c r="BH228" s="98">
        <v>10</v>
      </c>
      <c r="BI228" s="98">
        <v>5345</v>
      </c>
      <c r="BJ228" s="98"/>
      <c r="BK228" s="98"/>
      <c r="BL228" s="97"/>
    </row>
    <row r="229" spans="1:64" outlineLevel="5" x14ac:dyDescent="0.3">
      <c r="A229" s="152">
        <f t="shared" si="75"/>
        <v>7</v>
      </c>
      <c r="B229" s="153">
        <f t="shared" si="104"/>
        <v>44384</v>
      </c>
      <c r="C229" s="138">
        <f t="shared" si="94"/>
        <v>39</v>
      </c>
      <c r="D229" s="84">
        <v>39</v>
      </c>
      <c r="E229" s="84">
        <v>39</v>
      </c>
      <c r="F229" s="84"/>
      <c r="G229" s="84"/>
      <c r="H229" s="84"/>
      <c r="I229" s="84"/>
      <c r="J229" s="84"/>
      <c r="K229" s="84"/>
      <c r="L229" s="140">
        <f t="shared" si="95"/>
        <v>7.7</v>
      </c>
      <c r="M229" s="86">
        <v>7.72</v>
      </c>
      <c r="N229" s="86">
        <v>7.68</v>
      </c>
      <c r="O229" s="86"/>
      <c r="P229" s="86"/>
      <c r="Q229" s="86"/>
      <c r="R229" s="86"/>
      <c r="S229" s="86"/>
      <c r="T229" s="86"/>
      <c r="U229" s="142">
        <f t="shared" si="96"/>
        <v>1448.5</v>
      </c>
      <c r="V229" s="88">
        <v>1686</v>
      </c>
      <c r="W229" s="88">
        <v>1211</v>
      </c>
      <c r="X229" s="88"/>
      <c r="Y229" s="88"/>
      <c r="Z229" s="88"/>
      <c r="AA229" s="88"/>
      <c r="AB229" s="88"/>
      <c r="AC229" s="88"/>
      <c r="AD229" s="142" t="str">
        <f t="shared" si="97"/>
        <v/>
      </c>
      <c r="AE229" s="88"/>
      <c r="AF229" s="88"/>
      <c r="AG229" s="88"/>
      <c r="AH229" s="88"/>
      <c r="AI229" s="88"/>
      <c r="AJ229" s="88"/>
      <c r="AK229" s="88"/>
      <c r="AL229" s="88"/>
      <c r="AM229" s="88">
        <v>38.799835593916974</v>
      </c>
      <c r="AN229" s="88">
        <v>121.65</v>
      </c>
      <c r="AO229" s="89" t="s">
        <v>56</v>
      </c>
      <c r="AP229" s="90" t="s">
        <v>56</v>
      </c>
      <c r="AQ229" s="146" t="str">
        <f t="shared" si="98"/>
        <v/>
      </c>
      <c r="AR229" s="146" t="str">
        <f t="shared" si="99"/>
        <v/>
      </c>
      <c r="AS229" s="147">
        <v>40</v>
      </c>
      <c r="AT229" s="148">
        <v>18.649999999999999</v>
      </c>
      <c r="AU229" s="149">
        <v>10.3</v>
      </c>
      <c r="AV229" s="146">
        <f t="shared" si="100"/>
        <v>55.227882037533519</v>
      </c>
      <c r="AW229" s="146">
        <f t="shared" si="101"/>
        <v>44.772117962466481</v>
      </c>
      <c r="AX229" s="168" t="str">
        <f t="shared" si="102"/>
        <v/>
      </c>
      <c r="AY229" s="95">
        <v>76.900000000000006</v>
      </c>
      <c r="AZ229" s="96">
        <v>60.584999999999994</v>
      </c>
      <c r="BA229" s="96"/>
      <c r="BB229" s="96">
        <v>61.5</v>
      </c>
      <c r="BC229" s="96"/>
      <c r="BD229" s="97">
        <v>121.65</v>
      </c>
      <c r="BE229" s="142">
        <f t="shared" si="103"/>
        <v>5775</v>
      </c>
      <c r="BF229" s="98">
        <v>65</v>
      </c>
      <c r="BG229" s="98">
        <v>0</v>
      </c>
      <c r="BH229" s="98">
        <v>0</v>
      </c>
      <c r="BI229" s="98">
        <v>5710</v>
      </c>
      <c r="BJ229" s="98"/>
      <c r="BK229" s="98"/>
      <c r="BL229" s="97"/>
    </row>
    <row r="230" spans="1:64" outlineLevel="5" x14ac:dyDescent="0.3">
      <c r="A230" s="152">
        <f t="shared" si="75"/>
        <v>7</v>
      </c>
      <c r="B230" s="153">
        <f t="shared" si="104"/>
        <v>44385</v>
      </c>
      <c r="C230" s="138">
        <f t="shared" si="94"/>
        <v>38</v>
      </c>
      <c r="D230" s="84">
        <v>38</v>
      </c>
      <c r="E230" s="84">
        <v>38</v>
      </c>
      <c r="F230" s="84"/>
      <c r="G230" s="84"/>
      <c r="H230" s="84"/>
      <c r="I230" s="84"/>
      <c r="J230" s="84"/>
      <c r="K230" s="84"/>
      <c r="L230" s="140">
        <f t="shared" si="95"/>
        <v>7.7</v>
      </c>
      <c r="M230" s="86">
        <v>7.72</v>
      </c>
      <c r="N230" s="86">
        <v>7.64</v>
      </c>
      <c r="O230" s="86"/>
      <c r="P230" s="86"/>
      <c r="Q230" s="86"/>
      <c r="R230" s="86"/>
      <c r="S230" s="86"/>
      <c r="T230" s="86"/>
      <c r="U230" s="142">
        <f t="shared" si="96"/>
        <v>1686.5</v>
      </c>
      <c r="V230" s="88">
        <v>1730</v>
      </c>
      <c r="W230" s="88">
        <v>1643</v>
      </c>
      <c r="X230" s="88"/>
      <c r="Y230" s="88"/>
      <c r="Z230" s="88"/>
      <c r="AA230" s="88"/>
      <c r="AB230" s="88"/>
      <c r="AC230" s="88"/>
      <c r="AD230" s="142" t="str">
        <f t="shared" si="97"/>
        <v/>
      </c>
      <c r="AE230" s="88"/>
      <c r="AF230" s="88"/>
      <c r="AG230" s="88"/>
      <c r="AH230" s="88"/>
      <c r="AI230" s="88"/>
      <c r="AJ230" s="88"/>
      <c r="AK230" s="88"/>
      <c r="AL230" s="88"/>
      <c r="AM230" s="88">
        <v>35.90718904526436</v>
      </c>
      <c r="AN230" s="88">
        <v>131.44999999999999</v>
      </c>
      <c r="AO230" s="89" t="s">
        <v>56</v>
      </c>
      <c r="AP230" s="90" t="s">
        <v>56</v>
      </c>
      <c r="AQ230" s="146" t="str">
        <f t="shared" si="98"/>
        <v/>
      </c>
      <c r="AR230" s="146" t="str">
        <f t="shared" si="99"/>
        <v/>
      </c>
      <c r="AS230" s="147">
        <v>40</v>
      </c>
      <c r="AT230" s="148">
        <v>16.600000000000001</v>
      </c>
      <c r="AU230" s="149">
        <v>7.75</v>
      </c>
      <c r="AV230" s="146">
        <f t="shared" si="100"/>
        <v>46.686746987951807</v>
      </c>
      <c r="AW230" s="146">
        <f t="shared" si="101"/>
        <v>53.313253012048193</v>
      </c>
      <c r="AX230" s="168" t="str">
        <f t="shared" si="102"/>
        <v/>
      </c>
      <c r="AY230" s="95">
        <v>70.599999999999994</v>
      </c>
      <c r="AZ230" s="96">
        <v>59.695</v>
      </c>
      <c r="BA230" s="96"/>
      <c r="BB230" s="96">
        <v>82.5</v>
      </c>
      <c r="BC230" s="96"/>
      <c r="BD230" s="97">
        <v>131.44999999999999</v>
      </c>
      <c r="BE230" s="142">
        <f t="shared" si="103"/>
        <v>5842</v>
      </c>
      <c r="BF230" s="98">
        <v>0</v>
      </c>
      <c r="BG230" s="98">
        <v>0</v>
      </c>
      <c r="BH230" s="98">
        <v>0</v>
      </c>
      <c r="BI230" s="98">
        <v>5842</v>
      </c>
      <c r="BJ230" s="98"/>
      <c r="BK230" s="98"/>
      <c r="BL230" s="97"/>
    </row>
    <row r="231" spans="1:64" outlineLevel="5" x14ac:dyDescent="0.3">
      <c r="A231" s="152">
        <f t="shared" si="75"/>
        <v>7</v>
      </c>
      <c r="B231" s="153">
        <f t="shared" si="104"/>
        <v>44386</v>
      </c>
      <c r="C231" s="138">
        <f t="shared" si="94"/>
        <v>38</v>
      </c>
      <c r="D231" s="84">
        <v>38</v>
      </c>
      <c r="E231" s="84">
        <v>38</v>
      </c>
      <c r="F231" s="84"/>
      <c r="G231" s="84"/>
      <c r="H231" s="84"/>
      <c r="I231" s="84"/>
      <c r="J231" s="84"/>
      <c r="K231" s="84"/>
      <c r="L231" s="140" t="str">
        <f t="shared" si="95"/>
        <v/>
      </c>
      <c r="M231" s="86" t="s">
        <v>56</v>
      </c>
      <c r="N231" s="86" t="s">
        <v>56</v>
      </c>
      <c r="O231" s="86"/>
      <c r="P231" s="86"/>
      <c r="Q231" s="86"/>
      <c r="R231" s="86"/>
      <c r="S231" s="86"/>
      <c r="T231" s="86"/>
      <c r="U231" s="142" t="str">
        <f t="shared" si="96"/>
        <v/>
      </c>
      <c r="V231" s="88" t="s">
        <v>56</v>
      </c>
      <c r="W231" s="88" t="s">
        <v>56</v>
      </c>
      <c r="X231" s="88"/>
      <c r="Y231" s="88"/>
      <c r="Z231" s="88"/>
      <c r="AA231" s="88"/>
      <c r="AB231" s="88"/>
      <c r="AC231" s="88"/>
      <c r="AD231" s="142" t="str">
        <f t="shared" si="97"/>
        <v/>
      </c>
      <c r="AE231" s="88"/>
      <c r="AF231" s="88"/>
      <c r="AG231" s="88"/>
      <c r="AH231" s="88"/>
      <c r="AI231" s="88"/>
      <c r="AJ231" s="88"/>
      <c r="AK231" s="88"/>
      <c r="AL231" s="88"/>
      <c r="AM231" s="88">
        <v>39.580712788259959</v>
      </c>
      <c r="AN231" s="88">
        <v>119.25</v>
      </c>
      <c r="AO231" s="89" t="s">
        <v>56</v>
      </c>
      <c r="AP231" s="90" t="s">
        <v>56</v>
      </c>
      <c r="AQ231" s="146" t="str">
        <f t="shared" si="98"/>
        <v/>
      </c>
      <c r="AR231" s="146" t="str">
        <f t="shared" si="99"/>
        <v/>
      </c>
      <c r="AS231" s="147">
        <v>20</v>
      </c>
      <c r="AT231" s="148" t="s">
        <v>56</v>
      </c>
      <c r="AU231" s="149" t="s">
        <v>56</v>
      </c>
      <c r="AV231" s="146" t="str">
        <f t="shared" si="100"/>
        <v/>
      </c>
      <c r="AW231" s="146" t="str">
        <f t="shared" si="101"/>
        <v/>
      </c>
      <c r="AX231" s="168" t="str">
        <f t="shared" si="102"/>
        <v/>
      </c>
      <c r="AY231" s="95" t="s">
        <v>56</v>
      </c>
      <c r="AZ231" s="96">
        <v>60.594999999999999</v>
      </c>
      <c r="BA231" s="96"/>
      <c r="BB231" s="96">
        <v>37</v>
      </c>
      <c r="BC231" s="96"/>
      <c r="BD231" s="97">
        <v>119.25</v>
      </c>
      <c r="BE231" s="142">
        <f t="shared" si="103"/>
        <v>5989</v>
      </c>
      <c r="BF231" s="98">
        <v>76</v>
      </c>
      <c r="BG231" s="98">
        <v>0</v>
      </c>
      <c r="BH231" s="98">
        <v>363</v>
      </c>
      <c r="BI231" s="98">
        <v>5550</v>
      </c>
      <c r="BJ231" s="98"/>
      <c r="BK231" s="98"/>
      <c r="BL231" s="97"/>
    </row>
    <row r="232" spans="1:64" outlineLevel="5" x14ac:dyDescent="0.3">
      <c r="A232" s="152">
        <f t="shared" si="75"/>
        <v>7</v>
      </c>
      <c r="B232" s="153">
        <f t="shared" si="104"/>
        <v>44387</v>
      </c>
      <c r="C232" s="138">
        <f t="shared" si="94"/>
        <v>38</v>
      </c>
      <c r="D232" s="84">
        <v>38</v>
      </c>
      <c r="E232" s="84">
        <v>38</v>
      </c>
      <c r="F232" s="84"/>
      <c r="G232" s="84"/>
      <c r="H232" s="84"/>
      <c r="I232" s="84"/>
      <c r="J232" s="84"/>
      <c r="K232" s="84"/>
      <c r="L232" s="140" t="str">
        <f t="shared" si="95"/>
        <v/>
      </c>
      <c r="M232" s="86"/>
      <c r="N232" s="86"/>
      <c r="O232" s="86"/>
      <c r="P232" s="86"/>
      <c r="Q232" s="86"/>
      <c r="R232" s="86"/>
      <c r="S232" s="86"/>
      <c r="T232" s="86"/>
      <c r="U232" s="142" t="str">
        <f t="shared" si="96"/>
        <v/>
      </c>
      <c r="V232" s="88"/>
      <c r="W232" s="88"/>
      <c r="X232" s="88"/>
      <c r="Y232" s="88"/>
      <c r="Z232" s="88"/>
      <c r="AA232" s="88"/>
      <c r="AB232" s="88"/>
      <c r="AC232" s="88"/>
      <c r="AD232" s="142" t="str">
        <f t="shared" si="97"/>
        <v/>
      </c>
      <c r="AE232" s="88"/>
      <c r="AF232" s="88"/>
      <c r="AG232" s="88"/>
      <c r="AH232" s="88"/>
      <c r="AI232" s="88"/>
      <c r="AJ232" s="88"/>
      <c r="AK232" s="88"/>
      <c r="AL232" s="88"/>
      <c r="AM232" s="88">
        <v>33.47280334728034</v>
      </c>
      <c r="AN232" s="88">
        <v>141.01</v>
      </c>
      <c r="AO232" s="89"/>
      <c r="AP232" s="90"/>
      <c r="AQ232" s="146" t="str">
        <f t="shared" si="98"/>
        <v/>
      </c>
      <c r="AR232" s="146" t="str">
        <f t="shared" si="99"/>
        <v/>
      </c>
      <c r="AS232" s="147">
        <v>10</v>
      </c>
      <c r="AT232" s="148" t="s">
        <v>56</v>
      </c>
      <c r="AU232" s="149" t="s">
        <v>56</v>
      </c>
      <c r="AV232" s="146" t="str">
        <f t="shared" si="100"/>
        <v/>
      </c>
      <c r="AW232" s="146" t="str">
        <f t="shared" si="101"/>
        <v/>
      </c>
      <c r="AX232" s="168" t="str">
        <f t="shared" si="102"/>
        <v/>
      </c>
      <c r="AY232" s="95" t="s">
        <v>56</v>
      </c>
      <c r="AZ232" s="96">
        <v>62.019999999999996</v>
      </c>
      <c r="BA232" s="96"/>
      <c r="BB232" s="96">
        <v>65.5</v>
      </c>
      <c r="BC232" s="96"/>
      <c r="BD232" s="97">
        <v>141.01</v>
      </c>
      <c r="BE232" s="142">
        <f t="shared" si="103"/>
        <v>8559</v>
      </c>
      <c r="BF232" s="98">
        <v>0</v>
      </c>
      <c r="BG232" s="98">
        <v>0</v>
      </c>
      <c r="BH232" s="98">
        <v>4557</v>
      </c>
      <c r="BI232" s="98">
        <v>4002</v>
      </c>
      <c r="BJ232" s="98"/>
      <c r="BK232" s="98"/>
      <c r="BL232" s="97"/>
    </row>
    <row r="233" spans="1:64" outlineLevel="5" x14ac:dyDescent="0.3">
      <c r="A233" s="152">
        <f t="shared" si="75"/>
        <v>7</v>
      </c>
      <c r="B233" s="153">
        <f t="shared" si="104"/>
        <v>44388</v>
      </c>
      <c r="C233" s="138">
        <f t="shared" si="94"/>
        <v>38</v>
      </c>
      <c r="D233" s="84">
        <v>38</v>
      </c>
      <c r="E233" s="84">
        <v>38</v>
      </c>
      <c r="F233" s="84"/>
      <c r="G233" s="84"/>
      <c r="H233" s="84"/>
      <c r="I233" s="84"/>
      <c r="J233" s="84"/>
      <c r="K233" s="84"/>
      <c r="L233" s="140" t="str">
        <f t="shared" si="95"/>
        <v/>
      </c>
      <c r="M233" s="86"/>
      <c r="N233" s="86"/>
      <c r="O233" s="86"/>
      <c r="P233" s="86"/>
      <c r="Q233" s="86"/>
      <c r="R233" s="86"/>
      <c r="S233" s="86"/>
      <c r="T233" s="86"/>
      <c r="U233" s="142" t="str">
        <f t="shared" si="96"/>
        <v/>
      </c>
      <c r="V233" s="88"/>
      <c r="W233" s="88"/>
      <c r="X233" s="88"/>
      <c r="Y233" s="88"/>
      <c r="Z233" s="88"/>
      <c r="AA233" s="88"/>
      <c r="AB233" s="88"/>
      <c r="AC233" s="88"/>
      <c r="AD233" s="142" t="str">
        <f t="shared" si="97"/>
        <v/>
      </c>
      <c r="AE233" s="88"/>
      <c r="AF233" s="88"/>
      <c r="AG233" s="88"/>
      <c r="AH233" s="88"/>
      <c r="AI233" s="88"/>
      <c r="AJ233" s="88"/>
      <c r="AK233" s="88"/>
      <c r="AL233" s="88"/>
      <c r="AM233" s="88">
        <v>47.2</v>
      </c>
      <c r="AN233" s="88">
        <v>100</v>
      </c>
      <c r="AO233" s="89"/>
      <c r="AP233" s="90"/>
      <c r="AQ233" s="146" t="str">
        <f t="shared" si="98"/>
        <v/>
      </c>
      <c r="AR233" s="146" t="str">
        <f t="shared" si="99"/>
        <v/>
      </c>
      <c r="AS233" s="147">
        <v>10</v>
      </c>
      <c r="AT233" s="148" t="s">
        <v>56</v>
      </c>
      <c r="AU233" s="149" t="s">
        <v>56</v>
      </c>
      <c r="AV233" s="146" t="str">
        <f t="shared" si="100"/>
        <v/>
      </c>
      <c r="AW233" s="146" t="str">
        <f t="shared" si="101"/>
        <v/>
      </c>
      <c r="AX233" s="168" t="str">
        <f t="shared" si="102"/>
        <v/>
      </c>
      <c r="AY233" s="95" t="s">
        <v>56</v>
      </c>
      <c r="AZ233" s="96">
        <v>60.435000000000002</v>
      </c>
      <c r="BA233" s="96"/>
      <c r="BB233" s="96">
        <v>56</v>
      </c>
      <c r="BC233" s="96"/>
      <c r="BD233" s="97">
        <v>100</v>
      </c>
      <c r="BE233" s="142">
        <f t="shared" si="103"/>
        <v>5447</v>
      </c>
      <c r="BF233" s="98">
        <v>0</v>
      </c>
      <c r="BG233" s="98">
        <v>0</v>
      </c>
      <c r="BH233" s="98">
        <v>666</v>
      </c>
      <c r="BI233" s="98">
        <v>4781</v>
      </c>
      <c r="BJ233" s="98"/>
      <c r="BK233" s="98"/>
      <c r="BL233" s="97"/>
    </row>
    <row r="234" spans="1:64" outlineLevel="5" x14ac:dyDescent="0.3">
      <c r="A234" s="152">
        <f t="shared" si="75"/>
        <v>7</v>
      </c>
      <c r="B234" s="153">
        <f t="shared" si="104"/>
        <v>44389</v>
      </c>
      <c r="C234" s="138">
        <f t="shared" si="94"/>
        <v>38</v>
      </c>
      <c r="D234" s="84">
        <v>38</v>
      </c>
      <c r="E234" s="84">
        <v>38</v>
      </c>
      <c r="F234" s="84"/>
      <c r="G234" s="84"/>
      <c r="H234" s="84"/>
      <c r="I234" s="84"/>
      <c r="J234" s="84"/>
      <c r="K234" s="84"/>
      <c r="L234" s="140">
        <f t="shared" si="95"/>
        <v>7.7</v>
      </c>
      <c r="M234" s="86">
        <v>7.75</v>
      </c>
      <c r="N234" s="86">
        <v>7.68</v>
      </c>
      <c r="O234" s="86"/>
      <c r="P234" s="86"/>
      <c r="Q234" s="86"/>
      <c r="R234" s="86"/>
      <c r="S234" s="86"/>
      <c r="T234" s="86"/>
      <c r="U234" s="142">
        <f t="shared" si="96"/>
        <v>1146</v>
      </c>
      <c r="V234" s="88">
        <v>908</v>
      </c>
      <c r="W234" s="88">
        <v>1384</v>
      </c>
      <c r="X234" s="88"/>
      <c r="Y234" s="88"/>
      <c r="Z234" s="88"/>
      <c r="AA234" s="88"/>
      <c r="AB234" s="88"/>
      <c r="AC234" s="88"/>
      <c r="AD234" s="142" t="str">
        <f t="shared" si="97"/>
        <v/>
      </c>
      <c r="AE234" s="88"/>
      <c r="AF234" s="88"/>
      <c r="AG234" s="88"/>
      <c r="AH234" s="88"/>
      <c r="AI234" s="88"/>
      <c r="AJ234" s="88"/>
      <c r="AK234" s="88"/>
      <c r="AL234" s="88"/>
      <c r="AM234" s="88">
        <v>40.862263007531816</v>
      </c>
      <c r="AN234" s="88">
        <v>115.51</v>
      </c>
      <c r="AO234" s="89">
        <v>14.4</v>
      </c>
      <c r="AP234" s="90">
        <v>12.340800000000002</v>
      </c>
      <c r="AQ234" s="146">
        <f t="shared" si="98"/>
        <v>85.7</v>
      </c>
      <c r="AR234" s="146">
        <f t="shared" si="99"/>
        <v>14.299999999999997</v>
      </c>
      <c r="AS234" s="147">
        <v>40</v>
      </c>
      <c r="AT234" s="148">
        <v>15.649999999999999</v>
      </c>
      <c r="AU234" s="149">
        <v>9.0500000000000007</v>
      </c>
      <c r="AV234" s="146">
        <f t="shared" si="100"/>
        <v>57.827476038338666</v>
      </c>
      <c r="AW234" s="146">
        <f t="shared" si="101"/>
        <v>42.172523961661334</v>
      </c>
      <c r="AX234" s="168">
        <f t="shared" si="102"/>
        <v>77.11979774406845</v>
      </c>
      <c r="AY234" s="95">
        <v>76.75</v>
      </c>
      <c r="AZ234" s="96">
        <v>61.055</v>
      </c>
      <c r="BA234" s="96"/>
      <c r="BB234" s="96">
        <v>65</v>
      </c>
      <c r="BC234" s="96"/>
      <c r="BD234" s="97">
        <v>115.51</v>
      </c>
      <c r="BE234" s="142">
        <f t="shared" si="103"/>
        <v>8142</v>
      </c>
      <c r="BF234" s="98">
        <v>0</v>
      </c>
      <c r="BG234" s="98">
        <v>0</v>
      </c>
      <c r="BH234" s="98">
        <v>2704</v>
      </c>
      <c r="BI234" s="98">
        <v>5438</v>
      </c>
      <c r="BJ234" s="98"/>
      <c r="BK234" s="98"/>
      <c r="BL234" s="97"/>
    </row>
    <row r="235" spans="1:64" outlineLevel="5" x14ac:dyDescent="0.3">
      <c r="A235" s="152">
        <f t="shared" ref="A235:A306" si="105">MONTH(B235)</f>
        <v>7</v>
      </c>
      <c r="B235" s="153">
        <f t="shared" si="104"/>
        <v>44390</v>
      </c>
      <c r="C235" s="138">
        <f t="shared" si="94"/>
        <v>38</v>
      </c>
      <c r="D235" s="84">
        <v>38</v>
      </c>
      <c r="E235" s="84">
        <v>38</v>
      </c>
      <c r="F235" s="84"/>
      <c r="G235" s="84"/>
      <c r="H235" s="84"/>
      <c r="I235" s="84"/>
      <c r="J235" s="84"/>
      <c r="K235" s="84"/>
      <c r="L235" s="140" t="str">
        <f t="shared" si="95"/>
        <v/>
      </c>
      <c r="M235" s="86" t="s">
        <v>56</v>
      </c>
      <c r="N235" s="86" t="s">
        <v>56</v>
      </c>
      <c r="O235" s="86"/>
      <c r="P235" s="86"/>
      <c r="Q235" s="86"/>
      <c r="R235" s="86"/>
      <c r="S235" s="86"/>
      <c r="T235" s="86"/>
      <c r="U235" s="142" t="str">
        <f t="shared" si="96"/>
        <v/>
      </c>
      <c r="V235" s="88" t="s">
        <v>56</v>
      </c>
      <c r="W235" s="88" t="s">
        <v>56</v>
      </c>
      <c r="X235" s="88"/>
      <c r="Y235" s="88"/>
      <c r="Z235" s="88"/>
      <c r="AA235" s="88"/>
      <c r="AB235" s="88"/>
      <c r="AC235" s="88"/>
      <c r="AD235" s="142" t="str">
        <f t="shared" si="97"/>
        <v/>
      </c>
      <c r="AE235" s="88"/>
      <c r="AF235" s="88"/>
      <c r="AG235" s="88"/>
      <c r="AH235" s="88"/>
      <c r="AI235" s="88"/>
      <c r="AJ235" s="88"/>
      <c r="AK235" s="88"/>
      <c r="AL235" s="88"/>
      <c r="AM235" s="88">
        <v>36.935597464590344</v>
      </c>
      <c r="AN235" s="88">
        <v>127.78999999999999</v>
      </c>
      <c r="AO235" s="89" t="s">
        <v>56</v>
      </c>
      <c r="AP235" s="90" t="s">
        <v>56</v>
      </c>
      <c r="AQ235" s="146" t="str">
        <f t="shared" si="98"/>
        <v/>
      </c>
      <c r="AR235" s="146" t="str">
        <f t="shared" si="99"/>
        <v/>
      </c>
      <c r="AS235" s="147">
        <v>40</v>
      </c>
      <c r="AT235" s="148" t="s">
        <v>56</v>
      </c>
      <c r="AU235" s="149" t="s">
        <v>56</v>
      </c>
      <c r="AV235" s="146" t="str">
        <f t="shared" si="100"/>
        <v/>
      </c>
      <c r="AW235" s="146" t="str">
        <f t="shared" si="101"/>
        <v/>
      </c>
      <c r="AX235" s="168" t="str">
        <f t="shared" si="102"/>
        <v/>
      </c>
      <c r="AY235" s="95" t="s">
        <v>56</v>
      </c>
      <c r="AZ235" s="96">
        <v>62.064999999999998</v>
      </c>
      <c r="BA235" s="96"/>
      <c r="BB235" s="96">
        <v>67.5</v>
      </c>
      <c r="BC235" s="96"/>
      <c r="BD235" s="97">
        <v>127.78999999999999</v>
      </c>
      <c r="BE235" s="142">
        <f t="shared" si="103"/>
        <v>6938</v>
      </c>
      <c r="BF235" s="98">
        <v>0</v>
      </c>
      <c r="BG235" s="98">
        <v>0</v>
      </c>
      <c r="BH235" s="98">
        <v>1191</v>
      </c>
      <c r="BI235" s="98">
        <v>5747</v>
      </c>
      <c r="BJ235" s="98"/>
      <c r="BK235" s="98"/>
      <c r="BL235" s="97"/>
    </row>
    <row r="236" spans="1:64" outlineLevel="5" x14ac:dyDescent="0.3">
      <c r="A236" s="152">
        <f t="shared" si="105"/>
        <v>7</v>
      </c>
      <c r="B236" s="153">
        <f t="shared" si="104"/>
        <v>44391</v>
      </c>
      <c r="C236" s="138">
        <f t="shared" si="94"/>
        <v>37.5</v>
      </c>
      <c r="D236" s="84">
        <v>38</v>
      </c>
      <c r="E236" s="84">
        <v>37</v>
      </c>
      <c r="F236" s="84"/>
      <c r="G236" s="84"/>
      <c r="H236" s="84"/>
      <c r="I236" s="84"/>
      <c r="J236" s="84"/>
      <c r="K236" s="84"/>
      <c r="L236" s="140">
        <f t="shared" si="95"/>
        <v>7.7</v>
      </c>
      <c r="M236" s="86">
        <v>7.72</v>
      </c>
      <c r="N236" s="86">
        <v>7.6</v>
      </c>
      <c r="O236" s="86"/>
      <c r="P236" s="86"/>
      <c r="Q236" s="86"/>
      <c r="R236" s="86"/>
      <c r="S236" s="86"/>
      <c r="T236" s="86"/>
      <c r="U236" s="142">
        <f t="shared" si="96"/>
        <v>1468.5</v>
      </c>
      <c r="V236" s="88">
        <v>1568</v>
      </c>
      <c r="W236" s="88">
        <v>1369</v>
      </c>
      <c r="X236" s="88"/>
      <c r="Y236" s="88"/>
      <c r="Z236" s="88"/>
      <c r="AA236" s="88"/>
      <c r="AB236" s="88"/>
      <c r="AC236" s="88"/>
      <c r="AD236" s="142" t="str">
        <f t="shared" si="97"/>
        <v/>
      </c>
      <c r="AE236" s="88"/>
      <c r="AF236" s="88"/>
      <c r="AG236" s="88"/>
      <c r="AH236" s="88"/>
      <c r="AI236" s="88"/>
      <c r="AJ236" s="88"/>
      <c r="AK236" s="88"/>
      <c r="AL236" s="88"/>
      <c r="AM236" s="88">
        <v>33.26520544083445</v>
      </c>
      <c r="AN236" s="88">
        <v>141.88999999999999</v>
      </c>
      <c r="AO236" s="89" t="s">
        <v>56</v>
      </c>
      <c r="AP236" s="90" t="s">
        <v>56</v>
      </c>
      <c r="AQ236" s="146" t="str">
        <f t="shared" si="98"/>
        <v/>
      </c>
      <c r="AR236" s="146" t="str">
        <f t="shared" si="99"/>
        <v/>
      </c>
      <c r="AS236" s="147">
        <v>40</v>
      </c>
      <c r="AT236" s="148">
        <v>16.899999999999999</v>
      </c>
      <c r="AU236" s="149">
        <v>8.6999999999999993</v>
      </c>
      <c r="AV236" s="146">
        <f t="shared" si="100"/>
        <v>51.479289940828401</v>
      </c>
      <c r="AW236" s="146">
        <f t="shared" si="101"/>
        <v>48.520710059171599</v>
      </c>
      <c r="AX236" s="168" t="str">
        <f t="shared" si="102"/>
        <v/>
      </c>
      <c r="AY236" s="95">
        <v>75.349999999999994</v>
      </c>
      <c r="AZ236" s="96">
        <v>59.52</v>
      </c>
      <c r="BA236" s="96"/>
      <c r="BB236" s="96">
        <v>68</v>
      </c>
      <c r="BC236" s="96"/>
      <c r="BD236" s="97">
        <v>141.88999999999999</v>
      </c>
      <c r="BE236" s="142">
        <f t="shared" si="103"/>
        <v>13553</v>
      </c>
      <c r="BF236" s="98">
        <v>290</v>
      </c>
      <c r="BG236" s="98">
        <v>0</v>
      </c>
      <c r="BH236" s="98">
        <v>7573</v>
      </c>
      <c r="BI236" s="98">
        <v>5690</v>
      </c>
      <c r="BJ236" s="98"/>
      <c r="BK236" s="98"/>
      <c r="BL236" s="97"/>
    </row>
    <row r="237" spans="1:64" outlineLevel="5" x14ac:dyDescent="0.3">
      <c r="A237" s="152">
        <f t="shared" si="105"/>
        <v>7</v>
      </c>
      <c r="B237" s="153">
        <f t="shared" si="104"/>
        <v>44392</v>
      </c>
      <c r="C237" s="138">
        <f t="shared" si="94"/>
        <v>37.5</v>
      </c>
      <c r="D237" s="84">
        <v>38</v>
      </c>
      <c r="E237" s="84">
        <v>37</v>
      </c>
      <c r="F237" s="84"/>
      <c r="G237" s="84"/>
      <c r="H237" s="84"/>
      <c r="I237" s="84"/>
      <c r="J237" s="84"/>
      <c r="K237" s="84"/>
      <c r="L237" s="140" t="str">
        <f t="shared" si="95"/>
        <v/>
      </c>
      <c r="M237" s="86" t="s">
        <v>56</v>
      </c>
      <c r="N237" s="86" t="s">
        <v>56</v>
      </c>
      <c r="O237" s="86"/>
      <c r="P237" s="86"/>
      <c r="Q237" s="86"/>
      <c r="R237" s="86"/>
      <c r="S237" s="86"/>
      <c r="T237" s="86"/>
      <c r="U237" s="142" t="str">
        <f t="shared" si="96"/>
        <v/>
      </c>
      <c r="V237" s="88" t="s">
        <v>56</v>
      </c>
      <c r="W237" s="88" t="s">
        <v>56</v>
      </c>
      <c r="X237" s="88"/>
      <c r="Y237" s="88"/>
      <c r="Z237" s="88"/>
      <c r="AA237" s="88"/>
      <c r="AB237" s="88"/>
      <c r="AC237" s="88"/>
      <c r="AD237" s="142" t="str">
        <f t="shared" si="97"/>
        <v/>
      </c>
      <c r="AE237" s="88"/>
      <c r="AF237" s="88"/>
      <c r="AG237" s="88"/>
      <c r="AH237" s="88"/>
      <c r="AI237" s="88"/>
      <c r="AJ237" s="88"/>
      <c r="AK237" s="88"/>
      <c r="AL237" s="88"/>
      <c r="AM237" s="88">
        <v>33.769764613293262</v>
      </c>
      <c r="AN237" s="88">
        <v>139.77000000000001</v>
      </c>
      <c r="AO237" s="89" t="s">
        <v>56</v>
      </c>
      <c r="AP237" s="90" t="s">
        <v>56</v>
      </c>
      <c r="AQ237" s="146" t="str">
        <f t="shared" si="98"/>
        <v/>
      </c>
      <c r="AR237" s="146" t="str">
        <f t="shared" si="99"/>
        <v/>
      </c>
      <c r="AS237" s="147">
        <v>41</v>
      </c>
      <c r="AT237" s="148" t="s">
        <v>56</v>
      </c>
      <c r="AU237" s="149" t="s">
        <v>56</v>
      </c>
      <c r="AV237" s="146" t="str">
        <f t="shared" si="100"/>
        <v/>
      </c>
      <c r="AW237" s="146" t="str">
        <f t="shared" si="101"/>
        <v/>
      </c>
      <c r="AX237" s="168" t="str">
        <f t="shared" si="102"/>
        <v/>
      </c>
      <c r="AY237" s="95" t="s">
        <v>56</v>
      </c>
      <c r="AZ237" s="96">
        <v>60.1</v>
      </c>
      <c r="BA237" s="96"/>
      <c r="BB237" s="96">
        <v>74.5</v>
      </c>
      <c r="BC237" s="96"/>
      <c r="BD237" s="97">
        <v>139.77000000000001</v>
      </c>
      <c r="BE237" s="142">
        <f t="shared" si="103"/>
        <v>12037</v>
      </c>
      <c r="BF237" s="98">
        <v>25</v>
      </c>
      <c r="BG237" s="98">
        <v>0</v>
      </c>
      <c r="BH237" s="98">
        <v>7406</v>
      </c>
      <c r="BI237" s="98">
        <v>4606</v>
      </c>
      <c r="BJ237" s="98"/>
      <c r="BK237" s="98"/>
      <c r="BL237" s="97"/>
    </row>
    <row r="238" spans="1:64" outlineLevel="5" x14ac:dyDescent="0.3">
      <c r="A238" s="152">
        <f t="shared" si="105"/>
        <v>7</v>
      </c>
      <c r="B238" s="153">
        <f t="shared" si="104"/>
        <v>44393</v>
      </c>
      <c r="C238" s="138">
        <f t="shared" si="94"/>
        <v>37.5</v>
      </c>
      <c r="D238" s="84">
        <v>38</v>
      </c>
      <c r="E238" s="84">
        <v>37</v>
      </c>
      <c r="F238" s="84"/>
      <c r="G238" s="84"/>
      <c r="H238" s="84"/>
      <c r="I238" s="84"/>
      <c r="J238" s="84"/>
      <c r="K238" s="84"/>
      <c r="L238" s="140" t="str">
        <f t="shared" si="95"/>
        <v/>
      </c>
      <c r="M238" s="86" t="s">
        <v>56</v>
      </c>
      <c r="N238" s="86" t="s">
        <v>56</v>
      </c>
      <c r="O238" s="86"/>
      <c r="P238" s="86"/>
      <c r="Q238" s="86"/>
      <c r="R238" s="86"/>
      <c r="S238" s="86"/>
      <c r="T238" s="86"/>
      <c r="U238" s="142" t="str">
        <f t="shared" si="96"/>
        <v/>
      </c>
      <c r="V238" s="88" t="s">
        <v>56</v>
      </c>
      <c r="W238" s="88" t="s">
        <v>56</v>
      </c>
      <c r="X238" s="88"/>
      <c r="Y238" s="88"/>
      <c r="Z238" s="88"/>
      <c r="AA238" s="88"/>
      <c r="AB238" s="88"/>
      <c r="AC238" s="88"/>
      <c r="AD238" s="142" t="str">
        <f t="shared" si="97"/>
        <v/>
      </c>
      <c r="AE238" s="88"/>
      <c r="AF238" s="88"/>
      <c r="AG238" s="88"/>
      <c r="AH238" s="88"/>
      <c r="AI238" s="88"/>
      <c r="AJ238" s="88"/>
      <c r="AK238" s="88"/>
      <c r="AL238" s="88"/>
      <c r="AM238" s="88">
        <v>41.247924495324654</v>
      </c>
      <c r="AN238" s="88">
        <v>114.43</v>
      </c>
      <c r="AO238" s="89" t="s">
        <v>56</v>
      </c>
      <c r="AP238" s="90" t="s">
        <v>56</v>
      </c>
      <c r="AQ238" s="146" t="str">
        <f t="shared" si="98"/>
        <v/>
      </c>
      <c r="AR238" s="146" t="str">
        <f t="shared" si="99"/>
        <v/>
      </c>
      <c r="AS238" s="147">
        <v>30</v>
      </c>
      <c r="AT238" s="148" t="s">
        <v>56</v>
      </c>
      <c r="AU238" s="149" t="s">
        <v>56</v>
      </c>
      <c r="AV238" s="146" t="str">
        <f t="shared" si="100"/>
        <v/>
      </c>
      <c r="AW238" s="146" t="str">
        <f t="shared" si="101"/>
        <v/>
      </c>
      <c r="AX238" s="168" t="str">
        <f t="shared" si="102"/>
        <v/>
      </c>
      <c r="AY238" s="95" t="s">
        <v>56</v>
      </c>
      <c r="AZ238" s="96">
        <v>60.284999999999997</v>
      </c>
      <c r="BA238" s="96"/>
      <c r="BB238" s="96">
        <v>74.5</v>
      </c>
      <c r="BC238" s="96"/>
      <c r="BD238" s="97">
        <v>114.43</v>
      </c>
      <c r="BE238" s="142">
        <f t="shared" si="103"/>
        <v>11371</v>
      </c>
      <c r="BF238" s="98">
        <v>55</v>
      </c>
      <c r="BG238" s="98">
        <v>0</v>
      </c>
      <c r="BH238" s="98">
        <v>5555</v>
      </c>
      <c r="BI238" s="98">
        <v>5761</v>
      </c>
      <c r="BJ238" s="98"/>
      <c r="BK238" s="98"/>
      <c r="BL238" s="97"/>
    </row>
    <row r="239" spans="1:64" outlineLevel="5" x14ac:dyDescent="0.3">
      <c r="A239" s="152">
        <f t="shared" si="105"/>
        <v>7</v>
      </c>
      <c r="B239" s="153">
        <f t="shared" si="104"/>
        <v>44394</v>
      </c>
      <c r="C239" s="138">
        <f t="shared" si="94"/>
        <v>38</v>
      </c>
      <c r="D239" s="84">
        <v>38</v>
      </c>
      <c r="E239" s="84">
        <v>38</v>
      </c>
      <c r="F239" s="84"/>
      <c r="G239" s="84"/>
      <c r="H239" s="84"/>
      <c r="I239" s="84"/>
      <c r="J239" s="84"/>
      <c r="K239" s="84"/>
      <c r="L239" s="140" t="str">
        <f t="shared" si="95"/>
        <v/>
      </c>
      <c r="M239" s="86"/>
      <c r="N239" s="86"/>
      <c r="O239" s="86"/>
      <c r="P239" s="86"/>
      <c r="Q239" s="86"/>
      <c r="R239" s="86"/>
      <c r="S239" s="86"/>
      <c r="T239" s="86"/>
      <c r="U239" s="142" t="str">
        <f t="shared" si="96"/>
        <v/>
      </c>
      <c r="V239" s="88"/>
      <c r="W239" s="88"/>
      <c r="X239" s="88"/>
      <c r="Y239" s="88"/>
      <c r="Z239" s="88"/>
      <c r="AA239" s="88"/>
      <c r="AB239" s="88"/>
      <c r="AC239" s="88"/>
      <c r="AD239" s="142" t="str">
        <f t="shared" si="97"/>
        <v/>
      </c>
      <c r="AE239" s="88"/>
      <c r="AF239" s="88"/>
      <c r="AG239" s="88"/>
      <c r="AH239" s="88"/>
      <c r="AI239" s="88"/>
      <c r="AJ239" s="88"/>
      <c r="AK239" s="88"/>
      <c r="AL239" s="88"/>
      <c r="AM239" s="88">
        <v>38.631527254869866</v>
      </c>
      <c r="AN239" s="88">
        <v>122.17999999999999</v>
      </c>
      <c r="AO239" s="89"/>
      <c r="AP239" s="90"/>
      <c r="AQ239" s="146" t="str">
        <f t="shared" si="98"/>
        <v/>
      </c>
      <c r="AR239" s="146" t="str">
        <f t="shared" si="99"/>
        <v/>
      </c>
      <c r="AS239" s="147">
        <v>20</v>
      </c>
      <c r="AT239" s="148" t="s">
        <v>56</v>
      </c>
      <c r="AU239" s="149" t="s">
        <v>56</v>
      </c>
      <c r="AV239" s="146" t="str">
        <f t="shared" si="100"/>
        <v/>
      </c>
      <c r="AW239" s="146" t="str">
        <f t="shared" si="101"/>
        <v/>
      </c>
      <c r="AX239" s="168" t="str">
        <f t="shared" si="102"/>
        <v/>
      </c>
      <c r="AY239" s="95" t="s">
        <v>56</v>
      </c>
      <c r="AZ239" s="96">
        <v>60.82</v>
      </c>
      <c r="BA239" s="96"/>
      <c r="BB239" s="96">
        <v>75</v>
      </c>
      <c r="BC239" s="96"/>
      <c r="BD239" s="97">
        <v>122.17999999999999</v>
      </c>
      <c r="BE239" s="142">
        <f t="shared" si="103"/>
        <v>11253</v>
      </c>
      <c r="BF239" s="98">
        <v>91</v>
      </c>
      <c r="BG239" s="98">
        <v>0</v>
      </c>
      <c r="BH239" s="98">
        <v>5658</v>
      </c>
      <c r="BI239" s="98">
        <v>5504</v>
      </c>
      <c r="BJ239" s="98"/>
      <c r="BK239" s="98"/>
      <c r="BL239" s="97"/>
    </row>
    <row r="240" spans="1:64" outlineLevel="5" x14ac:dyDescent="0.3">
      <c r="A240" s="152">
        <f t="shared" si="105"/>
        <v>7</v>
      </c>
      <c r="B240" s="153">
        <f t="shared" si="104"/>
        <v>44395</v>
      </c>
      <c r="C240" s="138">
        <f t="shared" si="94"/>
        <v>38</v>
      </c>
      <c r="D240" s="84">
        <v>38</v>
      </c>
      <c r="E240" s="84">
        <v>38</v>
      </c>
      <c r="F240" s="84"/>
      <c r="G240" s="84"/>
      <c r="H240" s="84"/>
      <c r="I240" s="84"/>
      <c r="J240" s="84"/>
      <c r="K240" s="84"/>
      <c r="L240" s="140" t="str">
        <f t="shared" si="95"/>
        <v/>
      </c>
      <c r="M240" s="86"/>
      <c r="N240" s="86"/>
      <c r="O240" s="86"/>
      <c r="P240" s="86"/>
      <c r="Q240" s="86"/>
      <c r="R240" s="86"/>
      <c r="S240" s="86"/>
      <c r="T240" s="86"/>
      <c r="U240" s="142" t="str">
        <f t="shared" si="96"/>
        <v/>
      </c>
      <c r="V240" s="88"/>
      <c r="W240" s="88"/>
      <c r="X240" s="88"/>
      <c r="Y240" s="88"/>
      <c r="Z240" s="88"/>
      <c r="AA240" s="88"/>
      <c r="AB240" s="88"/>
      <c r="AC240" s="88"/>
      <c r="AD240" s="142" t="str">
        <f t="shared" si="97"/>
        <v/>
      </c>
      <c r="AE240" s="88"/>
      <c r="AF240" s="88"/>
      <c r="AG240" s="88"/>
      <c r="AH240" s="88"/>
      <c r="AI240" s="88"/>
      <c r="AJ240" s="88"/>
      <c r="AK240" s="88"/>
      <c r="AL240" s="88"/>
      <c r="AM240" s="88">
        <v>36.307692307692307</v>
      </c>
      <c r="AN240" s="88">
        <v>130</v>
      </c>
      <c r="AO240" s="89"/>
      <c r="AP240" s="90"/>
      <c r="AQ240" s="146" t="str">
        <f t="shared" si="98"/>
        <v/>
      </c>
      <c r="AR240" s="146" t="str">
        <f t="shared" si="99"/>
        <v/>
      </c>
      <c r="AS240" s="147">
        <v>20</v>
      </c>
      <c r="AT240" s="148" t="s">
        <v>56</v>
      </c>
      <c r="AU240" s="149" t="s">
        <v>56</v>
      </c>
      <c r="AV240" s="146" t="str">
        <f t="shared" si="100"/>
        <v/>
      </c>
      <c r="AW240" s="146" t="str">
        <f t="shared" si="101"/>
        <v/>
      </c>
      <c r="AX240" s="168" t="str">
        <f t="shared" si="102"/>
        <v/>
      </c>
      <c r="AY240" s="95" t="s">
        <v>56</v>
      </c>
      <c r="AZ240" s="96">
        <v>60.86</v>
      </c>
      <c r="BA240" s="96"/>
      <c r="BB240" s="96">
        <v>59.5</v>
      </c>
      <c r="BC240" s="96"/>
      <c r="BD240" s="97">
        <v>130</v>
      </c>
      <c r="BE240" s="142">
        <f t="shared" si="103"/>
        <v>8672</v>
      </c>
      <c r="BF240" s="98">
        <v>76</v>
      </c>
      <c r="BG240" s="98">
        <v>0</v>
      </c>
      <c r="BH240" s="98">
        <v>3077</v>
      </c>
      <c r="BI240" s="98">
        <v>5519</v>
      </c>
      <c r="BJ240" s="98"/>
      <c r="BK240" s="98"/>
      <c r="BL240" s="97"/>
    </row>
    <row r="241" spans="1:64" outlineLevel="5" x14ac:dyDescent="0.3">
      <c r="A241" s="152">
        <f t="shared" si="105"/>
        <v>7</v>
      </c>
      <c r="B241" s="153">
        <f t="shared" si="104"/>
        <v>44396</v>
      </c>
      <c r="C241" s="138">
        <f t="shared" si="94"/>
        <v>38.5</v>
      </c>
      <c r="D241" s="84">
        <v>39</v>
      </c>
      <c r="E241" s="84">
        <v>38</v>
      </c>
      <c r="F241" s="84"/>
      <c r="G241" s="84"/>
      <c r="H241" s="84"/>
      <c r="I241" s="84"/>
      <c r="J241" s="84"/>
      <c r="K241" s="84"/>
      <c r="L241" s="140">
        <f t="shared" si="95"/>
        <v>7.7</v>
      </c>
      <c r="M241" s="86">
        <v>7.74</v>
      </c>
      <c r="N241" s="86">
        <v>7.61</v>
      </c>
      <c r="O241" s="86"/>
      <c r="P241" s="86"/>
      <c r="Q241" s="86"/>
      <c r="R241" s="86"/>
      <c r="S241" s="86"/>
      <c r="T241" s="86"/>
      <c r="U241" s="142">
        <f t="shared" si="96"/>
        <v>1445</v>
      </c>
      <c r="V241" s="88">
        <v>1570</v>
      </c>
      <c r="W241" s="88">
        <v>1320</v>
      </c>
      <c r="X241" s="88"/>
      <c r="Y241" s="88"/>
      <c r="Z241" s="88"/>
      <c r="AA241" s="88"/>
      <c r="AB241" s="88"/>
      <c r="AC241" s="88"/>
      <c r="AD241" s="142" t="str">
        <f t="shared" si="97"/>
        <v/>
      </c>
      <c r="AE241" s="88"/>
      <c r="AF241" s="88"/>
      <c r="AG241" s="88"/>
      <c r="AH241" s="88"/>
      <c r="AI241" s="88"/>
      <c r="AJ241" s="88"/>
      <c r="AK241" s="88"/>
      <c r="AL241" s="88"/>
      <c r="AM241" s="88">
        <v>36.060814424325777</v>
      </c>
      <c r="AN241" s="88">
        <v>130.88999999999999</v>
      </c>
      <c r="AO241" s="89">
        <v>21.3</v>
      </c>
      <c r="AP241" s="90">
        <v>16.3371</v>
      </c>
      <c r="AQ241" s="146">
        <f t="shared" si="98"/>
        <v>76.699999999999989</v>
      </c>
      <c r="AR241" s="146">
        <f t="shared" si="99"/>
        <v>23.300000000000011</v>
      </c>
      <c r="AS241" s="147">
        <v>42</v>
      </c>
      <c r="AT241" s="148">
        <v>16.600000000000001</v>
      </c>
      <c r="AU241" s="149">
        <v>8.5500000000000007</v>
      </c>
      <c r="AV241" s="146">
        <f t="shared" si="100"/>
        <v>51.506024096385538</v>
      </c>
      <c r="AW241" s="146">
        <f t="shared" si="101"/>
        <v>48.493975903614462</v>
      </c>
      <c r="AX241" s="168">
        <f t="shared" si="102"/>
        <v>67.735065229538321</v>
      </c>
      <c r="AY241" s="95">
        <v>74</v>
      </c>
      <c r="AZ241" s="96">
        <v>59.93</v>
      </c>
      <c r="BA241" s="96"/>
      <c r="BB241" s="96">
        <v>69</v>
      </c>
      <c r="BC241" s="96"/>
      <c r="BD241" s="97">
        <v>130.88999999999999</v>
      </c>
      <c r="BE241" s="142">
        <f t="shared" si="103"/>
        <v>5774</v>
      </c>
      <c r="BF241" s="98">
        <v>0</v>
      </c>
      <c r="BG241" s="98">
        <v>0</v>
      </c>
      <c r="BH241" s="98">
        <v>0</v>
      </c>
      <c r="BI241" s="98">
        <v>5774</v>
      </c>
      <c r="BJ241" s="98"/>
      <c r="BK241" s="98"/>
      <c r="BL241" s="97"/>
    </row>
    <row r="242" spans="1:64" outlineLevel="5" x14ac:dyDescent="0.3">
      <c r="A242" s="152">
        <f t="shared" si="105"/>
        <v>7</v>
      </c>
      <c r="B242" s="153">
        <f t="shared" si="104"/>
        <v>44397</v>
      </c>
      <c r="C242" s="138">
        <f t="shared" si="94"/>
        <v>38.5</v>
      </c>
      <c r="D242" s="84">
        <v>39</v>
      </c>
      <c r="E242" s="84">
        <v>38</v>
      </c>
      <c r="F242" s="84"/>
      <c r="G242" s="84"/>
      <c r="H242" s="84"/>
      <c r="I242" s="84"/>
      <c r="J242" s="84"/>
      <c r="K242" s="84"/>
      <c r="L242" s="140" t="str">
        <f t="shared" si="95"/>
        <v/>
      </c>
      <c r="M242" s="86" t="s">
        <v>56</v>
      </c>
      <c r="N242" s="86" t="s">
        <v>56</v>
      </c>
      <c r="O242" s="86"/>
      <c r="P242" s="86"/>
      <c r="Q242" s="86"/>
      <c r="R242" s="86"/>
      <c r="S242" s="86"/>
      <c r="T242" s="86"/>
      <c r="U242" s="142" t="str">
        <f t="shared" si="96"/>
        <v/>
      </c>
      <c r="V242" s="88" t="s">
        <v>56</v>
      </c>
      <c r="W242" s="88" t="s">
        <v>56</v>
      </c>
      <c r="X242" s="88"/>
      <c r="Y242" s="88"/>
      <c r="Z242" s="88"/>
      <c r="AA242" s="88"/>
      <c r="AB242" s="88"/>
      <c r="AC242" s="88"/>
      <c r="AD242" s="142" t="str">
        <f t="shared" si="97"/>
        <v/>
      </c>
      <c r="AE242" s="88"/>
      <c r="AF242" s="88"/>
      <c r="AG242" s="88"/>
      <c r="AH242" s="88"/>
      <c r="AI242" s="88"/>
      <c r="AJ242" s="88"/>
      <c r="AK242" s="88"/>
      <c r="AL242" s="88"/>
      <c r="AM242" s="88">
        <v>34.19546475403898</v>
      </c>
      <c r="AN242" s="88">
        <v>138.03</v>
      </c>
      <c r="AO242" s="89" t="s">
        <v>56</v>
      </c>
      <c r="AP242" s="90" t="s">
        <v>56</v>
      </c>
      <c r="AQ242" s="146" t="str">
        <f t="shared" si="98"/>
        <v/>
      </c>
      <c r="AR242" s="146" t="str">
        <f t="shared" si="99"/>
        <v/>
      </c>
      <c r="AS242" s="147">
        <v>55</v>
      </c>
      <c r="AT242" s="148" t="s">
        <v>56</v>
      </c>
      <c r="AU242" s="149" t="s">
        <v>56</v>
      </c>
      <c r="AV242" s="146" t="str">
        <f t="shared" si="100"/>
        <v/>
      </c>
      <c r="AW242" s="146" t="str">
        <f t="shared" si="101"/>
        <v/>
      </c>
      <c r="AX242" s="168" t="str">
        <f t="shared" si="102"/>
        <v/>
      </c>
      <c r="AY242" s="95" t="s">
        <v>56</v>
      </c>
      <c r="AZ242" s="96">
        <v>59.924999999999997</v>
      </c>
      <c r="BA242" s="96"/>
      <c r="BB242" s="96">
        <v>58.5</v>
      </c>
      <c r="BC242" s="96"/>
      <c r="BD242" s="97">
        <v>138.03</v>
      </c>
      <c r="BE242" s="142">
        <f t="shared" si="103"/>
        <v>14996</v>
      </c>
      <c r="BF242" s="98">
        <v>146</v>
      </c>
      <c r="BG242" s="98">
        <v>0</v>
      </c>
      <c r="BH242" s="98">
        <v>9189</v>
      </c>
      <c r="BI242" s="98">
        <v>5661</v>
      </c>
      <c r="BJ242" s="98"/>
      <c r="BK242" s="98"/>
      <c r="BL242" s="97"/>
    </row>
    <row r="243" spans="1:64" outlineLevel="5" x14ac:dyDescent="0.3">
      <c r="A243" s="152">
        <f t="shared" si="105"/>
        <v>7</v>
      </c>
      <c r="B243" s="153">
        <f t="shared" si="104"/>
        <v>44398</v>
      </c>
      <c r="C243" s="138">
        <f t="shared" si="94"/>
        <v>38</v>
      </c>
      <c r="D243" s="84">
        <v>38</v>
      </c>
      <c r="E243" s="84">
        <v>38</v>
      </c>
      <c r="F243" s="84"/>
      <c r="G243" s="84"/>
      <c r="H243" s="84"/>
      <c r="I243" s="84"/>
      <c r="J243" s="84"/>
      <c r="K243" s="84"/>
      <c r="L243" s="140" t="str">
        <f t="shared" si="95"/>
        <v/>
      </c>
      <c r="M243" s="86" t="s">
        <v>56</v>
      </c>
      <c r="N243" s="86" t="s">
        <v>56</v>
      </c>
      <c r="O243" s="86"/>
      <c r="P243" s="86"/>
      <c r="Q243" s="86"/>
      <c r="R243" s="86"/>
      <c r="S243" s="86"/>
      <c r="T243" s="86"/>
      <c r="U243" s="142" t="str">
        <f t="shared" si="96"/>
        <v/>
      </c>
      <c r="V243" s="88" t="s">
        <v>56</v>
      </c>
      <c r="W243" s="88" t="s">
        <v>56</v>
      </c>
      <c r="X243" s="88"/>
      <c r="Y243" s="88"/>
      <c r="Z243" s="88"/>
      <c r="AA243" s="88"/>
      <c r="AB243" s="88"/>
      <c r="AC243" s="88"/>
      <c r="AD243" s="142" t="str">
        <f t="shared" si="97"/>
        <v/>
      </c>
      <c r="AE243" s="88"/>
      <c r="AF243" s="88"/>
      <c r="AG243" s="88"/>
      <c r="AH243" s="88"/>
      <c r="AI243" s="88"/>
      <c r="AJ243" s="88"/>
      <c r="AK243" s="88"/>
      <c r="AL243" s="88"/>
      <c r="AM243" s="88">
        <v>30.904210043868261</v>
      </c>
      <c r="AN243" s="88">
        <v>152.73000000000002</v>
      </c>
      <c r="AO243" s="89" t="s">
        <v>56</v>
      </c>
      <c r="AP243" s="90" t="s">
        <v>56</v>
      </c>
      <c r="AQ243" s="146" t="str">
        <f t="shared" si="98"/>
        <v/>
      </c>
      <c r="AR243" s="146" t="str">
        <f t="shared" si="99"/>
        <v/>
      </c>
      <c r="AS243" s="147">
        <v>50</v>
      </c>
      <c r="AT243" s="148" t="s">
        <v>56</v>
      </c>
      <c r="AU243" s="149" t="s">
        <v>56</v>
      </c>
      <c r="AV243" s="146" t="str">
        <f t="shared" si="100"/>
        <v/>
      </c>
      <c r="AW243" s="146" t="str">
        <f t="shared" si="101"/>
        <v/>
      </c>
      <c r="AX243" s="168" t="str">
        <f t="shared" si="102"/>
        <v/>
      </c>
      <c r="AY243" s="95" t="s">
        <v>56</v>
      </c>
      <c r="AZ243" s="96">
        <v>59.945</v>
      </c>
      <c r="BA243" s="96"/>
      <c r="BB243" s="96">
        <v>72.5</v>
      </c>
      <c r="BC243" s="96"/>
      <c r="BD243" s="97">
        <v>152.73000000000002</v>
      </c>
      <c r="BE243" s="142">
        <f t="shared" si="103"/>
        <v>11710</v>
      </c>
      <c r="BF243" s="98">
        <v>79</v>
      </c>
      <c r="BG243" s="98">
        <v>0</v>
      </c>
      <c r="BH243" s="98">
        <v>5938</v>
      </c>
      <c r="BI243" s="98">
        <v>5693</v>
      </c>
      <c r="BJ243" s="98"/>
      <c r="BK243" s="98"/>
      <c r="BL243" s="97"/>
    </row>
    <row r="244" spans="1:64" outlineLevel="5" x14ac:dyDescent="0.3">
      <c r="A244" s="152">
        <f t="shared" si="105"/>
        <v>7</v>
      </c>
      <c r="B244" s="153">
        <f t="shared" si="104"/>
        <v>44399</v>
      </c>
      <c r="C244" s="138">
        <f t="shared" si="94"/>
        <v>37.5</v>
      </c>
      <c r="D244" s="84">
        <v>38</v>
      </c>
      <c r="E244" s="84">
        <v>37</v>
      </c>
      <c r="F244" s="84"/>
      <c r="G244" s="84"/>
      <c r="H244" s="84"/>
      <c r="I244" s="84"/>
      <c r="J244" s="84"/>
      <c r="K244" s="84"/>
      <c r="L244" s="140">
        <f t="shared" si="95"/>
        <v>7.7</v>
      </c>
      <c r="M244" s="86">
        <v>7.79</v>
      </c>
      <c r="N244" s="86">
        <v>7.7</v>
      </c>
      <c r="O244" s="86"/>
      <c r="P244" s="86"/>
      <c r="Q244" s="86"/>
      <c r="R244" s="86"/>
      <c r="S244" s="86"/>
      <c r="T244" s="86"/>
      <c r="U244" s="142">
        <f t="shared" si="96"/>
        <v>1350</v>
      </c>
      <c r="V244" s="88">
        <v>1450</v>
      </c>
      <c r="W244" s="88">
        <v>1250</v>
      </c>
      <c r="X244" s="88"/>
      <c r="Y244" s="88"/>
      <c r="Z244" s="88"/>
      <c r="AA244" s="88"/>
      <c r="AB244" s="88"/>
      <c r="AC244" s="88"/>
      <c r="AD244" s="142" t="str">
        <f t="shared" si="97"/>
        <v/>
      </c>
      <c r="AE244" s="88"/>
      <c r="AF244" s="88"/>
      <c r="AG244" s="88"/>
      <c r="AH244" s="88"/>
      <c r="AI244" s="88"/>
      <c r="AJ244" s="88"/>
      <c r="AK244" s="88"/>
      <c r="AL244" s="88"/>
      <c r="AM244" s="88">
        <v>33.389926428975663</v>
      </c>
      <c r="AN244" s="88">
        <v>141.36000000000001</v>
      </c>
      <c r="AO244" s="89" t="s">
        <v>56</v>
      </c>
      <c r="AP244" s="90" t="s">
        <v>56</v>
      </c>
      <c r="AQ244" s="146" t="str">
        <f t="shared" si="98"/>
        <v/>
      </c>
      <c r="AR244" s="146" t="str">
        <f t="shared" si="99"/>
        <v/>
      </c>
      <c r="AS244" s="147">
        <v>53</v>
      </c>
      <c r="AT244" s="148">
        <v>15.5</v>
      </c>
      <c r="AU244" s="149">
        <v>8.9</v>
      </c>
      <c r="AV244" s="146">
        <f t="shared" si="100"/>
        <v>57.41935483870968</v>
      </c>
      <c r="AW244" s="146">
        <f t="shared" si="101"/>
        <v>42.58064516129032</v>
      </c>
      <c r="AX244" s="168" t="str">
        <f t="shared" si="102"/>
        <v/>
      </c>
      <c r="AY244" s="95">
        <v>72.3</v>
      </c>
      <c r="AZ244" s="96">
        <v>60.984999999999999</v>
      </c>
      <c r="BA244" s="96"/>
      <c r="BB244" s="96">
        <v>57</v>
      </c>
      <c r="BC244" s="96"/>
      <c r="BD244" s="97">
        <v>141.36000000000001</v>
      </c>
      <c r="BE244" s="142">
        <f t="shared" si="103"/>
        <v>12627</v>
      </c>
      <c r="BF244" s="98">
        <v>92</v>
      </c>
      <c r="BG244" s="98">
        <v>0</v>
      </c>
      <c r="BH244" s="98">
        <v>6899</v>
      </c>
      <c r="BI244" s="98">
        <v>5636</v>
      </c>
      <c r="BJ244" s="98"/>
      <c r="BK244" s="98"/>
      <c r="BL244" s="97"/>
    </row>
    <row r="245" spans="1:64" outlineLevel="5" x14ac:dyDescent="0.3">
      <c r="A245" s="152">
        <f t="shared" si="105"/>
        <v>7</v>
      </c>
      <c r="B245" s="153">
        <f t="shared" si="104"/>
        <v>44400</v>
      </c>
      <c r="C245" s="138">
        <f t="shared" si="94"/>
        <v>38</v>
      </c>
      <c r="D245" s="84">
        <v>38</v>
      </c>
      <c r="E245" s="84">
        <v>38</v>
      </c>
      <c r="F245" s="84"/>
      <c r="G245" s="84"/>
      <c r="H245" s="84"/>
      <c r="I245" s="84"/>
      <c r="J245" s="84"/>
      <c r="K245" s="84"/>
      <c r="L245" s="140" t="str">
        <f t="shared" si="95"/>
        <v/>
      </c>
      <c r="M245" s="86" t="s">
        <v>56</v>
      </c>
      <c r="N245" s="86" t="s">
        <v>56</v>
      </c>
      <c r="O245" s="86"/>
      <c r="P245" s="86"/>
      <c r="Q245" s="86"/>
      <c r="R245" s="86"/>
      <c r="S245" s="86"/>
      <c r="T245" s="86"/>
      <c r="U245" s="142" t="str">
        <f t="shared" si="96"/>
        <v/>
      </c>
      <c r="V245" s="88" t="s">
        <v>56</v>
      </c>
      <c r="W245" s="88" t="s">
        <v>56</v>
      </c>
      <c r="X245" s="88"/>
      <c r="Y245" s="88"/>
      <c r="Z245" s="88"/>
      <c r="AA245" s="88"/>
      <c r="AB245" s="88"/>
      <c r="AC245" s="88"/>
      <c r="AD245" s="142" t="str">
        <f t="shared" si="97"/>
        <v/>
      </c>
      <c r="AE245" s="88"/>
      <c r="AF245" s="88"/>
      <c r="AG245" s="88"/>
      <c r="AH245" s="88"/>
      <c r="AI245" s="88"/>
      <c r="AJ245" s="88"/>
      <c r="AK245" s="88"/>
      <c r="AL245" s="88"/>
      <c r="AM245" s="88">
        <v>34.334763948497852</v>
      </c>
      <c r="AN245" s="88">
        <v>137.47</v>
      </c>
      <c r="AO245" s="89" t="s">
        <v>56</v>
      </c>
      <c r="AP245" s="90" t="s">
        <v>56</v>
      </c>
      <c r="AQ245" s="146" t="str">
        <f t="shared" si="98"/>
        <v/>
      </c>
      <c r="AR245" s="146" t="str">
        <f t="shared" si="99"/>
        <v/>
      </c>
      <c r="AS245" s="147">
        <v>39</v>
      </c>
      <c r="AT245" s="148" t="s">
        <v>56</v>
      </c>
      <c r="AU245" s="149" t="s">
        <v>56</v>
      </c>
      <c r="AV245" s="146" t="str">
        <f t="shared" si="100"/>
        <v/>
      </c>
      <c r="AW245" s="146" t="str">
        <f t="shared" si="101"/>
        <v/>
      </c>
      <c r="AX245" s="168" t="str">
        <f t="shared" si="102"/>
        <v/>
      </c>
      <c r="AY245" s="95" t="s">
        <v>56</v>
      </c>
      <c r="AZ245" s="96">
        <v>59.97</v>
      </c>
      <c r="BA245" s="96"/>
      <c r="BB245" s="96">
        <v>74.5</v>
      </c>
      <c r="BC245" s="96"/>
      <c r="BD245" s="97">
        <v>137.47</v>
      </c>
      <c r="BE245" s="142">
        <f t="shared" si="103"/>
        <v>10658</v>
      </c>
      <c r="BF245" s="98">
        <v>70</v>
      </c>
      <c r="BG245" s="98">
        <v>0</v>
      </c>
      <c r="BH245" s="98">
        <v>5041</v>
      </c>
      <c r="BI245" s="98">
        <v>5547</v>
      </c>
      <c r="BJ245" s="98"/>
      <c r="BK245" s="98"/>
      <c r="BL245" s="97"/>
    </row>
    <row r="246" spans="1:64" outlineLevel="5" x14ac:dyDescent="0.3">
      <c r="A246" s="152">
        <f t="shared" si="105"/>
        <v>7</v>
      </c>
      <c r="B246" s="153">
        <f t="shared" si="104"/>
        <v>44401</v>
      </c>
      <c r="C246" s="138">
        <f t="shared" si="94"/>
        <v>38</v>
      </c>
      <c r="D246" s="84">
        <v>38</v>
      </c>
      <c r="E246" s="84">
        <v>38</v>
      </c>
      <c r="F246" s="84"/>
      <c r="G246" s="84"/>
      <c r="H246" s="84"/>
      <c r="I246" s="84"/>
      <c r="J246" s="84"/>
      <c r="K246" s="84"/>
      <c r="L246" s="140" t="str">
        <f t="shared" si="95"/>
        <v/>
      </c>
      <c r="M246" s="86"/>
      <c r="N246" s="86"/>
      <c r="O246" s="86"/>
      <c r="P246" s="86"/>
      <c r="Q246" s="86"/>
      <c r="R246" s="86"/>
      <c r="S246" s="86"/>
      <c r="T246" s="86"/>
      <c r="U246" s="142" t="str">
        <f t="shared" si="96"/>
        <v/>
      </c>
      <c r="V246" s="88"/>
      <c r="W246" s="88"/>
      <c r="X246" s="88"/>
      <c r="Y246" s="88"/>
      <c r="Z246" s="88"/>
      <c r="AA246" s="88"/>
      <c r="AB246" s="88"/>
      <c r="AC246" s="88"/>
      <c r="AD246" s="142" t="str">
        <f t="shared" si="97"/>
        <v/>
      </c>
      <c r="AE246" s="88"/>
      <c r="AF246" s="88"/>
      <c r="AG246" s="88"/>
      <c r="AH246" s="88"/>
      <c r="AI246" s="88"/>
      <c r="AJ246" s="88"/>
      <c r="AK246" s="88"/>
      <c r="AL246" s="88"/>
      <c r="AM246" s="88">
        <v>39.085789996687645</v>
      </c>
      <c r="AN246" s="88">
        <v>120.76</v>
      </c>
      <c r="AO246" s="89"/>
      <c r="AP246" s="90"/>
      <c r="AQ246" s="146" t="str">
        <f t="shared" si="98"/>
        <v/>
      </c>
      <c r="AR246" s="146" t="str">
        <f t="shared" si="99"/>
        <v/>
      </c>
      <c r="AS246" s="147">
        <v>20</v>
      </c>
      <c r="AT246" s="148" t="s">
        <v>56</v>
      </c>
      <c r="AU246" s="149" t="s">
        <v>56</v>
      </c>
      <c r="AV246" s="146" t="str">
        <f t="shared" si="100"/>
        <v/>
      </c>
      <c r="AW246" s="146" t="str">
        <f t="shared" si="101"/>
        <v/>
      </c>
      <c r="AX246" s="168" t="str">
        <f t="shared" si="102"/>
        <v/>
      </c>
      <c r="AY246" s="95" t="s">
        <v>56</v>
      </c>
      <c r="AZ246" s="96">
        <v>61.230000000000004</v>
      </c>
      <c r="BA246" s="96"/>
      <c r="BB246" s="96">
        <v>73.5</v>
      </c>
      <c r="BC246" s="96"/>
      <c r="BD246" s="97">
        <v>120.76</v>
      </c>
      <c r="BE246" s="142">
        <f t="shared" si="103"/>
        <v>7115</v>
      </c>
      <c r="BF246" s="98">
        <v>67</v>
      </c>
      <c r="BG246" s="98">
        <v>0</v>
      </c>
      <c r="BH246" s="98">
        <v>1584</v>
      </c>
      <c r="BI246" s="98">
        <v>5464</v>
      </c>
      <c r="BJ246" s="98"/>
      <c r="BK246" s="98"/>
      <c r="BL246" s="97"/>
    </row>
    <row r="247" spans="1:64" outlineLevel="5" x14ac:dyDescent="0.3">
      <c r="A247" s="152">
        <f t="shared" si="105"/>
        <v>7</v>
      </c>
      <c r="B247" s="153">
        <f t="shared" si="104"/>
        <v>44402</v>
      </c>
      <c r="C247" s="138">
        <f t="shared" si="94"/>
        <v>38</v>
      </c>
      <c r="D247" s="84">
        <v>38</v>
      </c>
      <c r="E247" s="84">
        <v>38</v>
      </c>
      <c r="F247" s="84"/>
      <c r="G247" s="84"/>
      <c r="H247" s="84"/>
      <c r="I247" s="84"/>
      <c r="J247" s="84"/>
      <c r="K247" s="84"/>
      <c r="L247" s="140" t="str">
        <f t="shared" si="95"/>
        <v/>
      </c>
      <c r="M247" s="86"/>
      <c r="N247" s="86"/>
      <c r="O247" s="86"/>
      <c r="P247" s="86"/>
      <c r="Q247" s="86"/>
      <c r="R247" s="86"/>
      <c r="S247" s="86"/>
      <c r="T247" s="86"/>
      <c r="U247" s="142" t="str">
        <f t="shared" si="96"/>
        <v/>
      </c>
      <c r="V247" s="88"/>
      <c r="W247" s="88"/>
      <c r="X247" s="88"/>
      <c r="Y247" s="88"/>
      <c r="Z247" s="88"/>
      <c r="AA247" s="88"/>
      <c r="AB247" s="88"/>
      <c r="AC247" s="88"/>
      <c r="AD247" s="142" t="str">
        <f t="shared" si="97"/>
        <v/>
      </c>
      <c r="AE247" s="88"/>
      <c r="AF247" s="88"/>
      <c r="AG247" s="88"/>
      <c r="AH247" s="88"/>
      <c r="AI247" s="88"/>
      <c r="AJ247" s="88"/>
      <c r="AK247" s="88"/>
      <c r="AL247" s="88"/>
      <c r="AM247" s="88">
        <v>39.333333333333336</v>
      </c>
      <c r="AN247" s="88">
        <v>120</v>
      </c>
      <c r="AO247" s="89"/>
      <c r="AP247" s="90"/>
      <c r="AQ247" s="146" t="str">
        <f t="shared" si="98"/>
        <v/>
      </c>
      <c r="AR247" s="146" t="str">
        <f t="shared" si="99"/>
        <v/>
      </c>
      <c r="AS247" s="147">
        <v>0</v>
      </c>
      <c r="AT247" s="148" t="s">
        <v>56</v>
      </c>
      <c r="AU247" s="149" t="s">
        <v>56</v>
      </c>
      <c r="AV247" s="146" t="str">
        <f t="shared" si="100"/>
        <v/>
      </c>
      <c r="AW247" s="146" t="str">
        <f t="shared" si="101"/>
        <v/>
      </c>
      <c r="AX247" s="168" t="str">
        <f t="shared" si="102"/>
        <v/>
      </c>
      <c r="AY247" s="95" t="s">
        <v>56</v>
      </c>
      <c r="AZ247" s="96">
        <v>58.5</v>
      </c>
      <c r="BA247" s="96"/>
      <c r="BB247" s="96">
        <v>54</v>
      </c>
      <c r="BC247" s="96"/>
      <c r="BD247" s="97">
        <v>120</v>
      </c>
      <c r="BE247" s="142">
        <f t="shared" si="103"/>
        <v>4568</v>
      </c>
      <c r="BF247" s="98">
        <v>79</v>
      </c>
      <c r="BG247" s="98">
        <v>0</v>
      </c>
      <c r="BH247" s="98">
        <v>0</v>
      </c>
      <c r="BI247" s="98">
        <v>4489</v>
      </c>
      <c r="BJ247" s="98"/>
      <c r="BK247" s="98"/>
      <c r="BL247" s="97"/>
    </row>
    <row r="248" spans="1:64" outlineLevel="5" x14ac:dyDescent="0.3">
      <c r="A248" s="152">
        <f t="shared" si="105"/>
        <v>7</v>
      </c>
      <c r="B248" s="153">
        <f t="shared" si="104"/>
        <v>44403</v>
      </c>
      <c r="C248" s="138">
        <f t="shared" si="94"/>
        <v>38</v>
      </c>
      <c r="D248" s="84">
        <v>38</v>
      </c>
      <c r="E248" s="84">
        <v>38</v>
      </c>
      <c r="F248" s="84"/>
      <c r="G248" s="84"/>
      <c r="H248" s="84"/>
      <c r="I248" s="84"/>
      <c r="J248" s="84"/>
      <c r="K248" s="84"/>
      <c r="L248" s="140" t="str">
        <f t="shared" si="95"/>
        <v/>
      </c>
      <c r="M248" s="86" t="s">
        <v>56</v>
      </c>
      <c r="N248" s="86" t="s">
        <v>56</v>
      </c>
      <c r="O248" s="86"/>
      <c r="P248" s="86"/>
      <c r="Q248" s="86"/>
      <c r="R248" s="86"/>
      <c r="S248" s="86"/>
      <c r="T248" s="86"/>
      <c r="U248" s="142" t="str">
        <f t="shared" si="96"/>
        <v/>
      </c>
      <c r="V248" s="88" t="s">
        <v>56</v>
      </c>
      <c r="W248" s="88" t="s">
        <v>56</v>
      </c>
      <c r="X248" s="88"/>
      <c r="Y248" s="88"/>
      <c r="Z248" s="88"/>
      <c r="AA248" s="88"/>
      <c r="AB248" s="88"/>
      <c r="AC248" s="88"/>
      <c r="AD248" s="142" t="str">
        <f t="shared" si="97"/>
        <v/>
      </c>
      <c r="AE248" s="88"/>
      <c r="AF248" s="88"/>
      <c r="AG248" s="88"/>
      <c r="AH248" s="88"/>
      <c r="AI248" s="88"/>
      <c r="AJ248" s="88"/>
      <c r="AK248" s="88"/>
      <c r="AL248" s="88"/>
      <c r="AM248" s="88">
        <v>40.355677154582757</v>
      </c>
      <c r="AN248" s="88">
        <v>116.96000000000001</v>
      </c>
      <c r="AO248" s="89" t="s">
        <v>56</v>
      </c>
      <c r="AP248" s="90"/>
      <c r="AQ248" s="146" t="str">
        <f t="shared" si="98"/>
        <v/>
      </c>
      <c r="AR248" s="146" t="str">
        <f t="shared" si="99"/>
        <v/>
      </c>
      <c r="AS248" s="147">
        <v>45</v>
      </c>
      <c r="AT248" s="148" t="s">
        <v>56</v>
      </c>
      <c r="AU248" s="149" t="s">
        <v>56</v>
      </c>
      <c r="AV248" s="146" t="str">
        <f t="shared" si="100"/>
        <v/>
      </c>
      <c r="AW248" s="146" t="str">
        <f t="shared" si="101"/>
        <v/>
      </c>
      <c r="AX248" s="168" t="str">
        <f t="shared" si="102"/>
        <v/>
      </c>
      <c r="AY248" s="95" t="s">
        <v>56</v>
      </c>
      <c r="AZ248" s="96">
        <v>60.35</v>
      </c>
      <c r="BA248" s="96"/>
      <c r="BB248" s="96">
        <v>65.5</v>
      </c>
      <c r="BC248" s="96"/>
      <c r="BD248" s="97">
        <v>116.96000000000001</v>
      </c>
      <c r="BE248" s="142">
        <f t="shared" si="103"/>
        <v>3890</v>
      </c>
      <c r="BF248" s="98">
        <v>61</v>
      </c>
      <c r="BG248" s="98">
        <v>0</v>
      </c>
      <c r="BH248" s="98">
        <v>576</v>
      </c>
      <c r="BI248" s="98">
        <v>3253</v>
      </c>
      <c r="BJ248" s="98"/>
      <c r="BK248" s="98"/>
      <c r="BL248" s="97"/>
    </row>
    <row r="249" spans="1:64" outlineLevel="5" x14ac:dyDescent="0.3">
      <c r="A249" s="152">
        <f t="shared" si="105"/>
        <v>7</v>
      </c>
      <c r="B249" s="153">
        <f t="shared" si="104"/>
        <v>44404</v>
      </c>
      <c r="C249" s="138">
        <f t="shared" si="94"/>
        <v>38.5</v>
      </c>
      <c r="D249" s="84">
        <v>39</v>
      </c>
      <c r="E249" s="84">
        <v>38</v>
      </c>
      <c r="F249" s="84"/>
      <c r="G249" s="84"/>
      <c r="H249" s="84"/>
      <c r="I249" s="84"/>
      <c r="J249" s="84"/>
      <c r="K249" s="84"/>
      <c r="L249" s="140" t="str">
        <f t="shared" si="95"/>
        <v/>
      </c>
      <c r="M249" s="86" t="s">
        <v>56</v>
      </c>
      <c r="N249" s="86" t="s">
        <v>56</v>
      </c>
      <c r="O249" s="86"/>
      <c r="P249" s="86"/>
      <c r="Q249" s="86"/>
      <c r="R249" s="86"/>
      <c r="S249" s="86"/>
      <c r="T249" s="86"/>
      <c r="U249" s="142" t="str">
        <f t="shared" si="96"/>
        <v/>
      </c>
      <c r="V249" s="88" t="s">
        <v>56</v>
      </c>
      <c r="W249" s="88" t="s">
        <v>56</v>
      </c>
      <c r="X249" s="88"/>
      <c r="Y249" s="88"/>
      <c r="Z249" s="88"/>
      <c r="AA249" s="88"/>
      <c r="AB249" s="88"/>
      <c r="AC249" s="88"/>
      <c r="AD249" s="142" t="str">
        <f t="shared" si="97"/>
        <v/>
      </c>
      <c r="AE249" s="88"/>
      <c r="AF249" s="88"/>
      <c r="AG249" s="88"/>
      <c r="AH249" s="88"/>
      <c r="AI249" s="88"/>
      <c r="AJ249" s="88"/>
      <c r="AK249" s="88"/>
      <c r="AL249" s="88"/>
      <c r="AM249" s="88">
        <v>30.279702335129588</v>
      </c>
      <c r="AN249" s="88">
        <v>155.88</v>
      </c>
      <c r="AO249" s="89" t="s">
        <v>56</v>
      </c>
      <c r="AP249" s="90"/>
      <c r="AQ249" s="146" t="str">
        <f t="shared" si="98"/>
        <v/>
      </c>
      <c r="AR249" s="146" t="str">
        <f t="shared" si="99"/>
        <v/>
      </c>
      <c r="AS249" s="147">
        <v>39</v>
      </c>
      <c r="AT249" s="148" t="s">
        <v>56</v>
      </c>
      <c r="AU249" s="149" t="s">
        <v>56</v>
      </c>
      <c r="AV249" s="146" t="str">
        <f t="shared" si="100"/>
        <v/>
      </c>
      <c r="AW249" s="146" t="str">
        <f t="shared" si="101"/>
        <v/>
      </c>
      <c r="AX249" s="168" t="str">
        <f t="shared" si="102"/>
        <v/>
      </c>
      <c r="AY249" s="95" t="s">
        <v>56</v>
      </c>
      <c r="AZ249" s="96">
        <v>59.924999999999997</v>
      </c>
      <c r="BA249" s="96"/>
      <c r="BB249" s="96">
        <v>101</v>
      </c>
      <c r="BC249" s="96"/>
      <c r="BD249" s="97">
        <v>155.88</v>
      </c>
      <c r="BE249" s="142">
        <f t="shared" si="103"/>
        <v>5923</v>
      </c>
      <c r="BF249" s="98">
        <v>64</v>
      </c>
      <c r="BG249" s="98">
        <v>0</v>
      </c>
      <c r="BH249" s="98">
        <v>233</v>
      </c>
      <c r="BI249" s="98">
        <v>5626</v>
      </c>
      <c r="BJ249" s="98"/>
      <c r="BK249" s="98"/>
      <c r="BL249" s="97"/>
    </row>
    <row r="250" spans="1:64" outlineLevel="5" x14ac:dyDescent="0.3">
      <c r="A250" s="152">
        <f t="shared" si="105"/>
        <v>7</v>
      </c>
      <c r="B250" s="153">
        <f t="shared" si="104"/>
        <v>44405</v>
      </c>
      <c r="C250" s="138">
        <f t="shared" si="94"/>
        <v>38</v>
      </c>
      <c r="D250" s="84">
        <v>38</v>
      </c>
      <c r="E250" s="84">
        <v>38</v>
      </c>
      <c r="F250" s="84"/>
      <c r="G250" s="84"/>
      <c r="H250" s="84"/>
      <c r="I250" s="84"/>
      <c r="J250" s="84"/>
      <c r="K250" s="84"/>
      <c r="L250" s="140">
        <f t="shared" si="95"/>
        <v>7.7</v>
      </c>
      <c r="M250" s="86">
        <v>7.81</v>
      </c>
      <c r="N250" s="86">
        <v>7.63</v>
      </c>
      <c r="O250" s="86"/>
      <c r="P250" s="86"/>
      <c r="Q250" s="86"/>
      <c r="R250" s="86"/>
      <c r="S250" s="86"/>
      <c r="T250" s="86"/>
      <c r="U250" s="142">
        <f t="shared" si="96"/>
        <v>3850</v>
      </c>
      <c r="V250" s="88">
        <v>3750</v>
      </c>
      <c r="W250" s="88">
        <v>3950</v>
      </c>
      <c r="X250" s="88"/>
      <c r="Y250" s="88"/>
      <c r="Z250" s="88"/>
      <c r="AA250" s="88"/>
      <c r="AB250" s="88"/>
      <c r="AC250" s="88"/>
      <c r="AD250" s="142" t="str">
        <f t="shared" si="97"/>
        <v/>
      </c>
      <c r="AE250" s="88"/>
      <c r="AF250" s="88"/>
      <c r="AG250" s="88"/>
      <c r="AH250" s="88"/>
      <c r="AI250" s="88"/>
      <c r="AJ250" s="88"/>
      <c r="AK250" s="88"/>
      <c r="AL250" s="88"/>
      <c r="AM250" s="88">
        <v>30.293305949553943</v>
      </c>
      <c r="AN250" s="88">
        <v>155.81</v>
      </c>
      <c r="AO250" s="89" t="s">
        <v>56</v>
      </c>
      <c r="AP250" s="90"/>
      <c r="AQ250" s="146" t="str">
        <f t="shared" si="98"/>
        <v/>
      </c>
      <c r="AR250" s="146" t="str">
        <f t="shared" si="99"/>
        <v/>
      </c>
      <c r="AS250" s="147">
        <v>40</v>
      </c>
      <c r="AT250" s="148">
        <v>15.100000000000001</v>
      </c>
      <c r="AU250" s="149">
        <v>9.1000000000000014</v>
      </c>
      <c r="AV250" s="146">
        <f t="shared" si="100"/>
        <v>60.264900662251662</v>
      </c>
      <c r="AW250" s="146">
        <f t="shared" si="101"/>
        <v>39.735099337748338</v>
      </c>
      <c r="AX250" s="168" t="str">
        <f t="shared" si="102"/>
        <v/>
      </c>
      <c r="AY250" s="95">
        <v>76.75</v>
      </c>
      <c r="AZ250" s="96">
        <v>61.215000000000003</v>
      </c>
      <c r="BA250" s="96"/>
      <c r="BB250" s="96">
        <v>103</v>
      </c>
      <c r="BC250" s="96"/>
      <c r="BD250" s="97">
        <v>155.81</v>
      </c>
      <c r="BE250" s="142">
        <f t="shared" si="103"/>
        <v>7317</v>
      </c>
      <c r="BF250" s="98">
        <v>53</v>
      </c>
      <c r="BG250" s="98">
        <v>0</v>
      </c>
      <c r="BH250" s="98">
        <v>1722</v>
      </c>
      <c r="BI250" s="98">
        <v>5542</v>
      </c>
      <c r="BJ250" s="98"/>
      <c r="BK250" s="98"/>
      <c r="BL250" s="97"/>
    </row>
    <row r="251" spans="1:64" outlineLevel="5" x14ac:dyDescent="0.3">
      <c r="A251" s="152">
        <f t="shared" si="105"/>
        <v>7</v>
      </c>
      <c r="B251" s="153">
        <f t="shared" si="104"/>
        <v>44406</v>
      </c>
      <c r="C251" s="138">
        <f t="shared" si="94"/>
        <v>38</v>
      </c>
      <c r="D251" s="84">
        <v>38</v>
      </c>
      <c r="E251" s="84">
        <v>38</v>
      </c>
      <c r="F251" s="84"/>
      <c r="G251" s="84"/>
      <c r="H251" s="84"/>
      <c r="I251" s="84"/>
      <c r="J251" s="84"/>
      <c r="K251" s="84"/>
      <c r="L251" s="140">
        <f t="shared" si="95"/>
        <v>7.7</v>
      </c>
      <c r="M251" s="86">
        <v>7.83</v>
      </c>
      <c r="N251" s="86">
        <v>7.65</v>
      </c>
      <c r="O251" s="86"/>
      <c r="P251" s="86"/>
      <c r="Q251" s="86"/>
      <c r="R251" s="86"/>
      <c r="S251" s="86"/>
      <c r="T251" s="86"/>
      <c r="U251" s="142">
        <f t="shared" si="96"/>
        <v>3860</v>
      </c>
      <c r="V251" s="88">
        <v>3820</v>
      </c>
      <c r="W251" s="88">
        <v>3900</v>
      </c>
      <c r="X251" s="88"/>
      <c r="Y251" s="88"/>
      <c r="Z251" s="88"/>
      <c r="AA251" s="88"/>
      <c r="AB251" s="88"/>
      <c r="AC251" s="88"/>
      <c r="AD251" s="142" t="str">
        <f t="shared" si="97"/>
        <v/>
      </c>
      <c r="AE251" s="88"/>
      <c r="AF251" s="88"/>
      <c r="AG251" s="88"/>
      <c r="AH251" s="88"/>
      <c r="AI251" s="88"/>
      <c r="AJ251" s="88"/>
      <c r="AK251" s="88"/>
      <c r="AL251" s="88"/>
      <c r="AM251" s="88">
        <v>33.399377299745261</v>
      </c>
      <c r="AN251" s="88">
        <v>141.32</v>
      </c>
      <c r="AO251" s="89" t="s">
        <v>56</v>
      </c>
      <c r="AP251" s="90"/>
      <c r="AQ251" s="146" t="str">
        <f t="shared" si="98"/>
        <v/>
      </c>
      <c r="AR251" s="146" t="str">
        <f t="shared" si="99"/>
        <v/>
      </c>
      <c r="AS251" s="147">
        <v>40</v>
      </c>
      <c r="AT251" s="148">
        <v>15.100000000000001</v>
      </c>
      <c r="AU251" s="149">
        <v>9.1000000000000014</v>
      </c>
      <c r="AV251" s="146">
        <f t="shared" si="100"/>
        <v>60.264900662251662</v>
      </c>
      <c r="AW251" s="146">
        <f t="shared" si="101"/>
        <v>39.735099337748338</v>
      </c>
      <c r="AX251" s="168" t="str">
        <f t="shared" si="102"/>
        <v/>
      </c>
      <c r="AY251" s="95">
        <v>77.55</v>
      </c>
      <c r="AZ251" s="96">
        <v>60.2</v>
      </c>
      <c r="BA251" s="96"/>
      <c r="BB251" s="96">
        <v>73</v>
      </c>
      <c r="BC251" s="96"/>
      <c r="BD251" s="97">
        <v>141.32</v>
      </c>
      <c r="BE251" s="142">
        <f t="shared" si="103"/>
        <v>7321</v>
      </c>
      <c r="BF251" s="98">
        <v>14</v>
      </c>
      <c r="BG251" s="98">
        <v>0</v>
      </c>
      <c r="BH251" s="98">
        <v>1789</v>
      </c>
      <c r="BI251" s="98">
        <v>5518</v>
      </c>
      <c r="BJ251" s="98"/>
      <c r="BK251" s="98"/>
      <c r="BL251" s="97"/>
    </row>
    <row r="252" spans="1:64" outlineLevel="5" x14ac:dyDescent="0.3">
      <c r="A252" s="152">
        <f t="shared" si="105"/>
        <v>7</v>
      </c>
      <c r="B252" s="153">
        <f t="shared" si="104"/>
        <v>44407</v>
      </c>
      <c r="C252" s="138">
        <f t="shared" si="94"/>
        <v>38</v>
      </c>
      <c r="D252" s="84">
        <v>38</v>
      </c>
      <c r="E252" s="84">
        <v>38</v>
      </c>
      <c r="F252" s="84"/>
      <c r="G252" s="84"/>
      <c r="H252" s="84"/>
      <c r="I252" s="84"/>
      <c r="J252" s="84"/>
      <c r="K252" s="84"/>
      <c r="L252" s="140" t="str">
        <f t="shared" si="95"/>
        <v/>
      </c>
      <c r="M252" s="86" t="s">
        <v>56</v>
      </c>
      <c r="N252" s="86" t="s">
        <v>56</v>
      </c>
      <c r="O252" s="86"/>
      <c r="P252" s="86"/>
      <c r="Q252" s="86"/>
      <c r="R252" s="86"/>
      <c r="S252" s="86"/>
      <c r="T252" s="86"/>
      <c r="U252" s="142" t="str">
        <f t="shared" si="96"/>
        <v/>
      </c>
      <c r="V252" s="88" t="s">
        <v>56</v>
      </c>
      <c r="W252" s="88" t="s">
        <v>56</v>
      </c>
      <c r="X252" s="88"/>
      <c r="Y252" s="88"/>
      <c r="Z252" s="88"/>
      <c r="AA252" s="88"/>
      <c r="AB252" s="88"/>
      <c r="AC252" s="88"/>
      <c r="AD252" s="142" t="str">
        <f t="shared" si="97"/>
        <v/>
      </c>
      <c r="AE252" s="88"/>
      <c r="AF252" s="88"/>
      <c r="AG252" s="88"/>
      <c r="AH252" s="88"/>
      <c r="AI252" s="88"/>
      <c r="AJ252" s="88"/>
      <c r="AK252" s="88"/>
      <c r="AL252" s="88"/>
      <c r="AM252" s="88">
        <v>41.450777202072537</v>
      </c>
      <c r="AN252" s="88">
        <v>113.87</v>
      </c>
      <c r="AO252" s="89" t="s">
        <v>56</v>
      </c>
      <c r="AP252" s="90"/>
      <c r="AQ252" s="146" t="str">
        <f t="shared" si="98"/>
        <v/>
      </c>
      <c r="AR252" s="146" t="str">
        <f t="shared" si="99"/>
        <v/>
      </c>
      <c r="AS252" s="147">
        <v>40</v>
      </c>
      <c r="AT252" s="148" t="s">
        <v>56</v>
      </c>
      <c r="AU252" s="149" t="s">
        <v>56</v>
      </c>
      <c r="AV252" s="146" t="str">
        <f t="shared" si="100"/>
        <v/>
      </c>
      <c r="AW252" s="146" t="str">
        <f t="shared" si="101"/>
        <v/>
      </c>
      <c r="AX252" s="168" t="str">
        <f t="shared" si="102"/>
        <v/>
      </c>
      <c r="AY252" s="95" t="s">
        <v>56</v>
      </c>
      <c r="AZ252" s="96">
        <v>57.234999999999999</v>
      </c>
      <c r="BA252" s="96"/>
      <c r="BB252" s="96">
        <v>81.5</v>
      </c>
      <c r="BC252" s="96"/>
      <c r="BD252" s="97">
        <v>113.87</v>
      </c>
      <c r="BE252" s="142">
        <f t="shared" si="103"/>
        <v>7407</v>
      </c>
      <c r="BF252" s="98">
        <v>9</v>
      </c>
      <c r="BG252" s="98">
        <v>0</v>
      </c>
      <c r="BH252" s="98">
        <v>1855</v>
      </c>
      <c r="BI252" s="98">
        <v>5543</v>
      </c>
      <c r="BJ252" s="98"/>
      <c r="BK252" s="98"/>
      <c r="BL252" s="97"/>
    </row>
    <row r="253" spans="1:64" ht="17.25" outlineLevel="5" thickBot="1" x14ac:dyDescent="0.35">
      <c r="A253" s="154">
        <f t="shared" si="105"/>
        <v>7</v>
      </c>
      <c r="B253" s="155">
        <f t="shared" si="104"/>
        <v>44408</v>
      </c>
      <c r="C253" s="138">
        <f t="shared" si="94"/>
        <v>38</v>
      </c>
      <c r="D253" s="84">
        <v>38</v>
      </c>
      <c r="E253" s="84">
        <v>38</v>
      </c>
      <c r="F253" s="84"/>
      <c r="G253" s="84"/>
      <c r="H253" s="84"/>
      <c r="I253" s="84"/>
      <c r="J253" s="84"/>
      <c r="K253" s="84"/>
      <c r="L253" s="140" t="str">
        <f t="shared" si="95"/>
        <v/>
      </c>
      <c r="M253" s="86"/>
      <c r="N253" s="86"/>
      <c r="O253" s="86"/>
      <c r="P253" s="86"/>
      <c r="Q253" s="86"/>
      <c r="R253" s="86"/>
      <c r="S253" s="86"/>
      <c r="T253" s="86"/>
      <c r="U253" s="142" t="str">
        <f t="shared" si="96"/>
        <v/>
      </c>
      <c r="V253" s="88"/>
      <c r="W253" s="88"/>
      <c r="X253" s="88"/>
      <c r="Y253" s="88"/>
      <c r="Z253" s="88"/>
      <c r="AA253" s="88"/>
      <c r="AB253" s="88"/>
      <c r="AC253" s="88"/>
      <c r="AD253" s="142" t="str">
        <f t="shared" si="97"/>
        <v/>
      </c>
      <c r="AE253" s="88"/>
      <c r="AF253" s="88"/>
      <c r="AG253" s="88"/>
      <c r="AH253" s="88"/>
      <c r="AI253" s="88"/>
      <c r="AJ253" s="88"/>
      <c r="AK253" s="88"/>
      <c r="AL253" s="88"/>
      <c r="AM253" s="88">
        <v>40.170212765957444</v>
      </c>
      <c r="AN253" s="88">
        <v>117.5</v>
      </c>
      <c r="AO253" s="89"/>
      <c r="AP253" s="90"/>
      <c r="AQ253" s="146" t="str">
        <f t="shared" si="98"/>
        <v/>
      </c>
      <c r="AR253" s="146" t="str">
        <f t="shared" si="99"/>
        <v/>
      </c>
      <c r="AS253" s="147">
        <v>0</v>
      </c>
      <c r="AT253" s="148" t="s">
        <v>56</v>
      </c>
      <c r="AU253" s="149" t="s">
        <v>56</v>
      </c>
      <c r="AV253" s="146" t="str">
        <f t="shared" si="100"/>
        <v/>
      </c>
      <c r="AW253" s="146" t="str">
        <f t="shared" si="101"/>
        <v/>
      </c>
      <c r="AX253" s="168" t="str">
        <f t="shared" si="102"/>
        <v/>
      </c>
      <c r="AY253" s="95" t="s">
        <v>56</v>
      </c>
      <c r="AZ253" s="96">
        <v>57.42</v>
      </c>
      <c r="BA253" s="96"/>
      <c r="BB253" s="96">
        <v>88</v>
      </c>
      <c r="BC253" s="96"/>
      <c r="BD253" s="97">
        <v>117.5</v>
      </c>
      <c r="BE253" s="142">
        <f t="shared" si="103"/>
        <v>5791</v>
      </c>
      <c r="BF253" s="98">
        <v>9</v>
      </c>
      <c r="BG253" s="98">
        <v>0</v>
      </c>
      <c r="BH253" s="98">
        <v>295</v>
      </c>
      <c r="BI253" s="98">
        <v>5487</v>
      </c>
      <c r="BJ253" s="98"/>
      <c r="BK253" s="98"/>
      <c r="BL253" s="97"/>
    </row>
    <row r="254" spans="1:64" outlineLevel="4" x14ac:dyDescent="0.3">
      <c r="A254" s="63" t="s">
        <v>81</v>
      </c>
      <c r="B254" s="64"/>
      <c r="C254" s="65">
        <f t="shared" ref="C254:BL254" si="106">SUBTOTAL(4,C223:C253)</f>
        <v>39</v>
      </c>
      <c r="D254" s="66">
        <f t="shared" si="106"/>
        <v>39</v>
      </c>
      <c r="E254" s="66">
        <f t="shared" si="106"/>
        <v>39</v>
      </c>
      <c r="F254" s="66">
        <f t="shared" si="106"/>
        <v>0</v>
      </c>
      <c r="G254" s="66">
        <f t="shared" si="106"/>
        <v>0</v>
      </c>
      <c r="H254" s="66">
        <f t="shared" si="106"/>
        <v>0</v>
      </c>
      <c r="I254" s="66">
        <f t="shared" si="106"/>
        <v>0</v>
      </c>
      <c r="J254" s="66">
        <f t="shared" si="106"/>
        <v>0</v>
      </c>
      <c r="K254" s="66">
        <f t="shared" si="106"/>
        <v>0</v>
      </c>
      <c r="L254" s="67">
        <f t="shared" si="106"/>
        <v>7.7</v>
      </c>
      <c r="M254" s="68">
        <f t="shared" si="106"/>
        <v>7.83</v>
      </c>
      <c r="N254" s="68">
        <f t="shared" si="106"/>
        <v>7.7</v>
      </c>
      <c r="O254" s="68">
        <f t="shared" si="106"/>
        <v>0</v>
      </c>
      <c r="P254" s="68">
        <f t="shared" si="106"/>
        <v>0</v>
      </c>
      <c r="Q254" s="68">
        <f t="shared" si="106"/>
        <v>0</v>
      </c>
      <c r="R254" s="68">
        <f t="shared" si="106"/>
        <v>0</v>
      </c>
      <c r="S254" s="68">
        <f t="shared" si="106"/>
        <v>0</v>
      </c>
      <c r="T254" s="68">
        <f t="shared" si="106"/>
        <v>0</v>
      </c>
      <c r="U254" s="69">
        <f t="shared" si="106"/>
        <v>3860</v>
      </c>
      <c r="V254" s="70">
        <f t="shared" si="106"/>
        <v>3820</v>
      </c>
      <c r="W254" s="70">
        <f t="shared" si="106"/>
        <v>3950</v>
      </c>
      <c r="X254" s="70">
        <f t="shared" si="106"/>
        <v>0</v>
      </c>
      <c r="Y254" s="70">
        <f t="shared" si="106"/>
        <v>0</v>
      </c>
      <c r="Z254" s="70">
        <f t="shared" si="106"/>
        <v>0</v>
      </c>
      <c r="AA254" s="70">
        <f t="shared" si="106"/>
        <v>0</v>
      </c>
      <c r="AB254" s="70">
        <f t="shared" si="106"/>
        <v>0</v>
      </c>
      <c r="AC254" s="70">
        <f t="shared" si="106"/>
        <v>0</v>
      </c>
      <c r="AD254" s="69">
        <f t="shared" si="106"/>
        <v>0</v>
      </c>
      <c r="AE254" s="70">
        <f t="shared" si="106"/>
        <v>0</v>
      </c>
      <c r="AF254" s="70">
        <f t="shared" si="106"/>
        <v>0</v>
      </c>
      <c r="AG254" s="70">
        <f t="shared" si="106"/>
        <v>0</v>
      </c>
      <c r="AH254" s="70">
        <f t="shared" si="106"/>
        <v>0</v>
      </c>
      <c r="AI254" s="70">
        <f t="shared" si="106"/>
        <v>0</v>
      </c>
      <c r="AJ254" s="70">
        <f t="shared" si="106"/>
        <v>0</v>
      </c>
      <c r="AK254" s="70">
        <f t="shared" si="106"/>
        <v>0</v>
      </c>
      <c r="AL254" s="70">
        <f t="shared" si="106"/>
        <v>0</v>
      </c>
      <c r="AM254" s="70">
        <f t="shared" si="106"/>
        <v>47.561467150342608</v>
      </c>
      <c r="AN254" s="70">
        <f t="shared" si="106"/>
        <v>155.88</v>
      </c>
      <c r="AO254" s="71">
        <f t="shared" si="106"/>
        <v>21.3</v>
      </c>
      <c r="AP254" s="72">
        <f t="shared" si="106"/>
        <v>16.3371</v>
      </c>
      <c r="AQ254" s="73">
        <f t="shared" si="106"/>
        <v>85.7</v>
      </c>
      <c r="AR254" s="73">
        <f t="shared" si="106"/>
        <v>23.300000000000011</v>
      </c>
      <c r="AS254" s="74">
        <f t="shared" si="106"/>
        <v>55</v>
      </c>
      <c r="AT254" s="75">
        <f t="shared" si="106"/>
        <v>18.649999999999999</v>
      </c>
      <c r="AU254" s="76">
        <f t="shared" si="106"/>
        <v>10.3</v>
      </c>
      <c r="AV254" s="73">
        <f t="shared" si="106"/>
        <v>60.264900662251662</v>
      </c>
      <c r="AW254" s="73">
        <f t="shared" si="106"/>
        <v>53.313253012048193</v>
      </c>
      <c r="AX254" s="65">
        <f t="shared" si="106"/>
        <v>77.11979774406845</v>
      </c>
      <c r="AY254" s="77">
        <f t="shared" si="106"/>
        <v>77.55</v>
      </c>
      <c r="AZ254" s="78">
        <f t="shared" si="106"/>
        <v>63.585000000000001</v>
      </c>
      <c r="BA254" s="78">
        <f t="shared" si="106"/>
        <v>0</v>
      </c>
      <c r="BB254" s="78">
        <f t="shared" si="106"/>
        <v>104.5</v>
      </c>
      <c r="BC254" s="78">
        <f t="shared" si="106"/>
        <v>0</v>
      </c>
      <c r="BD254" s="79">
        <f t="shared" si="106"/>
        <v>155.88</v>
      </c>
      <c r="BE254" s="69">
        <f t="shared" si="106"/>
        <v>14996</v>
      </c>
      <c r="BF254" s="70">
        <f t="shared" si="106"/>
        <v>290</v>
      </c>
      <c r="BG254" s="80">
        <f t="shared" si="106"/>
        <v>0</v>
      </c>
      <c r="BH254" s="80">
        <f t="shared" si="106"/>
        <v>9189</v>
      </c>
      <c r="BI254" s="80">
        <f t="shared" si="106"/>
        <v>5842</v>
      </c>
      <c r="BJ254" s="80">
        <f t="shared" si="106"/>
        <v>0</v>
      </c>
      <c r="BK254" s="80">
        <f t="shared" si="106"/>
        <v>0</v>
      </c>
      <c r="BL254" s="79">
        <f t="shared" si="106"/>
        <v>0</v>
      </c>
    </row>
    <row r="255" spans="1:64" outlineLevel="3" x14ac:dyDescent="0.3">
      <c r="A255" s="81" t="s">
        <v>82</v>
      </c>
      <c r="B255" s="82"/>
      <c r="C255" s="83">
        <f t="shared" ref="C255:BL255" si="107">SUBTOTAL(5,C223:C253)</f>
        <v>37.5</v>
      </c>
      <c r="D255" s="84">
        <f t="shared" si="107"/>
        <v>38</v>
      </c>
      <c r="E255" s="84">
        <f t="shared" si="107"/>
        <v>37</v>
      </c>
      <c r="F255" s="84">
        <f t="shared" si="107"/>
        <v>0</v>
      </c>
      <c r="G255" s="84">
        <f t="shared" si="107"/>
        <v>0</v>
      </c>
      <c r="H255" s="84">
        <f t="shared" si="107"/>
        <v>0</v>
      </c>
      <c r="I255" s="84">
        <f t="shared" si="107"/>
        <v>0</v>
      </c>
      <c r="J255" s="84">
        <f t="shared" si="107"/>
        <v>0</v>
      </c>
      <c r="K255" s="84">
        <f t="shared" si="107"/>
        <v>0</v>
      </c>
      <c r="L255" s="85">
        <f t="shared" si="107"/>
        <v>7.7</v>
      </c>
      <c r="M255" s="86">
        <f t="shared" si="107"/>
        <v>7.71</v>
      </c>
      <c r="N255" s="86">
        <f t="shared" si="107"/>
        <v>7.6</v>
      </c>
      <c r="O255" s="86">
        <f t="shared" si="107"/>
        <v>0</v>
      </c>
      <c r="P255" s="86">
        <f t="shared" si="107"/>
        <v>0</v>
      </c>
      <c r="Q255" s="86">
        <f t="shared" si="107"/>
        <v>0</v>
      </c>
      <c r="R255" s="86">
        <f t="shared" si="107"/>
        <v>0</v>
      </c>
      <c r="S255" s="86">
        <f t="shared" si="107"/>
        <v>0</v>
      </c>
      <c r="T255" s="86">
        <f t="shared" si="107"/>
        <v>0</v>
      </c>
      <c r="U255" s="87">
        <f t="shared" si="107"/>
        <v>1146</v>
      </c>
      <c r="V255" s="88">
        <f t="shared" si="107"/>
        <v>908</v>
      </c>
      <c r="W255" s="88">
        <f t="shared" si="107"/>
        <v>1211</v>
      </c>
      <c r="X255" s="88">
        <f t="shared" si="107"/>
        <v>0</v>
      </c>
      <c r="Y255" s="88">
        <f t="shared" si="107"/>
        <v>0</v>
      </c>
      <c r="Z255" s="88">
        <f t="shared" si="107"/>
        <v>0</v>
      </c>
      <c r="AA255" s="88">
        <f t="shared" si="107"/>
        <v>0</v>
      </c>
      <c r="AB255" s="88">
        <f t="shared" si="107"/>
        <v>0</v>
      </c>
      <c r="AC255" s="88">
        <f t="shared" si="107"/>
        <v>0</v>
      </c>
      <c r="AD255" s="87">
        <f t="shared" si="107"/>
        <v>0</v>
      </c>
      <c r="AE255" s="88">
        <f t="shared" si="107"/>
        <v>0</v>
      </c>
      <c r="AF255" s="88">
        <f t="shared" si="107"/>
        <v>0</v>
      </c>
      <c r="AG255" s="88">
        <f t="shared" si="107"/>
        <v>0</v>
      </c>
      <c r="AH255" s="88">
        <f t="shared" si="107"/>
        <v>0</v>
      </c>
      <c r="AI255" s="88">
        <f t="shared" si="107"/>
        <v>0</v>
      </c>
      <c r="AJ255" s="88">
        <f t="shared" si="107"/>
        <v>0</v>
      </c>
      <c r="AK255" s="88">
        <f t="shared" si="107"/>
        <v>0</v>
      </c>
      <c r="AL255" s="88">
        <f t="shared" si="107"/>
        <v>0</v>
      </c>
      <c r="AM255" s="88">
        <f t="shared" si="107"/>
        <v>30.279702335129588</v>
      </c>
      <c r="AN255" s="88">
        <f t="shared" si="107"/>
        <v>99.24</v>
      </c>
      <c r="AO255" s="89">
        <f t="shared" si="107"/>
        <v>14.4</v>
      </c>
      <c r="AP255" s="90">
        <f t="shared" si="107"/>
        <v>12.340800000000002</v>
      </c>
      <c r="AQ255" s="91">
        <f t="shared" si="107"/>
        <v>76.699999999999989</v>
      </c>
      <c r="AR255" s="91">
        <f t="shared" si="107"/>
        <v>14.299999999999997</v>
      </c>
      <c r="AS255" s="92">
        <f t="shared" si="107"/>
        <v>0</v>
      </c>
      <c r="AT255" s="93">
        <f t="shared" si="107"/>
        <v>15.100000000000001</v>
      </c>
      <c r="AU255" s="94">
        <f t="shared" si="107"/>
        <v>7.75</v>
      </c>
      <c r="AV255" s="91">
        <f t="shared" si="107"/>
        <v>46.686746987951807</v>
      </c>
      <c r="AW255" s="91">
        <f t="shared" si="107"/>
        <v>39.735099337748338</v>
      </c>
      <c r="AX255" s="83">
        <f t="shared" si="107"/>
        <v>67.735065229538321</v>
      </c>
      <c r="AY255" s="95">
        <f t="shared" si="107"/>
        <v>70.599999999999994</v>
      </c>
      <c r="AZ255" s="96">
        <f t="shared" si="107"/>
        <v>57.234999999999999</v>
      </c>
      <c r="BA255" s="96">
        <f t="shared" si="107"/>
        <v>0</v>
      </c>
      <c r="BB255" s="96">
        <f t="shared" si="107"/>
        <v>37</v>
      </c>
      <c r="BC255" s="96">
        <f t="shared" si="107"/>
        <v>0</v>
      </c>
      <c r="BD255" s="97">
        <f t="shared" si="107"/>
        <v>99.24</v>
      </c>
      <c r="BE255" s="87">
        <f t="shared" si="107"/>
        <v>125</v>
      </c>
      <c r="BF255" s="88">
        <f t="shared" si="107"/>
        <v>0</v>
      </c>
      <c r="BG255" s="98">
        <f t="shared" si="107"/>
        <v>0</v>
      </c>
      <c r="BH255" s="98">
        <f t="shared" si="107"/>
        <v>0</v>
      </c>
      <c r="BI255" s="98">
        <f t="shared" si="107"/>
        <v>0</v>
      </c>
      <c r="BJ255" s="98">
        <f t="shared" si="107"/>
        <v>0</v>
      </c>
      <c r="BK255" s="98">
        <f t="shared" si="107"/>
        <v>0</v>
      </c>
      <c r="BL255" s="97">
        <f t="shared" si="107"/>
        <v>0</v>
      </c>
    </row>
    <row r="256" spans="1:64" outlineLevel="2" x14ac:dyDescent="0.3">
      <c r="A256" s="81" t="s">
        <v>83</v>
      </c>
      <c r="B256" s="82"/>
      <c r="C256" s="83">
        <f t="shared" ref="C256:BL256" si="108">IFERROR(SUBTOTAL(1,C223:C253),"")</f>
        <v>38.177419354838712</v>
      </c>
      <c r="D256" s="84">
        <f t="shared" si="108"/>
        <v>38.322580645161288</v>
      </c>
      <c r="E256" s="84">
        <f t="shared" si="108"/>
        <v>38.032258064516128</v>
      </c>
      <c r="F256" s="84" t="str">
        <f t="shared" si="108"/>
        <v/>
      </c>
      <c r="G256" s="84" t="str">
        <f t="shared" si="108"/>
        <v/>
      </c>
      <c r="H256" s="84" t="str">
        <f t="shared" si="108"/>
        <v/>
      </c>
      <c r="I256" s="84" t="str">
        <f t="shared" si="108"/>
        <v/>
      </c>
      <c r="J256" s="84" t="str">
        <f t="shared" si="108"/>
        <v/>
      </c>
      <c r="K256" s="84" t="str">
        <f t="shared" si="108"/>
        <v/>
      </c>
      <c r="L256" s="85">
        <f t="shared" si="108"/>
        <v>7.7000000000000011</v>
      </c>
      <c r="M256" s="86">
        <f t="shared" si="108"/>
        <v>7.7544444444444451</v>
      </c>
      <c r="N256" s="86">
        <f t="shared" si="108"/>
        <v>7.6477777777777796</v>
      </c>
      <c r="O256" s="86" t="str">
        <f t="shared" si="108"/>
        <v/>
      </c>
      <c r="P256" s="86" t="str">
        <f t="shared" si="108"/>
        <v/>
      </c>
      <c r="Q256" s="86" t="str">
        <f t="shared" si="108"/>
        <v/>
      </c>
      <c r="R256" s="86" t="str">
        <f t="shared" si="108"/>
        <v/>
      </c>
      <c r="S256" s="86" t="str">
        <f t="shared" si="108"/>
        <v/>
      </c>
      <c r="T256" s="86" t="str">
        <f t="shared" si="108"/>
        <v/>
      </c>
      <c r="U256" s="87">
        <f t="shared" si="108"/>
        <v>2038.2777777777778</v>
      </c>
      <c r="V256" s="88">
        <f t="shared" si="108"/>
        <v>2085.7777777777778</v>
      </c>
      <c r="W256" s="88">
        <f t="shared" si="108"/>
        <v>1990.7777777777778</v>
      </c>
      <c r="X256" s="88" t="str">
        <f t="shared" si="108"/>
        <v/>
      </c>
      <c r="Y256" s="88" t="str">
        <f t="shared" si="108"/>
        <v/>
      </c>
      <c r="Z256" s="88" t="str">
        <f t="shared" si="108"/>
        <v/>
      </c>
      <c r="AA256" s="88" t="str">
        <f t="shared" si="108"/>
        <v/>
      </c>
      <c r="AB256" s="88" t="str">
        <f t="shared" si="108"/>
        <v/>
      </c>
      <c r="AC256" s="88" t="str">
        <f t="shared" si="108"/>
        <v/>
      </c>
      <c r="AD256" s="87" t="str">
        <f t="shared" si="108"/>
        <v/>
      </c>
      <c r="AE256" s="88" t="str">
        <f t="shared" si="108"/>
        <v/>
      </c>
      <c r="AF256" s="88" t="str">
        <f t="shared" si="108"/>
        <v/>
      </c>
      <c r="AG256" s="88" t="str">
        <f t="shared" si="108"/>
        <v/>
      </c>
      <c r="AH256" s="88" t="str">
        <f t="shared" si="108"/>
        <v/>
      </c>
      <c r="AI256" s="88" t="str">
        <f t="shared" si="108"/>
        <v/>
      </c>
      <c r="AJ256" s="88" t="str">
        <f t="shared" si="108"/>
        <v/>
      </c>
      <c r="AK256" s="88" t="str">
        <f t="shared" si="108"/>
        <v/>
      </c>
      <c r="AL256" s="88" t="str">
        <f t="shared" si="108"/>
        <v/>
      </c>
      <c r="AM256" s="88">
        <f t="shared" si="108"/>
        <v>36.960464643987009</v>
      </c>
      <c r="AN256" s="88">
        <f t="shared" si="108"/>
        <v>129.35612903225808</v>
      </c>
      <c r="AO256" s="89">
        <f t="shared" si="108"/>
        <v>17.850000000000001</v>
      </c>
      <c r="AP256" s="90">
        <f t="shared" si="108"/>
        <v>14.338950000000001</v>
      </c>
      <c r="AQ256" s="91">
        <f t="shared" si="108"/>
        <v>81.199999999999989</v>
      </c>
      <c r="AR256" s="91">
        <f t="shared" si="108"/>
        <v>18.800000000000004</v>
      </c>
      <c r="AS256" s="92">
        <f t="shared" si="108"/>
        <v>31.419354838709676</v>
      </c>
      <c r="AT256" s="93">
        <f t="shared" si="108"/>
        <v>16.166666666666664</v>
      </c>
      <c r="AU256" s="94">
        <f t="shared" si="108"/>
        <v>8.9166666666666661</v>
      </c>
      <c r="AV256" s="91">
        <f t="shared" si="108"/>
        <v>55.313270267456453</v>
      </c>
      <c r="AW256" s="91">
        <f t="shared" si="108"/>
        <v>44.686729732543547</v>
      </c>
      <c r="AX256" s="83">
        <f t="shared" si="108"/>
        <v>72.427431486803385</v>
      </c>
      <c r="AY256" s="95">
        <f t="shared" si="108"/>
        <v>74.566666666666663</v>
      </c>
      <c r="AZ256" s="96">
        <f t="shared" si="108"/>
        <v>60.519032258064499</v>
      </c>
      <c r="BA256" s="96" t="str">
        <f t="shared" si="108"/>
        <v/>
      </c>
      <c r="BB256" s="96">
        <f t="shared" si="108"/>
        <v>73.822580645161295</v>
      </c>
      <c r="BC256" s="96" t="str">
        <f t="shared" si="108"/>
        <v/>
      </c>
      <c r="BD256" s="97">
        <f>IFERROR(SUBTOTAL(1,BD223:BD253),"")</f>
        <v>129.35612903225808</v>
      </c>
      <c r="BE256" s="87">
        <f t="shared" si="108"/>
        <v>6982.2580645161288</v>
      </c>
      <c r="BF256" s="88">
        <f t="shared" si="108"/>
        <v>79.612903225806448</v>
      </c>
      <c r="BG256" s="98">
        <f t="shared" si="108"/>
        <v>0</v>
      </c>
      <c r="BH256" s="98">
        <f t="shared" si="108"/>
        <v>2383.4193548387098</v>
      </c>
      <c r="BI256" s="98">
        <f t="shared" si="108"/>
        <v>4519.2258064516127</v>
      </c>
      <c r="BJ256" s="98" t="str">
        <f t="shared" si="108"/>
        <v/>
      </c>
      <c r="BK256" s="98" t="str">
        <f t="shared" si="108"/>
        <v/>
      </c>
      <c r="BL256" s="97" t="str">
        <f t="shared" si="108"/>
        <v/>
      </c>
    </row>
    <row r="257" spans="1:64" ht="17.25" outlineLevel="1" thickBot="1" x14ac:dyDescent="0.35">
      <c r="A257" s="99" t="s">
        <v>84</v>
      </c>
      <c r="B257" s="100"/>
      <c r="C257" s="101"/>
      <c r="D257" s="102"/>
      <c r="E257" s="102"/>
      <c r="F257" s="102"/>
      <c r="G257" s="102"/>
      <c r="H257" s="102"/>
      <c r="I257" s="102"/>
      <c r="J257" s="102"/>
      <c r="K257" s="102"/>
      <c r="L257" s="103"/>
      <c r="M257" s="104"/>
      <c r="N257" s="104"/>
      <c r="O257" s="104"/>
      <c r="P257" s="104"/>
      <c r="Q257" s="104"/>
      <c r="R257" s="104"/>
      <c r="S257" s="104"/>
      <c r="T257" s="104"/>
      <c r="U257" s="105"/>
      <c r="V257" s="106"/>
      <c r="W257" s="106"/>
      <c r="X257" s="106"/>
      <c r="Y257" s="106"/>
      <c r="Z257" s="106"/>
      <c r="AA257" s="106"/>
      <c r="AB257" s="106"/>
      <c r="AC257" s="106"/>
      <c r="AD257" s="105"/>
      <c r="AE257" s="106"/>
      <c r="AF257" s="106"/>
      <c r="AG257" s="106"/>
      <c r="AH257" s="106"/>
      <c r="AI257" s="106"/>
      <c r="AJ257" s="106"/>
      <c r="AK257" s="106"/>
      <c r="AL257" s="106"/>
      <c r="AM257" s="106"/>
      <c r="AN257" s="107">
        <f>SUBTOTAL(9,AN223:AN253)</f>
        <v>4010.0400000000004</v>
      </c>
      <c r="AO257" s="108"/>
      <c r="AP257" s="109"/>
      <c r="AQ257" s="110"/>
      <c r="AR257" s="110"/>
      <c r="AS257" s="111">
        <f>SUBTOTAL(9,AS223:AS253)</f>
        <v>974</v>
      </c>
      <c r="AT257" s="112"/>
      <c r="AU257" s="113"/>
      <c r="AV257" s="110"/>
      <c r="AW257" s="110"/>
      <c r="AX257" s="101"/>
      <c r="AY257" s="114"/>
      <c r="AZ257" s="115"/>
      <c r="BA257" s="115"/>
      <c r="BB257" s="115"/>
      <c r="BC257" s="115"/>
      <c r="BD257" s="116">
        <f>SUBTOTAL(9,BD223:BD253)</f>
        <v>4010.0400000000004</v>
      </c>
      <c r="BE257" s="117">
        <f t="shared" ref="BE257:BL257" si="109">SUBTOTAL(9,BE223:BE253)</f>
        <v>216450</v>
      </c>
      <c r="BF257" s="107">
        <f t="shared" si="109"/>
        <v>2468</v>
      </c>
      <c r="BG257" s="118">
        <f t="shared" si="109"/>
        <v>0</v>
      </c>
      <c r="BH257" s="118">
        <f t="shared" si="109"/>
        <v>73886</v>
      </c>
      <c r="BI257" s="118">
        <f t="shared" si="109"/>
        <v>140096</v>
      </c>
      <c r="BJ257" s="118">
        <f t="shared" si="109"/>
        <v>0</v>
      </c>
      <c r="BK257" s="118">
        <f t="shared" si="109"/>
        <v>0</v>
      </c>
      <c r="BL257" s="116">
        <f t="shared" si="109"/>
        <v>0</v>
      </c>
    </row>
    <row r="258" spans="1:64" outlineLevel="5" x14ac:dyDescent="0.3">
      <c r="A258" s="136">
        <f t="shared" si="105"/>
        <v>8</v>
      </c>
      <c r="B258" s="165">
        <f>B253+1</f>
        <v>44409</v>
      </c>
      <c r="C258" s="138">
        <f t="shared" ref="C258:C288" si="110">IFERROR(ROUND(AVERAGE(D258:K258),1),"")</f>
        <v>39</v>
      </c>
      <c r="D258" s="84">
        <v>39</v>
      </c>
      <c r="E258" s="84">
        <v>39</v>
      </c>
      <c r="F258" s="84"/>
      <c r="G258" s="84"/>
      <c r="H258" s="84"/>
      <c r="I258" s="84"/>
      <c r="J258" s="84"/>
      <c r="K258" s="84"/>
      <c r="L258" s="140" t="str">
        <f t="shared" ref="L258:L288" si="111">IFERROR(ROUND(AVERAGE(M258:T258),1),"")</f>
        <v/>
      </c>
      <c r="M258" s="86"/>
      <c r="N258" s="86"/>
      <c r="O258" s="86"/>
      <c r="P258" s="86"/>
      <c r="Q258" s="86"/>
      <c r="R258" s="86"/>
      <c r="S258" s="86"/>
      <c r="T258" s="86"/>
      <c r="U258" s="142" t="str">
        <f t="shared" ref="U258:U288" si="112">IFERROR(ROUND(AVERAGE(V258:AC258),1),"")</f>
        <v/>
      </c>
      <c r="V258" s="88"/>
      <c r="W258" s="88"/>
      <c r="X258" s="88"/>
      <c r="Y258" s="88"/>
      <c r="Z258" s="88"/>
      <c r="AA258" s="88"/>
      <c r="AB258" s="88"/>
      <c r="AC258" s="88"/>
      <c r="AD258" s="142" t="str">
        <f t="shared" ref="AD258:AD288" si="113">IFERROR(ROUND(AVERAGE(AE258:AL258),1),"")</f>
        <v/>
      </c>
      <c r="AE258" s="88"/>
      <c r="AF258" s="88"/>
      <c r="AG258" s="88"/>
      <c r="AH258" s="88"/>
      <c r="AI258" s="88"/>
      <c r="AJ258" s="88"/>
      <c r="AK258" s="88"/>
      <c r="AL258" s="88"/>
      <c r="AM258" s="88">
        <v>52.444444444444443</v>
      </c>
      <c r="AN258" s="88">
        <v>90</v>
      </c>
      <c r="AO258" s="89"/>
      <c r="AP258" s="90"/>
      <c r="AQ258" s="146" t="str">
        <f t="shared" ref="AQ258:AQ288" si="114">IFERROR(AP258/AO258*100,"")</f>
        <v/>
      </c>
      <c r="AR258" s="146" t="str">
        <f t="shared" ref="AR258:AR288" si="115">IFERROR(100-AQ258,"")</f>
        <v/>
      </c>
      <c r="AS258" s="147">
        <v>0</v>
      </c>
      <c r="AT258" s="148" t="s">
        <v>56</v>
      </c>
      <c r="AU258" s="149" t="s">
        <v>56</v>
      </c>
      <c r="AV258" s="146" t="str">
        <f t="shared" ref="AV258:AV288" si="116">IFERROR(AU258/AT258*100,"")</f>
        <v/>
      </c>
      <c r="AW258" s="146" t="str">
        <f t="shared" ref="AW258:AW288" si="117">IFERROR(100-AV258,"")</f>
        <v/>
      </c>
      <c r="AX258" s="138" t="str">
        <f t="shared" ref="AX258:AX288" si="118">IFERROR((1-((AV258*AR258)/(AW258*AQ258)))*100,"")</f>
        <v/>
      </c>
      <c r="AY258" s="95" t="s">
        <v>56</v>
      </c>
      <c r="AZ258" s="96">
        <v>59.385000000000005</v>
      </c>
      <c r="BA258" s="96"/>
      <c r="BB258" s="96">
        <v>68</v>
      </c>
      <c r="BC258" s="96"/>
      <c r="BD258" s="97">
        <v>90</v>
      </c>
      <c r="BE258" s="142">
        <f t="shared" ref="BE258:BE288" si="119">IF(SUM(BF258:BL258)=0,"",SUM(BF258:BL258))</f>
        <v>5702</v>
      </c>
      <c r="BF258" s="98">
        <v>6</v>
      </c>
      <c r="BG258" s="98">
        <v>0</v>
      </c>
      <c r="BH258" s="98">
        <v>0</v>
      </c>
      <c r="BI258" s="98">
        <v>5696</v>
      </c>
      <c r="BJ258" s="98"/>
      <c r="BK258" s="98"/>
      <c r="BL258" s="97"/>
    </row>
    <row r="259" spans="1:64" outlineLevel="5" x14ac:dyDescent="0.3">
      <c r="A259" s="152">
        <f t="shared" si="105"/>
        <v>8</v>
      </c>
      <c r="B259" s="153">
        <f t="shared" si="104"/>
        <v>44410</v>
      </c>
      <c r="C259" s="138">
        <f t="shared" si="110"/>
        <v>38</v>
      </c>
      <c r="D259" s="84">
        <v>38</v>
      </c>
      <c r="E259" s="84">
        <v>38</v>
      </c>
      <c r="F259" s="84"/>
      <c r="G259" s="84"/>
      <c r="H259" s="84"/>
      <c r="I259" s="84"/>
      <c r="J259" s="84"/>
      <c r="K259" s="84"/>
      <c r="L259" s="140">
        <f t="shared" si="111"/>
        <v>7.7</v>
      </c>
      <c r="M259" s="86">
        <v>7.79</v>
      </c>
      <c r="N259" s="86">
        <v>7.63</v>
      </c>
      <c r="O259" s="86"/>
      <c r="P259" s="86"/>
      <c r="Q259" s="86"/>
      <c r="R259" s="86"/>
      <c r="S259" s="86"/>
      <c r="T259" s="86"/>
      <c r="U259" s="142">
        <f t="shared" si="112"/>
        <v>1350</v>
      </c>
      <c r="V259" s="88">
        <v>1450</v>
      </c>
      <c r="W259" s="88">
        <v>1250</v>
      </c>
      <c r="X259" s="88"/>
      <c r="Y259" s="88"/>
      <c r="Z259" s="88"/>
      <c r="AA259" s="88"/>
      <c r="AB259" s="88"/>
      <c r="AC259" s="88"/>
      <c r="AD259" s="142" t="str">
        <f t="shared" si="113"/>
        <v/>
      </c>
      <c r="AE259" s="88"/>
      <c r="AF259" s="88"/>
      <c r="AG259" s="88"/>
      <c r="AH259" s="88"/>
      <c r="AI259" s="88"/>
      <c r="AJ259" s="88"/>
      <c r="AK259" s="88"/>
      <c r="AL259" s="88"/>
      <c r="AM259" s="88">
        <v>40.675629093416063</v>
      </c>
      <c r="AN259" s="88">
        <v>116.03999999999999</v>
      </c>
      <c r="AO259" s="89" t="s">
        <v>56</v>
      </c>
      <c r="AP259" s="90" t="s">
        <v>56</v>
      </c>
      <c r="AQ259" s="146" t="str">
        <f t="shared" si="114"/>
        <v/>
      </c>
      <c r="AR259" s="146" t="str">
        <f t="shared" si="115"/>
        <v/>
      </c>
      <c r="AS259" s="147">
        <v>40</v>
      </c>
      <c r="AT259" s="148">
        <v>16.549999999999997</v>
      </c>
      <c r="AU259" s="149">
        <v>8.9499999999999993</v>
      </c>
      <c r="AV259" s="146">
        <f t="shared" si="116"/>
        <v>54.0785498489426</v>
      </c>
      <c r="AW259" s="146">
        <f t="shared" si="117"/>
        <v>45.9214501510574</v>
      </c>
      <c r="AX259" s="138" t="str">
        <f t="shared" si="118"/>
        <v/>
      </c>
      <c r="AY259" s="95">
        <v>71.550000000000011</v>
      </c>
      <c r="AZ259" s="96">
        <v>59.010000000000005</v>
      </c>
      <c r="BA259" s="96"/>
      <c r="BB259" s="96">
        <v>47</v>
      </c>
      <c r="BC259" s="96"/>
      <c r="BD259" s="97">
        <v>116.03999999999999</v>
      </c>
      <c r="BE259" s="142">
        <f t="shared" si="119"/>
        <v>5872</v>
      </c>
      <c r="BF259" s="98">
        <v>7</v>
      </c>
      <c r="BG259" s="98">
        <v>0</v>
      </c>
      <c r="BH259" s="98">
        <v>1</v>
      </c>
      <c r="BI259" s="98">
        <v>5864</v>
      </c>
      <c r="BJ259" s="98"/>
      <c r="BK259" s="98"/>
      <c r="BL259" s="97"/>
    </row>
    <row r="260" spans="1:64" outlineLevel="5" x14ac:dyDescent="0.3">
      <c r="A260" s="152">
        <f t="shared" si="105"/>
        <v>8</v>
      </c>
      <c r="B260" s="153">
        <f t="shared" si="104"/>
        <v>44411</v>
      </c>
      <c r="C260" s="138">
        <f t="shared" si="110"/>
        <v>38</v>
      </c>
      <c r="D260" s="84">
        <v>38</v>
      </c>
      <c r="E260" s="84">
        <v>38</v>
      </c>
      <c r="F260" s="84"/>
      <c r="G260" s="84"/>
      <c r="H260" s="84"/>
      <c r="I260" s="84"/>
      <c r="J260" s="84"/>
      <c r="K260" s="84"/>
      <c r="L260" s="140" t="str">
        <f t="shared" si="111"/>
        <v/>
      </c>
      <c r="M260" s="86" t="s">
        <v>56</v>
      </c>
      <c r="N260" s="86" t="s">
        <v>56</v>
      </c>
      <c r="O260" s="86"/>
      <c r="P260" s="86"/>
      <c r="Q260" s="86"/>
      <c r="R260" s="86"/>
      <c r="S260" s="86"/>
      <c r="T260" s="86"/>
      <c r="U260" s="142" t="str">
        <f t="shared" si="112"/>
        <v/>
      </c>
      <c r="V260" s="88" t="s">
        <v>56</v>
      </c>
      <c r="W260" s="88" t="s">
        <v>56</v>
      </c>
      <c r="X260" s="88"/>
      <c r="Y260" s="88"/>
      <c r="Z260" s="88"/>
      <c r="AA260" s="88"/>
      <c r="AB260" s="88"/>
      <c r="AC260" s="88"/>
      <c r="AD260" s="142" t="str">
        <f t="shared" si="113"/>
        <v/>
      </c>
      <c r="AE260" s="88"/>
      <c r="AF260" s="88"/>
      <c r="AG260" s="88"/>
      <c r="AH260" s="88"/>
      <c r="AI260" s="88"/>
      <c r="AJ260" s="88"/>
      <c r="AK260" s="88"/>
      <c r="AL260" s="88"/>
      <c r="AM260" s="88">
        <v>36.886527039699907</v>
      </c>
      <c r="AN260" s="88">
        <v>127.96</v>
      </c>
      <c r="AO260" s="89" t="s">
        <v>56</v>
      </c>
      <c r="AP260" s="90" t="s">
        <v>56</v>
      </c>
      <c r="AQ260" s="146" t="str">
        <f t="shared" si="114"/>
        <v/>
      </c>
      <c r="AR260" s="146" t="str">
        <f t="shared" si="115"/>
        <v/>
      </c>
      <c r="AS260" s="147">
        <v>42</v>
      </c>
      <c r="AT260" s="148" t="s">
        <v>56</v>
      </c>
      <c r="AU260" s="149" t="s">
        <v>56</v>
      </c>
      <c r="AV260" s="146" t="str">
        <f t="shared" si="116"/>
        <v/>
      </c>
      <c r="AW260" s="146" t="str">
        <f t="shared" si="117"/>
        <v/>
      </c>
      <c r="AX260" s="138" t="str">
        <f t="shared" si="118"/>
        <v/>
      </c>
      <c r="AY260" s="95" t="s">
        <v>56</v>
      </c>
      <c r="AZ260" s="96">
        <v>58.25</v>
      </c>
      <c r="BA260" s="96"/>
      <c r="BB260" s="96">
        <v>52.5</v>
      </c>
      <c r="BC260" s="96"/>
      <c r="BD260" s="97">
        <v>127.96</v>
      </c>
      <c r="BE260" s="142">
        <f t="shared" si="119"/>
        <v>6526</v>
      </c>
      <c r="BF260" s="98">
        <v>7</v>
      </c>
      <c r="BG260" s="98">
        <v>0</v>
      </c>
      <c r="BH260" s="98">
        <v>1059</v>
      </c>
      <c r="BI260" s="98">
        <v>5460</v>
      </c>
      <c r="BJ260" s="98"/>
      <c r="BK260" s="98"/>
      <c r="BL260" s="97"/>
    </row>
    <row r="261" spans="1:64" outlineLevel="5" x14ac:dyDescent="0.3">
      <c r="A261" s="152">
        <f t="shared" si="105"/>
        <v>8</v>
      </c>
      <c r="B261" s="153">
        <f t="shared" si="104"/>
        <v>44412</v>
      </c>
      <c r="C261" s="138">
        <f t="shared" si="110"/>
        <v>38</v>
      </c>
      <c r="D261" s="84">
        <v>38</v>
      </c>
      <c r="E261" s="84">
        <v>38</v>
      </c>
      <c r="F261" s="84"/>
      <c r="G261" s="84"/>
      <c r="H261" s="84"/>
      <c r="I261" s="84"/>
      <c r="J261" s="84"/>
      <c r="K261" s="84"/>
      <c r="L261" s="140" t="str">
        <f t="shared" si="111"/>
        <v/>
      </c>
      <c r="M261" s="86" t="s">
        <v>56</v>
      </c>
      <c r="N261" s="86" t="s">
        <v>56</v>
      </c>
      <c r="O261" s="86"/>
      <c r="P261" s="86"/>
      <c r="Q261" s="86"/>
      <c r="R261" s="86"/>
      <c r="S261" s="86"/>
      <c r="T261" s="86"/>
      <c r="U261" s="142" t="str">
        <f t="shared" si="112"/>
        <v/>
      </c>
      <c r="V261" s="88" t="s">
        <v>56</v>
      </c>
      <c r="W261" s="88" t="s">
        <v>56</v>
      </c>
      <c r="X261" s="88"/>
      <c r="Y261" s="88"/>
      <c r="Z261" s="88"/>
      <c r="AA261" s="88"/>
      <c r="AB261" s="88"/>
      <c r="AC261" s="88"/>
      <c r="AD261" s="142" t="str">
        <f t="shared" si="113"/>
        <v/>
      </c>
      <c r="AE261" s="88"/>
      <c r="AF261" s="88"/>
      <c r="AG261" s="88"/>
      <c r="AH261" s="88"/>
      <c r="AI261" s="88"/>
      <c r="AJ261" s="88"/>
      <c r="AK261" s="88"/>
      <c r="AL261" s="88"/>
      <c r="AM261" s="88">
        <v>33.905610229150206</v>
      </c>
      <c r="AN261" s="88">
        <v>139.21</v>
      </c>
      <c r="AO261" s="89" t="s">
        <v>56</v>
      </c>
      <c r="AP261" s="90" t="s">
        <v>56</v>
      </c>
      <c r="AQ261" s="146" t="str">
        <f t="shared" si="114"/>
        <v/>
      </c>
      <c r="AR261" s="146" t="str">
        <f t="shared" si="115"/>
        <v/>
      </c>
      <c r="AS261" s="147">
        <v>30</v>
      </c>
      <c r="AT261" s="148" t="s">
        <v>56</v>
      </c>
      <c r="AU261" s="149" t="s">
        <v>56</v>
      </c>
      <c r="AV261" s="146" t="str">
        <f t="shared" si="116"/>
        <v/>
      </c>
      <c r="AW261" s="146" t="str">
        <f t="shared" si="117"/>
        <v/>
      </c>
      <c r="AX261" s="138" t="str">
        <f t="shared" si="118"/>
        <v/>
      </c>
      <c r="AY261" s="95" t="s">
        <v>56</v>
      </c>
      <c r="AZ261" s="96">
        <v>59.39</v>
      </c>
      <c r="BA261" s="96"/>
      <c r="BB261" s="96">
        <v>72</v>
      </c>
      <c r="BC261" s="96"/>
      <c r="BD261" s="97">
        <v>139.21</v>
      </c>
      <c r="BE261" s="142">
        <f t="shared" si="119"/>
        <v>10343</v>
      </c>
      <c r="BF261" s="98">
        <v>7</v>
      </c>
      <c r="BG261" s="98">
        <v>0</v>
      </c>
      <c r="BH261" s="98">
        <v>4812</v>
      </c>
      <c r="BI261" s="98">
        <v>5524</v>
      </c>
      <c r="BJ261" s="98"/>
      <c r="BK261" s="98"/>
      <c r="BL261" s="97"/>
    </row>
    <row r="262" spans="1:64" outlineLevel="5" x14ac:dyDescent="0.3">
      <c r="A262" s="152">
        <f t="shared" si="105"/>
        <v>8</v>
      </c>
      <c r="B262" s="153">
        <f t="shared" si="104"/>
        <v>44413</v>
      </c>
      <c r="C262" s="138">
        <f t="shared" si="110"/>
        <v>38</v>
      </c>
      <c r="D262" s="84">
        <v>38</v>
      </c>
      <c r="E262" s="84">
        <v>38</v>
      </c>
      <c r="F262" s="84"/>
      <c r="G262" s="84"/>
      <c r="H262" s="84"/>
      <c r="I262" s="84"/>
      <c r="J262" s="84"/>
      <c r="K262" s="84"/>
      <c r="L262" s="140">
        <f t="shared" si="111"/>
        <v>7.8</v>
      </c>
      <c r="M262" s="86">
        <v>7.82</v>
      </c>
      <c r="N262" s="86">
        <v>7.71</v>
      </c>
      <c r="O262" s="86"/>
      <c r="P262" s="86"/>
      <c r="Q262" s="86"/>
      <c r="R262" s="86"/>
      <c r="S262" s="86"/>
      <c r="T262" s="86"/>
      <c r="U262" s="142">
        <f t="shared" si="112"/>
        <v>1435</v>
      </c>
      <c r="V262" s="88">
        <v>1520</v>
      </c>
      <c r="W262" s="88">
        <v>1350</v>
      </c>
      <c r="X262" s="88"/>
      <c r="Y262" s="88"/>
      <c r="Z262" s="88"/>
      <c r="AA262" s="88"/>
      <c r="AB262" s="88"/>
      <c r="AC262" s="88"/>
      <c r="AD262" s="142" t="str">
        <f t="shared" si="113"/>
        <v/>
      </c>
      <c r="AE262" s="88"/>
      <c r="AF262" s="88"/>
      <c r="AG262" s="88"/>
      <c r="AH262" s="88"/>
      <c r="AI262" s="88"/>
      <c r="AJ262" s="88"/>
      <c r="AK262" s="88"/>
      <c r="AL262" s="88"/>
      <c r="AM262" s="88">
        <v>35.989325200152493</v>
      </c>
      <c r="AN262" s="88">
        <v>131.15</v>
      </c>
      <c r="AO262" s="89" t="s">
        <v>56</v>
      </c>
      <c r="AP262" s="90"/>
      <c r="AQ262" s="146" t="str">
        <f t="shared" si="114"/>
        <v/>
      </c>
      <c r="AR262" s="146" t="str">
        <f t="shared" si="115"/>
        <v/>
      </c>
      <c r="AS262" s="147">
        <v>15</v>
      </c>
      <c r="AT262" s="148">
        <v>16.549999999999997</v>
      </c>
      <c r="AU262" s="149">
        <v>8.9499999999999993</v>
      </c>
      <c r="AV262" s="146">
        <f t="shared" si="116"/>
        <v>54.0785498489426</v>
      </c>
      <c r="AW262" s="146">
        <f t="shared" si="117"/>
        <v>45.9214501510574</v>
      </c>
      <c r="AX262" s="138" t="str">
        <f t="shared" si="118"/>
        <v/>
      </c>
      <c r="AY262" s="95">
        <v>71.550000000000011</v>
      </c>
      <c r="AZ262" s="96">
        <v>59.66</v>
      </c>
      <c r="BA262" s="96"/>
      <c r="BB262" s="96">
        <v>68.5</v>
      </c>
      <c r="BC262" s="96"/>
      <c r="BD262" s="97">
        <v>131.15</v>
      </c>
      <c r="BE262" s="142">
        <f t="shared" si="119"/>
        <v>5593</v>
      </c>
      <c r="BF262" s="98">
        <v>124</v>
      </c>
      <c r="BG262" s="98">
        <v>0</v>
      </c>
      <c r="BH262" s="98">
        <v>0</v>
      </c>
      <c r="BI262" s="98">
        <v>5469</v>
      </c>
      <c r="BJ262" s="98"/>
      <c r="BK262" s="98"/>
      <c r="BL262" s="97"/>
    </row>
    <row r="263" spans="1:64" outlineLevel="5" x14ac:dyDescent="0.3">
      <c r="A263" s="152">
        <f t="shared" si="105"/>
        <v>8</v>
      </c>
      <c r="B263" s="153">
        <f t="shared" si="104"/>
        <v>44414</v>
      </c>
      <c r="C263" s="138">
        <f t="shared" si="110"/>
        <v>38</v>
      </c>
      <c r="D263" s="84">
        <v>38</v>
      </c>
      <c r="E263" s="84">
        <v>38</v>
      </c>
      <c r="F263" s="84"/>
      <c r="G263" s="84"/>
      <c r="H263" s="84"/>
      <c r="I263" s="84"/>
      <c r="J263" s="84"/>
      <c r="K263" s="84"/>
      <c r="L263" s="140" t="str">
        <f t="shared" si="111"/>
        <v/>
      </c>
      <c r="M263" s="86" t="s">
        <v>56</v>
      </c>
      <c r="N263" s="86" t="s">
        <v>56</v>
      </c>
      <c r="O263" s="86"/>
      <c r="P263" s="86"/>
      <c r="Q263" s="86"/>
      <c r="R263" s="86"/>
      <c r="S263" s="86"/>
      <c r="T263" s="86"/>
      <c r="U263" s="142" t="str">
        <f t="shared" si="112"/>
        <v/>
      </c>
      <c r="V263" s="88" t="s">
        <v>56</v>
      </c>
      <c r="W263" s="88" t="s">
        <v>56</v>
      </c>
      <c r="X263" s="88"/>
      <c r="Y263" s="88"/>
      <c r="Z263" s="88"/>
      <c r="AA263" s="88"/>
      <c r="AB263" s="88"/>
      <c r="AC263" s="88"/>
      <c r="AD263" s="142" t="str">
        <f t="shared" si="113"/>
        <v/>
      </c>
      <c r="AE263" s="88"/>
      <c r="AF263" s="88"/>
      <c r="AG263" s="88"/>
      <c r="AH263" s="88"/>
      <c r="AI263" s="88"/>
      <c r="AJ263" s="88"/>
      <c r="AK263" s="88"/>
      <c r="AL263" s="88"/>
      <c r="AM263" s="88">
        <v>36.697247706422019</v>
      </c>
      <c r="AN263" s="88">
        <v>128.62</v>
      </c>
      <c r="AO263" s="89" t="s">
        <v>56</v>
      </c>
      <c r="AP263" s="90"/>
      <c r="AQ263" s="146" t="str">
        <f t="shared" si="114"/>
        <v/>
      </c>
      <c r="AR263" s="146" t="str">
        <f t="shared" si="115"/>
        <v/>
      </c>
      <c r="AS263" s="147">
        <v>20</v>
      </c>
      <c r="AT263" s="148" t="s">
        <v>56</v>
      </c>
      <c r="AU263" s="149" t="s">
        <v>56</v>
      </c>
      <c r="AV263" s="146" t="str">
        <f t="shared" si="116"/>
        <v/>
      </c>
      <c r="AW263" s="146" t="str">
        <f t="shared" si="117"/>
        <v/>
      </c>
      <c r="AX263" s="138" t="str">
        <f t="shared" si="118"/>
        <v/>
      </c>
      <c r="AY263" s="95" t="s">
        <v>56</v>
      </c>
      <c r="AZ263" s="96">
        <v>60.16</v>
      </c>
      <c r="BA263" s="96"/>
      <c r="BB263" s="96">
        <v>74</v>
      </c>
      <c r="BC263" s="96"/>
      <c r="BD263" s="97">
        <v>128.62</v>
      </c>
      <c r="BE263" s="142">
        <f t="shared" si="119"/>
        <v>5582</v>
      </c>
      <c r="BF263" s="98">
        <v>87</v>
      </c>
      <c r="BG263" s="98">
        <v>0</v>
      </c>
      <c r="BH263" s="98">
        <v>0</v>
      </c>
      <c r="BI263" s="98">
        <v>5495</v>
      </c>
      <c r="BJ263" s="98"/>
      <c r="BK263" s="98"/>
      <c r="BL263" s="97"/>
    </row>
    <row r="264" spans="1:64" outlineLevel="5" x14ac:dyDescent="0.3">
      <c r="A264" s="152">
        <f t="shared" si="105"/>
        <v>8</v>
      </c>
      <c r="B264" s="153">
        <f t="shared" si="104"/>
        <v>44415</v>
      </c>
      <c r="C264" s="138">
        <f t="shared" si="110"/>
        <v>38</v>
      </c>
      <c r="D264" s="84">
        <v>38</v>
      </c>
      <c r="E264" s="84">
        <v>38</v>
      </c>
      <c r="F264" s="84"/>
      <c r="G264" s="84"/>
      <c r="H264" s="84"/>
      <c r="I264" s="84"/>
      <c r="J264" s="84"/>
      <c r="K264" s="84"/>
      <c r="L264" s="140" t="str">
        <f t="shared" si="111"/>
        <v/>
      </c>
      <c r="M264" s="86"/>
      <c r="N264" s="86"/>
      <c r="O264" s="86"/>
      <c r="P264" s="86"/>
      <c r="Q264" s="86"/>
      <c r="R264" s="86"/>
      <c r="S264" s="86"/>
      <c r="T264" s="86"/>
      <c r="U264" s="142" t="str">
        <f t="shared" si="112"/>
        <v/>
      </c>
      <c r="V264" s="88"/>
      <c r="W264" s="88"/>
      <c r="X264" s="88"/>
      <c r="Y264" s="88"/>
      <c r="Z264" s="88"/>
      <c r="AA264" s="88"/>
      <c r="AB264" s="88"/>
      <c r="AC264" s="88"/>
      <c r="AD264" s="142" t="str">
        <f t="shared" si="113"/>
        <v/>
      </c>
      <c r="AE264" s="88"/>
      <c r="AF264" s="88"/>
      <c r="AG264" s="88"/>
      <c r="AH264" s="88"/>
      <c r="AI264" s="88"/>
      <c r="AJ264" s="88"/>
      <c r="AK264" s="88"/>
      <c r="AL264" s="88"/>
      <c r="AM264" s="88">
        <v>34.128705712219812</v>
      </c>
      <c r="AN264" s="88">
        <v>138.30000000000001</v>
      </c>
      <c r="AO264" s="89"/>
      <c r="AP264" s="90"/>
      <c r="AQ264" s="146" t="str">
        <f t="shared" si="114"/>
        <v/>
      </c>
      <c r="AR264" s="146" t="str">
        <f t="shared" si="115"/>
        <v/>
      </c>
      <c r="AS264" s="147">
        <v>0</v>
      </c>
      <c r="AT264" s="148" t="s">
        <v>56</v>
      </c>
      <c r="AU264" s="149" t="s">
        <v>56</v>
      </c>
      <c r="AV264" s="146" t="str">
        <f t="shared" si="116"/>
        <v/>
      </c>
      <c r="AW264" s="146" t="str">
        <f t="shared" si="117"/>
        <v/>
      </c>
      <c r="AX264" s="138" t="str">
        <f t="shared" si="118"/>
        <v/>
      </c>
      <c r="AY264" s="95" t="s">
        <v>56</v>
      </c>
      <c r="AZ264" s="96">
        <v>59.72</v>
      </c>
      <c r="BA264" s="96"/>
      <c r="BB264" s="96">
        <v>76</v>
      </c>
      <c r="BC264" s="96"/>
      <c r="BD264" s="97">
        <v>138.30000000000001</v>
      </c>
      <c r="BE264" s="142">
        <f t="shared" si="119"/>
        <v>5661</v>
      </c>
      <c r="BF264" s="98">
        <v>113</v>
      </c>
      <c r="BG264" s="98">
        <v>0</v>
      </c>
      <c r="BH264" s="98">
        <v>0</v>
      </c>
      <c r="BI264" s="98">
        <v>5548</v>
      </c>
      <c r="BJ264" s="98"/>
      <c r="BK264" s="98"/>
      <c r="BL264" s="97"/>
    </row>
    <row r="265" spans="1:64" outlineLevel="5" x14ac:dyDescent="0.3">
      <c r="A265" s="152">
        <f t="shared" si="105"/>
        <v>8</v>
      </c>
      <c r="B265" s="153">
        <f t="shared" si="104"/>
        <v>44416</v>
      </c>
      <c r="C265" s="138">
        <f t="shared" si="110"/>
        <v>38</v>
      </c>
      <c r="D265" s="84">
        <v>38</v>
      </c>
      <c r="E265" s="84">
        <v>38</v>
      </c>
      <c r="F265" s="84"/>
      <c r="G265" s="84"/>
      <c r="H265" s="84"/>
      <c r="I265" s="84"/>
      <c r="J265" s="84"/>
      <c r="K265" s="84"/>
      <c r="L265" s="140" t="str">
        <f t="shared" si="111"/>
        <v/>
      </c>
      <c r="M265" s="86"/>
      <c r="N265" s="86"/>
      <c r="O265" s="86"/>
      <c r="P265" s="86"/>
      <c r="Q265" s="86"/>
      <c r="R265" s="86"/>
      <c r="S265" s="86"/>
      <c r="T265" s="86"/>
      <c r="U265" s="142" t="str">
        <f t="shared" si="112"/>
        <v/>
      </c>
      <c r="V265" s="88"/>
      <c r="W265" s="88"/>
      <c r="X265" s="88"/>
      <c r="Y265" s="88"/>
      <c r="Z265" s="88"/>
      <c r="AA265" s="88"/>
      <c r="AB265" s="88"/>
      <c r="AC265" s="88"/>
      <c r="AD265" s="142" t="str">
        <f t="shared" si="113"/>
        <v/>
      </c>
      <c r="AE265" s="88"/>
      <c r="AF265" s="88"/>
      <c r="AG265" s="88"/>
      <c r="AH265" s="88"/>
      <c r="AI265" s="88"/>
      <c r="AJ265" s="88"/>
      <c r="AK265" s="88"/>
      <c r="AL265" s="88"/>
      <c r="AM265" s="88">
        <v>39.333333333333336</v>
      </c>
      <c r="AN265" s="88">
        <v>120</v>
      </c>
      <c r="AO265" s="89"/>
      <c r="AP265" s="90"/>
      <c r="AQ265" s="146" t="str">
        <f t="shared" si="114"/>
        <v/>
      </c>
      <c r="AR265" s="146" t="str">
        <f t="shared" si="115"/>
        <v/>
      </c>
      <c r="AS265" s="147">
        <v>10</v>
      </c>
      <c r="AT265" s="148" t="s">
        <v>56</v>
      </c>
      <c r="AU265" s="149" t="s">
        <v>56</v>
      </c>
      <c r="AV265" s="146" t="str">
        <f t="shared" si="116"/>
        <v/>
      </c>
      <c r="AW265" s="146" t="str">
        <f t="shared" si="117"/>
        <v/>
      </c>
      <c r="AX265" s="138" t="str">
        <f t="shared" si="118"/>
        <v/>
      </c>
      <c r="AY265" s="95" t="s">
        <v>56</v>
      </c>
      <c r="AZ265" s="96">
        <v>60.79</v>
      </c>
      <c r="BA265" s="96"/>
      <c r="BB265" s="96">
        <v>75.5</v>
      </c>
      <c r="BC265" s="96"/>
      <c r="BD265" s="97">
        <v>120</v>
      </c>
      <c r="BE265" s="142">
        <f t="shared" si="119"/>
        <v>5090</v>
      </c>
      <c r="BF265" s="98">
        <v>96</v>
      </c>
      <c r="BG265" s="98">
        <v>0</v>
      </c>
      <c r="BH265" s="98">
        <v>0</v>
      </c>
      <c r="BI265" s="98">
        <v>4994</v>
      </c>
      <c r="BJ265" s="98"/>
      <c r="BK265" s="98"/>
      <c r="BL265" s="97"/>
    </row>
    <row r="266" spans="1:64" outlineLevel="5" x14ac:dyDescent="0.3">
      <c r="A266" s="152">
        <f t="shared" si="105"/>
        <v>8</v>
      </c>
      <c r="B266" s="153">
        <f t="shared" si="104"/>
        <v>44417</v>
      </c>
      <c r="C266" s="138">
        <f t="shared" si="110"/>
        <v>38</v>
      </c>
      <c r="D266" s="84">
        <v>38</v>
      </c>
      <c r="E266" s="84">
        <v>38</v>
      </c>
      <c r="F266" s="84"/>
      <c r="G266" s="84"/>
      <c r="H266" s="84"/>
      <c r="I266" s="84"/>
      <c r="J266" s="84"/>
      <c r="K266" s="84"/>
      <c r="L266" s="140">
        <f t="shared" si="111"/>
        <v>7.6</v>
      </c>
      <c r="M266" s="86">
        <v>7.73</v>
      </c>
      <c r="N266" s="86">
        <v>7.52</v>
      </c>
      <c r="O266" s="86"/>
      <c r="P266" s="86"/>
      <c r="Q266" s="86"/>
      <c r="R266" s="86"/>
      <c r="S266" s="86"/>
      <c r="T266" s="86"/>
      <c r="U266" s="142">
        <f t="shared" si="112"/>
        <v>1550</v>
      </c>
      <c r="V266" s="88">
        <v>1650</v>
      </c>
      <c r="W266" s="88">
        <v>1450</v>
      </c>
      <c r="X266" s="88"/>
      <c r="Y266" s="88"/>
      <c r="Z266" s="88"/>
      <c r="AA266" s="88"/>
      <c r="AB266" s="88"/>
      <c r="AC266" s="88"/>
      <c r="AD266" s="142" t="str">
        <f t="shared" si="113"/>
        <v/>
      </c>
      <c r="AE266" s="88"/>
      <c r="AF266" s="88"/>
      <c r="AG266" s="88"/>
      <c r="AH266" s="88"/>
      <c r="AI266" s="88"/>
      <c r="AJ266" s="88"/>
      <c r="AK266" s="88"/>
      <c r="AL266" s="88"/>
      <c r="AM266" s="88">
        <v>44.017532406975661</v>
      </c>
      <c r="AN266" s="88">
        <v>107.22999999999999</v>
      </c>
      <c r="AO266" s="89">
        <v>17.5</v>
      </c>
      <c r="AP266" s="90">
        <v>13.895</v>
      </c>
      <c r="AQ266" s="146">
        <f t="shared" si="114"/>
        <v>79.399999999999991</v>
      </c>
      <c r="AR266" s="146">
        <f t="shared" si="115"/>
        <v>20.600000000000009</v>
      </c>
      <c r="AS266" s="147">
        <v>20</v>
      </c>
      <c r="AT266" s="148">
        <v>15.85</v>
      </c>
      <c r="AU266" s="149">
        <v>8.65</v>
      </c>
      <c r="AV266" s="146">
        <f t="shared" si="116"/>
        <v>54.57413249211357</v>
      </c>
      <c r="AW266" s="146">
        <f t="shared" si="117"/>
        <v>45.42586750788643</v>
      </c>
      <c r="AX266" s="138">
        <f t="shared" si="118"/>
        <v>68.830464595577922</v>
      </c>
      <c r="AY266" s="95">
        <v>72.099999999999994</v>
      </c>
      <c r="AZ266" s="96">
        <v>59.924999999999997</v>
      </c>
      <c r="BA266" s="96"/>
      <c r="BB266" s="96">
        <v>71.5</v>
      </c>
      <c r="BC266" s="96"/>
      <c r="BD266" s="97">
        <v>107.22999999999999</v>
      </c>
      <c r="BE266" s="142">
        <f t="shared" si="119"/>
        <v>5701</v>
      </c>
      <c r="BF266" s="98">
        <v>0</v>
      </c>
      <c r="BG266" s="98">
        <v>0</v>
      </c>
      <c r="BH266" s="98">
        <v>0</v>
      </c>
      <c r="BI266" s="98">
        <v>5701</v>
      </c>
      <c r="BJ266" s="98"/>
      <c r="BK266" s="98"/>
      <c r="BL266" s="97"/>
    </row>
    <row r="267" spans="1:64" outlineLevel="5" x14ac:dyDescent="0.3">
      <c r="A267" s="152">
        <f t="shared" si="105"/>
        <v>8</v>
      </c>
      <c r="B267" s="153">
        <f t="shared" si="104"/>
        <v>44418</v>
      </c>
      <c r="C267" s="138">
        <f t="shared" si="110"/>
        <v>38</v>
      </c>
      <c r="D267" s="84">
        <v>38</v>
      </c>
      <c r="E267" s="84">
        <v>38</v>
      </c>
      <c r="F267" s="84"/>
      <c r="G267" s="84"/>
      <c r="H267" s="84"/>
      <c r="I267" s="84"/>
      <c r="J267" s="84"/>
      <c r="K267" s="84"/>
      <c r="L267" s="140" t="str">
        <f t="shared" si="111"/>
        <v/>
      </c>
      <c r="M267" s="86" t="s">
        <v>56</v>
      </c>
      <c r="N267" s="86" t="s">
        <v>56</v>
      </c>
      <c r="O267" s="86"/>
      <c r="P267" s="86"/>
      <c r="Q267" s="86"/>
      <c r="R267" s="86"/>
      <c r="S267" s="86"/>
      <c r="T267" s="86"/>
      <c r="U267" s="142" t="str">
        <f t="shared" si="112"/>
        <v/>
      </c>
      <c r="V267" s="88" t="s">
        <v>56</v>
      </c>
      <c r="W267" s="88" t="s">
        <v>56</v>
      </c>
      <c r="X267" s="88"/>
      <c r="Y267" s="88"/>
      <c r="Z267" s="88"/>
      <c r="AA267" s="88"/>
      <c r="AB267" s="88"/>
      <c r="AC267" s="88"/>
      <c r="AD267" s="142" t="str">
        <f t="shared" si="113"/>
        <v/>
      </c>
      <c r="AE267" s="88"/>
      <c r="AF267" s="88"/>
      <c r="AG267" s="88"/>
      <c r="AH267" s="88"/>
      <c r="AI267" s="88"/>
      <c r="AJ267" s="88"/>
      <c r="AK267" s="88"/>
      <c r="AL267" s="88"/>
      <c r="AM267" s="88">
        <v>34.292356873002035</v>
      </c>
      <c r="AN267" s="88">
        <v>137.63999999999999</v>
      </c>
      <c r="AO267" s="89" t="s">
        <v>56</v>
      </c>
      <c r="AP267" s="90" t="s">
        <v>56</v>
      </c>
      <c r="AQ267" s="146" t="str">
        <f t="shared" si="114"/>
        <v/>
      </c>
      <c r="AR267" s="146" t="str">
        <f t="shared" si="115"/>
        <v/>
      </c>
      <c r="AS267" s="147">
        <v>20</v>
      </c>
      <c r="AT267" s="148" t="s">
        <v>56</v>
      </c>
      <c r="AU267" s="149" t="s">
        <v>56</v>
      </c>
      <c r="AV267" s="146" t="str">
        <f t="shared" si="116"/>
        <v/>
      </c>
      <c r="AW267" s="146" t="str">
        <f t="shared" si="117"/>
        <v/>
      </c>
      <c r="AX267" s="138" t="str">
        <f t="shared" si="118"/>
        <v/>
      </c>
      <c r="AY267" s="95" t="s">
        <v>56</v>
      </c>
      <c r="AZ267" s="96">
        <v>60.44</v>
      </c>
      <c r="BA267" s="96"/>
      <c r="BB267" s="96">
        <v>76</v>
      </c>
      <c r="BC267" s="96"/>
      <c r="BD267" s="97">
        <v>137.63999999999999</v>
      </c>
      <c r="BE267" s="142">
        <f t="shared" si="119"/>
        <v>5421</v>
      </c>
      <c r="BF267" s="98">
        <v>0</v>
      </c>
      <c r="BG267" s="98">
        <v>0</v>
      </c>
      <c r="BH267" s="98">
        <v>0</v>
      </c>
      <c r="BI267" s="98">
        <v>5421</v>
      </c>
      <c r="BJ267" s="98"/>
      <c r="BK267" s="98"/>
      <c r="BL267" s="97"/>
    </row>
    <row r="268" spans="1:64" outlineLevel="5" x14ac:dyDescent="0.3">
      <c r="A268" s="152">
        <f t="shared" si="105"/>
        <v>8</v>
      </c>
      <c r="B268" s="153">
        <f t="shared" si="104"/>
        <v>44419</v>
      </c>
      <c r="C268" s="138">
        <f t="shared" si="110"/>
        <v>38</v>
      </c>
      <c r="D268" s="84">
        <v>38</v>
      </c>
      <c r="E268" s="84">
        <v>38</v>
      </c>
      <c r="F268" s="84"/>
      <c r="G268" s="84"/>
      <c r="H268" s="84"/>
      <c r="I268" s="84"/>
      <c r="J268" s="84"/>
      <c r="K268" s="84"/>
      <c r="L268" s="140">
        <f t="shared" si="111"/>
        <v>7.7</v>
      </c>
      <c r="M268" s="86">
        <v>7.75</v>
      </c>
      <c r="N268" s="86">
        <v>7.58</v>
      </c>
      <c r="O268" s="86"/>
      <c r="P268" s="86"/>
      <c r="Q268" s="86"/>
      <c r="R268" s="86"/>
      <c r="S268" s="86"/>
      <c r="T268" s="86"/>
      <c r="U268" s="142">
        <f t="shared" si="112"/>
        <v>1430</v>
      </c>
      <c r="V268" s="88">
        <v>1510</v>
      </c>
      <c r="W268" s="88">
        <v>1350</v>
      </c>
      <c r="X268" s="88"/>
      <c r="Y268" s="88"/>
      <c r="Z268" s="88"/>
      <c r="AA268" s="88"/>
      <c r="AB268" s="88"/>
      <c r="AC268" s="88"/>
      <c r="AD268" s="142" t="str">
        <f t="shared" si="113"/>
        <v/>
      </c>
      <c r="AE268" s="88"/>
      <c r="AF268" s="88"/>
      <c r="AG268" s="88"/>
      <c r="AH268" s="88"/>
      <c r="AI268" s="88"/>
      <c r="AJ268" s="88"/>
      <c r="AK268" s="88"/>
      <c r="AL268" s="88"/>
      <c r="AM268" s="88">
        <v>32.750485706355811</v>
      </c>
      <c r="AN268" s="88">
        <v>144.12</v>
      </c>
      <c r="AO268" s="89" t="s">
        <v>56</v>
      </c>
      <c r="AP268" s="90" t="s">
        <v>56</v>
      </c>
      <c r="AQ268" s="146" t="str">
        <f t="shared" si="114"/>
        <v/>
      </c>
      <c r="AR268" s="146" t="str">
        <f t="shared" si="115"/>
        <v/>
      </c>
      <c r="AS268" s="147">
        <v>20</v>
      </c>
      <c r="AT268" s="148">
        <v>15.9</v>
      </c>
      <c r="AU268" s="149">
        <v>8.65</v>
      </c>
      <c r="AV268" s="146">
        <f t="shared" si="116"/>
        <v>54.40251572327044</v>
      </c>
      <c r="AW268" s="146">
        <f t="shared" si="117"/>
        <v>45.59748427672956</v>
      </c>
      <c r="AX268" s="138" t="str">
        <f t="shared" si="118"/>
        <v/>
      </c>
      <c r="AY268" s="95">
        <v>72.099999999999994</v>
      </c>
      <c r="AZ268" s="96">
        <v>59.555</v>
      </c>
      <c r="BA268" s="96"/>
      <c r="BB268" s="96">
        <v>73</v>
      </c>
      <c r="BC268" s="96"/>
      <c r="BD268" s="97">
        <v>144.12</v>
      </c>
      <c r="BE268" s="142">
        <f t="shared" si="119"/>
        <v>5620</v>
      </c>
      <c r="BF268" s="98">
        <v>81</v>
      </c>
      <c r="BG268" s="98">
        <v>0</v>
      </c>
      <c r="BH268" s="98">
        <v>0</v>
      </c>
      <c r="BI268" s="98">
        <v>5539</v>
      </c>
      <c r="BJ268" s="98"/>
      <c r="BK268" s="98"/>
      <c r="BL268" s="97"/>
    </row>
    <row r="269" spans="1:64" outlineLevel="5" x14ac:dyDescent="0.3">
      <c r="A269" s="152">
        <f t="shared" si="105"/>
        <v>8</v>
      </c>
      <c r="B269" s="153">
        <f t="shared" si="104"/>
        <v>44420</v>
      </c>
      <c r="C269" s="138">
        <f t="shared" si="110"/>
        <v>38</v>
      </c>
      <c r="D269" s="84">
        <v>38</v>
      </c>
      <c r="E269" s="84">
        <v>38</v>
      </c>
      <c r="F269" s="84"/>
      <c r="G269" s="84"/>
      <c r="H269" s="84"/>
      <c r="I269" s="84"/>
      <c r="J269" s="84"/>
      <c r="K269" s="84"/>
      <c r="L269" s="140">
        <f t="shared" si="111"/>
        <v>7.7</v>
      </c>
      <c r="M269" s="86">
        <v>7.73</v>
      </c>
      <c r="N269" s="86">
        <v>7.67</v>
      </c>
      <c r="O269" s="86"/>
      <c r="P269" s="86"/>
      <c r="Q269" s="86"/>
      <c r="R269" s="86"/>
      <c r="S269" s="86"/>
      <c r="T269" s="86"/>
      <c r="U269" s="142">
        <f t="shared" si="112"/>
        <v>1295</v>
      </c>
      <c r="V269" s="88">
        <v>1325</v>
      </c>
      <c r="W269" s="88">
        <v>1265</v>
      </c>
      <c r="X269" s="88"/>
      <c r="Y269" s="88"/>
      <c r="Z269" s="88"/>
      <c r="AA269" s="88"/>
      <c r="AB269" s="88"/>
      <c r="AC269" s="88"/>
      <c r="AD269" s="142" t="str">
        <f t="shared" si="113"/>
        <v/>
      </c>
      <c r="AE269" s="88"/>
      <c r="AF269" s="88"/>
      <c r="AG269" s="88"/>
      <c r="AH269" s="88"/>
      <c r="AI269" s="88"/>
      <c r="AJ269" s="88"/>
      <c r="AK269" s="88"/>
      <c r="AL269" s="88"/>
      <c r="AM269" s="88">
        <v>34.225219345950258</v>
      </c>
      <c r="AN269" s="88">
        <v>137.91</v>
      </c>
      <c r="AO269" s="89" t="s">
        <v>56</v>
      </c>
      <c r="AP269" s="90" t="s">
        <v>56</v>
      </c>
      <c r="AQ269" s="146" t="str">
        <f t="shared" si="114"/>
        <v/>
      </c>
      <c r="AR269" s="146" t="str">
        <f t="shared" si="115"/>
        <v/>
      </c>
      <c r="AS269" s="147">
        <v>22</v>
      </c>
      <c r="AT269" s="148">
        <v>15.95</v>
      </c>
      <c r="AU269" s="149">
        <v>9.0500000000000007</v>
      </c>
      <c r="AV269" s="146">
        <f t="shared" si="116"/>
        <v>56.739811912225711</v>
      </c>
      <c r="AW269" s="146">
        <f t="shared" si="117"/>
        <v>43.260188087774289</v>
      </c>
      <c r="AX269" s="138" t="str">
        <f t="shared" si="118"/>
        <v/>
      </c>
      <c r="AY269" s="95">
        <v>76.599999999999994</v>
      </c>
      <c r="AZ269" s="96">
        <v>61.825000000000003</v>
      </c>
      <c r="BA269" s="96"/>
      <c r="BB269" s="96">
        <v>59</v>
      </c>
      <c r="BC269" s="96"/>
      <c r="BD269" s="97">
        <v>137.91</v>
      </c>
      <c r="BE269" s="142">
        <f t="shared" si="119"/>
        <v>6271</v>
      </c>
      <c r="BF269" s="98">
        <v>0</v>
      </c>
      <c r="BG269" s="98">
        <v>0</v>
      </c>
      <c r="BH269" s="98">
        <v>852</v>
      </c>
      <c r="BI269" s="98">
        <v>5419</v>
      </c>
      <c r="BJ269" s="98"/>
      <c r="BK269" s="98"/>
      <c r="BL269" s="97"/>
    </row>
    <row r="270" spans="1:64" outlineLevel="5" x14ac:dyDescent="0.3">
      <c r="A270" s="152">
        <f t="shared" si="105"/>
        <v>8</v>
      </c>
      <c r="B270" s="153">
        <f t="shared" si="104"/>
        <v>44421</v>
      </c>
      <c r="C270" s="138">
        <f t="shared" si="110"/>
        <v>37.5</v>
      </c>
      <c r="D270" s="84">
        <v>38</v>
      </c>
      <c r="E270" s="84">
        <v>37</v>
      </c>
      <c r="F270" s="84"/>
      <c r="G270" s="84"/>
      <c r="H270" s="84"/>
      <c r="I270" s="84"/>
      <c r="J270" s="84"/>
      <c r="K270" s="84"/>
      <c r="L270" s="140" t="str">
        <f t="shared" si="111"/>
        <v/>
      </c>
      <c r="M270" s="86" t="s">
        <v>56</v>
      </c>
      <c r="N270" s="86" t="s">
        <v>56</v>
      </c>
      <c r="O270" s="86"/>
      <c r="P270" s="86"/>
      <c r="Q270" s="86"/>
      <c r="R270" s="86"/>
      <c r="S270" s="86"/>
      <c r="T270" s="86"/>
      <c r="U270" s="142" t="str">
        <f t="shared" si="112"/>
        <v/>
      </c>
      <c r="V270" s="88" t="s">
        <v>56</v>
      </c>
      <c r="W270" s="88" t="s">
        <v>56</v>
      </c>
      <c r="X270" s="88"/>
      <c r="Y270" s="88"/>
      <c r="Z270" s="88"/>
      <c r="AA270" s="88"/>
      <c r="AB270" s="88"/>
      <c r="AC270" s="88"/>
      <c r="AD270" s="142" t="str">
        <f t="shared" si="113"/>
        <v/>
      </c>
      <c r="AE270" s="88"/>
      <c r="AF270" s="88"/>
      <c r="AG270" s="88"/>
      <c r="AH270" s="88"/>
      <c r="AI270" s="88"/>
      <c r="AJ270" s="88"/>
      <c r="AK270" s="88"/>
      <c r="AL270" s="88"/>
      <c r="AM270" s="88">
        <v>39.336611384282023</v>
      </c>
      <c r="AN270" s="88">
        <v>119.99000000000001</v>
      </c>
      <c r="AO270" s="89" t="s">
        <v>56</v>
      </c>
      <c r="AP270" s="90" t="s">
        <v>56</v>
      </c>
      <c r="AQ270" s="146" t="str">
        <f t="shared" si="114"/>
        <v/>
      </c>
      <c r="AR270" s="146" t="str">
        <f t="shared" si="115"/>
        <v/>
      </c>
      <c r="AS270" s="147">
        <v>20</v>
      </c>
      <c r="AT270" s="148" t="s">
        <v>56</v>
      </c>
      <c r="AU270" s="149" t="s">
        <v>56</v>
      </c>
      <c r="AV270" s="146" t="str">
        <f t="shared" si="116"/>
        <v/>
      </c>
      <c r="AW270" s="146" t="str">
        <f t="shared" si="117"/>
        <v/>
      </c>
      <c r="AX270" s="138" t="str">
        <f t="shared" si="118"/>
        <v/>
      </c>
      <c r="AY270" s="95" t="s">
        <v>56</v>
      </c>
      <c r="AZ270" s="96">
        <v>61.405000000000001</v>
      </c>
      <c r="BA270" s="96"/>
      <c r="BB270" s="96">
        <v>69.5</v>
      </c>
      <c r="BC270" s="96"/>
      <c r="BD270" s="97">
        <v>119.99000000000001</v>
      </c>
      <c r="BE270" s="142">
        <f t="shared" si="119"/>
        <v>10798</v>
      </c>
      <c r="BF270" s="98">
        <v>182</v>
      </c>
      <c r="BG270" s="98">
        <v>0</v>
      </c>
      <c r="BH270" s="98">
        <v>5217</v>
      </c>
      <c r="BI270" s="98">
        <v>5399</v>
      </c>
      <c r="BJ270" s="98"/>
      <c r="BK270" s="98"/>
      <c r="BL270" s="97"/>
    </row>
    <row r="271" spans="1:64" outlineLevel="5" x14ac:dyDescent="0.3">
      <c r="A271" s="152">
        <f t="shared" si="105"/>
        <v>8</v>
      </c>
      <c r="B271" s="153">
        <f t="shared" si="104"/>
        <v>44422</v>
      </c>
      <c r="C271" s="138">
        <f t="shared" si="110"/>
        <v>38</v>
      </c>
      <c r="D271" s="84">
        <v>38</v>
      </c>
      <c r="E271" s="84">
        <v>38</v>
      </c>
      <c r="F271" s="84"/>
      <c r="G271" s="84"/>
      <c r="H271" s="84"/>
      <c r="I271" s="84"/>
      <c r="J271" s="84"/>
      <c r="K271" s="84"/>
      <c r="L271" s="140" t="str">
        <f t="shared" si="111"/>
        <v/>
      </c>
      <c r="M271" s="86"/>
      <c r="N271" s="86"/>
      <c r="O271" s="86"/>
      <c r="P271" s="86"/>
      <c r="Q271" s="86"/>
      <c r="R271" s="86"/>
      <c r="S271" s="86"/>
      <c r="T271" s="86"/>
      <c r="U271" s="142" t="str">
        <f t="shared" si="112"/>
        <v/>
      </c>
      <c r="V271" s="88"/>
      <c r="W271" s="88"/>
      <c r="X271" s="88"/>
      <c r="Y271" s="88"/>
      <c r="Z271" s="88"/>
      <c r="AA271" s="88"/>
      <c r="AB271" s="88"/>
      <c r="AC271" s="88"/>
      <c r="AD271" s="142" t="str">
        <f t="shared" si="113"/>
        <v/>
      </c>
      <c r="AE271" s="88"/>
      <c r="AF271" s="88"/>
      <c r="AG271" s="88"/>
      <c r="AH271" s="88"/>
      <c r="AI271" s="88"/>
      <c r="AJ271" s="88"/>
      <c r="AK271" s="88"/>
      <c r="AL271" s="88"/>
      <c r="AM271" s="88">
        <v>37.019607843137258</v>
      </c>
      <c r="AN271" s="88">
        <v>127.5</v>
      </c>
      <c r="AO271" s="89"/>
      <c r="AP271" s="90"/>
      <c r="AQ271" s="146" t="str">
        <f t="shared" si="114"/>
        <v/>
      </c>
      <c r="AR271" s="146" t="str">
        <f t="shared" si="115"/>
        <v/>
      </c>
      <c r="AS271" s="147">
        <v>10</v>
      </c>
      <c r="AT271" s="148" t="s">
        <v>56</v>
      </c>
      <c r="AU271" s="149" t="s">
        <v>56</v>
      </c>
      <c r="AV271" s="146" t="str">
        <f t="shared" si="116"/>
        <v/>
      </c>
      <c r="AW271" s="146" t="str">
        <f t="shared" si="117"/>
        <v/>
      </c>
      <c r="AX271" s="138" t="str">
        <f t="shared" si="118"/>
        <v/>
      </c>
      <c r="AY271" s="95" t="s">
        <v>56</v>
      </c>
      <c r="AZ271" s="96">
        <v>61.864999999999995</v>
      </c>
      <c r="BA271" s="96"/>
      <c r="BB271" s="96">
        <v>69</v>
      </c>
      <c r="BC271" s="96"/>
      <c r="BD271" s="97">
        <v>127.5</v>
      </c>
      <c r="BE271" s="142">
        <f t="shared" si="119"/>
        <v>9610</v>
      </c>
      <c r="BF271" s="98">
        <v>0</v>
      </c>
      <c r="BG271" s="98">
        <v>0</v>
      </c>
      <c r="BH271" s="98">
        <v>4311</v>
      </c>
      <c r="BI271" s="98">
        <v>5299</v>
      </c>
      <c r="BJ271" s="98"/>
      <c r="BK271" s="98"/>
      <c r="BL271" s="97"/>
    </row>
    <row r="272" spans="1:64" outlineLevel="5" x14ac:dyDescent="0.3">
      <c r="A272" s="152">
        <f t="shared" si="105"/>
        <v>8</v>
      </c>
      <c r="B272" s="153">
        <f t="shared" si="104"/>
        <v>44423</v>
      </c>
      <c r="C272" s="138">
        <f t="shared" si="110"/>
        <v>38</v>
      </c>
      <c r="D272" s="84">
        <v>38</v>
      </c>
      <c r="E272" s="84">
        <v>38</v>
      </c>
      <c r="F272" s="84"/>
      <c r="G272" s="84"/>
      <c r="H272" s="84"/>
      <c r="I272" s="84"/>
      <c r="J272" s="84"/>
      <c r="K272" s="84"/>
      <c r="L272" s="140" t="str">
        <f t="shared" si="111"/>
        <v/>
      </c>
      <c r="M272" s="86"/>
      <c r="N272" s="86"/>
      <c r="O272" s="86"/>
      <c r="P272" s="86"/>
      <c r="Q272" s="86"/>
      <c r="R272" s="86"/>
      <c r="S272" s="86"/>
      <c r="T272" s="86"/>
      <c r="U272" s="142" t="str">
        <f t="shared" si="112"/>
        <v/>
      </c>
      <c r="V272" s="88"/>
      <c r="W272" s="88"/>
      <c r="X272" s="88"/>
      <c r="Y272" s="88"/>
      <c r="Z272" s="88"/>
      <c r="AA272" s="88"/>
      <c r="AB272" s="88"/>
      <c r="AC272" s="88"/>
      <c r="AD272" s="142" t="str">
        <f t="shared" si="113"/>
        <v/>
      </c>
      <c r="AE272" s="88"/>
      <c r="AF272" s="88"/>
      <c r="AG272" s="88"/>
      <c r="AH272" s="88"/>
      <c r="AI272" s="88"/>
      <c r="AJ272" s="88"/>
      <c r="AK272" s="88"/>
      <c r="AL272" s="88"/>
      <c r="AM272" s="88">
        <v>39.333333333333336</v>
      </c>
      <c r="AN272" s="88">
        <v>120</v>
      </c>
      <c r="AO272" s="89"/>
      <c r="AP272" s="90"/>
      <c r="AQ272" s="146" t="str">
        <f t="shared" si="114"/>
        <v/>
      </c>
      <c r="AR272" s="146" t="str">
        <f t="shared" si="115"/>
        <v/>
      </c>
      <c r="AS272" s="147">
        <v>11</v>
      </c>
      <c r="AT272" s="148" t="s">
        <v>56</v>
      </c>
      <c r="AU272" s="149" t="s">
        <v>56</v>
      </c>
      <c r="AV272" s="146" t="str">
        <f t="shared" si="116"/>
        <v/>
      </c>
      <c r="AW272" s="146" t="str">
        <f t="shared" si="117"/>
        <v/>
      </c>
      <c r="AX272" s="138" t="str">
        <f t="shared" si="118"/>
        <v/>
      </c>
      <c r="AY272" s="95" t="s">
        <v>56</v>
      </c>
      <c r="AZ272" s="96">
        <v>61.03</v>
      </c>
      <c r="BA272" s="96"/>
      <c r="BB272" s="96">
        <v>67</v>
      </c>
      <c r="BC272" s="96"/>
      <c r="BD272" s="97">
        <v>120</v>
      </c>
      <c r="BE272" s="142">
        <f t="shared" si="119"/>
        <v>5299</v>
      </c>
      <c r="BF272" s="98">
        <v>0</v>
      </c>
      <c r="BG272" s="98">
        <v>0</v>
      </c>
      <c r="BH272" s="98">
        <v>0</v>
      </c>
      <c r="BI272" s="98">
        <v>5299</v>
      </c>
      <c r="BJ272" s="98"/>
      <c r="BK272" s="98"/>
      <c r="BL272" s="97"/>
    </row>
    <row r="273" spans="1:64" outlineLevel="5" x14ac:dyDescent="0.3">
      <c r="A273" s="152">
        <f t="shared" si="105"/>
        <v>8</v>
      </c>
      <c r="B273" s="153">
        <f t="shared" si="104"/>
        <v>44424</v>
      </c>
      <c r="C273" s="138">
        <f t="shared" si="110"/>
        <v>38</v>
      </c>
      <c r="D273" s="84">
        <v>38</v>
      </c>
      <c r="E273" s="84">
        <v>38</v>
      </c>
      <c r="F273" s="84"/>
      <c r="G273" s="84"/>
      <c r="H273" s="84"/>
      <c r="I273" s="84"/>
      <c r="J273" s="84"/>
      <c r="K273" s="84"/>
      <c r="L273" s="140" t="str">
        <f t="shared" si="111"/>
        <v/>
      </c>
      <c r="M273" s="86"/>
      <c r="N273" s="86"/>
      <c r="O273" s="86"/>
      <c r="P273" s="86"/>
      <c r="Q273" s="86"/>
      <c r="R273" s="86"/>
      <c r="S273" s="86"/>
      <c r="T273" s="86"/>
      <c r="U273" s="142" t="str">
        <f t="shared" si="112"/>
        <v/>
      </c>
      <c r="V273" s="88"/>
      <c r="W273" s="88"/>
      <c r="X273" s="88"/>
      <c r="Y273" s="88"/>
      <c r="Z273" s="88"/>
      <c r="AA273" s="88"/>
      <c r="AB273" s="88"/>
      <c r="AC273" s="88"/>
      <c r="AD273" s="142" t="str">
        <f t="shared" si="113"/>
        <v/>
      </c>
      <c r="AE273" s="88"/>
      <c r="AF273" s="88"/>
      <c r="AG273" s="88"/>
      <c r="AH273" s="88"/>
      <c r="AI273" s="88"/>
      <c r="AJ273" s="88"/>
      <c r="AK273" s="88"/>
      <c r="AL273" s="88"/>
      <c r="AM273" s="88">
        <v>37.799311283735086</v>
      </c>
      <c r="AN273" s="88">
        <v>124.87</v>
      </c>
      <c r="AO273" s="89"/>
      <c r="AP273" s="90"/>
      <c r="AQ273" s="146" t="str">
        <f t="shared" si="114"/>
        <v/>
      </c>
      <c r="AR273" s="146" t="str">
        <f t="shared" si="115"/>
        <v/>
      </c>
      <c r="AS273" s="147">
        <v>21</v>
      </c>
      <c r="AT273" s="148" t="s">
        <v>56</v>
      </c>
      <c r="AU273" s="149" t="s">
        <v>56</v>
      </c>
      <c r="AV273" s="146" t="str">
        <f t="shared" si="116"/>
        <v/>
      </c>
      <c r="AW273" s="146" t="str">
        <f t="shared" si="117"/>
        <v/>
      </c>
      <c r="AX273" s="138" t="str">
        <f t="shared" si="118"/>
        <v/>
      </c>
      <c r="AY273" s="95" t="s">
        <v>56</v>
      </c>
      <c r="AZ273" s="96">
        <v>61.164999999999999</v>
      </c>
      <c r="BA273" s="96"/>
      <c r="BB273" s="96">
        <v>74</v>
      </c>
      <c r="BC273" s="96"/>
      <c r="BD273" s="97">
        <v>124.87</v>
      </c>
      <c r="BE273" s="142">
        <f t="shared" si="119"/>
        <v>3284</v>
      </c>
      <c r="BF273" s="98">
        <v>0</v>
      </c>
      <c r="BG273" s="98">
        <v>0</v>
      </c>
      <c r="BH273" s="98">
        <v>0</v>
      </c>
      <c r="BI273" s="98">
        <v>3284</v>
      </c>
      <c r="BJ273" s="98"/>
      <c r="BK273" s="98"/>
      <c r="BL273" s="97"/>
    </row>
    <row r="274" spans="1:64" outlineLevel="5" x14ac:dyDescent="0.3">
      <c r="A274" s="152">
        <f t="shared" si="105"/>
        <v>8</v>
      </c>
      <c r="B274" s="153">
        <f t="shared" si="104"/>
        <v>44425</v>
      </c>
      <c r="C274" s="138">
        <f t="shared" si="110"/>
        <v>38</v>
      </c>
      <c r="D274" s="84">
        <v>38</v>
      </c>
      <c r="E274" s="84">
        <v>38</v>
      </c>
      <c r="F274" s="84"/>
      <c r="G274" s="84"/>
      <c r="H274" s="84"/>
      <c r="I274" s="84"/>
      <c r="J274" s="84"/>
      <c r="K274" s="84"/>
      <c r="L274" s="140" t="str">
        <f t="shared" si="111"/>
        <v/>
      </c>
      <c r="M274" s="86" t="s">
        <v>56</v>
      </c>
      <c r="N274" s="86" t="s">
        <v>56</v>
      </c>
      <c r="O274" s="86"/>
      <c r="P274" s="86"/>
      <c r="Q274" s="86"/>
      <c r="R274" s="86"/>
      <c r="S274" s="86"/>
      <c r="T274" s="86"/>
      <c r="U274" s="142" t="str">
        <f t="shared" si="112"/>
        <v/>
      </c>
      <c r="V274" s="88" t="s">
        <v>56</v>
      </c>
      <c r="W274" s="88" t="s">
        <v>56</v>
      </c>
      <c r="X274" s="88"/>
      <c r="Y274" s="88"/>
      <c r="Z274" s="88"/>
      <c r="AA274" s="88"/>
      <c r="AB274" s="88"/>
      <c r="AC274" s="88"/>
      <c r="AD274" s="142" t="str">
        <f t="shared" si="113"/>
        <v/>
      </c>
      <c r="AE274" s="88"/>
      <c r="AF274" s="88"/>
      <c r="AG274" s="88"/>
      <c r="AH274" s="88"/>
      <c r="AI274" s="88"/>
      <c r="AJ274" s="88"/>
      <c r="AK274" s="88"/>
      <c r="AL274" s="88"/>
      <c r="AM274" s="88">
        <v>33.572800341418308</v>
      </c>
      <c r="AN274" s="88">
        <v>140.59</v>
      </c>
      <c r="AO274" s="89" t="s">
        <v>56</v>
      </c>
      <c r="AP274" s="90"/>
      <c r="AQ274" s="146" t="str">
        <f t="shared" si="114"/>
        <v/>
      </c>
      <c r="AR274" s="146" t="str">
        <f t="shared" si="115"/>
        <v/>
      </c>
      <c r="AS274" s="147">
        <v>22</v>
      </c>
      <c r="AT274" s="148" t="s">
        <v>56</v>
      </c>
      <c r="AU274" s="149" t="s">
        <v>56</v>
      </c>
      <c r="AV274" s="146" t="str">
        <f t="shared" si="116"/>
        <v/>
      </c>
      <c r="AW274" s="146" t="str">
        <f t="shared" si="117"/>
        <v/>
      </c>
      <c r="AX274" s="138" t="str">
        <f t="shared" si="118"/>
        <v/>
      </c>
      <c r="AY274" s="95" t="s">
        <v>56</v>
      </c>
      <c r="AZ274" s="96">
        <v>60.954999999999998</v>
      </c>
      <c r="BA274" s="96"/>
      <c r="BB274" s="96">
        <v>69</v>
      </c>
      <c r="BC274" s="96"/>
      <c r="BD274" s="97">
        <v>140.59</v>
      </c>
      <c r="BE274" s="142">
        <f t="shared" si="119"/>
        <v>6360</v>
      </c>
      <c r="BF274" s="98">
        <v>0</v>
      </c>
      <c r="BG274" s="98">
        <v>0</v>
      </c>
      <c r="BH274" s="98">
        <v>901</v>
      </c>
      <c r="BI274" s="98">
        <v>5459</v>
      </c>
      <c r="BJ274" s="98"/>
      <c r="BK274" s="98"/>
      <c r="BL274" s="97"/>
    </row>
    <row r="275" spans="1:64" outlineLevel="5" x14ac:dyDescent="0.3">
      <c r="A275" s="152">
        <f t="shared" si="105"/>
        <v>8</v>
      </c>
      <c r="B275" s="153">
        <f t="shared" si="104"/>
        <v>44426</v>
      </c>
      <c r="C275" s="138">
        <f t="shared" si="110"/>
        <v>38</v>
      </c>
      <c r="D275" s="84">
        <v>38</v>
      </c>
      <c r="E275" s="84">
        <v>38</v>
      </c>
      <c r="F275" s="84"/>
      <c r="G275" s="84"/>
      <c r="H275" s="84"/>
      <c r="I275" s="84"/>
      <c r="J275" s="84"/>
      <c r="K275" s="84"/>
      <c r="L275" s="140">
        <f t="shared" si="111"/>
        <v>7.6</v>
      </c>
      <c r="M275" s="86">
        <v>7.74</v>
      </c>
      <c r="N275" s="86">
        <v>7.48</v>
      </c>
      <c r="O275" s="86"/>
      <c r="P275" s="86"/>
      <c r="Q275" s="86"/>
      <c r="R275" s="86"/>
      <c r="S275" s="86"/>
      <c r="T275" s="86"/>
      <c r="U275" s="142">
        <f t="shared" si="112"/>
        <v>1400</v>
      </c>
      <c r="V275" s="88">
        <v>1450</v>
      </c>
      <c r="W275" s="88">
        <v>1350</v>
      </c>
      <c r="X275" s="88"/>
      <c r="Y275" s="88"/>
      <c r="Z275" s="88"/>
      <c r="AA275" s="88"/>
      <c r="AB275" s="88"/>
      <c r="AC275" s="88"/>
      <c r="AD275" s="142" t="str">
        <f t="shared" si="113"/>
        <v/>
      </c>
      <c r="AE275" s="88"/>
      <c r="AF275" s="88"/>
      <c r="AG275" s="88"/>
      <c r="AH275" s="88"/>
      <c r="AI275" s="88"/>
      <c r="AJ275" s="88"/>
      <c r="AK275" s="88"/>
      <c r="AL275" s="88"/>
      <c r="AM275" s="88">
        <v>33.279278008883878</v>
      </c>
      <c r="AN275" s="88">
        <v>141.82999999999998</v>
      </c>
      <c r="AO275" s="89" t="s">
        <v>56</v>
      </c>
      <c r="AP275" s="90"/>
      <c r="AQ275" s="146" t="str">
        <f t="shared" si="114"/>
        <v/>
      </c>
      <c r="AR275" s="146" t="str">
        <f t="shared" si="115"/>
        <v/>
      </c>
      <c r="AS275" s="147">
        <v>22</v>
      </c>
      <c r="AT275" s="148">
        <v>16.600000000000001</v>
      </c>
      <c r="AU275" s="149">
        <v>7.75</v>
      </c>
      <c r="AV275" s="146">
        <f t="shared" si="116"/>
        <v>46.686746987951807</v>
      </c>
      <c r="AW275" s="146">
        <f t="shared" si="117"/>
        <v>53.313253012048193</v>
      </c>
      <c r="AX275" s="138" t="str">
        <f t="shared" si="118"/>
        <v/>
      </c>
      <c r="AY275" s="95">
        <v>70.599999999999994</v>
      </c>
      <c r="AZ275" s="96">
        <v>61.555</v>
      </c>
      <c r="BA275" s="96"/>
      <c r="BB275" s="96">
        <v>66.5</v>
      </c>
      <c r="BC275" s="96"/>
      <c r="BD275" s="97">
        <v>141.82999999999998</v>
      </c>
      <c r="BE275" s="142">
        <f t="shared" si="119"/>
        <v>8592</v>
      </c>
      <c r="BF275" s="98">
        <v>0</v>
      </c>
      <c r="BG275" s="98">
        <v>0</v>
      </c>
      <c r="BH275" s="98">
        <v>5262</v>
      </c>
      <c r="BI275" s="98">
        <v>3330</v>
      </c>
      <c r="BJ275" s="98"/>
      <c r="BK275" s="98"/>
      <c r="BL275" s="97"/>
    </row>
    <row r="276" spans="1:64" outlineLevel="5" x14ac:dyDescent="0.3">
      <c r="A276" s="152">
        <f t="shared" si="105"/>
        <v>8</v>
      </c>
      <c r="B276" s="153">
        <f t="shared" si="104"/>
        <v>44427</v>
      </c>
      <c r="C276" s="138">
        <f t="shared" si="110"/>
        <v>38</v>
      </c>
      <c r="D276" s="84">
        <v>38</v>
      </c>
      <c r="E276" s="84">
        <v>38</v>
      </c>
      <c r="F276" s="84"/>
      <c r="G276" s="84"/>
      <c r="H276" s="84"/>
      <c r="I276" s="84"/>
      <c r="J276" s="84"/>
      <c r="K276" s="84"/>
      <c r="L276" s="140" t="str">
        <f t="shared" si="111"/>
        <v/>
      </c>
      <c r="M276" s="86" t="s">
        <v>56</v>
      </c>
      <c r="N276" s="86" t="s">
        <v>56</v>
      </c>
      <c r="O276" s="86"/>
      <c r="P276" s="86"/>
      <c r="Q276" s="86"/>
      <c r="R276" s="86"/>
      <c r="S276" s="86"/>
      <c r="T276" s="86"/>
      <c r="U276" s="142" t="str">
        <f t="shared" si="112"/>
        <v/>
      </c>
      <c r="V276" s="88" t="s">
        <v>56</v>
      </c>
      <c r="W276" s="88" t="s">
        <v>56</v>
      </c>
      <c r="X276" s="88"/>
      <c r="Y276" s="88"/>
      <c r="Z276" s="88"/>
      <c r="AA276" s="88"/>
      <c r="AB276" s="88"/>
      <c r="AC276" s="88"/>
      <c r="AD276" s="142" t="str">
        <f t="shared" si="113"/>
        <v/>
      </c>
      <c r="AE276" s="88"/>
      <c r="AF276" s="88"/>
      <c r="AG276" s="88"/>
      <c r="AH276" s="88"/>
      <c r="AI276" s="88"/>
      <c r="AJ276" s="88"/>
      <c r="AK276" s="88"/>
      <c r="AL276" s="88"/>
      <c r="AM276" s="88">
        <v>33.286318758815227</v>
      </c>
      <c r="AN276" s="88">
        <v>141.80000000000001</v>
      </c>
      <c r="AO276" s="89" t="s">
        <v>56</v>
      </c>
      <c r="AP276" s="90"/>
      <c r="AQ276" s="146" t="str">
        <f t="shared" si="114"/>
        <v/>
      </c>
      <c r="AR276" s="146" t="str">
        <f t="shared" si="115"/>
        <v/>
      </c>
      <c r="AS276" s="147">
        <v>20</v>
      </c>
      <c r="AT276" s="148" t="s">
        <v>56</v>
      </c>
      <c r="AU276" s="149" t="s">
        <v>56</v>
      </c>
      <c r="AV276" s="146" t="str">
        <f t="shared" si="116"/>
        <v/>
      </c>
      <c r="AW276" s="146" t="str">
        <f t="shared" si="117"/>
        <v/>
      </c>
      <c r="AX276" s="138" t="str">
        <f t="shared" si="118"/>
        <v/>
      </c>
      <c r="AY276" s="95" t="s">
        <v>56</v>
      </c>
      <c r="AZ276" s="96">
        <v>61.034999999999997</v>
      </c>
      <c r="BA276" s="96"/>
      <c r="BB276" s="96">
        <v>61.5</v>
      </c>
      <c r="BC276" s="96"/>
      <c r="BD276" s="97">
        <v>141.80000000000001</v>
      </c>
      <c r="BE276" s="142">
        <f t="shared" si="119"/>
        <v>13361</v>
      </c>
      <c r="BF276" s="98">
        <v>0</v>
      </c>
      <c r="BG276" s="98">
        <v>266</v>
      </c>
      <c r="BH276" s="98">
        <v>7609</v>
      </c>
      <c r="BI276" s="98">
        <v>5486</v>
      </c>
      <c r="BJ276" s="98"/>
      <c r="BK276" s="98"/>
      <c r="BL276" s="97"/>
    </row>
    <row r="277" spans="1:64" outlineLevel="5" x14ac:dyDescent="0.3">
      <c r="A277" s="152">
        <f t="shared" si="105"/>
        <v>8</v>
      </c>
      <c r="B277" s="153">
        <f t="shared" si="104"/>
        <v>44428</v>
      </c>
      <c r="C277" s="138">
        <f t="shared" si="110"/>
        <v>38</v>
      </c>
      <c r="D277" s="84">
        <v>38</v>
      </c>
      <c r="E277" s="84">
        <v>38</v>
      </c>
      <c r="F277" s="84"/>
      <c r="G277" s="84"/>
      <c r="H277" s="84"/>
      <c r="I277" s="84"/>
      <c r="J277" s="84"/>
      <c r="K277" s="84"/>
      <c r="L277" s="140" t="str">
        <f t="shared" si="111"/>
        <v/>
      </c>
      <c r="M277" s="86" t="s">
        <v>56</v>
      </c>
      <c r="N277" s="86" t="s">
        <v>56</v>
      </c>
      <c r="O277" s="86"/>
      <c r="P277" s="86"/>
      <c r="Q277" s="86"/>
      <c r="R277" s="86"/>
      <c r="S277" s="86"/>
      <c r="T277" s="86"/>
      <c r="U277" s="142" t="str">
        <f t="shared" si="112"/>
        <v/>
      </c>
      <c r="V277" s="88" t="s">
        <v>56</v>
      </c>
      <c r="W277" s="88" t="s">
        <v>56</v>
      </c>
      <c r="X277" s="88"/>
      <c r="Y277" s="88"/>
      <c r="Z277" s="88"/>
      <c r="AA277" s="88"/>
      <c r="AB277" s="88"/>
      <c r="AC277" s="88"/>
      <c r="AD277" s="142" t="str">
        <f t="shared" si="113"/>
        <v/>
      </c>
      <c r="AE277" s="88"/>
      <c r="AF277" s="88"/>
      <c r="AG277" s="88"/>
      <c r="AH277" s="88"/>
      <c r="AI277" s="88"/>
      <c r="AJ277" s="88"/>
      <c r="AK277" s="88"/>
      <c r="AL277" s="88"/>
      <c r="AM277" s="88">
        <v>38.430223090701844</v>
      </c>
      <c r="AN277" s="88">
        <v>122.82</v>
      </c>
      <c r="AO277" s="89" t="s">
        <v>56</v>
      </c>
      <c r="AP277" s="90"/>
      <c r="AQ277" s="146" t="str">
        <f t="shared" si="114"/>
        <v/>
      </c>
      <c r="AR277" s="146" t="str">
        <f t="shared" si="115"/>
        <v/>
      </c>
      <c r="AS277" s="147">
        <v>20</v>
      </c>
      <c r="AT277" s="148" t="s">
        <v>56</v>
      </c>
      <c r="AU277" s="149" t="s">
        <v>56</v>
      </c>
      <c r="AV277" s="146" t="str">
        <f t="shared" si="116"/>
        <v/>
      </c>
      <c r="AW277" s="146" t="str">
        <f t="shared" si="117"/>
        <v/>
      </c>
      <c r="AX277" s="138" t="str">
        <f t="shared" si="118"/>
        <v/>
      </c>
      <c r="AY277" s="95" t="s">
        <v>56</v>
      </c>
      <c r="AZ277" s="96">
        <v>60.25</v>
      </c>
      <c r="BA277" s="96"/>
      <c r="BB277" s="96">
        <v>65</v>
      </c>
      <c r="BC277" s="96"/>
      <c r="BD277" s="97">
        <v>122.82</v>
      </c>
      <c r="BE277" s="142">
        <f t="shared" si="119"/>
        <v>12073</v>
      </c>
      <c r="BF277" s="98">
        <v>0</v>
      </c>
      <c r="BG277" s="98">
        <v>0</v>
      </c>
      <c r="BH277" s="98">
        <v>6721</v>
      </c>
      <c r="BI277" s="98">
        <v>5352</v>
      </c>
      <c r="BJ277" s="98"/>
      <c r="BK277" s="98"/>
      <c r="BL277" s="97"/>
    </row>
    <row r="278" spans="1:64" outlineLevel="5" x14ac:dyDescent="0.3">
      <c r="A278" s="152">
        <f t="shared" si="105"/>
        <v>8</v>
      </c>
      <c r="B278" s="153">
        <f t="shared" si="104"/>
        <v>44429</v>
      </c>
      <c r="C278" s="138">
        <f t="shared" si="110"/>
        <v>38</v>
      </c>
      <c r="D278" s="84">
        <v>38</v>
      </c>
      <c r="E278" s="84">
        <v>38</v>
      </c>
      <c r="F278" s="84"/>
      <c r="G278" s="84"/>
      <c r="H278" s="84"/>
      <c r="I278" s="84"/>
      <c r="J278" s="84"/>
      <c r="K278" s="84"/>
      <c r="L278" s="140" t="str">
        <f t="shared" si="111"/>
        <v/>
      </c>
      <c r="M278" s="86"/>
      <c r="N278" s="86"/>
      <c r="O278" s="86"/>
      <c r="P278" s="86"/>
      <c r="Q278" s="86"/>
      <c r="R278" s="86"/>
      <c r="S278" s="86"/>
      <c r="T278" s="86"/>
      <c r="U278" s="142" t="str">
        <f t="shared" si="112"/>
        <v/>
      </c>
      <c r="V278" s="88"/>
      <c r="W278" s="88"/>
      <c r="X278" s="88"/>
      <c r="Y278" s="88"/>
      <c r="Z278" s="88"/>
      <c r="AA278" s="88"/>
      <c r="AB278" s="88"/>
      <c r="AC278" s="88"/>
      <c r="AD278" s="142" t="str">
        <f t="shared" si="113"/>
        <v/>
      </c>
      <c r="AE278" s="88"/>
      <c r="AF278" s="88"/>
      <c r="AG278" s="88"/>
      <c r="AH278" s="88"/>
      <c r="AI278" s="88"/>
      <c r="AJ278" s="88"/>
      <c r="AK278" s="88"/>
      <c r="AL278" s="88"/>
      <c r="AM278" s="88">
        <v>47.285113203766784</v>
      </c>
      <c r="AN278" s="88">
        <v>99.82</v>
      </c>
      <c r="AO278" s="89"/>
      <c r="AP278" s="90"/>
      <c r="AQ278" s="146" t="str">
        <f t="shared" si="114"/>
        <v/>
      </c>
      <c r="AR278" s="146" t="str">
        <f t="shared" si="115"/>
        <v/>
      </c>
      <c r="AS278" s="147">
        <v>10</v>
      </c>
      <c r="AT278" s="148" t="s">
        <v>56</v>
      </c>
      <c r="AU278" s="149" t="s">
        <v>56</v>
      </c>
      <c r="AV278" s="146" t="str">
        <f t="shared" si="116"/>
        <v/>
      </c>
      <c r="AW278" s="146" t="str">
        <f t="shared" si="117"/>
        <v/>
      </c>
      <c r="AX278" s="138" t="str">
        <f t="shared" si="118"/>
        <v/>
      </c>
      <c r="AY278" s="95" t="s">
        <v>56</v>
      </c>
      <c r="AZ278" s="96">
        <v>60.914999999999999</v>
      </c>
      <c r="BA278" s="96"/>
      <c r="BB278" s="96">
        <v>66</v>
      </c>
      <c r="BC278" s="96"/>
      <c r="BD278" s="97">
        <v>99.82</v>
      </c>
      <c r="BE278" s="142">
        <f t="shared" si="119"/>
        <v>9940</v>
      </c>
      <c r="BF278" s="98">
        <v>0</v>
      </c>
      <c r="BG278" s="98">
        <v>0</v>
      </c>
      <c r="BH278" s="98">
        <v>4627</v>
      </c>
      <c r="BI278" s="98">
        <v>5313</v>
      </c>
      <c r="BJ278" s="98"/>
      <c r="BK278" s="98"/>
      <c r="BL278" s="97"/>
    </row>
    <row r="279" spans="1:64" outlineLevel="5" x14ac:dyDescent="0.3">
      <c r="A279" s="152">
        <f t="shared" si="105"/>
        <v>8</v>
      </c>
      <c r="B279" s="153">
        <f t="shared" si="104"/>
        <v>44430</v>
      </c>
      <c r="C279" s="138">
        <f t="shared" si="110"/>
        <v>37</v>
      </c>
      <c r="D279" s="84">
        <v>37</v>
      </c>
      <c r="E279" s="84">
        <v>37</v>
      </c>
      <c r="F279" s="84"/>
      <c r="G279" s="84"/>
      <c r="H279" s="84"/>
      <c r="I279" s="84"/>
      <c r="J279" s="84"/>
      <c r="K279" s="84"/>
      <c r="L279" s="140" t="str">
        <f t="shared" si="111"/>
        <v/>
      </c>
      <c r="M279" s="86"/>
      <c r="N279" s="86"/>
      <c r="O279" s="86"/>
      <c r="P279" s="86"/>
      <c r="Q279" s="86"/>
      <c r="R279" s="86"/>
      <c r="S279" s="86"/>
      <c r="T279" s="86"/>
      <c r="U279" s="142" t="str">
        <f t="shared" si="112"/>
        <v/>
      </c>
      <c r="V279" s="88"/>
      <c r="W279" s="88"/>
      <c r="X279" s="88"/>
      <c r="Y279" s="88"/>
      <c r="Z279" s="88"/>
      <c r="AA279" s="88"/>
      <c r="AB279" s="88"/>
      <c r="AC279" s="88"/>
      <c r="AD279" s="142" t="str">
        <f t="shared" si="113"/>
        <v/>
      </c>
      <c r="AE279" s="88"/>
      <c r="AF279" s="88"/>
      <c r="AG279" s="88"/>
      <c r="AH279" s="88"/>
      <c r="AI279" s="88"/>
      <c r="AJ279" s="88"/>
      <c r="AK279" s="88"/>
      <c r="AL279" s="88"/>
      <c r="AM279" s="88">
        <v>49.684210526315788</v>
      </c>
      <c r="AN279" s="88">
        <v>95</v>
      </c>
      <c r="AO279" s="89"/>
      <c r="AP279" s="90"/>
      <c r="AQ279" s="146" t="str">
        <f t="shared" si="114"/>
        <v/>
      </c>
      <c r="AR279" s="146" t="str">
        <f t="shared" si="115"/>
        <v/>
      </c>
      <c r="AS279" s="147">
        <v>10</v>
      </c>
      <c r="AT279" s="148" t="s">
        <v>56</v>
      </c>
      <c r="AU279" s="149" t="s">
        <v>56</v>
      </c>
      <c r="AV279" s="146" t="str">
        <f t="shared" si="116"/>
        <v/>
      </c>
      <c r="AW279" s="146" t="str">
        <f t="shared" si="117"/>
        <v/>
      </c>
      <c r="AX279" s="138" t="str">
        <f t="shared" si="118"/>
        <v/>
      </c>
      <c r="AY279" s="95" t="s">
        <v>56</v>
      </c>
      <c r="AZ279" s="96">
        <v>61.65</v>
      </c>
      <c r="BA279" s="96"/>
      <c r="BB279" s="96">
        <v>63.5</v>
      </c>
      <c r="BC279" s="96"/>
      <c r="BD279" s="97">
        <v>95</v>
      </c>
      <c r="BE279" s="142">
        <f t="shared" si="119"/>
        <v>5361</v>
      </c>
      <c r="BF279" s="98">
        <v>0</v>
      </c>
      <c r="BG279" s="98">
        <v>0</v>
      </c>
      <c r="BH279" s="98">
        <v>0</v>
      </c>
      <c r="BI279" s="98">
        <v>5361</v>
      </c>
      <c r="BJ279" s="98"/>
      <c r="BK279" s="98"/>
      <c r="BL279" s="97"/>
    </row>
    <row r="280" spans="1:64" outlineLevel="5" x14ac:dyDescent="0.3">
      <c r="A280" s="152">
        <f t="shared" si="105"/>
        <v>8</v>
      </c>
      <c r="B280" s="153">
        <f t="shared" si="104"/>
        <v>44431</v>
      </c>
      <c r="C280" s="138">
        <f t="shared" si="110"/>
        <v>37.5</v>
      </c>
      <c r="D280" s="84">
        <v>38</v>
      </c>
      <c r="E280" s="84">
        <v>37</v>
      </c>
      <c r="F280" s="84"/>
      <c r="G280" s="84"/>
      <c r="H280" s="84"/>
      <c r="I280" s="84"/>
      <c r="J280" s="84"/>
      <c r="K280" s="84"/>
      <c r="L280" s="140">
        <f t="shared" si="111"/>
        <v>7.6</v>
      </c>
      <c r="M280" s="86">
        <v>7.71</v>
      </c>
      <c r="N280" s="86">
        <v>7.56</v>
      </c>
      <c r="O280" s="86"/>
      <c r="P280" s="86"/>
      <c r="Q280" s="86"/>
      <c r="R280" s="86"/>
      <c r="S280" s="86"/>
      <c r="T280" s="86"/>
      <c r="U280" s="142">
        <f t="shared" si="112"/>
        <v>1250</v>
      </c>
      <c r="V280" s="88">
        <v>1350</v>
      </c>
      <c r="W280" s="88">
        <v>1150</v>
      </c>
      <c r="X280" s="88"/>
      <c r="Y280" s="88"/>
      <c r="Z280" s="88"/>
      <c r="AA280" s="88"/>
      <c r="AB280" s="88"/>
      <c r="AC280" s="88"/>
      <c r="AD280" s="142" t="str">
        <f t="shared" si="113"/>
        <v/>
      </c>
      <c r="AE280" s="88"/>
      <c r="AF280" s="88"/>
      <c r="AG280" s="88"/>
      <c r="AH280" s="88"/>
      <c r="AI280" s="88"/>
      <c r="AJ280" s="88"/>
      <c r="AK280" s="88"/>
      <c r="AL280" s="88"/>
      <c r="AM280" s="88">
        <v>48.619695096827357</v>
      </c>
      <c r="AN280" s="88">
        <v>97.08</v>
      </c>
      <c r="AO280" s="89">
        <v>17.600000000000001</v>
      </c>
      <c r="AP280" s="90">
        <v>14.572799999999999</v>
      </c>
      <c r="AQ280" s="146">
        <f t="shared" si="114"/>
        <v>82.799999999999983</v>
      </c>
      <c r="AR280" s="146">
        <f t="shared" si="115"/>
        <v>17.200000000000017</v>
      </c>
      <c r="AS280" s="147">
        <v>30</v>
      </c>
      <c r="AT280" s="148">
        <v>16.2</v>
      </c>
      <c r="AU280" s="149">
        <v>9.0500000000000007</v>
      </c>
      <c r="AV280" s="146">
        <f t="shared" si="116"/>
        <v>55.864197530864203</v>
      </c>
      <c r="AW280" s="146">
        <f t="shared" si="117"/>
        <v>44.135802469135797</v>
      </c>
      <c r="AX280" s="138">
        <f t="shared" si="118"/>
        <v>73.706969359143244</v>
      </c>
      <c r="AY280" s="95">
        <v>71.75</v>
      </c>
      <c r="AZ280" s="96">
        <v>60.924999999999997</v>
      </c>
      <c r="BA280" s="96"/>
      <c r="BB280" s="96">
        <v>61</v>
      </c>
      <c r="BC280" s="96"/>
      <c r="BD280" s="97">
        <v>97.08</v>
      </c>
      <c r="BE280" s="142">
        <f t="shared" si="119"/>
        <v>7540</v>
      </c>
      <c r="BF280" s="98">
        <v>0</v>
      </c>
      <c r="BG280" s="98">
        <v>0</v>
      </c>
      <c r="BH280" s="98">
        <v>2189</v>
      </c>
      <c r="BI280" s="98">
        <v>5351</v>
      </c>
      <c r="BJ280" s="98"/>
      <c r="BK280" s="98"/>
      <c r="BL280" s="97"/>
    </row>
    <row r="281" spans="1:64" outlineLevel="5" x14ac:dyDescent="0.3">
      <c r="A281" s="152">
        <f t="shared" si="105"/>
        <v>8</v>
      </c>
      <c r="B281" s="153">
        <f t="shared" si="104"/>
        <v>44432</v>
      </c>
      <c r="C281" s="138">
        <f t="shared" si="110"/>
        <v>37.5</v>
      </c>
      <c r="D281" s="84">
        <v>38</v>
      </c>
      <c r="E281" s="84">
        <v>37</v>
      </c>
      <c r="F281" s="84"/>
      <c r="G281" s="84"/>
      <c r="H281" s="84"/>
      <c r="I281" s="84"/>
      <c r="J281" s="84"/>
      <c r="K281" s="84"/>
      <c r="L281" s="140" t="str">
        <f t="shared" si="111"/>
        <v/>
      </c>
      <c r="M281" s="86" t="s">
        <v>56</v>
      </c>
      <c r="N281" s="86" t="s">
        <v>56</v>
      </c>
      <c r="O281" s="86"/>
      <c r="P281" s="86"/>
      <c r="Q281" s="86"/>
      <c r="R281" s="86"/>
      <c r="S281" s="86"/>
      <c r="T281" s="86"/>
      <c r="U281" s="142" t="str">
        <f t="shared" si="112"/>
        <v/>
      </c>
      <c r="V281" s="88" t="s">
        <v>56</v>
      </c>
      <c r="W281" s="88" t="s">
        <v>56</v>
      </c>
      <c r="X281" s="88"/>
      <c r="Y281" s="88"/>
      <c r="Z281" s="88"/>
      <c r="AA281" s="88"/>
      <c r="AB281" s="88"/>
      <c r="AC281" s="88"/>
      <c r="AD281" s="142" t="str">
        <f t="shared" si="113"/>
        <v/>
      </c>
      <c r="AE281" s="88"/>
      <c r="AF281" s="88"/>
      <c r="AG281" s="88"/>
      <c r="AH281" s="88"/>
      <c r="AI281" s="88"/>
      <c r="AJ281" s="88"/>
      <c r="AK281" s="88"/>
      <c r="AL281" s="88"/>
      <c r="AM281" s="88">
        <v>37.552709046065715</v>
      </c>
      <c r="AN281" s="88">
        <v>125.69</v>
      </c>
      <c r="AO281" s="89" t="s">
        <v>56</v>
      </c>
      <c r="AP281" s="90" t="s">
        <v>56</v>
      </c>
      <c r="AQ281" s="146" t="str">
        <f t="shared" si="114"/>
        <v/>
      </c>
      <c r="AR281" s="146" t="str">
        <f t="shared" si="115"/>
        <v/>
      </c>
      <c r="AS281" s="147">
        <v>15</v>
      </c>
      <c r="AT281" s="148" t="s">
        <v>56</v>
      </c>
      <c r="AU281" s="149" t="s">
        <v>56</v>
      </c>
      <c r="AV281" s="146" t="str">
        <f t="shared" si="116"/>
        <v/>
      </c>
      <c r="AW281" s="146" t="str">
        <f t="shared" si="117"/>
        <v/>
      </c>
      <c r="AX281" s="138" t="str">
        <f t="shared" si="118"/>
        <v/>
      </c>
      <c r="AY281" s="95" t="s">
        <v>56</v>
      </c>
      <c r="AZ281" s="96">
        <v>61.83</v>
      </c>
      <c r="BA281" s="96"/>
      <c r="BB281" s="96">
        <v>65</v>
      </c>
      <c r="BC281" s="96"/>
      <c r="BD281" s="97">
        <v>125.69</v>
      </c>
      <c r="BE281" s="142">
        <f t="shared" si="119"/>
        <v>7777</v>
      </c>
      <c r="BF281" s="98">
        <v>0</v>
      </c>
      <c r="BG281" s="98">
        <v>0</v>
      </c>
      <c r="BH281" s="98">
        <v>5514</v>
      </c>
      <c r="BI281" s="98">
        <v>2263</v>
      </c>
      <c r="BJ281" s="98"/>
      <c r="BK281" s="98"/>
      <c r="BL281" s="97"/>
    </row>
    <row r="282" spans="1:64" outlineLevel="5" x14ac:dyDescent="0.3">
      <c r="A282" s="152">
        <f t="shared" si="105"/>
        <v>8</v>
      </c>
      <c r="B282" s="153">
        <f t="shared" si="104"/>
        <v>44433</v>
      </c>
      <c r="C282" s="138">
        <f t="shared" si="110"/>
        <v>38</v>
      </c>
      <c r="D282" s="84">
        <v>38</v>
      </c>
      <c r="E282" s="84">
        <v>38</v>
      </c>
      <c r="F282" s="84"/>
      <c r="G282" s="84"/>
      <c r="H282" s="84"/>
      <c r="I282" s="84"/>
      <c r="J282" s="84"/>
      <c r="K282" s="84"/>
      <c r="L282" s="140">
        <f t="shared" si="111"/>
        <v>7.6</v>
      </c>
      <c r="M282" s="86">
        <v>7.75</v>
      </c>
      <c r="N282" s="86">
        <v>7.54</v>
      </c>
      <c r="O282" s="86"/>
      <c r="P282" s="86"/>
      <c r="Q282" s="86"/>
      <c r="R282" s="86"/>
      <c r="S282" s="86"/>
      <c r="T282" s="86"/>
      <c r="U282" s="142">
        <f t="shared" si="112"/>
        <v>1200</v>
      </c>
      <c r="V282" s="88">
        <v>1250</v>
      </c>
      <c r="W282" s="88">
        <v>1150</v>
      </c>
      <c r="X282" s="88"/>
      <c r="Y282" s="88"/>
      <c r="Z282" s="88"/>
      <c r="AA282" s="88"/>
      <c r="AB282" s="88"/>
      <c r="AC282" s="88"/>
      <c r="AD282" s="142" t="str">
        <f t="shared" si="113"/>
        <v/>
      </c>
      <c r="AE282" s="88"/>
      <c r="AF282" s="88"/>
      <c r="AG282" s="88"/>
      <c r="AH282" s="88"/>
      <c r="AI282" s="88"/>
      <c r="AJ282" s="88"/>
      <c r="AK282" s="88"/>
      <c r="AL282" s="88"/>
      <c r="AM282" s="88">
        <v>36.196319018404907</v>
      </c>
      <c r="AN282" s="88">
        <v>130.4</v>
      </c>
      <c r="AO282" s="89" t="s">
        <v>56</v>
      </c>
      <c r="AP282" s="90" t="s">
        <v>56</v>
      </c>
      <c r="AQ282" s="146" t="str">
        <f t="shared" si="114"/>
        <v/>
      </c>
      <c r="AR282" s="146" t="str">
        <f t="shared" si="115"/>
        <v/>
      </c>
      <c r="AS282" s="147">
        <v>20</v>
      </c>
      <c r="AT282" s="148">
        <v>15.75</v>
      </c>
      <c r="AU282" s="149">
        <v>9.25</v>
      </c>
      <c r="AV282" s="146">
        <f t="shared" si="116"/>
        <v>58.730158730158735</v>
      </c>
      <c r="AW282" s="146">
        <f t="shared" si="117"/>
        <v>41.269841269841265</v>
      </c>
      <c r="AX282" s="138" t="str">
        <f t="shared" si="118"/>
        <v/>
      </c>
      <c r="AY282" s="95">
        <v>71.75</v>
      </c>
      <c r="AZ282" s="96">
        <v>60.234999999999999</v>
      </c>
      <c r="BA282" s="96"/>
      <c r="BB282" s="96">
        <v>65.5</v>
      </c>
      <c r="BC282" s="96"/>
      <c r="BD282" s="97">
        <v>130.4</v>
      </c>
      <c r="BE282" s="142">
        <f t="shared" si="119"/>
        <v>10540</v>
      </c>
      <c r="BF282" s="98">
        <v>0</v>
      </c>
      <c r="BG282" s="98">
        <v>0</v>
      </c>
      <c r="BH282" s="98">
        <v>5100</v>
      </c>
      <c r="BI282" s="98">
        <v>5440</v>
      </c>
      <c r="BJ282" s="98"/>
      <c r="BK282" s="98"/>
      <c r="BL282" s="97"/>
    </row>
    <row r="283" spans="1:64" outlineLevel="5" x14ac:dyDescent="0.3">
      <c r="A283" s="152">
        <f t="shared" si="105"/>
        <v>8</v>
      </c>
      <c r="B283" s="153">
        <f t="shared" si="104"/>
        <v>44434</v>
      </c>
      <c r="C283" s="138">
        <f t="shared" si="110"/>
        <v>37</v>
      </c>
      <c r="D283" s="84">
        <v>37</v>
      </c>
      <c r="E283" s="84">
        <v>37</v>
      </c>
      <c r="F283" s="84"/>
      <c r="G283" s="84"/>
      <c r="H283" s="84"/>
      <c r="I283" s="84"/>
      <c r="J283" s="84"/>
      <c r="K283" s="84"/>
      <c r="L283" s="140" t="str">
        <f t="shared" si="111"/>
        <v/>
      </c>
      <c r="M283" s="86" t="s">
        <v>56</v>
      </c>
      <c r="N283" s="86" t="s">
        <v>56</v>
      </c>
      <c r="O283" s="86"/>
      <c r="P283" s="86"/>
      <c r="Q283" s="86"/>
      <c r="R283" s="86"/>
      <c r="S283" s="86"/>
      <c r="T283" s="86"/>
      <c r="U283" s="142" t="str">
        <f t="shared" si="112"/>
        <v/>
      </c>
      <c r="V283" s="88" t="s">
        <v>56</v>
      </c>
      <c r="W283" s="88" t="s">
        <v>56</v>
      </c>
      <c r="X283" s="88"/>
      <c r="Y283" s="88"/>
      <c r="Z283" s="88"/>
      <c r="AA283" s="88"/>
      <c r="AB283" s="88"/>
      <c r="AC283" s="88"/>
      <c r="AD283" s="142" t="str">
        <f t="shared" si="113"/>
        <v/>
      </c>
      <c r="AE283" s="88"/>
      <c r="AF283" s="88"/>
      <c r="AG283" s="88"/>
      <c r="AH283" s="88"/>
      <c r="AI283" s="88"/>
      <c r="AJ283" s="88"/>
      <c r="AK283" s="88"/>
      <c r="AL283" s="88"/>
      <c r="AM283" s="88">
        <v>39.633890335040725</v>
      </c>
      <c r="AN283" s="88">
        <v>119.09</v>
      </c>
      <c r="AO283" s="89" t="s">
        <v>56</v>
      </c>
      <c r="AP283" s="90" t="s">
        <v>56</v>
      </c>
      <c r="AQ283" s="146" t="str">
        <f t="shared" si="114"/>
        <v/>
      </c>
      <c r="AR283" s="146" t="str">
        <f t="shared" si="115"/>
        <v/>
      </c>
      <c r="AS283" s="147">
        <v>21</v>
      </c>
      <c r="AT283" s="148" t="s">
        <v>56</v>
      </c>
      <c r="AU283" s="149" t="s">
        <v>56</v>
      </c>
      <c r="AV283" s="146" t="str">
        <f t="shared" si="116"/>
        <v/>
      </c>
      <c r="AW283" s="146" t="str">
        <f t="shared" si="117"/>
        <v/>
      </c>
      <c r="AX283" s="138" t="str">
        <f t="shared" si="118"/>
        <v/>
      </c>
      <c r="AY283" s="95" t="s">
        <v>56</v>
      </c>
      <c r="AZ283" s="96">
        <v>62.695</v>
      </c>
      <c r="BA283" s="96"/>
      <c r="BB283" s="96">
        <v>46.5</v>
      </c>
      <c r="BC283" s="96"/>
      <c r="BD283" s="97">
        <v>119.09</v>
      </c>
      <c r="BE283" s="142">
        <f t="shared" si="119"/>
        <v>10844</v>
      </c>
      <c r="BF283" s="98">
        <v>0</v>
      </c>
      <c r="BG283" s="98">
        <v>0</v>
      </c>
      <c r="BH283" s="98">
        <v>5551</v>
      </c>
      <c r="BI283" s="98">
        <v>5293</v>
      </c>
      <c r="BJ283" s="98"/>
      <c r="BK283" s="98"/>
      <c r="BL283" s="97"/>
    </row>
    <row r="284" spans="1:64" outlineLevel="5" x14ac:dyDescent="0.3">
      <c r="A284" s="152">
        <f t="shared" si="105"/>
        <v>8</v>
      </c>
      <c r="B284" s="153">
        <f t="shared" si="104"/>
        <v>44435</v>
      </c>
      <c r="C284" s="138">
        <f t="shared" si="110"/>
        <v>37</v>
      </c>
      <c r="D284" s="84">
        <v>37</v>
      </c>
      <c r="E284" s="84">
        <v>37</v>
      </c>
      <c r="F284" s="84"/>
      <c r="G284" s="84"/>
      <c r="H284" s="84"/>
      <c r="I284" s="84"/>
      <c r="J284" s="84"/>
      <c r="K284" s="84"/>
      <c r="L284" s="140" t="str">
        <f t="shared" si="111"/>
        <v/>
      </c>
      <c r="M284" s="86" t="s">
        <v>56</v>
      </c>
      <c r="N284" s="86" t="s">
        <v>56</v>
      </c>
      <c r="O284" s="86"/>
      <c r="P284" s="86"/>
      <c r="Q284" s="86"/>
      <c r="R284" s="86"/>
      <c r="S284" s="86"/>
      <c r="T284" s="86"/>
      <c r="U284" s="142" t="str">
        <f t="shared" si="112"/>
        <v/>
      </c>
      <c r="V284" s="88" t="s">
        <v>56</v>
      </c>
      <c r="W284" s="88" t="s">
        <v>56</v>
      </c>
      <c r="X284" s="88"/>
      <c r="Y284" s="88"/>
      <c r="Z284" s="88"/>
      <c r="AA284" s="88"/>
      <c r="AB284" s="88"/>
      <c r="AC284" s="88"/>
      <c r="AD284" s="142" t="str">
        <f t="shared" si="113"/>
        <v/>
      </c>
      <c r="AE284" s="88"/>
      <c r="AF284" s="88"/>
      <c r="AG284" s="88"/>
      <c r="AH284" s="88"/>
      <c r="AI284" s="88"/>
      <c r="AJ284" s="88"/>
      <c r="AK284" s="88"/>
      <c r="AL284" s="88"/>
      <c r="AM284" s="88">
        <v>38.240298144697398</v>
      </c>
      <c r="AN284" s="88">
        <v>123.43</v>
      </c>
      <c r="AO284" s="89" t="s">
        <v>56</v>
      </c>
      <c r="AP284" s="90"/>
      <c r="AQ284" s="146" t="str">
        <f t="shared" si="114"/>
        <v/>
      </c>
      <c r="AR284" s="146" t="str">
        <f t="shared" si="115"/>
        <v/>
      </c>
      <c r="AS284" s="147">
        <v>20</v>
      </c>
      <c r="AT284" s="148" t="s">
        <v>56</v>
      </c>
      <c r="AU284" s="149" t="s">
        <v>56</v>
      </c>
      <c r="AV284" s="146" t="str">
        <f t="shared" si="116"/>
        <v/>
      </c>
      <c r="AW284" s="146" t="str">
        <f t="shared" si="117"/>
        <v/>
      </c>
      <c r="AX284" s="138" t="str">
        <f t="shared" si="118"/>
        <v/>
      </c>
      <c r="AY284" s="95" t="s">
        <v>56</v>
      </c>
      <c r="AZ284" s="96">
        <v>64.02</v>
      </c>
      <c r="BA284" s="96"/>
      <c r="BB284" s="96">
        <v>48.5</v>
      </c>
      <c r="BC284" s="96"/>
      <c r="BD284" s="97">
        <v>123.43</v>
      </c>
      <c r="BE284" s="142">
        <f t="shared" si="119"/>
        <v>12098</v>
      </c>
      <c r="BF284" s="98">
        <v>0</v>
      </c>
      <c r="BG284" s="98">
        <v>0</v>
      </c>
      <c r="BH284" s="98">
        <v>6778</v>
      </c>
      <c r="BI284" s="98">
        <v>5320</v>
      </c>
      <c r="BJ284" s="98"/>
      <c r="BK284" s="98"/>
      <c r="BL284" s="97"/>
    </row>
    <row r="285" spans="1:64" outlineLevel="5" x14ac:dyDescent="0.3">
      <c r="A285" s="152">
        <f t="shared" si="105"/>
        <v>8</v>
      </c>
      <c r="B285" s="153">
        <f t="shared" si="104"/>
        <v>44436</v>
      </c>
      <c r="C285" s="138">
        <f t="shared" si="110"/>
        <v>37</v>
      </c>
      <c r="D285" s="84">
        <v>37</v>
      </c>
      <c r="E285" s="84">
        <v>37</v>
      </c>
      <c r="F285" s="84"/>
      <c r="G285" s="84"/>
      <c r="H285" s="84"/>
      <c r="I285" s="84"/>
      <c r="J285" s="84"/>
      <c r="K285" s="84"/>
      <c r="L285" s="140" t="str">
        <f t="shared" si="111"/>
        <v/>
      </c>
      <c r="M285" s="86"/>
      <c r="N285" s="86"/>
      <c r="O285" s="86"/>
      <c r="P285" s="86"/>
      <c r="Q285" s="86"/>
      <c r="R285" s="86"/>
      <c r="S285" s="86"/>
      <c r="T285" s="86"/>
      <c r="U285" s="142" t="str">
        <f t="shared" si="112"/>
        <v/>
      </c>
      <c r="V285" s="88"/>
      <c r="W285" s="88"/>
      <c r="X285" s="88"/>
      <c r="Y285" s="88"/>
      <c r="Z285" s="88"/>
      <c r="AA285" s="88"/>
      <c r="AB285" s="88"/>
      <c r="AC285" s="88"/>
      <c r="AD285" s="142" t="str">
        <f t="shared" si="113"/>
        <v/>
      </c>
      <c r="AE285" s="88"/>
      <c r="AF285" s="88"/>
      <c r="AG285" s="88"/>
      <c r="AH285" s="88"/>
      <c r="AI285" s="88"/>
      <c r="AJ285" s="88"/>
      <c r="AK285" s="88"/>
      <c r="AL285" s="88"/>
      <c r="AM285" s="88">
        <v>48.459958932238187</v>
      </c>
      <c r="AN285" s="88">
        <v>97.4</v>
      </c>
      <c r="AO285" s="89"/>
      <c r="AP285" s="90"/>
      <c r="AQ285" s="146" t="str">
        <f t="shared" si="114"/>
        <v/>
      </c>
      <c r="AR285" s="146" t="str">
        <f t="shared" si="115"/>
        <v/>
      </c>
      <c r="AS285" s="147">
        <v>10</v>
      </c>
      <c r="AT285" s="148" t="s">
        <v>56</v>
      </c>
      <c r="AU285" s="149" t="s">
        <v>56</v>
      </c>
      <c r="AV285" s="146" t="str">
        <f t="shared" si="116"/>
        <v/>
      </c>
      <c r="AW285" s="146" t="str">
        <f t="shared" si="117"/>
        <v/>
      </c>
      <c r="AX285" s="138" t="str">
        <f t="shared" si="118"/>
        <v/>
      </c>
      <c r="AY285" s="95" t="s">
        <v>56</v>
      </c>
      <c r="AZ285" s="96">
        <v>63.185000000000002</v>
      </c>
      <c r="BA285" s="96"/>
      <c r="BB285" s="96">
        <v>57</v>
      </c>
      <c r="BC285" s="96"/>
      <c r="BD285" s="97">
        <v>97.4</v>
      </c>
      <c r="BE285" s="142">
        <f t="shared" si="119"/>
        <v>8519</v>
      </c>
      <c r="BF285" s="98">
        <v>0</v>
      </c>
      <c r="BG285" s="98">
        <v>0</v>
      </c>
      <c r="BH285" s="98">
        <v>3185</v>
      </c>
      <c r="BI285" s="98">
        <v>5334</v>
      </c>
      <c r="BJ285" s="98"/>
      <c r="BK285" s="98"/>
      <c r="BL285" s="97"/>
    </row>
    <row r="286" spans="1:64" outlineLevel="5" x14ac:dyDescent="0.3">
      <c r="A286" s="152">
        <f t="shared" si="105"/>
        <v>8</v>
      </c>
      <c r="B286" s="153">
        <f t="shared" si="104"/>
        <v>44437</v>
      </c>
      <c r="C286" s="138">
        <f t="shared" si="110"/>
        <v>37</v>
      </c>
      <c r="D286" s="84">
        <v>37</v>
      </c>
      <c r="E286" s="84">
        <v>37</v>
      </c>
      <c r="F286" s="84"/>
      <c r="G286" s="84"/>
      <c r="H286" s="84"/>
      <c r="I286" s="84"/>
      <c r="J286" s="84"/>
      <c r="K286" s="84"/>
      <c r="L286" s="140" t="str">
        <f t="shared" si="111"/>
        <v/>
      </c>
      <c r="M286" s="86"/>
      <c r="N286" s="86"/>
      <c r="O286" s="86"/>
      <c r="P286" s="86"/>
      <c r="Q286" s="86"/>
      <c r="R286" s="86"/>
      <c r="S286" s="86"/>
      <c r="T286" s="86"/>
      <c r="U286" s="142" t="str">
        <f t="shared" si="112"/>
        <v/>
      </c>
      <c r="V286" s="88"/>
      <c r="W286" s="88"/>
      <c r="X286" s="88"/>
      <c r="Y286" s="88"/>
      <c r="Z286" s="88"/>
      <c r="AA286" s="88"/>
      <c r="AB286" s="88"/>
      <c r="AC286" s="88"/>
      <c r="AD286" s="142" t="str">
        <f t="shared" si="113"/>
        <v/>
      </c>
      <c r="AE286" s="88"/>
      <c r="AF286" s="88"/>
      <c r="AG286" s="88"/>
      <c r="AH286" s="88"/>
      <c r="AI286" s="88"/>
      <c r="AJ286" s="88"/>
      <c r="AK286" s="88"/>
      <c r="AL286" s="88"/>
      <c r="AM286" s="88">
        <v>47.2</v>
      </c>
      <c r="AN286" s="88">
        <v>100</v>
      </c>
      <c r="AO286" s="89"/>
      <c r="AP286" s="90"/>
      <c r="AQ286" s="146" t="str">
        <f t="shared" si="114"/>
        <v/>
      </c>
      <c r="AR286" s="146" t="str">
        <f t="shared" si="115"/>
        <v/>
      </c>
      <c r="AS286" s="147">
        <v>0</v>
      </c>
      <c r="AT286" s="148" t="s">
        <v>56</v>
      </c>
      <c r="AU286" s="149" t="s">
        <v>56</v>
      </c>
      <c r="AV286" s="146" t="str">
        <f t="shared" si="116"/>
        <v/>
      </c>
      <c r="AW286" s="146" t="str">
        <f t="shared" si="117"/>
        <v/>
      </c>
      <c r="AX286" s="138" t="str">
        <f t="shared" si="118"/>
        <v/>
      </c>
      <c r="AY286" s="95" t="s">
        <v>56</v>
      </c>
      <c r="AZ286" s="96">
        <v>62.734999999999999</v>
      </c>
      <c r="BA286" s="96"/>
      <c r="BB286" s="96">
        <v>57.5</v>
      </c>
      <c r="BC286" s="96"/>
      <c r="BD286" s="97">
        <v>100</v>
      </c>
      <c r="BE286" s="142">
        <f t="shared" si="119"/>
        <v>5297</v>
      </c>
      <c r="BF286" s="98">
        <v>0</v>
      </c>
      <c r="BG286" s="98">
        <v>0</v>
      </c>
      <c r="BH286" s="98">
        <v>0</v>
      </c>
      <c r="BI286" s="98">
        <v>5297</v>
      </c>
      <c r="BJ286" s="98"/>
      <c r="BK286" s="98"/>
      <c r="BL286" s="97"/>
    </row>
    <row r="287" spans="1:64" outlineLevel="5" x14ac:dyDescent="0.3">
      <c r="A287" s="152">
        <f t="shared" si="105"/>
        <v>8</v>
      </c>
      <c r="B287" s="153">
        <f t="shared" si="104"/>
        <v>44438</v>
      </c>
      <c r="C287" s="138">
        <f t="shared" si="110"/>
        <v>37.5</v>
      </c>
      <c r="D287" s="84">
        <v>38</v>
      </c>
      <c r="E287" s="84">
        <v>37</v>
      </c>
      <c r="F287" s="84"/>
      <c r="G287" s="84"/>
      <c r="H287" s="84"/>
      <c r="I287" s="84"/>
      <c r="J287" s="84"/>
      <c r="K287" s="84"/>
      <c r="L287" s="140">
        <f t="shared" si="111"/>
        <v>7.7</v>
      </c>
      <c r="M287" s="86">
        <v>7.72</v>
      </c>
      <c r="N287" s="86">
        <v>7.62</v>
      </c>
      <c r="O287" s="86"/>
      <c r="P287" s="86"/>
      <c r="Q287" s="86"/>
      <c r="R287" s="86"/>
      <c r="S287" s="86"/>
      <c r="T287" s="86"/>
      <c r="U287" s="142">
        <f t="shared" si="112"/>
        <v>1368.5</v>
      </c>
      <c r="V287" s="88">
        <v>1425</v>
      </c>
      <c r="W287" s="88">
        <v>1312</v>
      </c>
      <c r="X287" s="88"/>
      <c r="Y287" s="88"/>
      <c r="Z287" s="88"/>
      <c r="AA287" s="88"/>
      <c r="AB287" s="88"/>
      <c r="AC287" s="88"/>
      <c r="AD287" s="142" t="str">
        <f t="shared" si="113"/>
        <v/>
      </c>
      <c r="AE287" s="88"/>
      <c r="AF287" s="88"/>
      <c r="AG287" s="88"/>
      <c r="AH287" s="88"/>
      <c r="AI287" s="88"/>
      <c r="AJ287" s="88"/>
      <c r="AK287" s="88"/>
      <c r="AL287" s="88"/>
      <c r="AM287" s="88">
        <v>37.696669595080266</v>
      </c>
      <c r="AN287" s="88">
        <v>125.21000000000001</v>
      </c>
      <c r="AO287" s="89">
        <v>28.3</v>
      </c>
      <c r="AP287" s="90">
        <v>23.9984</v>
      </c>
      <c r="AQ287" s="146">
        <f t="shared" si="114"/>
        <v>84.8</v>
      </c>
      <c r="AR287" s="146">
        <f t="shared" si="115"/>
        <v>15.200000000000003</v>
      </c>
      <c r="AS287" s="147">
        <v>20</v>
      </c>
      <c r="AT287" s="148">
        <v>15.2</v>
      </c>
      <c r="AU287" s="149">
        <v>8.1999999999999993</v>
      </c>
      <c r="AV287" s="146">
        <f t="shared" si="116"/>
        <v>53.94736842105263</v>
      </c>
      <c r="AW287" s="146">
        <f t="shared" si="117"/>
        <v>46.05263157894737</v>
      </c>
      <c r="AX287" s="138">
        <f t="shared" si="118"/>
        <v>79.002695417789752</v>
      </c>
      <c r="AY287" s="95">
        <v>75.5</v>
      </c>
      <c r="AZ287" s="96">
        <v>60.7</v>
      </c>
      <c r="BA287" s="96"/>
      <c r="BB287" s="96">
        <v>56.5</v>
      </c>
      <c r="BC287" s="96"/>
      <c r="BD287" s="97">
        <v>125.21000000000001</v>
      </c>
      <c r="BE287" s="142">
        <f t="shared" si="119"/>
        <v>5567</v>
      </c>
      <c r="BF287" s="98">
        <v>0</v>
      </c>
      <c r="BG287" s="98">
        <v>0</v>
      </c>
      <c r="BH287" s="98">
        <v>148</v>
      </c>
      <c r="BI287" s="98">
        <v>5419</v>
      </c>
      <c r="BJ287" s="98"/>
      <c r="BK287" s="98"/>
      <c r="BL287" s="97"/>
    </row>
    <row r="288" spans="1:64" ht="17.25" outlineLevel="5" thickBot="1" x14ac:dyDescent="0.35">
      <c r="A288" s="154">
        <f t="shared" si="105"/>
        <v>8</v>
      </c>
      <c r="B288" s="155">
        <f t="shared" ref="B288:B351" si="120">B287+1</f>
        <v>44439</v>
      </c>
      <c r="C288" s="138">
        <f t="shared" si="110"/>
        <v>38</v>
      </c>
      <c r="D288" s="84">
        <v>38</v>
      </c>
      <c r="E288" s="84">
        <v>38</v>
      </c>
      <c r="F288" s="84"/>
      <c r="G288" s="84"/>
      <c r="H288" s="84"/>
      <c r="I288" s="84"/>
      <c r="J288" s="84"/>
      <c r="K288" s="84"/>
      <c r="L288" s="140" t="str">
        <f t="shared" si="111"/>
        <v/>
      </c>
      <c r="M288" s="86" t="s">
        <v>56</v>
      </c>
      <c r="N288" s="86" t="s">
        <v>56</v>
      </c>
      <c r="O288" s="86"/>
      <c r="P288" s="86"/>
      <c r="Q288" s="86"/>
      <c r="R288" s="86"/>
      <c r="S288" s="86"/>
      <c r="T288" s="86"/>
      <c r="U288" s="142" t="str">
        <f t="shared" si="112"/>
        <v/>
      </c>
      <c r="V288" s="88"/>
      <c r="W288" s="88"/>
      <c r="X288" s="88"/>
      <c r="Y288" s="88"/>
      <c r="Z288" s="88"/>
      <c r="AA288" s="88"/>
      <c r="AB288" s="88"/>
      <c r="AC288" s="88"/>
      <c r="AD288" s="142" t="str">
        <f t="shared" si="113"/>
        <v/>
      </c>
      <c r="AE288" s="88"/>
      <c r="AF288" s="88"/>
      <c r="AG288" s="88"/>
      <c r="AH288" s="88"/>
      <c r="AI288" s="88"/>
      <c r="AJ288" s="88"/>
      <c r="AK288" s="88"/>
      <c r="AL288" s="88"/>
      <c r="AM288" s="88">
        <v>35.22650944100306</v>
      </c>
      <c r="AN288" s="88">
        <v>133.99</v>
      </c>
      <c r="AO288" s="89" t="s">
        <v>56</v>
      </c>
      <c r="AP288" s="90" t="s">
        <v>56</v>
      </c>
      <c r="AQ288" s="146" t="str">
        <f t="shared" si="114"/>
        <v/>
      </c>
      <c r="AR288" s="146" t="str">
        <f t="shared" si="115"/>
        <v/>
      </c>
      <c r="AS288" s="147">
        <v>20</v>
      </c>
      <c r="AT288" s="148" t="s">
        <v>56</v>
      </c>
      <c r="AU288" s="149" t="s">
        <v>56</v>
      </c>
      <c r="AV288" s="146" t="str">
        <f t="shared" si="116"/>
        <v/>
      </c>
      <c r="AW288" s="146" t="str">
        <f t="shared" si="117"/>
        <v/>
      </c>
      <c r="AX288" s="138" t="str">
        <f t="shared" si="118"/>
        <v/>
      </c>
      <c r="AY288" s="95" t="s">
        <v>56</v>
      </c>
      <c r="AZ288" s="96">
        <v>61.704999999999998</v>
      </c>
      <c r="BA288" s="96"/>
      <c r="BB288" s="96">
        <v>64</v>
      </c>
      <c r="BC288" s="96"/>
      <c r="BD288" s="97">
        <v>133.99</v>
      </c>
      <c r="BE288" s="142">
        <f t="shared" si="119"/>
        <v>8489</v>
      </c>
      <c r="BF288" s="98">
        <v>0</v>
      </c>
      <c r="BG288" s="98">
        <v>0</v>
      </c>
      <c r="BH288" s="98">
        <v>3054</v>
      </c>
      <c r="BI288" s="98">
        <v>5435</v>
      </c>
      <c r="BJ288" s="98"/>
      <c r="BK288" s="98"/>
      <c r="BL288" s="97"/>
    </row>
    <row r="289" spans="1:64" outlineLevel="4" x14ac:dyDescent="0.3">
      <c r="A289" s="63" t="s">
        <v>85</v>
      </c>
      <c r="B289" s="64"/>
      <c r="C289" s="65">
        <f t="shared" ref="C289:BL289" si="121">SUBTOTAL(4,C258:C288)</f>
        <v>39</v>
      </c>
      <c r="D289" s="66">
        <f t="shared" si="121"/>
        <v>39</v>
      </c>
      <c r="E289" s="66">
        <f t="shared" si="121"/>
        <v>39</v>
      </c>
      <c r="F289" s="66">
        <f t="shared" si="121"/>
        <v>0</v>
      </c>
      <c r="G289" s="66">
        <f t="shared" si="121"/>
        <v>0</v>
      </c>
      <c r="H289" s="66">
        <f t="shared" si="121"/>
        <v>0</v>
      </c>
      <c r="I289" s="66">
        <f t="shared" si="121"/>
        <v>0</v>
      </c>
      <c r="J289" s="66">
        <f t="shared" si="121"/>
        <v>0</v>
      </c>
      <c r="K289" s="66">
        <f t="shared" si="121"/>
        <v>0</v>
      </c>
      <c r="L289" s="67">
        <f t="shared" si="121"/>
        <v>7.8</v>
      </c>
      <c r="M289" s="68">
        <f t="shared" si="121"/>
        <v>7.82</v>
      </c>
      <c r="N289" s="68">
        <f t="shared" si="121"/>
        <v>7.71</v>
      </c>
      <c r="O289" s="68">
        <f t="shared" si="121"/>
        <v>0</v>
      </c>
      <c r="P289" s="68">
        <f t="shared" si="121"/>
        <v>0</v>
      </c>
      <c r="Q289" s="68">
        <f t="shared" si="121"/>
        <v>0</v>
      </c>
      <c r="R289" s="68">
        <f t="shared" si="121"/>
        <v>0</v>
      </c>
      <c r="S289" s="68">
        <f t="shared" si="121"/>
        <v>0</v>
      </c>
      <c r="T289" s="68">
        <f t="shared" si="121"/>
        <v>0</v>
      </c>
      <c r="U289" s="69">
        <f t="shared" si="121"/>
        <v>1550</v>
      </c>
      <c r="V289" s="70">
        <f t="shared" si="121"/>
        <v>1650</v>
      </c>
      <c r="W289" s="70">
        <f t="shared" si="121"/>
        <v>1450</v>
      </c>
      <c r="X289" s="70">
        <f t="shared" si="121"/>
        <v>0</v>
      </c>
      <c r="Y289" s="70">
        <f t="shared" si="121"/>
        <v>0</v>
      </c>
      <c r="Z289" s="70">
        <f t="shared" si="121"/>
        <v>0</v>
      </c>
      <c r="AA289" s="70">
        <f t="shared" si="121"/>
        <v>0</v>
      </c>
      <c r="AB289" s="70">
        <f t="shared" si="121"/>
        <v>0</v>
      </c>
      <c r="AC289" s="70">
        <f t="shared" si="121"/>
        <v>0</v>
      </c>
      <c r="AD289" s="69">
        <f t="shared" si="121"/>
        <v>0</v>
      </c>
      <c r="AE289" s="70">
        <f t="shared" si="121"/>
        <v>0</v>
      </c>
      <c r="AF289" s="70">
        <f t="shared" si="121"/>
        <v>0</v>
      </c>
      <c r="AG289" s="70">
        <f t="shared" si="121"/>
        <v>0</v>
      </c>
      <c r="AH289" s="70">
        <f t="shared" si="121"/>
        <v>0</v>
      </c>
      <c r="AI289" s="70">
        <f t="shared" si="121"/>
        <v>0</v>
      </c>
      <c r="AJ289" s="70">
        <f t="shared" si="121"/>
        <v>0</v>
      </c>
      <c r="AK289" s="70">
        <f t="shared" si="121"/>
        <v>0</v>
      </c>
      <c r="AL289" s="70">
        <f t="shared" si="121"/>
        <v>0</v>
      </c>
      <c r="AM289" s="70">
        <f t="shared" si="121"/>
        <v>52.444444444444443</v>
      </c>
      <c r="AN289" s="70">
        <f t="shared" si="121"/>
        <v>144.12</v>
      </c>
      <c r="AO289" s="71">
        <f t="shared" si="121"/>
        <v>28.3</v>
      </c>
      <c r="AP289" s="72">
        <f t="shared" si="121"/>
        <v>23.9984</v>
      </c>
      <c r="AQ289" s="73">
        <f t="shared" si="121"/>
        <v>84.8</v>
      </c>
      <c r="AR289" s="73">
        <f t="shared" si="121"/>
        <v>20.600000000000009</v>
      </c>
      <c r="AS289" s="74">
        <f t="shared" si="121"/>
        <v>42</v>
      </c>
      <c r="AT289" s="75">
        <f t="shared" si="121"/>
        <v>16.600000000000001</v>
      </c>
      <c r="AU289" s="76">
        <f t="shared" si="121"/>
        <v>9.25</v>
      </c>
      <c r="AV289" s="73">
        <f t="shared" si="121"/>
        <v>58.730158730158735</v>
      </c>
      <c r="AW289" s="73">
        <f t="shared" si="121"/>
        <v>53.313253012048193</v>
      </c>
      <c r="AX289" s="65">
        <f t="shared" si="121"/>
        <v>79.002695417789752</v>
      </c>
      <c r="AY289" s="77">
        <f t="shared" si="121"/>
        <v>76.599999999999994</v>
      </c>
      <c r="AZ289" s="78">
        <f t="shared" si="121"/>
        <v>64.02</v>
      </c>
      <c r="BA289" s="78">
        <f t="shared" si="121"/>
        <v>0</v>
      </c>
      <c r="BB289" s="78">
        <f t="shared" si="121"/>
        <v>76</v>
      </c>
      <c r="BC289" s="78">
        <f t="shared" si="121"/>
        <v>0</v>
      </c>
      <c r="BD289" s="79">
        <f t="shared" si="121"/>
        <v>144.12</v>
      </c>
      <c r="BE289" s="69">
        <f t="shared" si="121"/>
        <v>13361</v>
      </c>
      <c r="BF289" s="70">
        <f t="shared" si="121"/>
        <v>182</v>
      </c>
      <c r="BG289" s="80">
        <f t="shared" si="121"/>
        <v>266</v>
      </c>
      <c r="BH289" s="80">
        <f t="shared" si="121"/>
        <v>7609</v>
      </c>
      <c r="BI289" s="80">
        <f t="shared" si="121"/>
        <v>5864</v>
      </c>
      <c r="BJ289" s="80">
        <f t="shared" si="121"/>
        <v>0</v>
      </c>
      <c r="BK289" s="80">
        <f t="shared" si="121"/>
        <v>0</v>
      </c>
      <c r="BL289" s="79">
        <f t="shared" si="121"/>
        <v>0</v>
      </c>
    </row>
    <row r="290" spans="1:64" outlineLevel="3" x14ac:dyDescent="0.3">
      <c r="A290" s="81" t="s">
        <v>86</v>
      </c>
      <c r="B290" s="82"/>
      <c r="C290" s="83">
        <f t="shared" ref="C290:BL290" si="122">SUBTOTAL(5,C258:C288)</f>
        <v>37</v>
      </c>
      <c r="D290" s="84">
        <f t="shared" si="122"/>
        <v>37</v>
      </c>
      <c r="E290" s="84">
        <f t="shared" si="122"/>
        <v>37</v>
      </c>
      <c r="F290" s="84">
        <f t="shared" si="122"/>
        <v>0</v>
      </c>
      <c r="G290" s="84">
        <f t="shared" si="122"/>
        <v>0</v>
      </c>
      <c r="H290" s="84">
        <f t="shared" si="122"/>
        <v>0</v>
      </c>
      <c r="I290" s="84">
        <f t="shared" si="122"/>
        <v>0</v>
      </c>
      <c r="J290" s="84">
        <f t="shared" si="122"/>
        <v>0</v>
      </c>
      <c r="K290" s="84">
        <f t="shared" si="122"/>
        <v>0</v>
      </c>
      <c r="L290" s="85">
        <f t="shared" si="122"/>
        <v>7.6</v>
      </c>
      <c r="M290" s="86">
        <f t="shared" si="122"/>
        <v>7.71</v>
      </c>
      <c r="N290" s="86">
        <f t="shared" si="122"/>
        <v>7.48</v>
      </c>
      <c r="O290" s="86">
        <f t="shared" si="122"/>
        <v>0</v>
      </c>
      <c r="P290" s="86">
        <f t="shared" si="122"/>
        <v>0</v>
      </c>
      <c r="Q290" s="86">
        <f t="shared" si="122"/>
        <v>0</v>
      </c>
      <c r="R290" s="86">
        <f t="shared" si="122"/>
        <v>0</v>
      </c>
      <c r="S290" s="86">
        <f t="shared" si="122"/>
        <v>0</v>
      </c>
      <c r="T290" s="86">
        <f t="shared" si="122"/>
        <v>0</v>
      </c>
      <c r="U290" s="87">
        <f t="shared" si="122"/>
        <v>1200</v>
      </c>
      <c r="V290" s="88">
        <f t="shared" si="122"/>
        <v>1250</v>
      </c>
      <c r="W290" s="88">
        <f t="shared" si="122"/>
        <v>1150</v>
      </c>
      <c r="X290" s="88">
        <f t="shared" si="122"/>
        <v>0</v>
      </c>
      <c r="Y290" s="88">
        <f t="shared" si="122"/>
        <v>0</v>
      </c>
      <c r="Z290" s="88">
        <f t="shared" si="122"/>
        <v>0</v>
      </c>
      <c r="AA290" s="88">
        <f t="shared" si="122"/>
        <v>0</v>
      </c>
      <c r="AB290" s="88">
        <f t="shared" si="122"/>
        <v>0</v>
      </c>
      <c r="AC290" s="88">
        <f t="shared" si="122"/>
        <v>0</v>
      </c>
      <c r="AD290" s="87">
        <f t="shared" si="122"/>
        <v>0</v>
      </c>
      <c r="AE290" s="88">
        <f t="shared" si="122"/>
        <v>0</v>
      </c>
      <c r="AF290" s="88">
        <f t="shared" si="122"/>
        <v>0</v>
      </c>
      <c r="AG290" s="88">
        <f t="shared" si="122"/>
        <v>0</v>
      </c>
      <c r="AH290" s="88">
        <f t="shared" si="122"/>
        <v>0</v>
      </c>
      <c r="AI290" s="88">
        <f t="shared" si="122"/>
        <v>0</v>
      </c>
      <c r="AJ290" s="88">
        <f t="shared" si="122"/>
        <v>0</v>
      </c>
      <c r="AK290" s="88">
        <f t="shared" si="122"/>
        <v>0</v>
      </c>
      <c r="AL290" s="88">
        <f t="shared" si="122"/>
        <v>0</v>
      </c>
      <c r="AM290" s="88">
        <f t="shared" si="122"/>
        <v>32.750485706355811</v>
      </c>
      <c r="AN290" s="88">
        <f t="shared" si="122"/>
        <v>90</v>
      </c>
      <c r="AO290" s="89">
        <f t="shared" si="122"/>
        <v>17.5</v>
      </c>
      <c r="AP290" s="90">
        <f t="shared" si="122"/>
        <v>13.895</v>
      </c>
      <c r="AQ290" s="91">
        <f t="shared" si="122"/>
        <v>79.399999999999991</v>
      </c>
      <c r="AR290" s="91">
        <f t="shared" si="122"/>
        <v>15.200000000000003</v>
      </c>
      <c r="AS290" s="92">
        <f t="shared" si="122"/>
        <v>0</v>
      </c>
      <c r="AT290" s="93">
        <f t="shared" si="122"/>
        <v>15.2</v>
      </c>
      <c r="AU290" s="94">
        <f t="shared" si="122"/>
        <v>7.75</v>
      </c>
      <c r="AV290" s="91">
        <f t="shared" si="122"/>
        <v>46.686746987951807</v>
      </c>
      <c r="AW290" s="91">
        <f t="shared" si="122"/>
        <v>41.269841269841265</v>
      </c>
      <c r="AX290" s="83">
        <f t="shared" si="122"/>
        <v>68.830464595577922</v>
      </c>
      <c r="AY290" s="95">
        <f t="shared" si="122"/>
        <v>70.599999999999994</v>
      </c>
      <c r="AZ290" s="96">
        <f t="shared" si="122"/>
        <v>58.25</v>
      </c>
      <c r="BA290" s="96">
        <f t="shared" si="122"/>
        <v>0</v>
      </c>
      <c r="BB290" s="96">
        <f t="shared" si="122"/>
        <v>46.5</v>
      </c>
      <c r="BC290" s="96">
        <f t="shared" si="122"/>
        <v>0</v>
      </c>
      <c r="BD290" s="97">
        <f t="shared" si="122"/>
        <v>90</v>
      </c>
      <c r="BE290" s="87">
        <f t="shared" si="122"/>
        <v>3284</v>
      </c>
      <c r="BF290" s="88">
        <f t="shared" si="122"/>
        <v>0</v>
      </c>
      <c r="BG290" s="98">
        <f t="shared" si="122"/>
        <v>0</v>
      </c>
      <c r="BH290" s="98">
        <f t="shared" si="122"/>
        <v>0</v>
      </c>
      <c r="BI290" s="98">
        <f t="shared" si="122"/>
        <v>2263</v>
      </c>
      <c r="BJ290" s="98">
        <f t="shared" si="122"/>
        <v>0</v>
      </c>
      <c r="BK290" s="98">
        <f t="shared" si="122"/>
        <v>0</v>
      </c>
      <c r="BL290" s="97">
        <f t="shared" si="122"/>
        <v>0</v>
      </c>
    </row>
    <row r="291" spans="1:64" outlineLevel="2" x14ac:dyDescent="0.3">
      <c r="A291" s="81" t="s">
        <v>87</v>
      </c>
      <c r="B291" s="82"/>
      <c r="C291" s="83">
        <f t="shared" ref="C291:BL291" si="123">IFERROR(SUBTOTAL(1,C258:C288),"")</f>
        <v>37.806451612903224</v>
      </c>
      <c r="D291" s="84">
        <f t="shared" si="123"/>
        <v>37.87096774193548</v>
      </c>
      <c r="E291" s="84">
        <f t="shared" si="123"/>
        <v>37.741935483870968</v>
      </c>
      <c r="F291" s="84" t="str">
        <f t="shared" si="123"/>
        <v/>
      </c>
      <c r="G291" s="84" t="str">
        <f t="shared" si="123"/>
        <v/>
      </c>
      <c r="H291" s="84" t="str">
        <f t="shared" si="123"/>
        <v/>
      </c>
      <c r="I291" s="84" t="str">
        <f t="shared" si="123"/>
        <v/>
      </c>
      <c r="J291" s="84" t="str">
        <f t="shared" si="123"/>
        <v/>
      </c>
      <c r="K291" s="84" t="str">
        <f t="shared" si="123"/>
        <v/>
      </c>
      <c r="L291" s="85">
        <f t="shared" si="123"/>
        <v>7.666666666666667</v>
      </c>
      <c r="M291" s="86">
        <f t="shared" si="123"/>
        <v>7.7488888888888896</v>
      </c>
      <c r="N291" s="86">
        <f t="shared" si="123"/>
        <v>7.59</v>
      </c>
      <c r="O291" s="86" t="str">
        <f t="shared" si="123"/>
        <v/>
      </c>
      <c r="P291" s="86" t="str">
        <f t="shared" si="123"/>
        <v/>
      </c>
      <c r="Q291" s="86" t="str">
        <f t="shared" si="123"/>
        <v/>
      </c>
      <c r="R291" s="86" t="str">
        <f t="shared" si="123"/>
        <v/>
      </c>
      <c r="S291" s="86" t="str">
        <f t="shared" si="123"/>
        <v/>
      </c>
      <c r="T291" s="86" t="str">
        <f t="shared" si="123"/>
        <v/>
      </c>
      <c r="U291" s="87">
        <f t="shared" si="123"/>
        <v>1364.2777777777778</v>
      </c>
      <c r="V291" s="88">
        <f t="shared" si="123"/>
        <v>1436.6666666666667</v>
      </c>
      <c r="W291" s="88">
        <f t="shared" si="123"/>
        <v>1291.8888888888889</v>
      </c>
      <c r="X291" s="88" t="str">
        <f t="shared" si="123"/>
        <v/>
      </c>
      <c r="Y291" s="88" t="str">
        <f t="shared" si="123"/>
        <v/>
      </c>
      <c r="Z291" s="88" t="str">
        <f t="shared" si="123"/>
        <v/>
      </c>
      <c r="AA291" s="88" t="str">
        <f t="shared" si="123"/>
        <v/>
      </c>
      <c r="AB291" s="88" t="str">
        <f t="shared" si="123"/>
        <v/>
      </c>
      <c r="AC291" s="88" t="str">
        <f t="shared" si="123"/>
        <v/>
      </c>
      <c r="AD291" s="87" t="str">
        <f t="shared" si="123"/>
        <v/>
      </c>
      <c r="AE291" s="88" t="str">
        <f t="shared" si="123"/>
        <v/>
      </c>
      <c r="AF291" s="88" t="str">
        <f t="shared" si="123"/>
        <v/>
      </c>
      <c r="AG291" s="88" t="str">
        <f t="shared" si="123"/>
        <v/>
      </c>
      <c r="AH291" s="88" t="str">
        <f t="shared" si="123"/>
        <v/>
      </c>
      <c r="AI291" s="88" t="str">
        <f t="shared" si="123"/>
        <v/>
      </c>
      <c r="AJ291" s="88" t="str">
        <f t="shared" si="123"/>
        <v/>
      </c>
      <c r="AK291" s="88" t="str">
        <f t="shared" si="123"/>
        <v/>
      </c>
      <c r="AL291" s="88" t="str">
        <f t="shared" si="123"/>
        <v/>
      </c>
      <c r="AM291" s="88">
        <f t="shared" si="123"/>
        <v>39.135460466931271</v>
      </c>
      <c r="AN291" s="88">
        <f t="shared" si="123"/>
        <v>122.73193548387098</v>
      </c>
      <c r="AO291" s="89">
        <f t="shared" si="123"/>
        <v>21.133333333333336</v>
      </c>
      <c r="AP291" s="90">
        <f t="shared" si="123"/>
        <v>17.488733333333332</v>
      </c>
      <c r="AQ291" s="91">
        <f t="shared" si="123"/>
        <v>82.333333333333329</v>
      </c>
      <c r="AR291" s="91">
        <f t="shared" si="123"/>
        <v>17.666666666666675</v>
      </c>
      <c r="AS291" s="92">
        <f t="shared" si="123"/>
        <v>18.096774193548388</v>
      </c>
      <c r="AT291" s="93">
        <f t="shared" si="123"/>
        <v>16.061111111111114</v>
      </c>
      <c r="AU291" s="94">
        <f t="shared" si="123"/>
        <v>8.7222222222222214</v>
      </c>
      <c r="AV291" s="91">
        <f t="shared" si="123"/>
        <v>54.344670166169145</v>
      </c>
      <c r="AW291" s="91">
        <f t="shared" si="123"/>
        <v>45.655329833830855</v>
      </c>
      <c r="AX291" s="83">
        <f t="shared" si="123"/>
        <v>73.846709790836982</v>
      </c>
      <c r="AY291" s="95">
        <f t="shared" si="123"/>
        <v>72.611111111111114</v>
      </c>
      <c r="AZ291" s="96">
        <f t="shared" si="123"/>
        <v>60.902096774193538</v>
      </c>
      <c r="BA291" s="96" t="str">
        <f t="shared" si="123"/>
        <v/>
      </c>
      <c r="BB291" s="96">
        <f t="shared" si="123"/>
        <v>64.693548387096769</v>
      </c>
      <c r="BC291" s="96" t="str">
        <f t="shared" si="123"/>
        <v/>
      </c>
      <c r="BD291" s="97">
        <f>IFERROR(SUBTOTAL(1,BD258:BD288),"")</f>
        <v>122.73193548387098</v>
      </c>
      <c r="BE291" s="87">
        <f t="shared" si="123"/>
        <v>7571.9677419354839</v>
      </c>
      <c r="BF291" s="88">
        <f t="shared" si="123"/>
        <v>22.903225806451612</v>
      </c>
      <c r="BG291" s="98">
        <f t="shared" si="123"/>
        <v>8.5806451612903221</v>
      </c>
      <c r="BH291" s="98">
        <f t="shared" si="123"/>
        <v>2351.3225806451615</v>
      </c>
      <c r="BI291" s="98">
        <f t="shared" si="123"/>
        <v>5189.1612903225805</v>
      </c>
      <c r="BJ291" s="98" t="str">
        <f t="shared" si="123"/>
        <v/>
      </c>
      <c r="BK291" s="98" t="str">
        <f t="shared" si="123"/>
        <v/>
      </c>
      <c r="BL291" s="97" t="str">
        <f t="shared" si="123"/>
        <v/>
      </c>
    </row>
    <row r="292" spans="1:64" ht="17.25" outlineLevel="1" thickBot="1" x14ac:dyDescent="0.35">
      <c r="A292" s="99" t="s">
        <v>88</v>
      </c>
      <c r="B292" s="100"/>
      <c r="C292" s="101"/>
      <c r="D292" s="102"/>
      <c r="E292" s="102"/>
      <c r="F292" s="102"/>
      <c r="G292" s="102"/>
      <c r="H292" s="102"/>
      <c r="I292" s="102"/>
      <c r="J292" s="102"/>
      <c r="K292" s="102"/>
      <c r="L292" s="103"/>
      <c r="M292" s="104"/>
      <c r="N292" s="104"/>
      <c r="O292" s="104"/>
      <c r="P292" s="104"/>
      <c r="Q292" s="104"/>
      <c r="R292" s="104"/>
      <c r="S292" s="104"/>
      <c r="T292" s="104"/>
      <c r="U292" s="105"/>
      <c r="V292" s="106"/>
      <c r="W292" s="106"/>
      <c r="X292" s="106"/>
      <c r="Y292" s="106"/>
      <c r="Z292" s="106"/>
      <c r="AA292" s="106"/>
      <c r="AB292" s="106"/>
      <c r="AC292" s="106"/>
      <c r="AD292" s="105"/>
      <c r="AE292" s="106"/>
      <c r="AF292" s="106"/>
      <c r="AG292" s="106"/>
      <c r="AH292" s="106"/>
      <c r="AI292" s="106"/>
      <c r="AJ292" s="106"/>
      <c r="AK292" s="106"/>
      <c r="AL292" s="106"/>
      <c r="AM292" s="106"/>
      <c r="AN292" s="107">
        <f>SUBTOTAL(9,AN258:AN288)</f>
        <v>3804.6900000000005</v>
      </c>
      <c r="AO292" s="108"/>
      <c r="AP292" s="109"/>
      <c r="AQ292" s="110"/>
      <c r="AR292" s="110"/>
      <c r="AS292" s="111">
        <f>SUBTOTAL(9,AS258:AS288)</f>
        <v>561</v>
      </c>
      <c r="AT292" s="112"/>
      <c r="AU292" s="113"/>
      <c r="AV292" s="110"/>
      <c r="AW292" s="110"/>
      <c r="AX292" s="101"/>
      <c r="AY292" s="114"/>
      <c r="AZ292" s="115"/>
      <c r="BA292" s="115"/>
      <c r="BB292" s="115"/>
      <c r="BC292" s="115"/>
      <c r="BD292" s="116">
        <f>SUBTOTAL(9,BD258:BD288)</f>
        <v>3804.6900000000005</v>
      </c>
      <c r="BE292" s="117">
        <f t="shared" ref="BE292:BL292" si="124">SUBTOTAL(9,BE258:BE288)</f>
        <v>234731</v>
      </c>
      <c r="BF292" s="107">
        <f t="shared" si="124"/>
        <v>710</v>
      </c>
      <c r="BG292" s="118">
        <f t="shared" si="124"/>
        <v>266</v>
      </c>
      <c r="BH292" s="118">
        <f t="shared" si="124"/>
        <v>72891</v>
      </c>
      <c r="BI292" s="118">
        <f t="shared" si="124"/>
        <v>160864</v>
      </c>
      <c r="BJ292" s="118">
        <f t="shared" si="124"/>
        <v>0</v>
      </c>
      <c r="BK292" s="118">
        <f t="shared" si="124"/>
        <v>0</v>
      </c>
      <c r="BL292" s="116">
        <f t="shared" si="124"/>
        <v>0</v>
      </c>
    </row>
    <row r="293" spans="1:64" outlineLevel="5" x14ac:dyDescent="0.3">
      <c r="A293" s="136">
        <f t="shared" si="105"/>
        <v>9</v>
      </c>
      <c r="B293" s="165">
        <f>B288+1</f>
        <v>44440</v>
      </c>
      <c r="C293" s="138">
        <f t="shared" ref="C293:C322" si="125">IFERROR(ROUND(AVERAGE(D293:K293),1),"")</f>
        <v>38</v>
      </c>
      <c r="D293" s="84">
        <v>38</v>
      </c>
      <c r="E293" s="84">
        <v>38</v>
      </c>
      <c r="F293" s="84"/>
      <c r="G293" s="84"/>
      <c r="H293" s="84"/>
      <c r="I293" s="84"/>
      <c r="J293" s="84"/>
      <c r="K293" s="84"/>
      <c r="L293" s="140" t="str">
        <f t="shared" ref="L293:L322" si="126">IFERROR(ROUND(AVERAGE(M293:T293),1),"")</f>
        <v/>
      </c>
      <c r="M293" s="86" t="s">
        <v>56</v>
      </c>
      <c r="N293" s="86" t="s">
        <v>56</v>
      </c>
      <c r="O293" s="86"/>
      <c r="P293" s="86"/>
      <c r="Q293" s="86"/>
      <c r="R293" s="86"/>
      <c r="S293" s="86"/>
      <c r="T293" s="86"/>
      <c r="U293" s="142" t="str">
        <f t="shared" ref="U293:U322" si="127">IFERROR(ROUND(AVERAGE(V293:AC293),1),"")</f>
        <v/>
      </c>
      <c r="V293" s="88" t="s">
        <v>56</v>
      </c>
      <c r="W293" s="88" t="s">
        <v>56</v>
      </c>
      <c r="X293" s="88"/>
      <c r="Y293" s="88"/>
      <c r="Z293" s="88"/>
      <c r="AA293" s="88"/>
      <c r="AB293" s="88"/>
      <c r="AC293" s="88"/>
      <c r="AD293" s="142" t="str">
        <f t="shared" ref="AD293:AD322" si="128">IFERROR(ROUND(AVERAGE(AE293:AL293),1),"")</f>
        <v/>
      </c>
      <c r="AE293" s="88"/>
      <c r="AF293" s="88"/>
      <c r="AG293" s="88"/>
      <c r="AH293" s="88"/>
      <c r="AI293" s="88"/>
      <c r="AJ293" s="88"/>
      <c r="AK293" s="88"/>
      <c r="AL293" s="88"/>
      <c r="AM293" s="88">
        <v>40.105361543036793</v>
      </c>
      <c r="AN293" s="88">
        <v>117.69</v>
      </c>
      <c r="AO293" s="89" t="s">
        <v>56</v>
      </c>
      <c r="AP293" s="90" t="s">
        <v>56</v>
      </c>
      <c r="AQ293" s="146" t="str">
        <f t="shared" ref="AQ293:AQ322" si="129">IFERROR(AP293/AO293*100,"")</f>
        <v/>
      </c>
      <c r="AR293" s="146" t="str">
        <f t="shared" ref="AR293:AR322" si="130">IFERROR(100-AQ293,"")</f>
        <v/>
      </c>
      <c r="AS293" s="147">
        <v>30</v>
      </c>
      <c r="AT293" s="148" t="s">
        <v>56</v>
      </c>
      <c r="AU293" s="149" t="s">
        <v>56</v>
      </c>
      <c r="AV293" s="146" t="str">
        <f t="shared" ref="AV293:AV322" si="131">IFERROR(AU293/AT293*100,"")</f>
        <v/>
      </c>
      <c r="AW293" s="146" t="str">
        <f t="shared" ref="AW293:AW322" si="132">IFERROR(100-AV293,"")</f>
        <v/>
      </c>
      <c r="AX293" s="138" t="str">
        <f t="shared" ref="AX293:AX322" si="133">IFERROR((1-((AV293*AR293)/(AW293*AQ293)))*100,"")</f>
        <v/>
      </c>
      <c r="AY293" s="95" t="s">
        <v>56</v>
      </c>
      <c r="AZ293" s="96">
        <v>61.234999999999999</v>
      </c>
      <c r="BA293" s="96"/>
      <c r="BB293" s="96">
        <v>50.5</v>
      </c>
      <c r="BC293" s="96"/>
      <c r="BD293" s="97">
        <v>117.69</v>
      </c>
      <c r="BE293" s="142">
        <f t="shared" ref="BE293:BE322" si="134">IF(SUM(BF293:BL293)=0,"",SUM(BF293:BL293))</f>
        <v>8966</v>
      </c>
      <c r="BF293" s="98">
        <v>0</v>
      </c>
      <c r="BG293" s="98">
        <v>0</v>
      </c>
      <c r="BH293" s="98">
        <v>3613</v>
      </c>
      <c r="BI293" s="98">
        <v>5353</v>
      </c>
      <c r="BJ293" s="98"/>
      <c r="BK293" s="98"/>
      <c r="BL293" s="97"/>
    </row>
    <row r="294" spans="1:64" outlineLevel="5" x14ac:dyDescent="0.3">
      <c r="A294" s="152">
        <f t="shared" si="105"/>
        <v>9</v>
      </c>
      <c r="B294" s="153">
        <f t="shared" si="120"/>
        <v>44441</v>
      </c>
      <c r="C294" s="138">
        <f t="shared" si="125"/>
        <v>37.5</v>
      </c>
      <c r="D294" s="84">
        <v>38</v>
      </c>
      <c r="E294" s="84">
        <v>37</v>
      </c>
      <c r="F294" s="84"/>
      <c r="G294" s="84"/>
      <c r="H294" s="84"/>
      <c r="I294" s="84"/>
      <c r="J294" s="84"/>
      <c r="K294" s="84"/>
      <c r="L294" s="140">
        <f t="shared" si="126"/>
        <v>7.7</v>
      </c>
      <c r="M294" s="86">
        <v>7.7</v>
      </c>
      <c r="N294" s="86">
        <v>7.63</v>
      </c>
      <c r="O294" s="86"/>
      <c r="P294" s="86"/>
      <c r="Q294" s="86"/>
      <c r="R294" s="86"/>
      <c r="S294" s="86"/>
      <c r="T294" s="86"/>
      <c r="U294" s="142">
        <f t="shared" si="127"/>
        <v>2244.5</v>
      </c>
      <c r="V294" s="88">
        <v>1894</v>
      </c>
      <c r="W294" s="88">
        <v>2595</v>
      </c>
      <c r="X294" s="88"/>
      <c r="Y294" s="88"/>
      <c r="Z294" s="88"/>
      <c r="AA294" s="88"/>
      <c r="AB294" s="88"/>
      <c r="AC294" s="88"/>
      <c r="AD294" s="142" t="str">
        <f t="shared" si="128"/>
        <v/>
      </c>
      <c r="AE294" s="88"/>
      <c r="AF294" s="88"/>
      <c r="AG294" s="88"/>
      <c r="AH294" s="88"/>
      <c r="AI294" s="88"/>
      <c r="AJ294" s="88"/>
      <c r="AK294" s="88"/>
      <c r="AL294" s="88"/>
      <c r="AM294" s="88">
        <v>37.324055037165905</v>
      </c>
      <c r="AN294" s="88">
        <v>126.46</v>
      </c>
      <c r="AO294" s="89" t="s">
        <v>56</v>
      </c>
      <c r="AP294" s="90" t="s">
        <v>56</v>
      </c>
      <c r="AQ294" s="146" t="str">
        <f t="shared" si="129"/>
        <v/>
      </c>
      <c r="AR294" s="146" t="str">
        <f t="shared" si="130"/>
        <v/>
      </c>
      <c r="AS294" s="147">
        <v>20</v>
      </c>
      <c r="AT294" s="148">
        <v>15.25</v>
      </c>
      <c r="AU294" s="149">
        <v>7.8</v>
      </c>
      <c r="AV294" s="146">
        <f t="shared" si="131"/>
        <v>51.147540983606554</v>
      </c>
      <c r="AW294" s="146">
        <f t="shared" si="132"/>
        <v>48.852459016393446</v>
      </c>
      <c r="AX294" s="138" t="str">
        <f t="shared" si="133"/>
        <v/>
      </c>
      <c r="AY294" s="95">
        <v>73.849999999999994</v>
      </c>
      <c r="AZ294" s="96">
        <v>63.23</v>
      </c>
      <c r="BA294" s="96"/>
      <c r="BB294" s="96">
        <v>53</v>
      </c>
      <c r="BC294" s="96"/>
      <c r="BD294" s="97">
        <v>126.46</v>
      </c>
      <c r="BE294" s="142">
        <f t="shared" si="134"/>
        <v>10404</v>
      </c>
      <c r="BF294" s="98">
        <v>0</v>
      </c>
      <c r="BG294" s="98">
        <v>0</v>
      </c>
      <c r="BH294" s="98">
        <v>5174</v>
      </c>
      <c r="BI294" s="98">
        <v>5230</v>
      </c>
      <c r="BJ294" s="98"/>
      <c r="BK294" s="98"/>
      <c r="BL294" s="97"/>
    </row>
    <row r="295" spans="1:64" outlineLevel="5" x14ac:dyDescent="0.3">
      <c r="A295" s="152">
        <f t="shared" si="105"/>
        <v>9</v>
      </c>
      <c r="B295" s="153">
        <f t="shared" si="120"/>
        <v>44442</v>
      </c>
      <c r="C295" s="138">
        <f t="shared" si="125"/>
        <v>38</v>
      </c>
      <c r="D295" s="84">
        <v>38</v>
      </c>
      <c r="E295" s="84">
        <v>38</v>
      </c>
      <c r="F295" s="84"/>
      <c r="G295" s="84"/>
      <c r="H295" s="84"/>
      <c r="I295" s="84"/>
      <c r="J295" s="84"/>
      <c r="K295" s="84"/>
      <c r="L295" s="140" t="str">
        <f t="shared" si="126"/>
        <v/>
      </c>
      <c r="M295" s="86" t="s">
        <v>56</v>
      </c>
      <c r="N295" s="86" t="s">
        <v>56</v>
      </c>
      <c r="O295" s="86"/>
      <c r="P295" s="86"/>
      <c r="Q295" s="86"/>
      <c r="R295" s="86"/>
      <c r="S295" s="86"/>
      <c r="T295" s="86"/>
      <c r="U295" s="142" t="str">
        <f t="shared" si="127"/>
        <v/>
      </c>
      <c r="V295" s="88" t="s">
        <v>56</v>
      </c>
      <c r="W295" s="88" t="s">
        <v>56</v>
      </c>
      <c r="X295" s="88"/>
      <c r="Y295" s="88"/>
      <c r="Z295" s="88"/>
      <c r="AA295" s="88"/>
      <c r="AB295" s="88"/>
      <c r="AC295" s="88"/>
      <c r="AD295" s="142" t="str">
        <f t="shared" si="128"/>
        <v/>
      </c>
      <c r="AE295" s="88"/>
      <c r="AF295" s="88"/>
      <c r="AG295" s="88"/>
      <c r="AH295" s="88"/>
      <c r="AI295" s="88"/>
      <c r="AJ295" s="88"/>
      <c r="AK295" s="88"/>
      <c r="AL295" s="88"/>
      <c r="AM295" s="88">
        <v>57.330256285679582</v>
      </c>
      <c r="AN295" s="88">
        <v>82.33</v>
      </c>
      <c r="AO295" s="89" t="s">
        <v>56</v>
      </c>
      <c r="AP295" s="90" t="s">
        <v>56</v>
      </c>
      <c r="AQ295" s="146" t="str">
        <f t="shared" si="129"/>
        <v/>
      </c>
      <c r="AR295" s="146" t="str">
        <f t="shared" si="130"/>
        <v/>
      </c>
      <c r="AS295" s="147">
        <v>20</v>
      </c>
      <c r="AT295" s="148" t="s">
        <v>56</v>
      </c>
      <c r="AU295" s="149" t="s">
        <v>56</v>
      </c>
      <c r="AV295" s="146" t="str">
        <f t="shared" si="131"/>
        <v/>
      </c>
      <c r="AW295" s="146" t="str">
        <f t="shared" si="132"/>
        <v/>
      </c>
      <c r="AX295" s="138" t="str">
        <f t="shared" si="133"/>
        <v/>
      </c>
      <c r="AY295" s="95" t="s">
        <v>56</v>
      </c>
      <c r="AZ295" s="96">
        <v>61.28</v>
      </c>
      <c r="BA295" s="96"/>
      <c r="BB295" s="96">
        <v>54</v>
      </c>
      <c r="BC295" s="96"/>
      <c r="BD295" s="97">
        <v>82.33</v>
      </c>
      <c r="BE295" s="142">
        <f t="shared" si="134"/>
        <v>8528</v>
      </c>
      <c r="BF295" s="98">
        <v>0</v>
      </c>
      <c r="BG295" s="98">
        <v>0</v>
      </c>
      <c r="BH295" s="98">
        <v>3410</v>
      </c>
      <c r="BI295" s="98">
        <v>5118</v>
      </c>
      <c r="BJ295" s="98"/>
      <c r="BK295" s="98"/>
      <c r="BL295" s="97"/>
    </row>
    <row r="296" spans="1:64" outlineLevel="5" x14ac:dyDescent="0.3">
      <c r="A296" s="152">
        <f t="shared" si="105"/>
        <v>9</v>
      </c>
      <c r="B296" s="153">
        <f t="shared" si="120"/>
        <v>44443</v>
      </c>
      <c r="C296" s="138">
        <f t="shared" si="125"/>
        <v>38</v>
      </c>
      <c r="D296" s="84">
        <v>38</v>
      </c>
      <c r="E296" s="84">
        <v>38</v>
      </c>
      <c r="F296" s="84"/>
      <c r="G296" s="84"/>
      <c r="H296" s="84"/>
      <c r="I296" s="84"/>
      <c r="J296" s="84"/>
      <c r="K296" s="84"/>
      <c r="L296" s="140" t="str">
        <f t="shared" si="126"/>
        <v/>
      </c>
      <c r="M296" s="86"/>
      <c r="N296" s="86"/>
      <c r="O296" s="86"/>
      <c r="P296" s="86"/>
      <c r="Q296" s="86"/>
      <c r="R296" s="86"/>
      <c r="S296" s="86"/>
      <c r="T296" s="86"/>
      <c r="U296" s="142" t="str">
        <f t="shared" si="127"/>
        <v/>
      </c>
      <c r="V296" s="88"/>
      <c r="W296" s="88"/>
      <c r="X296" s="88"/>
      <c r="Y296" s="88"/>
      <c r="Z296" s="88"/>
      <c r="AA296" s="88"/>
      <c r="AB296" s="88"/>
      <c r="AC296" s="88"/>
      <c r="AD296" s="142" t="str">
        <f t="shared" si="128"/>
        <v/>
      </c>
      <c r="AE296" s="88"/>
      <c r="AF296" s="88"/>
      <c r="AG296" s="88"/>
      <c r="AH296" s="88"/>
      <c r="AI296" s="88"/>
      <c r="AJ296" s="88"/>
      <c r="AK296" s="88"/>
      <c r="AL296" s="88"/>
      <c r="AM296" s="88">
        <v>36.224098234842664</v>
      </c>
      <c r="AN296" s="88">
        <v>130.30000000000001</v>
      </c>
      <c r="AO296" s="89"/>
      <c r="AP296" s="90"/>
      <c r="AQ296" s="146" t="str">
        <f t="shared" si="129"/>
        <v/>
      </c>
      <c r="AR296" s="146" t="str">
        <f t="shared" si="130"/>
        <v/>
      </c>
      <c r="AS296" s="147">
        <v>10</v>
      </c>
      <c r="AT296" s="148" t="s">
        <v>56</v>
      </c>
      <c r="AU296" s="149" t="s">
        <v>56</v>
      </c>
      <c r="AV296" s="146" t="str">
        <f t="shared" si="131"/>
        <v/>
      </c>
      <c r="AW296" s="146" t="str">
        <f t="shared" si="132"/>
        <v/>
      </c>
      <c r="AX296" s="138" t="str">
        <f t="shared" si="133"/>
        <v/>
      </c>
      <c r="AY296" s="95" t="s">
        <v>56</v>
      </c>
      <c r="AZ296" s="96">
        <v>61.010000000000005</v>
      </c>
      <c r="BA296" s="96"/>
      <c r="BB296" s="96">
        <v>56</v>
      </c>
      <c r="BC296" s="96"/>
      <c r="BD296" s="97">
        <v>130.30000000000001</v>
      </c>
      <c r="BE296" s="142">
        <f t="shared" si="134"/>
        <v>7943</v>
      </c>
      <c r="BF296" s="98">
        <v>0</v>
      </c>
      <c r="BG296" s="98">
        <v>0</v>
      </c>
      <c r="BH296" s="98">
        <v>2738</v>
      </c>
      <c r="BI296" s="98">
        <v>5205</v>
      </c>
      <c r="BJ296" s="98"/>
      <c r="BK296" s="98"/>
      <c r="BL296" s="97"/>
    </row>
    <row r="297" spans="1:64" outlineLevel="5" x14ac:dyDescent="0.3">
      <c r="A297" s="152">
        <f t="shared" si="105"/>
        <v>9</v>
      </c>
      <c r="B297" s="153">
        <f t="shared" si="120"/>
        <v>44444</v>
      </c>
      <c r="C297" s="138">
        <f t="shared" si="125"/>
        <v>38</v>
      </c>
      <c r="D297" s="84">
        <v>38</v>
      </c>
      <c r="E297" s="84">
        <v>38</v>
      </c>
      <c r="F297" s="84"/>
      <c r="G297" s="84"/>
      <c r="H297" s="84"/>
      <c r="I297" s="84"/>
      <c r="J297" s="84"/>
      <c r="K297" s="84"/>
      <c r="L297" s="140" t="str">
        <f t="shared" si="126"/>
        <v/>
      </c>
      <c r="M297" s="86"/>
      <c r="N297" s="86"/>
      <c r="O297" s="86"/>
      <c r="P297" s="86"/>
      <c r="Q297" s="86"/>
      <c r="R297" s="86"/>
      <c r="S297" s="86"/>
      <c r="T297" s="86"/>
      <c r="U297" s="142" t="str">
        <f t="shared" si="127"/>
        <v/>
      </c>
      <c r="V297" s="88"/>
      <c r="W297" s="88"/>
      <c r="X297" s="88"/>
      <c r="Y297" s="88"/>
      <c r="Z297" s="88"/>
      <c r="AA297" s="88"/>
      <c r="AB297" s="88"/>
      <c r="AC297" s="88"/>
      <c r="AD297" s="142" t="str">
        <f t="shared" si="128"/>
        <v/>
      </c>
      <c r="AE297" s="88"/>
      <c r="AF297" s="88"/>
      <c r="AG297" s="88"/>
      <c r="AH297" s="88"/>
      <c r="AI297" s="88"/>
      <c r="AJ297" s="88"/>
      <c r="AK297" s="88"/>
      <c r="AL297" s="88"/>
      <c r="AM297" s="88">
        <v>36.307692307692307</v>
      </c>
      <c r="AN297" s="88">
        <v>130</v>
      </c>
      <c r="AO297" s="89"/>
      <c r="AP297" s="90"/>
      <c r="AQ297" s="146" t="str">
        <f t="shared" si="129"/>
        <v/>
      </c>
      <c r="AR297" s="146" t="str">
        <f t="shared" si="130"/>
        <v/>
      </c>
      <c r="AS297" s="147">
        <v>10</v>
      </c>
      <c r="AT297" s="148" t="s">
        <v>56</v>
      </c>
      <c r="AU297" s="149" t="s">
        <v>56</v>
      </c>
      <c r="AV297" s="146" t="str">
        <f t="shared" si="131"/>
        <v/>
      </c>
      <c r="AW297" s="146" t="str">
        <f t="shared" si="132"/>
        <v/>
      </c>
      <c r="AX297" s="138" t="str">
        <f t="shared" si="133"/>
        <v/>
      </c>
      <c r="AY297" s="95" t="s">
        <v>56</v>
      </c>
      <c r="AZ297" s="96">
        <v>61.534999999999997</v>
      </c>
      <c r="BA297" s="96"/>
      <c r="BB297" s="96">
        <v>61.5</v>
      </c>
      <c r="BC297" s="96"/>
      <c r="BD297" s="97">
        <v>130</v>
      </c>
      <c r="BE297" s="142">
        <f t="shared" si="134"/>
        <v>7759</v>
      </c>
      <c r="BF297" s="98">
        <v>0</v>
      </c>
      <c r="BG297" s="98">
        <v>0</v>
      </c>
      <c r="BH297" s="98">
        <v>2576</v>
      </c>
      <c r="BI297" s="98">
        <v>5183</v>
      </c>
      <c r="BJ297" s="98"/>
      <c r="BK297" s="98"/>
      <c r="BL297" s="97"/>
    </row>
    <row r="298" spans="1:64" outlineLevel="5" x14ac:dyDescent="0.3">
      <c r="A298" s="152">
        <f t="shared" si="105"/>
        <v>9</v>
      </c>
      <c r="B298" s="153">
        <f t="shared" si="120"/>
        <v>44445</v>
      </c>
      <c r="C298" s="138">
        <f t="shared" si="125"/>
        <v>37</v>
      </c>
      <c r="D298" s="84">
        <v>37</v>
      </c>
      <c r="E298" s="84">
        <v>37</v>
      </c>
      <c r="F298" s="84"/>
      <c r="G298" s="84"/>
      <c r="H298" s="84"/>
      <c r="I298" s="84"/>
      <c r="J298" s="84"/>
      <c r="K298" s="84"/>
      <c r="L298" s="140">
        <f t="shared" si="126"/>
        <v>7.7</v>
      </c>
      <c r="M298" s="86">
        <v>7.7</v>
      </c>
      <c r="N298" s="86">
        <v>7.64</v>
      </c>
      <c r="O298" s="86"/>
      <c r="P298" s="86"/>
      <c r="Q298" s="86"/>
      <c r="R298" s="86"/>
      <c r="S298" s="86"/>
      <c r="T298" s="86"/>
      <c r="U298" s="142">
        <f t="shared" si="127"/>
        <v>1492</v>
      </c>
      <c r="V298" s="88">
        <v>1440</v>
      </c>
      <c r="W298" s="88">
        <v>1544</v>
      </c>
      <c r="X298" s="88"/>
      <c r="Y298" s="88"/>
      <c r="Z298" s="88"/>
      <c r="AA298" s="88"/>
      <c r="AB298" s="88"/>
      <c r="AC298" s="88"/>
      <c r="AD298" s="142" t="str">
        <f t="shared" si="128"/>
        <v/>
      </c>
      <c r="AE298" s="88"/>
      <c r="AF298" s="88"/>
      <c r="AG298" s="88"/>
      <c r="AH298" s="88"/>
      <c r="AI298" s="88"/>
      <c r="AJ298" s="88"/>
      <c r="AK298" s="88"/>
      <c r="AL298" s="88"/>
      <c r="AM298" s="88">
        <v>38.606248977588741</v>
      </c>
      <c r="AN298" s="88">
        <v>122.26</v>
      </c>
      <c r="AO298" s="89">
        <v>15.1</v>
      </c>
      <c r="AP298" s="90">
        <v>12.6236</v>
      </c>
      <c r="AQ298" s="146">
        <f t="shared" si="129"/>
        <v>83.6</v>
      </c>
      <c r="AR298" s="146">
        <f t="shared" si="130"/>
        <v>16.400000000000006</v>
      </c>
      <c r="AS298" s="147">
        <v>21</v>
      </c>
      <c r="AT298" s="148">
        <v>15.3</v>
      </c>
      <c r="AU298" s="149">
        <v>8.5</v>
      </c>
      <c r="AV298" s="146">
        <f t="shared" si="131"/>
        <v>55.555555555555557</v>
      </c>
      <c r="AW298" s="146">
        <f t="shared" si="132"/>
        <v>44.444444444444443</v>
      </c>
      <c r="AX298" s="138">
        <f t="shared" si="133"/>
        <v>75.478468899521516</v>
      </c>
      <c r="AY298" s="95">
        <v>73.349999999999994</v>
      </c>
      <c r="AZ298" s="96">
        <v>61.085000000000001</v>
      </c>
      <c r="BA298" s="96"/>
      <c r="BB298" s="96">
        <v>63</v>
      </c>
      <c r="BC298" s="96"/>
      <c r="BD298" s="97">
        <v>122.26</v>
      </c>
      <c r="BE298" s="142">
        <f t="shared" si="134"/>
        <v>6985</v>
      </c>
      <c r="BF298" s="98">
        <v>0</v>
      </c>
      <c r="BG298" s="98">
        <v>0</v>
      </c>
      <c r="BH298" s="98">
        <v>1728</v>
      </c>
      <c r="BI298" s="98">
        <v>5257</v>
      </c>
      <c r="BJ298" s="98"/>
      <c r="BK298" s="98"/>
      <c r="BL298" s="97"/>
    </row>
    <row r="299" spans="1:64" outlineLevel="5" x14ac:dyDescent="0.3">
      <c r="A299" s="152">
        <f t="shared" si="105"/>
        <v>9</v>
      </c>
      <c r="B299" s="153">
        <f t="shared" si="120"/>
        <v>44446</v>
      </c>
      <c r="C299" s="138">
        <f t="shared" si="125"/>
        <v>37</v>
      </c>
      <c r="D299" s="84">
        <v>37</v>
      </c>
      <c r="E299" s="84">
        <v>37</v>
      </c>
      <c r="F299" s="84"/>
      <c r="G299" s="84"/>
      <c r="H299" s="84"/>
      <c r="I299" s="84"/>
      <c r="J299" s="84"/>
      <c r="K299" s="84"/>
      <c r="L299" s="140" t="str">
        <f t="shared" si="126"/>
        <v/>
      </c>
      <c r="M299" s="86" t="s">
        <v>56</v>
      </c>
      <c r="N299" s="86" t="s">
        <v>56</v>
      </c>
      <c r="O299" s="86"/>
      <c r="P299" s="86"/>
      <c r="Q299" s="86"/>
      <c r="R299" s="86"/>
      <c r="S299" s="86"/>
      <c r="T299" s="86"/>
      <c r="U299" s="142" t="str">
        <f t="shared" si="127"/>
        <v/>
      </c>
      <c r="V299" s="88" t="s">
        <v>56</v>
      </c>
      <c r="W299" s="88" t="s">
        <v>56</v>
      </c>
      <c r="X299" s="88"/>
      <c r="Y299" s="88"/>
      <c r="Z299" s="88"/>
      <c r="AA299" s="88"/>
      <c r="AB299" s="88"/>
      <c r="AC299" s="88"/>
      <c r="AD299" s="142" t="str">
        <f t="shared" si="128"/>
        <v/>
      </c>
      <c r="AE299" s="88"/>
      <c r="AF299" s="88"/>
      <c r="AG299" s="88"/>
      <c r="AH299" s="88"/>
      <c r="AI299" s="88"/>
      <c r="AJ299" s="88"/>
      <c r="AK299" s="88"/>
      <c r="AL299" s="88"/>
      <c r="AM299" s="88">
        <v>35.279168846700045</v>
      </c>
      <c r="AN299" s="88">
        <v>133.79000000000002</v>
      </c>
      <c r="AO299" s="89" t="s">
        <v>56</v>
      </c>
      <c r="AP299" s="90" t="s">
        <v>56</v>
      </c>
      <c r="AQ299" s="146" t="str">
        <f t="shared" si="129"/>
        <v/>
      </c>
      <c r="AR299" s="146" t="str">
        <f t="shared" si="130"/>
        <v/>
      </c>
      <c r="AS299" s="147">
        <v>20</v>
      </c>
      <c r="AT299" s="148" t="s">
        <v>56</v>
      </c>
      <c r="AU299" s="149" t="s">
        <v>56</v>
      </c>
      <c r="AV299" s="146" t="str">
        <f t="shared" si="131"/>
        <v/>
      </c>
      <c r="AW299" s="146" t="str">
        <f t="shared" si="132"/>
        <v/>
      </c>
      <c r="AX299" s="138" t="str">
        <f t="shared" si="133"/>
        <v/>
      </c>
      <c r="AY299" s="95" t="s">
        <v>56</v>
      </c>
      <c r="AZ299" s="96">
        <v>62</v>
      </c>
      <c r="BA299" s="96"/>
      <c r="BB299" s="96">
        <v>60</v>
      </c>
      <c r="BC299" s="96"/>
      <c r="BD299" s="97">
        <v>133.79000000000002</v>
      </c>
      <c r="BE299" s="142">
        <f t="shared" si="134"/>
        <v>8268</v>
      </c>
      <c r="BF299" s="98">
        <v>0</v>
      </c>
      <c r="BG299" s="98">
        <v>0</v>
      </c>
      <c r="BH299" s="98">
        <v>3005</v>
      </c>
      <c r="BI299" s="98">
        <v>5263</v>
      </c>
      <c r="BJ299" s="98"/>
      <c r="BK299" s="98"/>
      <c r="BL299" s="97"/>
    </row>
    <row r="300" spans="1:64" outlineLevel="5" x14ac:dyDescent="0.3">
      <c r="A300" s="152">
        <f t="shared" si="105"/>
        <v>9</v>
      </c>
      <c r="B300" s="153">
        <f t="shared" si="120"/>
        <v>44447</v>
      </c>
      <c r="C300" s="138">
        <f t="shared" si="125"/>
        <v>37</v>
      </c>
      <c r="D300" s="84">
        <v>37</v>
      </c>
      <c r="E300" s="84">
        <v>37</v>
      </c>
      <c r="F300" s="84"/>
      <c r="G300" s="84"/>
      <c r="H300" s="84"/>
      <c r="I300" s="84"/>
      <c r="J300" s="84"/>
      <c r="K300" s="84"/>
      <c r="L300" s="140">
        <f t="shared" si="126"/>
        <v>7.7</v>
      </c>
      <c r="M300" s="86">
        <v>7.81</v>
      </c>
      <c r="N300" s="86">
        <v>7.6</v>
      </c>
      <c r="O300" s="86"/>
      <c r="P300" s="86"/>
      <c r="Q300" s="86"/>
      <c r="R300" s="86"/>
      <c r="S300" s="86"/>
      <c r="T300" s="86"/>
      <c r="U300" s="142">
        <f t="shared" si="127"/>
        <v>1520</v>
      </c>
      <c r="V300" s="88">
        <v>1560</v>
      </c>
      <c r="W300" s="88">
        <v>1480</v>
      </c>
      <c r="X300" s="88"/>
      <c r="Y300" s="88"/>
      <c r="Z300" s="88"/>
      <c r="AA300" s="88"/>
      <c r="AB300" s="88"/>
      <c r="AC300" s="88"/>
      <c r="AD300" s="142" t="str">
        <f t="shared" si="128"/>
        <v/>
      </c>
      <c r="AE300" s="88"/>
      <c r="AF300" s="88"/>
      <c r="AG300" s="88"/>
      <c r="AH300" s="88"/>
      <c r="AI300" s="88"/>
      <c r="AJ300" s="88"/>
      <c r="AK300" s="88"/>
      <c r="AL300" s="88"/>
      <c r="AM300" s="88">
        <v>39.790929017029164</v>
      </c>
      <c r="AN300" s="88">
        <v>118.62</v>
      </c>
      <c r="AO300" s="89" t="s">
        <v>56</v>
      </c>
      <c r="AP300" s="90" t="s">
        <v>56</v>
      </c>
      <c r="AQ300" s="146" t="str">
        <f t="shared" si="129"/>
        <v/>
      </c>
      <c r="AR300" s="146" t="str">
        <f t="shared" si="130"/>
        <v/>
      </c>
      <c r="AS300" s="147">
        <v>22</v>
      </c>
      <c r="AT300" s="148">
        <v>17.950000000000003</v>
      </c>
      <c r="AU300" s="149">
        <v>9.6999999999999993</v>
      </c>
      <c r="AV300" s="146">
        <f t="shared" si="131"/>
        <v>54.038997214484667</v>
      </c>
      <c r="AW300" s="146">
        <f t="shared" si="132"/>
        <v>45.961002785515333</v>
      </c>
      <c r="AX300" s="138" t="str">
        <f t="shared" si="133"/>
        <v/>
      </c>
      <c r="AY300" s="95">
        <v>85.15</v>
      </c>
      <c r="AZ300" s="96">
        <v>61.125</v>
      </c>
      <c r="BA300" s="96"/>
      <c r="BB300" s="96">
        <v>61</v>
      </c>
      <c r="BC300" s="96"/>
      <c r="BD300" s="97">
        <v>118.62</v>
      </c>
      <c r="BE300" s="142">
        <f t="shared" si="134"/>
        <v>5307</v>
      </c>
      <c r="BF300" s="98">
        <v>0</v>
      </c>
      <c r="BG300" s="98">
        <v>0</v>
      </c>
      <c r="BH300" s="98">
        <v>0</v>
      </c>
      <c r="BI300" s="98">
        <v>5307</v>
      </c>
      <c r="BJ300" s="98"/>
      <c r="BK300" s="98"/>
      <c r="BL300" s="97"/>
    </row>
    <row r="301" spans="1:64" outlineLevel="5" x14ac:dyDescent="0.3">
      <c r="A301" s="152">
        <f t="shared" si="105"/>
        <v>9</v>
      </c>
      <c r="B301" s="153">
        <f t="shared" si="120"/>
        <v>44448</v>
      </c>
      <c r="C301" s="138">
        <f t="shared" si="125"/>
        <v>36.5</v>
      </c>
      <c r="D301" s="84">
        <v>37</v>
      </c>
      <c r="E301" s="84">
        <v>36</v>
      </c>
      <c r="F301" s="84"/>
      <c r="G301" s="84"/>
      <c r="H301" s="84"/>
      <c r="I301" s="84"/>
      <c r="J301" s="84"/>
      <c r="K301" s="84"/>
      <c r="L301" s="140">
        <f t="shared" si="126"/>
        <v>7.7</v>
      </c>
      <c r="M301" s="86">
        <v>7.79</v>
      </c>
      <c r="N301" s="86">
        <v>7.59</v>
      </c>
      <c r="O301" s="86"/>
      <c r="P301" s="86"/>
      <c r="Q301" s="86"/>
      <c r="R301" s="86"/>
      <c r="S301" s="86"/>
      <c r="T301" s="86"/>
      <c r="U301" s="142">
        <f t="shared" si="127"/>
        <v>1490</v>
      </c>
      <c r="V301" s="88">
        <v>1470</v>
      </c>
      <c r="W301" s="88">
        <v>1510</v>
      </c>
      <c r="X301" s="88"/>
      <c r="Y301" s="88"/>
      <c r="Z301" s="88"/>
      <c r="AA301" s="88"/>
      <c r="AB301" s="88"/>
      <c r="AC301" s="88"/>
      <c r="AD301" s="142" t="str">
        <f t="shared" si="128"/>
        <v/>
      </c>
      <c r="AE301" s="88"/>
      <c r="AF301" s="88"/>
      <c r="AG301" s="88"/>
      <c r="AH301" s="88"/>
      <c r="AI301" s="88"/>
      <c r="AJ301" s="88"/>
      <c r="AK301" s="88"/>
      <c r="AL301" s="88"/>
      <c r="AM301" s="88">
        <v>32.402004530788766</v>
      </c>
      <c r="AN301" s="88">
        <v>145.67000000000002</v>
      </c>
      <c r="AO301" s="89" t="s">
        <v>56</v>
      </c>
      <c r="AP301" s="90" t="s">
        <v>56</v>
      </c>
      <c r="AQ301" s="146" t="str">
        <f t="shared" si="129"/>
        <v/>
      </c>
      <c r="AR301" s="146" t="str">
        <f t="shared" si="130"/>
        <v/>
      </c>
      <c r="AS301" s="147">
        <v>23</v>
      </c>
      <c r="AT301" s="148">
        <v>15.95</v>
      </c>
      <c r="AU301" s="149">
        <v>9.65</v>
      </c>
      <c r="AV301" s="146">
        <f t="shared" si="131"/>
        <v>60.501567398119128</v>
      </c>
      <c r="AW301" s="146">
        <f t="shared" si="132"/>
        <v>39.498432601880872</v>
      </c>
      <c r="AX301" s="138" t="str">
        <f t="shared" si="133"/>
        <v/>
      </c>
      <c r="AY301" s="95">
        <v>76.949999999999989</v>
      </c>
      <c r="AZ301" s="96">
        <v>60</v>
      </c>
      <c r="BA301" s="96"/>
      <c r="BB301" s="96">
        <v>58.5</v>
      </c>
      <c r="BC301" s="96"/>
      <c r="BD301" s="97">
        <v>145.67000000000002</v>
      </c>
      <c r="BE301" s="142">
        <f t="shared" si="134"/>
        <v>5453</v>
      </c>
      <c r="BF301" s="98">
        <v>0</v>
      </c>
      <c r="BG301" s="98">
        <v>2</v>
      </c>
      <c r="BH301" s="98">
        <v>198</v>
      </c>
      <c r="BI301" s="98">
        <v>5253</v>
      </c>
      <c r="BJ301" s="98"/>
      <c r="BK301" s="98"/>
      <c r="BL301" s="97"/>
    </row>
    <row r="302" spans="1:64" outlineLevel="5" x14ac:dyDescent="0.3">
      <c r="A302" s="152">
        <f t="shared" si="105"/>
        <v>9</v>
      </c>
      <c r="B302" s="153">
        <f t="shared" si="120"/>
        <v>44449</v>
      </c>
      <c r="C302" s="138">
        <f t="shared" si="125"/>
        <v>36.5</v>
      </c>
      <c r="D302" s="84">
        <v>37</v>
      </c>
      <c r="E302" s="84">
        <v>36</v>
      </c>
      <c r="F302" s="84"/>
      <c r="G302" s="84"/>
      <c r="H302" s="84"/>
      <c r="I302" s="84"/>
      <c r="J302" s="84"/>
      <c r="K302" s="84"/>
      <c r="L302" s="140" t="str">
        <f t="shared" si="126"/>
        <v/>
      </c>
      <c r="M302" s="86" t="s">
        <v>56</v>
      </c>
      <c r="N302" s="86" t="s">
        <v>56</v>
      </c>
      <c r="O302" s="86"/>
      <c r="P302" s="86"/>
      <c r="Q302" s="86"/>
      <c r="R302" s="86"/>
      <c r="S302" s="86"/>
      <c r="T302" s="86"/>
      <c r="U302" s="142" t="str">
        <f t="shared" si="127"/>
        <v/>
      </c>
      <c r="V302" s="88" t="s">
        <v>56</v>
      </c>
      <c r="W302" s="88" t="s">
        <v>56</v>
      </c>
      <c r="X302" s="88"/>
      <c r="Y302" s="88"/>
      <c r="Z302" s="88"/>
      <c r="AA302" s="88"/>
      <c r="AB302" s="88"/>
      <c r="AC302" s="88"/>
      <c r="AD302" s="142" t="str">
        <f t="shared" si="128"/>
        <v/>
      </c>
      <c r="AE302" s="88"/>
      <c r="AF302" s="88"/>
      <c r="AG302" s="88"/>
      <c r="AH302" s="88"/>
      <c r="AI302" s="88"/>
      <c r="AJ302" s="88"/>
      <c r="AK302" s="88"/>
      <c r="AL302" s="88"/>
      <c r="AM302" s="88">
        <v>48.070068235054485</v>
      </c>
      <c r="AN302" s="88">
        <v>98.19</v>
      </c>
      <c r="AO302" s="89" t="s">
        <v>56</v>
      </c>
      <c r="AP302" s="90"/>
      <c r="AQ302" s="146" t="str">
        <f t="shared" si="129"/>
        <v/>
      </c>
      <c r="AR302" s="146" t="str">
        <f t="shared" si="130"/>
        <v/>
      </c>
      <c r="AS302" s="147">
        <v>20</v>
      </c>
      <c r="AT302" s="148" t="s">
        <v>56</v>
      </c>
      <c r="AU302" s="149" t="s">
        <v>56</v>
      </c>
      <c r="AV302" s="146" t="str">
        <f t="shared" si="131"/>
        <v/>
      </c>
      <c r="AW302" s="146" t="str">
        <f t="shared" si="132"/>
        <v/>
      </c>
      <c r="AX302" s="138" t="str">
        <f t="shared" si="133"/>
        <v/>
      </c>
      <c r="AY302" s="95" t="s">
        <v>56</v>
      </c>
      <c r="AZ302" s="96">
        <v>59.3</v>
      </c>
      <c r="BA302" s="96"/>
      <c r="BB302" s="96">
        <v>65</v>
      </c>
      <c r="BC302" s="96"/>
      <c r="BD302" s="97">
        <v>98.19</v>
      </c>
      <c r="BE302" s="142">
        <f t="shared" si="134"/>
        <v>9087</v>
      </c>
      <c r="BF302" s="98">
        <v>0</v>
      </c>
      <c r="BG302" s="98">
        <v>0</v>
      </c>
      <c r="BH302" s="98">
        <v>3936</v>
      </c>
      <c r="BI302" s="98">
        <v>5151</v>
      </c>
      <c r="BJ302" s="98"/>
      <c r="BK302" s="98"/>
      <c r="BL302" s="97"/>
    </row>
    <row r="303" spans="1:64" outlineLevel="5" x14ac:dyDescent="0.3">
      <c r="A303" s="152">
        <f t="shared" si="105"/>
        <v>9</v>
      </c>
      <c r="B303" s="153">
        <f t="shared" si="120"/>
        <v>44450</v>
      </c>
      <c r="C303" s="138">
        <f t="shared" si="125"/>
        <v>36.5</v>
      </c>
      <c r="D303" s="84">
        <v>37</v>
      </c>
      <c r="E303" s="84">
        <v>36</v>
      </c>
      <c r="F303" s="84"/>
      <c r="G303" s="84"/>
      <c r="H303" s="84"/>
      <c r="I303" s="84"/>
      <c r="J303" s="84"/>
      <c r="K303" s="84"/>
      <c r="L303" s="140" t="str">
        <f t="shared" si="126"/>
        <v/>
      </c>
      <c r="M303" s="86"/>
      <c r="N303" s="86"/>
      <c r="O303" s="86"/>
      <c r="P303" s="86"/>
      <c r="Q303" s="86"/>
      <c r="R303" s="86"/>
      <c r="S303" s="86"/>
      <c r="T303" s="86"/>
      <c r="U303" s="142" t="str">
        <f t="shared" si="127"/>
        <v/>
      </c>
      <c r="V303" s="88"/>
      <c r="W303" s="88"/>
      <c r="X303" s="88"/>
      <c r="Y303" s="88"/>
      <c r="Z303" s="88"/>
      <c r="AA303" s="88"/>
      <c r="AB303" s="88"/>
      <c r="AC303" s="88"/>
      <c r="AD303" s="142" t="str">
        <f t="shared" si="128"/>
        <v/>
      </c>
      <c r="AE303" s="88"/>
      <c r="AF303" s="88"/>
      <c r="AG303" s="88"/>
      <c r="AH303" s="88"/>
      <c r="AI303" s="88"/>
      <c r="AJ303" s="88"/>
      <c r="AK303" s="88"/>
      <c r="AL303" s="88"/>
      <c r="AM303" s="88">
        <v>37.209302325581397</v>
      </c>
      <c r="AN303" s="88">
        <v>126.85</v>
      </c>
      <c r="AO303" s="89"/>
      <c r="AP303" s="90"/>
      <c r="AQ303" s="146" t="str">
        <f t="shared" si="129"/>
        <v/>
      </c>
      <c r="AR303" s="146" t="str">
        <f t="shared" si="130"/>
        <v/>
      </c>
      <c r="AS303" s="147">
        <v>10</v>
      </c>
      <c r="AT303" s="148" t="s">
        <v>56</v>
      </c>
      <c r="AU303" s="149" t="s">
        <v>56</v>
      </c>
      <c r="AV303" s="146" t="str">
        <f t="shared" si="131"/>
        <v/>
      </c>
      <c r="AW303" s="146" t="str">
        <f t="shared" si="132"/>
        <v/>
      </c>
      <c r="AX303" s="138" t="str">
        <f t="shared" si="133"/>
        <v/>
      </c>
      <c r="AY303" s="95" t="s">
        <v>56</v>
      </c>
      <c r="AZ303" s="96">
        <v>60.33</v>
      </c>
      <c r="BA303" s="96"/>
      <c r="BB303" s="96">
        <v>57</v>
      </c>
      <c r="BC303" s="96"/>
      <c r="BD303" s="97">
        <v>126.85</v>
      </c>
      <c r="BE303" s="142">
        <f t="shared" si="134"/>
        <v>9134</v>
      </c>
      <c r="BF303" s="98">
        <v>0</v>
      </c>
      <c r="BG303" s="98">
        <v>0</v>
      </c>
      <c r="BH303" s="98">
        <v>4041</v>
      </c>
      <c r="BI303" s="98">
        <v>5093</v>
      </c>
      <c r="BJ303" s="98"/>
      <c r="BK303" s="98"/>
      <c r="BL303" s="97"/>
    </row>
    <row r="304" spans="1:64" outlineLevel="5" x14ac:dyDescent="0.3">
      <c r="A304" s="152">
        <f t="shared" si="105"/>
        <v>9</v>
      </c>
      <c r="B304" s="153">
        <f t="shared" si="120"/>
        <v>44451</v>
      </c>
      <c r="C304" s="138">
        <f t="shared" si="125"/>
        <v>36.5</v>
      </c>
      <c r="D304" s="84">
        <v>37</v>
      </c>
      <c r="E304" s="84">
        <v>36</v>
      </c>
      <c r="F304" s="84"/>
      <c r="G304" s="84"/>
      <c r="H304" s="84"/>
      <c r="I304" s="84"/>
      <c r="J304" s="84"/>
      <c r="K304" s="84"/>
      <c r="L304" s="140" t="str">
        <f t="shared" si="126"/>
        <v/>
      </c>
      <c r="M304" s="86"/>
      <c r="N304" s="86"/>
      <c r="O304" s="86"/>
      <c r="P304" s="86"/>
      <c r="Q304" s="86"/>
      <c r="R304" s="86"/>
      <c r="S304" s="86"/>
      <c r="T304" s="86"/>
      <c r="U304" s="142" t="str">
        <f t="shared" si="127"/>
        <v/>
      </c>
      <c r="V304" s="88"/>
      <c r="W304" s="88"/>
      <c r="X304" s="88"/>
      <c r="Y304" s="88"/>
      <c r="Z304" s="88"/>
      <c r="AA304" s="88"/>
      <c r="AB304" s="88"/>
      <c r="AC304" s="88"/>
      <c r="AD304" s="142" t="str">
        <f t="shared" si="128"/>
        <v/>
      </c>
      <c r="AE304" s="88"/>
      <c r="AF304" s="88"/>
      <c r="AG304" s="88"/>
      <c r="AH304" s="88"/>
      <c r="AI304" s="88"/>
      <c r="AJ304" s="88"/>
      <c r="AK304" s="88"/>
      <c r="AL304" s="88"/>
      <c r="AM304" s="88">
        <v>34.962962962962962</v>
      </c>
      <c r="AN304" s="88">
        <v>135</v>
      </c>
      <c r="AO304" s="89"/>
      <c r="AP304" s="90"/>
      <c r="AQ304" s="146" t="str">
        <f t="shared" si="129"/>
        <v/>
      </c>
      <c r="AR304" s="146" t="str">
        <f t="shared" si="130"/>
        <v/>
      </c>
      <c r="AS304" s="147">
        <v>10</v>
      </c>
      <c r="AT304" s="148" t="s">
        <v>56</v>
      </c>
      <c r="AU304" s="149" t="s">
        <v>56</v>
      </c>
      <c r="AV304" s="146" t="str">
        <f t="shared" si="131"/>
        <v/>
      </c>
      <c r="AW304" s="146" t="str">
        <f t="shared" si="132"/>
        <v/>
      </c>
      <c r="AX304" s="138" t="str">
        <f t="shared" si="133"/>
        <v/>
      </c>
      <c r="AY304" s="95" t="s">
        <v>56</v>
      </c>
      <c r="AZ304" s="96">
        <v>61.474999999999994</v>
      </c>
      <c r="BA304" s="96"/>
      <c r="BB304" s="96">
        <v>52.5</v>
      </c>
      <c r="BC304" s="96"/>
      <c r="BD304" s="97">
        <v>135</v>
      </c>
      <c r="BE304" s="142">
        <f t="shared" si="134"/>
        <v>8348</v>
      </c>
      <c r="BF304" s="98">
        <v>0</v>
      </c>
      <c r="BG304" s="98">
        <v>0</v>
      </c>
      <c r="BH304" s="98">
        <v>3221</v>
      </c>
      <c r="BI304" s="98">
        <v>5127</v>
      </c>
      <c r="BJ304" s="98"/>
      <c r="BK304" s="98"/>
      <c r="BL304" s="97"/>
    </row>
    <row r="305" spans="1:64" outlineLevel="5" x14ac:dyDescent="0.3">
      <c r="A305" s="152">
        <f t="shared" si="105"/>
        <v>9</v>
      </c>
      <c r="B305" s="153">
        <f t="shared" si="120"/>
        <v>44452</v>
      </c>
      <c r="C305" s="138">
        <f t="shared" si="125"/>
        <v>36.299999999999997</v>
      </c>
      <c r="D305" s="84">
        <v>36</v>
      </c>
      <c r="E305" s="84">
        <v>36.5</v>
      </c>
      <c r="F305" s="84"/>
      <c r="G305" s="84"/>
      <c r="H305" s="84"/>
      <c r="I305" s="84"/>
      <c r="J305" s="84"/>
      <c r="K305" s="84"/>
      <c r="L305" s="140" t="str">
        <f t="shared" si="126"/>
        <v/>
      </c>
      <c r="M305" s="86" t="s">
        <v>56</v>
      </c>
      <c r="N305" s="86" t="s">
        <v>56</v>
      </c>
      <c r="O305" s="86"/>
      <c r="P305" s="86"/>
      <c r="Q305" s="86"/>
      <c r="R305" s="86"/>
      <c r="S305" s="86"/>
      <c r="T305" s="86"/>
      <c r="U305" s="142" t="str">
        <f t="shared" si="127"/>
        <v/>
      </c>
      <c r="V305" s="88" t="s">
        <v>56</v>
      </c>
      <c r="W305" s="88" t="s">
        <v>56</v>
      </c>
      <c r="X305" s="88"/>
      <c r="Y305" s="88"/>
      <c r="Z305" s="88"/>
      <c r="AA305" s="88"/>
      <c r="AB305" s="88"/>
      <c r="AC305" s="88"/>
      <c r="AD305" s="142" t="str">
        <f t="shared" si="128"/>
        <v/>
      </c>
      <c r="AE305" s="88"/>
      <c r="AF305" s="88"/>
      <c r="AG305" s="88"/>
      <c r="AH305" s="88"/>
      <c r="AI305" s="88"/>
      <c r="AJ305" s="88"/>
      <c r="AK305" s="88"/>
      <c r="AL305" s="88"/>
      <c r="AM305" s="88">
        <v>39.570757880617037</v>
      </c>
      <c r="AN305" s="88">
        <v>119.28</v>
      </c>
      <c r="AO305" s="89" t="s">
        <v>56</v>
      </c>
      <c r="AP305" s="90"/>
      <c r="AQ305" s="146" t="str">
        <f t="shared" si="129"/>
        <v/>
      </c>
      <c r="AR305" s="146" t="str">
        <f t="shared" si="130"/>
        <v/>
      </c>
      <c r="AS305" s="147">
        <v>20</v>
      </c>
      <c r="AT305" s="148" t="s">
        <v>56</v>
      </c>
      <c r="AU305" s="149" t="s">
        <v>56</v>
      </c>
      <c r="AV305" s="146" t="str">
        <f t="shared" si="131"/>
        <v/>
      </c>
      <c r="AW305" s="146" t="str">
        <f t="shared" si="132"/>
        <v/>
      </c>
      <c r="AX305" s="138" t="str">
        <f t="shared" si="133"/>
        <v/>
      </c>
      <c r="AY305" s="95" t="s">
        <v>56</v>
      </c>
      <c r="AZ305" s="96">
        <v>62.64</v>
      </c>
      <c r="BA305" s="96"/>
      <c r="BB305" s="96">
        <v>54</v>
      </c>
      <c r="BC305" s="96"/>
      <c r="BD305" s="97">
        <v>119.28</v>
      </c>
      <c r="BE305" s="142">
        <f t="shared" si="134"/>
        <v>4044</v>
      </c>
      <c r="BF305" s="98">
        <v>0</v>
      </c>
      <c r="BG305" s="98">
        <v>0</v>
      </c>
      <c r="BH305" s="98">
        <v>0</v>
      </c>
      <c r="BI305" s="98">
        <v>4044</v>
      </c>
      <c r="BJ305" s="98"/>
      <c r="BK305" s="98"/>
      <c r="BL305" s="97"/>
    </row>
    <row r="306" spans="1:64" outlineLevel="5" x14ac:dyDescent="0.3">
      <c r="A306" s="152">
        <f t="shared" si="105"/>
        <v>9</v>
      </c>
      <c r="B306" s="153">
        <f t="shared" si="120"/>
        <v>44453</v>
      </c>
      <c r="C306" s="138">
        <f t="shared" si="125"/>
        <v>36.5</v>
      </c>
      <c r="D306" s="84">
        <v>37</v>
      </c>
      <c r="E306" s="84">
        <v>36</v>
      </c>
      <c r="F306" s="84"/>
      <c r="G306" s="84"/>
      <c r="H306" s="84"/>
      <c r="I306" s="84"/>
      <c r="J306" s="84"/>
      <c r="K306" s="84"/>
      <c r="L306" s="140" t="str">
        <f t="shared" si="126"/>
        <v/>
      </c>
      <c r="M306" s="86" t="s">
        <v>56</v>
      </c>
      <c r="N306" s="86" t="s">
        <v>56</v>
      </c>
      <c r="O306" s="86"/>
      <c r="P306" s="86"/>
      <c r="Q306" s="86"/>
      <c r="R306" s="86"/>
      <c r="S306" s="86"/>
      <c r="T306" s="86"/>
      <c r="U306" s="142" t="str">
        <f t="shared" si="127"/>
        <v/>
      </c>
      <c r="V306" s="88" t="s">
        <v>56</v>
      </c>
      <c r="W306" s="88" t="s">
        <v>56</v>
      </c>
      <c r="X306" s="88"/>
      <c r="Y306" s="88"/>
      <c r="Z306" s="88"/>
      <c r="AA306" s="88"/>
      <c r="AB306" s="88"/>
      <c r="AC306" s="88"/>
      <c r="AD306" s="142" t="str">
        <f t="shared" si="128"/>
        <v/>
      </c>
      <c r="AE306" s="88"/>
      <c r="AF306" s="88"/>
      <c r="AG306" s="88"/>
      <c r="AH306" s="88"/>
      <c r="AI306" s="88"/>
      <c r="AJ306" s="88"/>
      <c r="AK306" s="88"/>
      <c r="AL306" s="88"/>
      <c r="AM306" s="88">
        <v>35.510081251880834</v>
      </c>
      <c r="AN306" s="88">
        <v>132.91999999999999</v>
      </c>
      <c r="AO306" s="89" t="s">
        <v>56</v>
      </c>
      <c r="AP306" s="90"/>
      <c r="AQ306" s="146" t="str">
        <f t="shared" si="129"/>
        <v/>
      </c>
      <c r="AR306" s="146" t="str">
        <f t="shared" si="130"/>
        <v/>
      </c>
      <c r="AS306" s="147">
        <v>20</v>
      </c>
      <c r="AT306" s="148" t="s">
        <v>56</v>
      </c>
      <c r="AU306" s="149" t="s">
        <v>56</v>
      </c>
      <c r="AV306" s="146" t="str">
        <f t="shared" si="131"/>
        <v/>
      </c>
      <c r="AW306" s="146" t="str">
        <f t="shared" si="132"/>
        <v/>
      </c>
      <c r="AX306" s="138" t="str">
        <f t="shared" si="133"/>
        <v/>
      </c>
      <c r="AY306" s="95" t="s">
        <v>56</v>
      </c>
      <c r="AZ306" s="96">
        <v>62.575000000000003</v>
      </c>
      <c r="BA306" s="96"/>
      <c r="BB306" s="96">
        <v>59.5</v>
      </c>
      <c r="BC306" s="96"/>
      <c r="BD306" s="97">
        <v>132.91999999999999</v>
      </c>
      <c r="BE306" s="142">
        <f t="shared" si="134"/>
        <v>7164</v>
      </c>
      <c r="BF306" s="98">
        <v>0</v>
      </c>
      <c r="BG306" s="98">
        <v>0</v>
      </c>
      <c r="BH306" s="98">
        <v>1952</v>
      </c>
      <c r="BI306" s="98">
        <v>5212</v>
      </c>
      <c r="BJ306" s="98"/>
      <c r="BK306" s="98"/>
      <c r="BL306" s="97"/>
    </row>
    <row r="307" spans="1:64" outlineLevel="5" x14ac:dyDescent="0.3">
      <c r="A307" s="152">
        <f t="shared" ref="A307:A378" si="135">MONTH(B307)</f>
        <v>9</v>
      </c>
      <c r="B307" s="153">
        <f t="shared" si="120"/>
        <v>44454</v>
      </c>
      <c r="C307" s="138">
        <f t="shared" si="125"/>
        <v>35.5</v>
      </c>
      <c r="D307" s="84">
        <v>36</v>
      </c>
      <c r="E307" s="84">
        <v>35</v>
      </c>
      <c r="F307" s="84"/>
      <c r="G307" s="84"/>
      <c r="H307" s="84"/>
      <c r="I307" s="84"/>
      <c r="J307" s="84"/>
      <c r="K307" s="84"/>
      <c r="L307" s="140">
        <f t="shared" si="126"/>
        <v>7.8</v>
      </c>
      <c r="M307" s="86">
        <v>7.81</v>
      </c>
      <c r="N307" s="86">
        <v>7.69</v>
      </c>
      <c r="O307" s="86"/>
      <c r="P307" s="86"/>
      <c r="Q307" s="86"/>
      <c r="R307" s="86"/>
      <c r="S307" s="86"/>
      <c r="T307" s="86"/>
      <c r="U307" s="142">
        <f t="shared" si="127"/>
        <v>3650</v>
      </c>
      <c r="V307" s="88">
        <v>3750</v>
      </c>
      <c r="W307" s="88">
        <v>3550</v>
      </c>
      <c r="X307" s="88"/>
      <c r="Y307" s="88"/>
      <c r="Z307" s="88"/>
      <c r="AA307" s="88"/>
      <c r="AB307" s="88"/>
      <c r="AC307" s="88"/>
      <c r="AD307" s="142" t="str">
        <f t="shared" si="128"/>
        <v/>
      </c>
      <c r="AE307" s="88"/>
      <c r="AF307" s="88"/>
      <c r="AG307" s="88"/>
      <c r="AH307" s="88"/>
      <c r="AI307" s="88"/>
      <c r="AJ307" s="88"/>
      <c r="AK307" s="88"/>
      <c r="AL307" s="88"/>
      <c r="AM307" s="88">
        <v>31.799501448494237</v>
      </c>
      <c r="AN307" s="88">
        <v>148.43</v>
      </c>
      <c r="AO307" s="89" t="s">
        <v>56</v>
      </c>
      <c r="AP307" s="90"/>
      <c r="AQ307" s="146" t="str">
        <f t="shared" si="129"/>
        <v/>
      </c>
      <c r="AR307" s="146" t="str">
        <f t="shared" si="130"/>
        <v/>
      </c>
      <c r="AS307" s="147">
        <v>20</v>
      </c>
      <c r="AT307" s="148">
        <v>15.100000000000001</v>
      </c>
      <c r="AU307" s="149">
        <v>9.1000000000000014</v>
      </c>
      <c r="AV307" s="146">
        <f t="shared" si="131"/>
        <v>60.264900662251662</v>
      </c>
      <c r="AW307" s="146">
        <f t="shared" si="132"/>
        <v>39.735099337748338</v>
      </c>
      <c r="AX307" s="138" t="str">
        <f t="shared" si="133"/>
        <v/>
      </c>
      <c r="AY307" s="95">
        <v>77.55</v>
      </c>
      <c r="AZ307" s="96">
        <v>61.96</v>
      </c>
      <c r="BA307" s="96"/>
      <c r="BB307" s="96">
        <v>64.5</v>
      </c>
      <c r="BC307" s="96"/>
      <c r="BD307" s="97">
        <v>148.43</v>
      </c>
      <c r="BE307" s="142">
        <f t="shared" si="134"/>
        <v>9439</v>
      </c>
      <c r="BF307" s="98">
        <v>0</v>
      </c>
      <c r="BG307" s="98">
        <v>0</v>
      </c>
      <c r="BH307" s="98">
        <v>4285</v>
      </c>
      <c r="BI307" s="98">
        <v>5154</v>
      </c>
      <c r="BJ307" s="98"/>
      <c r="BK307" s="98"/>
      <c r="BL307" s="97"/>
    </row>
    <row r="308" spans="1:64" outlineLevel="5" x14ac:dyDescent="0.3">
      <c r="A308" s="152">
        <f t="shared" si="135"/>
        <v>9</v>
      </c>
      <c r="B308" s="153">
        <f t="shared" si="120"/>
        <v>44455</v>
      </c>
      <c r="C308" s="138">
        <f t="shared" si="125"/>
        <v>35.5</v>
      </c>
      <c r="D308" s="84">
        <v>36</v>
      </c>
      <c r="E308" s="84">
        <v>35</v>
      </c>
      <c r="F308" s="84"/>
      <c r="G308" s="84"/>
      <c r="H308" s="84"/>
      <c r="I308" s="84"/>
      <c r="J308" s="84"/>
      <c r="K308" s="84"/>
      <c r="L308" s="140">
        <f t="shared" si="126"/>
        <v>7.8</v>
      </c>
      <c r="M308" s="86">
        <v>7.82</v>
      </c>
      <c r="N308" s="86">
        <v>7.68</v>
      </c>
      <c r="O308" s="86"/>
      <c r="P308" s="86"/>
      <c r="Q308" s="86"/>
      <c r="R308" s="86"/>
      <c r="S308" s="86"/>
      <c r="T308" s="86"/>
      <c r="U308" s="142">
        <f t="shared" si="127"/>
        <v>1340.8</v>
      </c>
      <c r="V308" s="88">
        <v>1297.5</v>
      </c>
      <c r="W308" s="88">
        <v>1384</v>
      </c>
      <c r="X308" s="88"/>
      <c r="Y308" s="88"/>
      <c r="Z308" s="88"/>
      <c r="AA308" s="88"/>
      <c r="AB308" s="88"/>
      <c r="AC308" s="88"/>
      <c r="AD308" s="142" t="str">
        <f t="shared" si="128"/>
        <v/>
      </c>
      <c r="AE308" s="88"/>
      <c r="AF308" s="88"/>
      <c r="AG308" s="88"/>
      <c r="AH308" s="88"/>
      <c r="AI308" s="88"/>
      <c r="AJ308" s="88"/>
      <c r="AK308" s="88"/>
      <c r="AL308" s="88"/>
      <c r="AM308" s="88">
        <v>39.235245220282629</v>
      </c>
      <c r="AN308" s="88">
        <v>120.3</v>
      </c>
      <c r="AO308" s="89" t="s">
        <v>56</v>
      </c>
      <c r="AP308" s="90"/>
      <c r="AQ308" s="146" t="str">
        <f t="shared" si="129"/>
        <v/>
      </c>
      <c r="AR308" s="146" t="str">
        <f t="shared" si="130"/>
        <v/>
      </c>
      <c r="AS308" s="147">
        <v>20</v>
      </c>
      <c r="AT308" s="148">
        <v>19.8</v>
      </c>
      <c r="AU308" s="149">
        <v>9.25</v>
      </c>
      <c r="AV308" s="146">
        <f t="shared" si="131"/>
        <v>46.717171717171716</v>
      </c>
      <c r="AW308" s="146">
        <f t="shared" si="132"/>
        <v>53.282828282828284</v>
      </c>
      <c r="AX308" s="138" t="str">
        <f t="shared" si="133"/>
        <v/>
      </c>
      <c r="AY308" s="95">
        <v>74.199999999999989</v>
      </c>
      <c r="AZ308" s="96">
        <v>62.57</v>
      </c>
      <c r="BA308" s="96"/>
      <c r="BB308" s="96">
        <v>65.5</v>
      </c>
      <c r="BC308" s="96"/>
      <c r="BD308" s="97">
        <v>120.3</v>
      </c>
      <c r="BE308" s="142">
        <f t="shared" si="134"/>
        <v>10416</v>
      </c>
      <c r="BF308" s="98">
        <v>238</v>
      </c>
      <c r="BG308" s="98">
        <v>0</v>
      </c>
      <c r="BH308" s="98">
        <v>5101</v>
      </c>
      <c r="BI308" s="98">
        <v>5077</v>
      </c>
      <c r="BJ308" s="98"/>
      <c r="BK308" s="98"/>
      <c r="BL308" s="97"/>
    </row>
    <row r="309" spans="1:64" outlineLevel="5" x14ac:dyDescent="0.3">
      <c r="A309" s="152">
        <f t="shared" si="135"/>
        <v>9</v>
      </c>
      <c r="B309" s="153">
        <f t="shared" si="120"/>
        <v>44456</v>
      </c>
      <c r="C309" s="138">
        <f t="shared" si="125"/>
        <v>36.5</v>
      </c>
      <c r="D309" s="84">
        <v>37</v>
      </c>
      <c r="E309" s="84">
        <v>36</v>
      </c>
      <c r="F309" s="84"/>
      <c r="G309" s="84"/>
      <c r="H309" s="84"/>
      <c r="I309" s="84"/>
      <c r="J309" s="84"/>
      <c r="K309" s="84"/>
      <c r="L309" s="140" t="str">
        <f t="shared" si="126"/>
        <v/>
      </c>
      <c r="M309" s="86" t="s">
        <v>56</v>
      </c>
      <c r="N309" s="86" t="s">
        <v>56</v>
      </c>
      <c r="O309" s="86"/>
      <c r="P309" s="86"/>
      <c r="Q309" s="86"/>
      <c r="R309" s="86"/>
      <c r="S309" s="86"/>
      <c r="T309" s="86"/>
      <c r="U309" s="142" t="str">
        <f t="shared" si="127"/>
        <v/>
      </c>
      <c r="V309" s="88" t="s">
        <v>56</v>
      </c>
      <c r="W309" s="88" t="s">
        <v>56</v>
      </c>
      <c r="X309" s="88"/>
      <c r="Y309" s="88"/>
      <c r="Z309" s="88"/>
      <c r="AA309" s="88"/>
      <c r="AB309" s="88"/>
      <c r="AC309" s="88"/>
      <c r="AD309" s="142" t="str">
        <f t="shared" si="128"/>
        <v/>
      </c>
      <c r="AE309" s="88"/>
      <c r="AF309" s="88"/>
      <c r="AG309" s="88"/>
      <c r="AH309" s="88"/>
      <c r="AI309" s="88"/>
      <c r="AJ309" s="88"/>
      <c r="AK309" s="88"/>
      <c r="AL309" s="88"/>
      <c r="AM309" s="88">
        <v>37.074856649124186</v>
      </c>
      <c r="AN309" s="88">
        <v>127.31</v>
      </c>
      <c r="AO309" s="89" t="s">
        <v>56</v>
      </c>
      <c r="AP309" s="90"/>
      <c r="AQ309" s="146" t="str">
        <f t="shared" si="129"/>
        <v/>
      </c>
      <c r="AR309" s="146" t="str">
        <f t="shared" si="130"/>
        <v/>
      </c>
      <c r="AS309" s="147">
        <v>8</v>
      </c>
      <c r="AT309" s="148" t="s">
        <v>56</v>
      </c>
      <c r="AU309" s="149" t="s">
        <v>56</v>
      </c>
      <c r="AV309" s="146" t="str">
        <f t="shared" si="131"/>
        <v/>
      </c>
      <c r="AW309" s="146" t="str">
        <f t="shared" si="132"/>
        <v/>
      </c>
      <c r="AX309" s="138" t="str">
        <f t="shared" si="133"/>
        <v/>
      </c>
      <c r="AY309" s="95" t="s">
        <v>56</v>
      </c>
      <c r="AZ309" s="96">
        <v>61.480000000000004</v>
      </c>
      <c r="BA309" s="96"/>
      <c r="BB309" s="96">
        <v>63</v>
      </c>
      <c r="BC309" s="96"/>
      <c r="BD309" s="97">
        <v>127.31</v>
      </c>
      <c r="BE309" s="142">
        <f t="shared" si="134"/>
        <v>9964</v>
      </c>
      <c r="BF309" s="98">
        <v>229</v>
      </c>
      <c r="BG309" s="98">
        <v>0</v>
      </c>
      <c r="BH309" s="98">
        <v>4467</v>
      </c>
      <c r="BI309" s="98">
        <v>5268</v>
      </c>
      <c r="BJ309" s="98"/>
      <c r="BK309" s="98"/>
      <c r="BL309" s="97"/>
    </row>
    <row r="310" spans="1:64" outlineLevel="5" x14ac:dyDescent="0.3">
      <c r="A310" s="152">
        <f t="shared" si="135"/>
        <v>9</v>
      </c>
      <c r="B310" s="153">
        <f t="shared" si="120"/>
        <v>44457</v>
      </c>
      <c r="C310" s="138">
        <f t="shared" si="125"/>
        <v>37.5</v>
      </c>
      <c r="D310" s="84">
        <v>38</v>
      </c>
      <c r="E310" s="84">
        <v>37</v>
      </c>
      <c r="F310" s="84"/>
      <c r="G310" s="84"/>
      <c r="H310" s="84"/>
      <c r="I310" s="84"/>
      <c r="J310" s="84"/>
      <c r="K310" s="84"/>
      <c r="L310" s="140" t="str">
        <f t="shared" si="126"/>
        <v/>
      </c>
      <c r="M310" s="86"/>
      <c r="N310" s="86"/>
      <c r="O310" s="86"/>
      <c r="P310" s="86"/>
      <c r="Q310" s="86"/>
      <c r="R310" s="86"/>
      <c r="S310" s="86"/>
      <c r="T310" s="86"/>
      <c r="U310" s="142" t="str">
        <f t="shared" si="127"/>
        <v/>
      </c>
      <c r="V310" s="88"/>
      <c r="W310" s="88"/>
      <c r="X310" s="88"/>
      <c r="Y310" s="88"/>
      <c r="Z310" s="88"/>
      <c r="AA310" s="88"/>
      <c r="AB310" s="88"/>
      <c r="AC310" s="88"/>
      <c r="AD310" s="142" t="str">
        <f t="shared" si="128"/>
        <v/>
      </c>
      <c r="AE310" s="88"/>
      <c r="AF310" s="88"/>
      <c r="AG310" s="88"/>
      <c r="AH310" s="88"/>
      <c r="AI310" s="88"/>
      <c r="AJ310" s="88"/>
      <c r="AK310" s="88"/>
      <c r="AL310" s="88"/>
      <c r="AM310" s="88">
        <v>37.63955342902711</v>
      </c>
      <c r="AN310" s="88">
        <v>125.4</v>
      </c>
      <c r="AO310" s="89"/>
      <c r="AP310" s="90"/>
      <c r="AQ310" s="146" t="str">
        <f t="shared" si="129"/>
        <v/>
      </c>
      <c r="AR310" s="146" t="str">
        <f t="shared" si="130"/>
        <v/>
      </c>
      <c r="AS310" s="147">
        <v>10</v>
      </c>
      <c r="AT310" s="148" t="s">
        <v>56</v>
      </c>
      <c r="AU310" s="149" t="s">
        <v>56</v>
      </c>
      <c r="AV310" s="146" t="str">
        <f t="shared" si="131"/>
        <v/>
      </c>
      <c r="AW310" s="146" t="str">
        <f t="shared" si="132"/>
        <v/>
      </c>
      <c r="AX310" s="138" t="str">
        <f t="shared" si="133"/>
        <v/>
      </c>
      <c r="AY310" s="95" t="s">
        <v>56</v>
      </c>
      <c r="AZ310" s="96">
        <v>61.900000000000006</v>
      </c>
      <c r="BA310" s="96"/>
      <c r="BB310" s="96">
        <v>61.5</v>
      </c>
      <c r="BC310" s="96"/>
      <c r="BD310" s="97">
        <v>125.4</v>
      </c>
      <c r="BE310" s="142">
        <f t="shared" si="134"/>
        <v>7666</v>
      </c>
      <c r="BF310" s="98">
        <v>1096</v>
      </c>
      <c r="BG310" s="98">
        <v>0</v>
      </c>
      <c r="BH310" s="98">
        <v>1459</v>
      </c>
      <c r="BI310" s="98">
        <v>5111</v>
      </c>
      <c r="BJ310" s="98"/>
      <c r="BK310" s="98"/>
      <c r="BL310" s="97"/>
    </row>
    <row r="311" spans="1:64" outlineLevel="5" x14ac:dyDescent="0.3">
      <c r="A311" s="152">
        <f t="shared" si="135"/>
        <v>9</v>
      </c>
      <c r="B311" s="153">
        <f t="shared" si="120"/>
        <v>44458</v>
      </c>
      <c r="C311" s="138">
        <f t="shared" si="125"/>
        <v>36.5</v>
      </c>
      <c r="D311" s="84">
        <v>37</v>
      </c>
      <c r="E311" s="84">
        <v>36</v>
      </c>
      <c r="F311" s="84"/>
      <c r="G311" s="84"/>
      <c r="H311" s="84"/>
      <c r="I311" s="84"/>
      <c r="J311" s="84"/>
      <c r="K311" s="84"/>
      <c r="L311" s="140" t="str">
        <f t="shared" si="126"/>
        <v/>
      </c>
      <c r="M311" s="86"/>
      <c r="N311" s="86"/>
      <c r="O311" s="86"/>
      <c r="P311" s="86"/>
      <c r="Q311" s="86"/>
      <c r="R311" s="86"/>
      <c r="S311" s="86"/>
      <c r="T311" s="86"/>
      <c r="U311" s="142" t="str">
        <f t="shared" si="127"/>
        <v/>
      </c>
      <c r="V311" s="88"/>
      <c r="W311" s="88"/>
      <c r="X311" s="88"/>
      <c r="Y311" s="88"/>
      <c r="Z311" s="88"/>
      <c r="AA311" s="88"/>
      <c r="AB311" s="88"/>
      <c r="AC311" s="88"/>
      <c r="AD311" s="142" t="str">
        <f t="shared" si="128"/>
        <v/>
      </c>
      <c r="AE311" s="88"/>
      <c r="AF311" s="88"/>
      <c r="AG311" s="88"/>
      <c r="AH311" s="88"/>
      <c r="AI311" s="88"/>
      <c r="AJ311" s="88"/>
      <c r="AK311" s="88"/>
      <c r="AL311" s="88"/>
      <c r="AM311" s="88">
        <v>47.2</v>
      </c>
      <c r="AN311" s="88">
        <v>100</v>
      </c>
      <c r="AO311" s="89"/>
      <c r="AP311" s="90"/>
      <c r="AQ311" s="146" t="str">
        <f t="shared" si="129"/>
        <v/>
      </c>
      <c r="AR311" s="146" t="str">
        <f t="shared" si="130"/>
        <v/>
      </c>
      <c r="AS311" s="147">
        <v>10</v>
      </c>
      <c r="AT311" s="148" t="s">
        <v>56</v>
      </c>
      <c r="AU311" s="149" t="s">
        <v>56</v>
      </c>
      <c r="AV311" s="146" t="str">
        <f t="shared" si="131"/>
        <v/>
      </c>
      <c r="AW311" s="146" t="str">
        <f t="shared" si="132"/>
        <v/>
      </c>
      <c r="AX311" s="138" t="str">
        <f t="shared" si="133"/>
        <v/>
      </c>
      <c r="AY311" s="95" t="s">
        <v>56</v>
      </c>
      <c r="AZ311" s="96">
        <v>64.02</v>
      </c>
      <c r="BA311" s="96"/>
      <c r="BB311" s="96">
        <v>65</v>
      </c>
      <c r="BC311" s="96"/>
      <c r="BD311" s="97">
        <v>100</v>
      </c>
      <c r="BE311" s="142">
        <f t="shared" si="134"/>
        <v>6525</v>
      </c>
      <c r="BF311" s="98">
        <v>134</v>
      </c>
      <c r="BG311" s="98">
        <v>0</v>
      </c>
      <c r="BH311" s="98">
        <v>1431</v>
      </c>
      <c r="BI311" s="98">
        <v>4960</v>
      </c>
      <c r="BJ311" s="98"/>
      <c r="BK311" s="98"/>
      <c r="BL311" s="97"/>
    </row>
    <row r="312" spans="1:64" outlineLevel="5" x14ac:dyDescent="0.3">
      <c r="A312" s="152">
        <f t="shared" si="135"/>
        <v>9</v>
      </c>
      <c r="B312" s="153">
        <f t="shared" si="120"/>
        <v>44459</v>
      </c>
      <c r="C312" s="138">
        <f t="shared" si="125"/>
        <v>36.5</v>
      </c>
      <c r="D312" s="84">
        <v>37</v>
      </c>
      <c r="E312" s="84">
        <v>36</v>
      </c>
      <c r="F312" s="84"/>
      <c r="G312" s="84"/>
      <c r="H312" s="84"/>
      <c r="I312" s="84"/>
      <c r="J312" s="84"/>
      <c r="K312" s="84"/>
      <c r="L312" s="140" t="str">
        <f t="shared" si="126"/>
        <v/>
      </c>
      <c r="M312" s="86"/>
      <c r="N312" s="86"/>
      <c r="O312" s="86"/>
      <c r="P312" s="86"/>
      <c r="Q312" s="86"/>
      <c r="R312" s="86"/>
      <c r="S312" s="86"/>
      <c r="T312" s="86"/>
      <c r="U312" s="142" t="str">
        <f t="shared" si="127"/>
        <v/>
      </c>
      <c r="V312" s="88"/>
      <c r="W312" s="88"/>
      <c r="X312" s="88"/>
      <c r="Y312" s="88"/>
      <c r="Z312" s="88"/>
      <c r="AA312" s="88"/>
      <c r="AB312" s="88"/>
      <c r="AC312" s="88"/>
      <c r="AD312" s="142" t="str">
        <f t="shared" si="128"/>
        <v/>
      </c>
      <c r="AE312" s="88"/>
      <c r="AF312" s="88"/>
      <c r="AG312" s="88"/>
      <c r="AH312" s="88"/>
      <c r="AI312" s="88"/>
      <c r="AJ312" s="88"/>
      <c r="AK312" s="88"/>
      <c r="AL312" s="88"/>
      <c r="AM312" s="88">
        <v>41.622574955908284</v>
      </c>
      <c r="AN312" s="88">
        <v>113.4</v>
      </c>
      <c r="AO312" s="89"/>
      <c r="AP312" s="90"/>
      <c r="AQ312" s="146" t="str">
        <f t="shared" si="129"/>
        <v/>
      </c>
      <c r="AR312" s="146" t="str">
        <f t="shared" si="130"/>
        <v/>
      </c>
      <c r="AS312" s="147">
        <v>22</v>
      </c>
      <c r="AT312" s="148" t="s">
        <v>56</v>
      </c>
      <c r="AU312" s="149" t="s">
        <v>56</v>
      </c>
      <c r="AV312" s="146" t="str">
        <f t="shared" si="131"/>
        <v/>
      </c>
      <c r="AW312" s="146" t="str">
        <f t="shared" si="132"/>
        <v/>
      </c>
      <c r="AX312" s="138" t="str">
        <f t="shared" si="133"/>
        <v/>
      </c>
      <c r="AY312" s="95" t="s">
        <v>56</v>
      </c>
      <c r="AZ312" s="96">
        <v>62.65</v>
      </c>
      <c r="BA312" s="96"/>
      <c r="BB312" s="96">
        <v>68</v>
      </c>
      <c r="BC312" s="96"/>
      <c r="BD312" s="97">
        <v>113.4</v>
      </c>
      <c r="BE312" s="142">
        <f t="shared" si="134"/>
        <v>5398</v>
      </c>
      <c r="BF312" s="98">
        <v>123</v>
      </c>
      <c r="BG312" s="98">
        <v>0</v>
      </c>
      <c r="BH312" s="98">
        <v>1</v>
      </c>
      <c r="BI312" s="98">
        <v>5274</v>
      </c>
      <c r="BJ312" s="98"/>
      <c r="BK312" s="98"/>
      <c r="BL312" s="97"/>
    </row>
    <row r="313" spans="1:64" outlineLevel="5" x14ac:dyDescent="0.3">
      <c r="A313" s="152">
        <f t="shared" si="135"/>
        <v>9</v>
      </c>
      <c r="B313" s="153">
        <f t="shared" si="120"/>
        <v>44460</v>
      </c>
      <c r="C313" s="138">
        <f t="shared" si="125"/>
        <v>36.5</v>
      </c>
      <c r="D313" s="84">
        <v>37</v>
      </c>
      <c r="E313" s="84">
        <v>36</v>
      </c>
      <c r="F313" s="84"/>
      <c r="G313" s="84"/>
      <c r="H313" s="84"/>
      <c r="I313" s="84"/>
      <c r="J313" s="84"/>
      <c r="K313" s="84"/>
      <c r="L313" s="140" t="str">
        <f t="shared" si="126"/>
        <v/>
      </c>
      <c r="M313" s="86"/>
      <c r="N313" s="86"/>
      <c r="O313" s="86"/>
      <c r="P313" s="86"/>
      <c r="Q313" s="86"/>
      <c r="R313" s="86"/>
      <c r="S313" s="86"/>
      <c r="T313" s="86"/>
      <c r="U313" s="142" t="str">
        <f t="shared" si="127"/>
        <v/>
      </c>
      <c r="V313" s="88"/>
      <c r="W313" s="88"/>
      <c r="X313" s="88"/>
      <c r="Y313" s="88"/>
      <c r="Z313" s="88"/>
      <c r="AA313" s="88"/>
      <c r="AB313" s="88"/>
      <c r="AC313" s="88"/>
      <c r="AD313" s="142" t="str">
        <f t="shared" si="128"/>
        <v/>
      </c>
      <c r="AE313" s="88"/>
      <c r="AF313" s="88"/>
      <c r="AG313" s="88"/>
      <c r="AH313" s="88"/>
      <c r="AI313" s="88"/>
      <c r="AJ313" s="88"/>
      <c r="AK313" s="88"/>
      <c r="AL313" s="88"/>
      <c r="AM313" s="88">
        <v>36.307692307692307</v>
      </c>
      <c r="AN313" s="88">
        <v>130</v>
      </c>
      <c r="AO313" s="89"/>
      <c r="AP313" s="90"/>
      <c r="AQ313" s="146" t="str">
        <f t="shared" si="129"/>
        <v/>
      </c>
      <c r="AR313" s="146" t="str">
        <f t="shared" si="130"/>
        <v/>
      </c>
      <c r="AS313" s="147">
        <v>0</v>
      </c>
      <c r="AT313" s="148" t="s">
        <v>56</v>
      </c>
      <c r="AU313" s="149" t="s">
        <v>56</v>
      </c>
      <c r="AV313" s="146" t="str">
        <f t="shared" si="131"/>
        <v/>
      </c>
      <c r="AW313" s="146" t="str">
        <f t="shared" si="132"/>
        <v/>
      </c>
      <c r="AX313" s="138" t="str">
        <f t="shared" si="133"/>
        <v/>
      </c>
      <c r="AY313" s="95" t="s">
        <v>56</v>
      </c>
      <c r="AZ313" s="96">
        <v>60.83</v>
      </c>
      <c r="BA313" s="96"/>
      <c r="BB313" s="96">
        <v>68</v>
      </c>
      <c r="BC313" s="96"/>
      <c r="BD313" s="97">
        <v>130</v>
      </c>
      <c r="BE313" s="142">
        <f t="shared" si="134"/>
        <v>5381</v>
      </c>
      <c r="BF313" s="98">
        <v>197</v>
      </c>
      <c r="BG313" s="98">
        <v>0</v>
      </c>
      <c r="BH313" s="98">
        <v>1</v>
      </c>
      <c r="BI313" s="98">
        <v>5183</v>
      </c>
      <c r="BJ313" s="98"/>
      <c r="BK313" s="98"/>
      <c r="BL313" s="97"/>
    </row>
    <row r="314" spans="1:64" outlineLevel="5" x14ac:dyDescent="0.3">
      <c r="A314" s="152">
        <f t="shared" si="135"/>
        <v>9</v>
      </c>
      <c r="B314" s="153">
        <f t="shared" si="120"/>
        <v>44461</v>
      </c>
      <c r="C314" s="138">
        <f t="shared" si="125"/>
        <v>37</v>
      </c>
      <c r="D314" s="84">
        <v>37</v>
      </c>
      <c r="E314" s="84">
        <v>37</v>
      </c>
      <c r="F314" s="84"/>
      <c r="G314" s="84"/>
      <c r="H314" s="84"/>
      <c r="I314" s="84"/>
      <c r="J314" s="84"/>
      <c r="K314" s="84"/>
      <c r="L314" s="140" t="str">
        <f t="shared" si="126"/>
        <v/>
      </c>
      <c r="M314" s="86" t="s">
        <v>56</v>
      </c>
      <c r="N314" s="86" t="s">
        <v>56</v>
      </c>
      <c r="O314" s="86"/>
      <c r="P314" s="86"/>
      <c r="Q314" s="86"/>
      <c r="R314" s="86"/>
      <c r="S314" s="86"/>
      <c r="T314" s="86"/>
      <c r="U314" s="142" t="str">
        <f t="shared" si="127"/>
        <v/>
      </c>
      <c r="V314" s="88" t="s">
        <v>56</v>
      </c>
      <c r="W314" s="88" t="s">
        <v>56</v>
      </c>
      <c r="X314" s="88"/>
      <c r="Y314" s="88"/>
      <c r="Z314" s="88"/>
      <c r="AA314" s="88"/>
      <c r="AB314" s="88"/>
      <c r="AC314" s="88"/>
      <c r="AD314" s="142" t="str">
        <f t="shared" si="128"/>
        <v/>
      </c>
      <c r="AE314" s="88"/>
      <c r="AF314" s="88"/>
      <c r="AG314" s="88"/>
      <c r="AH314" s="88"/>
      <c r="AI314" s="88"/>
      <c r="AJ314" s="88"/>
      <c r="AK314" s="88"/>
      <c r="AL314" s="88"/>
      <c r="AM314" s="88">
        <v>36.199095022624441</v>
      </c>
      <c r="AN314" s="88">
        <v>130.38999999999999</v>
      </c>
      <c r="AO314" s="89" t="s">
        <v>56</v>
      </c>
      <c r="AP314" s="90"/>
      <c r="AQ314" s="146" t="str">
        <f t="shared" si="129"/>
        <v/>
      </c>
      <c r="AR314" s="146" t="str">
        <f t="shared" si="130"/>
        <v/>
      </c>
      <c r="AS314" s="147">
        <v>0</v>
      </c>
      <c r="AT314" s="148" t="s">
        <v>56</v>
      </c>
      <c r="AU314" s="149" t="s">
        <v>56</v>
      </c>
      <c r="AV314" s="146" t="str">
        <f t="shared" si="131"/>
        <v/>
      </c>
      <c r="AW314" s="146" t="str">
        <f t="shared" si="132"/>
        <v/>
      </c>
      <c r="AX314" s="138" t="str">
        <f t="shared" si="133"/>
        <v/>
      </c>
      <c r="AY314" s="95" t="s">
        <v>56</v>
      </c>
      <c r="AZ314" s="96">
        <v>61.495000000000005</v>
      </c>
      <c r="BA314" s="96"/>
      <c r="BB314" s="96">
        <v>69</v>
      </c>
      <c r="BC314" s="96"/>
      <c r="BD314" s="97">
        <v>130.38999999999999</v>
      </c>
      <c r="BE314" s="142">
        <f t="shared" si="134"/>
        <v>6185</v>
      </c>
      <c r="BF314" s="98">
        <v>1005</v>
      </c>
      <c r="BG314" s="98">
        <v>0</v>
      </c>
      <c r="BH314" s="98">
        <v>0</v>
      </c>
      <c r="BI314" s="98">
        <v>5180</v>
      </c>
      <c r="BJ314" s="98"/>
      <c r="BK314" s="98"/>
      <c r="BL314" s="97"/>
    </row>
    <row r="315" spans="1:64" outlineLevel="5" x14ac:dyDescent="0.3">
      <c r="A315" s="152">
        <f t="shared" si="135"/>
        <v>9</v>
      </c>
      <c r="B315" s="153">
        <f t="shared" si="120"/>
        <v>44462</v>
      </c>
      <c r="C315" s="138">
        <f t="shared" si="125"/>
        <v>39</v>
      </c>
      <c r="D315" s="84">
        <v>39</v>
      </c>
      <c r="E315" s="84">
        <v>39</v>
      </c>
      <c r="F315" s="84"/>
      <c r="G315" s="84"/>
      <c r="H315" s="84"/>
      <c r="I315" s="84"/>
      <c r="J315" s="84"/>
      <c r="K315" s="84"/>
      <c r="L315" s="140" t="str">
        <f t="shared" si="126"/>
        <v/>
      </c>
      <c r="M315" s="86" t="s">
        <v>56</v>
      </c>
      <c r="N315" s="86" t="s">
        <v>56</v>
      </c>
      <c r="O315" s="86"/>
      <c r="P315" s="86"/>
      <c r="Q315" s="86"/>
      <c r="R315" s="86"/>
      <c r="S315" s="86"/>
      <c r="T315" s="86"/>
      <c r="U315" s="142">
        <f t="shared" si="127"/>
        <v>1600.3</v>
      </c>
      <c r="V315" s="88">
        <v>1634.9</v>
      </c>
      <c r="W315" s="88">
        <v>1565.7</v>
      </c>
      <c r="X315" s="88"/>
      <c r="Y315" s="88"/>
      <c r="Z315" s="88"/>
      <c r="AA315" s="88"/>
      <c r="AB315" s="88"/>
      <c r="AC315" s="88"/>
      <c r="AD315" s="142" t="str">
        <f t="shared" si="128"/>
        <v/>
      </c>
      <c r="AE315" s="88"/>
      <c r="AF315" s="88"/>
      <c r="AG315" s="88"/>
      <c r="AH315" s="88"/>
      <c r="AI315" s="88"/>
      <c r="AJ315" s="88"/>
      <c r="AK315" s="88"/>
      <c r="AL315" s="88"/>
      <c r="AM315" s="88">
        <v>33.541785105173396</v>
      </c>
      <c r="AN315" s="88">
        <v>140.72</v>
      </c>
      <c r="AO315" s="89" t="s">
        <v>56</v>
      </c>
      <c r="AP315" s="90"/>
      <c r="AQ315" s="146" t="str">
        <f t="shared" si="129"/>
        <v/>
      </c>
      <c r="AR315" s="146" t="str">
        <f t="shared" si="130"/>
        <v/>
      </c>
      <c r="AS315" s="147">
        <v>32</v>
      </c>
      <c r="AT315" s="148">
        <v>15.05</v>
      </c>
      <c r="AU315" s="149">
        <v>8.35</v>
      </c>
      <c r="AV315" s="146">
        <f t="shared" si="131"/>
        <v>55.481727574750828</v>
      </c>
      <c r="AW315" s="146">
        <f t="shared" si="132"/>
        <v>44.518272425249172</v>
      </c>
      <c r="AX315" s="138" t="str">
        <f t="shared" si="133"/>
        <v/>
      </c>
      <c r="AY315" s="95">
        <v>70.050000000000011</v>
      </c>
      <c r="AZ315" s="96">
        <v>61.3</v>
      </c>
      <c r="BA315" s="96"/>
      <c r="BB315" s="96">
        <v>63</v>
      </c>
      <c r="BC315" s="96"/>
      <c r="BD315" s="97">
        <v>140.72</v>
      </c>
      <c r="BE315" s="142">
        <f t="shared" si="134"/>
        <v>7343</v>
      </c>
      <c r="BF315" s="98">
        <v>437</v>
      </c>
      <c r="BG315" s="98">
        <v>0</v>
      </c>
      <c r="BH315" s="98">
        <v>1829</v>
      </c>
      <c r="BI315" s="98">
        <v>5077</v>
      </c>
      <c r="BJ315" s="98"/>
      <c r="BK315" s="98"/>
      <c r="BL315" s="97"/>
    </row>
    <row r="316" spans="1:64" outlineLevel="5" x14ac:dyDescent="0.3">
      <c r="A316" s="152">
        <f t="shared" si="135"/>
        <v>9</v>
      </c>
      <c r="B316" s="153">
        <f t="shared" si="120"/>
        <v>44463</v>
      </c>
      <c r="C316" s="138">
        <f t="shared" si="125"/>
        <v>38</v>
      </c>
      <c r="D316" s="84">
        <v>38</v>
      </c>
      <c r="E316" s="84">
        <v>38</v>
      </c>
      <c r="F316" s="84"/>
      <c r="G316" s="84"/>
      <c r="H316" s="84"/>
      <c r="I316" s="84"/>
      <c r="J316" s="84"/>
      <c r="K316" s="84"/>
      <c r="L316" s="140" t="str">
        <f t="shared" si="126"/>
        <v/>
      </c>
      <c r="M316" s="86" t="s">
        <v>56</v>
      </c>
      <c r="N316" s="86" t="s">
        <v>56</v>
      </c>
      <c r="O316" s="86"/>
      <c r="P316" s="86"/>
      <c r="Q316" s="86"/>
      <c r="R316" s="86"/>
      <c r="S316" s="86"/>
      <c r="T316" s="86"/>
      <c r="U316" s="142" t="str">
        <f t="shared" si="127"/>
        <v/>
      </c>
      <c r="V316" s="88" t="s">
        <v>56</v>
      </c>
      <c r="W316" s="88" t="s">
        <v>56</v>
      </c>
      <c r="X316" s="88"/>
      <c r="Y316" s="88"/>
      <c r="Z316" s="88"/>
      <c r="AA316" s="88"/>
      <c r="AB316" s="88"/>
      <c r="AC316" s="88"/>
      <c r="AD316" s="142" t="str">
        <f t="shared" si="128"/>
        <v/>
      </c>
      <c r="AE316" s="88"/>
      <c r="AF316" s="88"/>
      <c r="AG316" s="88"/>
      <c r="AH316" s="88"/>
      <c r="AI316" s="88"/>
      <c r="AJ316" s="88"/>
      <c r="AK316" s="88"/>
      <c r="AL316" s="88"/>
      <c r="AM316" s="88">
        <v>34.629493763756415</v>
      </c>
      <c r="AN316" s="88">
        <v>136.30000000000001</v>
      </c>
      <c r="AO316" s="89" t="s">
        <v>56</v>
      </c>
      <c r="AP316" s="90"/>
      <c r="AQ316" s="146" t="str">
        <f t="shared" si="129"/>
        <v/>
      </c>
      <c r="AR316" s="146" t="str">
        <f t="shared" si="130"/>
        <v/>
      </c>
      <c r="AS316" s="147">
        <v>30</v>
      </c>
      <c r="AT316" s="148" t="s">
        <v>56</v>
      </c>
      <c r="AU316" s="149" t="s">
        <v>56</v>
      </c>
      <c r="AV316" s="146" t="str">
        <f t="shared" si="131"/>
        <v/>
      </c>
      <c r="AW316" s="146" t="str">
        <f t="shared" si="132"/>
        <v/>
      </c>
      <c r="AX316" s="138" t="str">
        <f t="shared" si="133"/>
        <v/>
      </c>
      <c r="AY316" s="95" t="s">
        <v>56</v>
      </c>
      <c r="AZ316" s="96">
        <v>60.465000000000003</v>
      </c>
      <c r="BA316" s="96"/>
      <c r="BB316" s="96">
        <v>71</v>
      </c>
      <c r="BC316" s="96"/>
      <c r="BD316" s="97">
        <v>136.30000000000001</v>
      </c>
      <c r="BE316" s="142">
        <f t="shared" si="134"/>
        <v>9399</v>
      </c>
      <c r="BF316" s="98">
        <v>9</v>
      </c>
      <c r="BG316" s="98">
        <v>0</v>
      </c>
      <c r="BH316" s="98">
        <v>5418</v>
      </c>
      <c r="BI316" s="98">
        <v>3972</v>
      </c>
      <c r="BJ316" s="98"/>
      <c r="BK316" s="98"/>
      <c r="BL316" s="97"/>
    </row>
    <row r="317" spans="1:64" outlineLevel="5" x14ac:dyDescent="0.3">
      <c r="A317" s="152">
        <f t="shared" si="135"/>
        <v>9</v>
      </c>
      <c r="B317" s="153">
        <f t="shared" si="120"/>
        <v>44464</v>
      </c>
      <c r="C317" s="138">
        <f t="shared" si="125"/>
        <v>38</v>
      </c>
      <c r="D317" s="84">
        <v>38</v>
      </c>
      <c r="E317" s="84">
        <v>38</v>
      </c>
      <c r="F317" s="84"/>
      <c r="G317" s="84"/>
      <c r="H317" s="84"/>
      <c r="I317" s="84"/>
      <c r="J317" s="84"/>
      <c r="K317" s="84"/>
      <c r="L317" s="140" t="str">
        <f t="shared" si="126"/>
        <v/>
      </c>
      <c r="M317" s="86"/>
      <c r="N317" s="86"/>
      <c r="O317" s="86"/>
      <c r="P317" s="86"/>
      <c r="Q317" s="86"/>
      <c r="R317" s="86"/>
      <c r="S317" s="86"/>
      <c r="T317" s="86"/>
      <c r="U317" s="142" t="str">
        <f t="shared" si="127"/>
        <v/>
      </c>
      <c r="V317" s="88"/>
      <c r="W317" s="88"/>
      <c r="X317" s="88"/>
      <c r="Y317" s="88"/>
      <c r="Z317" s="88"/>
      <c r="AA317" s="88"/>
      <c r="AB317" s="88"/>
      <c r="AC317" s="88"/>
      <c r="AD317" s="142" t="str">
        <f t="shared" si="128"/>
        <v/>
      </c>
      <c r="AE317" s="88"/>
      <c r="AF317" s="88"/>
      <c r="AG317" s="88"/>
      <c r="AH317" s="88"/>
      <c r="AI317" s="88"/>
      <c r="AJ317" s="88"/>
      <c r="AK317" s="88"/>
      <c r="AL317" s="88"/>
      <c r="AM317" s="88">
        <v>36.138121123956815</v>
      </c>
      <c r="AN317" s="88">
        <v>130.61000000000001</v>
      </c>
      <c r="AO317" s="89"/>
      <c r="AP317" s="90"/>
      <c r="AQ317" s="146" t="str">
        <f t="shared" si="129"/>
        <v/>
      </c>
      <c r="AR317" s="146" t="str">
        <f t="shared" si="130"/>
        <v/>
      </c>
      <c r="AS317" s="147">
        <v>10</v>
      </c>
      <c r="AT317" s="148" t="s">
        <v>56</v>
      </c>
      <c r="AU317" s="149" t="s">
        <v>56</v>
      </c>
      <c r="AV317" s="146" t="str">
        <f t="shared" si="131"/>
        <v/>
      </c>
      <c r="AW317" s="146" t="str">
        <f t="shared" si="132"/>
        <v/>
      </c>
      <c r="AX317" s="138" t="str">
        <f t="shared" si="133"/>
        <v/>
      </c>
      <c r="AY317" s="95" t="s">
        <v>56</v>
      </c>
      <c r="AZ317" s="96">
        <v>61.54</v>
      </c>
      <c r="BA317" s="96"/>
      <c r="BB317" s="96">
        <v>66</v>
      </c>
      <c r="BC317" s="96"/>
      <c r="BD317" s="97">
        <v>130.61000000000001</v>
      </c>
      <c r="BE317" s="142">
        <f t="shared" si="134"/>
        <v>8493</v>
      </c>
      <c r="BF317" s="98">
        <v>0</v>
      </c>
      <c r="BG317" s="98">
        <v>0</v>
      </c>
      <c r="BH317" s="98">
        <v>3355</v>
      </c>
      <c r="BI317" s="98">
        <v>5138</v>
      </c>
      <c r="BJ317" s="98"/>
      <c r="BK317" s="98"/>
      <c r="BL317" s="97"/>
    </row>
    <row r="318" spans="1:64" outlineLevel="5" x14ac:dyDescent="0.3">
      <c r="A318" s="152">
        <f t="shared" si="135"/>
        <v>9</v>
      </c>
      <c r="B318" s="153">
        <f t="shared" si="120"/>
        <v>44465</v>
      </c>
      <c r="C318" s="138">
        <f t="shared" si="125"/>
        <v>37.5</v>
      </c>
      <c r="D318" s="84">
        <v>38</v>
      </c>
      <c r="E318" s="84">
        <v>37</v>
      </c>
      <c r="F318" s="84"/>
      <c r="G318" s="84"/>
      <c r="H318" s="84"/>
      <c r="I318" s="84"/>
      <c r="J318" s="84"/>
      <c r="K318" s="84"/>
      <c r="L318" s="140" t="str">
        <f t="shared" si="126"/>
        <v/>
      </c>
      <c r="M318" s="86"/>
      <c r="N318" s="86"/>
      <c r="O318" s="86"/>
      <c r="P318" s="86"/>
      <c r="Q318" s="86"/>
      <c r="R318" s="86"/>
      <c r="S318" s="86"/>
      <c r="T318" s="86"/>
      <c r="U318" s="142" t="str">
        <f t="shared" si="127"/>
        <v/>
      </c>
      <c r="V318" s="88"/>
      <c r="W318" s="88"/>
      <c r="X318" s="88"/>
      <c r="Y318" s="88"/>
      <c r="Z318" s="88"/>
      <c r="AA318" s="88"/>
      <c r="AB318" s="88"/>
      <c r="AC318" s="88"/>
      <c r="AD318" s="142" t="str">
        <f t="shared" si="128"/>
        <v/>
      </c>
      <c r="AE318" s="88"/>
      <c r="AF318" s="88"/>
      <c r="AG318" s="88"/>
      <c r="AH318" s="88"/>
      <c r="AI318" s="88"/>
      <c r="AJ318" s="88"/>
      <c r="AK318" s="88"/>
      <c r="AL318" s="88"/>
      <c r="AM318" s="88">
        <v>36.307692307692307</v>
      </c>
      <c r="AN318" s="88">
        <v>130</v>
      </c>
      <c r="AO318" s="89"/>
      <c r="AP318" s="90"/>
      <c r="AQ318" s="146" t="str">
        <f t="shared" si="129"/>
        <v/>
      </c>
      <c r="AR318" s="146" t="str">
        <f t="shared" si="130"/>
        <v/>
      </c>
      <c r="AS318" s="147">
        <v>12</v>
      </c>
      <c r="AT318" s="148" t="s">
        <v>56</v>
      </c>
      <c r="AU318" s="149" t="s">
        <v>56</v>
      </c>
      <c r="AV318" s="146" t="str">
        <f t="shared" si="131"/>
        <v/>
      </c>
      <c r="AW318" s="146" t="str">
        <f t="shared" si="132"/>
        <v/>
      </c>
      <c r="AX318" s="138" t="str">
        <f t="shared" si="133"/>
        <v/>
      </c>
      <c r="AY318" s="95" t="s">
        <v>56</v>
      </c>
      <c r="AZ318" s="96">
        <v>61.27</v>
      </c>
      <c r="BA318" s="96"/>
      <c r="BB318" s="96">
        <v>64</v>
      </c>
      <c r="BC318" s="96"/>
      <c r="BD318" s="97">
        <v>130</v>
      </c>
      <c r="BE318" s="142">
        <f t="shared" si="134"/>
        <v>7822</v>
      </c>
      <c r="BF318" s="98">
        <v>0</v>
      </c>
      <c r="BG318" s="98">
        <v>0</v>
      </c>
      <c r="BH318" s="98">
        <v>2684</v>
      </c>
      <c r="BI318" s="98">
        <v>5138</v>
      </c>
      <c r="BJ318" s="98"/>
      <c r="BK318" s="98"/>
      <c r="BL318" s="97"/>
    </row>
    <row r="319" spans="1:64" outlineLevel="5" x14ac:dyDescent="0.3">
      <c r="A319" s="152">
        <f t="shared" si="135"/>
        <v>9</v>
      </c>
      <c r="B319" s="153">
        <f t="shared" si="120"/>
        <v>44466</v>
      </c>
      <c r="C319" s="138">
        <f t="shared" si="125"/>
        <v>38</v>
      </c>
      <c r="D319" s="84">
        <v>38</v>
      </c>
      <c r="E319" s="84">
        <v>38</v>
      </c>
      <c r="F319" s="84"/>
      <c r="G319" s="84"/>
      <c r="H319" s="84"/>
      <c r="I319" s="84"/>
      <c r="J319" s="84"/>
      <c r="K319" s="84"/>
      <c r="L319" s="140">
        <f t="shared" si="126"/>
        <v>7.8</v>
      </c>
      <c r="M319" s="86">
        <v>7.84</v>
      </c>
      <c r="N319" s="86">
        <v>7.72</v>
      </c>
      <c r="O319" s="86"/>
      <c r="P319" s="86"/>
      <c r="Q319" s="86"/>
      <c r="R319" s="86"/>
      <c r="S319" s="86"/>
      <c r="T319" s="86"/>
      <c r="U319" s="142">
        <f t="shared" si="127"/>
        <v>1536.3</v>
      </c>
      <c r="V319" s="88">
        <v>1584.4</v>
      </c>
      <c r="W319" s="88">
        <v>1488.2</v>
      </c>
      <c r="X319" s="88"/>
      <c r="Y319" s="88"/>
      <c r="Z319" s="88"/>
      <c r="AA319" s="88"/>
      <c r="AB319" s="88"/>
      <c r="AC319" s="88"/>
      <c r="AD319" s="142" t="str">
        <f t="shared" si="128"/>
        <v/>
      </c>
      <c r="AE319" s="88"/>
      <c r="AF319" s="88"/>
      <c r="AG319" s="88"/>
      <c r="AH319" s="88"/>
      <c r="AI319" s="88"/>
      <c r="AJ319" s="88"/>
      <c r="AK319" s="88"/>
      <c r="AL319" s="88"/>
      <c r="AM319" s="88">
        <v>43.849869936826458</v>
      </c>
      <c r="AN319" s="88">
        <v>107.64</v>
      </c>
      <c r="AO319" s="89">
        <v>17.3</v>
      </c>
      <c r="AP319" s="90">
        <v>14.324400000000001</v>
      </c>
      <c r="AQ319" s="146">
        <f t="shared" si="129"/>
        <v>82.8</v>
      </c>
      <c r="AR319" s="146">
        <f t="shared" si="130"/>
        <v>17.200000000000003</v>
      </c>
      <c r="AS319" s="147">
        <v>20</v>
      </c>
      <c r="AT319" s="148">
        <v>15.45</v>
      </c>
      <c r="AU319" s="149">
        <v>8.9</v>
      </c>
      <c r="AV319" s="146">
        <f t="shared" si="131"/>
        <v>57.605177993527512</v>
      </c>
      <c r="AW319" s="146">
        <f t="shared" si="132"/>
        <v>42.394822006472488</v>
      </c>
      <c r="AX319" s="138">
        <f t="shared" si="133"/>
        <v>71.774163808680896</v>
      </c>
      <c r="AY319" s="95">
        <v>74.2</v>
      </c>
      <c r="AZ319" s="96">
        <v>62.195</v>
      </c>
      <c r="BA319" s="96"/>
      <c r="BB319" s="96">
        <v>81.5</v>
      </c>
      <c r="BC319" s="96"/>
      <c r="BD319" s="97">
        <v>107.64</v>
      </c>
      <c r="BE319" s="142">
        <f t="shared" si="134"/>
        <v>7891</v>
      </c>
      <c r="BF319" s="98">
        <v>26</v>
      </c>
      <c r="BG319" s="98">
        <v>0</v>
      </c>
      <c r="BH319" s="98">
        <v>4611</v>
      </c>
      <c r="BI319" s="98">
        <v>3254</v>
      </c>
      <c r="BJ319" s="98"/>
      <c r="BK319" s="98"/>
      <c r="BL319" s="97"/>
    </row>
    <row r="320" spans="1:64" outlineLevel="5" x14ac:dyDescent="0.3">
      <c r="A320" s="152">
        <f t="shared" si="135"/>
        <v>9</v>
      </c>
      <c r="B320" s="153">
        <f t="shared" si="120"/>
        <v>44467</v>
      </c>
      <c r="C320" s="138">
        <f t="shared" si="125"/>
        <v>36.5</v>
      </c>
      <c r="D320" s="84">
        <v>37</v>
      </c>
      <c r="E320" s="84">
        <v>36</v>
      </c>
      <c r="F320" s="84"/>
      <c r="G320" s="84"/>
      <c r="H320" s="84"/>
      <c r="I320" s="84"/>
      <c r="J320" s="84"/>
      <c r="K320" s="84"/>
      <c r="L320" s="140" t="str">
        <f t="shared" si="126"/>
        <v/>
      </c>
      <c r="M320" s="86" t="s">
        <v>56</v>
      </c>
      <c r="N320" s="86" t="s">
        <v>56</v>
      </c>
      <c r="O320" s="86"/>
      <c r="P320" s="86"/>
      <c r="Q320" s="86"/>
      <c r="R320" s="86"/>
      <c r="S320" s="86"/>
      <c r="T320" s="86"/>
      <c r="U320" s="142" t="str">
        <f t="shared" si="127"/>
        <v/>
      </c>
      <c r="V320" s="88" t="s">
        <v>56</v>
      </c>
      <c r="W320" s="88" t="s">
        <v>56</v>
      </c>
      <c r="X320" s="88"/>
      <c r="Y320" s="88"/>
      <c r="Z320" s="88"/>
      <c r="AA320" s="88"/>
      <c r="AB320" s="88"/>
      <c r="AC320" s="88"/>
      <c r="AD320" s="142" t="str">
        <f t="shared" si="128"/>
        <v/>
      </c>
      <c r="AE320" s="88"/>
      <c r="AF320" s="88"/>
      <c r="AG320" s="88"/>
      <c r="AH320" s="88"/>
      <c r="AI320" s="88"/>
      <c r="AJ320" s="88"/>
      <c r="AK320" s="88"/>
      <c r="AL320" s="88"/>
      <c r="AM320" s="88">
        <v>36.668738346799252</v>
      </c>
      <c r="AN320" s="88">
        <v>128.72</v>
      </c>
      <c r="AO320" s="89" t="s">
        <v>56</v>
      </c>
      <c r="AP320" s="90" t="s">
        <v>56</v>
      </c>
      <c r="AQ320" s="146" t="str">
        <f t="shared" si="129"/>
        <v/>
      </c>
      <c r="AR320" s="146" t="str">
        <f t="shared" si="130"/>
        <v/>
      </c>
      <c r="AS320" s="147">
        <v>40</v>
      </c>
      <c r="AT320" s="148" t="s">
        <v>56</v>
      </c>
      <c r="AU320" s="149" t="s">
        <v>56</v>
      </c>
      <c r="AV320" s="146" t="str">
        <f t="shared" si="131"/>
        <v/>
      </c>
      <c r="AW320" s="146" t="str">
        <f t="shared" si="132"/>
        <v/>
      </c>
      <c r="AX320" s="138" t="str">
        <f t="shared" si="133"/>
        <v/>
      </c>
      <c r="AY320" s="95" t="s">
        <v>56</v>
      </c>
      <c r="AZ320" s="96">
        <v>59.225000000000001</v>
      </c>
      <c r="BA320" s="96"/>
      <c r="BB320" s="96">
        <v>82.5</v>
      </c>
      <c r="BC320" s="96"/>
      <c r="BD320" s="97">
        <v>128.72</v>
      </c>
      <c r="BE320" s="142">
        <f t="shared" si="134"/>
        <v>10220</v>
      </c>
      <c r="BF320" s="98">
        <v>280</v>
      </c>
      <c r="BG320" s="98">
        <v>333</v>
      </c>
      <c r="BH320" s="98">
        <v>4340</v>
      </c>
      <c r="BI320" s="98">
        <v>5267</v>
      </c>
      <c r="BJ320" s="98"/>
      <c r="BK320" s="98"/>
      <c r="BL320" s="97"/>
    </row>
    <row r="321" spans="1:64" outlineLevel="5" x14ac:dyDescent="0.3">
      <c r="A321" s="152">
        <f t="shared" si="135"/>
        <v>9</v>
      </c>
      <c r="B321" s="153">
        <f t="shared" si="120"/>
        <v>44468</v>
      </c>
      <c r="C321" s="138">
        <f t="shared" si="125"/>
        <v>38.5</v>
      </c>
      <c r="D321" s="84">
        <v>38</v>
      </c>
      <c r="E321" s="84">
        <v>39</v>
      </c>
      <c r="F321" s="84"/>
      <c r="G321" s="84"/>
      <c r="H321" s="84"/>
      <c r="I321" s="84"/>
      <c r="J321" s="84"/>
      <c r="K321" s="84"/>
      <c r="L321" s="140">
        <f t="shared" si="126"/>
        <v>7.7</v>
      </c>
      <c r="M321" s="86">
        <v>7.78</v>
      </c>
      <c r="N321" s="86">
        <v>7.68</v>
      </c>
      <c r="O321" s="86"/>
      <c r="P321" s="86"/>
      <c r="Q321" s="86"/>
      <c r="R321" s="86"/>
      <c r="S321" s="86"/>
      <c r="T321" s="86"/>
      <c r="U321" s="142">
        <f t="shared" si="127"/>
        <v>1665.2</v>
      </c>
      <c r="V321" s="88">
        <v>1686.8</v>
      </c>
      <c r="W321" s="88">
        <v>1643.5</v>
      </c>
      <c r="X321" s="88"/>
      <c r="Y321" s="88"/>
      <c r="Z321" s="88"/>
      <c r="AA321" s="88"/>
      <c r="AB321" s="88"/>
      <c r="AC321" s="88"/>
      <c r="AD321" s="142" t="str">
        <f t="shared" si="128"/>
        <v/>
      </c>
      <c r="AE321" s="88"/>
      <c r="AF321" s="88"/>
      <c r="AG321" s="88"/>
      <c r="AH321" s="88"/>
      <c r="AI321" s="88"/>
      <c r="AJ321" s="88"/>
      <c r="AK321" s="88"/>
      <c r="AL321" s="88"/>
      <c r="AM321" s="88">
        <v>31.902669820885436</v>
      </c>
      <c r="AN321" s="88">
        <v>147.94999999999999</v>
      </c>
      <c r="AO321" s="89" t="s">
        <v>56</v>
      </c>
      <c r="AP321" s="90" t="s">
        <v>56</v>
      </c>
      <c r="AQ321" s="146" t="str">
        <f t="shared" si="129"/>
        <v/>
      </c>
      <c r="AR321" s="146" t="str">
        <f t="shared" si="130"/>
        <v/>
      </c>
      <c r="AS321" s="147">
        <v>40</v>
      </c>
      <c r="AT321" s="148">
        <v>16.95</v>
      </c>
      <c r="AU321" s="149">
        <v>8.8000000000000007</v>
      </c>
      <c r="AV321" s="146">
        <f t="shared" si="131"/>
        <v>51.917404129793518</v>
      </c>
      <c r="AW321" s="146">
        <f t="shared" si="132"/>
        <v>48.082595870206482</v>
      </c>
      <c r="AX321" s="138" t="str">
        <f t="shared" si="133"/>
        <v/>
      </c>
      <c r="AY321" s="95">
        <v>75.699999999999989</v>
      </c>
      <c r="AZ321" s="96">
        <v>62.555</v>
      </c>
      <c r="BA321" s="96"/>
      <c r="BB321" s="96">
        <v>74.5</v>
      </c>
      <c r="BC321" s="96"/>
      <c r="BD321" s="97">
        <v>147.94999999999999</v>
      </c>
      <c r="BE321" s="142">
        <f t="shared" si="134"/>
        <v>11131</v>
      </c>
      <c r="BF321" s="98">
        <v>607</v>
      </c>
      <c r="BG321" s="98">
        <v>946</v>
      </c>
      <c r="BH321" s="98">
        <v>4216</v>
      </c>
      <c r="BI321" s="98">
        <v>5362</v>
      </c>
      <c r="BJ321" s="98"/>
      <c r="BK321" s="98"/>
      <c r="BL321" s="97"/>
    </row>
    <row r="322" spans="1:64" ht="17.25" outlineLevel="5" thickBot="1" x14ac:dyDescent="0.35">
      <c r="A322" s="154">
        <f t="shared" si="135"/>
        <v>9</v>
      </c>
      <c r="B322" s="155">
        <f t="shared" si="120"/>
        <v>44469</v>
      </c>
      <c r="C322" s="138">
        <f t="shared" si="125"/>
        <v>38</v>
      </c>
      <c r="D322" s="84">
        <v>38</v>
      </c>
      <c r="E322" s="84">
        <v>38</v>
      </c>
      <c r="F322" s="84"/>
      <c r="G322" s="84"/>
      <c r="H322" s="84"/>
      <c r="I322" s="84"/>
      <c r="J322" s="84"/>
      <c r="K322" s="84"/>
      <c r="L322" s="140" t="str">
        <f t="shared" si="126"/>
        <v/>
      </c>
      <c r="M322" s="86" t="s">
        <v>56</v>
      </c>
      <c r="N322" s="86" t="s">
        <v>56</v>
      </c>
      <c r="O322" s="86"/>
      <c r="P322" s="86"/>
      <c r="Q322" s="86"/>
      <c r="R322" s="86"/>
      <c r="S322" s="86"/>
      <c r="T322" s="86"/>
      <c r="U322" s="142" t="str">
        <f t="shared" si="127"/>
        <v/>
      </c>
      <c r="V322" s="88" t="s">
        <v>56</v>
      </c>
      <c r="W322" s="88" t="s">
        <v>56</v>
      </c>
      <c r="X322" s="88"/>
      <c r="Y322" s="88"/>
      <c r="Z322" s="88"/>
      <c r="AA322" s="88"/>
      <c r="AB322" s="88"/>
      <c r="AC322" s="88"/>
      <c r="AD322" s="142" t="str">
        <f t="shared" si="128"/>
        <v/>
      </c>
      <c r="AE322" s="88"/>
      <c r="AF322" s="88"/>
      <c r="AG322" s="88"/>
      <c r="AH322" s="88"/>
      <c r="AI322" s="88"/>
      <c r="AJ322" s="88"/>
      <c r="AK322" s="88"/>
      <c r="AL322" s="88"/>
      <c r="AM322" s="158">
        <v>32.536017095195426</v>
      </c>
      <c r="AN322" s="88">
        <v>145.07</v>
      </c>
      <c r="AO322" s="89" t="s">
        <v>56</v>
      </c>
      <c r="AP322" s="90" t="s">
        <v>56</v>
      </c>
      <c r="AQ322" s="146" t="str">
        <f t="shared" si="129"/>
        <v/>
      </c>
      <c r="AR322" s="146" t="str">
        <f t="shared" si="130"/>
        <v/>
      </c>
      <c r="AS322" s="147">
        <v>40</v>
      </c>
      <c r="AT322" s="148" t="s">
        <v>56</v>
      </c>
      <c r="AU322" s="149" t="s">
        <v>56</v>
      </c>
      <c r="AV322" s="146" t="str">
        <f t="shared" si="131"/>
        <v/>
      </c>
      <c r="AW322" s="146" t="str">
        <f t="shared" si="132"/>
        <v/>
      </c>
      <c r="AX322" s="138" t="str">
        <f t="shared" si="133"/>
        <v/>
      </c>
      <c r="AY322" s="95" t="s">
        <v>56</v>
      </c>
      <c r="AZ322" s="96">
        <v>62.085000000000001</v>
      </c>
      <c r="BA322" s="96"/>
      <c r="BB322" s="96">
        <v>73</v>
      </c>
      <c r="BC322" s="96"/>
      <c r="BD322" s="97">
        <v>145.07</v>
      </c>
      <c r="BE322" s="142">
        <f t="shared" si="134"/>
        <v>9447</v>
      </c>
      <c r="BF322" s="98">
        <v>1</v>
      </c>
      <c r="BG322" s="98">
        <v>0</v>
      </c>
      <c r="BH322" s="98">
        <v>4278</v>
      </c>
      <c r="BI322" s="98">
        <v>5168</v>
      </c>
      <c r="BJ322" s="98"/>
      <c r="BK322" s="98"/>
      <c r="BL322" s="97"/>
    </row>
    <row r="323" spans="1:64" outlineLevel="4" x14ac:dyDescent="0.3">
      <c r="A323" s="63" t="s">
        <v>89</v>
      </c>
      <c r="B323" s="64"/>
      <c r="C323" s="65">
        <f t="shared" ref="C323:BL323" si="136">SUBTOTAL(4,C293:C322)</f>
        <v>39</v>
      </c>
      <c r="D323" s="66">
        <f t="shared" si="136"/>
        <v>39</v>
      </c>
      <c r="E323" s="66">
        <f t="shared" si="136"/>
        <v>39</v>
      </c>
      <c r="F323" s="66">
        <f t="shared" si="136"/>
        <v>0</v>
      </c>
      <c r="G323" s="66">
        <f t="shared" si="136"/>
        <v>0</v>
      </c>
      <c r="H323" s="66">
        <f t="shared" si="136"/>
        <v>0</v>
      </c>
      <c r="I323" s="66">
        <f t="shared" si="136"/>
        <v>0</v>
      </c>
      <c r="J323" s="66">
        <f t="shared" si="136"/>
        <v>0</v>
      </c>
      <c r="K323" s="66">
        <f t="shared" si="136"/>
        <v>0</v>
      </c>
      <c r="L323" s="67">
        <f t="shared" si="136"/>
        <v>7.8</v>
      </c>
      <c r="M323" s="68">
        <f t="shared" si="136"/>
        <v>7.84</v>
      </c>
      <c r="N323" s="68">
        <f t="shared" si="136"/>
        <v>7.72</v>
      </c>
      <c r="O323" s="68">
        <f t="shared" si="136"/>
        <v>0</v>
      </c>
      <c r="P323" s="68">
        <f t="shared" si="136"/>
        <v>0</v>
      </c>
      <c r="Q323" s="68">
        <f t="shared" si="136"/>
        <v>0</v>
      </c>
      <c r="R323" s="68">
        <f t="shared" si="136"/>
        <v>0</v>
      </c>
      <c r="S323" s="68">
        <f t="shared" si="136"/>
        <v>0</v>
      </c>
      <c r="T323" s="68">
        <f t="shared" si="136"/>
        <v>0</v>
      </c>
      <c r="U323" s="69">
        <f t="shared" si="136"/>
        <v>3650</v>
      </c>
      <c r="V323" s="70">
        <f t="shared" si="136"/>
        <v>3750</v>
      </c>
      <c r="W323" s="70">
        <f t="shared" si="136"/>
        <v>3550</v>
      </c>
      <c r="X323" s="70">
        <f t="shared" si="136"/>
        <v>0</v>
      </c>
      <c r="Y323" s="70">
        <f t="shared" si="136"/>
        <v>0</v>
      </c>
      <c r="Z323" s="70">
        <f t="shared" si="136"/>
        <v>0</v>
      </c>
      <c r="AA323" s="70">
        <f t="shared" si="136"/>
        <v>0</v>
      </c>
      <c r="AB323" s="70">
        <f t="shared" si="136"/>
        <v>0</v>
      </c>
      <c r="AC323" s="70">
        <f t="shared" si="136"/>
        <v>0</v>
      </c>
      <c r="AD323" s="69">
        <f t="shared" si="136"/>
        <v>0</v>
      </c>
      <c r="AE323" s="70">
        <f t="shared" si="136"/>
        <v>0</v>
      </c>
      <c r="AF323" s="70">
        <f t="shared" si="136"/>
        <v>0</v>
      </c>
      <c r="AG323" s="70">
        <f t="shared" si="136"/>
        <v>0</v>
      </c>
      <c r="AH323" s="70">
        <f t="shared" si="136"/>
        <v>0</v>
      </c>
      <c r="AI323" s="70">
        <f t="shared" si="136"/>
        <v>0</v>
      </c>
      <c r="AJ323" s="70">
        <f t="shared" si="136"/>
        <v>0</v>
      </c>
      <c r="AK323" s="70">
        <f t="shared" si="136"/>
        <v>0</v>
      </c>
      <c r="AL323" s="70">
        <f t="shared" si="136"/>
        <v>0</v>
      </c>
      <c r="AM323" s="70">
        <f>SUBTOTAL(4,AM293:AM322)</f>
        <v>57.330256285679582</v>
      </c>
      <c r="AN323" s="70">
        <f t="shared" ref="AN323:AW323" si="137">SUBTOTAL(4,AN293:AN322)</f>
        <v>148.43</v>
      </c>
      <c r="AO323" s="71">
        <f t="shared" si="137"/>
        <v>17.3</v>
      </c>
      <c r="AP323" s="72">
        <f t="shared" si="137"/>
        <v>14.324400000000001</v>
      </c>
      <c r="AQ323" s="73">
        <f t="shared" si="137"/>
        <v>83.6</v>
      </c>
      <c r="AR323" s="73">
        <f t="shared" si="137"/>
        <v>17.200000000000003</v>
      </c>
      <c r="AS323" s="74">
        <f t="shared" si="137"/>
        <v>40</v>
      </c>
      <c r="AT323" s="75">
        <f t="shared" si="137"/>
        <v>19.8</v>
      </c>
      <c r="AU323" s="76">
        <f t="shared" si="137"/>
        <v>9.6999999999999993</v>
      </c>
      <c r="AV323" s="73">
        <f t="shared" si="137"/>
        <v>60.501567398119128</v>
      </c>
      <c r="AW323" s="73">
        <f t="shared" si="137"/>
        <v>53.282828282828284</v>
      </c>
      <c r="AX323" s="65">
        <f t="shared" si="136"/>
        <v>75.478468899521516</v>
      </c>
      <c r="AY323" s="77">
        <f t="shared" si="136"/>
        <v>85.15</v>
      </c>
      <c r="AZ323" s="78">
        <f t="shared" si="136"/>
        <v>64.02</v>
      </c>
      <c r="BA323" s="78">
        <f t="shared" si="136"/>
        <v>0</v>
      </c>
      <c r="BB323" s="78">
        <f t="shared" si="136"/>
        <v>82.5</v>
      </c>
      <c r="BC323" s="78">
        <f t="shared" si="136"/>
        <v>0</v>
      </c>
      <c r="BD323" s="79">
        <f t="shared" si="136"/>
        <v>148.43</v>
      </c>
      <c r="BE323" s="69">
        <f t="shared" si="136"/>
        <v>11131</v>
      </c>
      <c r="BF323" s="70">
        <f t="shared" si="136"/>
        <v>1096</v>
      </c>
      <c r="BG323" s="80">
        <f t="shared" si="136"/>
        <v>946</v>
      </c>
      <c r="BH323" s="80">
        <f t="shared" si="136"/>
        <v>5418</v>
      </c>
      <c r="BI323" s="80">
        <f t="shared" si="136"/>
        <v>5362</v>
      </c>
      <c r="BJ323" s="80">
        <f t="shared" si="136"/>
        <v>0</v>
      </c>
      <c r="BK323" s="80">
        <f t="shared" si="136"/>
        <v>0</v>
      </c>
      <c r="BL323" s="79">
        <f t="shared" si="136"/>
        <v>0</v>
      </c>
    </row>
    <row r="324" spans="1:64" outlineLevel="3" x14ac:dyDescent="0.3">
      <c r="A324" s="81" t="s">
        <v>90</v>
      </c>
      <c r="B324" s="82"/>
      <c r="C324" s="83">
        <f t="shared" ref="C324:BL324" si="138">SUBTOTAL(5,C293:C322)</f>
        <v>35.5</v>
      </c>
      <c r="D324" s="84">
        <f t="shared" si="138"/>
        <v>36</v>
      </c>
      <c r="E324" s="84">
        <f t="shared" si="138"/>
        <v>35</v>
      </c>
      <c r="F324" s="84">
        <f t="shared" si="138"/>
        <v>0</v>
      </c>
      <c r="G324" s="84">
        <f t="shared" si="138"/>
        <v>0</v>
      </c>
      <c r="H324" s="84">
        <f t="shared" si="138"/>
        <v>0</v>
      </c>
      <c r="I324" s="84">
        <f t="shared" si="138"/>
        <v>0</v>
      </c>
      <c r="J324" s="84">
        <f t="shared" si="138"/>
        <v>0</v>
      </c>
      <c r="K324" s="84">
        <f t="shared" si="138"/>
        <v>0</v>
      </c>
      <c r="L324" s="85">
        <f t="shared" si="138"/>
        <v>7.7</v>
      </c>
      <c r="M324" s="86">
        <f t="shared" si="138"/>
        <v>7.7</v>
      </c>
      <c r="N324" s="86">
        <f t="shared" si="138"/>
        <v>7.59</v>
      </c>
      <c r="O324" s="86">
        <f t="shared" si="138"/>
        <v>0</v>
      </c>
      <c r="P324" s="86">
        <f t="shared" si="138"/>
        <v>0</v>
      </c>
      <c r="Q324" s="86">
        <f t="shared" si="138"/>
        <v>0</v>
      </c>
      <c r="R324" s="86">
        <f t="shared" si="138"/>
        <v>0</v>
      </c>
      <c r="S324" s="86">
        <f t="shared" si="138"/>
        <v>0</v>
      </c>
      <c r="T324" s="86">
        <f t="shared" si="138"/>
        <v>0</v>
      </c>
      <c r="U324" s="87">
        <f t="shared" si="138"/>
        <v>1340.8</v>
      </c>
      <c r="V324" s="88">
        <f t="shared" si="138"/>
        <v>1297.5</v>
      </c>
      <c r="W324" s="88">
        <f t="shared" si="138"/>
        <v>1384</v>
      </c>
      <c r="X324" s="88">
        <f t="shared" si="138"/>
        <v>0</v>
      </c>
      <c r="Y324" s="88">
        <f t="shared" si="138"/>
        <v>0</v>
      </c>
      <c r="Z324" s="88">
        <f t="shared" si="138"/>
        <v>0</v>
      </c>
      <c r="AA324" s="88">
        <f t="shared" si="138"/>
        <v>0</v>
      </c>
      <c r="AB324" s="88">
        <f t="shared" si="138"/>
        <v>0</v>
      </c>
      <c r="AC324" s="88">
        <f t="shared" si="138"/>
        <v>0</v>
      </c>
      <c r="AD324" s="87">
        <f t="shared" si="138"/>
        <v>0</v>
      </c>
      <c r="AE324" s="88">
        <f t="shared" si="138"/>
        <v>0</v>
      </c>
      <c r="AF324" s="88">
        <f t="shared" si="138"/>
        <v>0</v>
      </c>
      <c r="AG324" s="88">
        <f t="shared" si="138"/>
        <v>0</v>
      </c>
      <c r="AH324" s="88">
        <f t="shared" si="138"/>
        <v>0</v>
      </c>
      <c r="AI324" s="88">
        <f t="shared" si="138"/>
        <v>0</v>
      </c>
      <c r="AJ324" s="88">
        <f t="shared" si="138"/>
        <v>0</v>
      </c>
      <c r="AK324" s="88">
        <f t="shared" si="138"/>
        <v>0</v>
      </c>
      <c r="AL324" s="88">
        <f t="shared" si="138"/>
        <v>0</v>
      </c>
      <c r="AM324" s="88">
        <f>SUBTOTAL(5,AM293:AM322)</f>
        <v>31.799501448494237</v>
      </c>
      <c r="AN324" s="88">
        <f t="shared" ref="AN324:AW324" si="139">SUBTOTAL(5,AN293:AN322)</f>
        <v>82.33</v>
      </c>
      <c r="AO324" s="89">
        <f t="shared" si="139"/>
        <v>15.1</v>
      </c>
      <c r="AP324" s="90">
        <f t="shared" si="139"/>
        <v>12.6236</v>
      </c>
      <c r="AQ324" s="91">
        <f t="shared" si="139"/>
        <v>82.8</v>
      </c>
      <c r="AR324" s="91">
        <f t="shared" si="139"/>
        <v>16.400000000000006</v>
      </c>
      <c r="AS324" s="92">
        <f t="shared" si="139"/>
        <v>0</v>
      </c>
      <c r="AT324" s="93">
        <f t="shared" si="139"/>
        <v>15.05</v>
      </c>
      <c r="AU324" s="94">
        <f t="shared" si="139"/>
        <v>7.8</v>
      </c>
      <c r="AV324" s="91">
        <f t="shared" si="139"/>
        <v>46.717171717171716</v>
      </c>
      <c r="AW324" s="91">
        <f t="shared" si="139"/>
        <v>39.498432601880872</v>
      </c>
      <c r="AX324" s="83">
        <f t="shared" si="138"/>
        <v>71.774163808680896</v>
      </c>
      <c r="AY324" s="95">
        <f t="shared" si="138"/>
        <v>70.050000000000011</v>
      </c>
      <c r="AZ324" s="96">
        <f t="shared" si="138"/>
        <v>59.225000000000001</v>
      </c>
      <c r="BA324" s="96">
        <f t="shared" si="138"/>
        <v>0</v>
      </c>
      <c r="BB324" s="96">
        <f t="shared" si="138"/>
        <v>50.5</v>
      </c>
      <c r="BC324" s="96">
        <f t="shared" si="138"/>
        <v>0</v>
      </c>
      <c r="BD324" s="97">
        <f t="shared" si="138"/>
        <v>82.33</v>
      </c>
      <c r="BE324" s="87">
        <f t="shared" si="138"/>
        <v>4044</v>
      </c>
      <c r="BF324" s="88">
        <f t="shared" si="138"/>
        <v>0</v>
      </c>
      <c r="BG324" s="98">
        <f t="shared" si="138"/>
        <v>0</v>
      </c>
      <c r="BH324" s="98">
        <f t="shared" si="138"/>
        <v>0</v>
      </c>
      <c r="BI324" s="98">
        <f t="shared" si="138"/>
        <v>3254</v>
      </c>
      <c r="BJ324" s="98">
        <f t="shared" si="138"/>
        <v>0</v>
      </c>
      <c r="BK324" s="98">
        <f t="shared" si="138"/>
        <v>0</v>
      </c>
      <c r="BL324" s="97">
        <f t="shared" si="138"/>
        <v>0</v>
      </c>
    </row>
    <row r="325" spans="1:64" outlineLevel="2" x14ac:dyDescent="0.3">
      <c r="A325" s="81" t="s">
        <v>91</v>
      </c>
      <c r="B325" s="82"/>
      <c r="C325" s="83">
        <f t="shared" ref="C325:BL325" si="140">IFERROR(SUBTOTAL(1,C293:C322),"")</f>
        <v>37.143333333333331</v>
      </c>
      <c r="D325" s="84">
        <f t="shared" si="140"/>
        <v>37.366666666666667</v>
      </c>
      <c r="E325" s="84">
        <f t="shared" si="140"/>
        <v>36.916666666666664</v>
      </c>
      <c r="F325" s="84" t="str">
        <f t="shared" si="140"/>
        <v/>
      </c>
      <c r="G325" s="84" t="str">
        <f t="shared" si="140"/>
        <v/>
      </c>
      <c r="H325" s="84" t="str">
        <f t="shared" si="140"/>
        <v/>
      </c>
      <c r="I325" s="84" t="str">
        <f t="shared" si="140"/>
        <v/>
      </c>
      <c r="J325" s="84" t="str">
        <f t="shared" si="140"/>
        <v/>
      </c>
      <c r="K325" s="84" t="str">
        <f t="shared" si="140"/>
        <v/>
      </c>
      <c r="L325" s="85">
        <f t="shared" si="140"/>
        <v>7.7374999999999998</v>
      </c>
      <c r="M325" s="86">
        <f t="shared" si="140"/>
        <v>7.78125</v>
      </c>
      <c r="N325" s="86">
        <f t="shared" si="140"/>
        <v>7.6537499999999996</v>
      </c>
      <c r="O325" s="86" t="str">
        <f t="shared" si="140"/>
        <v/>
      </c>
      <c r="P325" s="86" t="str">
        <f t="shared" si="140"/>
        <v/>
      </c>
      <c r="Q325" s="86" t="str">
        <f t="shared" si="140"/>
        <v/>
      </c>
      <c r="R325" s="86" t="str">
        <f t="shared" si="140"/>
        <v/>
      </c>
      <c r="S325" s="86" t="str">
        <f t="shared" si="140"/>
        <v/>
      </c>
      <c r="T325" s="86" t="str">
        <f t="shared" si="140"/>
        <v/>
      </c>
      <c r="U325" s="87">
        <f t="shared" si="140"/>
        <v>1837.6777777777777</v>
      </c>
      <c r="V325" s="88">
        <f t="shared" si="140"/>
        <v>1813.0666666666666</v>
      </c>
      <c r="W325" s="88">
        <f t="shared" si="140"/>
        <v>1862.2666666666669</v>
      </c>
      <c r="X325" s="88" t="str">
        <f t="shared" si="140"/>
        <v/>
      </c>
      <c r="Y325" s="88" t="str">
        <f t="shared" si="140"/>
        <v/>
      </c>
      <c r="Z325" s="88" t="str">
        <f t="shared" si="140"/>
        <v/>
      </c>
      <c r="AA325" s="88" t="str">
        <f t="shared" si="140"/>
        <v/>
      </c>
      <c r="AB325" s="88" t="str">
        <f t="shared" si="140"/>
        <v/>
      </c>
      <c r="AC325" s="88" t="str">
        <f t="shared" si="140"/>
        <v/>
      </c>
      <c r="AD325" s="87" t="str">
        <f t="shared" si="140"/>
        <v/>
      </c>
      <c r="AE325" s="88" t="str">
        <f t="shared" si="140"/>
        <v/>
      </c>
      <c r="AF325" s="88" t="str">
        <f t="shared" si="140"/>
        <v/>
      </c>
      <c r="AG325" s="88" t="str">
        <f t="shared" si="140"/>
        <v/>
      </c>
      <c r="AH325" s="88" t="str">
        <f t="shared" si="140"/>
        <v/>
      </c>
      <c r="AI325" s="88" t="str">
        <f t="shared" si="140"/>
        <v/>
      </c>
      <c r="AJ325" s="88" t="str">
        <f t="shared" si="140"/>
        <v/>
      </c>
      <c r="AK325" s="88" t="str">
        <f t="shared" si="140"/>
        <v/>
      </c>
      <c r="AL325" s="88" t="str">
        <f t="shared" si="140"/>
        <v/>
      </c>
      <c r="AM325" s="88">
        <f>IFERROR(SUBTOTAL(1,AM293:AM322),"")</f>
        <v>38.044863132335308</v>
      </c>
      <c r="AN325" s="88">
        <f t="shared" si="140"/>
        <v>126.05333333333333</v>
      </c>
      <c r="AO325" s="89">
        <f t="shared" si="140"/>
        <v>16.2</v>
      </c>
      <c r="AP325" s="90">
        <f t="shared" si="140"/>
        <v>13.474</v>
      </c>
      <c r="AQ325" s="91">
        <f t="shared" si="140"/>
        <v>83.199999999999989</v>
      </c>
      <c r="AR325" s="91">
        <f t="shared" si="140"/>
        <v>16.800000000000004</v>
      </c>
      <c r="AS325" s="92">
        <f t="shared" si="140"/>
        <v>19</v>
      </c>
      <c r="AT325" s="93">
        <f t="shared" si="140"/>
        <v>16.31111111111111</v>
      </c>
      <c r="AU325" s="94">
        <f t="shared" si="140"/>
        <v>8.8944444444444439</v>
      </c>
      <c r="AV325" s="91">
        <f t="shared" si="140"/>
        <v>54.803338136584571</v>
      </c>
      <c r="AW325" s="91">
        <f t="shared" si="140"/>
        <v>45.196661863415429</v>
      </c>
      <c r="AX325" s="83">
        <f t="shared" si="140"/>
        <v>73.626316354101206</v>
      </c>
      <c r="AY325" s="95">
        <f t="shared" si="140"/>
        <v>75.666666666666671</v>
      </c>
      <c r="AZ325" s="96">
        <f t="shared" si="140"/>
        <v>61.545333333333339</v>
      </c>
      <c r="BA325" s="96" t="str">
        <f t="shared" si="140"/>
        <v/>
      </c>
      <c r="BB325" s="96">
        <f t="shared" si="140"/>
        <v>63.516666666666666</v>
      </c>
      <c r="BC325" s="96" t="str">
        <f t="shared" si="140"/>
        <v/>
      </c>
      <c r="BD325" s="97">
        <f>IFERROR(SUBTOTAL(1,BD293:BD322),"")</f>
        <v>126.05333333333333</v>
      </c>
      <c r="BE325" s="87">
        <f t="shared" si="140"/>
        <v>8003.666666666667</v>
      </c>
      <c r="BF325" s="88">
        <f t="shared" si="140"/>
        <v>146.06666666666666</v>
      </c>
      <c r="BG325" s="98">
        <f t="shared" si="140"/>
        <v>42.7</v>
      </c>
      <c r="BH325" s="98">
        <f t="shared" si="140"/>
        <v>2768.9333333333334</v>
      </c>
      <c r="BI325" s="98">
        <f t="shared" si="140"/>
        <v>5045.9666666666662</v>
      </c>
      <c r="BJ325" s="98" t="str">
        <f t="shared" si="140"/>
        <v/>
      </c>
      <c r="BK325" s="98" t="str">
        <f t="shared" si="140"/>
        <v/>
      </c>
      <c r="BL325" s="97" t="str">
        <f t="shared" si="140"/>
        <v/>
      </c>
    </row>
    <row r="326" spans="1:64" ht="17.25" outlineLevel="1" thickBot="1" x14ac:dyDescent="0.35">
      <c r="A326" s="99" t="s">
        <v>92</v>
      </c>
      <c r="B326" s="100"/>
      <c r="C326" s="101"/>
      <c r="D326" s="102"/>
      <c r="E326" s="102"/>
      <c r="F326" s="102"/>
      <c r="G326" s="102"/>
      <c r="H326" s="102"/>
      <c r="I326" s="102"/>
      <c r="J326" s="102"/>
      <c r="K326" s="102"/>
      <c r="L326" s="103"/>
      <c r="M326" s="104"/>
      <c r="N326" s="104"/>
      <c r="O326" s="104"/>
      <c r="P326" s="104"/>
      <c r="Q326" s="104"/>
      <c r="R326" s="104"/>
      <c r="S326" s="104"/>
      <c r="T326" s="104"/>
      <c r="U326" s="105"/>
      <c r="V326" s="106"/>
      <c r="W326" s="106"/>
      <c r="X326" s="106"/>
      <c r="Y326" s="106"/>
      <c r="Z326" s="106"/>
      <c r="AA326" s="106"/>
      <c r="AB326" s="106"/>
      <c r="AC326" s="106"/>
      <c r="AD326" s="105"/>
      <c r="AE326" s="106"/>
      <c r="AF326" s="106"/>
      <c r="AG326" s="106"/>
      <c r="AH326" s="106"/>
      <c r="AI326" s="106"/>
      <c r="AJ326" s="106"/>
      <c r="AK326" s="106"/>
      <c r="AL326" s="106"/>
      <c r="AM326" s="106"/>
      <c r="AN326" s="107">
        <f>SUBTOTAL(9,AN293:AN322)</f>
        <v>3781.6</v>
      </c>
      <c r="AO326" s="108"/>
      <c r="AP326" s="109"/>
      <c r="AQ326" s="110"/>
      <c r="AR326" s="110"/>
      <c r="AS326" s="111">
        <f>SUBTOTAL(9,AS293:AS322)</f>
        <v>570</v>
      </c>
      <c r="AT326" s="112"/>
      <c r="AU326" s="113"/>
      <c r="AV326" s="110"/>
      <c r="AW326" s="110"/>
      <c r="AX326" s="101"/>
      <c r="AY326" s="114"/>
      <c r="AZ326" s="115"/>
      <c r="BA326" s="115"/>
      <c r="BB326" s="115"/>
      <c r="BC326" s="115"/>
      <c r="BD326" s="116">
        <f>SUBTOTAL(9,BD293:BD322)</f>
        <v>3781.6</v>
      </c>
      <c r="BE326" s="117">
        <f t="shared" ref="BE326:BL326" si="141">SUBTOTAL(9,BE293:BE322)</f>
        <v>240110</v>
      </c>
      <c r="BF326" s="107">
        <f t="shared" si="141"/>
        <v>4382</v>
      </c>
      <c r="BG326" s="118">
        <f t="shared" si="141"/>
        <v>1281</v>
      </c>
      <c r="BH326" s="118">
        <f t="shared" si="141"/>
        <v>83068</v>
      </c>
      <c r="BI326" s="118">
        <f t="shared" si="141"/>
        <v>151379</v>
      </c>
      <c r="BJ326" s="118">
        <f t="shared" si="141"/>
        <v>0</v>
      </c>
      <c r="BK326" s="118">
        <f t="shared" si="141"/>
        <v>0</v>
      </c>
      <c r="BL326" s="116">
        <f t="shared" si="141"/>
        <v>0</v>
      </c>
    </row>
    <row r="327" spans="1:64" outlineLevel="5" x14ac:dyDescent="0.3">
      <c r="A327" s="136">
        <f t="shared" si="135"/>
        <v>10</v>
      </c>
      <c r="B327" s="165">
        <f>B322+1</f>
        <v>44470</v>
      </c>
      <c r="C327" s="138">
        <f t="shared" ref="C327:C357" si="142">IFERROR(ROUND(AVERAGE(D327:K327),1),"")</f>
        <v>38</v>
      </c>
      <c r="D327" s="84">
        <v>38</v>
      </c>
      <c r="E327" s="84">
        <v>38</v>
      </c>
      <c r="F327" s="84"/>
      <c r="G327" s="84"/>
      <c r="H327" s="84"/>
      <c r="I327" s="84"/>
      <c r="J327" s="84"/>
      <c r="K327" s="84"/>
      <c r="L327" s="140" t="str">
        <f t="shared" ref="L327:L357" si="143">IFERROR(ROUND(AVERAGE(M327:T327),1),"")</f>
        <v/>
      </c>
      <c r="M327" s="86" t="s">
        <v>56</v>
      </c>
      <c r="N327" s="86" t="s">
        <v>56</v>
      </c>
      <c r="O327" s="86"/>
      <c r="P327" s="86"/>
      <c r="Q327" s="86"/>
      <c r="R327" s="86"/>
      <c r="S327" s="86"/>
      <c r="T327" s="86"/>
      <c r="U327" s="142" t="str">
        <f t="shared" ref="U327:U357" si="144">IFERROR(ROUND(AVERAGE(V327:AC327),1),"")</f>
        <v/>
      </c>
      <c r="V327" s="88" t="s">
        <v>56</v>
      </c>
      <c r="W327" s="88" t="s">
        <v>56</v>
      </c>
      <c r="X327" s="88"/>
      <c r="Y327" s="88"/>
      <c r="Z327" s="88"/>
      <c r="AA327" s="88"/>
      <c r="AB327" s="88"/>
      <c r="AC327" s="88"/>
      <c r="AD327" s="142" t="str">
        <f t="shared" ref="AD327:AD357" si="145">IFERROR(ROUND(AVERAGE(AE327:AL327),1),"")</f>
        <v/>
      </c>
      <c r="AE327" s="88"/>
      <c r="AF327" s="88"/>
      <c r="AG327" s="88"/>
      <c r="AH327" s="88"/>
      <c r="AI327" s="88"/>
      <c r="AJ327" s="88"/>
      <c r="AK327" s="88"/>
      <c r="AL327" s="88"/>
      <c r="AM327" s="88">
        <v>45.771916214119472</v>
      </c>
      <c r="AN327" s="88">
        <v>103.12</v>
      </c>
      <c r="AO327" s="89" t="s">
        <v>56</v>
      </c>
      <c r="AP327" s="90"/>
      <c r="AQ327" s="146" t="str">
        <f t="shared" ref="AQ327:AQ357" si="146">IFERROR(AP327/AO327*100,"")</f>
        <v/>
      </c>
      <c r="AR327" s="146" t="str">
        <f t="shared" ref="AR327:AR357" si="147">IFERROR(100-AQ327,"")</f>
        <v/>
      </c>
      <c r="AS327" s="147">
        <v>40</v>
      </c>
      <c r="AT327" s="148" t="s">
        <v>56</v>
      </c>
      <c r="AU327" s="149" t="s">
        <v>56</v>
      </c>
      <c r="AV327" s="146" t="str">
        <f t="shared" ref="AV327:AV357" si="148">IFERROR(AU327/AT327*100,"")</f>
        <v/>
      </c>
      <c r="AW327" s="146" t="str">
        <f t="shared" ref="AW327:AW357" si="149">IFERROR(100-AV327,"")</f>
        <v/>
      </c>
      <c r="AX327" s="138" t="str">
        <f t="shared" ref="AX327:AX357" si="150">IFERROR((1-((AV327*AR327)/(AW327*AQ327)))*100,"")</f>
        <v/>
      </c>
      <c r="AY327" s="95" t="s">
        <v>56</v>
      </c>
      <c r="AZ327" s="96">
        <v>63</v>
      </c>
      <c r="BA327" s="96"/>
      <c r="BB327" s="96">
        <v>67</v>
      </c>
      <c r="BC327" s="96"/>
      <c r="BD327" s="97">
        <v>103.12</v>
      </c>
      <c r="BE327" s="142">
        <f t="shared" ref="BE327:BE357" si="151">IF(SUM(BF327:BL327)=0,"",SUM(BF327:BL327))</f>
        <v>9537</v>
      </c>
      <c r="BF327" s="88">
        <v>185</v>
      </c>
      <c r="BG327" s="98">
        <v>0</v>
      </c>
      <c r="BH327" s="98">
        <v>4212</v>
      </c>
      <c r="BI327" s="98">
        <v>5140</v>
      </c>
      <c r="BJ327" s="98"/>
      <c r="BK327" s="98"/>
      <c r="BL327" s="97"/>
    </row>
    <row r="328" spans="1:64" outlineLevel="5" x14ac:dyDescent="0.3">
      <c r="A328" s="152">
        <f t="shared" si="135"/>
        <v>10</v>
      </c>
      <c r="B328" s="153">
        <f t="shared" si="120"/>
        <v>44471</v>
      </c>
      <c r="C328" s="138">
        <f t="shared" si="142"/>
        <v>38</v>
      </c>
      <c r="D328" s="84">
        <v>38</v>
      </c>
      <c r="E328" s="84">
        <v>38</v>
      </c>
      <c r="F328" s="84"/>
      <c r="G328" s="84"/>
      <c r="H328" s="84"/>
      <c r="I328" s="84"/>
      <c r="J328" s="84"/>
      <c r="K328" s="84"/>
      <c r="L328" s="140" t="str">
        <f t="shared" si="143"/>
        <v/>
      </c>
      <c r="M328" s="86"/>
      <c r="N328" s="86"/>
      <c r="O328" s="86"/>
      <c r="P328" s="86"/>
      <c r="Q328" s="86"/>
      <c r="R328" s="86"/>
      <c r="S328" s="86"/>
      <c r="T328" s="86"/>
      <c r="U328" s="142" t="str">
        <f t="shared" si="144"/>
        <v/>
      </c>
      <c r="V328" s="88"/>
      <c r="W328" s="88"/>
      <c r="X328" s="88"/>
      <c r="Y328" s="88"/>
      <c r="Z328" s="88"/>
      <c r="AA328" s="88"/>
      <c r="AB328" s="88"/>
      <c r="AC328" s="88"/>
      <c r="AD328" s="142" t="str">
        <f t="shared" si="145"/>
        <v/>
      </c>
      <c r="AE328" s="88"/>
      <c r="AF328" s="88"/>
      <c r="AG328" s="88"/>
      <c r="AH328" s="88"/>
      <c r="AI328" s="88"/>
      <c r="AJ328" s="88"/>
      <c r="AK328" s="88"/>
      <c r="AL328" s="88"/>
      <c r="AM328" s="88">
        <v>35.17925020496385</v>
      </c>
      <c r="AN328" s="88">
        <v>134.17000000000002</v>
      </c>
      <c r="AO328" s="89"/>
      <c r="AP328" s="90"/>
      <c r="AQ328" s="146" t="str">
        <f t="shared" si="146"/>
        <v/>
      </c>
      <c r="AR328" s="146" t="str">
        <f t="shared" si="147"/>
        <v/>
      </c>
      <c r="AS328" s="147">
        <v>10</v>
      </c>
      <c r="AT328" s="148" t="s">
        <v>56</v>
      </c>
      <c r="AU328" s="149" t="s">
        <v>56</v>
      </c>
      <c r="AV328" s="146" t="str">
        <f t="shared" si="148"/>
        <v/>
      </c>
      <c r="AW328" s="146" t="str">
        <f t="shared" si="149"/>
        <v/>
      </c>
      <c r="AX328" s="138" t="str">
        <f t="shared" si="150"/>
        <v/>
      </c>
      <c r="AY328" s="95" t="s">
        <v>56</v>
      </c>
      <c r="AZ328" s="96">
        <v>63.010000000000005</v>
      </c>
      <c r="BA328" s="96"/>
      <c r="BB328" s="96">
        <v>66</v>
      </c>
      <c r="BC328" s="96"/>
      <c r="BD328" s="97">
        <v>134.17000000000002</v>
      </c>
      <c r="BE328" s="142">
        <f t="shared" si="151"/>
        <v>7497</v>
      </c>
      <c r="BF328" s="88">
        <v>141</v>
      </c>
      <c r="BG328" s="98">
        <v>0</v>
      </c>
      <c r="BH328" s="98">
        <v>2188</v>
      </c>
      <c r="BI328" s="98">
        <v>5168</v>
      </c>
      <c r="BJ328" s="98"/>
      <c r="BK328" s="98"/>
      <c r="BL328" s="97"/>
    </row>
    <row r="329" spans="1:64" outlineLevel="5" x14ac:dyDescent="0.3">
      <c r="A329" s="152">
        <f t="shared" si="135"/>
        <v>10</v>
      </c>
      <c r="B329" s="153">
        <f t="shared" si="120"/>
        <v>44472</v>
      </c>
      <c r="C329" s="138">
        <f t="shared" si="142"/>
        <v>38</v>
      </c>
      <c r="D329" s="84">
        <v>38</v>
      </c>
      <c r="E329" s="84">
        <v>38</v>
      </c>
      <c r="F329" s="84"/>
      <c r="G329" s="84"/>
      <c r="H329" s="84"/>
      <c r="I329" s="84"/>
      <c r="J329" s="84"/>
      <c r="K329" s="84"/>
      <c r="L329" s="140" t="str">
        <f t="shared" si="143"/>
        <v/>
      </c>
      <c r="M329" s="86"/>
      <c r="N329" s="86"/>
      <c r="O329" s="86"/>
      <c r="P329" s="86"/>
      <c r="Q329" s="86"/>
      <c r="R329" s="86"/>
      <c r="S329" s="86"/>
      <c r="T329" s="86"/>
      <c r="U329" s="142" t="str">
        <f t="shared" si="144"/>
        <v/>
      </c>
      <c r="V329" s="88"/>
      <c r="W329" s="88"/>
      <c r="X329" s="88"/>
      <c r="Y329" s="88"/>
      <c r="Z329" s="88"/>
      <c r="AA329" s="88"/>
      <c r="AB329" s="88"/>
      <c r="AC329" s="88"/>
      <c r="AD329" s="142" t="str">
        <f t="shared" si="145"/>
        <v/>
      </c>
      <c r="AE329" s="88"/>
      <c r="AF329" s="88"/>
      <c r="AG329" s="88"/>
      <c r="AH329" s="88"/>
      <c r="AI329" s="88"/>
      <c r="AJ329" s="88"/>
      <c r="AK329" s="88"/>
      <c r="AL329" s="88"/>
      <c r="AM329" s="88">
        <v>33.714285714285715</v>
      </c>
      <c r="AN329" s="88">
        <v>140</v>
      </c>
      <c r="AO329" s="89"/>
      <c r="AP329" s="90"/>
      <c r="AQ329" s="146" t="str">
        <f t="shared" si="146"/>
        <v/>
      </c>
      <c r="AR329" s="146" t="str">
        <f t="shared" si="147"/>
        <v/>
      </c>
      <c r="AS329" s="147">
        <v>10</v>
      </c>
      <c r="AT329" s="148" t="s">
        <v>56</v>
      </c>
      <c r="AU329" s="149" t="s">
        <v>56</v>
      </c>
      <c r="AV329" s="146" t="str">
        <f t="shared" si="148"/>
        <v/>
      </c>
      <c r="AW329" s="146" t="str">
        <f t="shared" si="149"/>
        <v/>
      </c>
      <c r="AX329" s="138" t="str">
        <f t="shared" si="150"/>
        <v/>
      </c>
      <c r="AY329" s="95" t="s">
        <v>56</v>
      </c>
      <c r="AZ329" s="96">
        <v>62.045000000000002</v>
      </c>
      <c r="BA329" s="96"/>
      <c r="BB329" s="96">
        <v>70</v>
      </c>
      <c r="BC329" s="96"/>
      <c r="BD329" s="97">
        <v>140</v>
      </c>
      <c r="BE329" s="142">
        <f t="shared" si="151"/>
        <v>7637</v>
      </c>
      <c r="BF329" s="88">
        <v>199</v>
      </c>
      <c r="BG329" s="98">
        <v>0</v>
      </c>
      <c r="BH329" s="98">
        <v>2295</v>
      </c>
      <c r="BI329" s="98">
        <v>5143</v>
      </c>
      <c r="BJ329" s="98"/>
      <c r="BK329" s="98"/>
      <c r="BL329" s="97"/>
    </row>
    <row r="330" spans="1:64" outlineLevel="5" x14ac:dyDescent="0.3">
      <c r="A330" s="152">
        <f t="shared" si="135"/>
        <v>10</v>
      </c>
      <c r="B330" s="153">
        <f t="shared" si="120"/>
        <v>44473</v>
      </c>
      <c r="C330" s="138">
        <f t="shared" si="142"/>
        <v>38</v>
      </c>
      <c r="D330" s="84">
        <v>38</v>
      </c>
      <c r="E330" s="84">
        <v>38</v>
      </c>
      <c r="F330" s="84"/>
      <c r="G330" s="84"/>
      <c r="H330" s="84"/>
      <c r="I330" s="84"/>
      <c r="J330" s="84"/>
      <c r="K330" s="84"/>
      <c r="L330" s="140" t="str">
        <f t="shared" si="143"/>
        <v/>
      </c>
      <c r="M330" s="86"/>
      <c r="N330" s="86"/>
      <c r="O330" s="86"/>
      <c r="P330" s="86"/>
      <c r="Q330" s="86"/>
      <c r="R330" s="86"/>
      <c r="S330" s="86"/>
      <c r="T330" s="86"/>
      <c r="U330" s="142" t="str">
        <f t="shared" si="144"/>
        <v/>
      </c>
      <c r="V330" s="88"/>
      <c r="W330" s="88"/>
      <c r="X330" s="88"/>
      <c r="Y330" s="88"/>
      <c r="Z330" s="88"/>
      <c r="AA330" s="88"/>
      <c r="AB330" s="88"/>
      <c r="AC330" s="88"/>
      <c r="AD330" s="142" t="str">
        <f t="shared" si="145"/>
        <v/>
      </c>
      <c r="AE330" s="88"/>
      <c r="AF330" s="88"/>
      <c r="AG330" s="88"/>
      <c r="AH330" s="88"/>
      <c r="AI330" s="88"/>
      <c r="AJ330" s="88"/>
      <c r="AK330" s="88"/>
      <c r="AL330" s="88"/>
      <c r="AM330" s="88">
        <v>35.72509839539812</v>
      </c>
      <c r="AN330" s="88">
        <v>132.12</v>
      </c>
      <c r="AO330" s="89"/>
      <c r="AP330" s="90"/>
      <c r="AQ330" s="146" t="str">
        <f t="shared" si="146"/>
        <v/>
      </c>
      <c r="AR330" s="146" t="str">
        <f t="shared" si="147"/>
        <v/>
      </c>
      <c r="AS330" s="147">
        <v>0</v>
      </c>
      <c r="AT330" s="148" t="s">
        <v>56</v>
      </c>
      <c r="AU330" s="149" t="s">
        <v>56</v>
      </c>
      <c r="AV330" s="146" t="str">
        <f t="shared" si="148"/>
        <v/>
      </c>
      <c r="AW330" s="146" t="str">
        <f t="shared" si="149"/>
        <v/>
      </c>
      <c r="AX330" s="138" t="str">
        <f t="shared" si="150"/>
        <v/>
      </c>
      <c r="AY330" s="95" t="s">
        <v>56</v>
      </c>
      <c r="AZ330" s="96">
        <v>63.510000000000005</v>
      </c>
      <c r="BA330" s="96"/>
      <c r="BB330" s="96">
        <v>70</v>
      </c>
      <c r="BC330" s="96"/>
      <c r="BD330" s="97">
        <v>132.12</v>
      </c>
      <c r="BE330" s="142">
        <f t="shared" si="151"/>
        <v>7586</v>
      </c>
      <c r="BF330" s="88">
        <v>0</v>
      </c>
      <c r="BG330" s="98">
        <v>0</v>
      </c>
      <c r="BH330" s="98">
        <v>2268</v>
      </c>
      <c r="BI330" s="98">
        <v>5318</v>
      </c>
      <c r="BJ330" s="98"/>
      <c r="BK330" s="98"/>
      <c r="BL330" s="97"/>
    </row>
    <row r="331" spans="1:64" outlineLevel="5" x14ac:dyDescent="0.3">
      <c r="A331" s="152">
        <f t="shared" si="135"/>
        <v>10</v>
      </c>
      <c r="B331" s="153">
        <f t="shared" si="120"/>
        <v>44474</v>
      </c>
      <c r="C331" s="138">
        <f t="shared" si="142"/>
        <v>39</v>
      </c>
      <c r="D331" s="84">
        <v>39</v>
      </c>
      <c r="E331" s="84">
        <v>39</v>
      </c>
      <c r="F331" s="84"/>
      <c r="G331" s="84"/>
      <c r="H331" s="84"/>
      <c r="I331" s="84"/>
      <c r="J331" s="84"/>
      <c r="K331" s="84"/>
      <c r="L331" s="140" t="str">
        <f t="shared" si="143"/>
        <v/>
      </c>
      <c r="M331" s="86" t="s">
        <v>56</v>
      </c>
      <c r="N331" s="86" t="s">
        <v>56</v>
      </c>
      <c r="O331" s="86"/>
      <c r="P331" s="86"/>
      <c r="Q331" s="86"/>
      <c r="R331" s="86"/>
      <c r="S331" s="86"/>
      <c r="T331" s="86"/>
      <c r="U331" s="142" t="str">
        <f t="shared" si="144"/>
        <v/>
      </c>
      <c r="V331" s="88" t="s">
        <v>56</v>
      </c>
      <c r="W331" s="88" t="s">
        <v>56</v>
      </c>
      <c r="X331" s="88"/>
      <c r="Y331" s="88"/>
      <c r="Z331" s="88"/>
      <c r="AA331" s="88"/>
      <c r="AB331" s="88"/>
      <c r="AC331" s="88"/>
      <c r="AD331" s="142" t="str">
        <f t="shared" si="145"/>
        <v/>
      </c>
      <c r="AE331" s="88"/>
      <c r="AF331" s="88"/>
      <c r="AG331" s="88"/>
      <c r="AH331" s="88"/>
      <c r="AI331" s="88"/>
      <c r="AJ331" s="88"/>
      <c r="AK331" s="88"/>
      <c r="AL331" s="88"/>
      <c r="AM331" s="88">
        <v>36.623215394165115</v>
      </c>
      <c r="AN331" s="88">
        <v>128.88</v>
      </c>
      <c r="AO331" s="89" t="s">
        <v>56</v>
      </c>
      <c r="AP331" s="90"/>
      <c r="AQ331" s="146" t="str">
        <f t="shared" si="146"/>
        <v/>
      </c>
      <c r="AR331" s="146" t="str">
        <f t="shared" si="147"/>
        <v/>
      </c>
      <c r="AS331" s="147">
        <v>43</v>
      </c>
      <c r="AT331" s="148" t="s">
        <v>56</v>
      </c>
      <c r="AU331" s="149" t="s">
        <v>56</v>
      </c>
      <c r="AV331" s="146" t="str">
        <f t="shared" si="148"/>
        <v/>
      </c>
      <c r="AW331" s="146" t="str">
        <f t="shared" si="149"/>
        <v/>
      </c>
      <c r="AX331" s="138" t="str">
        <f t="shared" si="150"/>
        <v/>
      </c>
      <c r="AY331" s="95" t="s">
        <v>56</v>
      </c>
      <c r="AZ331" s="96">
        <v>60.605000000000004</v>
      </c>
      <c r="BA331" s="96"/>
      <c r="BB331" s="96">
        <v>79</v>
      </c>
      <c r="BC331" s="96"/>
      <c r="BD331" s="97">
        <v>128.88</v>
      </c>
      <c r="BE331" s="142">
        <f t="shared" si="151"/>
        <v>5603</v>
      </c>
      <c r="BF331" s="88">
        <v>377</v>
      </c>
      <c r="BG331" s="98">
        <v>0</v>
      </c>
      <c r="BH331" s="98">
        <v>0</v>
      </c>
      <c r="BI331" s="98">
        <v>5226</v>
      </c>
      <c r="BJ331" s="98"/>
      <c r="BK331" s="98"/>
      <c r="BL331" s="97"/>
    </row>
    <row r="332" spans="1:64" outlineLevel="5" x14ac:dyDescent="0.3">
      <c r="A332" s="152">
        <f t="shared" si="135"/>
        <v>10</v>
      </c>
      <c r="B332" s="153">
        <f t="shared" si="120"/>
        <v>44475</v>
      </c>
      <c r="C332" s="138">
        <f t="shared" si="142"/>
        <v>38.5</v>
      </c>
      <c r="D332" s="84">
        <v>38</v>
      </c>
      <c r="E332" s="84">
        <v>39</v>
      </c>
      <c r="F332" s="84"/>
      <c r="G332" s="84"/>
      <c r="H332" s="84"/>
      <c r="I332" s="84"/>
      <c r="J332" s="84"/>
      <c r="K332" s="84"/>
      <c r="L332" s="140">
        <f t="shared" si="143"/>
        <v>7.6</v>
      </c>
      <c r="M332" s="86">
        <v>7.6</v>
      </c>
      <c r="N332" s="86">
        <v>7.51</v>
      </c>
      <c r="O332" s="86"/>
      <c r="P332" s="86"/>
      <c r="Q332" s="86"/>
      <c r="R332" s="86"/>
      <c r="S332" s="86"/>
      <c r="T332" s="86"/>
      <c r="U332" s="142">
        <f t="shared" si="144"/>
        <v>1384.1</v>
      </c>
      <c r="V332" s="88">
        <v>1427.3</v>
      </c>
      <c r="W332" s="88">
        <v>1340.8</v>
      </c>
      <c r="X332" s="88"/>
      <c r="Y332" s="88"/>
      <c r="Z332" s="88"/>
      <c r="AA332" s="88"/>
      <c r="AB332" s="88"/>
      <c r="AC332" s="88"/>
      <c r="AD332" s="142" t="str">
        <f t="shared" si="145"/>
        <v/>
      </c>
      <c r="AE332" s="88"/>
      <c r="AF332" s="88"/>
      <c r="AG332" s="88"/>
      <c r="AH332" s="88"/>
      <c r="AI332" s="88"/>
      <c r="AJ332" s="88"/>
      <c r="AK332" s="88"/>
      <c r="AL332" s="88"/>
      <c r="AM332" s="88">
        <v>33.146067415730336</v>
      </c>
      <c r="AN332" s="88">
        <v>142.4</v>
      </c>
      <c r="AO332" s="89" t="s">
        <v>56</v>
      </c>
      <c r="AP332" s="90"/>
      <c r="AQ332" s="146" t="str">
        <f t="shared" si="146"/>
        <v/>
      </c>
      <c r="AR332" s="146" t="str">
        <f t="shared" si="147"/>
        <v/>
      </c>
      <c r="AS332" s="147">
        <v>40</v>
      </c>
      <c r="AT332" s="148">
        <v>16.600000000000001</v>
      </c>
      <c r="AU332" s="149">
        <v>8.9</v>
      </c>
      <c r="AV332" s="146">
        <f t="shared" si="148"/>
        <v>53.614457831325304</v>
      </c>
      <c r="AW332" s="146">
        <f t="shared" si="149"/>
        <v>46.385542168674696</v>
      </c>
      <c r="AX332" s="138" t="str">
        <f t="shared" si="150"/>
        <v/>
      </c>
      <c r="AY332" s="95">
        <v>74.550000000000011</v>
      </c>
      <c r="AZ332" s="96">
        <v>61.155000000000001</v>
      </c>
      <c r="BA332" s="96"/>
      <c r="BB332" s="96">
        <v>73.5</v>
      </c>
      <c r="BC332" s="96"/>
      <c r="BD332" s="97">
        <v>142.4</v>
      </c>
      <c r="BE332" s="142">
        <f t="shared" si="151"/>
        <v>5805</v>
      </c>
      <c r="BF332" s="88">
        <v>2</v>
      </c>
      <c r="BG332" s="98">
        <v>598</v>
      </c>
      <c r="BH332" s="98">
        <v>0</v>
      </c>
      <c r="BI332" s="98">
        <v>5205</v>
      </c>
      <c r="BJ332" s="98"/>
      <c r="BK332" s="98"/>
      <c r="BL332" s="97"/>
    </row>
    <row r="333" spans="1:64" outlineLevel="5" x14ac:dyDescent="0.3">
      <c r="A333" s="152">
        <f t="shared" si="135"/>
        <v>10</v>
      </c>
      <c r="B333" s="153">
        <f t="shared" si="120"/>
        <v>44476</v>
      </c>
      <c r="C333" s="138">
        <f t="shared" si="142"/>
        <v>39</v>
      </c>
      <c r="D333" s="84">
        <v>39</v>
      </c>
      <c r="E333" s="84">
        <v>39</v>
      </c>
      <c r="F333" s="84"/>
      <c r="G333" s="84"/>
      <c r="H333" s="84"/>
      <c r="I333" s="84"/>
      <c r="J333" s="84"/>
      <c r="K333" s="84"/>
      <c r="L333" s="140">
        <f t="shared" si="143"/>
        <v>7.6</v>
      </c>
      <c r="M333" s="86">
        <v>7.58</v>
      </c>
      <c r="N333" s="86">
        <v>7.54</v>
      </c>
      <c r="O333" s="86"/>
      <c r="P333" s="86"/>
      <c r="Q333" s="86"/>
      <c r="R333" s="86"/>
      <c r="S333" s="86"/>
      <c r="T333" s="86"/>
      <c r="U333" s="142">
        <f t="shared" si="144"/>
        <v>1431</v>
      </c>
      <c r="V333" s="88">
        <v>1510</v>
      </c>
      <c r="W333" s="88">
        <v>1352</v>
      </c>
      <c r="X333" s="88"/>
      <c r="Y333" s="88"/>
      <c r="Z333" s="88"/>
      <c r="AA333" s="88"/>
      <c r="AB333" s="88"/>
      <c r="AC333" s="88"/>
      <c r="AD333" s="142" t="str">
        <f t="shared" si="145"/>
        <v/>
      </c>
      <c r="AE333" s="88"/>
      <c r="AF333" s="88"/>
      <c r="AG333" s="88"/>
      <c r="AH333" s="88"/>
      <c r="AI333" s="88"/>
      <c r="AJ333" s="88"/>
      <c r="AK333" s="88"/>
      <c r="AL333" s="88"/>
      <c r="AM333" s="88">
        <v>36.515550054154417</v>
      </c>
      <c r="AN333" s="88">
        <v>129.26</v>
      </c>
      <c r="AO333" s="89" t="s">
        <v>56</v>
      </c>
      <c r="AP333" s="90"/>
      <c r="AQ333" s="146" t="str">
        <f t="shared" si="146"/>
        <v/>
      </c>
      <c r="AR333" s="146" t="str">
        <f t="shared" si="147"/>
        <v/>
      </c>
      <c r="AS333" s="147">
        <v>42</v>
      </c>
      <c r="AT333" s="148">
        <v>15.399999999999999</v>
      </c>
      <c r="AU333" s="149">
        <v>8.35</v>
      </c>
      <c r="AV333" s="146">
        <f t="shared" si="148"/>
        <v>54.220779220779228</v>
      </c>
      <c r="AW333" s="146">
        <f t="shared" si="149"/>
        <v>45.779220779220772</v>
      </c>
      <c r="AX333" s="138" t="str">
        <f t="shared" si="150"/>
        <v/>
      </c>
      <c r="AY333" s="95">
        <v>74.45</v>
      </c>
      <c r="AZ333" s="96">
        <v>61.164999999999999</v>
      </c>
      <c r="BA333" s="96"/>
      <c r="BB333" s="96">
        <v>73.5</v>
      </c>
      <c r="BC333" s="96"/>
      <c r="BD333" s="97">
        <v>129.26</v>
      </c>
      <c r="BE333" s="142">
        <f t="shared" si="151"/>
        <v>6151</v>
      </c>
      <c r="BF333" s="88">
        <v>344</v>
      </c>
      <c r="BG333" s="98">
        <v>866</v>
      </c>
      <c r="BH333" s="98">
        <v>62</v>
      </c>
      <c r="BI333" s="98">
        <v>4879</v>
      </c>
      <c r="BJ333" s="98"/>
      <c r="BK333" s="98"/>
      <c r="BL333" s="97"/>
    </row>
    <row r="334" spans="1:64" outlineLevel="5" x14ac:dyDescent="0.3">
      <c r="A334" s="152">
        <f t="shared" si="135"/>
        <v>10</v>
      </c>
      <c r="B334" s="153">
        <f t="shared" si="120"/>
        <v>44477</v>
      </c>
      <c r="C334" s="138">
        <f t="shared" si="142"/>
        <v>38</v>
      </c>
      <c r="D334" s="84">
        <v>38</v>
      </c>
      <c r="E334" s="84">
        <v>38</v>
      </c>
      <c r="F334" s="84"/>
      <c r="G334" s="84"/>
      <c r="H334" s="84"/>
      <c r="I334" s="84"/>
      <c r="J334" s="84"/>
      <c r="K334" s="84"/>
      <c r="L334" s="140" t="str">
        <f t="shared" si="143"/>
        <v/>
      </c>
      <c r="M334" s="86" t="s">
        <v>56</v>
      </c>
      <c r="N334" s="86" t="s">
        <v>56</v>
      </c>
      <c r="O334" s="86"/>
      <c r="P334" s="86"/>
      <c r="Q334" s="86"/>
      <c r="R334" s="86"/>
      <c r="S334" s="86"/>
      <c r="T334" s="86"/>
      <c r="U334" s="142" t="str">
        <f t="shared" si="144"/>
        <v/>
      </c>
      <c r="V334" s="88" t="s">
        <v>56</v>
      </c>
      <c r="W334" s="88" t="s">
        <v>56</v>
      </c>
      <c r="X334" s="88"/>
      <c r="Y334" s="88"/>
      <c r="Z334" s="88"/>
      <c r="AA334" s="88"/>
      <c r="AB334" s="88"/>
      <c r="AC334" s="88"/>
      <c r="AD334" s="142" t="str">
        <f t="shared" si="145"/>
        <v/>
      </c>
      <c r="AE334" s="88"/>
      <c r="AF334" s="88"/>
      <c r="AG334" s="88"/>
      <c r="AH334" s="88"/>
      <c r="AI334" s="88"/>
      <c r="AJ334" s="88"/>
      <c r="AK334" s="88"/>
      <c r="AL334" s="88"/>
      <c r="AM334" s="88">
        <v>37.318153067678686</v>
      </c>
      <c r="AN334" s="88">
        <v>126.48</v>
      </c>
      <c r="AO334" s="89" t="s">
        <v>56</v>
      </c>
      <c r="AP334" s="90"/>
      <c r="AQ334" s="146" t="str">
        <f t="shared" si="146"/>
        <v/>
      </c>
      <c r="AR334" s="146" t="str">
        <f t="shared" si="147"/>
        <v/>
      </c>
      <c r="AS334" s="147">
        <v>21</v>
      </c>
      <c r="AT334" s="148" t="s">
        <v>56</v>
      </c>
      <c r="AU334" s="149" t="s">
        <v>56</v>
      </c>
      <c r="AV334" s="146" t="str">
        <f t="shared" si="148"/>
        <v/>
      </c>
      <c r="AW334" s="146" t="str">
        <f t="shared" si="149"/>
        <v/>
      </c>
      <c r="AX334" s="138" t="str">
        <f t="shared" si="150"/>
        <v/>
      </c>
      <c r="AY334" s="95" t="s">
        <v>56</v>
      </c>
      <c r="AZ334" s="96">
        <v>62.475000000000001</v>
      </c>
      <c r="BA334" s="96"/>
      <c r="BB334" s="96">
        <v>74.5</v>
      </c>
      <c r="BC334" s="96"/>
      <c r="BD334" s="97">
        <v>126.48</v>
      </c>
      <c r="BE334" s="142">
        <f t="shared" si="151"/>
        <v>7045</v>
      </c>
      <c r="BF334" s="88">
        <v>0</v>
      </c>
      <c r="BG334" s="98">
        <v>1121</v>
      </c>
      <c r="BH334" s="98">
        <v>807</v>
      </c>
      <c r="BI334" s="98">
        <v>5117</v>
      </c>
      <c r="BJ334" s="98"/>
      <c r="BK334" s="98"/>
      <c r="BL334" s="97"/>
    </row>
    <row r="335" spans="1:64" outlineLevel="5" x14ac:dyDescent="0.3">
      <c r="A335" s="152">
        <f t="shared" si="135"/>
        <v>10</v>
      </c>
      <c r="B335" s="153">
        <f t="shared" si="120"/>
        <v>44478</v>
      </c>
      <c r="C335" s="138">
        <f t="shared" si="142"/>
        <v>38</v>
      </c>
      <c r="D335" s="84">
        <v>38</v>
      </c>
      <c r="E335" s="84">
        <v>38</v>
      </c>
      <c r="F335" s="84"/>
      <c r="G335" s="84"/>
      <c r="H335" s="84"/>
      <c r="I335" s="84"/>
      <c r="J335" s="84"/>
      <c r="K335" s="84"/>
      <c r="L335" s="140" t="str">
        <f t="shared" si="143"/>
        <v/>
      </c>
      <c r="M335" s="86"/>
      <c r="N335" s="86"/>
      <c r="O335" s="86"/>
      <c r="P335" s="86"/>
      <c r="Q335" s="86"/>
      <c r="R335" s="86"/>
      <c r="S335" s="86"/>
      <c r="T335" s="86"/>
      <c r="U335" s="142" t="str">
        <f t="shared" si="144"/>
        <v/>
      </c>
      <c r="V335" s="88"/>
      <c r="W335" s="88"/>
      <c r="X335" s="88"/>
      <c r="Y335" s="88"/>
      <c r="Z335" s="88"/>
      <c r="AA335" s="88"/>
      <c r="AB335" s="88"/>
      <c r="AC335" s="88"/>
      <c r="AD335" s="142" t="str">
        <f t="shared" si="145"/>
        <v/>
      </c>
      <c r="AE335" s="88"/>
      <c r="AF335" s="88"/>
      <c r="AG335" s="88"/>
      <c r="AH335" s="88"/>
      <c r="AI335" s="88"/>
      <c r="AJ335" s="88"/>
      <c r="AK335" s="88"/>
      <c r="AL335" s="88"/>
      <c r="AM335" s="88">
        <v>47.389558232931726</v>
      </c>
      <c r="AN335" s="88">
        <v>99.6</v>
      </c>
      <c r="AO335" s="89"/>
      <c r="AP335" s="90"/>
      <c r="AQ335" s="146" t="str">
        <f t="shared" si="146"/>
        <v/>
      </c>
      <c r="AR335" s="146" t="str">
        <f t="shared" si="147"/>
        <v/>
      </c>
      <c r="AS335" s="147">
        <v>10</v>
      </c>
      <c r="AT335" s="148" t="s">
        <v>56</v>
      </c>
      <c r="AU335" s="149" t="s">
        <v>56</v>
      </c>
      <c r="AV335" s="146" t="str">
        <f t="shared" si="148"/>
        <v/>
      </c>
      <c r="AW335" s="146" t="str">
        <f t="shared" si="149"/>
        <v/>
      </c>
      <c r="AX335" s="138" t="str">
        <f t="shared" si="150"/>
        <v/>
      </c>
      <c r="AY335" s="95" t="s">
        <v>56</v>
      </c>
      <c r="AZ335" s="96">
        <v>62.13</v>
      </c>
      <c r="BA335" s="96"/>
      <c r="BB335" s="96">
        <v>75</v>
      </c>
      <c r="BC335" s="96"/>
      <c r="BD335" s="97">
        <v>99.6</v>
      </c>
      <c r="BE335" s="142">
        <f t="shared" si="151"/>
        <v>6841</v>
      </c>
      <c r="BF335" s="88">
        <v>162</v>
      </c>
      <c r="BG335" s="98">
        <v>1121</v>
      </c>
      <c r="BH335" s="98">
        <v>382</v>
      </c>
      <c r="BI335" s="98">
        <v>5176</v>
      </c>
      <c r="BJ335" s="98"/>
      <c r="BK335" s="98"/>
      <c r="BL335" s="97"/>
    </row>
    <row r="336" spans="1:64" outlineLevel="5" x14ac:dyDescent="0.3">
      <c r="A336" s="152">
        <f t="shared" si="135"/>
        <v>10</v>
      </c>
      <c r="B336" s="153">
        <f t="shared" si="120"/>
        <v>44479</v>
      </c>
      <c r="C336" s="138">
        <f t="shared" si="142"/>
        <v>38</v>
      </c>
      <c r="D336" s="84">
        <v>38</v>
      </c>
      <c r="E336" s="84">
        <v>38</v>
      </c>
      <c r="F336" s="84"/>
      <c r="G336" s="84"/>
      <c r="H336" s="84"/>
      <c r="I336" s="84"/>
      <c r="J336" s="84"/>
      <c r="K336" s="84"/>
      <c r="L336" s="140" t="str">
        <f t="shared" si="143"/>
        <v/>
      </c>
      <c r="M336" s="86"/>
      <c r="N336" s="86"/>
      <c r="O336" s="86"/>
      <c r="P336" s="86"/>
      <c r="Q336" s="86"/>
      <c r="R336" s="86"/>
      <c r="S336" s="86"/>
      <c r="T336" s="86"/>
      <c r="U336" s="142" t="str">
        <f t="shared" si="144"/>
        <v/>
      </c>
      <c r="V336" s="88"/>
      <c r="W336" s="88"/>
      <c r="X336" s="88"/>
      <c r="Y336" s="88"/>
      <c r="Z336" s="88"/>
      <c r="AA336" s="88"/>
      <c r="AB336" s="88"/>
      <c r="AC336" s="88"/>
      <c r="AD336" s="142" t="str">
        <f t="shared" si="145"/>
        <v/>
      </c>
      <c r="AE336" s="88"/>
      <c r="AF336" s="88"/>
      <c r="AG336" s="88"/>
      <c r="AH336" s="88"/>
      <c r="AI336" s="88"/>
      <c r="AJ336" s="88"/>
      <c r="AK336" s="88"/>
      <c r="AL336" s="88"/>
      <c r="AM336" s="88">
        <v>47.2</v>
      </c>
      <c r="AN336" s="88">
        <v>100</v>
      </c>
      <c r="AO336" s="89"/>
      <c r="AP336" s="90"/>
      <c r="AQ336" s="146" t="str">
        <f t="shared" si="146"/>
        <v/>
      </c>
      <c r="AR336" s="146" t="str">
        <f t="shared" si="147"/>
        <v/>
      </c>
      <c r="AS336" s="147">
        <v>10</v>
      </c>
      <c r="AT336" s="148" t="s">
        <v>56</v>
      </c>
      <c r="AU336" s="149" t="s">
        <v>56</v>
      </c>
      <c r="AV336" s="146" t="str">
        <f t="shared" si="148"/>
        <v/>
      </c>
      <c r="AW336" s="146" t="str">
        <f t="shared" si="149"/>
        <v/>
      </c>
      <c r="AX336" s="138" t="str">
        <f t="shared" si="150"/>
        <v/>
      </c>
      <c r="AY336" s="95" t="s">
        <v>56</v>
      </c>
      <c r="AZ336" s="96">
        <v>62.454999999999998</v>
      </c>
      <c r="BA336" s="96"/>
      <c r="BB336" s="96">
        <v>74</v>
      </c>
      <c r="BC336" s="96"/>
      <c r="BD336" s="97">
        <v>100</v>
      </c>
      <c r="BE336" s="142">
        <f t="shared" si="151"/>
        <v>5301</v>
      </c>
      <c r="BF336" s="88">
        <v>138</v>
      </c>
      <c r="BG336" s="98">
        <v>0</v>
      </c>
      <c r="BH336" s="98">
        <v>2</v>
      </c>
      <c r="BI336" s="98">
        <v>5161</v>
      </c>
      <c r="BJ336" s="98"/>
      <c r="BK336" s="98"/>
      <c r="BL336" s="97"/>
    </row>
    <row r="337" spans="1:64" outlineLevel="5" x14ac:dyDescent="0.3">
      <c r="A337" s="152">
        <f t="shared" si="135"/>
        <v>10</v>
      </c>
      <c r="B337" s="153">
        <f t="shared" si="120"/>
        <v>44480</v>
      </c>
      <c r="C337" s="138">
        <f t="shared" si="142"/>
        <v>37.5</v>
      </c>
      <c r="D337" s="84">
        <v>38</v>
      </c>
      <c r="E337" s="84">
        <v>37</v>
      </c>
      <c r="F337" s="84"/>
      <c r="G337" s="84"/>
      <c r="H337" s="84"/>
      <c r="I337" s="84"/>
      <c r="J337" s="84"/>
      <c r="K337" s="84"/>
      <c r="L337" s="140" t="str">
        <f t="shared" si="143"/>
        <v/>
      </c>
      <c r="M337" s="86"/>
      <c r="N337" s="86"/>
      <c r="O337" s="86"/>
      <c r="P337" s="86"/>
      <c r="Q337" s="86"/>
      <c r="R337" s="86"/>
      <c r="S337" s="86"/>
      <c r="T337" s="86"/>
      <c r="U337" s="142" t="str">
        <f t="shared" si="144"/>
        <v/>
      </c>
      <c r="V337" s="88"/>
      <c r="W337" s="88"/>
      <c r="X337" s="88"/>
      <c r="Y337" s="88"/>
      <c r="Z337" s="88"/>
      <c r="AA337" s="88"/>
      <c r="AB337" s="88"/>
      <c r="AC337" s="88"/>
      <c r="AD337" s="142" t="str">
        <f t="shared" si="145"/>
        <v/>
      </c>
      <c r="AE337" s="88"/>
      <c r="AF337" s="88"/>
      <c r="AG337" s="88"/>
      <c r="AH337" s="88"/>
      <c r="AI337" s="88"/>
      <c r="AJ337" s="88"/>
      <c r="AK337" s="88"/>
      <c r="AL337" s="88"/>
      <c r="AM337" s="88">
        <v>42.13533297625424</v>
      </c>
      <c r="AN337" s="88">
        <v>112.02</v>
      </c>
      <c r="AO337" s="89"/>
      <c r="AP337" s="90"/>
      <c r="AQ337" s="146" t="str">
        <f t="shared" si="146"/>
        <v/>
      </c>
      <c r="AR337" s="146" t="str">
        <f t="shared" si="147"/>
        <v/>
      </c>
      <c r="AS337" s="147">
        <v>10</v>
      </c>
      <c r="AT337" s="148" t="s">
        <v>56</v>
      </c>
      <c r="AU337" s="149" t="s">
        <v>56</v>
      </c>
      <c r="AV337" s="146" t="str">
        <f t="shared" si="148"/>
        <v/>
      </c>
      <c r="AW337" s="146" t="str">
        <f t="shared" si="149"/>
        <v/>
      </c>
      <c r="AX337" s="138" t="str">
        <f t="shared" si="150"/>
        <v/>
      </c>
      <c r="AY337" s="95" t="s">
        <v>56</v>
      </c>
      <c r="AZ337" s="96">
        <v>61.41</v>
      </c>
      <c r="BA337" s="96"/>
      <c r="BB337" s="96">
        <v>80</v>
      </c>
      <c r="BC337" s="96"/>
      <c r="BD337" s="97">
        <v>112.02</v>
      </c>
      <c r="BE337" s="142">
        <f t="shared" si="151"/>
        <v>7426</v>
      </c>
      <c r="BF337" s="88">
        <v>0</v>
      </c>
      <c r="BG337" s="98">
        <v>361</v>
      </c>
      <c r="BH337" s="98">
        <v>1878</v>
      </c>
      <c r="BI337" s="98">
        <v>5187</v>
      </c>
      <c r="BJ337" s="98"/>
      <c r="BK337" s="98"/>
      <c r="BL337" s="97"/>
    </row>
    <row r="338" spans="1:64" outlineLevel="5" x14ac:dyDescent="0.3">
      <c r="A338" s="152">
        <f t="shared" si="135"/>
        <v>10</v>
      </c>
      <c r="B338" s="153">
        <f t="shared" si="120"/>
        <v>44481</v>
      </c>
      <c r="C338" s="138">
        <f t="shared" si="142"/>
        <v>38</v>
      </c>
      <c r="D338" s="84">
        <v>38</v>
      </c>
      <c r="E338" s="84">
        <v>38</v>
      </c>
      <c r="F338" s="84"/>
      <c r="G338" s="84"/>
      <c r="H338" s="84"/>
      <c r="I338" s="84"/>
      <c r="J338" s="84"/>
      <c r="K338" s="84"/>
      <c r="L338" s="140" t="str">
        <f t="shared" si="143"/>
        <v/>
      </c>
      <c r="M338" s="86" t="s">
        <v>56</v>
      </c>
      <c r="N338" s="86" t="s">
        <v>56</v>
      </c>
      <c r="O338" s="86"/>
      <c r="P338" s="86"/>
      <c r="Q338" s="86"/>
      <c r="R338" s="86"/>
      <c r="S338" s="86"/>
      <c r="T338" s="86"/>
      <c r="U338" s="142" t="str">
        <f t="shared" si="144"/>
        <v/>
      </c>
      <c r="V338" s="88" t="s">
        <v>56</v>
      </c>
      <c r="W338" s="88" t="s">
        <v>56</v>
      </c>
      <c r="X338" s="88"/>
      <c r="Y338" s="88"/>
      <c r="Z338" s="88"/>
      <c r="AA338" s="88"/>
      <c r="AB338" s="88"/>
      <c r="AC338" s="88"/>
      <c r="AD338" s="142" t="str">
        <f t="shared" si="145"/>
        <v/>
      </c>
      <c r="AE338" s="88"/>
      <c r="AF338" s="88"/>
      <c r="AG338" s="88"/>
      <c r="AH338" s="88"/>
      <c r="AI338" s="88"/>
      <c r="AJ338" s="88"/>
      <c r="AK338" s="88"/>
      <c r="AL338" s="88"/>
      <c r="AM338" s="88">
        <v>36.617532971295574</v>
      </c>
      <c r="AN338" s="88">
        <v>128.9</v>
      </c>
      <c r="AO338" s="89" t="s">
        <v>56</v>
      </c>
      <c r="AP338" s="90"/>
      <c r="AQ338" s="146" t="str">
        <f t="shared" si="146"/>
        <v/>
      </c>
      <c r="AR338" s="146" t="str">
        <f t="shared" si="147"/>
        <v/>
      </c>
      <c r="AS338" s="147">
        <v>40</v>
      </c>
      <c r="AT338" s="148" t="s">
        <v>56</v>
      </c>
      <c r="AU338" s="149" t="s">
        <v>56</v>
      </c>
      <c r="AV338" s="146" t="str">
        <f t="shared" si="148"/>
        <v/>
      </c>
      <c r="AW338" s="146" t="str">
        <f t="shared" si="149"/>
        <v/>
      </c>
      <c r="AX338" s="138" t="str">
        <f t="shared" si="150"/>
        <v/>
      </c>
      <c r="AY338" s="95" t="s">
        <v>56</v>
      </c>
      <c r="AZ338" s="96">
        <v>60.625</v>
      </c>
      <c r="BA338" s="96"/>
      <c r="BB338" s="96">
        <v>81</v>
      </c>
      <c r="BC338" s="96"/>
      <c r="BD338" s="97">
        <v>128.9</v>
      </c>
      <c r="BE338" s="142">
        <f t="shared" si="151"/>
        <v>6899</v>
      </c>
      <c r="BF338" s="88">
        <v>162</v>
      </c>
      <c r="BG338" s="98">
        <v>0</v>
      </c>
      <c r="BH338" s="98">
        <v>2155</v>
      </c>
      <c r="BI338" s="98">
        <v>4582</v>
      </c>
      <c r="BJ338" s="98"/>
      <c r="BK338" s="98"/>
      <c r="BL338" s="97"/>
    </row>
    <row r="339" spans="1:64" outlineLevel="5" x14ac:dyDescent="0.3">
      <c r="A339" s="152">
        <f t="shared" si="135"/>
        <v>10</v>
      </c>
      <c r="B339" s="153">
        <f t="shared" si="120"/>
        <v>44482</v>
      </c>
      <c r="C339" s="138">
        <f t="shared" si="142"/>
        <v>38.5</v>
      </c>
      <c r="D339" s="84">
        <v>38</v>
      </c>
      <c r="E339" s="84">
        <v>39</v>
      </c>
      <c r="F339" s="84"/>
      <c r="G339" s="84"/>
      <c r="H339" s="84"/>
      <c r="I339" s="84"/>
      <c r="J339" s="84"/>
      <c r="K339" s="84"/>
      <c r="L339" s="140">
        <f t="shared" si="143"/>
        <v>7.5</v>
      </c>
      <c r="M339" s="86">
        <v>7.52</v>
      </c>
      <c r="N339" s="86">
        <v>7.49</v>
      </c>
      <c r="O339" s="86"/>
      <c r="P339" s="86"/>
      <c r="Q339" s="86"/>
      <c r="R339" s="86"/>
      <c r="S339" s="86"/>
      <c r="T339" s="86"/>
      <c r="U339" s="142">
        <f t="shared" si="144"/>
        <v>1411.5</v>
      </c>
      <c r="V339" s="88">
        <v>1498</v>
      </c>
      <c r="W339" s="88">
        <v>1325</v>
      </c>
      <c r="X339" s="88"/>
      <c r="Y339" s="88"/>
      <c r="Z339" s="88"/>
      <c r="AA339" s="88"/>
      <c r="AB339" s="88"/>
      <c r="AC339" s="88"/>
      <c r="AD339" s="142" t="str">
        <f t="shared" si="145"/>
        <v/>
      </c>
      <c r="AE339" s="88"/>
      <c r="AF339" s="88"/>
      <c r="AG339" s="88"/>
      <c r="AH339" s="88"/>
      <c r="AI339" s="88"/>
      <c r="AJ339" s="88"/>
      <c r="AK339" s="88"/>
      <c r="AL339" s="88"/>
      <c r="AM339" s="88">
        <v>37.932974363095717</v>
      </c>
      <c r="AN339" s="88">
        <v>124.43</v>
      </c>
      <c r="AO339" s="89" t="s">
        <v>56</v>
      </c>
      <c r="AP339" s="90"/>
      <c r="AQ339" s="146" t="str">
        <f t="shared" si="146"/>
        <v/>
      </c>
      <c r="AR339" s="146" t="str">
        <f t="shared" si="147"/>
        <v/>
      </c>
      <c r="AS339" s="147">
        <v>31</v>
      </c>
      <c r="AT339" s="148">
        <v>16.399999999999999</v>
      </c>
      <c r="AU339" s="149">
        <v>8.85</v>
      </c>
      <c r="AV339" s="146">
        <f t="shared" si="148"/>
        <v>53.963414634146346</v>
      </c>
      <c r="AW339" s="146">
        <f t="shared" si="149"/>
        <v>46.036585365853654</v>
      </c>
      <c r="AX339" s="138" t="str">
        <f t="shared" si="150"/>
        <v/>
      </c>
      <c r="AY339" s="95">
        <v>78.449999999999989</v>
      </c>
      <c r="AZ339" s="96">
        <v>61.064999999999998</v>
      </c>
      <c r="BA339" s="96"/>
      <c r="BB339" s="96">
        <v>78</v>
      </c>
      <c r="BC339" s="96"/>
      <c r="BD339" s="97">
        <v>124.43</v>
      </c>
      <c r="BE339" s="142">
        <f t="shared" si="151"/>
        <v>3645</v>
      </c>
      <c r="BF339" s="88">
        <v>309</v>
      </c>
      <c r="BG339" s="98">
        <v>0</v>
      </c>
      <c r="BH339" s="98">
        <v>0</v>
      </c>
      <c r="BI339" s="98">
        <v>3336</v>
      </c>
      <c r="BJ339" s="98"/>
      <c r="BK339" s="98"/>
      <c r="BL339" s="97"/>
    </row>
    <row r="340" spans="1:64" outlineLevel="5" x14ac:dyDescent="0.3">
      <c r="A340" s="152">
        <f t="shared" si="135"/>
        <v>10</v>
      </c>
      <c r="B340" s="153">
        <f t="shared" si="120"/>
        <v>44483</v>
      </c>
      <c r="C340" s="138">
        <f t="shared" si="142"/>
        <v>38</v>
      </c>
      <c r="D340" s="84">
        <v>38</v>
      </c>
      <c r="E340" s="84">
        <v>38</v>
      </c>
      <c r="F340" s="84"/>
      <c r="G340" s="84"/>
      <c r="H340" s="84"/>
      <c r="I340" s="84"/>
      <c r="J340" s="84"/>
      <c r="K340" s="84"/>
      <c r="L340" s="140">
        <f t="shared" si="143"/>
        <v>7.5</v>
      </c>
      <c r="M340" s="86">
        <v>7.56</v>
      </c>
      <c r="N340" s="86">
        <v>7.51</v>
      </c>
      <c r="O340" s="86"/>
      <c r="P340" s="86"/>
      <c r="Q340" s="86"/>
      <c r="R340" s="86"/>
      <c r="S340" s="86"/>
      <c r="T340" s="86"/>
      <c r="U340" s="142">
        <f t="shared" si="144"/>
        <v>2400.4</v>
      </c>
      <c r="V340" s="88">
        <v>3140</v>
      </c>
      <c r="W340" s="88">
        <v>1660.8</v>
      </c>
      <c r="X340" s="88"/>
      <c r="Y340" s="88"/>
      <c r="Z340" s="88"/>
      <c r="AA340" s="88"/>
      <c r="AB340" s="88"/>
      <c r="AC340" s="88"/>
      <c r="AD340" s="142" t="str">
        <f t="shared" si="145"/>
        <v/>
      </c>
      <c r="AE340" s="88"/>
      <c r="AF340" s="88"/>
      <c r="AG340" s="88"/>
      <c r="AH340" s="88"/>
      <c r="AI340" s="88"/>
      <c r="AJ340" s="88"/>
      <c r="AK340" s="88"/>
      <c r="AL340" s="88"/>
      <c r="AM340" s="88">
        <v>36.976106541323929</v>
      </c>
      <c r="AN340" s="88">
        <v>127.65</v>
      </c>
      <c r="AO340" s="89" t="s">
        <v>56</v>
      </c>
      <c r="AP340" s="90"/>
      <c r="AQ340" s="146" t="str">
        <f t="shared" si="146"/>
        <v/>
      </c>
      <c r="AR340" s="146" t="str">
        <f t="shared" si="147"/>
        <v/>
      </c>
      <c r="AS340" s="147">
        <v>10</v>
      </c>
      <c r="AT340" s="148">
        <v>15.600000000000001</v>
      </c>
      <c r="AU340" s="149">
        <v>8.5</v>
      </c>
      <c r="AV340" s="146">
        <f t="shared" si="148"/>
        <v>54.487179487179482</v>
      </c>
      <c r="AW340" s="146">
        <f t="shared" si="149"/>
        <v>45.512820512820518</v>
      </c>
      <c r="AX340" s="138" t="str">
        <f t="shared" si="150"/>
        <v/>
      </c>
      <c r="AY340" s="95">
        <v>75.900000000000006</v>
      </c>
      <c r="AZ340" s="96">
        <v>62.14</v>
      </c>
      <c r="BA340" s="96"/>
      <c r="BB340" s="96">
        <v>68.5</v>
      </c>
      <c r="BC340" s="96"/>
      <c r="BD340" s="97">
        <v>127.65</v>
      </c>
      <c r="BE340" s="142">
        <f t="shared" si="151"/>
        <v>8072</v>
      </c>
      <c r="BF340" s="88">
        <v>362</v>
      </c>
      <c r="BG340" s="98">
        <v>142</v>
      </c>
      <c r="BH340" s="98">
        <v>2390</v>
      </c>
      <c r="BI340" s="98">
        <v>5178</v>
      </c>
      <c r="BJ340" s="98"/>
      <c r="BK340" s="98"/>
      <c r="BL340" s="97"/>
    </row>
    <row r="341" spans="1:64" outlineLevel="5" x14ac:dyDescent="0.3">
      <c r="A341" s="152">
        <f t="shared" si="135"/>
        <v>10</v>
      </c>
      <c r="B341" s="153">
        <f t="shared" si="120"/>
        <v>44484</v>
      </c>
      <c r="C341" s="138">
        <f t="shared" si="142"/>
        <v>38</v>
      </c>
      <c r="D341" s="84">
        <v>38</v>
      </c>
      <c r="E341" s="84">
        <v>38</v>
      </c>
      <c r="F341" s="84"/>
      <c r="G341" s="84"/>
      <c r="H341" s="84"/>
      <c r="I341" s="84"/>
      <c r="J341" s="84"/>
      <c r="K341" s="84"/>
      <c r="L341" s="140" t="str">
        <f t="shared" si="143"/>
        <v/>
      </c>
      <c r="M341" s="86" t="s">
        <v>56</v>
      </c>
      <c r="N341" s="86" t="s">
        <v>56</v>
      </c>
      <c r="O341" s="86"/>
      <c r="P341" s="86"/>
      <c r="Q341" s="86"/>
      <c r="R341" s="86"/>
      <c r="S341" s="86"/>
      <c r="T341" s="86"/>
      <c r="U341" s="142" t="str">
        <f t="shared" si="144"/>
        <v/>
      </c>
      <c r="V341" s="88" t="s">
        <v>56</v>
      </c>
      <c r="W341" s="88" t="s">
        <v>56</v>
      </c>
      <c r="X341" s="88"/>
      <c r="Y341" s="88"/>
      <c r="Z341" s="88"/>
      <c r="AA341" s="88"/>
      <c r="AB341" s="88"/>
      <c r="AC341" s="88"/>
      <c r="AD341" s="142" t="str">
        <f t="shared" si="145"/>
        <v/>
      </c>
      <c r="AE341" s="88"/>
      <c r="AF341" s="88"/>
      <c r="AG341" s="88"/>
      <c r="AH341" s="88"/>
      <c r="AI341" s="88"/>
      <c r="AJ341" s="88"/>
      <c r="AK341" s="88"/>
      <c r="AL341" s="88"/>
      <c r="AM341" s="88">
        <v>37.896427137695703</v>
      </c>
      <c r="AN341" s="88">
        <v>124.55</v>
      </c>
      <c r="AO341" s="89" t="s">
        <v>56</v>
      </c>
      <c r="AP341" s="90"/>
      <c r="AQ341" s="146" t="str">
        <f t="shared" si="146"/>
        <v/>
      </c>
      <c r="AR341" s="146" t="str">
        <f t="shared" si="147"/>
        <v/>
      </c>
      <c r="AS341" s="147">
        <v>15</v>
      </c>
      <c r="AT341" s="148" t="s">
        <v>56</v>
      </c>
      <c r="AU341" s="149" t="s">
        <v>56</v>
      </c>
      <c r="AV341" s="146" t="str">
        <f t="shared" si="148"/>
        <v/>
      </c>
      <c r="AW341" s="146" t="str">
        <f t="shared" si="149"/>
        <v/>
      </c>
      <c r="AX341" s="138" t="str">
        <f t="shared" si="150"/>
        <v/>
      </c>
      <c r="AY341" s="95" t="s">
        <v>56</v>
      </c>
      <c r="AZ341" s="96">
        <v>62.314999999999998</v>
      </c>
      <c r="BA341" s="96"/>
      <c r="BB341" s="96">
        <v>73.5</v>
      </c>
      <c r="BC341" s="96"/>
      <c r="BD341" s="97">
        <v>124.55</v>
      </c>
      <c r="BE341" s="142">
        <f t="shared" si="151"/>
        <v>12287</v>
      </c>
      <c r="BF341" s="88">
        <v>396</v>
      </c>
      <c r="BG341" s="98">
        <v>810</v>
      </c>
      <c r="BH341" s="98">
        <v>5852</v>
      </c>
      <c r="BI341" s="98">
        <v>5229</v>
      </c>
      <c r="BJ341" s="98"/>
      <c r="BK341" s="98"/>
      <c r="BL341" s="97"/>
    </row>
    <row r="342" spans="1:64" outlineLevel="5" x14ac:dyDescent="0.3">
      <c r="A342" s="152">
        <f t="shared" si="135"/>
        <v>10</v>
      </c>
      <c r="B342" s="153">
        <f t="shared" si="120"/>
        <v>44485</v>
      </c>
      <c r="C342" s="138">
        <f t="shared" si="142"/>
        <v>38</v>
      </c>
      <c r="D342" s="84">
        <v>38</v>
      </c>
      <c r="E342" s="84">
        <v>38</v>
      </c>
      <c r="F342" s="84"/>
      <c r="G342" s="84"/>
      <c r="H342" s="84"/>
      <c r="I342" s="84"/>
      <c r="J342" s="84"/>
      <c r="K342" s="84"/>
      <c r="L342" s="140" t="str">
        <f t="shared" si="143"/>
        <v/>
      </c>
      <c r="M342" s="86"/>
      <c r="N342" s="86"/>
      <c r="O342" s="86"/>
      <c r="P342" s="86"/>
      <c r="Q342" s="86"/>
      <c r="R342" s="86"/>
      <c r="S342" s="86"/>
      <c r="T342" s="86"/>
      <c r="U342" s="142" t="str">
        <f t="shared" si="144"/>
        <v/>
      </c>
      <c r="V342" s="88"/>
      <c r="W342" s="88"/>
      <c r="X342" s="88"/>
      <c r="Y342" s="88"/>
      <c r="Z342" s="88"/>
      <c r="AA342" s="88"/>
      <c r="AB342" s="88"/>
      <c r="AC342" s="88"/>
      <c r="AD342" s="142" t="str">
        <f t="shared" si="145"/>
        <v/>
      </c>
      <c r="AE342" s="88"/>
      <c r="AF342" s="88"/>
      <c r="AG342" s="88"/>
      <c r="AH342" s="88"/>
      <c r="AI342" s="88"/>
      <c r="AJ342" s="88"/>
      <c r="AK342" s="88"/>
      <c r="AL342" s="88"/>
      <c r="AM342" s="88">
        <v>42.606968766925441</v>
      </c>
      <c r="AN342" s="88">
        <v>110.78</v>
      </c>
      <c r="AO342" s="89"/>
      <c r="AP342" s="90"/>
      <c r="AQ342" s="146" t="str">
        <f t="shared" si="146"/>
        <v/>
      </c>
      <c r="AR342" s="146" t="str">
        <f t="shared" si="147"/>
        <v/>
      </c>
      <c r="AS342" s="147">
        <v>10</v>
      </c>
      <c r="AT342" s="148" t="s">
        <v>56</v>
      </c>
      <c r="AU342" s="149" t="s">
        <v>56</v>
      </c>
      <c r="AV342" s="146" t="str">
        <f t="shared" si="148"/>
        <v/>
      </c>
      <c r="AW342" s="146" t="str">
        <f t="shared" si="149"/>
        <v/>
      </c>
      <c r="AX342" s="138" t="str">
        <f t="shared" si="150"/>
        <v/>
      </c>
      <c r="AY342" s="95" t="s">
        <v>56</v>
      </c>
      <c r="AZ342" s="96">
        <v>61.105000000000004</v>
      </c>
      <c r="BA342" s="96"/>
      <c r="BB342" s="96">
        <v>73</v>
      </c>
      <c r="BC342" s="96"/>
      <c r="BD342" s="97">
        <v>110.78</v>
      </c>
      <c r="BE342" s="142">
        <f t="shared" si="151"/>
        <v>8765</v>
      </c>
      <c r="BF342" s="88">
        <v>409</v>
      </c>
      <c r="BG342" s="98">
        <v>0</v>
      </c>
      <c r="BH342" s="98">
        <v>3272</v>
      </c>
      <c r="BI342" s="98">
        <v>5084</v>
      </c>
      <c r="BJ342" s="98"/>
      <c r="BK342" s="98"/>
      <c r="BL342" s="97"/>
    </row>
    <row r="343" spans="1:64" outlineLevel="5" x14ac:dyDescent="0.3">
      <c r="A343" s="152">
        <f t="shared" si="135"/>
        <v>10</v>
      </c>
      <c r="B343" s="153">
        <f t="shared" si="120"/>
        <v>44486</v>
      </c>
      <c r="C343" s="138">
        <f t="shared" si="142"/>
        <v>38</v>
      </c>
      <c r="D343" s="84">
        <v>38</v>
      </c>
      <c r="E343" s="84">
        <v>38</v>
      </c>
      <c r="F343" s="84"/>
      <c r="G343" s="84"/>
      <c r="H343" s="84"/>
      <c r="I343" s="84"/>
      <c r="J343" s="84"/>
      <c r="K343" s="84"/>
      <c r="L343" s="140" t="str">
        <f t="shared" si="143"/>
        <v/>
      </c>
      <c r="M343" s="86"/>
      <c r="N343" s="86"/>
      <c r="O343" s="86"/>
      <c r="P343" s="86"/>
      <c r="Q343" s="86"/>
      <c r="R343" s="86"/>
      <c r="S343" s="86"/>
      <c r="T343" s="86"/>
      <c r="U343" s="142" t="str">
        <f t="shared" si="144"/>
        <v/>
      </c>
      <c r="V343" s="88"/>
      <c r="W343" s="88"/>
      <c r="X343" s="88"/>
      <c r="Y343" s="88"/>
      <c r="Z343" s="88"/>
      <c r="AA343" s="88"/>
      <c r="AB343" s="88"/>
      <c r="AC343" s="88"/>
      <c r="AD343" s="142" t="str">
        <f t="shared" si="145"/>
        <v/>
      </c>
      <c r="AE343" s="88"/>
      <c r="AF343" s="88"/>
      <c r="AG343" s="88"/>
      <c r="AH343" s="88"/>
      <c r="AI343" s="88"/>
      <c r="AJ343" s="88"/>
      <c r="AK343" s="88"/>
      <c r="AL343" s="88"/>
      <c r="AM343" s="88">
        <v>47.2</v>
      </c>
      <c r="AN343" s="88">
        <v>100</v>
      </c>
      <c r="AO343" s="89"/>
      <c r="AP343" s="90"/>
      <c r="AQ343" s="146" t="str">
        <f t="shared" si="146"/>
        <v/>
      </c>
      <c r="AR343" s="146" t="str">
        <f t="shared" si="147"/>
        <v/>
      </c>
      <c r="AS343" s="147">
        <v>10</v>
      </c>
      <c r="AT343" s="148" t="s">
        <v>56</v>
      </c>
      <c r="AU343" s="149" t="s">
        <v>56</v>
      </c>
      <c r="AV343" s="146" t="str">
        <f t="shared" si="148"/>
        <v/>
      </c>
      <c r="AW343" s="146" t="str">
        <f t="shared" si="149"/>
        <v/>
      </c>
      <c r="AX343" s="138" t="str">
        <f t="shared" si="150"/>
        <v/>
      </c>
      <c r="AY343" s="95" t="s">
        <v>56</v>
      </c>
      <c r="AZ343" s="96">
        <v>61.56</v>
      </c>
      <c r="BA343" s="96"/>
      <c r="BB343" s="96">
        <v>61.5</v>
      </c>
      <c r="BC343" s="96"/>
      <c r="BD343" s="97">
        <v>100</v>
      </c>
      <c r="BE343" s="142">
        <f t="shared" si="151"/>
        <v>8190</v>
      </c>
      <c r="BF343" s="88">
        <v>236</v>
      </c>
      <c r="BG343" s="98">
        <v>0</v>
      </c>
      <c r="BH343" s="98">
        <v>3022</v>
      </c>
      <c r="BI343" s="98">
        <v>4932</v>
      </c>
      <c r="BJ343" s="98"/>
      <c r="BK343" s="98"/>
      <c r="BL343" s="97"/>
    </row>
    <row r="344" spans="1:64" outlineLevel="5" x14ac:dyDescent="0.3">
      <c r="A344" s="152">
        <f t="shared" si="135"/>
        <v>10</v>
      </c>
      <c r="B344" s="153">
        <f t="shared" si="120"/>
        <v>44487</v>
      </c>
      <c r="C344" s="138">
        <f t="shared" si="142"/>
        <v>39</v>
      </c>
      <c r="D344" s="84">
        <v>38</v>
      </c>
      <c r="E344" s="84">
        <v>40</v>
      </c>
      <c r="F344" s="84"/>
      <c r="G344" s="84"/>
      <c r="H344" s="84"/>
      <c r="I344" s="84"/>
      <c r="J344" s="84"/>
      <c r="K344" s="84"/>
      <c r="L344" s="140">
        <f t="shared" si="143"/>
        <v>7.6</v>
      </c>
      <c r="M344" s="86">
        <v>7.71</v>
      </c>
      <c r="N344" s="86">
        <v>7.56</v>
      </c>
      <c r="O344" s="86"/>
      <c r="P344" s="86"/>
      <c r="Q344" s="86"/>
      <c r="R344" s="86"/>
      <c r="S344" s="86"/>
      <c r="T344" s="86"/>
      <c r="U344" s="142">
        <f t="shared" si="144"/>
        <v>1250</v>
      </c>
      <c r="V344" s="88">
        <v>1350</v>
      </c>
      <c r="W344" s="88">
        <v>1150</v>
      </c>
      <c r="X344" s="88"/>
      <c r="Y344" s="88"/>
      <c r="Z344" s="88"/>
      <c r="AA344" s="88"/>
      <c r="AB344" s="88"/>
      <c r="AC344" s="88"/>
      <c r="AD344" s="142" t="str">
        <f t="shared" si="145"/>
        <v/>
      </c>
      <c r="AE344" s="88"/>
      <c r="AF344" s="88"/>
      <c r="AG344" s="88"/>
      <c r="AH344" s="88"/>
      <c r="AI344" s="88"/>
      <c r="AJ344" s="88"/>
      <c r="AK344" s="88"/>
      <c r="AL344" s="88"/>
      <c r="AM344" s="88">
        <v>71.10575474540525</v>
      </c>
      <c r="AN344" s="88">
        <v>66.38</v>
      </c>
      <c r="AO344" s="89">
        <v>17.600000000000001</v>
      </c>
      <c r="AP344" s="90">
        <v>14.572799999999999</v>
      </c>
      <c r="AQ344" s="146">
        <f t="shared" si="146"/>
        <v>82.799999999999983</v>
      </c>
      <c r="AR344" s="146">
        <f t="shared" si="147"/>
        <v>17.200000000000017</v>
      </c>
      <c r="AS344" s="147">
        <v>40</v>
      </c>
      <c r="AT344" s="148">
        <v>16.2</v>
      </c>
      <c r="AU344" s="149">
        <v>9.0500000000000007</v>
      </c>
      <c r="AV344" s="146">
        <f t="shared" si="148"/>
        <v>55.864197530864203</v>
      </c>
      <c r="AW344" s="146">
        <f t="shared" si="149"/>
        <v>44.135802469135797</v>
      </c>
      <c r="AX344" s="138">
        <f t="shared" si="150"/>
        <v>73.706969359143244</v>
      </c>
      <c r="AY344" s="95">
        <v>71.75</v>
      </c>
      <c r="AZ344" s="96">
        <v>62.540000000000006</v>
      </c>
      <c r="BA344" s="96"/>
      <c r="BB344" s="96">
        <v>47.5</v>
      </c>
      <c r="BC344" s="96"/>
      <c r="BD344" s="97">
        <v>66.38</v>
      </c>
      <c r="BE344" s="142">
        <f t="shared" si="151"/>
        <v>8056</v>
      </c>
      <c r="BF344" s="88">
        <v>156</v>
      </c>
      <c r="BG344" s="98">
        <v>361</v>
      </c>
      <c r="BH344" s="98">
        <v>2575</v>
      </c>
      <c r="BI344" s="98">
        <v>4964</v>
      </c>
      <c r="BJ344" s="98"/>
      <c r="BK344" s="98"/>
      <c r="BL344" s="97"/>
    </row>
    <row r="345" spans="1:64" outlineLevel="5" x14ac:dyDescent="0.3">
      <c r="A345" s="152">
        <f t="shared" si="135"/>
        <v>10</v>
      </c>
      <c r="B345" s="153">
        <f t="shared" si="120"/>
        <v>44488</v>
      </c>
      <c r="C345" s="138">
        <f t="shared" si="142"/>
        <v>37.5</v>
      </c>
      <c r="D345" s="84">
        <v>36</v>
      </c>
      <c r="E345" s="84">
        <v>39</v>
      </c>
      <c r="F345" s="84"/>
      <c r="G345" s="84"/>
      <c r="H345" s="84"/>
      <c r="I345" s="84"/>
      <c r="J345" s="84"/>
      <c r="K345" s="84"/>
      <c r="L345" s="140" t="str">
        <f t="shared" si="143"/>
        <v/>
      </c>
      <c r="M345" s="86" t="s">
        <v>56</v>
      </c>
      <c r="N345" s="86" t="s">
        <v>56</v>
      </c>
      <c r="O345" s="86"/>
      <c r="P345" s="86"/>
      <c r="Q345" s="86"/>
      <c r="R345" s="86"/>
      <c r="S345" s="86"/>
      <c r="T345" s="86"/>
      <c r="U345" s="142" t="str">
        <f t="shared" si="144"/>
        <v/>
      </c>
      <c r="V345" s="88" t="s">
        <v>56</v>
      </c>
      <c r="W345" s="88" t="s">
        <v>56</v>
      </c>
      <c r="X345" s="88"/>
      <c r="Y345" s="88"/>
      <c r="Z345" s="88"/>
      <c r="AA345" s="88"/>
      <c r="AB345" s="88"/>
      <c r="AC345" s="88"/>
      <c r="AD345" s="142" t="str">
        <f t="shared" si="145"/>
        <v/>
      </c>
      <c r="AE345" s="88"/>
      <c r="AF345" s="88"/>
      <c r="AG345" s="88"/>
      <c r="AH345" s="88"/>
      <c r="AI345" s="88"/>
      <c r="AJ345" s="88"/>
      <c r="AK345" s="88"/>
      <c r="AL345" s="88"/>
      <c r="AM345" s="88">
        <v>43.776664811723244</v>
      </c>
      <c r="AN345" s="88">
        <v>107.82</v>
      </c>
      <c r="AO345" s="89" t="s">
        <v>56</v>
      </c>
      <c r="AP345" s="90" t="s">
        <v>56</v>
      </c>
      <c r="AQ345" s="146" t="str">
        <f t="shared" si="146"/>
        <v/>
      </c>
      <c r="AR345" s="146" t="str">
        <f t="shared" si="147"/>
        <v/>
      </c>
      <c r="AS345" s="147">
        <v>40</v>
      </c>
      <c r="AT345" s="148" t="s">
        <v>56</v>
      </c>
      <c r="AU345" s="149" t="s">
        <v>56</v>
      </c>
      <c r="AV345" s="146" t="str">
        <f t="shared" si="148"/>
        <v/>
      </c>
      <c r="AW345" s="146" t="str">
        <f t="shared" si="149"/>
        <v/>
      </c>
      <c r="AX345" s="138" t="str">
        <f t="shared" si="150"/>
        <v/>
      </c>
      <c r="AY345" s="95" t="s">
        <v>56</v>
      </c>
      <c r="AZ345" s="96">
        <v>63.034999999999997</v>
      </c>
      <c r="BA345" s="96"/>
      <c r="BB345" s="96">
        <v>52.5</v>
      </c>
      <c r="BC345" s="96"/>
      <c r="BD345" s="97">
        <v>107.82</v>
      </c>
      <c r="BE345" s="142">
        <f t="shared" si="151"/>
        <v>8215</v>
      </c>
      <c r="BF345" s="88">
        <v>0</v>
      </c>
      <c r="BG345" s="98">
        <v>43</v>
      </c>
      <c r="BH345" s="98">
        <v>4055</v>
      </c>
      <c r="BI345" s="98">
        <v>4117</v>
      </c>
      <c r="BJ345" s="98"/>
      <c r="BK345" s="98"/>
      <c r="BL345" s="97"/>
    </row>
    <row r="346" spans="1:64" outlineLevel="5" x14ac:dyDescent="0.3">
      <c r="A346" s="152">
        <f t="shared" si="135"/>
        <v>10</v>
      </c>
      <c r="B346" s="153">
        <f t="shared" si="120"/>
        <v>44489</v>
      </c>
      <c r="C346" s="138">
        <f t="shared" si="142"/>
        <v>37.5</v>
      </c>
      <c r="D346" s="84">
        <v>36</v>
      </c>
      <c r="E346" s="84">
        <v>39</v>
      </c>
      <c r="F346" s="84"/>
      <c r="G346" s="84"/>
      <c r="H346" s="84"/>
      <c r="I346" s="84"/>
      <c r="J346" s="84"/>
      <c r="K346" s="84"/>
      <c r="L346" s="140">
        <f t="shared" si="143"/>
        <v>7.7</v>
      </c>
      <c r="M346" s="86">
        <v>7.71</v>
      </c>
      <c r="N346" s="86">
        <v>7.59</v>
      </c>
      <c r="O346" s="86"/>
      <c r="P346" s="86"/>
      <c r="Q346" s="86"/>
      <c r="R346" s="86"/>
      <c r="S346" s="86"/>
      <c r="T346" s="86"/>
      <c r="U346" s="142">
        <f t="shared" si="144"/>
        <v>1335</v>
      </c>
      <c r="V346" s="88">
        <v>1250</v>
      </c>
      <c r="W346" s="88">
        <v>1420</v>
      </c>
      <c r="X346" s="88"/>
      <c r="Y346" s="88"/>
      <c r="Z346" s="88"/>
      <c r="AA346" s="88"/>
      <c r="AB346" s="88"/>
      <c r="AC346" s="88"/>
      <c r="AD346" s="142" t="str">
        <f t="shared" si="145"/>
        <v/>
      </c>
      <c r="AE346" s="88"/>
      <c r="AF346" s="88"/>
      <c r="AG346" s="88"/>
      <c r="AH346" s="88"/>
      <c r="AI346" s="88"/>
      <c r="AJ346" s="88"/>
      <c r="AK346" s="88"/>
      <c r="AL346" s="88"/>
      <c r="AM346" s="88">
        <v>41.25874125874126</v>
      </c>
      <c r="AN346" s="88">
        <v>114.4</v>
      </c>
      <c r="AO346" s="89" t="s">
        <v>56</v>
      </c>
      <c r="AP346" s="90" t="s">
        <v>56</v>
      </c>
      <c r="AQ346" s="146" t="str">
        <f t="shared" si="146"/>
        <v/>
      </c>
      <c r="AR346" s="146" t="str">
        <f t="shared" si="147"/>
        <v/>
      </c>
      <c r="AS346" s="147">
        <v>39</v>
      </c>
      <c r="AT346" s="148">
        <v>15.8</v>
      </c>
      <c r="AU346" s="149">
        <v>8.6999999999999993</v>
      </c>
      <c r="AV346" s="146">
        <f t="shared" si="148"/>
        <v>55.063291139240498</v>
      </c>
      <c r="AW346" s="146">
        <f t="shared" si="149"/>
        <v>44.936708860759502</v>
      </c>
      <c r="AX346" s="138" t="str">
        <f t="shared" si="150"/>
        <v/>
      </c>
      <c r="AY346" s="95">
        <v>71</v>
      </c>
      <c r="AZ346" s="96">
        <v>61.314999999999998</v>
      </c>
      <c r="BA346" s="96"/>
      <c r="BB346" s="96">
        <v>37.5</v>
      </c>
      <c r="BC346" s="96"/>
      <c r="BD346" s="97">
        <v>114.4</v>
      </c>
      <c r="BE346" s="142">
        <f t="shared" si="151"/>
        <v>9850</v>
      </c>
      <c r="BF346" s="88">
        <v>368</v>
      </c>
      <c r="BG346" s="98">
        <v>1120</v>
      </c>
      <c r="BH346" s="98">
        <v>3235</v>
      </c>
      <c r="BI346" s="98">
        <v>5127</v>
      </c>
      <c r="BJ346" s="98"/>
      <c r="BK346" s="98"/>
      <c r="BL346" s="97"/>
    </row>
    <row r="347" spans="1:64" outlineLevel="5" x14ac:dyDescent="0.3">
      <c r="A347" s="152">
        <f t="shared" si="135"/>
        <v>10</v>
      </c>
      <c r="B347" s="153">
        <f t="shared" si="120"/>
        <v>44490</v>
      </c>
      <c r="C347" s="138">
        <f t="shared" si="142"/>
        <v>36.5</v>
      </c>
      <c r="D347" s="84">
        <v>36</v>
      </c>
      <c r="E347" s="84">
        <v>37</v>
      </c>
      <c r="F347" s="84"/>
      <c r="G347" s="84"/>
      <c r="H347" s="84"/>
      <c r="I347" s="84"/>
      <c r="J347" s="84"/>
      <c r="K347" s="84"/>
      <c r="L347" s="140" t="str">
        <f t="shared" si="143"/>
        <v/>
      </c>
      <c r="M347" s="86" t="s">
        <v>56</v>
      </c>
      <c r="N347" s="86" t="s">
        <v>56</v>
      </c>
      <c r="O347" s="86"/>
      <c r="P347" s="86"/>
      <c r="Q347" s="86"/>
      <c r="R347" s="86"/>
      <c r="S347" s="86"/>
      <c r="T347" s="86"/>
      <c r="U347" s="142" t="str">
        <f t="shared" si="144"/>
        <v/>
      </c>
      <c r="V347" s="88" t="s">
        <v>56</v>
      </c>
      <c r="W347" s="88" t="s">
        <v>56</v>
      </c>
      <c r="X347" s="88"/>
      <c r="Y347" s="88"/>
      <c r="Z347" s="88"/>
      <c r="AA347" s="88"/>
      <c r="AB347" s="88"/>
      <c r="AC347" s="88"/>
      <c r="AD347" s="142" t="str">
        <f t="shared" si="145"/>
        <v/>
      </c>
      <c r="AE347" s="88"/>
      <c r="AF347" s="88"/>
      <c r="AG347" s="88"/>
      <c r="AH347" s="88"/>
      <c r="AI347" s="88"/>
      <c r="AJ347" s="88"/>
      <c r="AK347" s="88"/>
      <c r="AL347" s="88"/>
      <c r="AM347" s="88">
        <v>37.905557340186313</v>
      </c>
      <c r="AN347" s="88">
        <v>124.52000000000001</v>
      </c>
      <c r="AO347" s="89" t="s">
        <v>56</v>
      </c>
      <c r="AP347" s="90" t="s">
        <v>56</v>
      </c>
      <c r="AQ347" s="146" t="str">
        <f t="shared" si="146"/>
        <v/>
      </c>
      <c r="AR347" s="146" t="str">
        <f t="shared" si="147"/>
        <v/>
      </c>
      <c r="AS347" s="147">
        <v>30</v>
      </c>
      <c r="AT347" s="148" t="s">
        <v>56</v>
      </c>
      <c r="AU347" s="149" t="s">
        <v>56</v>
      </c>
      <c r="AV347" s="146" t="str">
        <f t="shared" si="148"/>
        <v/>
      </c>
      <c r="AW347" s="146" t="str">
        <f t="shared" si="149"/>
        <v/>
      </c>
      <c r="AX347" s="138" t="str">
        <f t="shared" si="150"/>
        <v/>
      </c>
      <c r="AY347" s="95" t="s">
        <v>56</v>
      </c>
      <c r="AZ347" s="96">
        <v>61.120000000000005</v>
      </c>
      <c r="BA347" s="96"/>
      <c r="BB347" s="96">
        <v>66</v>
      </c>
      <c r="BC347" s="96"/>
      <c r="BD347" s="97">
        <v>124.52000000000001</v>
      </c>
      <c r="BE347" s="142">
        <f t="shared" si="151"/>
        <v>6798</v>
      </c>
      <c r="BF347" s="88">
        <v>330</v>
      </c>
      <c r="BG347" s="98">
        <v>1246</v>
      </c>
      <c r="BH347" s="98">
        <v>3</v>
      </c>
      <c r="BI347" s="98">
        <v>5219</v>
      </c>
      <c r="BJ347" s="98"/>
      <c r="BK347" s="98"/>
      <c r="BL347" s="97"/>
    </row>
    <row r="348" spans="1:64" outlineLevel="5" x14ac:dyDescent="0.3">
      <c r="A348" s="152">
        <f t="shared" si="135"/>
        <v>10</v>
      </c>
      <c r="B348" s="153">
        <f t="shared" si="120"/>
        <v>44491</v>
      </c>
      <c r="C348" s="138">
        <f t="shared" si="142"/>
        <v>36.5</v>
      </c>
      <c r="D348" s="84">
        <v>36</v>
      </c>
      <c r="E348" s="84">
        <v>37</v>
      </c>
      <c r="F348" s="84"/>
      <c r="G348" s="84"/>
      <c r="H348" s="84"/>
      <c r="I348" s="84"/>
      <c r="J348" s="84"/>
      <c r="K348" s="84"/>
      <c r="L348" s="140" t="str">
        <f t="shared" si="143"/>
        <v/>
      </c>
      <c r="M348" s="86" t="s">
        <v>56</v>
      </c>
      <c r="N348" s="86" t="s">
        <v>56</v>
      </c>
      <c r="O348" s="86"/>
      <c r="P348" s="86"/>
      <c r="Q348" s="86"/>
      <c r="R348" s="86"/>
      <c r="S348" s="86"/>
      <c r="T348" s="86"/>
      <c r="U348" s="142" t="str">
        <f t="shared" si="144"/>
        <v/>
      </c>
      <c r="V348" s="88" t="s">
        <v>56</v>
      </c>
      <c r="W348" s="88" t="s">
        <v>56</v>
      </c>
      <c r="X348" s="88"/>
      <c r="Y348" s="88"/>
      <c r="Z348" s="88"/>
      <c r="AA348" s="88"/>
      <c r="AB348" s="88"/>
      <c r="AC348" s="88"/>
      <c r="AD348" s="142" t="str">
        <f t="shared" si="145"/>
        <v/>
      </c>
      <c r="AE348" s="88"/>
      <c r="AF348" s="88"/>
      <c r="AG348" s="88"/>
      <c r="AH348" s="88"/>
      <c r="AI348" s="88"/>
      <c r="AJ348" s="88"/>
      <c r="AK348" s="88"/>
      <c r="AL348" s="88"/>
      <c r="AM348" s="88">
        <v>63.093169362384707</v>
      </c>
      <c r="AN348" s="88">
        <v>74.81</v>
      </c>
      <c r="AO348" s="89" t="s">
        <v>56</v>
      </c>
      <c r="AP348" s="90" t="s">
        <v>56</v>
      </c>
      <c r="AQ348" s="146" t="str">
        <f t="shared" si="146"/>
        <v/>
      </c>
      <c r="AR348" s="146" t="str">
        <f t="shared" si="147"/>
        <v/>
      </c>
      <c r="AS348" s="147">
        <v>22</v>
      </c>
      <c r="AT348" s="148" t="s">
        <v>56</v>
      </c>
      <c r="AU348" s="149" t="s">
        <v>56</v>
      </c>
      <c r="AV348" s="146" t="str">
        <f t="shared" si="148"/>
        <v/>
      </c>
      <c r="AW348" s="146" t="str">
        <f t="shared" si="149"/>
        <v/>
      </c>
      <c r="AX348" s="138" t="str">
        <f t="shared" si="150"/>
        <v/>
      </c>
      <c r="AY348" s="95" t="s">
        <v>56</v>
      </c>
      <c r="AZ348" s="96">
        <v>62.33</v>
      </c>
      <c r="BA348" s="96"/>
      <c r="BB348" s="96">
        <v>66</v>
      </c>
      <c r="BC348" s="96"/>
      <c r="BD348" s="97">
        <v>74.81</v>
      </c>
      <c r="BE348" s="142">
        <f t="shared" si="151"/>
        <v>6846</v>
      </c>
      <c r="BF348" s="88">
        <v>341</v>
      </c>
      <c r="BG348" s="98">
        <v>1425</v>
      </c>
      <c r="BH348" s="98">
        <v>0</v>
      </c>
      <c r="BI348" s="98">
        <v>5080</v>
      </c>
      <c r="BJ348" s="98"/>
      <c r="BK348" s="98"/>
      <c r="BL348" s="97"/>
    </row>
    <row r="349" spans="1:64" outlineLevel="5" x14ac:dyDescent="0.3">
      <c r="A349" s="152">
        <f t="shared" si="135"/>
        <v>10</v>
      </c>
      <c r="B349" s="153">
        <f t="shared" si="120"/>
        <v>44492</v>
      </c>
      <c r="C349" s="138">
        <f t="shared" si="142"/>
        <v>37</v>
      </c>
      <c r="D349" s="84">
        <v>37</v>
      </c>
      <c r="E349" s="84">
        <v>37</v>
      </c>
      <c r="F349" s="84"/>
      <c r="G349" s="84"/>
      <c r="H349" s="84"/>
      <c r="I349" s="84"/>
      <c r="J349" s="84"/>
      <c r="K349" s="84"/>
      <c r="L349" s="140" t="str">
        <f t="shared" si="143"/>
        <v/>
      </c>
      <c r="M349" s="86"/>
      <c r="N349" s="86"/>
      <c r="O349" s="86"/>
      <c r="P349" s="86"/>
      <c r="Q349" s="86"/>
      <c r="R349" s="86"/>
      <c r="S349" s="86"/>
      <c r="T349" s="86"/>
      <c r="U349" s="142" t="str">
        <f t="shared" si="144"/>
        <v/>
      </c>
      <c r="V349" s="88"/>
      <c r="W349" s="88"/>
      <c r="X349" s="88"/>
      <c r="Y349" s="88"/>
      <c r="Z349" s="88"/>
      <c r="AA349" s="88"/>
      <c r="AB349" s="88"/>
      <c r="AC349" s="88"/>
      <c r="AD349" s="142" t="str">
        <f t="shared" si="145"/>
        <v/>
      </c>
      <c r="AE349" s="88"/>
      <c r="AF349" s="88"/>
      <c r="AG349" s="88"/>
      <c r="AH349" s="88"/>
      <c r="AI349" s="88"/>
      <c r="AJ349" s="88"/>
      <c r="AK349" s="88"/>
      <c r="AL349" s="88"/>
      <c r="AM349" s="88">
        <v>37.702691908299386</v>
      </c>
      <c r="AN349" s="88">
        <v>125.19</v>
      </c>
      <c r="AO349" s="89"/>
      <c r="AP349" s="90"/>
      <c r="AQ349" s="146" t="str">
        <f t="shared" si="146"/>
        <v/>
      </c>
      <c r="AR349" s="146" t="str">
        <f t="shared" si="147"/>
        <v/>
      </c>
      <c r="AS349" s="147">
        <v>5</v>
      </c>
      <c r="AT349" s="148" t="s">
        <v>56</v>
      </c>
      <c r="AU349" s="149" t="s">
        <v>56</v>
      </c>
      <c r="AV349" s="146" t="str">
        <f t="shared" si="148"/>
        <v/>
      </c>
      <c r="AW349" s="146" t="str">
        <f t="shared" si="149"/>
        <v/>
      </c>
      <c r="AX349" s="138" t="str">
        <f t="shared" si="150"/>
        <v/>
      </c>
      <c r="AY349" s="95" t="s">
        <v>56</v>
      </c>
      <c r="AZ349" s="96">
        <v>62.475000000000001</v>
      </c>
      <c r="BA349" s="96"/>
      <c r="BB349" s="96">
        <v>65</v>
      </c>
      <c r="BC349" s="96"/>
      <c r="BD349" s="97">
        <v>125.19</v>
      </c>
      <c r="BE349" s="142">
        <f t="shared" si="151"/>
        <v>5271</v>
      </c>
      <c r="BF349" s="88">
        <v>278</v>
      </c>
      <c r="BG349" s="98">
        <v>0</v>
      </c>
      <c r="BH349" s="98">
        <v>0</v>
      </c>
      <c r="BI349" s="98">
        <v>4993</v>
      </c>
      <c r="BJ349" s="98"/>
      <c r="BK349" s="98"/>
      <c r="BL349" s="97"/>
    </row>
    <row r="350" spans="1:64" outlineLevel="5" x14ac:dyDescent="0.3">
      <c r="A350" s="152">
        <f t="shared" si="135"/>
        <v>10</v>
      </c>
      <c r="B350" s="153">
        <f t="shared" si="120"/>
        <v>44493</v>
      </c>
      <c r="C350" s="138">
        <f t="shared" si="142"/>
        <v>38</v>
      </c>
      <c r="D350" s="84">
        <v>38</v>
      </c>
      <c r="E350" s="84">
        <v>38</v>
      </c>
      <c r="F350" s="84"/>
      <c r="G350" s="84"/>
      <c r="H350" s="84"/>
      <c r="I350" s="84"/>
      <c r="J350" s="84"/>
      <c r="K350" s="84"/>
      <c r="L350" s="140" t="str">
        <f t="shared" si="143"/>
        <v/>
      </c>
      <c r="M350" s="86"/>
      <c r="N350" s="86"/>
      <c r="O350" s="86"/>
      <c r="P350" s="86"/>
      <c r="Q350" s="86"/>
      <c r="R350" s="86"/>
      <c r="S350" s="86"/>
      <c r="T350" s="86"/>
      <c r="U350" s="142" t="str">
        <f t="shared" si="144"/>
        <v/>
      </c>
      <c r="V350" s="88"/>
      <c r="W350" s="88"/>
      <c r="X350" s="88"/>
      <c r="Y350" s="88"/>
      <c r="Z350" s="88"/>
      <c r="AA350" s="88"/>
      <c r="AB350" s="88"/>
      <c r="AC350" s="88"/>
      <c r="AD350" s="142" t="str">
        <f t="shared" si="145"/>
        <v/>
      </c>
      <c r="AE350" s="88"/>
      <c r="AF350" s="88"/>
      <c r="AG350" s="88"/>
      <c r="AH350" s="88"/>
      <c r="AI350" s="88"/>
      <c r="AJ350" s="88"/>
      <c r="AK350" s="88"/>
      <c r="AL350" s="88"/>
      <c r="AM350" s="88">
        <v>31.466666666666665</v>
      </c>
      <c r="AN350" s="88">
        <v>150</v>
      </c>
      <c r="AO350" s="89"/>
      <c r="AP350" s="90"/>
      <c r="AQ350" s="146" t="str">
        <f t="shared" si="146"/>
        <v/>
      </c>
      <c r="AR350" s="146" t="str">
        <f t="shared" si="147"/>
        <v/>
      </c>
      <c r="AS350" s="147">
        <v>5</v>
      </c>
      <c r="AT350" s="148" t="s">
        <v>56</v>
      </c>
      <c r="AU350" s="149" t="s">
        <v>56</v>
      </c>
      <c r="AV350" s="146" t="str">
        <f t="shared" si="148"/>
        <v/>
      </c>
      <c r="AW350" s="146" t="str">
        <f t="shared" si="149"/>
        <v/>
      </c>
      <c r="AX350" s="138" t="str">
        <f t="shared" si="150"/>
        <v/>
      </c>
      <c r="AY350" s="95" t="s">
        <v>56</v>
      </c>
      <c r="AZ350" s="96">
        <v>63.93</v>
      </c>
      <c r="BA350" s="96"/>
      <c r="BB350" s="96">
        <v>63</v>
      </c>
      <c r="BC350" s="96"/>
      <c r="BD350" s="97">
        <v>150</v>
      </c>
      <c r="BE350" s="142">
        <f t="shared" si="151"/>
        <v>5641</v>
      </c>
      <c r="BF350" s="88">
        <v>315</v>
      </c>
      <c r="BG350" s="98">
        <v>0</v>
      </c>
      <c r="BH350" s="98">
        <v>293</v>
      </c>
      <c r="BI350" s="98">
        <v>5033</v>
      </c>
      <c r="BJ350" s="98"/>
      <c r="BK350" s="98"/>
      <c r="BL350" s="97"/>
    </row>
    <row r="351" spans="1:64" outlineLevel="5" x14ac:dyDescent="0.3">
      <c r="A351" s="152">
        <f t="shared" si="135"/>
        <v>10</v>
      </c>
      <c r="B351" s="153">
        <f t="shared" si="120"/>
        <v>44494</v>
      </c>
      <c r="C351" s="138">
        <f t="shared" si="142"/>
        <v>38.5</v>
      </c>
      <c r="D351" s="84">
        <v>38</v>
      </c>
      <c r="E351" s="84">
        <v>39</v>
      </c>
      <c r="F351" s="84"/>
      <c r="G351" s="84"/>
      <c r="H351" s="84"/>
      <c r="I351" s="84"/>
      <c r="J351" s="84"/>
      <c r="K351" s="84"/>
      <c r="L351" s="140" t="str">
        <f t="shared" si="143"/>
        <v/>
      </c>
      <c r="M351" s="86" t="s">
        <v>56</v>
      </c>
      <c r="N351" s="86" t="s">
        <v>56</v>
      </c>
      <c r="O351" s="86"/>
      <c r="P351" s="86"/>
      <c r="Q351" s="86"/>
      <c r="R351" s="86"/>
      <c r="S351" s="86"/>
      <c r="T351" s="86"/>
      <c r="U351" s="142" t="str">
        <f t="shared" si="144"/>
        <v/>
      </c>
      <c r="V351" s="88" t="s">
        <v>56</v>
      </c>
      <c r="W351" s="88" t="s">
        <v>56</v>
      </c>
      <c r="X351" s="88"/>
      <c r="Y351" s="88"/>
      <c r="Z351" s="88"/>
      <c r="AA351" s="88"/>
      <c r="AB351" s="88"/>
      <c r="AC351" s="88"/>
      <c r="AD351" s="142" t="str">
        <f t="shared" si="145"/>
        <v/>
      </c>
      <c r="AE351" s="88"/>
      <c r="AF351" s="88"/>
      <c r="AG351" s="88"/>
      <c r="AH351" s="88"/>
      <c r="AI351" s="88"/>
      <c r="AJ351" s="88"/>
      <c r="AK351" s="88"/>
      <c r="AL351" s="88"/>
      <c r="AM351" s="88">
        <v>35.464723119693438</v>
      </c>
      <c r="AN351" s="88">
        <v>133.09</v>
      </c>
      <c r="AO351" s="89" t="s">
        <v>56</v>
      </c>
      <c r="AP351" s="90"/>
      <c r="AQ351" s="146" t="str">
        <f t="shared" si="146"/>
        <v/>
      </c>
      <c r="AR351" s="146" t="str">
        <f t="shared" si="147"/>
        <v/>
      </c>
      <c r="AS351" s="147">
        <v>20</v>
      </c>
      <c r="AT351" s="148" t="s">
        <v>56</v>
      </c>
      <c r="AU351" s="149" t="s">
        <v>56</v>
      </c>
      <c r="AV351" s="146" t="str">
        <f t="shared" si="148"/>
        <v/>
      </c>
      <c r="AW351" s="146" t="str">
        <f t="shared" si="149"/>
        <v/>
      </c>
      <c r="AX351" s="138" t="str">
        <f t="shared" si="150"/>
        <v/>
      </c>
      <c r="AY351" s="95" t="s">
        <v>56</v>
      </c>
      <c r="AZ351" s="96">
        <v>62.620000000000005</v>
      </c>
      <c r="BA351" s="96"/>
      <c r="BB351" s="96">
        <v>69</v>
      </c>
      <c r="BC351" s="96"/>
      <c r="BD351" s="97">
        <v>133.09</v>
      </c>
      <c r="BE351" s="142">
        <f t="shared" si="151"/>
        <v>5826</v>
      </c>
      <c r="BF351" s="88">
        <v>165</v>
      </c>
      <c r="BG351" s="98">
        <v>0</v>
      </c>
      <c r="BH351" s="98">
        <v>505</v>
      </c>
      <c r="BI351" s="98">
        <v>5156</v>
      </c>
      <c r="BJ351" s="98"/>
      <c r="BK351" s="98"/>
      <c r="BL351" s="97"/>
    </row>
    <row r="352" spans="1:64" outlineLevel="5" x14ac:dyDescent="0.3">
      <c r="A352" s="152">
        <f t="shared" si="135"/>
        <v>10</v>
      </c>
      <c r="B352" s="153">
        <f t="shared" ref="B352:B415" si="152">B351+1</f>
        <v>44495</v>
      </c>
      <c r="C352" s="138">
        <f t="shared" si="142"/>
        <v>38.5</v>
      </c>
      <c r="D352" s="84">
        <v>38</v>
      </c>
      <c r="E352" s="84">
        <v>39</v>
      </c>
      <c r="F352" s="84"/>
      <c r="G352" s="84"/>
      <c r="H352" s="84"/>
      <c r="I352" s="84"/>
      <c r="J352" s="84"/>
      <c r="K352" s="84"/>
      <c r="L352" s="140" t="str">
        <f t="shared" si="143"/>
        <v/>
      </c>
      <c r="M352" s="86" t="s">
        <v>56</v>
      </c>
      <c r="N352" s="86" t="s">
        <v>56</v>
      </c>
      <c r="O352" s="86"/>
      <c r="P352" s="86"/>
      <c r="Q352" s="86"/>
      <c r="R352" s="86"/>
      <c r="S352" s="86"/>
      <c r="T352" s="86"/>
      <c r="U352" s="142" t="str">
        <f t="shared" si="144"/>
        <v/>
      </c>
      <c r="V352" s="88" t="s">
        <v>56</v>
      </c>
      <c r="W352" s="88" t="s">
        <v>56</v>
      </c>
      <c r="X352" s="88"/>
      <c r="Y352" s="88"/>
      <c r="Z352" s="88"/>
      <c r="AA352" s="88"/>
      <c r="AB352" s="88"/>
      <c r="AC352" s="88"/>
      <c r="AD352" s="142" t="str">
        <f t="shared" si="145"/>
        <v/>
      </c>
      <c r="AE352" s="88"/>
      <c r="AF352" s="88"/>
      <c r="AG352" s="88"/>
      <c r="AH352" s="88"/>
      <c r="AI352" s="88"/>
      <c r="AJ352" s="88"/>
      <c r="AK352" s="88"/>
      <c r="AL352" s="88"/>
      <c r="AM352" s="88">
        <v>47.044752317352732</v>
      </c>
      <c r="AN352" s="88">
        <v>100.33000000000001</v>
      </c>
      <c r="AO352" s="89" t="s">
        <v>56</v>
      </c>
      <c r="AP352" s="90"/>
      <c r="AQ352" s="146" t="str">
        <f t="shared" si="146"/>
        <v/>
      </c>
      <c r="AR352" s="146" t="str">
        <f t="shared" si="147"/>
        <v/>
      </c>
      <c r="AS352" s="147">
        <v>40</v>
      </c>
      <c r="AT352" s="148" t="s">
        <v>56</v>
      </c>
      <c r="AU352" s="149" t="s">
        <v>56</v>
      </c>
      <c r="AV352" s="146" t="str">
        <f t="shared" si="148"/>
        <v/>
      </c>
      <c r="AW352" s="146" t="str">
        <f t="shared" si="149"/>
        <v/>
      </c>
      <c r="AX352" s="138" t="str">
        <f t="shared" si="150"/>
        <v/>
      </c>
      <c r="AY352" s="95" t="s">
        <v>56</v>
      </c>
      <c r="AZ352" s="96">
        <v>61.445</v>
      </c>
      <c r="BA352" s="96"/>
      <c r="BB352" s="96">
        <v>61.5</v>
      </c>
      <c r="BC352" s="96"/>
      <c r="BD352" s="97">
        <v>100.33000000000001</v>
      </c>
      <c r="BE352" s="142">
        <f t="shared" si="151"/>
        <v>6031</v>
      </c>
      <c r="BF352" s="88">
        <v>147</v>
      </c>
      <c r="BG352" s="98">
        <v>27</v>
      </c>
      <c r="BH352" s="98">
        <v>882</v>
      </c>
      <c r="BI352" s="98">
        <v>4975</v>
      </c>
      <c r="BJ352" s="98"/>
      <c r="BK352" s="98"/>
      <c r="BL352" s="97"/>
    </row>
    <row r="353" spans="1:64" outlineLevel="5" x14ac:dyDescent="0.3">
      <c r="A353" s="152">
        <f t="shared" si="135"/>
        <v>10</v>
      </c>
      <c r="B353" s="153">
        <f t="shared" si="152"/>
        <v>44496</v>
      </c>
      <c r="C353" s="138">
        <f t="shared" si="142"/>
        <v>38.5</v>
      </c>
      <c r="D353" s="84">
        <v>38</v>
      </c>
      <c r="E353" s="84">
        <v>39</v>
      </c>
      <c r="F353" s="84"/>
      <c r="G353" s="84"/>
      <c r="H353" s="84"/>
      <c r="I353" s="84"/>
      <c r="J353" s="84"/>
      <c r="K353" s="84"/>
      <c r="L353" s="140">
        <f t="shared" si="143"/>
        <v>7.6</v>
      </c>
      <c r="M353" s="86">
        <v>7.72</v>
      </c>
      <c r="N353" s="86">
        <v>7.52</v>
      </c>
      <c r="O353" s="86"/>
      <c r="P353" s="86"/>
      <c r="Q353" s="86"/>
      <c r="R353" s="86"/>
      <c r="S353" s="86"/>
      <c r="T353" s="86"/>
      <c r="U353" s="142">
        <f t="shared" si="144"/>
        <v>4524.5</v>
      </c>
      <c r="V353" s="88">
        <v>4560</v>
      </c>
      <c r="W353" s="88">
        <v>4489</v>
      </c>
      <c r="X353" s="88"/>
      <c r="Y353" s="88"/>
      <c r="Z353" s="88"/>
      <c r="AA353" s="88"/>
      <c r="AB353" s="88"/>
      <c r="AC353" s="88"/>
      <c r="AD353" s="142" t="str">
        <f t="shared" si="145"/>
        <v/>
      </c>
      <c r="AE353" s="88"/>
      <c r="AF353" s="88"/>
      <c r="AG353" s="88"/>
      <c r="AH353" s="88"/>
      <c r="AI353" s="88"/>
      <c r="AJ353" s="88"/>
      <c r="AK353" s="88"/>
      <c r="AL353" s="88"/>
      <c r="AM353" s="88">
        <v>43.482266236757255</v>
      </c>
      <c r="AN353" s="88">
        <v>108.55</v>
      </c>
      <c r="AO353" s="89" t="s">
        <v>56</v>
      </c>
      <c r="AP353" s="90"/>
      <c r="AQ353" s="146" t="str">
        <f t="shared" si="146"/>
        <v/>
      </c>
      <c r="AR353" s="146" t="str">
        <f t="shared" si="147"/>
        <v/>
      </c>
      <c r="AS353" s="147">
        <v>40</v>
      </c>
      <c r="AT353" s="148">
        <v>15.100000000000001</v>
      </c>
      <c r="AU353" s="149">
        <v>9.1000000000000014</v>
      </c>
      <c r="AV353" s="146">
        <f t="shared" si="148"/>
        <v>60.264900662251662</v>
      </c>
      <c r="AW353" s="146">
        <f t="shared" si="149"/>
        <v>39.735099337748338</v>
      </c>
      <c r="AX353" s="138" t="str">
        <f t="shared" si="150"/>
        <v/>
      </c>
      <c r="AY353" s="95">
        <v>77.55</v>
      </c>
      <c r="AZ353" s="96">
        <v>62.814999999999998</v>
      </c>
      <c r="BA353" s="96"/>
      <c r="BB353" s="96">
        <v>60</v>
      </c>
      <c r="BC353" s="96"/>
      <c r="BD353" s="97">
        <v>108.55</v>
      </c>
      <c r="BE353" s="142">
        <f t="shared" si="151"/>
        <v>10077</v>
      </c>
      <c r="BF353" s="88">
        <v>200</v>
      </c>
      <c r="BG353" s="98">
        <v>54</v>
      </c>
      <c r="BH353" s="98">
        <v>4723</v>
      </c>
      <c r="BI353" s="98">
        <v>5100</v>
      </c>
      <c r="BJ353" s="98"/>
      <c r="BK353" s="98"/>
      <c r="BL353" s="97"/>
    </row>
    <row r="354" spans="1:64" outlineLevel="5" x14ac:dyDescent="0.3">
      <c r="A354" s="152">
        <f t="shared" si="135"/>
        <v>10</v>
      </c>
      <c r="B354" s="153">
        <f t="shared" si="152"/>
        <v>44497</v>
      </c>
      <c r="C354" s="138">
        <f t="shared" si="142"/>
        <v>38</v>
      </c>
      <c r="D354" s="84">
        <v>38</v>
      </c>
      <c r="E354" s="84">
        <v>38</v>
      </c>
      <c r="F354" s="84"/>
      <c r="G354" s="84"/>
      <c r="H354" s="84"/>
      <c r="I354" s="84"/>
      <c r="J354" s="84"/>
      <c r="K354" s="84"/>
      <c r="L354" s="140">
        <f t="shared" si="143"/>
        <v>7.7</v>
      </c>
      <c r="M354" s="86">
        <v>7.78</v>
      </c>
      <c r="N354" s="86">
        <v>7.68</v>
      </c>
      <c r="O354" s="86"/>
      <c r="P354" s="86"/>
      <c r="Q354" s="86"/>
      <c r="R354" s="86"/>
      <c r="S354" s="86"/>
      <c r="T354" s="86"/>
      <c r="U354" s="142">
        <f t="shared" si="144"/>
        <v>1459</v>
      </c>
      <c r="V354" s="88">
        <v>1520</v>
      </c>
      <c r="W354" s="88">
        <v>1398</v>
      </c>
      <c r="X354" s="88"/>
      <c r="Y354" s="88"/>
      <c r="Z354" s="88"/>
      <c r="AA354" s="88"/>
      <c r="AB354" s="88"/>
      <c r="AC354" s="88"/>
      <c r="AD354" s="142" t="str">
        <f t="shared" si="145"/>
        <v/>
      </c>
      <c r="AE354" s="88"/>
      <c r="AF354" s="88"/>
      <c r="AG354" s="88"/>
      <c r="AH354" s="88"/>
      <c r="AI354" s="88"/>
      <c r="AJ354" s="88"/>
      <c r="AK354" s="88"/>
      <c r="AL354" s="88"/>
      <c r="AM354" s="88">
        <v>38.147579406772813</v>
      </c>
      <c r="AN354" s="88">
        <v>123.73</v>
      </c>
      <c r="AO354" s="89" t="s">
        <v>56</v>
      </c>
      <c r="AP354" s="90"/>
      <c r="AQ354" s="146" t="str">
        <f t="shared" si="146"/>
        <v/>
      </c>
      <c r="AR354" s="146" t="str">
        <f t="shared" si="147"/>
        <v/>
      </c>
      <c r="AS354" s="147">
        <v>40</v>
      </c>
      <c r="AT354" s="148">
        <v>16.45</v>
      </c>
      <c r="AU354" s="149">
        <v>9.1</v>
      </c>
      <c r="AV354" s="146">
        <f t="shared" si="148"/>
        <v>55.319148936170215</v>
      </c>
      <c r="AW354" s="146">
        <f t="shared" si="149"/>
        <v>44.680851063829785</v>
      </c>
      <c r="AX354" s="138" t="str">
        <f t="shared" si="150"/>
        <v/>
      </c>
      <c r="AY354" s="95">
        <v>74.95</v>
      </c>
      <c r="AZ354" s="96">
        <v>62.555</v>
      </c>
      <c r="BA354" s="96"/>
      <c r="BB354" s="96">
        <v>74.5</v>
      </c>
      <c r="BC354" s="96"/>
      <c r="BD354" s="97">
        <v>123.73</v>
      </c>
      <c r="BE354" s="142">
        <f t="shared" si="151"/>
        <v>12151</v>
      </c>
      <c r="BF354" s="88">
        <v>162</v>
      </c>
      <c r="BG354" s="98">
        <v>0</v>
      </c>
      <c r="BH354" s="98">
        <v>6875</v>
      </c>
      <c r="BI354" s="98">
        <v>5114</v>
      </c>
      <c r="BJ354" s="98"/>
      <c r="BK354" s="98"/>
      <c r="BL354" s="97"/>
    </row>
    <row r="355" spans="1:64" outlineLevel="5" x14ac:dyDescent="0.3">
      <c r="A355" s="152">
        <f t="shared" si="135"/>
        <v>10</v>
      </c>
      <c r="B355" s="153">
        <f t="shared" si="152"/>
        <v>44498</v>
      </c>
      <c r="C355" s="138">
        <f t="shared" si="142"/>
        <v>37.5</v>
      </c>
      <c r="D355" s="84">
        <v>38</v>
      </c>
      <c r="E355" s="84">
        <v>37</v>
      </c>
      <c r="F355" s="84"/>
      <c r="G355" s="84"/>
      <c r="H355" s="84"/>
      <c r="I355" s="84"/>
      <c r="J355" s="84"/>
      <c r="K355" s="84"/>
      <c r="L355" s="140">
        <f t="shared" si="143"/>
        <v>7.5</v>
      </c>
      <c r="M355" s="86">
        <v>7.59</v>
      </c>
      <c r="N355" s="86">
        <v>7.5</v>
      </c>
      <c r="O355" s="86"/>
      <c r="P355" s="86"/>
      <c r="Q355" s="86"/>
      <c r="R355" s="86"/>
      <c r="S355" s="86"/>
      <c r="T355" s="86"/>
      <c r="U355" s="142">
        <f t="shared" si="144"/>
        <v>1750</v>
      </c>
      <c r="V355" s="88">
        <v>1850</v>
      </c>
      <c r="W355" s="88">
        <v>1650</v>
      </c>
      <c r="X355" s="88"/>
      <c r="Y355" s="88"/>
      <c r="Z355" s="88"/>
      <c r="AA355" s="88"/>
      <c r="AB355" s="88"/>
      <c r="AC355" s="88"/>
      <c r="AD355" s="142" t="str">
        <f t="shared" si="145"/>
        <v/>
      </c>
      <c r="AE355" s="88"/>
      <c r="AF355" s="88"/>
      <c r="AG355" s="88"/>
      <c r="AH355" s="88"/>
      <c r="AI355" s="88"/>
      <c r="AJ355" s="88"/>
      <c r="AK355" s="88"/>
      <c r="AL355" s="88"/>
      <c r="AM355" s="88">
        <v>32.468872532159317</v>
      </c>
      <c r="AN355" s="88">
        <v>145.37</v>
      </c>
      <c r="AO355" s="89" t="s">
        <v>56</v>
      </c>
      <c r="AP355" s="90"/>
      <c r="AQ355" s="146" t="str">
        <f t="shared" si="146"/>
        <v/>
      </c>
      <c r="AR355" s="146" t="str">
        <f t="shared" si="147"/>
        <v/>
      </c>
      <c r="AS355" s="147">
        <v>20</v>
      </c>
      <c r="AT355" s="148" t="s">
        <v>56</v>
      </c>
      <c r="AU355" s="149" t="s">
        <v>56</v>
      </c>
      <c r="AV355" s="146" t="str">
        <f t="shared" si="148"/>
        <v/>
      </c>
      <c r="AW355" s="146" t="str">
        <f t="shared" si="149"/>
        <v/>
      </c>
      <c r="AX355" s="138" t="str">
        <f t="shared" si="150"/>
        <v/>
      </c>
      <c r="AY355" s="95" t="s">
        <v>56</v>
      </c>
      <c r="AZ355" s="96">
        <v>62.354999999999997</v>
      </c>
      <c r="BA355" s="96"/>
      <c r="BB355" s="96">
        <v>72.5</v>
      </c>
      <c r="BC355" s="96"/>
      <c r="BD355" s="97">
        <v>145.37</v>
      </c>
      <c r="BE355" s="142">
        <f t="shared" si="151"/>
        <v>12796</v>
      </c>
      <c r="BF355" s="88">
        <v>419</v>
      </c>
      <c r="BG355" s="98">
        <v>0</v>
      </c>
      <c r="BH355" s="98">
        <v>7179</v>
      </c>
      <c r="BI355" s="98">
        <v>5198</v>
      </c>
      <c r="BJ355" s="98"/>
      <c r="BK355" s="98"/>
      <c r="BL355" s="97"/>
    </row>
    <row r="356" spans="1:64" outlineLevel="5" x14ac:dyDescent="0.3">
      <c r="A356" s="152">
        <f t="shared" si="135"/>
        <v>10</v>
      </c>
      <c r="B356" s="153">
        <f t="shared" si="152"/>
        <v>44499</v>
      </c>
      <c r="C356" s="138">
        <f t="shared" si="142"/>
        <v>37.5</v>
      </c>
      <c r="D356" s="84">
        <v>38</v>
      </c>
      <c r="E356" s="84">
        <v>37</v>
      </c>
      <c r="F356" s="84"/>
      <c r="G356" s="84"/>
      <c r="H356" s="84"/>
      <c r="I356" s="84"/>
      <c r="J356" s="84"/>
      <c r="K356" s="84"/>
      <c r="L356" s="140" t="str">
        <f t="shared" si="143"/>
        <v/>
      </c>
      <c r="M356" s="86"/>
      <c r="N356" s="86"/>
      <c r="O356" s="86"/>
      <c r="P356" s="86"/>
      <c r="Q356" s="86"/>
      <c r="R356" s="86"/>
      <c r="S356" s="86"/>
      <c r="T356" s="86"/>
      <c r="U356" s="142" t="str">
        <f t="shared" si="144"/>
        <v/>
      </c>
      <c r="V356" s="88"/>
      <c r="W356" s="88"/>
      <c r="X356" s="88"/>
      <c r="Y356" s="88"/>
      <c r="Z356" s="88"/>
      <c r="AA356" s="88"/>
      <c r="AB356" s="88"/>
      <c r="AC356" s="88"/>
      <c r="AD356" s="142" t="str">
        <f t="shared" si="145"/>
        <v/>
      </c>
      <c r="AE356" s="88"/>
      <c r="AF356" s="88"/>
      <c r="AG356" s="88"/>
      <c r="AH356" s="88"/>
      <c r="AI356" s="88"/>
      <c r="AJ356" s="88"/>
      <c r="AK356" s="88"/>
      <c r="AL356" s="88"/>
      <c r="AM356" s="88">
        <v>34.568624578877987</v>
      </c>
      <c r="AN356" s="88">
        <v>136.54</v>
      </c>
      <c r="AO356" s="89"/>
      <c r="AP356" s="90"/>
      <c r="AQ356" s="146" t="str">
        <f t="shared" si="146"/>
        <v/>
      </c>
      <c r="AR356" s="146" t="str">
        <f t="shared" si="147"/>
        <v/>
      </c>
      <c r="AS356" s="147">
        <v>10</v>
      </c>
      <c r="AT356" s="148" t="s">
        <v>56</v>
      </c>
      <c r="AU356" s="149" t="s">
        <v>56</v>
      </c>
      <c r="AV356" s="146" t="str">
        <f t="shared" si="148"/>
        <v/>
      </c>
      <c r="AW356" s="146" t="str">
        <f t="shared" si="149"/>
        <v/>
      </c>
      <c r="AX356" s="138" t="str">
        <f t="shared" si="150"/>
        <v/>
      </c>
      <c r="AY356" s="95" t="s">
        <v>56</v>
      </c>
      <c r="AZ356" s="96">
        <v>62.075000000000003</v>
      </c>
      <c r="BA356" s="96"/>
      <c r="BB356" s="96">
        <v>70.5</v>
      </c>
      <c r="BC356" s="96"/>
      <c r="BD356" s="97">
        <v>136.54</v>
      </c>
      <c r="BE356" s="142">
        <f t="shared" si="151"/>
        <v>8608</v>
      </c>
      <c r="BF356" s="88">
        <v>3</v>
      </c>
      <c r="BG356" s="98">
        <v>0</v>
      </c>
      <c r="BH356" s="98">
        <v>3675</v>
      </c>
      <c r="BI356" s="98">
        <v>4930</v>
      </c>
      <c r="BJ356" s="98"/>
      <c r="BK356" s="98"/>
      <c r="BL356" s="97"/>
    </row>
    <row r="357" spans="1:64" ht="17.25" outlineLevel="5" thickBot="1" x14ac:dyDescent="0.35">
      <c r="A357" s="154">
        <f t="shared" si="135"/>
        <v>10</v>
      </c>
      <c r="B357" s="155">
        <f t="shared" si="152"/>
        <v>44500</v>
      </c>
      <c r="C357" s="138">
        <f t="shared" si="142"/>
        <v>37.5</v>
      </c>
      <c r="D357" s="84">
        <v>38</v>
      </c>
      <c r="E357" s="84">
        <v>37</v>
      </c>
      <c r="F357" s="84"/>
      <c r="G357" s="84"/>
      <c r="H357" s="84"/>
      <c r="I357" s="84"/>
      <c r="J357" s="84"/>
      <c r="K357" s="84"/>
      <c r="L357" s="140" t="str">
        <f t="shared" si="143"/>
        <v/>
      </c>
      <c r="M357" s="86"/>
      <c r="N357" s="86"/>
      <c r="O357" s="86"/>
      <c r="P357" s="86"/>
      <c r="Q357" s="86"/>
      <c r="R357" s="86"/>
      <c r="S357" s="86"/>
      <c r="T357" s="86"/>
      <c r="U357" s="142" t="str">
        <f t="shared" si="144"/>
        <v/>
      </c>
      <c r="V357" s="88"/>
      <c r="W357" s="88"/>
      <c r="X357" s="88"/>
      <c r="Y357" s="88"/>
      <c r="Z357" s="88"/>
      <c r="AA357" s="88"/>
      <c r="AB357" s="88"/>
      <c r="AC357" s="88"/>
      <c r="AD357" s="142" t="str">
        <f t="shared" si="145"/>
        <v/>
      </c>
      <c r="AE357" s="88"/>
      <c r="AF357" s="88"/>
      <c r="AG357" s="88"/>
      <c r="AH357" s="88"/>
      <c r="AI357" s="88"/>
      <c r="AJ357" s="88"/>
      <c r="AK357" s="88"/>
      <c r="AL357" s="88"/>
      <c r="AM357" s="88">
        <v>36.307692307692307</v>
      </c>
      <c r="AN357" s="88">
        <v>130</v>
      </c>
      <c r="AO357" s="89"/>
      <c r="AP357" s="90"/>
      <c r="AQ357" s="146" t="str">
        <f t="shared" si="146"/>
        <v/>
      </c>
      <c r="AR357" s="146" t="str">
        <f t="shared" si="147"/>
        <v/>
      </c>
      <c r="AS357" s="147">
        <v>12</v>
      </c>
      <c r="AT357" s="148" t="s">
        <v>56</v>
      </c>
      <c r="AU357" s="149" t="s">
        <v>56</v>
      </c>
      <c r="AV357" s="146" t="str">
        <f t="shared" si="148"/>
        <v/>
      </c>
      <c r="AW357" s="146" t="str">
        <f t="shared" si="149"/>
        <v/>
      </c>
      <c r="AX357" s="138" t="str">
        <f t="shared" si="150"/>
        <v/>
      </c>
      <c r="AY357" s="95" t="s">
        <v>56</v>
      </c>
      <c r="AZ357" s="96">
        <v>62.924999999999997</v>
      </c>
      <c r="BA357" s="96"/>
      <c r="BB357" s="96">
        <v>57.5</v>
      </c>
      <c r="BC357" s="96"/>
      <c r="BD357" s="97">
        <v>130</v>
      </c>
      <c r="BE357" s="142">
        <f t="shared" si="151"/>
        <v>10953</v>
      </c>
      <c r="BF357" s="88">
        <v>566</v>
      </c>
      <c r="BG357" s="98">
        <v>0</v>
      </c>
      <c r="BH357" s="98">
        <v>5573</v>
      </c>
      <c r="BI357" s="98">
        <v>4814</v>
      </c>
      <c r="BJ357" s="98"/>
      <c r="BK357" s="98"/>
      <c r="BL357" s="97"/>
    </row>
    <row r="358" spans="1:64" outlineLevel="4" x14ac:dyDescent="0.3">
      <c r="A358" s="63" t="s">
        <v>93</v>
      </c>
      <c r="B358" s="64"/>
      <c r="C358" s="65">
        <f t="shared" ref="C358:BL358" si="153">SUBTOTAL(4,C327:C357)</f>
        <v>39</v>
      </c>
      <c r="D358" s="66">
        <f t="shared" si="153"/>
        <v>39</v>
      </c>
      <c r="E358" s="66">
        <f t="shared" si="153"/>
        <v>40</v>
      </c>
      <c r="F358" s="66">
        <f t="shared" si="153"/>
        <v>0</v>
      </c>
      <c r="G358" s="66">
        <f t="shared" si="153"/>
        <v>0</v>
      </c>
      <c r="H358" s="66">
        <f t="shared" si="153"/>
        <v>0</v>
      </c>
      <c r="I358" s="66">
        <f t="shared" si="153"/>
        <v>0</v>
      </c>
      <c r="J358" s="66">
        <f t="shared" si="153"/>
        <v>0</v>
      </c>
      <c r="K358" s="66">
        <f t="shared" si="153"/>
        <v>0</v>
      </c>
      <c r="L358" s="67">
        <f t="shared" si="153"/>
        <v>7.7</v>
      </c>
      <c r="M358" s="68">
        <f t="shared" si="153"/>
        <v>7.78</v>
      </c>
      <c r="N358" s="68">
        <f t="shared" si="153"/>
        <v>7.68</v>
      </c>
      <c r="O358" s="68">
        <f t="shared" si="153"/>
        <v>0</v>
      </c>
      <c r="P358" s="68">
        <f t="shared" si="153"/>
        <v>0</v>
      </c>
      <c r="Q358" s="68">
        <f t="shared" si="153"/>
        <v>0</v>
      </c>
      <c r="R358" s="68">
        <f t="shared" si="153"/>
        <v>0</v>
      </c>
      <c r="S358" s="68">
        <f t="shared" si="153"/>
        <v>0</v>
      </c>
      <c r="T358" s="68">
        <f t="shared" si="153"/>
        <v>0</v>
      </c>
      <c r="U358" s="69">
        <f t="shared" si="153"/>
        <v>4524.5</v>
      </c>
      <c r="V358" s="70">
        <f t="shared" si="153"/>
        <v>4560</v>
      </c>
      <c r="W358" s="70">
        <f t="shared" si="153"/>
        <v>4489</v>
      </c>
      <c r="X358" s="70">
        <f t="shared" si="153"/>
        <v>0</v>
      </c>
      <c r="Y358" s="70">
        <f t="shared" si="153"/>
        <v>0</v>
      </c>
      <c r="Z358" s="70">
        <f t="shared" si="153"/>
        <v>0</v>
      </c>
      <c r="AA358" s="70">
        <f t="shared" si="153"/>
        <v>0</v>
      </c>
      <c r="AB358" s="70">
        <f t="shared" si="153"/>
        <v>0</v>
      </c>
      <c r="AC358" s="70">
        <f t="shared" si="153"/>
        <v>0</v>
      </c>
      <c r="AD358" s="69">
        <f t="shared" si="153"/>
        <v>0</v>
      </c>
      <c r="AE358" s="70">
        <f t="shared" si="153"/>
        <v>0</v>
      </c>
      <c r="AF358" s="70">
        <f t="shared" si="153"/>
        <v>0</v>
      </c>
      <c r="AG358" s="70">
        <f t="shared" si="153"/>
        <v>0</v>
      </c>
      <c r="AH358" s="70">
        <f t="shared" si="153"/>
        <v>0</v>
      </c>
      <c r="AI358" s="70">
        <f t="shared" si="153"/>
        <v>0</v>
      </c>
      <c r="AJ358" s="70">
        <f t="shared" si="153"/>
        <v>0</v>
      </c>
      <c r="AK358" s="70">
        <f t="shared" si="153"/>
        <v>0</v>
      </c>
      <c r="AL358" s="70">
        <f t="shared" si="153"/>
        <v>0</v>
      </c>
      <c r="AM358" s="70">
        <f t="shared" si="153"/>
        <v>71.10575474540525</v>
      </c>
      <c r="AN358" s="70">
        <f t="shared" si="153"/>
        <v>150</v>
      </c>
      <c r="AO358" s="71">
        <f t="shared" si="153"/>
        <v>17.600000000000001</v>
      </c>
      <c r="AP358" s="72">
        <f t="shared" si="153"/>
        <v>14.572799999999999</v>
      </c>
      <c r="AQ358" s="73">
        <f t="shared" si="153"/>
        <v>82.799999999999983</v>
      </c>
      <c r="AR358" s="73">
        <f t="shared" si="153"/>
        <v>17.200000000000017</v>
      </c>
      <c r="AS358" s="74">
        <f t="shared" si="153"/>
        <v>43</v>
      </c>
      <c r="AT358" s="75">
        <f t="shared" si="153"/>
        <v>16.600000000000001</v>
      </c>
      <c r="AU358" s="76">
        <f t="shared" si="153"/>
        <v>9.1000000000000014</v>
      </c>
      <c r="AV358" s="73">
        <f t="shared" si="153"/>
        <v>60.264900662251662</v>
      </c>
      <c r="AW358" s="73">
        <f t="shared" si="153"/>
        <v>46.385542168674696</v>
      </c>
      <c r="AX358" s="65">
        <f t="shared" si="153"/>
        <v>73.706969359143244</v>
      </c>
      <c r="AY358" s="77">
        <f t="shared" si="153"/>
        <v>78.449999999999989</v>
      </c>
      <c r="AZ358" s="78">
        <f t="shared" si="153"/>
        <v>63.93</v>
      </c>
      <c r="BA358" s="78">
        <f t="shared" si="153"/>
        <v>0</v>
      </c>
      <c r="BB358" s="78">
        <f t="shared" si="153"/>
        <v>81</v>
      </c>
      <c r="BC358" s="78">
        <f t="shared" si="153"/>
        <v>0</v>
      </c>
      <c r="BD358" s="79">
        <f t="shared" si="153"/>
        <v>150</v>
      </c>
      <c r="BE358" s="69">
        <f t="shared" si="153"/>
        <v>12796</v>
      </c>
      <c r="BF358" s="70">
        <f t="shared" si="153"/>
        <v>566</v>
      </c>
      <c r="BG358" s="80">
        <f t="shared" si="153"/>
        <v>1425</v>
      </c>
      <c r="BH358" s="80">
        <f t="shared" si="153"/>
        <v>7179</v>
      </c>
      <c r="BI358" s="80">
        <f t="shared" si="153"/>
        <v>5318</v>
      </c>
      <c r="BJ358" s="80">
        <f t="shared" si="153"/>
        <v>0</v>
      </c>
      <c r="BK358" s="80">
        <f t="shared" si="153"/>
        <v>0</v>
      </c>
      <c r="BL358" s="79">
        <f t="shared" si="153"/>
        <v>0</v>
      </c>
    </row>
    <row r="359" spans="1:64" outlineLevel="3" x14ac:dyDescent="0.3">
      <c r="A359" s="81" t="s">
        <v>94</v>
      </c>
      <c r="B359" s="82"/>
      <c r="C359" s="83">
        <f t="shared" ref="C359:BL359" si="154">SUBTOTAL(5,C327:C357)</f>
        <v>36.5</v>
      </c>
      <c r="D359" s="84">
        <f t="shared" si="154"/>
        <v>36</v>
      </c>
      <c r="E359" s="84">
        <f t="shared" si="154"/>
        <v>37</v>
      </c>
      <c r="F359" s="84">
        <f t="shared" si="154"/>
        <v>0</v>
      </c>
      <c r="G359" s="84">
        <f t="shared" si="154"/>
        <v>0</v>
      </c>
      <c r="H359" s="84">
        <f t="shared" si="154"/>
        <v>0</v>
      </c>
      <c r="I359" s="84">
        <f t="shared" si="154"/>
        <v>0</v>
      </c>
      <c r="J359" s="84">
        <f t="shared" si="154"/>
        <v>0</v>
      </c>
      <c r="K359" s="84">
        <f t="shared" si="154"/>
        <v>0</v>
      </c>
      <c r="L359" s="85">
        <f t="shared" si="154"/>
        <v>7.5</v>
      </c>
      <c r="M359" s="86">
        <f t="shared" si="154"/>
        <v>7.52</v>
      </c>
      <c r="N359" s="86">
        <f t="shared" si="154"/>
        <v>7.49</v>
      </c>
      <c r="O359" s="86">
        <f t="shared" si="154"/>
        <v>0</v>
      </c>
      <c r="P359" s="86">
        <f t="shared" si="154"/>
        <v>0</v>
      </c>
      <c r="Q359" s="86">
        <f t="shared" si="154"/>
        <v>0</v>
      </c>
      <c r="R359" s="86">
        <f t="shared" si="154"/>
        <v>0</v>
      </c>
      <c r="S359" s="86">
        <f t="shared" si="154"/>
        <v>0</v>
      </c>
      <c r="T359" s="86">
        <f t="shared" si="154"/>
        <v>0</v>
      </c>
      <c r="U359" s="87">
        <f t="shared" si="154"/>
        <v>1250</v>
      </c>
      <c r="V359" s="88">
        <f t="shared" si="154"/>
        <v>1250</v>
      </c>
      <c r="W359" s="88">
        <f t="shared" si="154"/>
        <v>1150</v>
      </c>
      <c r="X359" s="88">
        <f t="shared" si="154"/>
        <v>0</v>
      </c>
      <c r="Y359" s="88">
        <f t="shared" si="154"/>
        <v>0</v>
      </c>
      <c r="Z359" s="88">
        <f t="shared" si="154"/>
        <v>0</v>
      </c>
      <c r="AA359" s="88">
        <f t="shared" si="154"/>
        <v>0</v>
      </c>
      <c r="AB359" s="88">
        <f t="shared" si="154"/>
        <v>0</v>
      </c>
      <c r="AC359" s="88">
        <f t="shared" si="154"/>
        <v>0</v>
      </c>
      <c r="AD359" s="87">
        <f t="shared" si="154"/>
        <v>0</v>
      </c>
      <c r="AE359" s="88">
        <f t="shared" si="154"/>
        <v>0</v>
      </c>
      <c r="AF359" s="88">
        <f t="shared" si="154"/>
        <v>0</v>
      </c>
      <c r="AG359" s="88">
        <f t="shared" si="154"/>
        <v>0</v>
      </c>
      <c r="AH359" s="88">
        <f t="shared" si="154"/>
        <v>0</v>
      </c>
      <c r="AI359" s="88">
        <f t="shared" si="154"/>
        <v>0</v>
      </c>
      <c r="AJ359" s="88">
        <f t="shared" si="154"/>
        <v>0</v>
      </c>
      <c r="AK359" s="88">
        <f t="shared" si="154"/>
        <v>0</v>
      </c>
      <c r="AL359" s="88">
        <f t="shared" si="154"/>
        <v>0</v>
      </c>
      <c r="AM359" s="88">
        <f t="shared" si="154"/>
        <v>31.466666666666665</v>
      </c>
      <c r="AN359" s="88">
        <f t="shared" si="154"/>
        <v>66.38</v>
      </c>
      <c r="AO359" s="89">
        <f t="shared" si="154"/>
        <v>17.600000000000001</v>
      </c>
      <c r="AP359" s="90">
        <f t="shared" si="154"/>
        <v>14.572799999999999</v>
      </c>
      <c r="AQ359" s="91">
        <f t="shared" si="154"/>
        <v>82.799999999999983</v>
      </c>
      <c r="AR359" s="91">
        <f t="shared" si="154"/>
        <v>17.200000000000017</v>
      </c>
      <c r="AS359" s="92">
        <f t="shared" si="154"/>
        <v>0</v>
      </c>
      <c r="AT359" s="93">
        <f t="shared" si="154"/>
        <v>15.100000000000001</v>
      </c>
      <c r="AU359" s="94">
        <f t="shared" si="154"/>
        <v>8.35</v>
      </c>
      <c r="AV359" s="91">
        <f t="shared" si="154"/>
        <v>53.614457831325304</v>
      </c>
      <c r="AW359" s="91">
        <f t="shared" si="154"/>
        <v>39.735099337748338</v>
      </c>
      <c r="AX359" s="83">
        <f t="shared" si="154"/>
        <v>73.706969359143244</v>
      </c>
      <c r="AY359" s="95">
        <f t="shared" si="154"/>
        <v>71</v>
      </c>
      <c r="AZ359" s="96">
        <f t="shared" si="154"/>
        <v>60.605000000000004</v>
      </c>
      <c r="BA359" s="96">
        <f t="shared" si="154"/>
        <v>0</v>
      </c>
      <c r="BB359" s="96">
        <f t="shared" si="154"/>
        <v>37.5</v>
      </c>
      <c r="BC359" s="96">
        <f t="shared" si="154"/>
        <v>0</v>
      </c>
      <c r="BD359" s="97">
        <f t="shared" si="154"/>
        <v>66.38</v>
      </c>
      <c r="BE359" s="87">
        <f t="shared" si="154"/>
        <v>3645</v>
      </c>
      <c r="BF359" s="88">
        <f t="shared" si="154"/>
        <v>0</v>
      </c>
      <c r="BG359" s="98">
        <f t="shared" si="154"/>
        <v>0</v>
      </c>
      <c r="BH359" s="98">
        <f t="shared" si="154"/>
        <v>0</v>
      </c>
      <c r="BI359" s="98">
        <f t="shared" si="154"/>
        <v>3336</v>
      </c>
      <c r="BJ359" s="98">
        <f t="shared" si="154"/>
        <v>0</v>
      </c>
      <c r="BK359" s="98">
        <f t="shared" si="154"/>
        <v>0</v>
      </c>
      <c r="BL359" s="97">
        <f t="shared" si="154"/>
        <v>0</v>
      </c>
    </row>
    <row r="360" spans="1:64" outlineLevel="2" x14ac:dyDescent="0.3">
      <c r="A360" s="81" t="s">
        <v>95</v>
      </c>
      <c r="B360" s="82"/>
      <c r="C360" s="83">
        <f t="shared" ref="C360:BL360" si="155">IFERROR(SUBTOTAL(1,C327:C357),"")</f>
        <v>37.951612903225808</v>
      </c>
      <c r="D360" s="84">
        <f t="shared" si="155"/>
        <v>37.774193548387096</v>
      </c>
      <c r="E360" s="84">
        <f t="shared" si="155"/>
        <v>38.12903225806452</v>
      </c>
      <c r="F360" s="84" t="str">
        <f t="shared" si="155"/>
        <v/>
      </c>
      <c r="G360" s="84" t="str">
        <f t="shared" si="155"/>
        <v/>
      </c>
      <c r="H360" s="84" t="str">
        <f t="shared" si="155"/>
        <v/>
      </c>
      <c r="I360" s="84" t="str">
        <f t="shared" si="155"/>
        <v/>
      </c>
      <c r="J360" s="84" t="str">
        <f t="shared" si="155"/>
        <v/>
      </c>
      <c r="K360" s="84" t="str">
        <f t="shared" si="155"/>
        <v/>
      </c>
      <c r="L360" s="85">
        <f t="shared" si="155"/>
        <v>7.5888888888888903</v>
      </c>
      <c r="M360" s="86">
        <f t="shared" si="155"/>
        <v>7.641111111111111</v>
      </c>
      <c r="N360" s="86">
        <f t="shared" si="155"/>
        <v>7.5444444444444452</v>
      </c>
      <c r="O360" s="86" t="str">
        <f t="shared" si="155"/>
        <v/>
      </c>
      <c r="P360" s="86" t="str">
        <f t="shared" si="155"/>
        <v/>
      </c>
      <c r="Q360" s="86" t="str">
        <f t="shared" si="155"/>
        <v/>
      </c>
      <c r="R360" s="86" t="str">
        <f t="shared" si="155"/>
        <v/>
      </c>
      <c r="S360" s="86" t="str">
        <f t="shared" si="155"/>
        <v/>
      </c>
      <c r="T360" s="86" t="str">
        <f t="shared" si="155"/>
        <v/>
      </c>
      <c r="U360" s="87">
        <f t="shared" si="155"/>
        <v>1882.8333333333333</v>
      </c>
      <c r="V360" s="88">
        <f t="shared" si="155"/>
        <v>2011.6999999999998</v>
      </c>
      <c r="W360" s="88">
        <f t="shared" si="155"/>
        <v>1753.9555555555555</v>
      </c>
      <c r="X360" s="88" t="str">
        <f t="shared" si="155"/>
        <v/>
      </c>
      <c r="Y360" s="88" t="str">
        <f t="shared" si="155"/>
        <v/>
      </c>
      <c r="Z360" s="88" t="str">
        <f t="shared" si="155"/>
        <v/>
      </c>
      <c r="AA360" s="88" t="str">
        <f t="shared" si="155"/>
        <v/>
      </c>
      <c r="AB360" s="88" t="str">
        <f t="shared" si="155"/>
        <v/>
      </c>
      <c r="AC360" s="88" t="str">
        <f t="shared" si="155"/>
        <v/>
      </c>
      <c r="AD360" s="87" t="str">
        <f t="shared" si="155"/>
        <v/>
      </c>
      <c r="AE360" s="88" t="str">
        <f t="shared" si="155"/>
        <v/>
      </c>
      <c r="AF360" s="88" t="str">
        <f t="shared" si="155"/>
        <v/>
      </c>
      <c r="AG360" s="88" t="str">
        <f t="shared" si="155"/>
        <v/>
      </c>
      <c r="AH360" s="88" t="str">
        <f t="shared" si="155"/>
        <v/>
      </c>
      <c r="AI360" s="88" t="str">
        <f t="shared" si="155"/>
        <v/>
      </c>
      <c r="AJ360" s="88" t="str">
        <f t="shared" si="155"/>
        <v/>
      </c>
      <c r="AK360" s="88" t="str">
        <f t="shared" si="155"/>
        <v/>
      </c>
      <c r="AL360" s="88" t="str">
        <f t="shared" si="155"/>
        <v/>
      </c>
      <c r="AM360" s="88">
        <f t="shared" si="155"/>
        <v>40.765877227184859</v>
      </c>
      <c r="AN360" s="88">
        <f t="shared" si="155"/>
        <v>119.51903225806453</v>
      </c>
      <c r="AO360" s="89">
        <f t="shared" si="155"/>
        <v>17.600000000000001</v>
      </c>
      <c r="AP360" s="90">
        <f t="shared" si="155"/>
        <v>14.572799999999999</v>
      </c>
      <c r="AQ360" s="91">
        <f t="shared" si="155"/>
        <v>82.799999999999983</v>
      </c>
      <c r="AR360" s="91">
        <f t="shared" si="155"/>
        <v>17.200000000000017</v>
      </c>
      <c r="AS360" s="92">
        <f t="shared" si="155"/>
        <v>23.06451612903226</v>
      </c>
      <c r="AT360" s="93">
        <f t="shared" si="155"/>
        <v>15.94375</v>
      </c>
      <c r="AU360" s="94">
        <f t="shared" si="155"/>
        <v>8.8187500000000014</v>
      </c>
      <c r="AV360" s="91">
        <f t="shared" si="155"/>
        <v>55.349671180244613</v>
      </c>
      <c r="AW360" s="91">
        <f t="shared" si="155"/>
        <v>44.650328819755387</v>
      </c>
      <c r="AX360" s="83">
        <f t="shared" si="155"/>
        <v>73.706969359143244</v>
      </c>
      <c r="AY360" s="95">
        <f t="shared" si="155"/>
        <v>74.825000000000003</v>
      </c>
      <c r="AZ360" s="96">
        <f t="shared" si="155"/>
        <v>62.106612903225816</v>
      </c>
      <c r="BA360" s="96" t="str">
        <f t="shared" si="155"/>
        <v/>
      </c>
      <c r="BB360" s="96">
        <f t="shared" si="155"/>
        <v>67.774193548387103</v>
      </c>
      <c r="BC360" s="96" t="str">
        <f t="shared" si="155"/>
        <v/>
      </c>
      <c r="BD360" s="97">
        <f>IFERROR(SUBTOTAL(1,BD327:BD357),"")</f>
        <v>119.51903225806453</v>
      </c>
      <c r="BE360" s="87">
        <f t="shared" si="155"/>
        <v>7787.2903225806449</v>
      </c>
      <c r="BF360" s="88">
        <f t="shared" si="155"/>
        <v>221.67741935483872</v>
      </c>
      <c r="BG360" s="98">
        <f t="shared" si="155"/>
        <v>299.83870967741933</v>
      </c>
      <c r="BH360" s="98">
        <f t="shared" si="155"/>
        <v>2269.6129032258063</v>
      </c>
      <c r="BI360" s="98">
        <f t="shared" si="155"/>
        <v>4996.1612903225805</v>
      </c>
      <c r="BJ360" s="98" t="str">
        <f t="shared" si="155"/>
        <v/>
      </c>
      <c r="BK360" s="98" t="str">
        <f t="shared" si="155"/>
        <v/>
      </c>
      <c r="BL360" s="97" t="str">
        <f t="shared" si="155"/>
        <v/>
      </c>
    </row>
    <row r="361" spans="1:64" ht="17.25" outlineLevel="1" thickBot="1" x14ac:dyDescent="0.35">
      <c r="A361" s="99" t="s">
        <v>96</v>
      </c>
      <c r="B361" s="100"/>
      <c r="C361" s="101"/>
      <c r="D361" s="102"/>
      <c r="E361" s="102"/>
      <c r="F361" s="102"/>
      <c r="G361" s="102"/>
      <c r="H361" s="102"/>
      <c r="I361" s="102"/>
      <c r="J361" s="102"/>
      <c r="K361" s="102"/>
      <c r="L361" s="103"/>
      <c r="M361" s="104"/>
      <c r="N361" s="104"/>
      <c r="O361" s="104"/>
      <c r="P361" s="104"/>
      <c r="Q361" s="104"/>
      <c r="R361" s="104"/>
      <c r="S361" s="104"/>
      <c r="T361" s="104"/>
      <c r="U361" s="105"/>
      <c r="V361" s="106"/>
      <c r="W361" s="106"/>
      <c r="X361" s="106"/>
      <c r="Y361" s="106"/>
      <c r="Z361" s="106"/>
      <c r="AA361" s="106"/>
      <c r="AB361" s="106"/>
      <c r="AC361" s="106"/>
      <c r="AD361" s="105"/>
      <c r="AE361" s="106"/>
      <c r="AF361" s="106"/>
      <c r="AG361" s="106"/>
      <c r="AH361" s="106"/>
      <c r="AI361" s="106"/>
      <c r="AJ361" s="106"/>
      <c r="AK361" s="106"/>
      <c r="AL361" s="106"/>
      <c r="AM361" s="106"/>
      <c r="AN361" s="107">
        <f>SUBTOTAL(9,AN327:AN357)</f>
        <v>3705.09</v>
      </c>
      <c r="AO361" s="108"/>
      <c r="AP361" s="109"/>
      <c r="AQ361" s="110"/>
      <c r="AR361" s="110"/>
      <c r="AS361" s="111">
        <f>SUBTOTAL(9,AS327:AS357)</f>
        <v>715</v>
      </c>
      <c r="AT361" s="112"/>
      <c r="AU361" s="113"/>
      <c r="AV361" s="110"/>
      <c r="AW361" s="110"/>
      <c r="AX361" s="101"/>
      <c r="AY361" s="114"/>
      <c r="AZ361" s="115"/>
      <c r="BA361" s="115"/>
      <c r="BB361" s="115"/>
      <c r="BC361" s="115"/>
      <c r="BD361" s="116">
        <f>SUBTOTAL(9,BD327:BD357)</f>
        <v>3705.09</v>
      </c>
      <c r="BE361" s="117">
        <f t="shared" ref="BE361:BL361" si="156">SUBTOTAL(9,BE327:BE357)</f>
        <v>241406</v>
      </c>
      <c r="BF361" s="107">
        <f t="shared" si="156"/>
        <v>6872</v>
      </c>
      <c r="BG361" s="118">
        <f t="shared" si="156"/>
        <v>9295</v>
      </c>
      <c r="BH361" s="118">
        <f t="shared" si="156"/>
        <v>70358</v>
      </c>
      <c r="BI361" s="118">
        <f t="shared" si="156"/>
        <v>154881</v>
      </c>
      <c r="BJ361" s="118">
        <f t="shared" si="156"/>
        <v>0</v>
      </c>
      <c r="BK361" s="118">
        <f t="shared" si="156"/>
        <v>0</v>
      </c>
      <c r="BL361" s="116">
        <f t="shared" si="156"/>
        <v>0</v>
      </c>
    </row>
    <row r="362" spans="1:64" outlineLevel="5" x14ac:dyDescent="0.3">
      <c r="A362" s="136">
        <f t="shared" si="135"/>
        <v>11</v>
      </c>
      <c r="B362" s="165">
        <f>B357+1</f>
        <v>44501</v>
      </c>
      <c r="C362" s="138">
        <f t="shared" ref="C362:C391" si="157">IFERROR(ROUND(AVERAGE(D362:K362),1),"")</f>
        <v>38</v>
      </c>
      <c r="D362" s="84">
        <v>38</v>
      </c>
      <c r="E362" s="84">
        <v>38</v>
      </c>
      <c r="F362" s="84"/>
      <c r="G362" s="84"/>
      <c r="H362" s="84"/>
      <c r="I362" s="84"/>
      <c r="J362" s="84"/>
      <c r="K362" s="84"/>
      <c r="L362" s="140">
        <f t="shared" ref="L362:L391" si="158">IFERROR(ROUND(AVERAGE(M362:T362),1),"")</f>
        <v>7.7</v>
      </c>
      <c r="M362" s="86">
        <v>7.78</v>
      </c>
      <c r="N362" s="86">
        <v>7.61</v>
      </c>
      <c r="O362" s="86"/>
      <c r="P362" s="86"/>
      <c r="Q362" s="86"/>
      <c r="R362" s="86"/>
      <c r="S362" s="86"/>
      <c r="T362" s="86"/>
      <c r="U362" s="142">
        <f t="shared" ref="U362:U391" si="159">IFERROR(ROUND(AVERAGE(V362:AC362),1),"")</f>
        <v>1630</v>
      </c>
      <c r="V362" s="88">
        <v>1750</v>
      </c>
      <c r="W362" s="88">
        <v>1510</v>
      </c>
      <c r="X362" s="88"/>
      <c r="Y362" s="88"/>
      <c r="Z362" s="88"/>
      <c r="AA362" s="88"/>
      <c r="AB362" s="88"/>
      <c r="AC362" s="88"/>
      <c r="AD362" s="142" t="str">
        <f t="shared" ref="AD362:AD391" si="160">IFERROR(ROUND(AVERAGE(AE362:AL362),1),"")</f>
        <v/>
      </c>
      <c r="AE362" s="88"/>
      <c r="AF362" s="88"/>
      <c r="AG362" s="88"/>
      <c r="AH362" s="88"/>
      <c r="AI362" s="88"/>
      <c r="AJ362" s="88"/>
      <c r="AK362" s="88"/>
      <c r="AL362" s="88"/>
      <c r="AM362" s="88">
        <v>38.908581320583629</v>
      </c>
      <c r="AN362" s="88">
        <v>121.31</v>
      </c>
      <c r="AO362" s="89" t="s">
        <v>56</v>
      </c>
      <c r="AP362" s="90" t="s">
        <v>56</v>
      </c>
      <c r="AQ362" s="146" t="str">
        <f t="shared" ref="AQ362:AQ391" si="161">IFERROR(AP362/AO362*100,"")</f>
        <v/>
      </c>
      <c r="AR362" s="146" t="str">
        <f t="shared" ref="AR362:AR391" si="162">IFERROR(100-AQ362,"")</f>
        <v/>
      </c>
      <c r="AS362" s="147">
        <v>23</v>
      </c>
      <c r="AT362" s="148">
        <v>16.100000000000001</v>
      </c>
      <c r="AU362" s="149">
        <v>8.4</v>
      </c>
      <c r="AV362" s="146">
        <f t="shared" ref="AV362:AV391" si="163">IFERROR(AU362/AT362*100,"")</f>
        <v>52.173913043478258</v>
      </c>
      <c r="AW362" s="146">
        <f t="shared" ref="AW362:AW391" si="164">IFERROR(100-AV362,"")</f>
        <v>47.826086956521742</v>
      </c>
      <c r="AX362" s="138" t="str">
        <f t="shared" ref="AX362:AX391" si="165">IFERROR((1-((AV362*AR362)/(AW362*AQ362)))*100,"")</f>
        <v/>
      </c>
      <c r="AY362" s="95">
        <v>71.300000000000011</v>
      </c>
      <c r="AZ362" s="96">
        <v>62.3</v>
      </c>
      <c r="BA362" s="96"/>
      <c r="BB362" s="96">
        <v>66.5</v>
      </c>
      <c r="BC362" s="96"/>
      <c r="BD362" s="97">
        <v>121.31</v>
      </c>
      <c r="BE362" s="142">
        <f t="shared" ref="BE362:BE391" si="166">IF(SUM(BF362:BL362)=0,"",SUM(BF362:BL362))</f>
        <v>5410</v>
      </c>
      <c r="BF362" s="88">
        <v>2</v>
      </c>
      <c r="BG362" s="98">
        <v>0</v>
      </c>
      <c r="BH362" s="98">
        <v>453</v>
      </c>
      <c r="BI362" s="98">
        <v>4955</v>
      </c>
      <c r="BJ362" s="98"/>
      <c r="BK362" s="98"/>
      <c r="BL362" s="97"/>
    </row>
    <row r="363" spans="1:64" outlineLevel="5" x14ac:dyDescent="0.3">
      <c r="A363" s="152">
        <f t="shared" si="135"/>
        <v>11</v>
      </c>
      <c r="B363" s="153">
        <f t="shared" si="152"/>
        <v>44502</v>
      </c>
      <c r="C363" s="138">
        <f t="shared" si="157"/>
        <v>38</v>
      </c>
      <c r="D363" s="84">
        <v>38</v>
      </c>
      <c r="E363" s="84">
        <v>38</v>
      </c>
      <c r="F363" s="84"/>
      <c r="G363" s="84"/>
      <c r="H363" s="84"/>
      <c r="I363" s="84"/>
      <c r="J363" s="84"/>
      <c r="K363" s="84"/>
      <c r="L363" s="140" t="str">
        <f t="shared" si="158"/>
        <v/>
      </c>
      <c r="M363" s="86" t="s">
        <v>56</v>
      </c>
      <c r="N363" s="86" t="s">
        <v>56</v>
      </c>
      <c r="O363" s="86"/>
      <c r="P363" s="86"/>
      <c r="Q363" s="86"/>
      <c r="R363" s="86"/>
      <c r="S363" s="86"/>
      <c r="T363" s="86"/>
      <c r="U363" s="142" t="str">
        <f t="shared" si="159"/>
        <v/>
      </c>
      <c r="V363" s="88" t="s">
        <v>56</v>
      </c>
      <c r="W363" s="88" t="s">
        <v>56</v>
      </c>
      <c r="X363" s="88"/>
      <c r="Y363" s="88"/>
      <c r="Z363" s="88"/>
      <c r="AA363" s="88"/>
      <c r="AB363" s="88"/>
      <c r="AC363" s="88"/>
      <c r="AD363" s="142" t="str">
        <f t="shared" si="160"/>
        <v/>
      </c>
      <c r="AE363" s="88"/>
      <c r="AF363" s="88"/>
      <c r="AG363" s="88"/>
      <c r="AH363" s="88"/>
      <c r="AI363" s="88"/>
      <c r="AJ363" s="88"/>
      <c r="AK363" s="88"/>
      <c r="AL363" s="88"/>
      <c r="AM363" s="88">
        <v>35.885349349958183</v>
      </c>
      <c r="AN363" s="88">
        <v>131.53</v>
      </c>
      <c r="AO363" s="89" t="s">
        <v>56</v>
      </c>
      <c r="AP363" s="90" t="s">
        <v>56</v>
      </c>
      <c r="AQ363" s="146" t="str">
        <f t="shared" si="161"/>
        <v/>
      </c>
      <c r="AR363" s="146" t="str">
        <f t="shared" si="162"/>
        <v/>
      </c>
      <c r="AS363" s="147">
        <v>40</v>
      </c>
      <c r="AT363" s="148" t="s">
        <v>56</v>
      </c>
      <c r="AU363" s="149" t="s">
        <v>56</v>
      </c>
      <c r="AV363" s="146" t="str">
        <f t="shared" si="163"/>
        <v/>
      </c>
      <c r="AW363" s="146" t="str">
        <f t="shared" si="164"/>
        <v/>
      </c>
      <c r="AX363" s="138" t="str">
        <f t="shared" si="165"/>
        <v/>
      </c>
      <c r="AY363" s="95" t="s">
        <v>56</v>
      </c>
      <c r="AZ363" s="96">
        <v>63.61</v>
      </c>
      <c r="BA363" s="96"/>
      <c r="BB363" s="96">
        <v>67</v>
      </c>
      <c r="BC363" s="96"/>
      <c r="BD363" s="97">
        <v>131.53</v>
      </c>
      <c r="BE363" s="142">
        <f t="shared" si="166"/>
        <v>10918</v>
      </c>
      <c r="BF363" s="88">
        <v>155</v>
      </c>
      <c r="BG363" s="98">
        <v>0</v>
      </c>
      <c r="BH363" s="98">
        <v>5641</v>
      </c>
      <c r="BI363" s="98">
        <v>5122</v>
      </c>
      <c r="BJ363" s="98"/>
      <c r="BK363" s="98"/>
      <c r="BL363" s="97"/>
    </row>
    <row r="364" spans="1:64" outlineLevel="5" x14ac:dyDescent="0.3">
      <c r="A364" s="152">
        <f t="shared" si="135"/>
        <v>11</v>
      </c>
      <c r="B364" s="153">
        <f t="shared" si="152"/>
        <v>44503</v>
      </c>
      <c r="C364" s="138">
        <f t="shared" si="157"/>
        <v>38</v>
      </c>
      <c r="D364" s="84">
        <v>38</v>
      </c>
      <c r="E364" s="84">
        <v>38</v>
      </c>
      <c r="F364" s="84"/>
      <c r="G364" s="84"/>
      <c r="H364" s="84"/>
      <c r="I364" s="84"/>
      <c r="J364" s="84"/>
      <c r="K364" s="84"/>
      <c r="L364" s="140">
        <f t="shared" si="158"/>
        <v>7.7</v>
      </c>
      <c r="M364" s="86">
        <v>7.7</v>
      </c>
      <c r="N364" s="86">
        <v>7.62</v>
      </c>
      <c r="O364" s="86"/>
      <c r="P364" s="86"/>
      <c r="Q364" s="86"/>
      <c r="R364" s="86"/>
      <c r="S364" s="86"/>
      <c r="T364" s="86"/>
      <c r="U364" s="142">
        <f t="shared" si="159"/>
        <v>1665.2</v>
      </c>
      <c r="V364" s="88">
        <v>1686.8</v>
      </c>
      <c r="W364" s="88">
        <v>1643.5</v>
      </c>
      <c r="X364" s="88"/>
      <c r="Y364" s="88"/>
      <c r="Z364" s="88"/>
      <c r="AA364" s="88"/>
      <c r="AB364" s="88"/>
      <c r="AC364" s="88"/>
      <c r="AD364" s="142" t="str">
        <f t="shared" si="160"/>
        <v/>
      </c>
      <c r="AE364" s="88"/>
      <c r="AF364" s="88"/>
      <c r="AG364" s="88"/>
      <c r="AH364" s="88"/>
      <c r="AI364" s="88"/>
      <c r="AJ364" s="88"/>
      <c r="AK364" s="88"/>
      <c r="AL364" s="88"/>
      <c r="AM364" s="88">
        <v>43.022513900282561</v>
      </c>
      <c r="AN364" s="88">
        <v>109.71000000000001</v>
      </c>
      <c r="AO364" s="89" t="s">
        <v>56</v>
      </c>
      <c r="AP364" s="90" t="s">
        <v>56</v>
      </c>
      <c r="AQ364" s="146" t="str">
        <f t="shared" si="161"/>
        <v/>
      </c>
      <c r="AR364" s="146" t="str">
        <f t="shared" si="162"/>
        <v/>
      </c>
      <c r="AS364" s="147">
        <v>40</v>
      </c>
      <c r="AT364" s="148">
        <v>15.4</v>
      </c>
      <c r="AU364" s="149">
        <v>7.25</v>
      </c>
      <c r="AV364" s="146">
        <f t="shared" si="163"/>
        <v>47.077922077922075</v>
      </c>
      <c r="AW364" s="146">
        <f t="shared" si="164"/>
        <v>52.922077922077925</v>
      </c>
      <c r="AX364" s="138" t="str">
        <f t="shared" si="165"/>
        <v/>
      </c>
      <c r="AY364" s="95">
        <v>75.699999999999989</v>
      </c>
      <c r="AZ364" s="96">
        <v>61.975000000000001</v>
      </c>
      <c r="BA364" s="96"/>
      <c r="BB364" s="96">
        <v>68.5</v>
      </c>
      <c r="BC364" s="96"/>
      <c r="BD364" s="97">
        <v>109.71000000000001</v>
      </c>
      <c r="BE364" s="142">
        <f t="shared" si="166"/>
        <v>13558</v>
      </c>
      <c r="BF364" s="88">
        <v>270</v>
      </c>
      <c r="BG364" s="98">
        <v>0</v>
      </c>
      <c r="BH364" s="98">
        <v>8294</v>
      </c>
      <c r="BI364" s="98">
        <v>4994</v>
      </c>
      <c r="BJ364" s="98"/>
      <c r="BK364" s="98"/>
      <c r="BL364" s="97"/>
    </row>
    <row r="365" spans="1:64" outlineLevel="5" x14ac:dyDescent="0.3">
      <c r="A365" s="152">
        <f t="shared" si="135"/>
        <v>11</v>
      </c>
      <c r="B365" s="153">
        <f t="shared" si="152"/>
        <v>44504</v>
      </c>
      <c r="C365" s="138">
        <f t="shared" si="157"/>
        <v>37.5</v>
      </c>
      <c r="D365" s="84">
        <v>38</v>
      </c>
      <c r="E365" s="84">
        <v>37</v>
      </c>
      <c r="F365" s="84"/>
      <c r="G365" s="84"/>
      <c r="H365" s="84"/>
      <c r="I365" s="84"/>
      <c r="J365" s="84"/>
      <c r="K365" s="84"/>
      <c r="L365" s="140">
        <f t="shared" si="158"/>
        <v>7.7</v>
      </c>
      <c r="M365" s="86">
        <v>7.72</v>
      </c>
      <c r="N365" s="86">
        <v>7.64</v>
      </c>
      <c r="O365" s="86"/>
      <c r="P365" s="86"/>
      <c r="Q365" s="86"/>
      <c r="R365" s="86"/>
      <c r="S365" s="86"/>
      <c r="T365" s="86"/>
      <c r="U365" s="142">
        <f t="shared" si="159"/>
        <v>1635.5</v>
      </c>
      <c r="V365" s="88">
        <v>1642.1</v>
      </c>
      <c r="W365" s="88">
        <v>1628.8</v>
      </c>
      <c r="X365" s="88"/>
      <c r="Y365" s="88"/>
      <c r="Z365" s="88"/>
      <c r="AA365" s="88"/>
      <c r="AB365" s="88"/>
      <c r="AC365" s="88"/>
      <c r="AD365" s="142" t="str">
        <f t="shared" si="160"/>
        <v/>
      </c>
      <c r="AE365" s="88"/>
      <c r="AF365" s="88"/>
      <c r="AG365" s="88"/>
      <c r="AH365" s="88"/>
      <c r="AI365" s="88"/>
      <c r="AJ365" s="88"/>
      <c r="AK365" s="88"/>
      <c r="AL365" s="88"/>
      <c r="AM365" s="88">
        <v>36.987696888958553</v>
      </c>
      <c r="AN365" s="88">
        <v>127.60999999999999</v>
      </c>
      <c r="AO365" s="89" t="s">
        <v>56</v>
      </c>
      <c r="AP365" s="90" t="s">
        <v>56</v>
      </c>
      <c r="AQ365" s="146" t="str">
        <f t="shared" si="161"/>
        <v/>
      </c>
      <c r="AR365" s="146" t="str">
        <f t="shared" si="162"/>
        <v/>
      </c>
      <c r="AS365" s="147">
        <v>40</v>
      </c>
      <c r="AT365" s="148">
        <v>14.850000000000001</v>
      </c>
      <c r="AU365" s="149">
        <v>7.5</v>
      </c>
      <c r="AV365" s="146">
        <f t="shared" si="163"/>
        <v>50.505050505050498</v>
      </c>
      <c r="AW365" s="146">
        <f t="shared" si="164"/>
        <v>49.494949494949502</v>
      </c>
      <c r="AX365" s="138" t="str">
        <f t="shared" si="165"/>
        <v/>
      </c>
      <c r="AY365" s="95">
        <v>76.8</v>
      </c>
      <c r="AZ365" s="96">
        <v>61.814999999999998</v>
      </c>
      <c r="BA365" s="96"/>
      <c r="BB365" s="96">
        <v>69.5</v>
      </c>
      <c r="BC365" s="96"/>
      <c r="BD365" s="97">
        <v>127.60999999999999</v>
      </c>
      <c r="BE365" s="142">
        <f t="shared" si="166"/>
        <v>13270</v>
      </c>
      <c r="BF365" s="88">
        <v>294</v>
      </c>
      <c r="BG365" s="98">
        <v>0</v>
      </c>
      <c r="BH365" s="98">
        <v>7900</v>
      </c>
      <c r="BI365" s="98">
        <v>5076</v>
      </c>
      <c r="BJ365" s="98"/>
      <c r="BK365" s="98"/>
      <c r="BL365" s="97"/>
    </row>
    <row r="366" spans="1:64" outlineLevel="5" x14ac:dyDescent="0.3">
      <c r="A366" s="152">
        <f t="shared" si="135"/>
        <v>11</v>
      </c>
      <c r="B366" s="153">
        <f t="shared" si="152"/>
        <v>44505</v>
      </c>
      <c r="C366" s="138">
        <f t="shared" si="157"/>
        <v>38</v>
      </c>
      <c r="D366" s="84">
        <v>38</v>
      </c>
      <c r="E366" s="84">
        <v>38</v>
      </c>
      <c r="F366" s="84"/>
      <c r="G366" s="84"/>
      <c r="H366" s="84"/>
      <c r="I366" s="84"/>
      <c r="J366" s="84"/>
      <c r="K366" s="84"/>
      <c r="L366" s="140" t="str">
        <f t="shared" si="158"/>
        <v/>
      </c>
      <c r="M366" s="86" t="s">
        <v>56</v>
      </c>
      <c r="N366" s="86" t="s">
        <v>56</v>
      </c>
      <c r="O366" s="86"/>
      <c r="P366" s="86"/>
      <c r="Q366" s="86"/>
      <c r="R366" s="86"/>
      <c r="S366" s="86"/>
      <c r="T366" s="86"/>
      <c r="U366" s="142" t="str">
        <f t="shared" si="159"/>
        <v/>
      </c>
      <c r="V366" s="88" t="s">
        <v>56</v>
      </c>
      <c r="W366" s="88" t="s">
        <v>56</v>
      </c>
      <c r="X366" s="88"/>
      <c r="Y366" s="88"/>
      <c r="Z366" s="88"/>
      <c r="AA366" s="88"/>
      <c r="AB366" s="88"/>
      <c r="AC366" s="88"/>
      <c r="AD366" s="142" t="str">
        <f t="shared" si="160"/>
        <v/>
      </c>
      <c r="AE366" s="88"/>
      <c r="AF366" s="88"/>
      <c r="AG366" s="88"/>
      <c r="AH366" s="88"/>
      <c r="AI366" s="88"/>
      <c r="AJ366" s="88"/>
      <c r="AK366" s="88"/>
      <c r="AL366" s="88"/>
      <c r="AM366" s="88">
        <v>36.577805331680104</v>
      </c>
      <c r="AN366" s="88">
        <v>129.04</v>
      </c>
      <c r="AO366" s="89" t="s">
        <v>56</v>
      </c>
      <c r="AP366" s="90"/>
      <c r="AQ366" s="146" t="str">
        <f t="shared" si="161"/>
        <v/>
      </c>
      <c r="AR366" s="146" t="str">
        <f t="shared" si="162"/>
        <v/>
      </c>
      <c r="AS366" s="147">
        <v>40</v>
      </c>
      <c r="AT366" s="148" t="s">
        <v>56</v>
      </c>
      <c r="AU366" s="149" t="s">
        <v>56</v>
      </c>
      <c r="AV366" s="146" t="str">
        <f t="shared" si="163"/>
        <v/>
      </c>
      <c r="AW366" s="146" t="str">
        <f t="shared" si="164"/>
        <v/>
      </c>
      <c r="AX366" s="138" t="str">
        <f t="shared" si="165"/>
        <v/>
      </c>
      <c r="AY366" s="95" t="s">
        <v>56</v>
      </c>
      <c r="AZ366" s="96">
        <v>62.72</v>
      </c>
      <c r="BA366" s="96"/>
      <c r="BB366" s="96">
        <v>70</v>
      </c>
      <c r="BC366" s="96"/>
      <c r="BD366" s="97">
        <v>129.04</v>
      </c>
      <c r="BE366" s="142">
        <f t="shared" si="166"/>
        <v>11487</v>
      </c>
      <c r="BF366" s="88">
        <v>315</v>
      </c>
      <c r="BG366" s="98">
        <v>0</v>
      </c>
      <c r="BH366" s="98">
        <v>6127</v>
      </c>
      <c r="BI366" s="98">
        <v>5045</v>
      </c>
      <c r="BJ366" s="98"/>
      <c r="BK366" s="98"/>
      <c r="BL366" s="97"/>
    </row>
    <row r="367" spans="1:64" outlineLevel="5" x14ac:dyDescent="0.3">
      <c r="A367" s="152">
        <f t="shared" si="135"/>
        <v>11</v>
      </c>
      <c r="B367" s="153">
        <f t="shared" si="152"/>
        <v>44506</v>
      </c>
      <c r="C367" s="138">
        <f t="shared" si="157"/>
        <v>38</v>
      </c>
      <c r="D367" s="84">
        <v>38</v>
      </c>
      <c r="E367" s="84">
        <v>38</v>
      </c>
      <c r="F367" s="84"/>
      <c r="G367" s="84"/>
      <c r="H367" s="84"/>
      <c r="I367" s="84"/>
      <c r="J367" s="84"/>
      <c r="K367" s="84"/>
      <c r="L367" s="140" t="str">
        <f t="shared" si="158"/>
        <v/>
      </c>
      <c r="M367" s="86"/>
      <c r="N367" s="86"/>
      <c r="O367" s="86"/>
      <c r="P367" s="86"/>
      <c r="Q367" s="86"/>
      <c r="R367" s="86"/>
      <c r="S367" s="86"/>
      <c r="T367" s="86"/>
      <c r="U367" s="142" t="str">
        <f t="shared" si="159"/>
        <v/>
      </c>
      <c r="V367" s="88"/>
      <c r="W367" s="88"/>
      <c r="X367" s="88"/>
      <c r="Y367" s="88"/>
      <c r="Z367" s="88"/>
      <c r="AA367" s="88"/>
      <c r="AB367" s="88"/>
      <c r="AC367" s="88"/>
      <c r="AD367" s="142" t="str">
        <f t="shared" si="160"/>
        <v/>
      </c>
      <c r="AE367" s="88"/>
      <c r="AF367" s="88"/>
      <c r="AG367" s="88"/>
      <c r="AH367" s="88"/>
      <c r="AI367" s="88"/>
      <c r="AJ367" s="88"/>
      <c r="AK367" s="88"/>
      <c r="AL367" s="88"/>
      <c r="AM367" s="88">
        <v>38.584157606474292</v>
      </c>
      <c r="AN367" s="88">
        <v>122.33</v>
      </c>
      <c r="AO367" s="89"/>
      <c r="AP367" s="90"/>
      <c r="AQ367" s="146" t="str">
        <f t="shared" si="161"/>
        <v/>
      </c>
      <c r="AR367" s="146" t="str">
        <f t="shared" si="162"/>
        <v/>
      </c>
      <c r="AS367" s="147">
        <v>0</v>
      </c>
      <c r="AT367" s="148" t="s">
        <v>56</v>
      </c>
      <c r="AU367" s="149" t="s">
        <v>56</v>
      </c>
      <c r="AV367" s="146" t="str">
        <f t="shared" si="163"/>
        <v/>
      </c>
      <c r="AW367" s="146" t="str">
        <f t="shared" si="164"/>
        <v/>
      </c>
      <c r="AX367" s="138" t="str">
        <f t="shared" si="165"/>
        <v/>
      </c>
      <c r="AY367" s="95" t="s">
        <v>56</v>
      </c>
      <c r="AZ367" s="96">
        <v>64.040000000000006</v>
      </c>
      <c r="BA367" s="96"/>
      <c r="BB367" s="96">
        <v>67.5</v>
      </c>
      <c r="BC367" s="96"/>
      <c r="BD367" s="97">
        <v>122.33</v>
      </c>
      <c r="BE367" s="142">
        <f t="shared" si="166"/>
        <v>9375</v>
      </c>
      <c r="BF367" s="88">
        <v>279</v>
      </c>
      <c r="BG367" s="98">
        <v>0</v>
      </c>
      <c r="BH367" s="98">
        <v>4152</v>
      </c>
      <c r="BI367" s="98">
        <v>4944</v>
      </c>
      <c r="BJ367" s="98"/>
      <c r="BK367" s="98"/>
      <c r="BL367" s="97"/>
    </row>
    <row r="368" spans="1:64" outlineLevel="5" x14ac:dyDescent="0.3">
      <c r="A368" s="152">
        <f t="shared" si="135"/>
        <v>11</v>
      </c>
      <c r="B368" s="153">
        <f t="shared" si="152"/>
        <v>44507</v>
      </c>
      <c r="C368" s="138">
        <f t="shared" si="157"/>
        <v>38</v>
      </c>
      <c r="D368" s="84">
        <v>38</v>
      </c>
      <c r="E368" s="84">
        <v>38</v>
      </c>
      <c r="F368" s="84"/>
      <c r="G368" s="84"/>
      <c r="H368" s="84"/>
      <c r="I368" s="84"/>
      <c r="J368" s="84"/>
      <c r="K368" s="84"/>
      <c r="L368" s="140" t="str">
        <f t="shared" si="158"/>
        <v/>
      </c>
      <c r="M368" s="86"/>
      <c r="N368" s="86"/>
      <c r="O368" s="86"/>
      <c r="P368" s="86"/>
      <c r="Q368" s="86"/>
      <c r="R368" s="86"/>
      <c r="S368" s="86"/>
      <c r="T368" s="86"/>
      <c r="U368" s="142" t="str">
        <f t="shared" si="159"/>
        <v/>
      </c>
      <c r="V368" s="88"/>
      <c r="W368" s="88"/>
      <c r="X368" s="88"/>
      <c r="Y368" s="88"/>
      <c r="Z368" s="88"/>
      <c r="AA368" s="88"/>
      <c r="AB368" s="88"/>
      <c r="AC368" s="88"/>
      <c r="AD368" s="142" t="str">
        <f t="shared" si="160"/>
        <v/>
      </c>
      <c r="AE368" s="88"/>
      <c r="AF368" s="88"/>
      <c r="AG368" s="88"/>
      <c r="AH368" s="88"/>
      <c r="AI368" s="88"/>
      <c r="AJ368" s="88"/>
      <c r="AK368" s="88"/>
      <c r="AL368" s="88"/>
      <c r="AM368" s="88">
        <v>44.952380952380949</v>
      </c>
      <c r="AN368" s="88">
        <v>105</v>
      </c>
      <c r="AO368" s="89"/>
      <c r="AP368" s="90"/>
      <c r="AQ368" s="146" t="str">
        <f t="shared" si="161"/>
        <v/>
      </c>
      <c r="AR368" s="146" t="str">
        <f t="shared" si="162"/>
        <v/>
      </c>
      <c r="AS368" s="147">
        <v>0</v>
      </c>
      <c r="AT368" s="148" t="s">
        <v>56</v>
      </c>
      <c r="AU368" s="149" t="s">
        <v>56</v>
      </c>
      <c r="AV368" s="146" t="str">
        <f t="shared" si="163"/>
        <v/>
      </c>
      <c r="AW368" s="146" t="str">
        <f t="shared" si="164"/>
        <v/>
      </c>
      <c r="AX368" s="138" t="str">
        <f t="shared" si="165"/>
        <v/>
      </c>
      <c r="AY368" s="95" t="s">
        <v>56</v>
      </c>
      <c r="AZ368" s="96">
        <v>63.164999999999999</v>
      </c>
      <c r="BA368" s="96"/>
      <c r="BB368" s="96">
        <v>64.5</v>
      </c>
      <c r="BC368" s="96"/>
      <c r="BD368" s="97">
        <v>105</v>
      </c>
      <c r="BE368" s="142">
        <f t="shared" si="166"/>
        <v>6908</v>
      </c>
      <c r="BF368" s="88">
        <v>224</v>
      </c>
      <c r="BG368" s="98">
        <v>0</v>
      </c>
      <c r="BH368" s="98">
        <v>2595</v>
      </c>
      <c r="BI368" s="98">
        <v>4089</v>
      </c>
      <c r="BJ368" s="98"/>
      <c r="BK368" s="98"/>
      <c r="BL368" s="97"/>
    </row>
    <row r="369" spans="1:64" outlineLevel="5" x14ac:dyDescent="0.3">
      <c r="A369" s="152">
        <f t="shared" si="135"/>
        <v>11</v>
      </c>
      <c r="B369" s="153">
        <f t="shared" si="152"/>
        <v>44508</v>
      </c>
      <c r="C369" s="138">
        <f t="shared" si="157"/>
        <v>38</v>
      </c>
      <c r="D369" s="84">
        <v>38</v>
      </c>
      <c r="E369" s="84">
        <v>38</v>
      </c>
      <c r="F369" s="84"/>
      <c r="G369" s="84"/>
      <c r="H369" s="84"/>
      <c r="I369" s="84"/>
      <c r="J369" s="84"/>
      <c r="K369" s="84"/>
      <c r="L369" s="140">
        <f t="shared" si="158"/>
        <v>7.7</v>
      </c>
      <c r="M369" s="86">
        <v>7.74</v>
      </c>
      <c r="N369" s="86">
        <v>7.62</v>
      </c>
      <c r="O369" s="86"/>
      <c r="P369" s="86"/>
      <c r="Q369" s="86"/>
      <c r="R369" s="86"/>
      <c r="S369" s="86"/>
      <c r="T369" s="86"/>
      <c r="U369" s="142">
        <f t="shared" si="159"/>
        <v>1625.5</v>
      </c>
      <c r="V369" s="88">
        <v>1628.4</v>
      </c>
      <c r="W369" s="88">
        <v>1622.6</v>
      </c>
      <c r="X369" s="88"/>
      <c r="Y369" s="88"/>
      <c r="Z369" s="88"/>
      <c r="AA369" s="88"/>
      <c r="AB369" s="88"/>
      <c r="AC369" s="88"/>
      <c r="AD369" s="142" t="str">
        <f t="shared" si="160"/>
        <v/>
      </c>
      <c r="AE369" s="88"/>
      <c r="AF369" s="88"/>
      <c r="AG369" s="88"/>
      <c r="AH369" s="88"/>
      <c r="AI369" s="88"/>
      <c r="AJ369" s="88"/>
      <c r="AK369" s="88"/>
      <c r="AL369" s="88"/>
      <c r="AM369" s="88">
        <v>38.710735668006237</v>
      </c>
      <c r="AN369" s="88">
        <v>121.92999999999999</v>
      </c>
      <c r="AO369" s="89">
        <v>18.3</v>
      </c>
      <c r="AP369" s="90">
        <v>15.372</v>
      </c>
      <c r="AQ369" s="146">
        <f t="shared" si="161"/>
        <v>84</v>
      </c>
      <c r="AR369" s="146">
        <f t="shared" si="162"/>
        <v>16</v>
      </c>
      <c r="AS369" s="147">
        <v>29</v>
      </c>
      <c r="AT369" s="148">
        <v>16.2</v>
      </c>
      <c r="AU369" s="149">
        <v>9.15</v>
      </c>
      <c r="AV369" s="146">
        <f t="shared" si="163"/>
        <v>56.481481481481488</v>
      </c>
      <c r="AW369" s="146">
        <f t="shared" si="164"/>
        <v>43.518518518518512</v>
      </c>
      <c r="AX369" s="138">
        <f t="shared" si="165"/>
        <v>75.278622087132717</v>
      </c>
      <c r="AY369" s="95">
        <v>75.849999999999994</v>
      </c>
      <c r="AZ369" s="96">
        <v>61.125</v>
      </c>
      <c r="BA369" s="96"/>
      <c r="BB369" s="96">
        <v>66</v>
      </c>
      <c r="BC369" s="96"/>
      <c r="BD369" s="97">
        <v>121.92999999999999</v>
      </c>
      <c r="BE369" s="142">
        <f t="shared" si="166"/>
        <v>4991</v>
      </c>
      <c r="BF369" s="88">
        <v>271</v>
      </c>
      <c r="BG369" s="98">
        <v>0</v>
      </c>
      <c r="BH369" s="98">
        <v>1762</v>
      </c>
      <c r="BI369" s="98">
        <v>2958</v>
      </c>
      <c r="BJ369" s="98"/>
      <c r="BK369" s="98"/>
      <c r="BL369" s="97"/>
    </row>
    <row r="370" spans="1:64" outlineLevel="5" x14ac:dyDescent="0.3">
      <c r="A370" s="152">
        <f t="shared" si="135"/>
        <v>11</v>
      </c>
      <c r="B370" s="153">
        <f t="shared" si="152"/>
        <v>44509</v>
      </c>
      <c r="C370" s="138">
        <f t="shared" si="157"/>
        <v>38</v>
      </c>
      <c r="D370" s="84">
        <v>38</v>
      </c>
      <c r="E370" s="84">
        <v>38</v>
      </c>
      <c r="F370" s="84"/>
      <c r="G370" s="84"/>
      <c r="H370" s="84"/>
      <c r="I370" s="84"/>
      <c r="J370" s="84"/>
      <c r="K370" s="84"/>
      <c r="L370" s="140" t="str">
        <f t="shared" si="158"/>
        <v/>
      </c>
      <c r="M370" s="86" t="s">
        <v>56</v>
      </c>
      <c r="N370" s="86" t="s">
        <v>56</v>
      </c>
      <c r="O370" s="86"/>
      <c r="P370" s="86"/>
      <c r="Q370" s="86"/>
      <c r="R370" s="86"/>
      <c r="S370" s="86"/>
      <c r="T370" s="86"/>
      <c r="U370" s="142" t="str">
        <f t="shared" si="159"/>
        <v/>
      </c>
      <c r="V370" s="88" t="s">
        <v>56</v>
      </c>
      <c r="W370" s="88" t="s">
        <v>56</v>
      </c>
      <c r="X370" s="88"/>
      <c r="Y370" s="88"/>
      <c r="Z370" s="88"/>
      <c r="AA370" s="88"/>
      <c r="AB370" s="88"/>
      <c r="AC370" s="88"/>
      <c r="AD370" s="142" t="str">
        <f t="shared" si="160"/>
        <v/>
      </c>
      <c r="AE370" s="88"/>
      <c r="AF370" s="88"/>
      <c r="AG370" s="88"/>
      <c r="AH370" s="88"/>
      <c r="AI370" s="88"/>
      <c r="AJ370" s="88"/>
      <c r="AK370" s="88"/>
      <c r="AL370" s="88"/>
      <c r="AM370" s="88">
        <v>35.284443447708753</v>
      </c>
      <c r="AN370" s="88">
        <v>133.77000000000001</v>
      </c>
      <c r="AO370" s="89" t="s">
        <v>56</v>
      </c>
      <c r="AP370" s="90" t="s">
        <v>56</v>
      </c>
      <c r="AQ370" s="146" t="str">
        <f t="shared" si="161"/>
        <v/>
      </c>
      <c r="AR370" s="146" t="str">
        <f t="shared" si="162"/>
        <v/>
      </c>
      <c r="AS370" s="147">
        <v>20</v>
      </c>
      <c r="AT370" s="148" t="s">
        <v>56</v>
      </c>
      <c r="AU370" s="149" t="s">
        <v>56</v>
      </c>
      <c r="AV370" s="146" t="str">
        <f t="shared" si="163"/>
        <v/>
      </c>
      <c r="AW370" s="146" t="str">
        <f t="shared" si="164"/>
        <v/>
      </c>
      <c r="AX370" s="138" t="str">
        <f t="shared" si="165"/>
        <v/>
      </c>
      <c r="AY370" s="95" t="s">
        <v>56</v>
      </c>
      <c r="AZ370" s="96">
        <v>62.024999999999999</v>
      </c>
      <c r="BA370" s="96"/>
      <c r="BB370" s="96">
        <v>54.5</v>
      </c>
      <c r="BC370" s="96"/>
      <c r="BD370" s="97">
        <v>133.77000000000001</v>
      </c>
      <c r="BE370" s="142">
        <f t="shared" si="166"/>
        <v>9980</v>
      </c>
      <c r="BF370" s="88">
        <v>261</v>
      </c>
      <c r="BG370" s="98">
        <v>0</v>
      </c>
      <c r="BH370" s="98">
        <v>4659</v>
      </c>
      <c r="BI370" s="98">
        <v>5060</v>
      </c>
      <c r="BJ370" s="98"/>
      <c r="BK370" s="98"/>
      <c r="BL370" s="97"/>
    </row>
    <row r="371" spans="1:64" outlineLevel="5" x14ac:dyDescent="0.3">
      <c r="A371" s="152">
        <f t="shared" si="135"/>
        <v>11</v>
      </c>
      <c r="B371" s="153">
        <f t="shared" si="152"/>
        <v>44510</v>
      </c>
      <c r="C371" s="138">
        <f t="shared" si="157"/>
        <v>38</v>
      </c>
      <c r="D371" s="84">
        <v>38</v>
      </c>
      <c r="E371" s="84">
        <v>38</v>
      </c>
      <c r="F371" s="84"/>
      <c r="G371" s="84"/>
      <c r="H371" s="84"/>
      <c r="I371" s="84"/>
      <c r="J371" s="84"/>
      <c r="K371" s="84"/>
      <c r="L371" s="140">
        <f t="shared" si="158"/>
        <v>7.7</v>
      </c>
      <c r="M371" s="86">
        <v>7.75</v>
      </c>
      <c r="N371" s="86">
        <v>7.65</v>
      </c>
      <c r="O371" s="86"/>
      <c r="P371" s="86"/>
      <c r="Q371" s="86"/>
      <c r="R371" s="86"/>
      <c r="S371" s="86"/>
      <c r="T371" s="86"/>
      <c r="U371" s="142">
        <f t="shared" si="159"/>
        <v>1228.4000000000001</v>
      </c>
      <c r="V371" s="88">
        <v>1230.8</v>
      </c>
      <c r="W371" s="88">
        <v>1226</v>
      </c>
      <c r="X371" s="88"/>
      <c r="Y371" s="88"/>
      <c r="Z371" s="88"/>
      <c r="AA371" s="88"/>
      <c r="AB371" s="88"/>
      <c r="AC371" s="88"/>
      <c r="AD371" s="142" t="str">
        <f t="shared" si="160"/>
        <v/>
      </c>
      <c r="AE371" s="88"/>
      <c r="AF371" s="88"/>
      <c r="AG371" s="88"/>
      <c r="AH371" s="88"/>
      <c r="AI371" s="88"/>
      <c r="AJ371" s="88"/>
      <c r="AK371" s="88"/>
      <c r="AL371" s="88"/>
      <c r="AM371" s="88">
        <v>40.837515141027858</v>
      </c>
      <c r="AN371" s="88">
        <v>115.58</v>
      </c>
      <c r="AO371" s="89">
        <v>17.7</v>
      </c>
      <c r="AP371" s="90">
        <v>15.310499999999999</v>
      </c>
      <c r="AQ371" s="146">
        <f t="shared" si="161"/>
        <v>86.5</v>
      </c>
      <c r="AR371" s="146">
        <f t="shared" si="162"/>
        <v>13.5</v>
      </c>
      <c r="AS371" s="147">
        <v>40</v>
      </c>
      <c r="AT371" s="148">
        <v>16.75</v>
      </c>
      <c r="AU371" s="149">
        <v>10.199999999999999</v>
      </c>
      <c r="AV371" s="146">
        <f t="shared" si="163"/>
        <v>60.895522388059696</v>
      </c>
      <c r="AW371" s="146">
        <f t="shared" si="164"/>
        <v>39.104477611940304</v>
      </c>
      <c r="AX371" s="138">
        <f t="shared" si="165"/>
        <v>75.69606848166616</v>
      </c>
      <c r="AY371" s="95">
        <v>73.800000000000011</v>
      </c>
      <c r="AZ371" s="96">
        <v>62.099999999999994</v>
      </c>
      <c r="BA371" s="96"/>
      <c r="BB371" s="96">
        <v>42</v>
      </c>
      <c r="BC371" s="96"/>
      <c r="BD371" s="97">
        <v>115.58</v>
      </c>
      <c r="BE371" s="142">
        <f t="shared" si="166"/>
        <v>10877</v>
      </c>
      <c r="BF371" s="88">
        <v>340</v>
      </c>
      <c r="BG371" s="98">
        <v>0</v>
      </c>
      <c r="BH371" s="98">
        <v>5619</v>
      </c>
      <c r="BI371" s="98">
        <v>4918</v>
      </c>
      <c r="BJ371" s="98"/>
      <c r="BK371" s="98"/>
      <c r="BL371" s="97"/>
    </row>
    <row r="372" spans="1:64" outlineLevel="5" x14ac:dyDescent="0.3">
      <c r="A372" s="152">
        <f t="shared" si="135"/>
        <v>11</v>
      </c>
      <c r="B372" s="153">
        <f t="shared" si="152"/>
        <v>44511</v>
      </c>
      <c r="C372" s="138">
        <f t="shared" si="157"/>
        <v>38</v>
      </c>
      <c r="D372" s="84">
        <v>38</v>
      </c>
      <c r="E372" s="84">
        <v>38</v>
      </c>
      <c r="F372" s="84"/>
      <c r="G372" s="84"/>
      <c r="H372" s="84"/>
      <c r="I372" s="84"/>
      <c r="J372" s="84"/>
      <c r="K372" s="84"/>
      <c r="L372" s="140">
        <f t="shared" si="158"/>
        <v>7.7</v>
      </c>
      <c r="M372" s="86">
        <v>7.7</v>
      </c>
      <c r="N372" s="86">
        <v>7.68</v>
      </c>
      <c r="O372" s="86"/>
      <c r="P372" s="86"/>
      <c r="Q372" s="86"/>
      <c r="R372" s="86"/>
      <c r="S372" s="86"/>
      <c r="T372" s="86"/>
      <c r="U372" s="142">
        <f t="shared" si="159"/>
        <v>1314.8</v>
      </c>
      <c r="V372" s="88">
        <v>1310.4000000000001</v>
      </c>
      <c r="W372" s="88">
        <v>1319.1</v>
      </c>
      <c r="X372" s="88"/>
      <c r="Y372" s="88"/>
      <c r="Z372" s="88"/>
      <c r="AA372" s="88"/>
      <c r="AB372" s="88"/>
      <c r="AC372" s="88"/>
      <c r="AD372" s="142" t="str">
        <f t="shared" si="160"/>
        <v/>
      </c>
      <c r="AE372" s="88"/>
      <c r="AF372" s="88"/>
      <c r="AG372" s="88"/>
      <c r="AH372" s="88"/>
      <c r="AI372" s="88"/>
      <c r="AJ372" s="88"/>
      <c r="AK372" s="88"/>
      <c r="AL372" s="88"/>
      <c r="AM372" s="88">
        <v>60.474055092889174</v>
      </c>
      <c r="AN372" s="88">
        <v>78.05</v>
      </c>
      <c r="AO372" s="89" t="s">
        <v>56</v>
      </c>
      <c r="AP372" s="90" t="s">
        <v>56</v>
      </c>
      <c r="AQ372" s="146" t="str">
        <f t="shared" si="161"/>
        <v/>
      </c>
      <c r="AR372" s="146" t="str">
        <f t="shared" si="162"/>
        <v/>
      </c>
      <c r="AS372" s="147">
        <v>40</v>
      </c>
      <c r="AT372" s="148">
        <v>15.7</v>
      </c>
      <c r="AU372" s="149">
        <v>9.0500000000000007</v>
      </c>
      <c r="AV372" s="146">
        <f t="shared" si="163"/>
        <v>57.643312101910837</v>
      </c>
      <c r="AW372" s="146">
        <f t="shared" si="164"/>
        <v>42.356687898089163</v>
      </c>
      <c r="AX372" s="138" t="str">
        <f t="shared" si="165"/>
        <v/>
      </c>
      <c r="AY372" s="95">
        <v>71.650000000000006</v>
      </c>
      <c r="AZ372" s="96" t="s">
        <v>56</v>
      </c>
      <c r="BA372" s="96"/>
      <c r="BB372" s="96" t="s">
        <v>56</v>
      </c>
      <c r="BC372" s="96"/>
      <c r="BD372" s="97">
        <v>78.05</v>
      </c>
      <c r="BE372" s="142">
        <f t="shared" si="166"/>
        <v>11854</v>
      </c>
      <c r="BF372" s="88">
        <v>332</v>
      </c>
      <c r="BG372" s="98">
        <v>0</v>
      </c>
      <c r="BH372" s="98">
        <v>6543</v>
      </c>
      <c r="BI372" s="98">
        <v>4979</v>
      </c>
      <c r="BJ372" s="98"/>
      <c r="BK372" s="98"/>
      <c r="BL372" s="97"/>
    </row>
    <row r="373" spans="1:64" outlineLevel="5" x14ac:dyDescent="0.3">
      <c r="A373" s="152">
        <f t="shared" si="135"/>
        <v>11</v>
      </c>
      <c r="B373" s="153">
        <f t="shared" si="152"/>
        <v>44512</v>
      </c>
      <c r="C373" s="138">
        <f t="shared" si="157"/>
        <v>38</v>
      </c>
      <c r="D373" s="84">
        <v>38</v>
      </c>
      <c r="E373" s="84">
        <v>38</v>
      </c>
      <c r="F373" s="84"/>
      <c r="G373" s="84"/>
      <c r="H373" s="84"/>
      <c r="I373" s="84"/>
      <c r="J373" s="84"/>
      <c r="K373" s="84"/>
      <c r="L373" s="140" t="str">
        <f t="shared" si="158"/>
        <v/>
      </c>
      <c r="M373" s="86" t="s">
        <v>56</v>
      </c>
      <c r="N373" s="86" t="s">
        <v>56</v>
      </c>
      <c r="O373" s="86"/>
      <c r="P373" s="86"/>
      <c r="Q373" s="86"/>
      <c r="R373" s="86"/>
      <c r="S373" s="86"/>
      <c r="T373" s="86"/>
      <c r="U373" s="142" t="str">
        <f t="shared" si="159"/>
        <v/>
      </c>
      <c r="V373" s="88" t="s">
        <v>56</v>
      </c>
      <c r="W373" s="88" t="s">
        <v>56</v>
      </c>
      <c r="X373" s="88"/>
      <c r="Y373" s="88"/>
      <c r="Z373" s="88"/>
      <c r="AA373" s="88"/>
      <c r="AB373" s="88"/>
      <c r="AC373" s="88"/>
      <c r="AD373" s="142" t="str">
        <f t="shared" si="160"/>
        <v/>
      </c>
      <c r="AE373" s="88"/>
      <c r="AF373" s="88"/>
      <c r="AG373" s="88"/>
      <c r="AH373" s="88"/>
      <c r="AI373" s="88"/>
      <c r="AJ373" s="88"/>
      <c r="AK373" s="88"/>
      <c r="AL373" s="88"/>
      <c r="AM373" s="88">
        <v>58.379715522572667</v>
      </c>
      <c r="AN373" s="88">
        <v>80.849999999999994</v>
      </c>
      <c r="AO373" s="89" t="s">
        <v>56</v>
      </c>
      <c r="AP373" s="90"/>
      <c r="AQ373" s="146" t="str">
        <f t="shared" si="161"/>
        <v/>
      </c>
      <c r="AR373" s="146" t="str">
        <f t="shared" si="162"/>
        <v/>
      </c>
      <c r="AS373" s="147">
        <v>40</v>
      </c>
      <c r="AT373" s="148" t="s">
        <v>56</v>
      </c>
      <c r="AU373" s="149" t="s">
        <v>56</v>
      </c>
      <c r="AV373" s="146" t="str">
        <f t="shared" si="163"/>
        <v/>
      </c>
      <c r="AW373" s="146" t="str">
        <f t="shared" si="164"/>
        <v/>
      </c>
      <c r="AX373" s="138" t="str">
        <f t="shared" si="165"/>
        <v/>
      </c>
      <c r="AY373" s="95" t="s">
        <v>56</v>
      </c>
      <c r="AZ373" s="96" t="s">
        <v>56</v>
      </c>
      <c r="BA373" s="96"/>
      <c r="BB373" s="96" t="s">
        <v>56</v>
      </c>
      <c r="BC373" s="96"/>
      <c r="BD373" s="97">
        <v>80.849999999999994</v>
      </c>
      <c r="BE373" s="142">
        <f t="shared" si="166"/>
        <v>8410</v>
      </c>
      <c r="BF373" s="88">
        <v>241</v>
      </c>
      <c r="BG373" s="98">
        <v>0</v>
      </c>
      <c r="BH373" s="98">
        <v>6318</v>
      </c>
      <c r="BI373" s="98">
        <v>1851</v>
      </c>
      <c r="BJ373" s="98"/>
      <c r="BK373" s="98"/>
      <c r="BL373" s="97"/>
    </row>
    <row r="374" spans="1:64" outlineLevel="5" x14ac:dyDescent="0.3">
      <c r="A374" s="152">
        <f t="shared" si="135"/>
        <v>11</v>
      </c>
      <c r="B374" s="153">
        <f t="shared" si="152"/>
        <v>44513</v>
      </c>
      <c r="C374" s="138">
        <f t="shared" si="157"/>
        <v>38</v>
      </c>
      <c r="D374" s="84">
        <v>38</v>
      </c>
      <c r="E374" s="84">
        <v>38</v>
      </c>
      <c r="F374" s="84"/>
      <c r="G374" s="84"/>
      <c r="H374" s="84"/>
      <c r="I374" s="84"/>
      <c r="J374" s="84"/>
      <c r="K374" s="84"/>
      <c r="L374" s="140" t="str">
        <f t="shared" si="158"/>
        <v/>
      </c>
      <c r="M374" s="86"/>
      <c r="N374" s="86"/>
      <c r="O374" s="86"/>
      <c r="P374" s="86"/>
      <c r="Q374" s="86"/>
      <c r="R374" s="86"/>
      <c r="S374" s="86"/>
      <c r="T374" s="86"/>
      <c r="U374" s="142" t="str">
        <f t="shared" si="159"/>
        <v/>
      </c>
      <c r="V374" s="88"/>
      <c r="W374" s="88"/>
      <c r="X374" s="88"/>
      <c r="Y374" s="88"/>
      <c r="Z374" s="88"/>
      <c r="AA374" s="88"/>
      <c r="AB374" s="88"/>
      <c r="AC374" s="88"/>
      <c r="AD374" s="142" t="str">
        <f t="shared" si="160"/>
        <v/>
      </c>
      <c r="AE374" s="88"/>
      <c r="AF374" s="88"/>
      <c r="AG374" s="88"/>
      <c r="AH374" s="88"/>
      <c r="AI374" s="88"/>
      <c r="AJ374" s="88"/>
      <c r="AK374" s="88"/>
      <c r="AL374" s="88"/>
      <c r="AM374" s="88">
        <v>31.066938721779767</v>
      </c>
      <c r="AN374" s="88">
        <v>151.93</v>
      </c>
      <c r="AO374" s="89"/>
      <c r="AP374" s="90"/>
      <c r="AQ374" s="146" t="str">
        <f t="shared" si="161"/>
        <v/>
      </c>
      <c r="AR374" s="146" t="str">
        <f t="shared" si="162"/>
        <v/>
      </c>
      <c r="AS374" s="147">
        <v>10</v>
      </c>
      <c r="AT374" s="148" t="s">
        <v>56</v>
      </c>
      <c r="AU374" s="149" t="s">
        <v>56</v>
      </c>
      <c r="AV374" s="146" t="str">
        <f t="shared" si="163"/>
        <v/>
      </c>
      <c r="AW374" s="146" t="str">
        <f t="shared" si="164"/>
        <v/>
      </c>
      <c r="AX374" s="138" t="str">
        <f t="shared" si="165"/>
        <v/>
      </c>
      <c r="AY374" s="95" t="s">
        <v>56</v>
      </c>
      <c r="AZ374" s="96" t="s">
        <v>56</v>
      </c>
      <c r="BA374" s="96"/>
      <c r="BB374" s="96" t="s">
        <v>56</v>
      </c>
      <c r="BC374" s="96"/>
      <c r="BD374" s="97">
        <v>151.93</v>
      </c>
      <c r="BE374" s="142">
        <f t="shared" si="166"/>
        <v>9568</v>
      </c>
      <c r="BF374" s="88">
        <v>255</v>
      </c>
      <c r="BG374" s="98">
        <v>0</v>
      </c>
      <c r="BH374" s="98">
        <v>3983</v>
      </c>
      <c r="BI374" s="98">
        <v>5330</v>
      </c>
      <c r="BJ374" s="98"/>
      <c r="BK374" s="98"/>
      <c r="BL374" s="97"/>
    </row>
    <row r="375" spans="1:64" outlineLevel="5" x14ac:dyDescent="0.3">
      <c r="A375" s="152">
        <f t="shared" si="135"/>
        <v>11</v>
      </c>
      <c r="B375" s="153">
        <f t="shared" si="152"/>
        <v>44514</v>
      </c>
      <c r="C375" s="138">
        <f t="shared" si="157"/>
        <v>38</v>
      </c>
      <c r="D375" s="84">
        <v>38</v>
      </c>
      <c r="E375" s="84">
        <v>38</v>
      </c>
      <c r="F375" s="84"/>
      <c r="G375" s="84"/>
      <c r="H375" s="84"/>
      <c r="I375" s="84"/>
      <c r="J375" s="84"/>
      <c r="K375" s="84"/>
      <c r="L375" s="140" t="str">
        <f t="shared" si="158"/>
        <v/>
      </c>
      <c r="M375" s="86"/>
      <c r="N375" s="86"/>
      <c r="O375" s="86"/>
      <c r="P375" s="86"/>
      <c r="Q375" s="86"/>
      <c r="R375" s="86"/>
      <c r="S375" s="86"/>
      <c r="T375" s="86"/>
      <c r="U375" s="142" t="str">
        <f t="shared" si="159"/>
        <v/>
      </c>
      <c r="V375" s="88"/>
      <c r="W375" s="88"/>
      <c r="X375" s="88"/>
      <c r="Y375" s="88"/>
      <c r="Z375" s="88"/>
      <c r="AA375" s="88"/>
      <c r="AB375" s="88"/>
      <c r="AC375" s="88"/>
      <c r="AD375" s="142" t="str">
        <f t="shared" si="160"/>
        <v/>
      </c>
      <c r="AE375" s="88"/>
      <c r="AF375" s="88"/>
      <c r="AG375" s="88"/>
      <c r="AH375" s="88"/>
      <c r="AI375" s="88"/>
      <c r="AJ375" s="88"/>
      <c r="AK375" s="88"/>
      <c r="AL375" s="88"/>
      <c r="AM375" s="88">
        <v>32.551724137931032</v>
      </c>
      <c r="AN375" s="88">
        <v>145</v>
      </c>
      <c r="AO375" s="89"/>
      <c r="AP375" s="90"/>
      <c r="AQ375" s="146" t="str">
        <f t="shared" si="161"/>
        <v/>
      </c>
      <c r="AR375" s="146" t="str">
        <f t="shared" si="162"/>
        <v/>
      </c>
      <c r="AS375" s="147">
        <v>15</v>
      </c>
      <c r="AT375" s="148" t="s">
        <v>56</v>
      </c>
      <c r="AU375" s="149" t="s">
        <v>56</v>
      </c>
      <c r="AV375" s="146" t="str">
        <f t="shared" si="163"/>
        <v/>
      </c>
      <c r="AW375" s="146" t="str">
        <f t="shared" si="164"/>
        <v/>
      </c>
      <c r="AX375" s="138" t="str">
        <f t="shared" si="165"/>
        <v/>
      </c>
      <c r="AY375" s="95" t="s">
        <v>56</v>
      </c>
      <c r="AZ375" s="96" t="s">
        <v>56</v>
      </c>
      <c r="BA375" s="96"/>
      <c r="BB375" s="96" t="s">
        <v>56</v>
      </c>
      <c r="BC375" s="96"/>
      <c r="BD375" s="97">
        <v>145</v>
      </c>
      <c r="BE375" s="142">
        <f t="shared" si="166"/>
        <v>8749</v>
      </c>
      <c r="BF375" s="88">
        <v>242</v>
      </c>
      <c r="BG375" s="98">
        <v>0</v>
      </c>
      <c r="BH375" s="98">
        <v>3171</v>
      </c>
      <c r="BI375" s="98">
        <v>5336</v>
      </c>
      <c r="BJ375" s="98"/>
      <c r="BK375" s="98"/>
      <c r="BL375" s="97"/>
    </row>
    <row r="376" spans="1:64" outlineLevel="5" x14ac:dyDescent="0.3">
      <c r="A376" s="152">
        <f t="shared" si="135"/>
        <v>11</v>
      </c>
      <c r="B376" s="153">
        <f t="shared" si="152"/>
        <v>44515</v>
      </c>
      <c r="C376" s="138">
        <f t="shared" si="157"/>
        <v>37</v>
      </c>
      <c r="D376" s="84">
        <v>37</v>
      </c>
      <c r="E376" s="84">
        <v>37</v>
      </c>
      <c r="F376" s="84"/>
      <c r="G376" s="84"/>
      <c r="H376" s="84"/>
      <c r="I376" s="84"/>
      <c r="J376" s="84"/>
      <c r="K376" s="84"/>
      <c r="L376" s="140">
        <f t="shared" si="158"/>
        <v>7.7</v>
      </c>
      <c r="M376" s="86">
        <v>7.73</v>
      </c>
      <c r="N376" s="86">
        <v>7.66</v>
      </c>
      <c r="O376" s="86"/>
      <c r="P376" s="86"/>
      <c r="Q376" s="86"/>
      <c r="R376" s="86"/>
      <c r="S376" s="86"/>
      <c r="T376" s="86"/>
      <c r="U376" s="142">
        <f t="shared" si="159"/>
        <v>1435.9</v>
      </c>
      <c r="V376" s="88">
        <v>1608.9</v>
      </c>
      <c r="W376" s="88">
        <v>1262.9000000000001</v>
      </c>
      <c r="X376" s="88"/>
      <c r="Y376" s="88"/>
      <c r="Z376" s="88"/>
      <c r="AA376" s="88"/>
      <c r="AB376" s="88"/>
      <c r="AC376" s="88"/>
      <c r="AD376" s="142" t="str">
        <f t="shared" si="160"/>
        <v/>
      </c>
      <c r="AE376" s="88"/>
      <c r="AF376" s="88"/>
      <c r="AG376" s="88"/>
      <c r="AH376" s="88"/>
      <c r="AI376" s="88"/>
      <c r="AJ376" s="88"/>
      <c r="AK376" s="88"/>
      <c r="AL376" s="88"/>
      <c r="AM376" s="88">
        <v>41.276781810231746</v>
      </c>
      <c r="AN376" s="88">
        <v>114.35</v>
      </c>
      <c r="AO376" s="89">
        <v>20.100000000000001</v>
      </c>
      <c r="AP376" s="90">
        <v>17.5473</v>
      </c>
      <c r="AQ376" s="146">
        <f t="shared" si="161"/>
        <v>87.299999999999983</v>
      </c>
      <c r="AR376" s="146">
        <f t="shared" si="162"/>
        <v>12.700000000000017</v>
      </c>
      <c r="AS376" s="147">
        <v>42</v>
      </c>
      <c r="AT376" s="148">
        <v>17</v>
      </c>
      <c r="AU376" s="149">
        <v>10.3</v>
      </c>
      <c r="AV376" s="146">
        <f t="shared" si="163"/>
        <v>60.588235294117652</v>
      </c>
      <c r="AW376" s="146">
        <f t="shared" si="164"/>
        <v>39.411764705882348</v>
      </c>
      <c r="AX376" s="138">
        <f t="shared" si="165"/>
        <v>77.635875604793853</v>
      </c>
      <c r="AY376" s="95">
        <v>76.099999999999994</v>
      </c>
      <c r="AZ376" s="96" t="s">
        <v>56</v>
      </c>
      <c r="BA376" s="96"/>
      <c r="BB376" s="96" t="s">
        <v>56</v>
      </c>
      <c r="BC376" s="96"/>
      <c r="BD376" s="97">
        <v>114.35</v>
      </c>
      <c r="BE376" s="142">
        <f t="shared" si="166"/>
        <v>10271</v>
      </c>
      <c r="BF376" s="88">
        <v>238</v>
      </c>
      <c r="BG376" s="98">
        <v>0</v>
      </c>
      <c r="BH376" s="98">
        <v>4703</v>
      </c>
      <c r="BI376" s="98">
        <v>5330</v>
      </c>
      <c r="BJ376" s="98"/>
      <c r="BK376" s="98"/>
      <c r="BL376" s="97"/>
    </row>
    <row r="377" spans="1:64" outlineLevel="5" x14ac:dyDescent="0.3">
      <c r="A377" s="152">
        <f t="shared" si="135"/>
        <v>11</v>
      </c>
      <c r="B377" s="153">
        <f t="shared" si="152"/>
        <v>44516</v>
      </c>
      <c r="C377" s="138">
        <f t="shared" si="157"/>
        <v>37</v>
      </c>
      <c r="D377" s="84">
        <v>37</v>
      </c>
      <c r="E377" s="84">
        <v>37</v>
      </c>
      <c r="F377" s="84"/>
      <c r="G377" s="84"/>
      <c r="H377" s="84"/>
      <c r="I377" s="84"/>
      <c r="J377" s="84"/>
      <c r="K377" s="84"/>
      <c r="L377" s="140" t="str">
        <f t="shared" si="158"/>
        <v/>
      </c>
      <c r="M377" s="86" t="s">
        <v>56</v>
      </c>
      <c r="N377" s="86" t="s">
        <v>56</v>
      </c>
      <c r="O377" s="86"/>
      <c r="P377" s="86"/>
      <c r="Q377" s="86"/>
      <c r="R377" s="86"/>
      <c r="S377" s="86"/>
      <c r="T377" s="86"/>
      <c r="U377" s="142" t="str">
        <f t="shared" si="159"/>
        <v/>
      </c>
      <c r="V377" s="88" t="s">
        <v>56</v>
      </c>
      <c r="W377" s="88" t="s">
        <v>56</v>
      </c>
      <c r="X377" s="88"/>
      <c r="Y377" s="88"/>
      <c r="Z377" s="88"/>
      <c r="AA377" s="88"/>
      <c r="AB377" s="88"/>
      <c r="AC377" s="88"/>
      <c r="AD377" s="142" t="str">
        <f t="shared" si="160"/>
        <v/>
      </c>
      <c r="AE377" s="88"/>
      <c r="AF377" s="88"/>
      <c r="AG377" s="88"/>
      <c r="AH377" s="88"/>
      <c r="AI377" s="88"/>
      <c r="AJ377" s="88"/>
      <c r="AK377" s="88"/>
      <c r="AL377" s="88"/>
      <c r="AM377" s="88">
        <v>34.520588020185762</v>
      </c>
      <c r="AN377" s="88">
        <v>136.73000000000002</v>
      </c>
      <c r="AO377" s="89" t="s">
        <v>56</v>
      </c>
      <c r="AP377" s="90" t="s">
        <v>56</v>
      </c>
      <c r="AQ377" s="146" t="str">
        <f t="shared" si="161"/>
        <v/>
      </c>
      <c r="AR377" s="146" t="str">
        <f t="shared" si="162"/>
        <v/>
      </c>
      <c r="AS377" s="147">
        <v>42</v>
      </c>
      <c r="AT377" s="148" t="s">
        <v>56</v>
      </c>
      <c r="AU377" s="149" t="s">
        <v>56</v>
      </c>
      <c r="AV377" s="146" t="str">
        <f t="shared" si="163"/>
        <v/>
      </c>
      <c r="AW377" s="146" t="str">
        <f t="shared" si="164"/>
        <v/>
      </c>
      <c r="AX377" s="138" t="str">
        <f t="shared" si="165"/>
        <v/>
      </c>
      <c r="AY377" s="95" t="s">
        <v>56</v>
      </c>
      <c r="AZ377" s="96" t="s">
        <v>56</v>
      </c>
      <c r="BA377" s="96"/>
      <c r="BB377" s="96" t="s">
        <v>56</v>
      </c>
      <c r="BC377" s="96"/>
      <c r="BD377" s="97">
        <v>136.73000000000002</v>
      </c>
      <c r="BE377" s="142">
        <f t="shared" si="166"/>
        <v>12766</v>
      </c>
      <c r="BF377" s="88">
        <v>246</v>
      </c>
      <c r="BG377" s="98">
        <v>0</v>
      </c>
      <c r="BH377" s="98">
        <v>7184</v>
      </c>
      <c r="BI377" s="98">
        <v>5336</v>
      </c>
      <c r="BJ377" s="98"/>
      <c r="BK377" s="98"/>
      <c r="BL377" s="97"/>
    </row>
    <row r="378" spans="1:64" outlineLevel="5" x14ac:dyDescent="0.3">
      <c r="A378" s="152">
        <f t="shared" si="135"/>
        <v>11</v>
      </c>
      <c r="B378" s="153">
        <f t="shared" si="152"/>
        <v>44517</v>
      </c>
      <c r="C378" s="138">
        <f t="shared" si="157"/>
        <v>37.5</v>
      </c>
      <c r="D378" s="84">
        <v>37.5</v>
      </c>
      <c r="E378" s="84">
        <v>37.5</v>
      </c>
      <c r="F378" s="84"/>
      <c r="G378" s="84"/>
      <c r="H378" s="84"/>
      <c r="I378" s="84"/>
      <c r="J378" s="84"/>
      <c r="K378" s="84"/>
      <c r="L378" s="140">
        <f t="shared" si="158"/>
        <v>7.8</v>
      </c>
      <c r="M378" s="86">
        <v>7.79</v>
      </c>
      <c r="N378" s="86">
        <v>7.75</v>
      </c>
      <c r="O378" s="86"/>
      <c r="P378" s="86"/>
      <c r="Q378" s="86"/>
      <c r="R378" s="86"/>
      <c r="S378" s="86"/>
      <c r="T378" s="86"/>
      <c r="U378" s="142">
        <f t="shared" si="159"/>
        <v>1512</v>
      </c>
      <c r="V378" s="88">
        <v>1599</v>
      </c>
      <c r="W378" s="88">
        <v>1425</v>
      </c>
      <c r="X378" s="88"/>
      <c r="Y378" s="88"/>
      <c r="Z378" s="88"/>
      <c r="AA378" s="88"/>
      <c r="AB378" s="88"/>
      <c r="AC378" s="88"/>
      <c r="AD378" s="142" t="str">
        <f t="shared" si="160"/>
        <v/>
      </c>
      <c r="AE378" s="88"/>
      <c r="AF378" s="88"/>
      <c r="AG378" s="88"/>
      <c r="AH378" s="88"/>
      <c r="AI378" s="88"/>
      <c r="AJ378" s="88"/>
      <c r="AK378" s="88"/>
      <c r="AL378" s="88"/>
      <c r="AM378" s="88">
        <v>36.310485421955534</v>
      </c>
      <c r="AN378" s="88">
        <v>129.99</v>
      </c>
      <c r="AO378" s="89" t="s">
        <v>56</v>
      </c>
      <c r="AP378" s="90" t="s">
        <v>56</v>
      </c>
      <c r="AQ378" s="146" t="str">
        <f t="shared" si="161"/>
        <v/>
      </c>
      <c r="AR378" s="146" t="str">
        <f t="shared" si="162"/>
        <v/>
      </c>
      <c r="AS378" s="147">
        <v>41</v>
      </c>
      <c r="AT378" s="148">
        <v>17.55</v>
      </c>
      <c r="AU378" s="149">
        <v>8.75</v>
      </c>
      <c r="AV378" s="146">
        <f t="shared" si="163"/>
        <v>49.857549857549856</v>
      </c>
      <c r="AW378" s="146">
        <f t="shared" si="164"/>
        <v>50.142450142450144</v>
      </c>
      <c r="AX378" s="138" t="str">
        <f t="shared" si="165"/>
        <v/>
      </c>
      <c r="AY378" s="95">
        <v>74.599999999999994</v>
      </c>
      <c r="AZ378" s="96" t="s">
        <v>56</v>
      </c>
      <c r="BA378" s="96"/>
      <c r="BB378" s="96" t="s">
        <v>56</v>
      </c>
      <c r="BC378" s="96"/>
      <c r="BD378" s="97">
        <v>129.99</v>
      </c>
      <c r="BE378" s="142">
        <f t="shared" si="166"/>
        <v>14810</v>
      </c>
      <c r="BF378" s="88">
        <v>241</v>
      </c>
      <c r="BG378" s="98">
        <v>0</v>
      </c>
      <c r="BH378" s="98">
        <v>9245</v>
      </c>
      <c r="BI378" s="98">
        <v>5324</v>
      </c>
      <c r="BJ378" s="98"/>
      <c r="BK378" s="98"/>
      <c r="BL378" s="97"/>
    </row>
    <row r="379" spans="1:64" outlineLevel="5" x14ac:dyDescent="0.3">
      <c r="A379" s="152">
        <f t="shared" ref="A379:A426" si="167">MONTH(B379)</f>
        <v>11</v>
      </c>
      <c r="B379" s="153">
        <f t="shared" si="152"/>
        <v>44518</v>
      </c>
      <c r="C379" s="138">
        <f t="shared" si="157"/>
        <v>37.5</v>
      </c>
      <c r="D379" s="84">
        <v>37.5</v>
      </c>
      <c r="E379" s="84">
        <v>37.5</v>
      </c>
      <c r="F379" s="84"/>
      <c r="G379" s="84"/>
      <c r="H379" s="84"/>
      <c r="I379" s="84"/>
      <c r="J379" s="84"/>
      <c r="K379" s="84"/>
      <c r="L379" s="140">
        <f t="shared" si="158"/>
        <v>7.6</v>
      </c>
      <c r="M379" s="86">
        <v>7.68</v>
      </c>
      <c r="N379" s="86">
        <v>7.56</v>
      </c>
      <c r="O379" s="86"/>
      <c r="P379" s="86"/>
      <c r="Q379" s="86"/>
      <c r="R379" s="86"/>
      <c r="S379" s="86"/>
      <c r="T379" s="86"/>
      <c r="U379" s="142">
        <f t="shared" si="159"/>
        <v>1536</v>
      </c>
      <c r="V379" s="88">
        <v>1652</v>
      </c>
      <c r="W379" s="88">
        <v>1420</v>
      </c>
      <c r="X379" s="88"/>
      <c r="Y379" s="88"/>
      <c r="Z379" s="88"/>
      <c r="AA379" s="88"/>
      <c r="AB379" s="88"/>
      <c r="AC379" s="88"/>
      <c r="AD379" s="142" t="str">
        <f t="shared" si="160"/>
        <v/>
      </c>
      <c r="AE379" s="88"/>
      <c r="AF379" s="88"/>
      <c r="AG379" s="88"/>
      <c r="AH379" s="88"/>
      <c r="AI379" s="88"/>
      <c r="AJ379" s="88"/>
      <c r="AK379" s="88"/>
      <c r="AL379" s="88"/>
      <c r="AM379" s="88">
        <v>40.574228487922291</v>
      </c>
      <c r="AN379" s="88">
        <v>116.33</v>
      </c>
      <c r="AO379" s="89" t="s">
        <v>56</v>
      </c>
      <c r="AP379" s="90" t="s">
        <v>56</v>
      </c>
      <c r="AQ379" s="146" t="str">
        <f t="shared" si="161"/>
        <v/>
      </c>
      <c r="AR379" s="146" t="str">
        <f t="shared" si="162"/>
        <v/>
      </c>
      <c r="AS379" s="147">
        <v>25</v>
      </c>
      <c r="AT379" s="148">
        <v>17.55</v>
      </c>
      <c r="AU379" s="149">
        <v>8.75</v>
      </c>
      <c r="AV379" s="146">
        <f t="shared" si="163"/>
        <v>49.857549857549856</v>
      </c>
      <c r="AW379" s="146">
        <f t="shared" si="164"/>
        <v>50.142450142450144</v>
      </c>
      <c r="AX379" s="138" t="str">
        <f t="shared" si="165"/>
        <v/>
      </c>
      <c r="AY379" s="95">
        <v>74.599999999999994</v>
      </c>
      <c r="AZ379" s="96" t="s">
        <v>56</v>
      </c>
      <c r="BA379" s="96"/>
      <c r="BB379" s="96" t="s">
        <v>56</v>
      </c>
      <c r="BC379" s="96"/>
      <c r="BD379" s="97">
        <v>116.33</v>
      </c>
      <c r="BE379" s="142">
        <f t="shared" si="166"/>
        <v>16174</v>
      </c>
      <c r="BF379" s="88">
        <v>455</v>
      </c>
      <c r="BG379" s="98">
        <v>1125</v>
      </c>
      <c r="BH379" s="98">
        <v>9258</v>
      </c>
      <c r="BI379" s="98">
        <v>5336</v>
      </c>
      <c r="BJ379" s="98"/>
      <c r="BK379" s="98"/>
      <c r="BL379" s="97"/>
    </row>
    <row r="380" spans="1:64" outlineLevel="5" x14ac:dyDescent="0.3">
      <c r="A380" s="152">
        <f t="shared" si="167"/>
        <v>11</v>
      </c>
      <c r="B380" s="153">
        <f t="shared" si="152"/>
        <v>44519</v>
      </c>
      <c r="C380" s="138">
        <f t="shared" si="157"/>
        <v>38</v>
      </c>
      <c r="D380" s="84">
        <v>38</v>
      </c>
      <c r="E380" s="84">
        <v>38</v>
      </c>
      <c r="F380" s="84"/>
      <c r="G380" s="84"/>
      <c r="H380" s="84"/>
      <c r="I380" s="84"/>
      <c r="J380" s="84"/>
      <c r="K380" s="84"/>
      <c r="L380" s="140" t="str">
        <f t="shared" si="158"/>
        <v/>
      </c>
      <c r="M380" s="86" t="s">
        <v>56</v>
      </c>
      <c r="N380" s="86" t="s">
        <v>56</v>
      </c>
      <c r="O380" s="86"/>
      <c r="P380" s="86"/>
      <c r="Q380" s="86"/>
      <c r="R380" s="86"/>
      <c r="S380" s="86"/>
      <c r="T380" s="86"/>
      <c r="U380" s="142" t="str">
        <f t="shared" si="159"/>
        <v/>
      </c>
      <c r="V380" s="88" t="s">
        <v>56</v>
      </c>
      <c r="W380" s="88" t="s">
        <v>56</v>
      </c>
      <c r="X380" s="88"/>
      <c r="Y380" s="88"/>
      <c r="Z380" s="88"/>
      <c r="AA380" s="88"/>
      <c r="AB380" s="88"/>
      <c r="AC380" s="88"/>
      <c r="AD380" s="142" t="str">
        <f t="shared" si="160"/>
        <v/>
      </c>
      <c r="AE380" s="88"/>
      <c r="AF380" s="88"/>
      <c r="AG380" s="88"/>
      <c r="AH380" s="88"/>
      <c r="AI380" s="88"/>
      <c r="AJ380" s="88"/>
      <c r="AK380" s="88"/>
      <c r="AL380" s="88"/>
      <c r="AM380" s="88">
        <v>42.827329643408035</v>
      </c>
      <c r="AN380" s="88">
        <v>110.21000000000001</v>
      </c>
      <c r="AO380" s="89" t="s">
        <v>56</v>
      </c>
      <c r="AP380" s="90"/>
      <c r="AQ380" s="146" t="str">
        <f t="shared" si="161"/>
        <v/>
      </c>
      <c r="AR380" s="146" t="str">
        <f t="shared" si="162"/>
        <v/>
      </c>
      <c r="AS380" s="147">
        <v>24</v>
      </c>
      <c r="AT380" s="148" t="s">
        <v>56</v>
      </c>
      <c r="AU380" s="149" t="s">
        <v>56</v>
      </c>
      <c r="AV380" s="146" t="str">
        <f t="shared" si="163"/>
        <v/>
      </c>
      <c r="AW380" s="146" t="str">
        <f t="shared" si="164"/>
        <v/>
      </c>
      <c r="AX380" s="138" t="str">
        <f t="shared" si="165"/>
        <v/>
      </c>
      <c r="AY380" s="95" t="s">
        <v>56</v>
      </c>
      <c r="AZ380" s="96" t="s">
        <v>56</v>
      </c>
      <c r="BA380" s="96"/>
      <c r="BB380" s="96" t="s">
        <v>56</v>
      </c>
      <c r="BC380" s="96"/>
      <c r="BD380" s="97">
        <v>110.21000000000001</v>
      </c>
      <c r="BE380" s="142">
        <f t="shared" si="166"/>
        <v>14215</v>
      </c>
      <c r="BF380" s="88">
        <v>348</v>
      </c>
      <c r="BG380" s="98">
        <v>0</v>
      </c>
      <c r="BH380" s="98">
        <v>8627</v>
      </c>
      <c r="BI380" s="98">
        <v>5240</v>
      </c>
      <c r="BJ380" s="98"/>
      <c r="BK380" s="98"/>
      <c r="BL380" s="97"/>
    </row>
    <row r="381" spans="1:64" outlineLevel="5" x14ac:dyDescent="0.3">
      <c r="A381" s="152">
        <f t="shared" si="167"/>
        <v>11</v>
      </c>
      <c r="B381" s="153">
        <f t="shared" si="152"/>
        <v>44520</v>
      </c>
      <c r="C381" s="138">
        <f t="shared" si="157"/>
        <v>38</v>
      </c>
      <c r="D381" s="84">
        <v>38</v>
      </c>
      <c r="E381" s="84">
        <v>38</v>
      </c>
      <c r="F381" s="84"/>
      <c r="G381" s="84"/>
      <c r="H381" s="84"/>
      <c r="I381" s="84"/>
      <c r="J381" s="84"/>
      <c r="K381" s="84"/>
      <c r="L381" s="140" t="str">
        <f t="shared" si="158"/>
        <v/>
      </c>
      <c r="M381" s="86"/>
      <c r="N381" s="86"/>
      <c r="O381" s="86"/>
      <c r="P381" s="86"/>
      <c r="Q381" s="86"/>
      <c r="R381" s="86"/>
      <c r="S381" s="86"/>
      <c r="T381" s="86"/>
      <c r="U381" s="142" t="str">
        <f t="shared" si="159"/>
        <v/>
      </c>
      <c r="V381" s="88"/>
      <c r="W381" s="88"/>
      <c r="X381" s="88"/>
      <c r="Y381" s="88"/>
      <c r="Z381" s="88"/>
      <c r="AA381" s="88"/>
      <c r="AB381" s="88"/>
      <c r="AC381" s="88"/>
      <c r="AD381" s="142" t="str">
        <f t="shared" si="160"/>
        <v/>
      </c>
      <c r="AE381" s="88"/>
      <c r="AF381" s="88"/>
      <c r="AG381" s="88"/>
      <c r="AH381" s="88"/>
      <c r="AI381" s="88"/>
      <c r="AJ381" s="88"/>
      <c r="AK381" s="88"/>
      <c r="AL381" s="88"/>
      <c r="AM381" s="88">
        <v>43.077484712968882</v>
      </c>
      <c r="AN381" s="88">
        <v>109.57</v>
      </c>
      <c r="AO381" s="89"/>
      <c r="AP381" s="90"/>
      <c r="AQ381" s="146" t="str">
        <f t="shared" si="161"/>
        <v/>
      </c>
      <c r="AR381" s="146" t="str">
        <f t="shared" si="162"/>
        <v/>
      </c>
      <c r="AS381" s="147">
        <v>11</v>
      </c>
      <c r="AT381" s="148" t="s">
        <v>56</v>
      </c>
      <c r="AU381" s="149" t="s">
        <v>56</v>
      </c>
      <c r="AV381" s="146" t="str">
        <f t="shared" si="163"/>
        <v/>
      </c>
      <c r="AW381" s="146" t="str">
        <f t="shared" si="164"/>
        <v/>
      </c>
      <c r="AX381" s="138" t="str">
        <f t="shared" si="165"/>
        <v/>
      </c>
      <c r="AY381" s="95" t="s">
        <v>56</v>
      </c>
      <c r="AZ381" s="96" t="s">
        <v>56</v>
      </c>
      <c r="BA381" s="96"/>
      <c r="BB381" s="96" t="s">
        <v>56</v>
      </c>
      <c r="BC381" s="96"/>
      <c r="BD381" s="97">
        <v>109.57</v>
      </c>
      <c r="BE381" s="142">
        <f t="shared" si="166"/>
        <v>8509</v>
      </c>
      <c r="BF381" s="88">
        <v>230</v>
      </c>
      <c r="BG381" s="98">
        <v>0</v>
      </c>
      <c r="BH381" s="98">
        <v>2949</v>
      </c>
      <c r="BI381" s="98">
        <v>5330</v>
      </c>
      <c r="BJ381" s="98"/>
      <c r="BK381" s="98"/>
      <c r="BL381" s="97"/>
    </row>
    <row r="382" spans="1:64" outlineLevel="5" x14ac:dyDescent="0.3">
      <c r="A382" s="152">
        <f t="shared" si="167"/>
        <v>11</v>
      </c>
      <c r="B382" s="153">
        <f t="shared" si="152"/>
        <v>44521</v>
      </c>
      <c r="C382" s="138">
        <f t="shared" si="157"/>
        <v>38</v>
      </c>
      <c r="D382" s="84">
        <v>38</v>
      </c>
      <c r="E382" s="84">
        <v>38</v>
      </c>
      <c r="F382" s="84"/>
      <c r="G382" s="84"/>
      <c r="H382" s="84"/>
      <c r="I382" s="84"/>
      <c r="J382" s="84"/>
      <c r="K382" s="84"/>
      <c r="L382" s="140" t="str">
        <f t="shared" si="158"/>
        <v/>
      </c>
      <c r="M382" s="86"/>
      <c r="N382" s="86"/>
      <c r="O382" s="86"/>
      <c r="P382" s="86"/>
      <c r="Q382" s="86"/>
      <c r="R382" s="86"/>
      <c r="S382" s="86"/>
      <c r="T382" s="86"/>
      <c r="U382" s="142" t="str">
        <f t="shared" si="159"/>
        <v/>
      </c>
      <c r="V382" s="88"/>
      <c r="W382" s="88"/>
      <c r="X382" s="88"/>
      <c r="Y382" s="88"/>
      <c r="Z382" s="88"/>
      <c r="AA382" s="88"/>
      <c r="AB382" s="88"/>
      <c r="AC382" s="88"/>
      <c r="AD382" s="142" t="str">
        <f t="shared" si="160"/>
        <v/>
      </c>
      <c r="AE382" s="88"/>
      <c r="AF382" s="88"/>
      <c r="AG382" s="88"/>
      <c r="AH382" s="88"/>
      <c r="AI382" s="88"/>
      <c r="AJ382" s="88"/>
      <c r="AK382" s="88"/>
      <c r="AL382" s="88"/>
      <c r="AM382" s="88">
        <v>39.333333333333336</v>
      </c>
      <c r="AN382" s="88">
        <v>120</v>
      </c>
      <c r="AO382" s="89"/>
      <c r="AP382" s="90"/>
      <c r="AQ382" s="146" t="str">
        <f t="shared" si="161"/>
        <v/>
      </c>
      <c r="AR382" s="146" t="str">
        <f t="shared" si="162"/>
        <v/>
      </c>
      <c r="AS382" s="147">
        <v>20</v>
      </c>
      <c r="AT382" s="148" t="s">
        <v>56</v>
      </c>
      <c r="AU382" s="149" t="s">
        <v>56</v>
      </c>
      <c r="AV382" s="146" t="str">
        <f t="shared" si="163"/>
        <v/>
      </c>
      <c r="AW382" s="146" t="str">
        <f t="shared" si="164"/>
        <v/>
      </c>
      <c r="AX382" s="138" t="str">
        <f t="shared" si="165"/>
        <v/>
      </c>
      <c r="AY382" s="95" t="s">
        <v>56</v>
      </c>
      <c r="AZ382" s="96" t="s">
        <v>56</v>
      </c>
      <c r="BA382" s="96"/>
      <c r="BB382" s="96" t="s">
        <v>56</v>
      </c>
      <c r="BC382" s="96"/>
      <c r="BD382" s="97">
        <v>120</v>
      </c>
      <c r="BE382" s="142">
        <f t="shared" si="166"/>
        <v>8128</v>
      </c>
      <c r="BF382" s="88">
        <v>74</v>
      </c>
      <c r="BG382" s="98">
        <v>0</v>
      </c>
      <c r="BH382" s="98">
        <v>2724</v>
      </c>
      <c r="BI382" s="98">
        <v>5330</v>
      </c>
      <c r="BJ382" s="98"/>
      <c r="BK382" s="98"/>
      <c r="BL382" s="97"/>
    </row>
    <row r="383" spans="1:64" outlineLevel="5" x14ac:dyDescent="0.3">
      <c r="A383" s="152">
        <f t="shared" si="167"/>
        <v>11</v>
      </c>
      <c r="B383" s="153">
        <f t="shared" si="152"/>
        <v>44522</v>
      </c>
      <c r="C383" s="138">
        <f t="shared" si="157"/>
        <v>37.5</v>
      </c>
      <c r="D383" s="84">
        <v>38</v>
      </c>
      <c r="E383" s="84">
        <v>37</v>
      </c>
      <c r="F383" s="84"/>
      <c r="G383" s="84"/>
      <c r="H383" s="84"/>
      <c r="I383" s="84"/>
      <c r="J383" s="84"/>
      <c r="K383" s="84"/>
      <c r="L383" s="140">
        <f t="shared" si="158"/>
        <v>7.6</v>
      </c>
      <c r="M383" s="86">
        <v>7.68</v>
      </c>
      <c r="N383" s="86">
        <v>7.45</v>
      </c>
      <c r="O383" s="86"/>
      <c r="P383" s="86"/>
      <c r="Q383" s="86"/>
      <c r="R383" s="86"/>
      <c r="S383" s="86"/>
      <c r="T383" s="86"/>
      <c r="U383" s="142">
        <f t="shared" si="159"/>
        <v>1489</v>
      </c>
      <c r="V383" s="88">
        <v>1580</v>
      </c>
      <c r="W383" s="88">
        <v>1398</v>
      </c>
      <c r="X383" s="88"/>
      <c r="Y383" s="88"/>
      <c r="Z383" s="88"/>
      <c r="AA383" s="88"/>
      <c r="AB383" s="88"/>
      <c r="AC383" s="88"/>
      <c r="AD383" s="142" t="str">
        <f t="shared" si="160"/>
        <v/>
      </c>
      <c r="AE383" s="88"/>
      <c r="AF383" s="88"/>
      <c r="AG383" s="88"/>
      <c r="AH383" s="88"/>
      <c r="AI383" s="88"/>
      <c r="AJ383" s="88"/>
      <c r="AK383" s="88"/>
      <c r="AL383" s="88"/>
      <c r="AM383" s="88">
        <v>36.671587289254923</v>
      </c>
      <c r="AN383" s="88">
        <v>128.70999999999998</v>
      </c>
      <c r="AO383" s="89">
        <v>17.3</v>
      </c>
      <c r="AP383" s="90">
        <v>14.324400000000001</v>
      </c>
      <c r="AQ383" s="146">
        <f t="shared" si="161"/>
        <v>82.8</v>
      </c>
      <c r="AR383" s="146">
        <f t="shared" si="162"/>
        <v>17.200000000000003</v>
      </c>
      <c r="AS383" s="147">
        <v>42</v>
      </c>
      <c r="AT383" s="148">
        <v>16.05</v>
      </c>
      <c r="AU383" s="149">
        <v>8.35</v>
      </c>
      <c r="AV383" s="146">
        <f t="shared" si="163"/>
        <v>52.024922118380054</v>
      </c>
      <c r="AW383" s="146">
        <f t="shared" si="164"/>
        <v>47.975077881619946</v>
      </c>
      <c r="AX383" s="138">
        <f t="shared" si="165"/>
        <v>77.473492690884001</v>
      </c>
      <c r="AY383" s="95">
        <v>79.7</v>
      </c>
      <c r="AZ383" s="96" t="s">
        <v>56</v>
      </c>
      <c r="BA383" s="96"/>
      <c r="BB383" s="96" t="s">
        <v>56</v>
      </c>
      <c r="BC383" s="96"/>
      <c r="BD383" s="97">
        <v>128.70999999999998</v>
      </c>
      <c r="BE383" s="142">
        <f t="shared" si="166"/>
        <v>7186</v>
      </c>
      <c r="BF383" s="88">
        <v>205</v>
      </c>
      <c r="BG383" s="98">
        <v>0</v>
      </c>
      <c r="BH383" s="98">
        <v>5075</v>
      </c>
      <c r="BI383" s="98">
        <v>1906</v>
      </c>
      <c r="BJ383" s="98"/>
      <c r="BK383" s="98"/>
      <c r="BL383" s="97"/>
    </row>
    <row r="384" spans="1:64" outlineLevel="5" x14ac:dyDescent="0.3">
      <c r="A384" s="152">
        <f t="shared" si="167"/>
        <v>11</v>
      </c>
      <c r="B384" s="153">
        <f t="shared" si="152"/>
        <v>44523</v>
      </c>
      <c r="C384" s="138">
        <f t="shared" si="157"/>
        <v>37.5</v>
      </c>
      <c r="D384" s="84">
        <v>38</v>
      </c>
      <c r="E384" s="84">
        <v>37</v>
      </c>
      <c r="F384" s="84"/>
      <c r="G384" s="84"/>
      <c r="H384" s="84"/>
      <c r="I384" s="84"/>
      <c r="J384" s="84"/>
      <c r="K384" s="84"/>
      <c r="L384" s="140" t="str">
        <f t="shared" si="158"/>
        <v/>
      </c>
      <c r="M384" s="86" t="s">
        <v>56</v>
      </c>
      <c r="N384" s="86" t="s">
        <v>56</v>
      </c>
      <c r="O384" s="86"/>
      <c r="P384" s="86"/>
      <c r="Q384" s="86"/>
      <c r="R384" s="86"/>
      <c r="S384" s="86"/>
      <c r="T384" s="86"/>
      <c r="U384" s="142" t="str">
        <f t="shared" si="159"/>
        <v/>
      </c>
      <c r="V384" s="88" t="s">
        <v>56</v>
      </c>
      <c r="W384" s="88" t="s">
        <v>56</v>
      </c>
      <c r="X384" s="88"/>
      <c r="Y384" s="88"/>
      <c r="Z384" s="88"/>
      <c r="AA384" s="88"/>
      <c r="AB384" s="88"/>
      <c r="AC384" s="88"/>
      <c r="AD384" s="142" t="str">
        <f t="shared" si="160"/>
        <v/>
      </c>
      <c r="AE384" s="88"/>
      <c r="AF384" s="88"/>
      <c r="AG384" s="88"/>
      <c r="AH384" s="88"/>
      <c r="AI384" s="88"/>
      <c r="AJ384" s="88"/>
      <c r="AK384" s="88"/>
      <c r="AL384" s="88"/>
      <c r="AM384" s="88">
        <v>37.627551020408163</v>
      </c>
      <c r="AN384" s="88">
        <v>125.44</v>
      </c>
      <c r="AO384" s="89" t="s">
        <v>56</v>
      </c>
      <c r="AP384" s="90" t="s">
        <v>56</v>
      </c>
      <c r="AQ384" s="146" t="str">
        <f t="shared" si="161"/>
        <v/>
      </c>
      <c r="AR384" s="146" t="str">
        <f t="shared" si="162"/>
        <v/>
      </c>
      <c r="AS384" s="147">
        <v>44</v>
      </c>
      <c r="AT384" s="148" t="s">
        <v>56</v>
      </c>
      <c r="AU384" s="149" t="s">
        <v>56</v>
      </c>
      <c r="AV384" s="146" t="str">
        <f t="shared" si="163"/>
        <v/>
      </c>
      <c r="AW384" s="146" t="str">
        <f t="shared" si="164"/>
        <v/>
      </c>
      <c r="AX384" s="138" t="str">
        <f t="shared" si="165"/>
        <v/>
      </c>
      <c r="AY384" s="95" t="s">
        <v>56</v>
      </c>
      <c r="AZ384" s="96" t="s">
        <v>56</v>
      </c>
      <c r="BA384" s="96"/>
      <c r="BB384" s="96" t="s">
        <v>56</v>
      </c>
      <c r="BC384" s="96"/>
      <c r="BD384" s="97">
        <v>125.44</v>
      </c>
      <c r="BE384" s="142">
        <f t="shared" si="166"/>
        <v>10772</v>
      </c>
      <c r="BF384" s="88">
        <v>252</v>
      </c>
      <c r="BG384" s="98">
        <v>0</v>
      </c>
      <c r="BH384" s="98">
        <v>10520</v>
      </c>
      <c r="BI384" s="98">
        <v>0</v>
      </c>
      <c r="BJ384" s="98"/>
      <c r="BK384" s="98"/>
      <c r="BL384" s="97"/>
    </row>
    <row r="385" spans="1:64" outlineLevel="5" x14ac:dyDescent="0.3">
      <c r="A385" s="152">
        <f t="shared" si="167"/>
        <v>11</v>
      </c>
      <c r="B385" s="153">
        <f t="shared" si="152"/>
        <v>44524</v>
      </c>
      <c r="C385" s="138">
        <f t="shared" si="157"/>
        <v>37</v>
      </c>
      <c r="D385" s="84">
        <v>37</v>
      </c>
      <c r="E385" s="84">
        <v>37</v>
      </c>
      <c r="F385" s="84"/>
      <c r="G385" s="84"/>
      <c r="H385" s="84"/>
      <c r="I385" s="84"/>
      <c r="J385" s="84"/>
      <c r="K385" s="84"/>
      <c r="L385" s="140">
        <f t="shared" si="158"/>
        <v>7.6</v>
      </c>
      <c r="M385" s="86">
        <v>7.64</v>
      </c>
      <c r="N385" s="86">
        <v>7.52</v>
      </c>
      <c r="O385" s="86"/>
      <c r="P385" s="86"/>
      <c r="Q385" s="86"/>
      <c r="R385" s="86"/>
      <c r="S385" s="86"/>
      <c r="T385" s="86"/>
      <c r="U385" s="142">
        <f t="shared" si="159"/>
        <v>1650</v>
      </c>
      <c r="V385" s="88">
        <v>1800</v>
      </c>
      <c r="W385" s="88">
        <v>1500</v>
      </c>
      <c r="X385" s="88"/>
      <c r="Y385" s="88"/>
      <c r="Z385" s="88"/>
      <c r="AA385" s="88"/>
      <c r="AB385" s="88"/>
      <c r="AC385" s="88"/>
      <c r="AD385" s="142" t="str">
        <f t="shared" si="160"/>
        <v/>
      </c>
      <c r="AE385" s="88"/>
      <c r="AF385" s="88"/>
      <c r="AG385" s="88"/>
      <c r="AH385" s="88"/>
      <c r="AI385" s="88"/>
      <c r="AJ385" s="88"/>
      <c r="AK385" s="88"/>
      <c r="AL385" s="88"/>
      <c r="AM385" s="88">
        <v>33.714285714285715</v>
      </c>
      <c r="AN385" s="88">
        <v>140</v>
      </c>
      <c r="AO385" s="89" t="s">
        <v>56</v>
      </c>
      <c r="AP385" s="90" t="s">
        <v>56</v>
      </c>
      <c r="AQ385" s="146" t="str">
        <f t="shared" si="161"/>
        <v/>
      </c>
      <c r="AR385" s="146" t="str">
        <f t="shared" si="162"/>
        <v/>
      </c>
      <c r="AS385" s="147">
        <v>41</v>
      </c>
      <c r="AT385" s="148">
        <v>17.5</v>
      </c>
      <c r="AU385" s="149">
        <v>9.9499999999999993</v>
      </c>
      <c r="AV385" s="146">
        <f t="shared" si="163"/>
        <v>56.857142857142847</v>
      </c>
      <c r="AW385" s="146">
        <f t="shared" si="164"/>
        <v>43.142857142857153</v>
      </c>
      <c r="AX385" s="138" t="str">
        <f t="shared" si="165"/>
        <v/>
      </c>
      <c r="AY385" s="95">
        <v>72.150000000000006</v>
      </c>
      <c r="AZ385" s="96" t="s">
        <v>56</v>
      </c>
      <c r="BA385" s="96"/>
      <c r="BB385" s="96" t="s">
        <v>56</v>
      </c>
      <c r="BC385" s="96"/>
      <c r="BD385" s="97">
        <v>140</v>
      </c>
      <c r="BE385" s="142">
        <f t="shared" si="166"/>
        <v>9849</v>
      </c>
      <c r="BF385" s="88">
        <v>246</v>
      </c>
      <c r="BG385" s="98">
        <v>0</v>
      </c>
      <c r="BH385" s="98">
        <v>9603</v>
      </c>
      <c r="BI385" s="98">
        <v>0</v>
      </c>
      <c r="BJ385" s="98"/>
      <c r="BK385" s="98"/>
      <c r="BL385" s="97"/>
    </row>
    <row r="386" spans="1:64" outlineLevel="5" x14ac:dyDescent="0.3">
      <c r="A386" s="152">
        <f t="shared" si="167"/>
        <v>11</v>
      </c>
      <c r="B386" s="153">
        <f t="shared" si="152"/>
        <v>44525</v>
      </c>
      <c r="C386" s="138">
        <f t="shared" si="157"/>
        <v>37.5</v>
      </c>
      <c r="D386" s="84">
        <v>38</v>
      </c>
      <c r="E386" s="84">
        <v>37</v>
      </c>
      <c r="F386" s="84"/>
      <c r="G386" s="84"/>
      <c r="H386" s="84"/>
      <c r="I386" s="84"/>
      <c r="J386" s="84"/>
      <c r="K386" s="84"/>
      <c r="L386" s="140">
        <f t="shared" si="158"/>
        <v>7.6</v>
      </c>
      <c r="M386" s="86">
        <v>7.61</v>
      </c>
      <c r="N386" s="86">
        <v>7.52</v>
      </c>
      <c r="O386" s="86"/>
      <c r="P386" s="86"/>
      <c r="Q386" s="86"/>
      <c r="R386" s="86"/>
      <c r="S386" s="86"/>
      <c r="T386" s="86"/>
      <c r="U386" s="142">
        <f t="shared" si="159"/>
        <v>1749.5</v>
      </c>
      <c r="V386" s="88">
        <v>1877</v>
      </c>
      <c r="W386" s="88">
        <v>1622</v>
      </c>
      <c r="X386" s="88"/>
      <c r="Y386" s="88"/>
      <c r="Z386" s="88"/>
      <c r="AA386" s="88"/>
      <c r="AB386" s="88"/>
      <c r="AC386" s="88"/>
      <c r="AD386" s="142" t="str">
        <f t="shared" si="160"/>
        <v/>
      </c>
      <c r="AE386" s="88"/>
      <c r="AF386" s="88"/>
      <c r="AG386" s="88"/>
      <c r="AH386" s="88"/>
      <c r="AI386" s="88"/>
      <c r="AJ386" s="88"/>
      <c r="AK386" s="88"/>
      <c r="AL386" s="88"/>
      <c r="AM386" s="88">
        <v>40.574228487922291</v>
      </c>
      <c r="AN386" s="88">
        <v>116.33</v>
      </c>
      <c r="AO386" s="89" t="s">
        <v>56</v>
      </c>
      <c r="AP386" s="90" t="s">
        <v>56</v>
      </c>
      <c r="AQ386" s="146" t="str">
        <f t="shared" si="161"/>
        <v/>
      </c>
      <c r="AR386" s="146" t="str">
        <f t="shared" si="162"/>
        <v/>
      </c>
      <c r="AS386" s="147">
        <v>40</v>
      </c>
      <c r="AT386" s="148">
        <v>15.75</v>
      </c>
      <c r="AU386" s="149">
        <v>9.25</v>
      </c>
      <c r="AV386" s="146">
        <f t="shared" si="163"/>
        <v>58.730158730158735</v>
      </c>
      <c r="AW386" s="146">
        <f t="shared" si="164"/>
        <v>41.269841269841265</v>
      </c>
      <c r="AX386" s="138" t="str">
        <f t="shared" si="165"/>
        <v/>
      </c>
      <c r="AY386" s="95">
        <v>71.75</v>
      </c>
      <c r="AZ386" s="96" t="s">
        <v>56</v>
      </c>
      <c r="BA386" s="96"/>
      <c r="BB386" s="96" t="s">
        <v>56</v>
      </c>
      <c r="BC386" s="96"/>
      <c r="BD386" s="97">
        <v>116.33</v>
      </c>
      <c r="BE386" s="142">
        <f t="shared" si="166"/>
        <v>9891</v>
      </c>
      <c r="BF386" s="88">
        <v>350</v>
      </c>
      <c r="BG386" s="98">
        <v>0</v>
      </c>
      <c r="BH386" s="98">
        <v>9541</v>
      </c>
      <c r="BI386" s="98">
        <v>0</v>
      </c>
      <c r="BJ386" s="98"/>
      <c r="BK386" s="98"/>
      <c r="BL386" s="97"/>
    </row>
    <row r="387" spans="1:64" outlineLevel="5" x14ac:dyDescent="0.3">
      <c r="A387" s="152">
        <f t="shared" si="167"/>
        <v>11</v>
      </c>
      <c r="B387" s="153">
        <f t="shared" si="152"/>
        <v>44526</v>
      </c>
      <c r="C387" s="138">
        <f t="shared" si="157"/>
        <v>37.5</v>
      </c>
      <c r="D387" s="84">
        <v>38</v>
      </c>
      <c r="E387" s="84">
        <v>37</v>
      </c>
      <c r="F387" s="84"/>
      <c r="G387" s="84"/>
      <c r="H387" s="84"/>
      <c r="I387" s="84"/>
      <c r="J387" s="84"/>
      <c r="K387" s="84"/>
      <c r="L387" s="140" t="str">
        <f t="shared" si="158"/>
        <v/>
      </c>
      <c r="M387" s="86" t="s">
        <v>56</v>
      </c>
      <c r="N387" s="86" t="s">
        <v>56</v>
      </c>
      <c r="O387" s="86"/>
      <c r="P387" s="86"/>
      <c r="Q387" s="86"/>
      <c r="R387" s="86"/>
      <c r="S387" s="86"/>
      <c r="T387" s="86"/>
      <c r="U387" s="142" t="str">
        <f t="shared" si="159"/>
        <v/>
      </c>
      <c r="V387" s="88" t="s">
        <v>56</v>
      </c>
      <c r="W387" s="88" t="s">
        <v>56</v>
      </c>
      <c r="X387" s="88"/>
      <c r="Y387" s="88"/>
      <c r="Z387" s="88"/>
      <c r="AA387" s="88"/>
      <c r="AB387" s="88"/>
      <c r="AC387" s="88"/>
      <c r="AD387" s="142" t="str">
        <f t="shared" si="160"/>
        <v/>
      </c>
      <c r="AE387" s="88"/>
      <c r="AF387" s="88"/>
      <c r="AG387" s="88"/>
      <c r="AH387" s="88"/>
      <c r="AI387" s="88"/>
      <c r="AJ387" s="88"/>
      <c r="AK387" s="88"/>
      <c r="AL387" s="88"/>
      <c r="AM387" s="88">
        <v>44.178210408086855</v>
      </c>
      <c r="AN387" s="88">
        <v>106.84</v>
      </c>
      <c r="AO387" s="89" t="s">
        <v>56</v>
      </c>
      <c r="AP387" s="90"/>
      <c r="AQ387" s="146" t="str">
        <f t="shared" si="161"/>
        <v/>
      </c>
      <c r="AR387" s="146" t="str">
        <f t="shared" si="162"/>
        <v/>
      </c>
      <c r="AS387" s="147">
        <v>30</v>
      </c>
      <c r="AT387" s="148" t="s">
        <v>56</v>
      </c>
      <c r="AU387" s="149" t="s">
        <v>56</v>
      </c>
      <c r="AV387" s="146" t="str">
        <f t="shared" si="163"/>
        <v/>
      </c>
      <c r="AW387" s="146" t="str">
        <f t="shared" si="164"/>
        <v/>
      </c>
      <c r="AX387" s="138" t="str">
        <f t="shared" si="165"/>
        <v/>
      </c>
      <c r="AY387" s="95" t="s">
        <v>56</v>
      </c>
      <c r="AZ387" s="96" t="s">
        <v>56</v>
      </c>
      <c r="BA387" s="96"/>
      <c r="BB387" s="96" t="s">
        <v>56</v>
      </c>
      <c r="BC387" s="96"/>
      <c r="BD387" s="97">
        <v>106.84</v>
      </c>
      <c r="BE387" s="142">
        <f t="shared" si="166"/>
        <v>12085</v>
      </c>
      <c r="BF387" s="88">
        <v>353</v>
      </c>
      <c r="BG387" s="98">
        <v>0</v>
      </c>
      <c r="BH387" s="98">
        <v>8778</v>
      </c>
      <c r="BI387" s="98">
        <v>2954</v>
      </c>
      <c r="BJ387" s="98"/>
      <c r="BK387" s="98"/>
      <c r="BL387" s="97"/>
    </row>
    <row r="388" spans="1:64" outlineLevel="5" x14ac:dyDescent="0.3">
      <c r="A388" s="152">
        <f t="shared" si="167"/>
        <v>11</v>
      </c>
      <c r="B388" s="153">
        <f t="shared" si="152"/>
        <v>44527</v>
      </c>
      <c r="C388" s="138">
        <f t="shared" si="157"/>
        <v>37.5</v>
      </c>
      <c r="D388" s="84">
        <v>38</v>
      </c>
      <c r="E388" s="84">
        <v>37</v>
      </c>
      <c r="F388" s="84"/>
      <c r="G388" s="84"/>
      <c r="H388" s="84"/>
      <c r="I388" s="84"/>
      <c r="J388" s="84"/>
      <c r="K388" s="84"/>
      <c r="L388" s="140" t="str">
        <f t="shared" si="158"/>
        <v/>
      </c>
      <c r="M388" s="86"/>
      <c r="N388" s="86"/>
      <c r="O388" s="86"/>
      <c r="P388" s="86"/>
      <c r="Q388" s="86"/>
      <c r="R388" s="86"/>
      <c r="S388" s="86"/>
      <c r="T388" s="86"/>
      <c r="U388" s="142" t="str">
        <f t="shared" si="159"/>
        <v/>
      </c>
      <c r="V388" s="88"/>
      <c r="W388" s="88"/>
      <c r="X388" s="88"/>
      <c r="Y388" s="88"/>
      <c r="Z388" s="88"/>
      <c r="AA388" s="88"/>
      <c r="AB388" s="88"/>
      <c r="AC388" s="88"/>
      <c r="AD388" s="142" t="str">
        <f t="shared" si="160"/>
        <v/>
      </c>
      <c r="AE388" s="88"/>
      <c r="AF388" s="88"/>
      <c r="AG388" s="88"/>
      <c r="AH388" s="88"/>
      <c r="AI388" s="88"/>
      <c r="AJ388" s="88"/>
      <c r="AK388" s="88"/>
      <c r="AL388" s="88"/>
      <c r="AM388" s="88">
        <v>38.206248988181962</v>
      </c>
      <c r="AN388" s="88">
        <v>123.54</v>
      </c>
      <c r="AO388" s="89"/>
      <c r="AP388" s="90"/>
      <c r="AQ388" s="146" t="str">
        <f t="shared" si="161"/>
        <v/>
      </c>
      <c r="AR388" s="146" t="str">
        <f t="shared" si="162"/>
        <v/>
      </c>
      <c r="AS388" s="147">
        <v>10</v>
      </c>
      <c r="AT388" s="148" t="s">
        <v>56</v>
      </c>
      <c r="AU388" s="149" t="s">
        <v>56</v>
      </c>
      <c r="AV388" s="146" t="str">
        <f t="shared" si="163"/>
        <v/>
      </c>
      <c r="AW388" s="146" t="str">
        <f t="shared" si="164"/>
        <v/>
      </c>
      <c r="AX388" s="138" t="str">
        <f t="shared" si="165"/>
        <v/>
      </c>
      <c r="AY388" s="95" t="s">
        <v>56</v>
      </c>
      <c r="AZ388" s="96" t="s">
        <v>56</v>
      </c>
      <c r="BA388" s="96"/>
      <c r="BB388" s="96" t="s">
        <v>56</v>
      </c>
      <c r="BC388" s="96"/>
      <c r="BD388" s="97">
        <v>123.54</v>
      </c>
      <c r="BE388" s="142">
        <f t="shared" si="166"/>
        <v>11056</v>
      </c>
      <c r="BF388" s="88">
        <v>465</v>
      </c>
      <c r="BG388" s="98">
        <v>0</v>
      </c>
      <c r="BH388" s="98">
        <v>5295</v>
      </c>
      <c r="BI388" s="98">
        <v>5296</v>
      </c>
      <c r="BJ388" s="98"/>
      <c r="BK388" s="98"/>
      <c r="BL388" s="97"/>
    </row>
    <row r="389" spans="1:64" outlineLevel="5" x14ac:dyDescent="0.3">
      <c r="A389" s="152">
        <f t="shared" si="167"/>
        <v>11</v>
      </c>
      <c r="B389" s="153">
        <f t="shared" si="152"/>
        <v>44528</v>
      </c>
      <c r="C389" s="138">
        <f t="shared" si="157"/>
        <v>37</v>
      </c>
      <c r="D389" s="84">
        <v>37</v>
      </c>
      <c r="E389" s="84">
        <v>37</v>
      </c>
      <c r="F389" s="84"/>
      <c r="G389" s="84"/>
      <c r="H389" s="84"/>
      <c r="I389" s="84"/>
      <c r="J389" s="84"/>
      <c r="K389" s="84"/>
      <c r="L389" s="140" t="str">
        <f t="shared" si="158"/>
        <v/>
      </c>
      <c r="M389" s="86"/>
      <c r="N389" s="86"/>
      <c r="O389" s="86"/>
      <c r="P389" s="86"/>
      <c r="Q389" s="86"/>
      <c r="R389" s="86"/>
      <c r="S389" s="86"/>
      <c r="T389" s="86"/>
      <c r="U389" s="142" t="str">
        <f t="shared" si="159"/>
        <v/>
      </c>
      <c r="V389" s="88"/>
      <c r="W389" s="88"/>
      <c r="X389" s="88"/>
      <c r="Y389" s="88"/>
      <c r="Z389" s="88"/>
      <c r="AA389" s="88"/>
      <c r="AB389" s="88"/>
      <c r="AC389" s="88"/>
      <c r="AD389" s="142" t="str">
        <f t="shared" si="160"/>
        <v/>
      </c>
      <c r="AE389" s="88"/>
      <c r="AF389" s="88"/>
      <c r="AG389" s="88"/>
      <c r="AH389" s="88"/>
      <c r="AI389" s="88"/>
      <c r="AJ389" s="88"/>
      <c r="AK389" s="88"/>
      <c r="AL389" s="88"/>
      <c r="AM389" s="88">
        <v>42.909090909090907</v>
      </c>
      <c r="AN389" s="88">
        <v>110</v>
      </c>
      <c r="AO389" s="89"/>
      <c r="AP389" s="90"/>
      <c r="AQ389" s="146" t="str">
        <f t="shared" si="161"/>
        <v/>
      </c>
      <c r="AR389" s="146" t="str">
        <f t="shared" si="162"/>
        <v/>
      </c>
      <c r="AS389" s="147">
        <v>0</v>
      </c>
      <c r="AT389" s="148" t="s">
        <v>56</v>
      </c>
      <c r="AU389" s="149" t="s">
        <v>56</v>
      </c>
      <c r="AV389" s="146" t="str">
        <f t="shared" si="163"/>
        <v/>
      </c>
      <c r="AW389" s="146" t="str">
        <f t="shared" si="164"/>
        <v/>
      </c>
      <c r="AX389" s="138" t="str">
        <f t="shared" si="165"/>
        <v/>
      </c>
      <c r="AY389" s="95" t="s">
        <v>56</v>
      </c>
      <c r="AZ389" s="96" t="s">
        <v>56</v>
      </c>
      <c r="BA389" s="96"/>
      <c r="BB389" s="96" t="s">
        <v>56</v>
      </c>
      <c r="BC389" s="96"/>
      <c r="BD389" s="97">
        <v>110</v>
      </c>
      <c r="BE389" s="142">
        <f t="shared" si="166"/>
        <v>3886</v>
      </c>
      <c r="BF389" s="88">
        <v>0</v>
      </c>
      <c r="BG389" s="98">
        <v>0</v>
      </c>
      <c r="BH389" s="98">
        <v>2621</v>
      </c>
      <c r="BI389" s="98">
        <v>1265</v>
      </c>
      <c r="BJ389" s="98"/>
      <c r="BK389" s="98"/>
      <c r="BL389" s="97"/>
    </row>
    <row r="390" spans="1:64" outlineLevel="5" x14ac:dyDescent="0.3">
      <c r="A390" s="152">
        <f t="shared" si="167"/>
        <v>11</v>
      </c>
      <c r="B390" s="153">
        <f t="shared" si="152"/>
        <v>44529</v>
      </c>
      <c r="C390" s="138">
        <f t="shared" si="157"/>
        <v>36.5</v>
      </c>
      <c r="D390" s="84">
        <v>37</v>
      </c>
      <c r="E390" s="84">
        <v>36</v>
      </c>
      <c r="F390" s="84"/>
      <c r="G390" s="84"/>
      <c r="H390" s="84"/>
      <c r="I390" s="84"/>
      <c r="J390" s="84"/>
      <c r="K390" s="84"/>
      <c r="L390" s="140">
        <f t="shared" si="158"/>
        <v>7.7</v>
      </c>
      <c r="M390" s="86">
        <v>7.71</v>
      </c>
      <c r="N390" s="86">
        <v>7.59</v>
      </c>
      <c r="O390" s="86"/>
      <c r="P390" s="86"/>
      <c r="Q390" s="86"/>
      <c r="R390" s="86"/>
      <c r="S390" s="86"/>
      <c r="T390" s="86"/>
      <c r="U390" s="142">
        <f t="shared" si="159"/>
        <v>1585</v>
      </c>
      <c r="V390" s="88">
        <v>1690</v>
      </c>
      <c r="W390" s="88">
        <v>1480</v>
      </c>
      <c r="X390" s="88"/>
      <c r="Y390" s="88"/>
      <c r="Z390" s="88"/>
      <c r="AA390" s="88"/>
      <c r="AB390" s="88"/>
      <c r="AC390" s="88"/>
      <c r="AD390" s="142" t="str">
        <f t="shared" si="160"/>
        <v/>
      </c>
      <c r="AE390" s="88"/>
      <c r="AF390" s="88"/>
      <c r="AG390" s="88"/>
      <c r="AH390" s="88"/>
      <c r="AI390" s="88"/>
      <c r="AJ390" s="88"/>
      <c r="AK390" s="88"/>
      <c r="AL390" s="88"/>
      <c r="AM390" s="88">
        <v>34.490317866276946</v>
      </c>
      <c r="AN390" s="88">
        <v>136.85</v>
      </c>
      <c r="AO390" s="89" t="s">
        <v>56</v>
      </c>
      <c r="AP390" s="90"/>
      <c r="AQ390" s="146" t="str">
        <f t="shared" si="161"/>
        <v/>
      </c>
      <c r="AR390" s="146" t="str">
        <f t="shared" si="162"/>
        <v/>
      </c>
      <c r="AS390" s="147">
        <v>37</v>
      </c>
      <c r="AT390" s="148">
        <v>15.8</v>
      </c>
      <c r="AU390" s="149">
        <v>8.6999999999999993</v>
      </c>
      <c r="AV390" s="146">
        <f t="shared" si="163"/>
        <v>55.063291139240498</v>
      </c>
      <c r="AW390" s="146">
        <f t="shared" si="164"/>
        <v>44.936708860759502</v>
      </c>
      <c r="AX390" s="138" t="str">
        <f t="shared" si="165"/>
        <v/>
      </c>
      <c r="AY390" s="95">
        <v>71</v>
      </c>
      <c r="AZ390" s="96" t="s">
        <v>56</v>
      </c>
      <c r="BA390" s="96"/>
      <c r="BB390" s="96" t="s">
        <v>56</v>
      </c>
      <c r="BC390" s="96"/>
      <c r="BD390" s="97">
        <v>136.85</v>
      </c>
      <c r="BE390" s="142">
        <f t="shared" si="166"/>
        <v>4914</v>
      </c>
      <c r="BF390" s="88">
        <v>320</v>
      </c>
      <c r="BG390" s="98">
        <v>0</v>
      </c>
      <c r="BH390" s="98">
        <v>3613</v>
      </c>
      <c r="BI390" s="98">
        <v>981</v>
      </c>
      <c r="BJ390" s="98"/>
      <c r="BK390" s="98"/>
      <c r="BL390" s="97"/>
    </row>
    <row r="391" spans="1:64" ht="17.25" outlineLevel="5" thickBot="1" x14ac:dyDescent="0.35">
      <c r="A391" s="154">
        <f t="shared" si="167"/>
        <v>11</v>
      </c>
      <c r="B391" s="155">
        <f t="shared" si="152"/>
        <v>44530</v>
      </c>
      <c r="C391" s="138">
        <f t="shared" si="157"/>
        <v>37.5</v>
      </c>
      <c r="D391" s="84">
        <v>38</v>
      </c>
      <c r="E391" s="84">
        <v>37</v>
      </c>
      <c r="F391" s="84"/>
      <c r="G391" s="84"/>
      <c r="H391" s="84"/>
      <c r="I391" s="84"/>
      <c r="J391" s="84"/>
      <c r="K391" s="84"/>
      <c r="L391" s="140" t="str">
        <f t="shared" si="158"/>
        <v/>
      </c>
      <c r="M391" s="86" t="s">
        <v>56</v>
      </c>
      <c r="N391" s="86" t="s">
        <v>56</v>
      </c>
      <c r="O391" s="86"/>
      <c r="P391" s="86"/>
      <c r="Q391" s="86"/>
      <c r="R391" s="86"/>
      <c r="S391" s="86"/>
      <c r="T391" s="86"/>
      <c r="U391" s="142" t="str">
        <f t="shared" si="159"/>
        <v/>
      </c>
      <c r="V391" s="88" t="s">
        <v>56</v>
      </c>
      <c r="W391" s="88" t="s">
        <v>56</v>
      </c>
      <c r="X391" s="88"/>
      <c r="Y391" s="88"/>
      <c r="Z391" s="88"/>
      <c r="AA391" s="88"/>
      <c r="AB391" s="88"/>
      <c r="AC391" s="88"/>
      <c r="AD391" s="142" t="str">
        <f t="shared" si="160"/>
        <v/>
      </c>
      <c r="AE391" s="88"/>
      <c r="AF391" s="88"/>
      <c r="AG391" s="88"/>
      <c r="AH391" s="88"/>
      <c r="AI391" s="88"/>
      <c r="AJ391" s="88"/>
      <c r="AK391" s="88"/>
      <c r="AL391" s="88"/>
      <c r="AM391" s="88">
        <v>35.066864784546809</v>
      </c>
      <c r="AN391" s="88">
        <v>134.6</v>
      </c>
      <c r="AO391" s="89" t="s">
        <v>56</v>
      </c>
      <c r="AP391" s="90" t="s">
        <v>56</v>
      </c>
      <c r="AQ391" s="146" t="str">
        <f t="shared" si="161"/>
        <v/>
      </c>
      <c r="AR391" s="146" t="str">
        <f t="shared" si="162"/>
        <v/>
      </c>
      <c r="AS391" s="147">
        <v>39</v>
      </c>
      <c r="AT391" s="148" t="s">
        <v>56</v>
      </c>
      <c r="AU391" s="149" t="s">
        <v>56</v>
      </c>
      <c r="AV391" s="146" t="str">
        <f t="shared" si="163"/>
        <v/>
      </c>
      <c r="AW391" s="146" t="str">
        <f t="shared" si="164"/>
        <v/>
      </c>
      <c r="AX391" s="138" t="str">
        <f t="shared" si="165"/>
        <v/>
      </c>
      <c r="AY391" s="95" t="s">
        <v>56</v>
      </c>
      <c r="AZ391" s="96" t="s">
        <v>56</v>
      </c>
      <c r="BA391" s="96"/>
      <c r="BB391" s="96" t="s">
        <v>56</v>
      </c>
      <c r="BC391" s="96"/>
      <c r="BD391" s="97">
        <v>134.6</v>
      </c>
      <c r="BE391" s="142">
        <f t="shared" si="166"/>
        <v>8795</v>
      </c>
      <c r="BF391" s="88">
        <v>373</v>
      </c>
      <c r="BG391" s="98">
        <v>0</v>
      </c>
      <c r="BH391" s="98">
        <v>6817</v>
      </c>
      <c r="BI391" s="98">
        <v>1605</v>
      </c>
      <c r="BJ391" s="98"/>
      <c r="BK391" s="98"/>
      <c r="BL391" s="97"/>
    </row>
    <row r="392" spans="1:64" outlineLevel="4" x14ac:dyDescent="0.3">
      <c r="A392" s="63" t="s">
        <v>97</v>
      </c>
      <c r="B392" s="64"/>
      <c r="C392" s="65">
        <f t="shared" ref="C392:BL392" si="168">SUBTOTAL(4,C362:C391)</f>
        <v>38</v>
      </c>
      <c r="D392" s="66">
        <f t="shared" si="168"/>
        <v>38</v>
      </c>
      <c r="E392" s="66">
        <f t="shared" si="168"/>
        <v>38</v>
      </c>
      <c r="F392" s="66">
        <f t="shared" si="168"/>
        <v>0</v>
      </c>
      <c r="G392" s="66">
        <f t="shared" si="168"/>
        <v>0</v>
      </c>
      <c r="H392" s="66">
        <f t="shared" si="168"/>
        <v>0</v>
      </c>
      <c r="I392" s="66">
        <f t="shared" si="168"/>
        <v>0</v>
      </c>
      <c r="J392" s="66">
        <f t="shared" si="168"/>
        <v>0</v>
      </c>
      <c r="K392" s="66">
        <f t="shared" si="168"/>
        <v>0</v>
      </c>
      <c r="L392" s="67">
        <f t="shared" si="168"/>
        <v>7.8</v>
      </c>
      <c r="M392" s="68">
        <f t="shared" si="168"/>
        <v>7.79</v>
      </c>
      <c r="N392" s="68">
        <f t="shared" si="168"/>
        <v>7.75</v>
      </c>
      <c r="O392" s="68">
        <f t="shared" si="168"/>
        <v>0</v>
      </c>
      <c r="P392" s="68">
        <f t="shared" si="168"/>
        <v>0</v>
      </c>
      <c r="Q392" s="68">
        <f t="shared" si="168"/>
        <v>0</v>
      </c>
      <c r="R392" s="68">
        <f t="shared" si="168"/>
        <v>0</v>
      </c>
      <c r="S392" s="68">
        <f t="shared" si="168"/>
        <v>0</v>
      </c>
      <c r="T392" s="68">
        <f t="shared" si="168"/>
        <v>0</v>
      </c>
      <c r="U392" s="69">
        <f t="shared" si="168"/>
        <v>1749.5</v>
      </c>
      <c r="V392" s="70">
        <f t="shared" si="168"/>
        <v>1877</v>
      </c>
      <c r="W392" s="70">
        <f t="shared" si="168"/>
        <v>1643.5</v>
      </c>
      <c r="X392" s="70">
        <f t="shared" si="168"/>
        <v>0</v>
      </c>
      <c r="Y392" s="70">
        <f t="shared" si="168"/>
        <v>0</v>
      </c>
      <c r="Z392" s="70">
        <f t="shared" si="168"/>
        <v>0</v>
      </c>
      <c r="AA392" s="70">
        <f t="shared" si="168"/>
        <v>0</v>
      </c>
      <c r="AB392" s="70">
        <f t="shared" si="168"/>
        <v>0</v>
      </c>
      <c r="AC392" s="70">
        <f t="shared" si="168"/>
        <v>0</v>
      </c>
      <c r="AD392" s="69">
        <f t="shared" si="168"/>
        <v>0</v>
      </c>
      <c r="AE392" s="70">
        <f t="shared" si="168"/>
        <v>0</v>
      </c>
      <c r="AF392" s="70">
        <f t="shared" si="168"/>
        <v>0</v>
      </c>
      <c r="AG392" s="70">
        <f t="shared" si="168"/>
        <v>0</v>
      </c>
      <c r="AH392" s="70">
        <f t="shared" si="168"/>
        <v>0</v>
      </c>
      <c r="AI392" s="70">
        <f t="shared" si="168"/>
        <v>0</v>
      </c>
      <c r="AJ392" s="70">
        <f t="shared" si="168"/>
        <v>0</v>
      </c>
      <c r="AK392" s="70">
        <f t="shared" si="168"/>
        <v>0</v>
      </c>
      <c r="AL392" s="70">
        <f t="shared" si="168"/>
        <v>0</v>
      </c>
      <c r="AM392" s="70">
        <f t="shared" si="168"/>
        <v>60.474055092889174</v>
      </c>
      <c r="AN392" s="70">
        <f t="shared" si="168"/>
        <v>151.93</v>
      </c>
      <c r="AO392" s="71">
        <f t="shared" si="168"/>
        <v>20.100000000000001</v>
      </c>
      <c r="AP392" s="72">
        <f t="shared" si="168"/>
        <v>17.5473</v>
      </c>
      <c r="AQ392" s="73">
        <f t="shared" si="168"/>
        <v>87.299999999999983</v>
      </c>
      <c r="AR392" s="73">
        <f t="shared" si="168"/>
        <v>17.200000000000003</v>
      </c>
      <c r="AS392" s="74">
        <f t="shared" si="168"/>
        <v>44</v>
      </c>
      <c r="AT392" s="75">
        <f t="shared" si="168"/>
        <v>17.55</v>
      </c>
      <c r="AU392" s="76">
        <f t="shared" si="168"/>
        <v>10.3</v>
      </c>
      <c r="AV392" s="73">
        <f t="shared" si="168"/>
        <v>60.895522388059696</v>
      </c>
      <c r="AW392" s="73">
        <f t="shared" si="168"/>
        <v>52.922077922077925</v>
      </c>
      <c r="AX392" s="65">
        <f t="shared" si="168"/>
        <v>77.635875604793853</v>
      </c>
      <c r="AY392" s="77">
        <f t="shared" si="168"/>
        <v>79.7</v>
      </c>
      <c r="AZ392" s="78">
        <f t="shared" si="168"/>
        <v>64.040000000000006</v>
      </c>
      <c r="BA392" s="78">
        <f t="shared" si="168"/>
        <v>0</v>
      </c>
      <c r="BB392" s="78">
        <f t="shared" si="168"/>
        <v>70</v>
      </c>
      <c r="BC392" s="78">
        <f t="shared" si="168"/>
        <v>0</v>
      </c>
      <c r="BD392" s="79">
        <f t="shared" si="168"/>
        <v>151.93</v>
      </c>
      <c r="BE392" s="69">
        <f t="shared" si="168"/>
        <v>16174</v>
      </c>
      <c r="BF392" s="70">
        <f t="shared" si="168"/>
        <v>465</v>
      </c>
      <c r="BG392" s="80">
        <f t="shared" si="168"/>
        <v>1125</v>
      </c>
      <c r="BH392" s="80">
        <f t="shared" si="168"/>
        <v>10520</v>
      </c>
      <c r="BI392" s="80">
        <f t="shared" si="168"/>
        <v>5336</v>
      </c>
      <c r="BJ392" s="80">
        <f t="shared" si="168"/>
        <v>0</v>
      </c>
      <c r="BK392" s="80">
        <f t="shared" si="168"/>
        <v>0</v>
      </c>
      <c r="BL392" s="79">
        <f t="shared" si="168"/>
        <v>0</v>
      </c>
    </row>
    <row r="393" spans="1:64" outlineLevel="3" x14ac:dyDescent="0.3">
      <c r="A393" s="81" t="s">
        <v>98</v>
      </c>
      <c r="B393" s="82"/>
      <c r="C393" s="83">
        <f t="shared" ref="C393:BL393" si="169">SUBTOTAL(5,C362:C391)</f>
        <v>36.5</v>
      </c>
      <c r="D393" s="84">
        <f t="shared" si="169"/>
        <v>37</v>
      </c>
      <c r="E393" s="84">
        <f t="shared" si="169"/>
        <v>36</v>
      </c>
      <c r="F393" s="84">
        <f t="shared" si="169"/>
        <v>0</v>
      </c>
      <c r="G393" s="84">
        <f t="shared" si="169"/>
        <v>0</v>
      </c>
      <c r="H393" s="84">
        <f t="shared" si="169"/>
        <v>0</v>
      </c>
      <c r="I393" s="84">
        <f t="shared" si="169"/>
        <v>0</v>
      </c>
      <c r="J393" s="84">
        <f t="shared" si="169"/>
        <v>0</v>
      </c>
      <c r="K393" s="84">
        <f t="shared" si="169"/>
        <v>0</v>
      </c>
      <c r="L393" s="85">
        <f t="shared" si="169"/>
        <v>7.6</v>
      </c>
      <c r="M393" s="86">
        <f t="shared" si="169"/>
        <v>7.61</v>
      </c>
      <c r="N393" s="86">
        <f t="shared" si="169"/>
        <v>7.45</v>
      </c>
      <c r="O393" s="86">
        <f t="shared" si="169"/>
        <v>0</v>
      </c>
      <c r="P393" s="86">
        <f t="shared" si="169"/>
        <v>0</v>
      </c>
      <c r="Q393" s="86">
        <f t="shared" si="169"/>
        <v>0</v>
      </c>
      <c r="R393" s="86">
        <f t="shared" si="169"/>
        <v>0</v>
      </c>
      <c r="S393" s="86">
        <f t="shared" si="169"/>
        <v>0</v>
      </c>
      <c r="T393" s="86">
        <f t="shared" si="169"/>
        <v>0</v>
      </c>
      <c r="U393" s="87">
        <f t="shared" si="169"/>
        <v>1228.4000000000001</v>
      </c>
      <c r="V393" s="88">
        <f t="shared" si="169"/>
        <v>1230.8</v>
      </c>
      <c r="W393" s="88">
        <f t="shared" si="169"/>
        <v>1226</v>
      </c>
      <c r="X393" s="88">
        <f t="shared" si="169"/>
        <v>0</v>
      </c>
      <c r="Y393" s="88">
        <f t="shared" si="169"/>
        <v>0</v>
      </c>
      <c r="Z393" s="88">
        <f t="shared" si="169"/>
        <v>0</v>
      </c>
      <c r="AA393" s="88">
        <f t="shared" si="169"/>
        <v>0</v>
      </c>
      <c r="AB393" s="88">
        <f t="shared" si="169"/>
        <v>0</v>
      </c>
      <c r="AC393" s="88">
        <f t="shared" si="169"/>
        <v>0</v>
      </c>
      <c r="AD393" s="87">
        <f t="shared" si="169"/>
        <v>0</v>
      </c>
      <c r="AE393" s="88">
        <f t="shared" si="169"/>
        <v>0</v>
      </c>
      <c r="AF393" s="88">
        <f t="shared" si="169"/>
        <v>0</v>
      </c>
      <c r="AG393" s="88">
        <f t="shared" si="169"/>
        <v>0</v>
      </c>
      <c r="AH393" s="88">
        <f t="shared" si="169"/>
        <v>0</v>
      </c>
      <c r="AI393" s="88">
        <f t="shared" si="169"/>
        <v>0</v>
      </c>
      <c r="AJ393" s="88">
        <f t="shared" si="169"/>
        <v>0</v>
      </c>
      <c r="AK393" s="88">
        <f t="shared" si="169"/>
        <v>0</v>
      </c>
      <c r="AL393" s="88">
        <f t="shared" si="169"/>
        <v>0</v>
      </c>
      <c r="AM393" s="88">
        <f t="shared" si="169"/>
        <v>31.066938721779767</v>
      </c>
      <c r="AN393" s="88">
        <f t="shared" si="169"/>
        <v>78.05</v>
      </c>
      <c r="AO393" s="89">
        <f t="shared" si="169"/>
        <v>17.3</v>
      </c>
      <c r="AP393" s="90">
        <f t="shared" si="169"/>
        <v>14.324400000000001</v>
      </c>
      <c r="AQ393" s="91">
        <f t="shared" si="169"/>
        <v>82.8</v>
      </c>
      <c r="AR393" s="91">
        <f t="shared" si="169"/>
        <v>12.700000000000017</v>
      </c>
      <c r="AS393" s="92">
        <f t="shared" si="169"/>
        <v>0</v>
      </c>
      <c r="AT393" s="93">
        <f t="shared" si="169"/>
        <v>14.850000000000001</v>
      </c>
      <c r="AU393" s="94">
        <f t="shared" si="169"/>
        <v>7.25</v>
      </c>
      <c r="AV393" s="91">
        <f t="shared" si="169"/>
        <v>47.077922077922075</v>
      </c>
      <c r="AW393" s="91">
        <f t="shared" si="169"/>
        <v>39.104477611940304</v>
      </c>
      <c r="AX393" s="83">
        <f t="shared" si="169"/>
        <v>75.278622087132717</v>
      </c>
      <c r="AY393" s="95">
        <f t="shared" si="169"/>
        <v>71</v>
      </c>
      <c r="AZ393" s="96">
        <f t="shared" si="169"/>
        <v>61.125</v>
      </c>
      <c r="BA393" s="96">
        <f t="shared" si="169"/>
        <v>0</v>
      </c>
      <c r="BB393" s="96">
        <f t="shared" si="169"/>
        <v>42</v>
      </c>
      <c r="BC393" s="96">
        <f t="shared" si="169"/>
        <v>0</v>
      </c>
      <c r="BD393" s="97">
        <f t="shared" si="169"/>
        <v>78.05</v>
      </c>
      <c r="BE393" s="87">
        <f t="shared" si="169"/>
        <v>3886</v>
      </c>
      <c r="BF393" s="88">
        <f t="shared" si="169"/>
        <v>0</v>
      </c>
      <c r="BG393" s="98">
        <f t="shared" si="169"/>
        <v>0</v>
      </c>
      <c r="BH393" s="98">
        <f t="shared" si="169"/>
        <v>453</v>
      </c>
      <c r="BI393" s="98">
        <f t="shared" si="169"/>
        <v>0</v>
      </c>
      <c r="BJ393" s="98">
        <f t="shared" si="169"/>
        <v>0</v>
      </c>
      <c r="BK393" s="98">
        <f t="shared" si="169"/>
        <v>0</v>
      </c>
      <c r="BL393" s="97">
        <f t="shared" si="169"/>
        <v>0</v>
      </c>
    </row>
    <row r="394" spans="1:64" outlineLevel="2" x14ac:dyDescent="0.3">
      <c r="A394" s="81" t="s">
        <v>99</v>
      </c>
      <c r="B394" s="82"/>
      <c r="C394" s="83">
        <f t="shared" ref="C394:BL394" si="170">IFERROR(SUBTOTAL(1,C362:C391),"")</f>
        <v>37.666666666666664</v>
      </c>
      <c r="D394" s="84">
        <f t="shared" si="170"/>
        <v>37.799999999999997</v>
      </c>
      <c r="E394" s="84">
        <f t="shared" si="170"/>
        <v>37.533333333333331</v>
      </c>
      <c r="F394" s="84" t="str">
        <f t="shared" si="170"/>
        <v/>
      </c>
      <c r="G394" s="84" t="str">
        <f t="shared" si="170"/>
        <v/>
      </c>
      <c r="H394" s="84" t="str">
        <f t="shared" si="170"/>
        <v/>
      </c>
      <c r="I394" s="84" t="str">
        <f t="shared" si="170"/>
        <v/>
      </c>
      <c r="J394" s="84" t="str">
        <f t="shared" si="170"/>
        <v/>
      </c>
      <c r="K394" s="84" t="str">
        <f t="shared" si="170"/>
        <v/>
      </c>
      <c r="L394" s="85">
        <f t="shared" si="170"/>
        <v>7.6769230769230754</v>
      </c>
      <c r="M394" s="86">
        <f t="shared" si="170"/>
        <v>7.71</v>
      </c>
      <c r="N394" s="86">
        <f t="shared" si="170"/>
        <v>7.6053846153846161</v>
      </c>
      <c r="O394" s="86" t="str">
        <f t="shared" si="170"/>
        <v/>
      </c>
      <c r="P394" s="86" t="str">
        <f t="shared" si="170"/>
        <v/>
      </c>
      <c r="Q394" s="86" t="str">
        <f t="shared" si="170"/>
        <v/>
      </c>
      <c r="R394" s="86" t="str">
        <f t="shared" si="170"/>
        <v/>
      </c>
      <c r="S394" s="86" t="str">
        <f t="shared" si="170"/>
        <v/>
      </c>
      <c r="T394" s="86" t="str">
        <f t="shared" si="170"/>
        <v/>
      </c>
      <c r="U394" s="87">
        <f t="shared" si="170"/>
        <v>1542.8307692307692</v>
      </c>
      <c r="V394" s="88">
        <f t="shared" si="170"/>
        <v>1619.646153846154</v>
      </c>
      <c r="W394" s="88">
        <f t="shared" si="170"/>
        <v>1465.9923076923078</v>
      </c>
      <c r="X394" s="88" t="str">
        <f t="shared" si="170"/>
        <v/>
      </c>
      <c r="Y394" s="88" t="str">
        <f t="shared" si="170"/>
        <v/>
      </c>
      <c r="Z394" s="88" t="str">
        <f t="shared" si="170"/>
        <v/>
      </c>
      <c r="AA394" s="88" t="str">
        <f t="shared" si="170"/>
        <v/>
      </c>
      <c r="AB394" s="88" t="str">
        <f t="shared" si="170"/>
        <v/>
      </c>
      <c r="AC394" s="88" t="str">
        <f t="shared" si="170"/>
        <v/>
      </c>
      <c r="AD394" s="87" t="str">
        <f t="shared" si="170"/>
        <v/>
      </c>
      <c r="AE394" s="88" t="str">
        <f t="shared" si="170"/>
        <v/>
      </c>
      <c r="AF394" s="88" t="str">
        <f t="shared" si="170"/>
        <v/>
      </c>
      <c r="AG394" s="88" t="str">
        <f t="shared" si="170"/>
        <v/>
      </c>
      <c r="AH394" s="88" t="str">
        <f t="shared" si="170"/>
        <v/>
      </c>
      <c r="AI394" s="88" t="str">
        <f t="shared" si="170"/>
        <v/>
      </c>
      <c r="AJ394" s="88" t="str">
        <f t="shared" si="170"/>
        <v/>
      </c>
      <c r="AK394" s="88" t="str">
        <f t="shared" si="170"/>
        <v/>
      </c>
      <c r="AL394" s="88" t="str">
        <f t="shared" si="170"/>
        <v/>
      </c>
      <c r="AM394" s="88">
        <f t="shared" si="170"/>
        <v>39.786074332676456</v>
      </c>
      <c r="AN394" s="88">
        <f t="shared" si="170"/>
        <v>121.10433333333334</v>
      </c>
      <c r="AO394" s="89">
        <f t="shared" si="170"/>
        <v>18.350000000000001</v>
      </c>
      <c r="AP394" s="90">
        <f t="shared" si="170"/>
        <v>15.638549999999999</v>
      </c>
      <c r="AQ394" s="91">
        <f t="shared" si="170"/>
        <v>85.149999999999991</v>
      </c>
      <c r="AR394" s="91">
        <f t="shared" si="170"/>
        <v>14.850000000000005</v>
      </c>
      <c r="AS394" s="92">
        <f t="shared" si="170"/>
        <v>28.833333333333332</v>
      </c>
      <c r="AT394" s="93">
        <f t="shared" si="170"/>
        <v>16.323076923076925</v>
      </c>
      <c r="AU394" s="94">
        <f t="shared" si="170"/>
        <v>8.8923076923076927</v>
      </c>
      <c r="AV394" s="91">
        <f t="shared" si="170"/>
        <v>54.442773188618652</v>
      </c>
      <c r="AW394" s="91">
        <f t="shared" si="170"/>
        <v>45.557226811381348</v>
      </c>
      <c r="AX394" s="83">
        <f t="shared" si="170"/>
        <v>76.521014716119183</v>
      </c>
      <c r="AY394" s="95">
        <f t="shared" si="170"/>
        <v>74.230769230769241</v>
      </c>
      <c r="AZ394" s="96">
        <f t="shared" si="170"/>
        <v>62.487499999999997</v>
      </c>
      <c r="BA394" s="96" t="str">
        <f t="shared" si="170"/>
        <v/>
      </c>
      <c r="BB394" s="96">
        <f t="shared" si="170"/>
        <v>63.6</v>
      </c>
      <c r="BC394" s="96" t="str">
        <f t="shared" si="170"/>
        <v/>
      </c>
      <c r="BD394" s="97">
        <f>IFERROR(SUBTOTAL(1,BD362:BD391),"")</f>
        <v>121.10433333333334</v>
      </c>
      <c r="BE394" s="87">
        <f t="shared" si="170"/>
        <v>9955.4</v>
      </c>
      <c r="BF394" s="88">
        <f t="shared" si="170"/>
        <v>262.56666666666666</v>
      </c>
      <c r="BG394" s="98">
        <f t="shared" si="170"/>
        <v>37.5</v>
      </c>
      <c r="BH394" s="98">
        <f t="shared" si="170"/>
        <v>5792.333333333333</v>
      </c>
      <c r="BI394" s="98">
        <f t="shared" si="170"/>
        <v>3863</v>
      </c>
      <c r="BJ394" s="98" t="str">
        <f t="shared" si="170"/>
        <v/>
      </c>
      <c r="BK394" s="98" t="str">
        <f t="shared" si="170"/>
        <v/>
      </c>
      <c r="BL394" s="97" t="str">
        <f t="shared" si="170"/>
        <v/>
      </c>
    </row>
    <row r="395" spans="1:64" ht="17.25" outlineLevel="1" thickBot="1" x14ac:dyDescent="0.35">
      <c r="A395" s="99" t="s">
        <v>100</v>
      </c>
      <c r="B395" s="100"/>
      <c r="C395" s="101"/>
      <c r="D395" s="102"/>
      <c r="E395" s="102"/>
      <c r="F395" s="102"/>
      <c r="G395" s="102"/>
      <c r="H395" s="102"/>
      <c r="I395" s="102"/>
      <c r="J395" s="102"/>
      <c r="K395" s="102"/>
      <c r="L395" s="103"/>
      <c r="M395" s="104"/>
      <c r="N395" s="104"/>
      <c r="O395" s="104"/>
      <c r="P395" s="104"/>
      <c r="Q395" s="104"/>
      <c r="R395" s="104"/>
      <c r="S395" s="104"/>
      <c r="T395" s="104"/>
      <c r="U395" s="105"/>
      <c r="V395" s="106"/>
      <c r="W395" s="106"/>
      <c r="X395" s="106"/>
      <c r="Y395" s="106"/>
      <c r="Z395" s="106"/>
      <c r="AA395" s="106"/>
      <c r="AB395" s="106"/>
      <c r="AC395" s="106"/>
      <c r="AD395" s="105"/>
      <c r="AE395" s="106"/>
      <c r="AF395" s="106"/>
      <c r="AG395" s="106"/>
      <c r="AH395" s="106"/>
      <c r="AI395" s="106"/>
      <c r="AJ395" s="106"/>
      <c r="AK395" s="106"/>
      <c r="AL395" s="106"/>
      <c r="AM395" s="106"/>
      <c r="AN395" s="107">
        <f>SUBTOTAL(9,AN362:AN391)</f>
        <v>3633.13</v>
      </c>
      <c r="AO395" s="108"/>
      <c r="AP395" s="109"/>
      <c r="AQ395" s="110"/>
      <c r="AR395" s="110"/>
      <c r="AS395" s="111">
        <f>SUBTOTAL(9,AS362:AS391)</f>
        <v>865</v>
      </c>
      <c r="AT395" s="112"/>
      <c r="AU395" s="113"/>
      <c r="AV395" s="110"/>
      <c r="AW395" s="110"/>
      <c r="AX395" s="101"/>
      <c r="AY395" s="114"/>
      <c r="AZ395" s="115"/>
      <c r="BA395" s="115"/>
      <c r="BB395" s="115"/>
      <c r="BC395" s="115"/>
      <c r="BD395" s="116">
        <f>SUBTOTAL(9,BD362:BD391)</f>
        <v>3633.13</v>
      </c>
      <c r="BE395" s="117">
        <f t="shared" ref="BE395:BL395" si="171">SUBTOTAL(9,BE362:BE391)</f>
        <v>298662</v>
      </c>
      <c r="BF395" s="107">
        <f t="shared" si="171"/>
        <v>7877</v>
      </c>
      <c r="BG395" s="118">
        <f t="shared" si="171"/>
        <v>1125</v>
      </c>
      <c r="BH395" s="118">
        <f t="shared" si="171"/>
        <v>173770</v>
      </c>
      <c r="BI395" s="118">
        <f t="shared" si="171"/>
        <v>115890</v>
      </c>
      <c r="BJ395" s="118">
        <f t="shared" si="171"/>
        <v>0</v>
      </c>
      <c r="BK395" s="118">
        <f t="shared" si="171"/>
        <v>0</v>
      </c>
      <c r="BL395" s="116">
        <f t="shared" si="171"/>
        <v>0</v>
      </c>
    </row>
    <row r="396" spans="1:64" outlineLevel="5" x14ac:dyDescent="0.3">
      <c r="A396" s="136">
        <f t="shared" si="167"/>
        <v>12</v>
      </c>
      <c r="B396" s="165">
        <f>B391+1</f>
        <v>44531</v>
      </c>
      <c r="C396" s="138">
        <f t="shared" ref="C396:C426" si="172">IFERROR(ROUND(AVERAGE(D396:K396),1),"")</f>
        <v>37.5</v>
      </c>
      <c r="D396" s="84">
        <v>38</v>
      </c>
      <c r="E396" s="84">
        <v>37</v>
      </c>
      <c r="F396" s="84"/>
      <c r="G396" s="84"/>
      <c r="H396" s="84"/>
      <c r="I396" s="84"/>
      <c r="J396" s="84"/>
      <c r="K396" s="84"/>
      <c r="L396" s="140">
        <f t="shared" ref="L396:L426" si="173">IFERROR(ROUND(AVERAGE(M396:T396),1),"")</f>
        <v>7.6</v>
      </c>
      <c r="M396" s="86">
        <v>7.62</v>
      </c>
      <c r="N396" s="86">
        <v>7.49</v>
      </c>
      <c r="O396" s="86"/>
      <c r="P396" s="86"/>
      <c r="Q396" s="86"/>
      <c r="R396" s="86"/>
      <c r="S396" s="86"/>
      <c r="T396" s="86"/>
      <c r="U396" s="142">
        <f t="shared" ref="U396:U426" si="174">IFERROR(ROUND(AVERAGE(V396:AC396),1),"")</f>
        <v>1735</v>
      </c>
      <c r="V396" s="88">
        <v>1820</v>
      </c>
      <c r="W396" s="88">
        <v>1650</v>
      </c>
      <c r="X396" s="88"/>
      <c r="Y396" s="88"/>
      <c r="Z396" s="88"/>
      <c r="AA396" s="88"/>
      <c r="AB396" s="88"/>
      <c r="AC396" s="88"/>
      <c r="AD396" s="142" t="str">
        <f t="shared" ref="AD396:AD426" si="175">IFERROR(ROUND(AVERAGE(AE396:AL396),1),"")</f>
        <v/>
      </c>
      <c r="AE396" s="88"/>
      <c r="AF396" s="88"/>
      <c r="AG396" s="88"/>
      <c r="AH396" s="88"/>
      <c r="AI396" s="88"/>
      <c r="AJ396" s="88"/>
      <c r="AK396" s="88"/>
      <c r="AL396" s="88"/>
      <c r="AM396" s="88">
        <v>43.760430187279809</v>
      </c>
      <c r="AN396" s="88">
        <v>107.86</v>
      </c>
      <c r="AO396" s="89" t="s">
        <v>56</v>
      </c>
      <c r="AP396" s="90" t="s">
        <v>56</v>
      </c>
      <c r="AQ396" s="146" t="str">
        <f t="shared" ref="AQ396:AQ426" si="176">IFERROR(AP396/AO396*100,"")</f>
        <v/>
      </c>
      <c r="AR396" s="146" t="str">
        <f t="shared" ref="AR396:AR426" si="177">IFERROR(100-AQ396,"")</f>
        <v/>
      </c>
      <c r="AS396" s="147">
        <v>40</v>
      </c>
      <c r="AT396" s="148">
        <v>16.149999999999999</v>
      </c>
      <c r="AU396" s="149">
        <v>9.25</v>
      </c>
      <c r="AV396" s="146">
        <f t="shared" ref="AV396:AV426" si="178">IFERROR(AU396/AT396*100,"")</f>
        <v>57.275541795665639</v>
      </c>
      <c r="AW396" s="146">
        <f t="shared" ref="AW396:AW426" si="179">IFERROR(100-AV396,"")</f>
        <v>42.724458204334361</v>
      </c>
      <c r="AX396" s="138" t="str">
        <f t="shared" ref="AX396:AX426" si="180">IFERROR((1-((AV396*AR396)/(AW396*AQ396)))*100,"")</f>
        <v/>
      </c>
      <c r="AY396" s="95">
        <v>76.550000000000011</v>
      </c>
      <c r="AZ396" s="96" t="s">
        <v>56</v>
      </c>
      <c r="BA396" s="96"/>
      <c r="BB396" s="96" t="s">
        <v>56</v>
      </c>
      <c r="BC396" s="96"/>
      <c r="BD396" s="97">
        <v>107.86</v>
      </c>
      <c r="BE396" s="142">
        <f t="shared" ref="BE396:BE426" si="181">IF(SUM(BF396:BL396)=0,"",SUM(BF396:BL396))</f>
        <v>6904</v>
      </c>
      <c r="BF396" s="88">
        <v>353</v>
      </c>
      <c r="BG396" s="98">
        <v>0</v>
      </c>
      <c r="BH396" s="98">
        <v>2612</v>
      </c>
      <c r="BI396" s="98">
        <v>3939</v>
      </c>
      <c r="BJ396" s="98"/>
      <c r="BK396" s="98"/>
      <c r="BL396" s="97"/>
    </row>
    <row r="397" spans="1:64" outlineLevel="5" x14ac:dyDescent="0.3">
      <c r="A397" s="152">
        <f t="shared" si="167"/>
        <v>12</v>
      </c>
      <c r="B397" s="153">
        <f t="shared" si="152"/>
        <v>44532</v>
      </c>
      <c r="C397" s="138">
        <f t="shared" si="172"/>
        <v>37.5</v>
      </c>
      <c r="D397" s="84">
        <v>38</v>
      </c>
      <c r="E397" s="84">
        <v>37</v>
      </c>
      <c r="F397" s="84"/>
      <c r="G397" s="84"/>
      <c r="H397" s="84"/>
      <c r="I397" s="84"/>
      <c r="J397" s="84"/>
      <c r="K397" s="84"/>
      <c r="L397" s="140">
        <f t="shared" si="173"/>
        <v>7.5</v>
      </c>
      <c r="M397" s="86" t="s">
        <v>56</v>
      </c>
      <c r="N397" s="86">
        <v>7.52</v>
      </c>
      <c r="O397" s="86"/>
      <c r="P397" s="86"/>
      <c r="Q397" s="86"/>
      <c r="R397" s="86"/>
      <c r="S397" s="86"/>
      <c r="T397" s="86"/>
      <c r="U397" s="142">
        <f t="shared" si="174"/>
        <v>1480</v>
      </c>
      <c r="V397" s="88" t="s">
        <v>56</v>
      </c>
      <c r="W397" s="88">
        <v>1480</v>
      </c>
      <c r="X397" s="88"/>
      <c r="Y397" s="88"/>
      <c r="Z397" s="88"/>
      <c r="AA397" s="88"/>
      <c r="AB397" s="88"/>
      <c r="AC397" s="88"/>
      <c r="AD397" s="142" t="str">
        <f t="shared" si="175"/>
        <v/>
      </c>
      <c r="AE397" s="88"/>
      <c r="AF397" s="88"/>
      <c r="AG397" s="88"/>
      <c r="AH397" s="88"/>
      <c r="AI397" s="88"/>
      <c r="AJ397" s="88"/>
      <c r="AK397" s="88"/>
      <c r="AL397" s="88"/>
      <c r="AM397" s="88">
        <v>120.5927439959121</v>
      </c>
      <c r="AN397" s="88">
        <v>39.14</v>
      </c>
      <c r="AO397" s="89" t="s">
        <v>56</v>
      </c>
      <c r="AP397" s="90" t="s">
        <v>56</v>
      </c>
      <c r="AQ397" s="146" t="str">
        <f t="shared" si="176"/>
        <v/>
      </c>
      <c r="AR397" s="146" t="str">
        <f t="shared" si="177"/>
        <v/>
      </c>
      <c r="AS397" s="147">
        <v>20</v>
      </c>
      <c r="AT397" s="148">
        <v>18.399999999999999</v>
      </c>
      <c r="AU397" s="149">
        <v>7.2</v>
      </c>
      <c r="AV397" s="146">
        <f t="shared" si="178"/>
        <v>39.130434782608695</v>
      </c>
      <c r="AW397" s="146">
        <f t="shared" si="179"/>
        <v>60.869565217391305</v>
      </c>
      <c r="AX397" s="138" t="str">
        <f t="shared" si="180"/>
        <v/>
      </c>
      <c r="AY397" s="95">
        <v>71.5</v>
      </c>
      <c r="AZ397" s="96" t="s">
        <v>56</v>
      </c>
      <c r="BA397" s="96"/>
      <c r="BB397" s="96" t="s">
        <v>56</v>
      </c>
      <c r="BC397" s="96"/>
      <c r="BD397" s="97">
        <v>39.14</v>
      </c>
      <c r="BE397" s="142">
        <f t="shared" si="181"/>
        <v>3324</v>
      </c>
      <c r="BF397" s="88">
        <v>44</v>
      </c>
      <c r="BG397" s="98">
        <v>0</v>
      </c>
      <c r="BH397" s="98">
        <v>0</v>
      </c>
      <c r="BI397" s="98">
        <v>3280</v>
      </c>
      <c r="BJ397" s="98"/>
      <c r="BK397" s="98"/>
      <c r="BL397" s="97"/>
    </row>
    <row r="398" spans="1:64" outlineLevel="5" x14ac:dyDescent="0.3">
      <c r="A398" s="152">
        <f t="shared" si="167"/>
        <v>12</v>
      </c>
      <c r="B398" s="153">
        <f t="shared" si="152"/>
        <v>44533</v>
      </c>
      <c r="C398" s="138">
        <f t="shared" si="172"/>
        <v>37</v>
      </c>
      <c r="D398" s="84">
        <v>37</v>
      </c>
      <c r="E398" s="84">
        <v>37</v>
      </c>
      <c r="F398" s="84"/>
      <c r="G398" s="84"/>
      <c r="H398" s="84"/>
      <c r="I398" s="84"/>
      <c r="J398" s="84"/>
      <c r="K398" s="84"/>
      <c r="L398" s="140">
        <f t="shared" si="173"/>
        <v>7.5</v>
      </c>
      <c r="M398" s="86">
        <v>7.68</v>
      </c>
      <c r="N398" s="86">
        <v>7.41</v>
      </c>
      <c r="O398" s="86"/>
      <c r="P398" s="86"/>
      <c r="Q398" s="86"/>
      <c r="R398" s="86"/>
      <c r="S398" s="86"/>
      <c r="T398" s="86"/>
      <c r="U398" s="142">
        <f t="shared" si="174"/>
        <v>1685</v>
      </c>
      <c r="V398" s="88">
        <v>1750</v>
      </c>
      <c r="W398" s="88">
        <v>1620</v>
      </c>
      <c r="X398" s="88"/>
      <c r="Y398" s="88"/>
      <c r="Z398" s="88"/>
      <c r="AA398" s="88"/>
      <c r="AB398" s="88"/>
      <c r="AC398" s="88"/>
      <c r="AD398" s="142" t="str">
        <f t="shared" si="175"/>
        <v/>
      </c>
      <c r="AE398" s="88"/>
      <c r="AF398" s="88"/>
      <c r="AG398" s="88"/>
      <c r="AH398" s="88"/>
      <c r="AI398" s="88"/>
      <c r="AJ398" s="88"/>
      <c r="AK398" s="88"/>
      <c r="AL398" s="88"/>
      <c r="AM398" s="88"/>
      <c r="AN398" s="88">
        <v>0</v>
      </c>
      <c r="AO398" s="89" t="s">
        <v>56</v>
      </c>
      <c r="AP398" s="90"/>
      <c r="AQ398" s="146" t="str">
        <f t="shared" si="176"/>
        <v/>
      </c>
      <c r="AR398" s="146" t="str">
        <f t="shared" si="177"/>
        <v/>
      </c>
      <c r="AS398" s="147">
        <v>0</v>
      </c>
      <c r="AT398" s="148" t="s">
        <v>56</v>
      </c>
      <c r="AU398" s="149" t="s">
        <v>56</v>
      </c>
      <c r="AV398" s="146" t="str">
        <f t="shared" si="178"/>
        <v/>
      </c>
      <c r="AW398" s="146" t="str">
        <f t="shared" si="179"/>
        <v/>
      </c>
      <c r="AX398" s="138" t="str">
        <f t="shared" si="180"/>
        <v/>
      </c>
      <c r="AY398" s="95" t="s">
        <v>56</v>
      </c>
      <c r="AZ398" s="96" t="s">
        <v>56</v>
      </c>
      <c r="BA398" s="96"/>
      <c r="BB398" s="96" t="s">
        <v>56</v>
      </c>
      <c r="BC398" s="96"/>
      <c r="BD398" s="97">
        <v>0</v>
      </c>
      <c r="BE398" s="142">
        <f t="shared" si="181"/>
        <v>531</v>
      </c>
      <c r="BF398" s="88">
        <v>2</v>
      </c>
      <c r="BG398" s="98">
        <v>0</v>
      </c>
      <c r="BH398" s="98">
        <v>0</v>
      </c>
      <c r="BI398" s="98">
        <v>529</v>
      </c>
      <c r="BJ398" s="98"/>
      <c r="BK398" s="98"/>
      <c r="BL398" s="97"/>
    </row>
    <row r="399" spans="1:64" outlineLevel="5" x14ac:dyDescent="0.3">
      <c r="A399" s="152">
        <f t="shared" si="167"/>
        <v>12</v>
      </c>
      <c r="B399" s="153">
        <f t="shared" si="152"/>
        <v>44534</v>
      </c>
      <c r="C399" s="138">
        <f t="shared" si="172"/>
        <v>36.5</v>
      </c>
      <c r="D399" s="84">
        <v>37</v>
      </c>
      <c r="E399" s="84">
        <v>36</v>
      </c>
      <c r="F399" s="84"/>
      <c r="G399" s="84"/>
      <c r="H399" s="84"/>
      <c r="I399" s="84"/>
      <c r="J399" s="84"/>
      <c r="K399" s="84"/>
      <c r="L399" s="140" t="str">
        <f t="shared" si="173"/>
        <v/>
      </c>
      <c r="M399" s="86"/>
      <c r="N399" s="86"/>
      <c r="O399" s="86"/>
      <c r="P399" s="86"/>
      <c r="Q399" s="86"/>
      <c r="R399" s="86"/>
      <c r="S399" s="86"/>
      <c r="T399" s="86"/>
      <c r="U399" s="142" t="str">
        <f t="shared" si="174"/>
        <v/>
      </c>
      <c r="V399" s="88"/>
      <c r="W399" s="88"/>
      <c r="X399" s="88"/>
      <c r="Y399" s="88"/>
      <c r="Z399" s="88"/>
      <c r="AA399" s="88"/>
      <c r="AB399" s="88"/>
      <c r="AC399" s="88"/>
      <c r="AD399" s="142" t="str">
        <f t="shared" si="175"/>
        <v/>
      </c>
      <c r="AE399" s="88"/>
      <c r="AF399" s="88"/>
      <c r="AG399" s="88"/>
      <c r="AH399" s="88"/>
      <c r="AI399" s="88"/>
      <c r="AJ399" s="88"/>
      <c r="AK399" s="88"/>
      <c r="AL399" s="88"/>
      <c r="AM399" s="88">
        <v>115.65792697868169</v>
      </c>
      <c r="AN399" s="88">
        <v>40.81</v>
      </c>
      <c r="AO399" s="89"/>
      <c r="AP399" s="90"/>
      <c r="AQ399" s="146" t="str">
        <f t="shared" si="176"/>
        <v/>
      </c>
      <c r="AR399" s="146" t="str">
        <f t="shared" si="177"/>
        <v/>
      </c>
      <c r="AS399" s="147">
        <v>0</v>
      </c>
      <c r="AT399" s="148" t="s">
        <v>56</v>
      </c>
      <c r="AU399" s="149" t="s">
        <v>56</v>
      </c>
      <c r="AV399" s="146" t="str">
        <f t="shared" si="178"/>
        <v/>
      </c>
      <c r="AW399" s="146" t="str">
        <f t="shared" si="179"/>
        <v/>
      </c>
      <c r="AX399" s="138" t="str">
        <f t="shared" si="180"/>
        <v/>
      </c>
      <c r="AY399" s="95" t="s">
        <v>56</v>
      </c>
      <c r="AZ399" s="96" t="s">
        <v>56</v>
      </c>
      <c r="BA399" s="96"/>
      <c r="BB399" s="96" t="s">
        <v>56</v>
      </c>
      <c r="BC399" s="96"/>
      <c r="BD399" s="97">
        <v>40.81</v>
      </c>
      <c r="BE399" s="142" t="str">
        <f t="shared" si="181"/>
        <v/>
      </c>
      <c r="BF399" s="88">
        <v>0</v>
      </c>
      <c r="BG399" s="98">
        <v>0</v>
      </c>
      <c r="BH399" s="98">
        <v>0</v>
      </c>
      <c r="BI399" s="98">
        <v>0</v>
      </c>
      <c r="BJ399" s="98"/>
      <c r="BK399" s="98"/>
      <c r="BL399" s="97"/>
    </row>
    <row r="400" spans="1:64" outlineLevel="5" x14ac:dyDescent="0.3">
      <c r="A400" s="152">
        <f t="shared" si="167"/>
        <v>12</v>
      </c>
      <c r="B400" s="153">
        <f t="shared" si="152"/>
        <v>44535</v>
      </c>
      <c r="C400" s="138">
        <f t="shared" si="172"/>
        <v>36.5</v>
      </c>
      <c r="D400" s="84">
        <v>37</v>
      </c>
      <c r="E400" s="84">
        <v>36</v>
      </c>
      <c r="F400" s="84"/>
      <c r="G400" s="84"/>
      <c r="H400" s="84"/>
      <c r="I400" s="84"/>
      <c r="J400" s="84"/>
      <c r="K400" s="84"/>
      <c r="L400" s="140" t="str">
        <f t="shared" si="173"/>
        <v/>
      </c>
      <c r="M400" s="86"/>
      <c r="N400" s="86"/>
      <c r="O400" s="86"/>
      <c r="P400" s="86"/>
      <c r="Q400" s="86"/>
      <c r="R400" s="86"/>
      <c r="S400" s="86"/>
      <c r="T400" s="86"/>
      <c r="U400" s="142" t="str">
        <f t="shared" si="174"/>
        <v/>
      </c>
      <c r="V400" s="88"/>
      <c r="W400" s="88"/>
      <c r="X400" s="88"/>
      <c r="Y400" s="88"/>
      <c r="Z400" s="88"/>
      <c r="AA400" s="88"/>
      <c r="AB400" s="88"/>
      <c r="AC400" s="88"/>
      <c r="AD400" s="142" t="str">
        <f t="shared" si="175"/>
        <v/>
      </c>
      <c r="AE400" s="88"/>
      <c r="AF400" s="88"/>
      <c r="AG400" s="88"/>
      <c r="AH400" s="88"/>
      <c r="AI400" s="88"/>
      <c r="AJ400" s="88"/>
      <c r="AK400" s="88"/>
      <c r="AL400" s="88"/>
      <c r="AM400" s="88">
        <v>32.551724137931032</v>
      </c>
      <c r="AN400" s="88">
        <v>145</v>
      </c>
      <c r="AO400" s="89"/>
      <c r="AP400" s="90"/>
      <c r="AQ400" s="146" t="str">
        <f t="shared" si="176"/>
        <v/>
      </c>
      <c r="AR400" s="146" t="str">
        <f t="shared" si="177"/>
        <v/>
      </c>
      <c r="AS400" s="147">
        <v>21</v>
      </c>
      <c r="AT400" s="148" t="s">
        <v>56</v>
      </c>
      <c r="AU400" s="149" t="s">
        <v>56</v>
      </c>
      <c r="AV400" s="146" t="str">
        <f t="shared" si="178"/>
        <v/>
      </c>
      <c r="AW400" s="146" t="str">
        <f t="shared" si="179"/>
        <v/>
      </c>
      <c r="AX400" s="138" t="str">
        <f t="shared" si="180"/>
        <v/>
      </c>
      <c r="AY400" s="95" t="s">
        <v>56</v>
      </c>
      <c r="AZ400" s="96" t="s">
        <v>56</v>
      </c>
      <c r="BA400" s="96"/>
      <c r="BB400" s="96" t="s">
        <v>56</v>
      </c>
      <c r="BC400" s="96"/>
      <c r="BD400" s="97">
        <v>145</v>
      </c>
      <c r="BE400" s="142">
        <f t="shared" si="181"/>
        <v>308</v>
      </c>
      <c r="BF400" s="88">
        <v>308</v>
      </c>
      <c r="BG400" s="98">
        <v>0</v>
      </c>
      <c r="BH400" s="98">
        <v>0</v>
      </c>
      <c r="BI400" s="98">
        <v>0</v>
      </c>
      <c r="BJ400" s="98"/>
      <c r="BK400" s="98"/>
      <c r="BL400" s="97"/>
    </row>
    <row r="401" spans="1:64" outlineLevel="5" x14ac:dyDescent="0.3">
      <c r="A401" s="152">
        <f t="shared" si="167"/>
        <v>12</v>
      </c>
      <c r="B401" s="153">
        <f t="shared" si="152"/>
        <v>44536</v>
      </c>
      <c r="C401" s="138">
        <f t="shared" si="172"/>
        <v>35.5</v>
      </c>
      <c r="D401" s="84">
        <v>36</v>
      </c>
      <c r="E401" s="84">
        <v>35</v>
      </c>
      <c r="F401" s="84"/>
      <c r="G401" s="84"/>
      <c r="H401" s="84"/>
      <c r="I401" s="84"/>
      <c r="J401" s="84"/>
      <c r="K401" s="84"/>
      <c r="L401" s="140">
        <f t="shared" si="173"/>
        <v>7.6</v>
      </c>
      <c r="M401" s="86">
        <v>7.68</v>
      </c>
      <c r="N401" s="86">
        <v>7.52</v>
      </c>
      <c r="O401" s="86"/>
      <c r="P401" s="86"/>
      <c r="Q401" s="86"/>
      <c r="R401" s="86"/>
      <c r="S401" s="86"/>
      <c r="T401" s="86"/>
      <c r="U401" s="142">
        <f t="shared" si="174"/>
        <v>1739.5</v>
      </c>
      <c r="V401" s="88">
        <v>1854</v>
      </c>
      <c r="W401" s="88">
        <v>1625</v>
      </c>
      <c r="X401" s="88"/>
      <c r="Y401" s="88"/>
      <c r="Z401" s="88"/>
      <c r="AA401" s="88"/>
      <c r="AB401" s="88"/>
      <c r="AC401" s="88"/>
      <c r="AD401" s="142" t="str">
        <f t="shared" si="175"/>
        <v/>
      </c>
      <c r="AE401" s="88"/>
      <c r="AF401" s="88"/>
      <c r="AG401" s="88"/>
      <c r="AH401" s="88"/>
      <c r="AI401" s="88"/>
      <c r="AJ401" s="88"/>
      <c r="AK401" s="88"/>
      <c r="AL401" s="88"/>
      <c r="AM401" s="88">
        <v>37.063211621515514</v>
      </c>
      <c r="AN401" s="88">
        <v>127.35</v>
      </c>
      <c r="AO401" s="89">
        <v>15.7</v>
      </c>
      <c r="AP401" s="90">
        <v>12.8583</v>
      </c>
      <c r="AQ401" s="146">
        <f t="shared" si="176"/>
        <v>81.900000000000006</v>
      </c>
      <c r="AR401" s="146">
        <f t="shared" si="177"/>
        <v>18.099999999999994</v>
      </c>
      <c r="AS401" s="147">
        <v>40</v>
      </c>
      <c r="AT401" s="148">
        <v>15</v>
      </c>
      <c r="AU401" s="149">
        <v>8.9</v>
      </c>
      <c r="AV401" s="146">
        <f t="shared" si="178"/>
        <v>59.333333333333336</v>
      </c>
      <c r="AW401" s="146">
        <f t="shared" si="179"/>
        <v>40.666666666666664</v>
      </c>
      <c r="AX401" s="138">
        <f t="shared" si="180"/>
        <v>67.755559558838257</v>
      </c>
      <c r="AY401" s="95">
        <v>73.199999999999989</v>
      </c>
      <c r="AZ401" s="96" t="s">
        <v>56</v>
      </c>
      <c r="BA401" s="96"/>
      <c r="BB401" s="96" t="s">
        <v>56</v>
      </c>
      <c r="BC401" s="96"/>
      <c r="BD401" s="97">
        <v>127.35</v>
      </c>
      <c r="BE401" s="142">
        <f t="shared" si="181"/>
        <v>3186</v>
      </c>
      <c r="BF401" s="88">
        <v>323</v>
      </c>
      <c r="BG401" s="98">
        <v>0</v>
      </c>
      <c r="BH401" s="98">
        <v>1</v>
      </c>
      <c r="BI401" s="98">
        <v>2862</v>
      </c>
      <c r="BJ401" s="98"/>
      <c r="BK401" s="98"/>
      <c r="BL401" s="97"/>
    </row>
    <row r="402" spans="1:64" outlineLevel="5" x14ac:dyDescent="0.3">
      <c r="A402" s="152">
        <f t="shared" si="167"/>
        <v>12</v>
      </c>
      <c r="B402" s="153">
        <f t="shared" si="152"/>
        <v>44537</v>
      </c>
      <c r="C402" s="138">
        <f t="shared" si="172"/>
        <v>36</v>
      </c>
      <c r="D402" s="84">
        <v>36</v>
      </c>
      <c r="E402" s="84">
        <v>36</v>
      </c>
      <c r="F402" s="84"/>
      <c r="G402" s="84"/>
      <c r="H402" s="84"/>
      <c r="I402" s="84"/>
      <c r="J402" s="84"/>
      <c r="K402" s="84"/>
      <c r="L402" s="140">
        <f t="shared" si="173"/>
        <v>7.7</v>
      </c>
      <c r="M402" s="86">
        <v>7.71</v>
      </c>
      <c r="N402" s="86">
        <v>7.69</v>
      </c>
      <c r="O402" s="86"/>
      <c r="P402" s="86"/>
      <c r="Q402" s="86"/>
      <c r="R402" s="86"/>
      <c r="S402" s="86"/>
      <c r="T402" s="86"/>
      <c r="U402" s="142">
        <f t="shared" si="174"/>
        <v>1675</v>
      </c>
      <c r="V402" s="88">
        <v>1752</v>
      </c>
      <c r="W402" s="88">
        <v>1598</v>
      </c>
      <c r="X402" s="88"/>
      <c r="Y402" s="88"/>
      <c r="Z402" s="88"/>
      <c r="AA402" s="88"/>
      <c r="AB402" s="88"/>
      <c r="AC402" s="88"/>
      <c r="AD402" s="142" t="str">
        <f t="shared" si="175"/>
        <v/>
      </c>
      <c r="AE402" s="88"/>
      <c r="AF402" s="88"/>
      <c r="AG402" s="88"/>
      <c r="AH402" s="88"/>
      <c r="AI402" s="88"/>
      <c r="AJ402" s="88"/>
      <c r="AK402" s="88"/>
      <c r="AL402" s="88"/>
      <c r="AM402" s="88">
        <v>33.993518185091823</v>
      </c>
      <c r="AN402" s="88">
        <v>138.85000000000002</v>
      </c>
      <c r="AO402" s="89" t="s">
        <v>56</v>
      </c>
      <c r="AP402" s="90" t="s">
        <v>56</v>
      </c>
      <c r="AQ402" s="146" t="str">
        <f t="shared" si="176"/>
        <v/>
      </c>
      <c r="AR402" s="146" t="str">
        <f t="shared" si="177"/>
        <v/>
      </c>
      <c r="AS402" s="147">
        <v>40</v>
      </c>
      <c r="AT402" s="148" t="s">
        <v>56</v>
      </c>
      <c r="AU402" s="149" t="s">
        <v>56</v>
      </c>
      <c r="AV402" s="146" t="str">
        <f t="shared" si="178"/>
        <v/>
      </c>
      <c r="AW402" s="146" t="str">
        <f t="shared" si="179"/>
        <v/>
      </c>
      <c r="AX402" s="138" t="str">
        <f t="shared" si="180"/>
        <v/>
      </c>
      <c r="AY402" s="95" t="s">
        <v>56</v>
      </c>
      <c r="AZ402" s="96" t="s">
        <v>56</v>
      </c>
      <c r="BA402" s="96"/>
      <c r="BB402" s="96" t="s">
        <v>56</v>
      </c>
      <c r="BC402" s="96"/>
      <c r="BD402" s="97">
        <v>138.85000000000002</v>
      </c>
      <c r="BE402" s="142">
        <f t="shared" si="181"/>
        <v>8026</v>
      </c>
      <c r="BF402" s="88">
        <v>628</v>
      </c>
      <c r="BG402" s="98">
        <v>0</v>
      </c>
      <c r="BH402" s="98">
        <v>2944</v>
      </c>
      <c r="BI402" s="98">
        <v>4454</v>
      </c>
      <c r="BJ402" s="98"/>
      <c r="BK402" s="98"/>
      <c r="BL402" s="97"/>
    </row>
    <row r="403" spans="1:64" outlineLevel="5" x14ac:dyDescent="0.3">
      <c r="A403" s="152">
        <f t="shared" si="167"/>
        <v>12</v>
      </c>
      <c r="B403" s="153">
        <f t="shared" si="152"/>
        <v>44538</v>
      </c>
      <c r="C403" s="138">
        <f t="shared" si="172"/>
        <v>35.5</v>
      </c>
      <c r="D403" s="84">
        <v>35</v>
      </c>
      <c r="E403" s="84">
        <v>36</v>
      </c>
      <c r="F403" s="84"/>
      <c r="G403" s="84"/>
      <c r="H403" s="84"/>
      <c r="I403" s="84"/>
      <c r="J403" s="84"/>
      <c r="K403" s="84"/>
      <c r="L403" s="140">
        <f t="shared" si="173"/>
        <v>7.7</v>
      </c>
      <c r="M403" s="86">
        <v>7.71</v>
      </c>
      <c r="N403" s="86">
        <v>7.62</v>
      </c>
      <c r="O403" s="86"/>
      <c r="P403" s="86"/>
      <c r="Q403" s="86"/>
      <c r="R403" s="86"/>
      <c r="S403" s="86"/>
      <c r="T403" s="86"/>
      <c r="U403" s="142">
        <f t="shared" si="174"/>
        <v>1730</v>
      </c>
      <c r="V403" s="88">
        <v>1825</v>
      </c>
      <c r="W403" s="88">
        <v>1635</v>
      </c>
      <c r="X403" s="88"/>
      <c r="Y403" s="88"/>
      <c r="Z403" s="88"/>
      <c r="AA403" s="88"/>
      <c r="AB403" s="88"/>
      <c r="AC403" s="88"/>
      <c r="AD403" s="142" t="str">
        <f t="shared" si="175"/>
        <v/>
      </c>
      <c r="AE403" s="88"/>
      <c r="AF403" s="88"/>
      <c r="AG403" s="88"/>
      <c r="AH403" s="88"/>
      <c r="AI403" s="88"/>
      <c r="AJ403" s="88"/>
      <c r="AK403" s="88"/>
      <c r="AL403" s="88"/>
      <c r="AM403" s="88">
        <v>35.451404536578039</v>
      </c>
      <c r="AN403" s="88">
        <v>133.13999999999999</v>
      </c>
      <c r="AO403" s="89" t="s">
        <v>56</v>
      </c>
      <c r="AP403" s="90" t="s">
        <v>56</v>
      </c>
      <c r="AQ403" s="146" t="str">
        <f t="shared" si="176"/>
        <v/>
      </c>
      <c r="AR403" s="146" t="str">
        <f t="shared" si="177"/>
        <v/>
      </c>
      <c r="AS403" s="147">
        <v>40</v>
      </c>
      <c r="AT403" s="148">
        <v>16.75</v>
      </c>
      <c r="AU403" s="149">
        <v>8.4499999999999993</v>
      </c>
      <c r="AV403" s="146">
        <f t="shared" si="178"/>
        <v>50.447761194029852</v>
      </c>
      <c r="AW403" s="146">
        <f t="shared" si="179"/>
        <v>49.552238805970148</v>
      </c>
      <c r="AX403" s="138" t="str">
        <f t="shared" si="180"/>
        <v/>
      </c>
      <c r="AY403" s="95">
        <v>75.45</v>
      </c>
      <c r="AZ403" s="96" t="s">
        <v>56</v>
      </c>
      <c r="BA403" s="96"/>
      <c r="BB403" s="96" t="s">
        <v>56</v>
      </c>
      <c r="BC403" s="96"/>
      <c r="BD403" s="97">
        <v>133.13999999999999</v>
      </c>
      <c r="BE403" s="142">
        <f t="shared" si="181"/>
        <v>6688</v>
      </c>
      <c r="BF403" s="88">
        <v>294</v>
      </c>
      <c r="BG403" s="98">
        <v>0</v>
      </c>
      <c r="BH403" s="98">
        <v>2165</v>
      </c>
      <c r="BI403" s="98">
        <v>4229</v>
      </c>
      <c r="BJ403" s="98"/>
      <c r="BK403" s="98"/>
      <c r="BL403" s="97"/>
    </row>
    <row r="404" spans="1:64" outlineLevel="5" x14ac:dyDescent="0.3">
      <c r="A404" s="152">
        <f t="shared" si="167"/>
        <v>12</v>
      </c>
      <c r="B404" s="153">
        <f t="shared" si="152"/>
        <v>44539</v>
      </c>
      <c r="C404" s="138">
        <f t="shared" si="172"/>
        <v>36</v>
      </c>
      <c r="D404" s="84">
        <v>36</v>
      </c>
      <c r="E404" s="84">
        <v>36</v>
      </c>
      <c r="F404" s="84"/>
      <c r="G404" s="84"/>
      <c r="H404" s="84"/>
      <c r="I404" s="84"/>
      <c r="J404" s="84"/>
      <c r="K404" s="84"/>
      <c r="L404" s="140">
        <f t="shared" si="173"/>
        <v>7.7</v>
      </c>
      <c r="M404" s="86">
        <v>7.7</v>
      </c>
      <c r="N404" s="86">
        <v>7.61</v>
      </c>
      <c r="O404" s="86"/>
      <c r="P404" s="86"/>
      <c r="Q404" s="86"/>
      <c r="R404" s="86"/>
      <c r="S404" s="86"/>
      <c r="T404" s="86"/>
      <c r="U404" s="142">
        <f t="shared" si="174"/>
        <v>1640</v>
      </c>
      <c r="V404" s="88">
        <v>1750</v>
      </c>
      <c r="W404" s="88">
        <v>1530</v>
      </c>
      <c r="X404" s="88"/>
      <c r="Y404" s="88"/>
      <c r="Z404" s="88"/>
      <c r="AA404" s="88"/>
      <c r="AB404" s="88"/>
      <c r="AC404" s="88"/>
      <c r="AD404" s="142" t="str">
        <f t="shared" si="175"/>
        <v/>
      </c>
      <c r="AE404" s="88"/>
      <c r="AF404" s="88"/>
      <c r="AG404" s="88"/>
      <c r="AH404" s="88"/>
      <c r="AI404" s="88"/>
      <c r="AJ404" s="88"/>
      <c r="AK404" s="88"/>
      <c r="AL404" s="88"/>
      <c r="AM404" s="88">
        <v>33.223059055395233</v>
      </c>
      <c r="AN404" s="88">
        <v>142.07</v>
      </c>
      <c r="AO404" s="89" t="s">
        <v>56</v>
      </c>
      <c r="AP404" s="90" t="s">
        <v>56</v>
      </c>
      <c r="AQ404" s="146" t="str">
        <f t="shared" si="176"/>
        <v/>
      </c>
      <c r="AR404" s="146" t="str">
        <f t="shared" si="177"/>
        <v/>
      </c>
      <c r="AS404" s="147">
        <v>40</v>
      </c>
      <c r="AT404" s="148">
        <v>17.600000000000001</v>
      </c>
      <c r="AU404" s="149">
        <v>10</v>
      </c>
      <c r="AV404" s="146">
        <f t="shared" si="178"/>
        <v>56.818181818181813</v>
      </c>
      <c r="AW404" s="146">
        <f t="shared" si="179"/>
        <v>43.181818181818187</v>
      </c>
      <c r="AX404" s="138" t="str">
        <f t="shared" si="180"/>
        <v/>
      </c>
      <c r="AY404" s="95">
        <v>69.05</v>
      </c>
      <c r="AZ404" s="96" t="s">
        <v>56</v>
      </c>
      <c r="BA404" s="96"/>
      <c r="BB404" s="96" t="s">
        <v>56</v>
      </c>
      <c r="BC404" s="96"/>
      <c r="BD404" s="97">
        <v>142.07</v>
      </c>
      <c r="BE404" s="142">
        <f t="shared" si="181"/>
        <v>5653</v>
      </c>
      <c r="BF404" s="88">
        <v>706</v>
      </c>
      <c r="BG404" s="98">
        <v>0</v>
      </c>
      <c r="BH404" s="98">
        <v>656</v>
      </c>
      <c r="BI404" s="98">
        <v>4291</v>
      </c>
      <c r="BJ404" s="98"/>
      <c r="BK404" s="98"/>
      <c r="BL404" s="97"/>
    </row>
    <row r="405" spans="1:64" outlineLevel="5" x14ac:dyDescent="0.3">
      <c r="A405" s="152">
        <f t="shared" si="167"/>
        <v>12</v>
      </c>
      <c r="B405" s="153">
        <f t="shared" si="152"/>
        <v>44540</v>
      </c>
      <c r="C405" s="138">
        <f t="shared" si="172"/>
        <v>37.5</v>
      </c>
      <c r="D405" s="84">
        <v>38</v>
      </c>
      <c r="E405" s="84">
        <v>37</v>
      </c>
      <c r="F405" s="84"/>
      <c r="G405" s="84"/>
      <c r="H405" s="84"/>
      <c r="I405" s="84"/>
      <c r="J405" s="84"/>
      <c r="K405" s="84"/>
      <c r="L405" s="140" t="str">
        <f t="shared" si="173"/>
        <v/>
      </c>
      <c r="M405" s="86" t="s">
        <v>56</v>
      </c>
      <c r="N405" s="86" t="s">
        <v>56</v>
      </c>
      <c r="O405" s="86"/>
      <c r="P405" s="86"/>
      <c r="Q405" s="86"/>
      <c r="R405" s="86"/>
      <c r="S405" s="86"/>
      <c r="T405" s="86"/>
      <c r="U405" s="142" t="str">
        <f t="shared" si="174"/>
        <v/>
      </c>
      <c r="V405" s="88" t="s">
        <v>56</v>
      </c>
      <c r="W405" s="88" t="s">
        <v>56</v>
      </c>
      <c r="X405" s="88"/>
      <c r="Y405" s="88"/>
      <c r="Z405" s="88"/>
      <c r="AA405" s="88"/>
      <c r="AB405" s="88"/>
      <c r="AC405" s="88"/>
      <c r="AD405" s="142" t="str">
        <f t="shared" si="175"/>
        <v/>
      </c>
      <c r="AE405" s="88"/>
      <c r="AF405" s="88"/>
      <c r="AG405" s="88"/>
      <c r="AH405" s="88"/>
      <c r="AI405" s="88"/>
      <c r="AJ405" s="88"/>
      <c r="AK405" s="88"/>
      <c r="AL405" s="88"/>
      <c r="AM405" s="88">
        <v>35.790112223233244</v>
      </c>
      <c r="AN405" s="88">
        <v>131.88</v>
      </c>
      <c r="AO405" s="89" t="s">
        <v>56</v>
      </c>
      <c r="AP405" s="90" t="s">
        <v>56</v>
      </c>
      <c r="AQ405" s="146" t="str">
        <f t="shared" si="176"/>
        <v/>
      </c>
      <c r="AR405" s="146" t="str">
        <f t="shared" si="177"/>
        <v/>
      </c>
      <c r="AS405" s="147">
        <v>24</v>
      </c>
      <c r="AT405" s="148" t="s">
        <v>56</v>
      </c>
      <c r="AU405" s="149" t="s">
        <v>56</v>
      </c>
      <c r="AV405" s="146" t="str">
        <f t="shared" si="178"/>
        <v/>
      </c>
      <c r="AW405" s="146" t="str">
        <f t="shared" si="179"/>
        <v/>
      </c>
      <c r="AX405" s="138" t="str">
        <f t="shared" si="180"/>
        <v/>
      </c>
      <c r="AY405" s="95" t="s">
        <v>56</v>
      </c>
      <c r="AZ405" s="96" t="s">
        <v>56</v>
      </c>
      <c r="BA405" s="96"/>
      <c r="BB405" s="96" t="s">
        <v>56</v>
      </c>
      <c r="BC405" s="96"/>
      <c r="BD405" s="97">
        <v>131.88</v>
      </c>
      <c r="BE405" s="142">
        <f t="shared" si="181"/>
        <v>10636</v>
      </c>
      <c r="BF405" s="88">
        <v>601</v>
      </c>
      <c r="BG405" s="98">
        <v>0</v>
      </c>
      <c r="BH405" s="98">
        <v>5820</v>
      </c>
      <c r="BI405" s="98">
        <v>4215</v>
      </c>
      <c r="BJ405" s="98"/>
      <c r="BK405" s="98"/>
      <c r="BL405" s="97"/>
    </row>
    <row r="406" spans="1:64" outlineLevel="5" x14ac:dyDescent="0.3">
      <c r="A406" s="152">
        <f t="shared" si="167"/>
        <v>12</v>
      </c>
      <c r="B406" s="153">
        <f t="shared" si="152"/>
        <v>44541</v>
      </c>
      <c r="C406" s="138">
        <f t="shared" si="172"/>
        <v>37.5</v>
      </c>
      <c r="D406" s="84">
        <v>38</v>
      </c>
      <c r="E406" s="84">
        <v>37</v>
      </c>
      <c r="F406" s="84"/>
      <c r="G406" s="84"/>
      <c r="H406" s="84"/>
      <c r="I406" s="84"/>
      <c r="J406" s="84"/>
      <c r="K406" s="84"/>
      <c r="L406" s="140" t="str">
        <f t="shared" si="173"/>
        <v/>
      </c>
      <c r="M406" s="86"/>
      <c r="N406" s="86"/>
      <c r="O406" s="86"/>
      <c r="P406" s="86"/>
      <c r="Q406" s="86"/>
      <c r="R406" s="86"/>
      <c r="S406" s="86"/>
      <c r="T406" s="86"/>
      <c r="U406" s="142" t="str">
        <f t="shared" si="174"/>
        <v/>
      </c>
      <c r="V406" s="88"/>
      <c r="W406" s="88"/>
      <c r="X406" s="88"/>
      <c r="Y406" s="88"/>
      <c r="Z406" s="88"/>
      <c r="AA406" s="88"/>
      <c r="AB406" s="88"/>
      <c r="AC406" s="88"/>
      <c r="AD406" s="142" t="str">
        <f t="shared" si="175"/>
        <v/>
      </c>
      <c r="AE406" s="88"/>
      <c r="AF406" s="88"/>
      <c r="AG406" s="88"/>
      <c r="AH406" s="88"/>
      <c r="AI406" s="88"/>
      <c r="AJ406" s="88"/>
      <c r="AK406" s="88"/>
      <c r="AL406" s="88"/>
      <c r="AM406" s="88">
        <v>46.983874178777619</v>
      </c>
      <c r="AN406" s="88">
        <v>100.46000000000001</v>
      </c>
      <c r="AO406" s="89"/>
      <c r="AP406" s="90"/>
      <c r="AQ406" s="146" t="str">
        <f t="shared" si="176"/>
        <v/>
      </c>
      <c r="AR406" s="146" t="str">
        <f t="shared" si="177"/>
        <v/>
      </c>
      <c r="AS406" s="147">
        <v>10</v>
      </c>
      <c r="AT406" s="148" t="s">
        <v>56</v>
      </c>
      <c r="AU406" s="149" t="s">
        <v>56</v>
      </c>
      <c r="AV406" s="146" t="str">
        <f t="shared" si="178"/>
        <v/>
      </c>
      <c r="AW406" s="146" t="str">
        <f t="shared" si="179"/>
        <v/>
      </c>
      <c r="AX406" s="138" t="str">
        <f t="shared" si="180"/>
        <v/>
      </c>
      <c r="AY406" s="95" t="s">
        <v>56</v>
      </c>
      <c r="AZ406" s="96" t="s">
        <v>56</v>
      </c>
      <c r="BA406" s="96"/>
      <c r="BB406" s="96" t="s">
        <v>56</v>
      </c>
      <c r="BC406" s="96"/>
      <c r="BD406" s="97">
        <v>100.46000000000001</v>
      </c>
      <c r="BE406" s="142">
        <f t="shared" si="181"/>
        <v>6471</v>
      </c>
      <c r="BF406" s="88">
        <v>390</v>
      </c>
      <c r="BG406" s="98">
        <v>0</v>
      </c>
      <c r="BH406" s="98">
        <v>2246</v>
      </c>
      <c r="BI406" s="98">
        <v>3835</v>
      </c>
      <c r="BJ406" s="98"/>
      <c r="BK406" s="98"/>
      <c r="BL406" s="97"/>
    </row>
    <row r="407" spans="1:64" outlineLevel="5" x14ac:dyDescent="0.3">
      <c r="A407" s="152">
        <f t="shared" si="167"/>
        <v>12</v>
      </c>
      <c r="B407" s="153">
        <f t="shared" si="152"/>
        <v>44542</v>
      </c>
      <c r="C407" s="138">
        <f t="shared" si="172"/>
        <v>37</v>
      </c>
      <c r="D407" s="84">
        <v>37</v>
      </c>
      <c r="E407" s="84">
        <v>37</v>
      </c>
      <c r="F407" s="84"/>
      <c r="G407" s="84"/>
      <c r="H407" s="84"/>
      <c r="I407" s="84"/>
      <c r="J407" s="84"/>
      <c r="K407" s="84"/>
      <c r="L407" s="140" t="str">
        <f t="shared" si="173"/>
        <v/>
      </c>
      <c r="M407" s="86"/>
      <c r="N407" s="86"/>
      <c r="O407" s="86"/>
      <c r="P407" s="86"/>
      <c r="Q407" s="86"/>
      <c r="R407" s="86"/>
      <c r="S407" s="86"/>
      <c r="T407" s="86"/>
      <c r="U407" s="142" t="str">
        <f t="shared" si="174"/>
        <v/>
      </c>
      <c r="V407" s="88"/>
      <c r="W407" s="88"/>
      <c r="X407" s="88"/>
      <c r="Y407" s="88"/>
      <c r="Z407" s="88"/>
      <c r="AA407" s="88"/>
      <c r="AB407" s="88"/>
      <c r="AC407" s="88"/>
      <c r="AD407" s="142" t="str">
        <f t="shared" si="175"/>
        <v/>
      </c>
      <c r="AE407" s="88"/>
      <c r="AF407" s="88"/>
      <c r="AG407" s="88"/>
      <c r="AH407" s="88"/>
      <c r="AI407" s="88"/>
      <c r="AJ407" s="88"/>
      <c r="AK407" s="88"/>
      <c r="AL407" s="88"/>
      <c r="AM407" s="88">
        <v>47.2</v>
      </c>
      <c r="AN407" s="88">
        <v>100</v>
      </c>
      <c r="AO407" s="89"/>
      <c r="AP407" s="90"/>
      <c r="AQ407" s="146" t="str">
        <f t="shared" si="176"/>
        <v/>
      </c>
      <c r="AR407" s="146" t="str">
        <f t="shared" si="177"/>
        <v/>
      </c>
      <c r="AS407" s="147">
        <v>10</v>
      </c>
      <c r="AT407" s="148" t="s">
        <v>56</v>
      </c>
      <c r="AU407" s="149" t="s">
        <v>56</v>
      </c>
      <c r="AV407" s="146" t="str">
        <f t="shared" si="178"/>
        <v/>
      </c>
      <c r="AW407" s="146" t="str">
        <f t="shared" si="179"/>
        <v/>
      </c>
      <c r="AX407" s="138" t="str">
        <f t="shared" si="180"/>
        <v/>
      </c>
      <c r="AY407" s="95" t="s">
        <v>56</v>
      </c>
      <c r="AZ407" s="96" t="s">
        <v>56</v>
      </c>
      <c r="BA407" s="96"/>
      <c r="BB407" s="96" t="s">
        <v>56</v>
      </c>
      <c r="BC407" s="96"/>
      <c r="BD407" s="97">
        <v>100</v>
      </c>
      <c r="BE407" s="142">
        <f t="shared" si="181"/>
        <v>5531</v>
      </c>
      <c r="BF407" s="88">
        <v>236</v>
      </c>
      <c r="BG407" s="98">
        <v>0</v>
      </c>
      <c r="BH407" s="98">
        <v>1595</v>
      </c>
      <c r="BI407" s="98">
        <v>3700</v>
      </c>
      <c r="BJ407" s="98"/>
      <c r="BK407" s="98"/>
      <c r="BL407" s="97"/>
    </row>
    <row r="408" spans="1:64" outlineLevel="5" x14ac:dyDescent="0.3">
      <c r="A408" s="152">
        <f t="shared" si="167"/>
        <v>12</v>
      </c>
      <c r="B408" s="153">
        <f t="shared" si="152"/>
        <v>44543</v>
      </c>
      <c r="C408" s="138">
        <f t="shared" si="172"/>
        <v>38</v>
      </c>
      <c r="D408" s="84">
        <v>38</v>
      </c>
      <c r="E408" s="84">
        <v>38</v>
      </c>
      <c r="F408" s="84"/>
      <c r="G408" s="84"/>
      <c r="H408" s="84"/>
      <c r="I408" s="84"/>
      <c r="J408" s="84"/>
      <c r="K408" s="84"/>
      <c r="L408" s="140">
        <f t="shared" si="173"/>
        <v>7.5</v>
      </c>
      <c r="M408" s="86">
        <v>7.58</v>
      </c>
      <c r="N408" s="86">
        <v>7.51</v>
      </c>
      <c r="O408" s="86"/>
      <c r="P408" s="86"/>
      <c r="Q408" s="86"/>
      <c r="R408" s="86"/>
      <c r="S408" s="86"/>
      <c r="T408" s="86"/>
      <c r="U408" s="142">
        <f t="shared" si="174"/>
        <v>1585</v>
      </c>
      <c r="V408" s="88">
        <v>1750</v>
      </c>
      <c r="W408" s="88">
        <v>1420</v>
      </c>
      <c r="X408" s="88"/>
      <c r="Y408" s="88"/>
      <c r="Z408" s="88"/>
      <c r="AA408" s="88"/>
      <c r="AB408" s="88"/>
      <c r="AC408" s="88"/>
      <c r="AD408" s="142" t="str">
        <f t="shared" si="175"/>
        <v/>
      </c>
      <c r="AE408" s="88"/>
      <c r="AF408" s="88"/>
      <c r="AG408" s="88"/>
      <c r="AH408" s="88"/>
      <c r="AI408" s="88"/>
      <c r="AJ408" s="88"/>
      <c r="AK408" s="88"/>
      <c r="AL408" s="88"/>
      <c r="AM408" s="88">
        <v>42.109019537871355</v>
      </c>
      <c r="AN408" s="88">
        <v>112.09</v>
      </c>
      <c r="AO408" s="89">
        <v>19.7</v>
      </c>
      <c r="AP408" s="90">
        <v>16.784400000000002</v>
      </c>
      <c r="AQ408" s="146">
        <f t="shared" si="176"/>
        <v>85.2</v>
      </c>
      <c r="AR408" s="146">
        <f t="shared" si="177"/>
        <v>14.799999999999997</v>
      </c>
      <c r="AS408" s="147">
        <v>40</v>
      </c>
      <c r="AT408" s="148">
        <v>16.7</v>
      </c>
      <c r="AU408" s="149">
        <v>7.5</v>
      </c>
      <c r="AV408" s="146">
        <f t="shared" si="178"/>
        <v>44.910179640718567</v>
      </c>
      <c r="AW408" s="146">
        <f t="shared" si="179"/>
        <v>55.089820359281433</v>
      </c>
      <c r="AX408" s="138">
        <f t="shared" si="180"/>
        <v>85.838946723821181</v>
      </c>
      <c r="AY408" s="95">
        <v>74.400000000000006</v>
      </c>
      <c r="AZ408" s="96" t="s">
        <v>56</v>
      </c>
      <c r="BA408" s="96"/>
      <c r="BB408" s="96" t="s">
        <v>56</v>
      </c>
      <c r="BC408" s="96"/>
      <c r="BD408" s="97">
        <v>112.09</v>
      </c>
      <c r="BE408" s="142">
        <f t="shared" si="181"/>
        <v>6086</v>
      </c>
      <c r="BF408" s="88">
        <v>185</v>
      </c>
      <c r="BG408" s="98">
        <v>0</v>
      </c>
      <c r="BH408" s="98">
        <v>1752</v>
      </c>
      <c r="BI408" s="98">
        <v>4149</v>
      </c>
      <c r="BJ408" s="98"/>
      <c r="BK408" s="98"/>
      <c r="BL408" s="97"/>
    </row>
    <row r="409" spans="1:64" outlineLevel="5" x14ac:dyDescent="0.3">
      <c r="A409" s="152">
        <f t="shared" si="167"/>
        <v>12</v>
      </c>
      <c r="B409" s="153">
        <f t="shared" si="152"/>
        <v>44544</v>
      </c>
      <c r="C409" s="138">
        <f t="shared" si="172"/>
        <v>38</v>
      </c>
      <c r="D409" s="84">
        <v>38</v>
      </c>
      <c r="E409" s="84">
        <v>38</v>
      </c>
      <c r="F409" s="84"/>
      <c r="G409" s="84"/>
      <c r="H409" s="84"/>
      <c r="I409" s="84"/>
      <c r="J409" s="84"/>
      <c r="K409" s="84"/>
      <c r="L409" s="140">
        <f t="shared" si="173"/>
        <v>7.6</v>
      </c>
      <c r="M409" s="86">
        <v>7.61</v>
      </c>
      <c r="N409" s="86">
        <v>7.53</v>
      </c>
      <c r="O409" s="86"/>
      <c r="P409" s="86"/>
      <c r="Q409" s="86"/>
      <c r="R409" s="86"/>
      <c r="S409" s="86"/>
      <c r="T409" s="86"/>
      <c r="U409" s="142">
        <f t="shared" si="174"/>
        <v>1590</v>
      </c>
      <c r="V409" s="88">
        <v>1650</v>
      </c>
      <c r="W409" s="88">
        <v>1530</v>
      </c>
      <c r="X409" s="88"/>
      <c r="Y409" s="88"/>
      <c r="Z409" s="88"/>
      <c r="AA409" s="88"/>
      <c r="AB409" s="88"/>
      <c r="AC409" s="88"/>
      <c r="AD409" s="142" t="str">
        <f t="shared" si="175"/>
        <v/>
      </c>
      <c r="AE409" s="88"/>
      <c r="AF409" s="88"/>
      <c r="AG409" s="88"/>
      <c r="AH409" s="88"/>
      <c r="AI409" s="88"/>
      <c r="AJ409" s="88"/>
      <c r="AK409" s="88"/>
      <c r="AL409" s="88"/>
      <c r="AM409" s="88">
        <v>40.023742898329516</v>
      </c>
      <c r="AN409" s="88">
        <v>117.93</v>
      </c>
      <c r="AO409" s="89" t="s">
        <v>56</v>
      </c>
      <c r="AP409" s="90" t="s">
        <v>56</v>
      </c>
      <c r="AQ409" s="146" t="str">
        <f t="shared" si="176"/>
        <v/>
      </c>
      <c r="AR409" s="146" t="str">
        <f t="shared" si="177"/>
        <v/>
      </c>
      <c r="AS409" s="147">
        <v>40</v>
      </c>
      <c r="AT409" s="148" t="s">
        <v>56</v>
      </c>
      <c r="AU409" s="149" t="s">
        <v>56</v>
      </c>
      <c r="AV409" s="146" t="str">
        <f t="shared" si="178"/>
        <v/>
      </c>
      <c r="AW409" s="146" t="str">
        <f t="shared" si="179"/>
        <v/>
      </c>
      <c r="AX409" s="138" t="str">
        <f t="shared" si="180"/>
        <v/>
      </c>
      <c r="AY409" s="95" t="s">
        <v>56</v>
      </c>
      <c r="AZ409" s="96" t="s">
        <v>56</v>
      </c>
      <c r="BA409" s="96"/>
      <c r="BB409" s="96" t="s">
        <v>56</v>
      </c>
      <c r="BC409" s="96"/>
      <c r="BD409" s="97">
        <v>117.93</v>
      </c>
      <c r="BE409" s="142">
        <f t="shared" si="181"/>
        <v>7518</v>
      </c>
      <c r="BF409" s="88">
        <v>310</v>
      </c>
      <c r="BG409" s="98">
        <v>0</v>
      </c>
      <c r="BH409" s="98">
        <v>2026</v>
      </c>
      <c r="BI409" s="98">
        <v>5182</v>
      </c>
      <c r="BJ409" s="98"/>
      <c r="BK409" s="98"/>
      <c r="BL409" s="97"/>
    </row>
    <row r="410" spans="1:64" outlineLevel="5" x14ac:dyDescent="0.3">
      <c r="A410" s="152">
        <f t="shared" si="167"/>
        <v>12</v>
      </c>
      <c r="B410" s="153">
        <f t="shared" si="152"/>
        <v>44545</v>
      </c>
      <c r="C410" s="138">
        <f t="shared" si="172"/>
        <v>37.5</v>
      </c>
      <c r="D410" s="84">
        <v>38</v>
      </c>
      <c r="E410" s="84">
        <v>37</v>
      </c>
      <c r="F410" s="84"/>
      <c r="G410" s="84"/>
      <c r="H410" s="84"/>
      <c r="I410" s="84"/>
      <c r="J410" s="84"/>
      <c r="K410" s="84"/>
      <c r="L410" s="140">
        <f t="shared" si="173"/>
        <v>7.7</v>
      </c>
      <c r="M410" s="86">
        <v>7.71</v>
      </c>
      <c r="N410" s="86">
        <v>7.59</v>
      </c>
      <c r="O410" s="86"/>
      <c r="P410" s="86"/>
      <c r="Q410" s="86"/>
      <c r="R410" s="86"/>
      <c r="S410" s="86"/>
      <c r="T410" s="86"/>
      <c r="U410" s="142">
        <f t="shared" si="174"/>
        <v>1636.5</v>
      </c>
      <c r="V410" s="88">
        <v>1750</v>
      </c>
      <c r="W410" s="88">
        <v>1523</v>
      </c>
      <c r="X410" s="88"/>
      <c r="Y410" s="88"/>
      <c r="Z410" s="88"/>
      <c r="AA410" s="88"/>
      <c r="AB410" s="88"/>
      <c r="AC410" s="88"/>
      <c r="AD410" s="142" t="str">
        <f t="shared" si="175"/>
        <v/>
      </c>
      <c r="AE410" s="88"/>
      <c r="AF410" s="88"/>
      <c r="AG410" s="88"/>
      <c r="AH410" s="88"/>
      <c r="AI410" s="88"/>
      <c r="AJ410" s="88"/>
      <c r="AK410" s="88"/>
      <c r="AL410" s="88"/>
      <c r="AM410" s="88">
        <v>43.390329104614821</v>
      </c>
      <c r="AN410" s="88">
        <v>108.78</v>
      </c>
      <c r="AO410" s="89" t="s">
        <v>56</v>
      </c>
      <c r="AP410" s="90" t="s">
        <v>56</v>
      </c>
      <c r="AQ410" s="146" t="str">
        <f t="shared" si="176"/>
        <v/>
      </c>
      <c r="AR410" s="146" t="str">
        <f t="shared" si="177"/>
        <v/>
      </c>
      <c r="AS410" s="147">
        <v>40</v>
      </c>
      <c r="AT410" s="148">
        <v>15.9</v>
      </c>
      <c r="AU410" s="149">
        <v>9.3500000000000014</v>
      </c>
      <c r="AV410" s="146">
        <f t="shared" si="178"/>
        <v>58.805031446540887</v>
      </c>
      <c r="AW410" s="146">
        <f t="shared" si="179"/>
        <v>41.194968553459113</v>
      </c>
      <c r="AX410" s="138" t="str">
        <f t="shared" si="180"/>
        <v/>
      </c>
      <c r="AY410" s="95">
        <v>73.900000000000006</v>
      </c>
      <c r="AZ410" s="96" t="s">
        <v>56</v>
      </c>
      <c r="BA410" s="96"/>
      <c r="BB410" s="96" t="s">
        <v>56</v>
      </c>
      <c r="BC410" s="96"/>
      <c r="BD410" s="97">
        <v>108.78</v>
      </c>
      <c r="BE410" s="142">
        <f t="shared" si="181"/>
        <v>6502</v>
      </c>
      <c r="BF410" s="88">
        <v>353</v>
      </c>
      <c r="BG410" s="98">
        <v>0</v>
      </c>
      <c r="BH410" s="98">
        <v>787</v>
      </c>
      <c r="BI410" s="98">
        <v>5362</v>
      </c>
      <c r="BJ410" s="98"/>
      <c r="BK410" s="98"/>
      <c r="BL410" s="97"/>
    </row>
    <row r="411" spans="1:64" outlineLevel="5" x14ac:dyDescent="0.3">
      <c r="A411" s="152">
        <f t="shared" si="167"/>
        <v>12</v>
      </c>
      <c r="B411" s="153">
        <f t="shared" si="152"/>
        <v>44546</v>
      </c>
      <c r="C411" s="138">
        <f t="shared" si="172"/>
        <v>37</v>
      </c>
      <c r="D411" s="84">
        <v>36</v>
      </c>
      <c r="E411" s="84">
        <v>38</v>
      </c>
      <c r="F411" s="84"/>
      <c r="G411" s="84"/>
      <c r="H411" s="84"/>
      <c r="I411" s="84"/>
      <c r="J411" s="84"/>
      <c r="K411" s="84"/>
      <c r="L411" s="140">
        <f t="shared" si="173"/>
        <v>7.6</v>
      </c>
      <c r="M411" s="86">
        <v>7.66</v>
      </c>
      <c r="N411" s="86">
        <v>7.53</v>
      </c>
      <c r="O411" s="86"/>
      <c r="P411" s="86"/>
      <c r="Q411" s="86"/>
      <c r="R411" s="86"/>
      <c r="S411" s="86"/>
      <c r="T411" s="86"/>
      <c r="U411" s="142">
        <f t="shared" si="174"/>
        <v>1535</v>
      </c>
      <c r="V411" s="88">
        <v>1650</v>
      </c>
      <c r="W411" s="88">
        <v>1420</v>
      </c>
      <c r="X411" s="88"/>
      <c r="Y411" s="88"/>
      <c r="Z411" s="88"/>
      <c r="AA411" s="88"/>
      <c r="AB411" s="88"/>
      <c r="AC411" s="88"/>
      <c r="AD411" s="142" t="str">
        <f t="shared" si="175"/>
        <v/>
      </c>
      <c r="AE411" s="88"/>
      <c r="AF411" s="88"/>
      <c r="AG411" s="88"/>
      <c r="AH411" s="88"/>
      <c r="AI411" s="88"/>
      <c r="AJ411" s="88"/>
      <c r="AK411" s="88"/>
      <c r="AL411" s="88"/>
      <c r="AM411" s="88">
        <v>35.929055339879724</v>
      </c>
      <c r="AN411" s="88">
        <v>131.37</v>
      </c>
      <c r="AO411" s="89" t="s">
        <v>56</v>
      </c>
      <c r="AP411" s="90" t="s">
        <v>56</v>
      </c>
      <c r="AQ411" s="146" t="str">
        <f t="shared" si="176"/>
        <v/>
      </c>
      <c r="AR411" s="146" t="str">
        <f t="shared" si="177"/>
        <v/>
      </c>
      <c r="AS411" s="147">
        <v>40</v>
      </c>
      <c r="AT411" s="148">
        <v>16.45</v>
      </c>
      <c r="AU411" s="149">
        <v>9.5500000000000007</v>
      </c>
      <c r="AV411" s="146">
        <f t="shared" si="178"/>
        <v>58.054711246200618</v>
      </c>
      <c r="AW411" s="146">
        <f t="shared" si="179"/>
        <v>41.945288753799382</v>
      </c>
      <c r="AX411" s="138" t="str">
        <f t="shared" si="180"/>
        <v/>
      </c>
      <c r="AY411" s="95">
        <v>74.45</v>
      </c>
      <c r="AZ411" s="96" t="s">
        <v>56</v>
      </c>
      <c r="BA411" s="96"/>
      <c r="BB411" s="96" t="s">
        <v>56</v>
      </c>
      <c r="BC411" s="96"/>
      <c r="BD411" s="97">
        <v>131.37</v>
      </c>
      <c r="BE411" s="142">
        <f t="shared" si="181"/>
        <v>5335</v>
      </c>
      <c r="BF411" s="88">
        <v>342</v>
      </c>
      <c r="BG411" s="98">
        <v>0</v>
      </c>
      <c r="BH411" s="98">
        <v>1</v>
      </c>
      <c r="BI411" s="98">
        <v>4992</v>
      </c>
      <c r="BJ411" s="98"/>
      <c r="BK411" s="98"/>
      <c r="BL411" s="97"/>
    </row>
    <row r="412" spans="1:64" outlineLevel="5" x14ac:dyDescent="0.3">
      <c r="A412" s="152">
        <f t="shared" si="167"/>
        <v>12</v>
      </c>
      <c r="B412" s="153">
        <f t="shared" si="152"/>
        <v>44547</v>
      </c>
      <c r="C412" s="138">
        <f t="shared" si="172"/>
        <v>37.5</v>
      </c>
      <c r="D412" s="84">
        <v>37</v>
      </c>
      <c r="E412" s="84">
        <v>38</v>
      </c>
      <c r="F412" s="84"/>
      <c r="G412" s="84"/>
      <c r="H412" s="84"/>
      <c r="I412" s="84"/>
      <c r="J412" s="84"/>
      <c r="K412" s="84"/>
      <c r="L412" s="140" t="str">
        <f t="shared" si="173"/>
        <v/>
      </c>
      <c r="M412" s="86" t="s">
        <v>56</v>
      </c>
      <c r="N412" s="86" t="s">
        <v>56</v>
      </c>
      <c r="O412" s="86"/>
      <c r="P412" s="86"/>
      <c r="Q412" s="86"/>
      <c r="R412" s="86"/>
      <c r="S412" s="86"/>
      <c r="T412" s="86"/>
      <c r="U412" s="142" t="str">
        <f t="shared" si="174"/>
        <v/>
      </c>
      <c r="V412" s="88" t="s">
        <v>56</v>
      </c>
      <c r="W412" s="88" t="s">
        <v>56</v>
      </c>
      <c r="X412" s="88"/>
      <c r="Y412" s="88"/>
      <c r="Z412" s="88"/>
      <c r="AA412" s="88"/>
      <c r="AB412" s="88"/>
      <c r="AC412" s="88"/>
      <c r="AD412" s="142" t="str">
        <f t="shared" si="175"/>
        <v/>
      </c>
      <c r="AE412" s="88"/>
      <c r="AF412" s="88"/>
      <c r="AG412" s="88"/>
      <c r="AH412" s="88"/>
      <c r="AI412" s="88"/>
      <c r="AJ412" s="88"/>
      <c r="AK412" s="88"/>
      <c r="AL412" s="88"/>
      <c r="AM412" s="88">
        <v>35.520770620108372</v>
      </c>
      <c r="AN412" s="88">
        <v>132.88</v>
      </c>
      <c r="AO412" s="89" t="s">
        <v>56</v>
      </c>
      <c r="AP412" s="90" t="s">
        <v>56</v>
      </c>
      <c r="AQ412" s="146" t="str">
        <f t="shared" si="176"/>
        <v/>
      </c>
      <c r="AR412" s="146" t="str">
        <f t="shared" si="177"/>
        <v/>
      </c>
      <c r="AS412" s="147">
        <v>30</v>
      </c>
      <c r="AT412" s="148" t="s">
        <v>56</v>
      </c>
      <c r="AU412" s="149" t="s">
        <v>56</v>
      </c>
      <c r="AV412" s="146" t="str">
        <f t="shared" si="178"/>
        <v/>
      </c>
      <c r="AW412" s="146" t="str">
        <f t="shared" si="179"/>
        <v/>
      </c>
      <c r="AX412" s="138" t="str">
        <f t="shared" si="180"/>
        <v/>
      </c>
      <c r="AY412" s="95" t="s">
        <v>56</v>
      </c>
      <c r="AZ412" s="96">
        <v>58.495000000000005</v>
      </c>
      <c r="BA412" s="96"/>
      <c r="BB412" s="96">
        <v>67.5</v>
      </c>
      <c r="BC412" s="96"/>
      <c r="BD412" s="97">
        <v>132.88</v>
      </c>
      <c r="BE412" s="142">
        <f t="shared" si="181"/>
        <v>5977</v>
      </c>
      <c r="BF412" s="88">
        <v>598</v>
      </c>
      <c r="BG412" s="98">
        <v>0</v>
      </c>
      <c r="BH412" s="98">
        <v>370</v>
      </c>
      <c r="BI412" s="98">
        <v>5009</v>
      </c>
      <c r="BJ412" s="98"/>
      <c r="BK412" s="98"/>
      <c r="BL412" s="97"/>
    </row>
    <row r="413" spans="1:64" outlineLevel="5" x14ac:dyDescent="0.3">
      <c r="A413" s="152">
        <f t="shared" si="167"/>
        <v>12</v>
      </c>
      <c r="B413" s="153">
        <f t="shared" si="152"/>
        <v>44548</v>
      </c>
      <c r="C413" s="138">
        <f t="shared" si="172"/>
        <v>38</v>
      </c>
      <c r="D413" s="84">
        <v>38</v>
      </c>
      <c r="E413" s="84">
        <v>38</v>
      </c>
      <c r="F413" s="84"/>
      <c r="G413" s="84"/>
      <c r="H413" s="84"/>
      <c r="I413" s="84"/>
      <c r="J413" s="84"/>
      <c r="K413" s="84"/>
      <c r="L413" s="140" t="str">
        <f t="shared" si="173"/>
        <v/>
      </c>
      <c r="M413" s="86"/>
      <c r="N413" s="86"/>
      <c r="O413" s="86"/>
      <c r="P413" s="86"/>
      <c r="Q413" s="86"/>
      <c r="R413" s="86"/>
      <c r="S413" s="86"/>
      <c r="T413" s="86"/>
      <c r="U413" s="142" t="str">
        <f t="shared" si="174"/>
        <v/>
      </c>
      <c r="V413" s="88"/>
      <c r="W413" s="88"/>
      <c r="X413" s="88"/>
      <c r="Y413" s="88"/>
      <c r="Z413" s="88"/>
      <c r="AA413" s="88"/>
      <c r="AB413" s="88"/>
      <c r="AC413" s="88"/>
      <c r="AD413" s="142" t="str">
        <f t="shared" si="175"/>
        <v/>
      </c>
      <c r="AE413" s="88"/>
      <c r="AF413" s="88"/>
      <c r="AG413" s="88"/>
      <c r="AH413" s="88"/>
      <c r="AI413" s="88"/>
      <c r="AJ413" s="88"/>
      <c r="AK413" s="88"/>
      <c r="AL413" s="88"/>
      <c r="AM413" s="88">
        <v>51.038062283737027</v>
      </c>
      <c r="AN413" s="88">
        <v>92.47999999999999</v>
      </c>
      <c r="AO413" s="89"/>
      <c r="AP413" s="90"/>
      <c r="AQ413" s="146" t="str">
        <f t="shared" si="176"/>
        <v/>
      </c>
      <c r="AR413" s="146" t="str">
        <f t="shared" si="177"/>
        <v/>
      </c>
      <c r="AS413" s="147">
        <v>10</v>
      </c>
      <c r="AT413" s="148" t="s">
        <v>56</v>
      </c>
      <c r="AU413" s="149" t="s">
        <v>56</v>
      </c>
      <c r="AV413" s="146" t="str">
        <f t="shared" si="178"/>
        <v/>
      </c>
      <c r="AW413" s="146" t="str">
        <f t="shared" si="179"/>
        <v/>
      </c>
      <c r="AX413" s="138" t="str">
        <f t="shared" si="180"/>
        <v/>
      </c>
      <c r="AY413" s="95" t="s">
        <v>56</v>
      </c>
      <c r="AZ413" s="96" t="s">
        <v>56</v>
      </c>
      <c r="BA413" s="96"/>
      <c r="BB413" s="96" t="s">
        <v>56</v>
      </c>
      <c r="BC413" s="96"/>
      <c r="BD413" s="97">
        <v>92.47999999999999</v>
      </c>
      <c r="BE413" s="142">
        <f t="shared" si="181"/>
        <v>7687</v>
      </c>
      <c r="BF413" s="88">
        <v>736</v>
      </c>
      <c r="BG413" s="98">
        <v>0</v>
      </c>
      <c r="BH413" s="98">
        <v>2373</v>
      </c>
      <c r="BI413" s="98">
        <v>4578</v>
      </c>
      <c r="BJ413" s="98"/>
      <c r="BK413" s="98"/>
      <c r="BL413" s="97"/>
    </row>
    <row r="414" spans="1:64" outlineLevel="5" x14ac:dyDescent="0.3">
      <c r="A414" s="152">
        <f t="shared" si="167"/>
        <v>12</v>
      </c>
      <c r="B414" s="153">
        <f t="shared" si="152"/>
        <v>44549</v>
      </c>
      <c r="C414" s="138">
        <f t="shared" si="172"/>
        <v>38</v>
      </c>
      <c r="D414" s="84">
        <v>38</v>
      </c>
      <c r="E414" s="84">
        <v>38</v>
      </c>
      <c r="F414" s="84"/>
      <c r="G414" s="84"/>
      <c r="H414" s="84"/>
      <c r="I414" s="84"/>
      <c r="J414" s="84"/>
      <c r="K414" s="84"/>
      <c r="L414" s="140" t="str">
        <f t="shared" si="173"/>
        <v/>
      </c>
      <c r="M414" s="86"/>
      <c r="N414" s="86"/>
      <c r="O414" s="86"/>
      <c r="P414" s="86"/>
      <c r="Q414" s="86"/>
      <c r="R414" s="86"/>
      <c r="S414" s="86"/>
      <c r="T414" s="86"/>
      <c r="U414" s="142" t="str">
        <f t="shared" si="174"/>
        <v/>
      </c>
      <c r="V414" s="88"/>
      <c r="W414" s="88"/>
      <c r="X414" s="88"/>
      <c r="Y414" s="88"/>
      <c r="Z414" s="88"/>
      <c r="AA414" s="88"/>
      <c r="AB414" s="88"/>
      <c r="AC414" s="88"/>
      <c r="AD414" s="142" t="str">
        <f t="shared" si="175"/>
        <v/>
      </c>
      <c r="AE414" s="88"/>
      <c r="AF414" s="88"/>
      <c r="AG414" s="88"/>
      <c r="AH414" s="88"/>
      <c r="AI414" s="88"/>
      <c r="AJ414" s="88"/>
      <c r="AK414" s="88"/>
      <c r="AL414" s="88"/>
      <c r="AM414" s="88">
        <v>47.2</v>
      </c>
      <c r="AN414" s="88">
        <v>100</v>
      </c>
      <c r="AO414" s="89"/>
      <c r="AP414" s="90"/>
      <c r="AQ414" s="146" t="str">
        <f t="shared" si="176"/>
        <v/>
      </c>
      <c r="AR414" s="146" t="str">
        <f t="shared" si="177"/>
        <v/>
      </c>
      <c r="AS414" s="147">
        <v>10</v>
      </c>
      <c r="AT414" s="148" t="s">
        <v>56</v>
      </c>
      <c r="AU414" s="149" t="s">
        <v>56</v>
      </c>
      <c r="AV414" s="146" t="str">
        <f t="shared" si="178"/>
        <v/>
      </c>
      <c r="AW414" s="146" t="str">
        <f t="shared" si="179"/>
        <v/>
      </c>
      <c r="AX414" s="138" t="str">
        <f t="shared" si="180"/>
        <v/>
      </c>
      <c r="AY414" s="95" t="s">
        <v>56</v>
      </c>
      <c r="AZ414" s="96" t="s">
        <v>56</v>
      </c>
      <c r="BA414" s="96"/>
      <c r="BB414" s="96" t="s">
        <v>56</v>
      </c>
      <c r="BC414" s="96"/>
      <c r="BD414" s="97">
        <v>100</v>
      </c>
      <c r="BE414" s="142">
        <f t="shared" si="181"/>
        <v>5241</v>
      </c>
      <c r="BF414" s="88">
        <v>432</v>
      </c>
      <c r="BG414" s="98">
        <v>0</v>
      </c>
      <c r="BH414" s="98">
        <v>170</v>
      </c>
      <c r="BI414" s="98">
        <v>4639</v>
      </c>
      <c r="BJ414" s="98"/>
      <c r="BK414" s="98"/>
      <c r="BL414" s="97"/>
    </row>
    <row r="415" spans="1:64" outlineLevel="5" x14ac:dyDescent="0.3">
      <c r="A415" s="152">
        <f t="shared" si="167"/>
        <v>12</v>
      </c>
      <c r="B415" s="153">
        <f t="shared" si="152"/>
        <v>44550</v>
      </c>
      <c r="C415" s="138">
        <f t="shared" si="172"/>
        <v>37.5</v>
      </c>
      <c r="D415" s="84">
        <v>38</v>
      </c>
      <c r="E415" s="84">
        <v>37</v>
      </c>
      <c r="F415" s="84"/>
      <c r="G415" s="84"/>
      <c r="H415" s="84"/>
      <c r="I415" s="84"/>
      <c r="J415" s="84"/>
      <c r="K415" s="84"/>
      <c r="L415" s="140">
        <f t="shared" si="173"/>
        <v>7.6</v>
      </c>
      <c r="M415" s="86">
        <v>7.62</v>
      </c>
      <c r="N415" s="86">
        <v>7.56</v>
      </c>
      <c r="O415" s="86"/>
      <c r="P415" s="86"/>
      <c r="Q415" s="86"/>
      <c r="R415" s="86"/>
      <c r="S415" s="86"/>
      <c r="T415" s="86"/>
      <c r="U415" s="142">
        <f t="shared" si="174"/>
        <v>1550</v>
      </c>
      <c r="V415" s="88">
        <v>1710</v>
      </c>
      <c r="W415" s="88">
        <v>1390</v>
      </c>
      <c r="X415" s="88"/>
      <c r="Y415" s="88"/>
      <c r="Z415" s="88"/>
      <c r="AA415" s="88"/>
      <c r="AB415" s="88"/>
      <c r="AC415" s="88"/>
      <c r="AD415" s="142" t="str">
        <f t="shared" si="175"/>
        <v/>
      </c>
      <c r="AE415" s="88"/>
      <c r="AF415" s="88"/>
      <c r="AG415" s="88"/>
      <c r="AH415" s="88"/>
      <c r="AI415" s="88"/>
      <c r="AJ415" s="88"/>
      <c r="AK415" s="88"/>
      <c r="AL415" s="88"/>
      <c r="AM415" s="88">
        <v>43.394318286292176</v>
      </c>
      <c r="AN415" s="88">
        <v>108.77</v>
      </c>
      <c r="AO415" s="89">
        <v>21</v>
      </c>
      <c r="AP415" s="90">
        <v>17.934000000000001</v>
      </c>
      <c r="AQ415" s="146">
        <f t="shared" si="176"/>
        <v>85.4</v>
      </c>
      <c r="AR415" s="146">
        <f t="shared" si="177"/>
        <v>14.599999999999994</v>
      </c>
      <c r="AS415" s="147">
        <v>40</v>
      </c>
      <c r="AT415" s="148">
        <v>16.100000000000001</v>
      </c>
      <c r="AU415" s="149">
        <v>9.65</v>
      </c>
      <c r="AV415" s="146">
        <f t="shared" si="178"/>
        <v>59.937888198757761</v>
      </c>
      <c r="AW415" s="146">
        <f t="shared" si="179"/>
        <v>40.062111801242239</v>
      </c>
      <c r="AX415" s="138">
        <f t="shared" si="180"/>
        <v>74.422235535464679</v>
      </c>
      <c r="AY415" s="95">
        <v>75.5</v>
      </c>
      <c r="AZ415" s="96">
        <v>58.89</v>
      </c>
      <c r="BA415" s="96"/>
      <c r="BB415" s="96">
        <v>41</v>
      </c>
      <c r="BC415" s="96"/>
      <c r="BD415" s="97">
        <v>108.77</v>
      </c>
      <c r="BE415" s="142">
        <f t="shared" si="181"/>
        <v>5150</v>
      </c>
      <c r="BF415" s="88">
        <v>220</v>
      </c>
      <c r="BG415" s="98">
        <v>0</v>
      </c>
      <c r="BH415" s="98">
        <v>0</v>
      </c>
      <c r="BI415" s="98">
        <v>4930</v>
      </c>
      <c r="BJ415" s="98"/>
      <c r="BK415" s="98"/>
      <c r="BL415" s="97"/>
    </row>
    <row r="416" spans="1:64" outlineLevel="5" x14ac:dyDescent="0.3">
      <c r="A416" s="152">
        <f t="shared" si="167"/>
        <v>12</v>
      </c>
      <c r="B416" s="153">
        <f t="shared" ref="B416:B426" si="182">B415+1</f>
        <v>44551</v>
      </c>
      <c r="C416" s="138">
        <f t="shared" si="172"/>
        <v>37.5</v>
      </c>
      <c r="D416" s="84">
        <v>38</v>
      </c>
      <c r="E416" s="84">
        <v>37</v>
      </c>
      <c r="F416" s="84"/>
      <c r="G416" s="84"/>
      <c r="H416" s="84"/>
      <c r="I416" s="84"/>
      <c r="J416" s="84"/>
      <c r="K416" s="84"/>
      <c r="L416" s="140">
        <f t="shared" si="173"/>
        <v>7.6</v>
      </c>
      <c r="M416" s="86">
        <v>7.61</v>
      </c>
      <c r="N416" s="86">
        <v>7.51</v>
      </c>
      <c r="O416" s="86"/>
      <c r="P416" s="86"/>
      <c r="Q416" s="86"/>
      <c r="R416" s="86"/>
      <c r="S416" s="86"/>
      <c r="T416" s="86"/>
      <c r="U416" s="142">
        <f t="shared" si="174"/>
        <v>1572.5</v>
      </c>
      <c r="V416" s="88">
        <v>1656</v>
      </c>
      <c r="W416" s="88">
        <v>1489</v>
      </c>
      <c r="X416" s="88"/>
      <c r="Y416" s="88"/>
      <c r="Z416" s="88"/>
      <c r="AA416" s="88"/>
      <c r="AB416" s="88"/>
      <c r="AC416" s="88"/>
      <c r="AD416" s="142" t="str">
        <f t="shared" si="175"/>
        <v/>
      </c>
      <c r="AE416" s="88"/>
      <c r="AF416" s="88"/>
      <c r="AG416" s="88"/>
      <c r="AH416" s="88"/>
      <c r="AI416" s="88"/>
      <c r="AJ416" s="88"/>
      <c r="AK416" s="88"/>
      <c r="AL416" s="88"/>
      <c r="AM416" s="88">
        <v>38.911788953009072</v>
      </c>
      <c r="AN416" s="88">
        <v>121.3</v>
      </c>
      <c r="AO416" s="89" t="s">
        <v>56</v>
      </c>
      <c r="AP416" s="90" t="s">
        <v>56</v>
      </c>
      <c r="AQ416" s="146" t="str">
        <f t="shared" si="176"/>
        <v/>
      </c>
      <c r="AR416" s="146" t="str">
        <f t="shared" si="177"/>
        <v/>
      </c>
      <c r="AS416" s="147">
        <v>40</v>
      </c>
      <c r="AT416" s="148" t="s">
        <v>56</v>
      </c>
      <c r="AU416" s="149" t="s">
        <v>56</v>
      </c>
      <c r="AV416" s="146" t="str">
        <f t="shared" si="178"/>
        <v/>
      </c>
      <c r="AW416" s="146" t="str">
        <f t="shared" si="179"/>
        <v/>
      </c>
      <c r="AX416" s="138" t="str">
        <f t="shared" si="180"/>
        <v/>
      </c>
      <c r="AY416" s="95" t="s">
        <v>56</v>
      </c>
      <c r="AZ416" s="96">
        <v>59.364999999999995</v>
      </c>
      <c r="BA416" s="96"/>
      <c r="BB416" s="96">
        <v>54</v>
      </c>
      <c r="BC416" s="96"/>
      <c r="BD416" s="97">
        <v>121.3</v>
      </c>
      <c r="BE416" s="142">
        <f t="shared" si="181"/>
        <v>7072</v>
      </c>
      <c r="BF416" s="88">
        <v>225</v>
      </c>
      <c r="BG416" s="98">
        <v>85</v>
      </c>
      <c r="BH416" s="98">
        <v>1361</v>
      </c>
      <c r="BI416" s="98">
        <v>5401</v>
      </c>
      <c r="BJ416" s="98"/>
      <c r="BK416" s="98"/>
      <c r="BL416" s="97"/>
    </row>
    <row r="417" spans="1:64" outlineLevel="5" x14ac:dyDescent="0.3">
      <c r="A417" s="152">
        <f t="shared" si="167"/>
        <v>12</v>
      </c>
      <c r="B417" s="153">
        <f t="shared" si="182"/>
        <v>44552</v>
      </c>
      <c r="C417" s="138">
        <f t="shared" si="172"/>
        <v>36.5</v>
      </c>
      <c r="D417" s="84">
        <v>37</v>
      </c>
      <c r="E417" s="84">
        <v>36</v>
      </c>
      <c r="F417" s="84"/>
      <c r="G417" s="84"/>
      <c r="H417" s="84"/>
      <c r="I417" s="84"/>
      <c r="J417" s="84"/>
      <c r="K417" s="84"/>
      <c r="L417" s="140">
        <f t="shared" si="173"/>
        <v>7.6</v>
      </c>
      <c r="M417" s="86">
        <v>7.68</v>
      </c>
      <c r="N417" s="86">
        <v>7.57</v>
      </c>
      <c r="O417" s="86"/>
      <c r="P417" s="86"/>
      <c r="Q417" s="86"/>
      <c r="R417" s="86"/>
      <c r="S417" s="86"/>
      <c r="T417" s="86"/>
      <c r="U417" s="142">
        <f t="shared" si="174"/>
        <v>1831.5</v>
      </c>
      <c r="V417" s="88">
        <v>1929</v>
      </c>
      <c r="W417" s="88">
        <v>1734</v>
      </c>
      <c r="X417" s="88"/>
      <c r="Y417" s="88"/>
      <c r="Z417" s="88"/>
      <c r="AA417" s="88"/>
      <c r="AB417" s="88"/>
      <c r="AC417" s="88"/>
      <c r="AD417" s="142" t="str">
        <f t="shared" si="175"/>
        <v/>
      </c>
      <c r="AE417" s="88"/>
      <c r="AF417" s="88"/>
      <c r="AG417" s="88"/>
      <c r="AH417" s="88"/>
      <c r="AI417" s="88"/>
      <c r="AJ417" s="88"/>
      <c r="AK417" s="88"/>
      <c r="AL417" s="88"/>
      <c r="AM417" s="88">
        <v>39.848037146475306</v>
      </c>
      <c r="AN417" s="88">
        <v>118.45</v>
      </c>
      <c r="AO417" s="89" t="s">
        <v>56</v>
      </c>
      <c r="AP417" s="90" t="s">
        <v>56</v>
      </c>
      <c r="AQ417" s="146" t="str">
        <f t="shared" si="176"/>
        <v/>
      </c>
      <c r="AR417" s="146" t="str">
        <f t="shared" si="177"/>
        <v/>
      </c>
      <c r="AS417" s="147">
        <v>40</v>
      </c>
      <c r="AT417" s="148">
        <v>16</v>
      </c>
      <c r="AU417" s="149">
        <v>9.1000000000000014</v>
      </c>
      <c r="AV417" s="146">
        <f t="shared" si="178"/>
        <v>56.875000000000007</v>
      </c>
      <c r="AW417" s="146">
        <f t="shared" si="179"/>
        <v>43.124999999999993</v>
      </c>
      <c r="AX417" s="138" t="str">
        <f t="shared" si="180"/>
        <v/>
      </c>
      <c r="AY417" s="95">
        <v>75.8</v>
      </c>
      <c r="AZ417" s="96">
        <v>56.58</v>
      </c>
      <c r="BA417" s="96"/>
      <c r="BB417" s="96">
        <v>39</v>
      </c>
      <c r="BC417" s="96"/>
      <c r="BD417" s="97">
        <v>118.45</v>
      </c>
      <c r="BE417" s="142">
        <f t="shared" si="181"/>
        <v>8685</v>
      </c>
      <c r="BF417" s="88">
        <v>362</v>
      </c>
      <c r="BG417" s="98">
        <v>0</v>
      </c>
      <c r="BH417" s="98">
        <v>2904</v>
      </c>
      <c r="BI417" s="98">
        <v>5419</v>
      </c>
      <c r="BJ417" s="98"/>
      <c r="BK417" s="98"/>
      <c r="BL417" s="97"/>
    </row>
    <row r="418" spans="1:64" outlineLevel="5" x14ac:dyDescent="0.3">
      <c r="A418" s="152">
        <f t="shared" si="167"/>
        <v>12</v>
      </c>
      <c r="B418" s="153">
        <f t="shared" si="182"/>
        <v>44553</v>
      </c>
      <c r="C418" s="138">
        <f t="shared" si="172"/>
        <v>35</v>
      </c>
      <c r="D418" s="84">
        <v>35</v>
      </c>
      <c r="E418" s="84">
        <v>35</v>
      </c>
      <c r="F418" s="84"/>
      <c r="G418" s="84"/>
      <c r="H418" s="84"/>
      <c r="I418" s="84"/>
      <c r="J418" s="84"/>
      <c r="K418" s="84"/>
      <c r="L418" s="140">
        <f t="shared" si="173"/>
        <v>7.6</v>
      </c>
      <c r="M418" s="86">
        <v>7.62</v>
      </c>
      <c r="N418" s="86">
        <v>7.5</v>
      </c>
      <c r="O418" s="86"/>
      <c r="P418" s="86"/>
      <c r="Q418" s="86"/>
      <c r="R418" s="86"/>
      <c r="S418" s="86"/>
      <c r="T418" s="86"/>
      <c r="U418" s="142">
        <f t="shared" si="174"/>
        <v>1577.5</v>
      </c>
      <c r="V418" s="88">
        <v>1635</v>
      </c>
      <c r="W418" s="88">
        <v>1520</v>
      </c>
      <c r="X418" s="88"/>
      <c r="Y418" s="88"/>
      <c r="Z418" s="88"/>
      <c r="AA418" s="88"/>
      <c r="AB418" s="88"/>
      <c r="AC418" s="88"/>
      <c r="AD418" s="142" t="str">
        <f t="shared" si="175"/>
        <v/>
      </c>
      <c r="AE418" s="88"/>
      <c r="AF418" s="88"/>
      <c r="AG418" s="88"/>
      <c r="AH418" s="88"/>
      <c r="AI418" s="88"/>
      <c r="AJ418" s="88"/>
      <c r="AK418" s="88"/>
      <c r="AL418" s="88"/>
      <c r="AM418" s="88">
        <v>39.560807979213813</v>
      </c>
      <c r="AN418" s="88">
        <v>119.31</v>
      </c>
      <c r="AO418" s="89" t="s">
        <v>56</v>
      </c>
      <c r="AP418" s="90" t="s">
        <v>56</v>
      </c>
      <c r="AQ418" s="146" t="str">
        <f t="shared" si="176"/>
        <v/>
      </c>
      <c r="AR418" s="146" t="str">
        <f t="shared" si="177"/>
        <v/>
      </c>
      <c r="AS418" s="147">
        <v>40</v>
      </c>
      <c r="AT418" s="148">
        <v>15.75</v>
      </c>
      <c r="AU418" s="149">
        <v>9.25</v>
      </c>
      <c r="AV418" s="146">
        <f t="shared" si="178"/>
        <v>58.730158730158735</v>
      </c>
      <c r="AW418" s="146">
        <f t="shared" si="179"/>
        <v>41.269841269841265</v>
      </c>
      <c r="AX418" s="138" t="str">
        <f t="shared" si="180"/>
        <v/>
      </c>
      <c r="AY418" s="95">
        <v>71.75</v>
      </c>
      <c r="AZ418" s="96">
        <v>58.774999999999999</v>
      </c>
      <c r="BA418" s="96"/>
      <c r="BB418" s="96">
        <v>47</v>
      </c>
      <c r="BC418" s="96"/>
      <c r="BD418" s="97">
        <v>119.31</v>
      </c>
      <c r="BE418" s="142">
        <f t="shared" si="181"/>
        <v>9206</v>
      </c>
      <c r="BF418" s="88">
        <v>613</v>
      </c>
      <c r="BG418" s="98">
        <v>0</v>
      </c>
      <c r="BH418" s="98">
        <v>3343</v>
      </c>
      <c r="BI418" s="98">
        <v>5250</v>
      </c>
      <c r="BJ418" s="98"/>
      <c r="BK418" s="98"/>
      <c r="BL418" s="97"/>
    </row>
    <row r="419" spans="1:64" outlineLevel="5" x14ac:dyDescent="0.3">
      <c r="A419" s="152">
        <f t="shared" si="167"/>
        <v>12</v>
      </c>
      <c r="B419" s="153">
        <f t="shared" si="182"/>
        <v>44554</v>
      </c>
      <c r="C419" s="138">
        <f t="shared" si="172"/>
        <v>36</v>
      </c>
      <c r="D419" s="84">
        <v>36</v>
      </c>
      <c r="E419" s="84">
        <v>36</v>
      </c>
      <c r="F419" s="84"/>
      <c r="G419" s="84"/>
      <c r="H419" s="84"/>
      <c r="I419" s="84"/>
      <c r="J419" s="84"/>
      <c r="K419" s="84"/>
      <c r="L419" s="140">
        <f t="shared" si="173"/>
        <v>7.7</v>
      </c>
      <c r="M419" s="86">
        <v>7.76</v>
      </c>
      <c r="N419" s="86">
        <v>7.59</v>
      </c>
      <c r="O419" s="86"/>
      <c r="P419" s="86"/>
      <c r="Q419" s="86"/>
      <c r="R419" s="86"/>
      <c r="S419" s="86"/>
      <c r="T419" s="86"/>
      <c r="U419" s="142">
        <f t="shared" si="174"/>
        <v>1750</v>
      </c>
      <c r="V419" s="88">
        <v>1850</v>
      </c>
      <c r="W419" s="88">
        <v>1650</v>
      </c>
      <c r="X419" s="88"/>
      <c r="Y419" s="88"/>
      <c r="Z419" s="88"/>
      <c r="AA419" s="88"/>
      <c r="AB419" s="88"/>
      <c r="AC419" s="88"/>
      <c r="AD419" s="142" t="str">
        <f t="shared" si="175"/>
        <v/>
      </c>
      <c r="AE419" s="88"/>
      <c r="AF419" s="88"/>
      <c r="AG419" s="88"/>
      <c r="AH419" s="88"/>
      <c r="AI419" s="88"/>
      <c r="AJ419" s="88"/>
      <c r="AK419" s="88"/>
      <c r="AL419" s="88"/>
      <c r="AM419" s="88">
        <v>41.68506579528394</v>
      </c>
      <c r="AN419" s="88">
        <v>113.22999999999999</v>
      </c>
      <c r="AO419" s="89" t="s">
        <v>56</v>
      </c>
      <c r="AP419" s="90" t="s">
        <v>56</v>
      </c>
      <c r="AQ419" s="146" t="str">
        <f t="shared" si="176"/>
        <v/>
      </c>
      <c r="AR419" s="146" t="str">
        <f t="shared" si="177"/>
        <v/>
      </c>
      <c r="AS419" s="147">
        <v>40</v>
      </c>
      <c r="AT419" s="148" t="s">
        <v>56</v>
      </c>
      <c r="AU419" s="149" t="s">
        <v>56</v>
      </c>
      <c r="AV419" s="146" t="str">
        <f t="shared" si="178"/>
        <v/>
      </c>
      <c r="AW419" s="146" t="str">
        <f t="shared" si="179"/>
        <v/>
      </c>
      <c r="AX419" s="138" t="str">
        <f t="shared" si="180"/>
        <v/>
      </c>
      <c r="AY419" s="95" t="s">
        <v>56</v>
      </c>
      <c r="AZ419" s="96" t="s">
        <v>56</v>
      </c>
      <c r="BA419" s="96"/>
      <c r="BB419" s="96" t="s">
        <v>56</v>
      </c>
      <c r="BC419" s="96"/>
      <c r="BD419" s="97">
        <v>113.22999999999999</v>
      </c>
      <c r="BE419" s="142">
        <f t="shared" si="181"/>
        <v>12476</v>
      </c>
      <c r="BF419" s="88">
        <v>718</v>
      </c>
      <c r="BG419" s="98">
        <v>0</v>
      </c>
      <c r="BH419" s="98">
        <v>6687</v>
      </c>
      <c r="BI419" s="98">
        <v>5071</v>
      </c>
      <c r="BJ419" s="98"/>
      <c r="BK419" s="98"/>
      <c r="BL419" s="97"/>
    </row>
    <row r="420" spans="1:64" outlineLevel="5" x14ac:dyDescent="0.3">
      <c r="A420" s="152">
        <f t="shared" si="167"/>
        <v>12</v>
      </c>
      <c r="B420" s="153">
        <f t="shared" si="182"/>
        <v>44555</v>
      </c>
      <c r="C420" s="138">
        <f t="shared" si="172"/>
        <v>37</v>
      </c>
      <c r="D420" s="84">
        <v>37</v>
      </c>
      <c r="E420" s="84">
        <v>37</v>
      </c>
      <c r="F420" s="84"/>
      <c r="G420" s="84"/>
      <c r="H420" s="84"/>
      <c r="I420" s="84"/>
      <c r="J420" s="84"/>
      <c r="K420" s="84"/>
      <c r="L420" s="140" t="str">
        <f t="shared" si="173"/>
        <v/>
      </c>
      <c r="M420" s="86"/>
      <c r="N420" s="86"/>
      <c r="O420" s="86"/>
      <c r="P420" s="86"/>
      <c r="Q420" s="86"/>
      <c r="R420" s="86"/>
      <c r="S420" s="86"/>
      <c r="T420" s="86"/>
      <c r="U420" s="142" t="str">
        <f t="shared" si="174"/>
        <v/>
      </c>
      <c r="V420" s="88"/>
      <c r="W420" s="88"/>
      <c r="X420" s="88"/>
      <c r="Y420" s="88"/>
      <c r="Z420" s="88"/>
      <c r="AA420" s="88"/>
      <c r="AB420" s="88"/>
      <c r="AC420" s="88"/>
      <c r="AD420" s="142" t="str">
        <f t="shared" si="175"/>
        <v/>
      </c>
      <c r="AE420" s="88"/>
      <c r="AF420" s="88"/>
      <c r="AG420" s="88"/>
      <c r="AH420" s="88"/>
      <c r="AI420" s="88"/>
      <c r="AJ420" s="88"/>
      <c r="AK420" s="88"/>
      <c r="AL420" s="88"/>
      <c r="AM420" s="88">
        <v>40.833982178389135</v>
      </c>
      <c r="AN420" s="88">
        <v>115.59</v>
      </c>
      <c r="AO420" s="89"/>
      <c r="AP420" s="90"/>
      <c r="AQ420" s="146" t="str">
        <f t="shared" si="176"/>
        <v/>
      </c>
      <c r="AR420" s="146" t="str">
        <f t="shared" si="177"/>
        <v/>
      </c>
      <c r="AS420" s="147">
        <v>0</v>
      </c>
      <c r="AT420" s="148" t="s">
        <v>56</v>
      </c>
      <c r="AU420" s="149" t="s">
        <v>56</v>
      </c>
      <c r="AV420" s="146" t="str">
        <f t="shared" si="178"/>
        <v/>
      </c>
      <c r="AW420" s="146" t="str">
        <f t="shared" si="179"/>
        <v/>
      </c>
      <c r="AX420" s="138" t="str">
        <f t="shared" si="180"/>
        <v/>
      </c>
      <c r="AY420" s="95" t="s">
        <v>56</v>
      </c>
      <c r="AZ420" s="96" t="s">
        <v>56</v>
      </c>
      <c r="BA420" s="96"/>
      <c r="BB420" s="96" t="s">
        <v>56</v>
      </c>
      <c r="BC420" s="96"/>
      <c r="BD420" s="97">
        <v>115.59</v>
      </c>
      <c r="BE420" s="142">
        <f t="shared" si="181"/>
        <v>5212</v>
      </c>
      <c r="BF420" s="88">
        <v>752</v>
      </c>
      <c r="BG420" s="98">
        <v>0</v>
      </c>
      <c r="BH420" s="98">
        <v>0</v>
      </c>
      <c r="BI420" s="98">
        <v>4460</v>
      </c>
      <c r="BJ420" s="98"/>
      <c r="BK420" s="98"/>
      <c r="BL420" s="97"/>
    </row>
    <row r="421" spans="1:64" outlineLevel="5" x14ac:dyDescent="0.3">
      <c r="A421" s="152">
        <f t="shared" si="167"/>
        <v>12</v>
      </c>
      <c r="B421" s="153">
        <f t="shared" si="182"/>
        <v>44556</v>
      </c>
      <c r="C421" s="138">
        <f t="shared" si="172"/>
        <v>37</v>
      </c>
      <c r="D421" s="84">
        <v>37</v>
      </c>
      <c r="E421" s="84">
        <v>37</v>
      </c>
      <c r="F421" s="84"/>
      <c r="G421" s="84"/>
      <c r="H421" s="84"/>
      <c r="I421" s="84"/>
      <c r="J421" s="84"/>
      <c r="K421" s="84"/>
      <c r="L421" s="140" t="str">
        <f t="shared" si="173"/>
        <v/>
      </c>
      <c r="M421" s="86"/>
      <c r="N421" s="86"/>
      <c r="O421" s="86"/>
      <c r="P421" s="86"/>
      <c r="Q421" s="86"/>
      <c r="R421" s="86"/>
      <c r="S421" s="86"/>
      <c r="T421" s="86"/>
      <c r="U421" s="142" t="str">
        <f t="shared" si="174"/>
        <v/>
      </c>
      <c r="V421" s="88"/>
      <c r="W421" s="88"/>
      <c r="X421" s="88"/>
      <c r="Y421" s="88"/>
      <c r="Z421" s="88"/>
      <c r="AA421" s="88"/>
      <c r="AB421" s="88"/>
      <c r="AC421" s="88"/>
      <c r="AD421" s="142" t="str">
        <f t="shared" si="175"/>
        <v/>
      </c>
      <c r="AE421" s="88"/>
      <c r="AF421" s="88"/>
      <c r="AG421" s="88"/>
      <c r="AH421" s="88"/>
      <c r="AI421" s="88"/>
      <c r="AJ421" s="88"/>
      <c r="AK421" s="88"/>
      <c r="AL421" s="88"/>
      <c r="AM421" s="88">
        <v>47.2</v>
      </c>
      <c r="AN421" s="88">
        <v>100</v>
      </c>
      <c r="AO421" s="89"/>
      <c r="AP421" s="90"/>
      <c r="AQ421" s="146" t="str">
        <f t="shared" si="176"/>
        <v/>
      </c>
      <c r="AR421" s="146" t="str">
        <f t="shared" si="177"/>
        <v/>
      </c>
      <c r="AS421" s="147">
        <v>0</v>
      </c>
      <c r="AT421" s="148" t="s">
        <v>56</v>
      </c>
      <c r="AU421" s="149" t="s">
        <v>56</v>
      </c>
      <c r="AV421" s="146" t="str">
        <f t="shared" si="178"/>
        <v/>
      </c>
      <c r="AW421" s="146" t="str">
        <f t="shared" si="179"/>
        <v/>
      </c>
      <c r="AX421" s="138" t="str">
        <f t="shared" si="180"/>
        <v/>
      </c>
      <c r="AY421" s="95" t="s">
        <v>56</v>
      </c>
      <c r="AZ421" s="96" t="s">
        <v>56</v>
      </c>
      <c r="BA421" s="96"/>
      <c r="BB421" s="96" t="s">
        <v>56</v>
      </c>
      <c r="BC421" s="96"/>
      <c r="BD421" s="97">
        <v>100</v>
      </c>
      <c r="BE421" s="142">
        <f t="shared" si="181"/>
        <v>4788</v>
      </c>
      <c r="BF421" s="88">
        <v>487</v>
      </c>
      <c r="BG421" s="98">
        <v>0</v>
      </c>
      <c r="BH421" s="98">
        <v>0</v>
      </c>
      <c r="BI421" s="98">
        <v>4301</v>
      </c>
      <c r="BJ421" s="98"/>
      <c r="BK421" s="98"/>
      <c r="BL421" s="97"/>
    </row>
    <row r="422" spans="1:64" outlineLevel="5" x14ac:dyDescent="0.3">
      <c r="A422" s="152">
        <f t="shared" si="167"/>
        <v>12</v>
      </c>
      <c r="B422" s="153">
        <f t="shared" si="182"/>
        <v>44557</v>
      </c>
      <c r="C422" s="138">
        <f t="shared" si="172"/>
        <v>35</v>
      </c>
      <c r="D422" s="84">
        <v>35</v>
      </c>
      <c r="E422" s="84">
        <v>35</v>
      </c>
      <c r="F422" s="84"/>
      <c r="G422" s="84"/>
      <c r="H422" s="84"/>
      <c r="I422" s="84"/>
      <c r="J422" s="84"/>
      <c r="K422" s="84"/>
      <c r="L422" s="140">
        <f t="shared" si="173"/>
        <v>7.7</v>
      </c>
      <c r="M422" s="86">
        <v>7.71</v>
      </c>
      <c r="N422" s="86">
        <v>7.6</v>
      </c>
      <c r="O422" s="86"/>
      <c r="P422" s="86"/>
      <c r="Q422" s="86"/>
      <c r="R422" s="86"/>
      <c r="S422" s="86"/>
      <c r="T422" s="86"/>
      <c r="U422" s="142">
        <f t="shared" si="174"/>
        <v>1640</v>
      </c>
      <c r="V422" s="88">
        <v>1750</v>
      </c>
      <c r="W422" s="88">
        <v>1530</v>
      </c>
      <c r="X422" s="88"/>
      <c r="Y422" s="88"/>
      <c r="Z422" s="88"/>
      <c r="AA422" s="88"/>
      <c r="AB422" s="88"/>
      <c r="AC422" s="88"/>
      <c r="AD422" s="142" t="str">
        <f t="shared" si="175"/>
        <v/>
      </c>
      <c r="AE422" s="88"/>
      <c r="AF422" s="88"/>
      <c r="AG422" s="88"/>
      <c r="AH422" s="88"/>
      <c r="AI422" s="88"/>
      <c r="AJ422" s="88"/>
      <c r="AK422" s="88"/>
      <c r="AL422" s="88"/>
      <c r="AM422" s="88">
        <v>46.909163188232952</v>
      </c>
      <c r="AN422" s="88">
        <v>100.62</v>
      </c>
      <c r="AO422" s="89">
        <v>16.8</v>
      </c>
      <c r="AP422" s="90">
        <v>14.380799999999999</v>
      </c>
      <c r="AQ422" s="146">
        <f t="shared" si="176"/>
        <v>85.6</v>
      </c>
      <c r="AR422" s="146">
        <f t="shared" si="177"/>
        <v>14.400000000000006</v>
      </c>
      <c r="AS422" s="147">
        <v>40</v>
      </c>
      <c r="AT422" s="148">
        <v>16.95</v>
      </c>
      <c r="AU422" s="149">
        <v>9.15</v>
      </c>
      <c r="AV422" s="146">
        <f t="shared" si="178"/>
        <v>53.982300884955755</v>
      </c>
      <c r="AW422" s="146">
        <f t="shared" si="179"/>
        <v>46.017699115044245</v>
      </c>
      <c r="AX422" s="138">
        <f t="shared" si="180"/>
        <v>80.265995686556423</v>
      </c>
      <c r="AY422" s="95">
        <v>70.55</v>
      </c>
      <c r="AZ422" s="96">
        <v>58.774999999999999</v>
      </c>
      <c r="BA422" s="96"/>
      <c r="BB422" s="96">
        <v>52</v>
      </c>
      <c r="BC422" s="96"/>
      <c r="BD422" s="97">
        <v>100.62</v>
      </c>
      <c r="BE422" s="142">
        <f t="shared" si="181"/>
        <v>6207</v>
      </c>
      <c r="BF422" s="88">
        <v>1000</v>
      </c>
      <c r="BG422" s="98">
        <v>0</v>
      </c>
      <c r="BH422" s="98">
        <v>830</v>
      </c>
      <c r="BI422" s="98">
        <v>4377</v>
      </c>
      <c r="BJ422" s="98"/>
      <c r="BK422" s="98"/>
      <c r="BL422" s="97"/>
    </row>
    <row r="423" spans="1:64" outlineLevel="5" x14ac:dyDescent="0.3">
      <c r="A423" s="152">
        <f t="shared" si="167"/>
        <v>12</v>
      </c>
      <c r="B423" s="153">
        <f t="shared" si="182"/>
        <v>44558</v>
      </c>
      <c r="C423" s="138">
        <f t="shared" si="172"/>
        <v>36</v>
      </c>
      <c r="D423" s="84">
        <v>36</v>
      </c>
      <c r="E423" s="84">
        <v>36</v>
      </c>
      <c r="F423" s="84"/>
      <c r="G423" s="84"/>
      <c r="H423" s="84"/>
      <c r="I423" s="84"/>
      <c r="J423" s="84"/>
      <c r="K423" s="84"/>
      <c r="L423" s="140">
        <f t="shared" si="173"/>
        <v>7.6</v>
      </c>
      <c r="M423" s="86">
        <v>7.69</v>
      </c>
      <c r="N423" s="86">
        <v>7.58</v>
      </c>
      <c r="O423" s="86"/>
      <c r="P423" s="86"/>
      <c r="Q423" s="86"/>
      <c r="R423" s="86"/>
      <c r="S423" s="86"/>
      <c r="T423" s="86"/>
      <c r="U423" s="142">
        <f t="shared" si="174"/>
        <v>1614</v>
      </c>
      <c r="V423" s="88">
        <v>1698</v>
      </c>
      <c r="W423" s="88">
        <v>1530</v>
      </c>
      <c r="X423" s="88"/>
      <c r="Y423" s="88"/>
      <c r="Z423" s="88"/>
      <c r="AA423" s="88"/>
      <c r="AB423" s="88"/>
      <c r="AC423" s="88"/>
      <c r="AD423" s="142" t="str">
        <f t="shared" si="175"/>
        <v/>
      </c>
      <c r="AE423" s="88"/>
      <c r="AF423" s="88"/>
      <c r="AG423" s="88"/>
      <c r="AH423" s="88"/>
      <c r="AI423" s="88"/>
      <c r="AJ423" s="88"/>
      <c r="AK423" s="88"/>
      <c r="AL423" s="88"/>
      <c r="AM423" s="88">
        <v>46.890522551162327</v>
      </c>
      <c r="AN423" s="88">
        <v>100.66</v>
      </c>
      <c r="AO423" s="89" t="s">
        <v>56</v>
      </c>
      <c r="AP423" s="90"/>
      <c r="AQ423" s="146" t="str">
        <f t="shared" si="176"/>
        <v/>
      </c>
      <c r="AR423" s="146" t="str">
        <f t="shared" si="177"/>
        <v/>
      </c>
      <c r="AS423" s="147">
        <v>40</v>
      </c>
      <c r="AT423" s="148" t="s">
        <v>56</v>
      </c>
      <c r="AU423" s="149" t="s">
        <v>56</v>
      </c>
      <c r="AV423" s="146" t="str">
        <f t="shared" si="178"/>
        <v/>
      </c>
      <c r="AW423" s="146" t="str">
        <f t="shared" si="179"/>
        <v/>
      </c>
      <c r="AX423" s="138" t="str">
        <f t="shared" si="180"/>
        <v/>
      </c>
      <c r="AY423" s="95" t="s">
        <v>56</v>
      </c>
      <c r="AZ423" s="96">
        <v>59.144999999999996</v>
      </c>
      <c r="BA423" s="96"/>
      <c r="BB423" s="96">
        <v>44.5</v>
      </c>
      <c r="BC423" s="96"/>
      <c r="BD423" s="97">
        <v>100.66</v>
      </c>
      <c r="BE423" s="142">
        <f t="shared" si="181"/>
        <v>9780</v>
      </c>
      <c r="BF423" s="88">
        <v>970</v>
      </c>
      <c r="BG423" s="98">
        <v>0</v>
      </c>
      <c r="BH423" s="98">
        <v>3828</v>
      </c>
      <c r="BI423" s="98">
        <v>4982</v>
      </c>
      <c r="BJ423" s="98"/>
      <c r="BK423" s="98"/>
      <c r="BL423" s="97"/>
    </row>
    <row r="424" spans="1:64" outlineLevel="5" x14ac:dyDescent="0.3">
      <c r="A424" s="152">
        <f t="shared" si="167"/>
        <v>12</v>
      </c>
      <c r="B424" s="153">
        <f t="shared" si="182"/>
        <v>44559</v>
      </c>
      <c r="C424" s="138">
        <f t="shared" si="172"/>
        <v>38</v>
      </c>
      <c r="D424" s="84">
        <v>39</v>
      </c>
      <c r="E424" s="84">
        <v>37</v>
      </c>
      <c r="F424" s="84"/>
      <c r="G424" s="84"/>
      <c r="H424" s="84"/>
      <c r="I424" s="84"/>
      <c r="J424" s="84"/>
      <c r="K424" s="84"/>
      <c r="L424" s="140">
        <f t="shared" si="173"/>
        <v>7.6</v>
      </c>
      <c r="M424" s="86">
        <v>7.78</v>
      </c>
      <c r="N424" s="86">
        <v>7.51</v>
      </c>
      <c r="O424" s="86"/>
      <c r="P424" s="86"/>
      <c r="Q424" s="86"/>
      <c r="R424" s="86"/>
      <c r="S424" s="86"/>
      <c r="T424" s="86"/>
      <c r="U424" s="142">
        <f t="shared" si="174"/>
        <v>4015</v>
      </c>
      <c r="V424" s="88">
        <v>4050</v>
      </c>
      <c r="W424" s="88">
        <v>3980</v>
      </c>
      <c r="X424" s="88"/>
      <c r="Y424" s="88"/>
      <c r="Z424" s="88"/>
      <c r="AA424" s="88"/>
      <c r="AB424" s="88"/>
      <c r="AC424" s="88"/>
      <c r="AD424" s="142" t="str">
        <f t="shared" si="175"/>
        <v/>
      </c>
      <c r="AE424" s="88"/>
      <c r="AF424" s="88"/>
      <c r="AG424" s="88"/>
      <c r="AH424" s="88"/>
      <c r="AI424" s="88"/>
      <c r="AJ424" s="88"/>
      <c r="AK424" s="88"/>
      <c r="AL424" s="88"/>
      <c r="AM424" s="88">
        <v>42.503376857271498</v>
      </c>
      <c r="AN424" s="88">
        <v>111.05</v>
      </c>
      <c r="AO424" s="89"/>
      <c r="AP424" s="90"/>
      <c r="AQ424" s="146" t="str">
        <f t="shared" si="176"/>
        <v/>
      </c>
      <c r="AR424" s="146" t="str">
        <f t="shared" si="177"/>
        <v/>
      </c>
      <c r="AS424" s="147">
        <v>40</v>
      </c>
      <c r="AT424" s="148">
        <v>15.100000000000001</v>
      </c>
      <c r="AU424" s="149">
        <v>9.1000000000000014</v>
      </c>
      <c r="AV424" s="146">
        <f t="shared" si="178"/>
        <v>60.264900662251662</v>
      </c>
      <c r="AW424" s="146">
        <f t="shared" si="179"/>
        <v>39.735099337748338</v>
      </c>
      <c r="AX424" s="138" t="str">
        <f t="shared" si="180"/>
        <v/>
      </c>
      <c r="AY424" s="95">
        <v>77.55</v>
      </c>
      <c r="AZ424" s="96" t="s">
        <v>56</v>
      </c>
      <c r="BA424" s="96"/>
      <c r="BB424" s="96" t="s">
        <v>56</v>
      </c>
      <c r="BC424" s="96"/>
      <c r="BD424" s="97">
        <v>111.05</v>
      </c>
      <c r="BE424" s="142">
        <f t="shared" si="181"/>
        <v>10903</v>
      </c>
      <c r="BF424" s="88">
        <v>620</v>
      </c>
      <c r="BG424" s="98">
        <v>0</v>
      </c>
      <c r="BH424" s="98">
        <v>5100</v>
      </c>
      <c r="BI424" s="98">
        <v>5183</v>
      </c>
      <c r="BJ424" s="98"/>
      <c r="BK424" s="98"/>
      <c r="BL424" s="97"/>
    </row>
    <row r="425" spans="1:64" outlineLevel="5" x14ac:dyDescent="0.3">
      <c r="A425" s="152">
        <f t="shared" si="167"/>
        <v>12</v>
      </c>
      <c r="B425" s="153">
        <f t="shared" si="182"/>
        <v>44560</v>
      </c>
      <c r="C425" s="138">
        <f t="shared" si="172"/>
        <v>37.5</v>
      </c>
      <c r="D425" s="84">
        <v>38</v>
      </c>
      <c r="E425" s="84">
        <v>37</v>
      </c>
      <c r="F425" s="84"/>
      <c r="G425" s="84"/>
      <c r="H425" s="84"/>
      <c r="I425" s="84"/>
      <c r="J425" s="84"/>
      <c r="K425" s="84"/>
      <c r="L425" s="140">
        <f t="shared" si="173"/>
        <v>7.6</v>
      </c>
      <c r="M425" s="86">
        <v>7.61</v>
      </c>
      <c r="N425" s="86">
        <v>7.49</v>
      </c>
      <c r="O425" s="86"/>
      <c r="P425" s="86"/>
      <c r="Q425" s="86"/>
      <c r="R425" s="86"/>
      <c r="S425" s="86"/>
      <c r="T425" s="86"/>
      <c r="U425" s="142">
        <f t="shared" si="174"/>
        <v>3875</v>
      </c>
      <c r="V425" s="88">
        <v>3920</v>
      </c>
      <c r="W425" s="88">
        <v>3830</v>
      </c>
      <c r="X425" s="88"/>
      <c r="Y425" s="88"/>
      <c r="Z425" s="88"/>
      <c r="AA425" s="88"/>
      <c r="AB425" s="88"/>
      <c r="AC425" s="88"/>
      <c r="AD425" s="142" t="str">
        <f t="shared" si="175"/>
        <v/>
      </c>
      <c r="AE425" s="88"/>
      <c r="AF425" s="88"/>
      <c r="AG425" s="88"/>
      <c r="AH425" s="88"/>
      <c r="AI425" s="88"/>
      <c r="AJ425" s="88"/>
      <c r="AK425" s="88"/>
      <c r="AL425" s="88"/>
      <c r="AM425" s="88">
        <v>38.122930296421934</v>
      </c>
      <c r="AN425" s="88">
        <v>123.81</v>
      </c>
      <c r="AO425" s="89"/>
      <c r="AP425" s="90"/>
      <c r="AQ425" s="146" t="str">
        <f t="shared" si="176"/>
        <v/>
      </c>
      <c r="AR425" s="146" t="str">
        <f t="shared" si="177"/>
        <v/>
      </c>
      <c r="AS425" s="147">
        <v>40</v>
      </c>
      <c r="AT425" s="148">
        <v>15.100000000000001</v>
      </c>
      <c r="AU425" s="149">
        <v>9.1000000000000014</v>
      </c>
      <c r="AV425" s="146">
        <f t="shared" si="178"/>
        <v>60.264900662251662</v>
      </c>
      <c r="AW425" s="146">
        <f t="shared" si="179"/>
        <v>39.735099337748338</v>
      </c>
      <c r="AX425" s="138" t="str">
        <f t="shared" si="180"/>
        <v/>
      </c>
      <c r="AY425" s="95">
        <v>77.55</v>
      </c>
      <c r="AZ425" s="96" t="s">
        <v>56</v>
      </c>
      <c r="BA425" s="96"/>
      <c r="BB425" s="96" t="s">
        <v>56</v>
      </c>
      <c r="BC425" s="96"/>
      <c r="BD425" s="97">
        <v>123.81</v>
      </c>
      <c r="BE425" s="142">
        <f t="shared" si="181"/>
        <v>13222</v>
      </c>
      <c r="BF425" s="88">
        <v>403</v>
      </c>
      <c r="BG425" s="98">
        <v>0</v>
      </c>
      <c r="BH425" s="98">
        <v>7838</v>
      </c>
      <c r="BI425" s="98">
        <v>4981</v>
      </c>
      <c r="BJ425" s="98"/>
      <c r="BK425" s="98"/>
      <c r="BL425" s="97"/>
    </row>
    <row r="426" spans="1:64" ht="17.25" outlineLevel="5" thickBot="1" x14ac:dyDescent="0.35">
      <c r="A426" s="169">
        <f t="shared" si="167"/>
        <v>12</v>
      </c>
      <c r="B426" s="170">
        <f t="shared" si="182"/>
        <v>44561</v>
      </c>
      <c r="C426" s="138">
        <f t="shared" si="172"/>
        <v>38</v>
      </c>
      <c r="D426" s="171">
        <v>38</v>
      </c>
      <c r="E426" s="171">
        <v>38</v>
      </c>
      <c r="F426" s="171"/>
      <c r="G426" s="171"/>
      <c r="H426" s="171"/>
      <c r="I426" s="171"/>
      <c r="J426" s="171"/>
      <c r="K426" s="171"/>
      <c r="L426" s="140">
        <f t="shared" si="173"/>
        <v>7.7</v>
      </c>
      <c r="M426" s="172">
        <v>7.71</v>
      </c>
      <c r="N426" s="172">
        <v>7.65</v>
      </c>
      <c r="O426" s="172"/>
      <c r="P426" s="172"/>
      <c r="Q426" s="172"/>
      <c r="R426" s="172"/>
      <c r="S426" s="172"/>
      <c r="T426" s="172"/>
      <c r="U426" s="142">
        <f t="shared" si="174"/>
        <v>1590</v>
      </c>
      <c r="V426" s="107">
        <v>1750</v>
      </c>
      <c r="W426" s="107">
        <v>1430</v>
      </c>
      <c r="X426" s="107"/>
      <c r="Y426" s="107"/>
      <c r="Z426" s="107"/>
      <c r="AA426" s="107"/>
      <c r="AB426" s="107"/>
      <c r="AC426" s="107"/>
      <c r="AD426" s="142" t="str">
        <f t="shared" si="175"/>
        <v/>
      </c>
      <c r="AE426" s="107"/>
      <c r="AF426" s="107"/>
      <c r="AG426" s="107"/>
      <c r="AH426" s="107"/>
      <c r="AI426" s="107"/>
      <c r="AJ426" s="107"/>
      <c r="AK426" s="107"/>
      <c r="AL426" s="107"/>
      <c r="AM426" s="107">
        <v>45.643554781935983</v>
      </c>
      <c r="AN426" s="107">
        <v>103.41</v>
      </c>
      <c r="AO426" s="173"/>
      <c r="AP426" s="174"/>
      <c r="AQ426" s="146" t="str">
        <f t="shared" si="176"/>
        <v/>
      </c>
      <c r="AR426" s="146" t="str">
        <f t="shared" si="177"/>
        <v/>
      </c>
      <c r="AS426" s="147">
        <v>40</v>
      </c>
      <c r="AT426" s="148" t="s">
        <v>56</v>
      </c>
      <c r="AU426" s="149" t="s">
        <v>56</v>
      </c>
      <c r="AV426" s="146" t="str">
        <f t="shared" si="178"/>
        <v/>
      </c>
      <c r="AW426" s="146" t="str">
        <f t="shared" si="179"/>
        <v/>
      </c>
      <c r="AX426" s="138" t="str">
        <f t="shared" si="180"/>
        <v/>
      </c>
      <c r="AY426" s="175" t="s">
        <v>56</v>
      </c>
      <c r="AZ426" s="176">
        <v>60.21</v>
      </c>
      <c r="BA426" s="176"/>
      <c r="BB426" s="176">
        <v>54</v>
      </c>
      <c r="BC426" s="176"/>
      <c r="BD426" s="116">
        <v>103.41</v>
      </c>
      <c r="BE426" s="142">
        <f t="shared" si="181"/>
        <v>10051</v>
      </c>
      <c r="BF426" s="107">
        <v>367</v>
      </c>
      <c r="BG426" s="118">
        <v>0</v>
      </c>
      <c r="BH426" s="118">
        <v>4847</v>
      </c>
      <c r="BI426" s="118">
        <v>4837</v>
      </c>
      <c r="BJ426" s="118"/>
      <c r="BK426" s="118"/>
      <c r="BL426" s="116"/>
    </row>
    <row r="427" spans="1:64" outlineLevel="4" x14ac:dyDescent="0.3">
      <c r="A427" s="63" t="s">
        <v>101</v>
      </c>
      <c r="B427" s="64"/>
      <c r="C427" s="65">
        <f t="shared" ref="C427:BL427" si="183">SUBTOTAL(4,C396:C426)</f>
        <v>38</v>
      </c>
      <c r="D427" s="66">
        <f t="shared" si="183"/>
        <v>39</v>
      </c>
      <c r="E427" s="66">
        <f t="shared" si="183"/>
        <v>38</v>
      </c>
      <c r="F427" s="66">
        <f t="shared" si="183"/>
        <v>0</v>
      </c>
      <c r="G427" s="66">
        <f t="shared" si="183"/>
        <v>0</v>
      </c>
      <c r="H427" s="66">
        <f t="shared" si="183"/>
        <v>0</v>
      </c>
      <c r="I427" s="66">
        <f t="shared" si="183"/>
        <v>0</v>
      </c>
      <c r="J427" s="66">
        <f t="shared" si="183"/>
        <v>0</v>
      </c>
      <c r="K427" s="66">
        <f t="shared" si="183"/>
        <v>0</v>
      </c>
      <c r="L427" s="67">
        <f t="shared" si="183"/>
        <v>7.7</v>
      </c>
      <c r="M427" s="68">
        <f t="shared" si="183"/>
        <v>7.78</v>
      </c>
      <c r="N427" s="68">
        <f t="shared" si="183"/>
        <v>7.69</v>
      </c>
      <c r="O427" s="68">
        <f t="shared" si="183"/>
        <v>0</v>
      </c>
      <c r="P427" s="68">
        <f t="shared" si="183"/>
        <v>0</v>
      </c>
      <c r="Q427" s="68">
        <f t="shared" si="183"/>
        <v>0</v>
      </c>
      <c r="R427" s="68">
        <f t="shared" si="183"/>
        <v>0</v>
      </c>
      <c r="S427" s="68">
        <f t="shared" si="183"/>
        <v>0</v>
      </c>
      <c r="T427" s="68">
        <f t="shared" si="183"/>
        <v>0</v>
      </c>
      <c r="U427" s="69">
        <f t="shared" si="183"/>
        <v>4015</v>
      </c>
      <c r="V427" s="70">
        <f t="shared" si="183"/>
        <v>4050</v>
      </c>
      <c r="W427" s="70">
        <f t="shared" si="183"/>
        <v>3980</v>
      </c>
      <c r="X427" s="70">
        <f t="shared" si="183"/>
        <v>0</v>
      </c>
      <c r="Y427" s="70">
        <f t="shared" si="183"/>
        <v>0</v>
      </c>
      <c r="Z427" s="70">
        <f t="shared" si="183"/>
        <v>0</v>
      </c>
      <c r="AA427" s="70">
        <f t="shared" si="183"/>
        <v>0</v>
      </c>
      <c r="AB427" s="70">
        <f t="shared" si="183"/>
        <v>0</v>
      </c>
      <c r="AC427" s="70">
        <f t="shared" si="183"/>
        <v>0</v>
      </c>
      <c r="AD427" s="69">
        <f t="shared" si="183"/>
        <v>0</v>
      </c>
      <c r="AE427" s="70">
        <f t="shared" si="183"/>
        <v>0</v>
      </c>
      <c r="AF427" s="70">
        <f t="shared" si="183"/>
        <v>0</v>
      </c>
      <c r="AG427" s="70">
        <f t="shared" si="183"/>
        <v>0</v>
      </c>
      <c r="AH427" s="70">
        <f t="shared" si="183"/>
        <v>0</v>
      </c>
      <c r="AI427" s="70">
        <f t="shared" si="183"/>
        <v>0</v>
      </c>
      <c r="AJ427" s="70">
        <f t="shared" si="183"/>
        <v>0</v>
      </c>
      <c r="AK427" s="70">
        <f t="shared" si="183"/>
        <v>0</v>
      </c>
      <c r="AL427" s="70">
        <f t="shared" si="183"/>
        <v>0</v>
      </c>
      <c r="AM427" s="70">
        <f t="shared" si="183"/>
        <v>120.5927439959121</v>
      </c>
      <c r="AN427" s="70">
        <f t="shared" si="183"/>
        <v>145</v>
      </c>
      <c r="AO427" s="71">
        <f t="shared" si="183"/>
        <v>21</v>
      </c>
      <c r="AP427" s="72">
        <f t="shared" si="183"/>
        <v>17.934000000000001</v>
      </c>
      <c r="AQ427" s="73">
        <f t="shared" si="183"/>
        <v>85.6</v>
      </c>
      <c r="AR427" s="73">
        <f t="shared" si="183"/>
        <v>18.099999999999994</v>
      </c>
      <c r="AS427" s="74">
        <v>28.87096774193548</v>
      </c>
      <c r="AT427" s="75">
        <v>16.157142857142858</v>
      </c>
      <c r="AU427" s="76">
        <v>9.0087912087912088</v>
      </c>
      <c r="AV427" s="73">
        <f t="shared" si="183"/>
        <v>60.264900662251662</v>
      </c>
      <c r="AW427" s="73">
        <f t="shared" si="183"/>
        <v>60.869565217391305</v>
      </c>
      <c r="AX427" s="65">
        <f t="shared" si="183"/>
        <v>85.838946723821181</v>
      </c>
      <c r="AY427" s="77">
        <f t="shared" si="183"/>
        <v>77.55</v>
      </c>
      <c r="AZ427" s="78">
        <f t="shared" si="183"/>
        <v>60.21</v>
      </c>
      <c r="BA427" s="78">
        <f t="shared" si="183"/>
        <v>0</v>
      </c>
      <c r="BB427" s="78">
        <f t="shared" si="183"/>
        <v>67.5</v>
      </c>
      <c r="BC427" s="78">
        <f t="shared" si="183"/>
        <v>0</v>
      </c>
      <c r="BD427" s="79">
        <f t="shared" si="183"/>
        <v>145</v>
      </c>
      <c r="BE427" s="69">
        <f t="shared" si="183"/>
        <v>13222</v>
      </c>
      <c r="BF427" s="70">
        <f t="shared" si="183"/>
        <v>1000</v>
      </c>
      <c r="BG427" s="80">
        <f t="shared" si="183"/>
        <v>85</v>
      </c>
      <c r="BH427" s="80">
        <f t="shared" si="183"/>
        <v>7838</v>
      </c>
      <c r="BI427" s="80">
        <f t="shared" si="183"/>
        <v>5419</v>
      </c>
      <c r="BJ427" s="80">
        <f t="shared" si="183"/>
        <v>0</v>
      </c>
      <c r="BK427" s="80">
        <f t="shared" si="183"/>
        <v>0</v>
      </c>
      <c r="BL427" s="79">
        <f t="shared" si="183"/>
        <v>0</v>
      </c>
    </row>
    <row r="428" spans="1:64" outlineLevel="3" x14ac:dyDescent="0.3">
      <c r="A428" s="81" t="s">
        <v>102</v>
      </c>
      <c r="B428" s="82"/>
      <c r="C428" s="83">
        <f t="shared" ref="C428:BL428" si="184">SUBTOTAL(5,C396:C426)</f>
        <v>35</v>
      </c>
      <c r="D428" s="84">
        <f t="shared" si="184"/>
        <v>35</v>
      </c>
      <c r="E428" s="84">
        <f t="shared" si="184"/>
        <v>35</v>
      </c>
      <c r="F428" s="84">
        <f t="shared" si="184"/>
        <v>0</v>
      </c>
      <c r="G428" s="84">
        <f t="shared" si="184"/>
        <v>0</v>
      </c>
      <c r="H428" s="84">
        <f t="shared" si="184"/>
        <v>0</v>
      </c>
      <c r="I428" s="84">
        <f t="shared" si="184"/>
        <v>0</v>
      </c>
      <c r="J428" s="84">
        <f t="shared" si="184"/>
        <v>0</v>
      </c>
      <c r="K428" s="84">
        <f t="shared" si="184"/>
        <v>0</v>
      </c>
      <c r="L428" s="85">
        <f t="shared" si="184"/>
        <v>7.5</v>
      </c>
      <c r="M428" s="86">
        <f t="shared" si="184"/>
        <v>7.58</v>
      </c>
      <c r="N428" s="86">
        <f t="shared" si="184"/>
        <v>7.41</v>
      </c>
      <c r="O428" s="86">
        <f t="shared" si="184"/>
        <v>0</v>
      </c>
      <c r="P428" s="86">
        <f t="shared" si="184"/>
        <v>0</v>
      </c>
      <c r="Q428" s="86">
        <f t="shared" si="184"/>
        <v>0</v>
      </c>
      <c r="R428" s="86">
        <f t="shared" si="184"/>
        <v>0</v>
      </c>
      <c r="S428" s="86">
        <f t="shared" si="184"/>
        <v>0</v>
      </c>
      <c r="T428" s="86">
        <f t="shared" si="184"/>
        <v>0</v>
      </c>
      <c r="U428" s="87">
        <f t="shared" si="184"/>
        <v>1480</v>
      </c>
      <c r="V428" s="88">
        <f t="shared" si="184"/>
        <v>1635</v>
      </c>
      <c r="W428" s="88">
        <f t="shared" si="184"/>
        <v>1390</v>
      </c>
      <c r="X428" s="88">
        <f t="shared" si="184"/>
        <v>0</v>
      </c>
      <c r="Y428" s="88">
        <f t="shared" si="184"/>
        <v>0</v>
      </c>
      <c r="Z428" s="88">
        <f t="shared" si="184"/>
        <v>0</v>
      </c>
      <c r="AA428" s="88">
        <f t="shared" si="184"/>
        <v>0</v>
      </c>
      <c r="AB428" s="88">
        <f t="shared" si="184"/>
        <v>0</v>
      </c>
      <c r="AC428" s="88">
        <f t="shared" si="184"/>
        <v>0</v>
      </c>
      <c r="AD428" s="87">
        <f t="shared" si="184"/>
        <v>0</v>
      </c>
      <c r="AE428" s="88">
        <f t="shared" si="184"/>
        <v>0</v>
      </c>
      <c r="AF428" s="88">
        <f t="shared" si="184"/>
        <v>0</v>
      </c>
      <c r="AG428" s="88">
        <f t="shared" si="184"/>
        <v>0</v>
      </c>
      <c r="AH428" s="88">
        <f t="shared" si="184"/>
        <v>0</v>
      </c>
      <c r="AI428" s="88">
        <f t="shared" si="184"/>
        <v>0</v>
      </c>
      <c r="AJ428" s="88">
        <f t="shared" si="184"/>
        <v>0</v>
      </c>
      <c r="AK428" s="88">
        <f t="shared" si="184"/>
        <v>0</v>
      </c>
      <c r="AL428" s="88">
        <f t="shared" si="184"/>
        <v>0</v>
      </c>
      <c r="AM428" s="88">
        <f t="shared" si="184"/>
        <v>32.551724137931032</v>
      </c>
      <c r="AN428" s="88">
        <f t="shared" si="184"/>
        <v>0</v>
      </c>
      <c r="AO428" s="89">
        <f t="shared" si="184"/>
        <v>15.7</v>
      </c>
      <c r="AP428" s="90">
        <f t="shared" si="184"/>
        <v>12.8583</v>
      </c>
      <c r="AQ428" s="91">
        <f t="shared" si="184"/>
        <v>81.900000000000006</v>
      </c>
      <c r="AR428" s="91">
        <f t="shared" si="184"/>
        <v>14.400000000000006</v>
      </c>
      <c r="AS428" s="92">
        <f t="shared" si="184"/>
        <v>0</v>
      </c>
      <c r="AT428" s="93">
        <f t="shared" si="184"/>
        <v>15</v>
      </c>
      <c r="AU428" s="94">
        <f t="shared" si="184"/>
        <v>7.2</v>
      </c>
      <c r="AV428" s="91">
        <f t="shared" si="184"/>
        <v>39.130434782608695</v>
      </c>
      <c r="AW428" s="91">
        <f t="shared" si="184"/>
        <v>39.735099337748338</v>
      </c>
      <c r="AX428" s="83">
        <f t="shared" si="184"/>
        <v>67.755559558838257</v>
      </c>
      <c r="AY428" s="95">
        <f t="shared" si="184"/>
        <v>69.05</v>
      </c>
      <c r="AZ428" s="96">
        <f t="shared" si="184"/>
        <v>56.58</v>
      </c>
      <c r="BA428" s="96">
        <f t="shared" si="184"/>
        <v>0</v>
      </c>
      <c r="BB428" s="96">
        <f t="shared" si="184"/>
        <v>39</v>
      </c>
      <c r="BC428" s="96">
        <f t="shared" si="184"/>
        <v>0</v>
      </c>
      <c r="BD428" s="97">
        <f t="shared" si="184"/>
        <v>0</v>
      </c>
      <c r="BE428" s="87">
        <f t="shared" si="184"/>
        <v>308</v>
      </c>
      <c r="BF428" s="88">
        <f t="shared" si="184"/>
        <v>0</v>
      </c>
      <c r="BG428" s="98">
        <f t="shared" si="184"/>
        <v>0</v>
      </c>
      <c r="BH428" s="98">
        <f t="shared" si="184"/>
        <v>0</v>
      </c>
      <c r="BI428" s="98">
        <f t="shared" si="184"/>
        <v>0</v>
      </c>
      <c r="BJ428" s="98">
        <f t="shared" si="184"/>
        <v>0</v>
      </c>
      <c r="BK428" s="98">
        <f t="shared" si="184"/>
        <v>0</v>
      </c>
      <c r="BL428" s="97">
        <f t="shared" si="184"/>
        <v>0</v>
      </c>
    </row>
    <row r="429" spans="1:64" outlineLevel="2" x14ac:dyDescent="0.3">
      <c r="A429" s="81" t="s">
        <v>103</v>
      </c>
      <c r="B429" s="82"/>
      <c r="C429" s="83">
        <f t="shared" ref="C429:BL429" si="185">IFERROR(SUBTOTAL(1,C396:C426),"")</f>
        <v>36.935483870967744</v>
      </c>
      <c r="D429" s="84">
        <f t="shared" si="185"/>
        <v>37.096774193548384</v>
      </c>
      <c r="E429" s="84">
        <f t="shared" si="185"/>
        <v>36.774193548387096</v>
      </c>
      <c r="F429" s="84" t="str">
        <f t="shared" si="185"/>
        <v/>
      </c>
      <c r="G429" s="84" t="str">
        <f t="shared" si="185"/>
        <v/>
      </c>
      <c r="H429" s="84" t="str">
        <f t="shared" si="185"/>
        <v/>
      </c>
      <c r="I429" s="84" t="str">
        <f t="shared" si="185"/>
        <v/>
      </c>
      <c r="J429" s="84" t="str">
        <f t="shared" si="185"/>
        <v/>
      </c>
      <c r="K429" s="84" t="str">
        <f t="shared" si="185"/>
        <v/>
      </c>
      <c r="L429" s="85">
        <f t="shared" si="185"/>
        <v>7.619047619047616</v>
      </c>
      <c r="M429" s="86">
        <f t="shared" si="185"/>
        <v>7.6725000000000012</v>
      </c>
      <c r="N429" s="86">
        <f t="shared" si="185"/>
        <v>7.5514285714285716</v>
      </c>
      <c r="O429" s="86" t="str">
        <f t="shared" si="185"/>
        <v/>
      </c>
      <c r="P429" s="86" t="str">
        <f t="shared" si="185"/>
        <v/>
      </c>
      <c r="Q429" s="86" t="str">
        <f t="shared" si="185"/>
        <v/>
      </c>
      <c r="R429" s="86" t="str">
        <f t="shared" si="185"/>
        <v/>
      </c>
      <c r="S429" s="86" t="str">
        <f t="shared" si="185"/>
        <v/>
      </c>
      <c r="T429" s="86" t="str">
        <f t="shared" si="185"/>
        <v/>
      </c>
      <c r="U429" s="87">
        <f t="shared" si="185"/>
        <v>1859.3571428571429</v>
      </c>
      <c r="V429" s="88">
        <f t="shared" si="185"/>
        <v>1974.95</v>
      </c>
      <c r="W429" s="88">
        <f t="shared" si="185"/>
        <v>1767.3333333333333</v>
      </c>
      <c r="X429" s="88" t="str">
        <f t="shared" si="185"/>
        <v/>
      </c>
      <c r="Y429" s="88" t="str">
        <f t="shared" si="185"/>
        <v/>
      </c>
      <c r="Z429" s="88" t="str">
        <f t="shared" si="185"/>
        <v/>
      </c>
      <c r="AA429" s="88" t="str">
        <f t="shared" si="185"/>
        <v/>
      </c>
      <c r="AB429" s="88" t="str">
        <f t="shared" si="185"/>
        <v/>
      </c>
      <c r="AC429" s="88" t="str">
        <f t="shared" si="185"/>
        <v/>
      </c>
      <c r="AD429" s="87" t="str">
        <f t="shared" si="185"/>
        <v/>
      </c>
      <c r="AE429" s="88" t="str">
        <f t="shared" si="185"/>
        <v/>
      </c>
      <c r="AF429" s="88" t="str">
        <f t="shared" si="185"/>
        <v/>
      </c>
      <c r="AG429" s="88" t="str">
        <f t="shared" si="185"/>
        <v/>
      </c>
      <c r="AH429" s="88" t="str">
        <f t="shared" si="185"/>
        <v/>
      </c>
      <c r="AI429" s="88" t="str">
        <f t="shared" si="185"/>
        <v/>
      </c>
      <c r="AJ429" s="88" t="str">
        <f t="shared" si="185"/>
        <v/>
      </c>
      <c r="AK429" s="88" t="str">
        <f t="shared" si="185"/>
        <v/>
      </c>
      <c r="AL429" s="88" t="str">
        <f t="shared" si="185"/>
        <v/>
      </c>
      <c r="AM429" s="88">
        <f t="shared" si="185"/>
        <v>46.299417763287501</v>
      </c>
      <c r="AN429" s="88">
        <f t="shared" si="185"/>
        <v>107.68677419354839</v>
      </c>
      <c r="AO429" s="89">
        <f t="shared" si="185"/>
        <v>18.3</v>
      </c>
      <c r="AP429" s="90">
        <f t="shared" si="185"/>
        <v>15.489375000000001</v>
      </c>
      <c r="AQ429" s="91">
        <f t="shared" si="185"/>
        <v>84.525000000000006</v>
      </c>
      <c r="AR429" s="91">
        <f t="shared" si="185"/>
        <v>15.474999999999998</v>
      </c>
      <c r="AS429" s="92">
        <f t="shared" si="185"/>
        <v>28.870967741935484</v>
      </c>
      <c r="AT429" s="93">
        <f t="shared" si="185"/>
        <v>16.282142857142855</v>
      </c>
      <c r="AU429" s="94">
        <f t="shared" si="185"/>
        <v>8.9678571428571434</v>
      </c>
      <c r="AV429" s="91">
        <f t="shared" si="185"/>
        <v>55.345023171118214</v>
      </c>
      <c r="AW429" s="91">
        <f t="shared" si="185"/>
        <v>44.654976828881786</v>
      </c>
      <c r="AX429" s="83">
        <f t="shared" si="185"/>
        <v>77.070684376170135</v>
      </c>
      <c r="AY429" s="95">
        <f t="shared" si="185"/>
        <v>74.085714285714275</v>
      </c>
      <c r="AZ429" s="96">
        <f t="shared" si="185"/>
        <v>58.779374999999987</v>
      </c>
      <c r="BA429" s="96" t="str">
        <f t="shared" si="185"/>
        <v/>
      </c>
      <c r="BB429" s="96">
        <f t="shared" si="185"/>
        <v>49.875</v>
      </c>
      <c r="BC429" s="96" t="str">
        <f t="shared" si="185"/>
        <v/>
      </c>
      <c r="BD429" s="97">
        <f>IFERROR(SUBTOTAL(1,BD396:BD426),"")</f>
        <v>107.68677419354839</v>
      </c>
      <c r="BE429" s="87">
        <f t="shared" si="185"/>
        <v>6811.8666666666668</v>
      </c>
      <c r="BF429" s="88">
        <f t="shared" si="185"/>
        <v>438</v>
      </c>
      <c r="BG429" s="98">
        <f t="shared" si="185"/>
        <v>2.7419354838709675</v>
      </c>
      <c r="BH429" s="98">
        <f t="shared" si="185"/>
        <v>2008.258064516129</v>
      </c>
      <c r="BI429" s="98">
        <f t="shared" si="185"/>
        <v>4143.1290322580644</v>
      </c>
      <c r="BJ429" s="98" t="str">
        <f t="shared" si="185"/>
        <v/>
      </c>
      <c r="BK429" s="98" t="str">
        <f t="shared" si="185"/>
        <v/>
      </c>
      <c r="BL429" s="97" t="str">
        <f t="shared" si="185"/>
        <v/>
      </c>
    </row>
    <row r="430" spans="1:64" ht="17.25" outlineLevel="1" thickBot="1" x14ac:dyDescent="0.35">
      <c r="A430" s="99" t="s">
        <v>104</v>
      </c>
      <c r="B430" s="100"/>
      <c r="C430" s="101"/>
      <c r="D430" s="102"/>
      <c r="E430" s="102"/>
      <c r="F430" s="102"/>
      <c r="G430" s="102"/>
      <c r="H430" s="102"/>
      <c r="I430" s="102"/>
      <c r="J430" s="102"/>
      <c r="K430" s="102"/>
      <c r="L430" s="103"/>
      <c r="M430" s="104"/>
      <c r="N430" s="104"/>
      <c r="O430" s="104"/>
      <c r="P430" s="104"/>
      <c r="Q430" s="104"/>
      <c r="R430" s="104"/>
      <c r="S430" s="104"/>
      <c r="T430" s="104"/>
      <c r="U430" s="105"/>
      <c r="V430" s="106"/>
      <c r="W430" s="106"/>
      <c r="X430" s="106"/>
      <c r="Y430" s="106"/>
      <c r="Z430" s="106"/>
      <c r="AA430" s="106"/>
      <c r="AB430" s="106"/>
      <c r="AC430" s="106"/>
      <c r="AD430" s="105"/>
      <c r="AE430" s="106"/>
      <c r="AF430" s="106"/>
      <c r="AG430" s="106"/>
      <c r="AH430" s="106"/>
      <c r="AI430" s="106"/>
      <c r="AJ430" s="106"/>
      <c r="AK430" s="106"/>
      <c r="AL430" s="106"/>
      <c r="AM430" s="106"/>
      <c r="AN430" s="107">
        <f>SUBTOTAL(9,AN396:AN426)</f>
        <v>3338.29</v>
      </c>
      <c r="AO430" s="108"/>
      <c r="AP430" s="109"/>
      <c r="AQ430" s="110"/>
      <c r="AR430" s="110"/>
      <c r="AS430" s="111">
        <f>SUBTOTAL(9,AS396:AS426)</f>
        <v>895</v>
      </c>
      <c r="AT430" s="112"/>
      <c r="AU430" s="113"/>
      <c r="AV430" s="110"/>
      <c r="AW430" s="110"/>
      <c r="AX430" s="101"/>
      <c r="AY430" s="114"/>
      <c r="AZ430" s="115"/>
      <c r="BA430" s="115"/>
      <c r="BB430" s="115"/>
      <c r="BC430" s="115"/>
      <c r="BD430" s="116">
        <f>SUBTOTAL(9,BD396:BD426)</f>
        <v>3338.29</v>
      </c>
      <c r="BE430" s="117">
        <f t="shared" ref="BE430:BL430" si="186">SUBTOTAL(9,BE396:BE426)</f>
        <v>204356</v>
      </c>
      <c r="BF430" s="107">
        <f t="shared" si="186"/>
        <v>13578</v>
      </c>
      <c r="BG430" s="118">
        <f t="shared" si="186"/>
        <v>85</v>
      </c>
      <c r="BH430" s="118">
        <f t="shared" si="186"/>
        <v>62256</v>
      </c>
      <c r="BI430" s="118">
        <f t="shared" si="186"/>
        <v>128437</v>
      </c>
      <c r="BJ430" s="118">
        <f t="shared" si="186"/>
        <v>0</v>
      </c>
      <c r="BK430" s="118">
        <f t="shared" si="186"/>
        <v>0</v>
      </c>
      <c r="BL430" s="116">
        <f t="shared" si="186"/>
        <v>0</v>
      </c>
    </row>
    <row r="431" spans="1:64" outlineLevel="1" x14ac:dyDescent="0.3">
      <c r="A431" s="177"/>
      <c r="B431" s="177"/>
      <c r="C431" s="178"/>
      <c r="D431" s="178"/>
      <c r="E431" s="178"/>
      <c r="F431" s="178"/>
      <c r="G431" s="178"/>
      <c r="H431" s="178"/>
      <c r="I431" s="178"/>
      <c r="J431" s="178"/>
      <c r="K431" s="178"/>
      <c r="L431" s="127"/>
      <c r="M431" s="127"/>
      <c r="N431" s="127"/>
      <c r="O431" s="127"/>
      <c r="P431" s="127"/>
      <c r="Q431" s="127"/>
      <c r="R431" s="127"/>
      <c r="S431" s="127"/>
      <c r="T431" s="127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30"/>
      <c r="AP431" s="130"/>
      <c r="AQ431" s="130"/>
      <c r="AR431" s="130"/>
      <c r="AS431" s="179"/>
      <c r="AT431" s="180"/>
      <c r="AU431" s="180"/>
      <c r="AV431" s="130"/>
      <c r="AW431" s="130"/>
      <c r="AX431" s="178"/>
      <c r="AY431" s="127"/>
      <c r="AZ431" s="127"/>
      <c r="BA431" s="127"/>
      <c r="BB431" s="127"/>
      <c r="BC431" s="127"/>
      <c r="BD431" s="129"/>
      <c r="BE431" s="129"/>
      <c r="BF431" s="129"/>
      <c r="BG431" s="129"/>
      <c r="BH431" s="129"/>
      <c r="BI431" s="129"/>
      <c r="BJ431" s="129"/>
      <c r="BK431" s="129"/>
      <c r="BL431" s="129"/>
    </row>
  </sheetData>
  <mergeCells count="110">
    <mergeCell ref="A429:B429"/>
    <mergeCell ref="A430:B430"/>
    <mergeCell ref="A392:B392"/>
    <mergeCell ref="A393:B393"/>
    <mergeCell ref="A394:B394"/>
    <mergeCell ref="A395:B395"/>
    <mergeCell ref="A427:B427"/>
    <mergeCell ref="A428:B428"/>
    <mergeCell ref="A325:B325"/>
    <mergeCell ref="A326:B326"/>
    <mergeCell ref="A358:B358"/>
    <mergeCell ref="A359:B359"/>
    <mergeCell ref="A360:B360"/>
    <mergeCell ref="A361:B361"/>
    <mergeCell ref="A289:B289"/>
    <mergeCell ref="A290:B290"/>
    <mergeCell ref="A291:B291"/>
    <mergeCell ref="A292:B292"/>
    <mergeCell ref="A323:B323"/>
    <mergeCell ref="A324:B324"/>
    <mergeCell ref="A221:B221"/>
    <mergeCell ref="A222:B222"/>
    <mergeCell ref="A254:B254"/>
    <mergeCell ref="A255:B255"/>
    <mergeCell ref="A256:B256"/>
    <mergeCell ref="A257:B257"/>
    <mergeCell ref="A185:B185"/>
    <mergeCell ref="A186:B186"/>
    <mergeCell ref="A187:B187"/>
    <mergeCell ref="A188:B188"/>
    <mergeCell ref="A219:B219"/>
    <mergeCell ref="A220:B220"/>
    <mergeCell ref="A118:B118"/>
    <mergeCell ref="A119:B119"/>
    <mergeCell ref="A150:B150"/>
    <mergeCell ref="A151:B151"/>
    <mergeCell ref="A152:B152"/>
    <mergeCell ref="A153:B153"/>
    <mergeCell ref="A81:B81"/>
    <mergeCell ref="A82:B82"/>
    <mergeCell ref="A83:B83"/>
    <mergeCell ref="A84:B84"/>
    <mergeCell ref="A116:B116"/>
    <mergeCell ref="A117:B117"/>
    <mergeCell ref="BK15:BK16"/>
    <mergeCell ref="BL15:BL16"/>
    <mergeCell ref="A48:B48"/>
    <mergeCell ref="A49:B49"/>
    <mergeCell ref="A50:B50"/>
    <mergeCell ref="A51:B51"/>
    <mergeCell ref="BE15:BE16"/>
    <mergeCell ref="BF15:BF16"/>
    <mergeCell ref="BG15:BG16"/>
    <mergeCell ref="BH15:BH16"/>
    <mergeCell ref="BI15:BI16"/>
    <mergeCell ref="BJ15:BJ16"/>
    <mergeCell ref="AV15:AV16"/>
    <mergeCell ref="AW15:AW16"/>
    <mergeCell ref="AX15:AX16"/>
    <mergeCell ref="AY15:AY16"/>
    <mergeCell ref="AZ15:BC15"/>
    <mergeCell ref="BD15:BD16"/>
    <mergeCell ref="AP15:AP16"/>
    <mergeCell ref="AQ15:AQ16"/>
    <mergeCell ref="AR15:AR16"/>
    <mergeCell ref="AS15:AS16"/>
    <mergeCell ref="AT15:AT16"/>
    <mergeCell ref="AU15:AU16"/>
    <mergeCell ref="L15:T15"/>
    <mergeCell ref="U15:AC15"/>
    <mergeCell ref="AD15:AL15"/>
    <mergeCell ref="AM15:AM16"/>
    <mergeCell ref="AN15:AN16"/>
    <mergeCell ref="AO15:AO16"/>
    <mergeCell ref="A10:B10"/>
    <mergeCell ref="A11:B11"/>
    <mergeCell ref="A12:B12"/>
    <mergeCell ref="A15:A16"/>
    <mergeCell ref="B15:B16"/>
    <mergeCell ref="C15:K15"/>
    <mergeCell ref="BI6:BI7"/>
    <mergeCell ref="BJ6:BJ7"/>
    <mergeCell ref="BK6:BK7"/>
    <mergeCell ref="BL6:BL7"/>
    <mergeCell ref="A8:B8"/>
    <mergeCell ref="A9:B9"/>
    <mergeCell ref="AZ6:BC6"/>
    <mergeCell ref="BD6:BD7"/>
    <mergeCell ref="BE6:BE7"/>
    <mergeCell ref="BF6:BF7"/>
    <mergeCell ref="BG6:BG7"/>
    <mergeCell ref="BH6:BH7"/>
    <mergeCell ref="AT6:AT7"/>
    <mergeCell ref="AU6:AU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  <mergeCell ref="A6:B7"/>
    <mergeCell ref="C6:K6"/>
    <mergeCell ref="L6:T6"/>
    <mergeCell ref="U6:AC6"/>
    <mergeCell ref="AD6:AL6"/>
    <mergeCell ref="AM6:AM7"/>
  </mergeCells>
  <phoneticPr fontId="3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43" fitToHeight="0" orientation="landscape" horizontalDpi="1200" r:id="rId1"/>
  <rowBreaks count="11" manualBreakCount="11">
    <brk id="51" max="16383" man="1"/>
    <brk id="84" max="16383" man="1"/>
    <brk id="119" max="16383" man="1"/>
    <brk id="153" max="16383" man="1"/>
    <brk id="188" max="16383" man="1"/>
    <brk id="222" max="16383" man="1"/>
    <brk id="257" max="16383" man="1"/>
    <brk id="292" max="16383" man="1"/>
    <brk id="326" max="19" man="1"/>
    <brk id="361" max="16383" man="1"/>
    <brk id="395" max="1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8D267-785B-433E-850E-0D7D22298063}">
  <sheetPr>
    <pageSetUpPr fitToPage="1"/>
  </sheetPr>
  <dimension ref="A1:BL431"/>
  <sheetViews>
    <sheetView showGridLines="0" zoomScale="70" zoomScaleNormal="70" zoomScaleSheetLayoutView="55" workbookViewId="0">
      <pane xSplit="2" ySplit="16" topLeftCell="C17" activePane="bottomRight" state="frozen"/>
      <selection pane="topRight" activeCell="C1" sqref="C1"/>
      <selection pane="bottomLeft" activeCell="A4" sqref="A4"/>
      <selection pane="bottomRight" activeCell="C16" sqref="C16"/>
    </sheetView>
  </sheetViews>
  <sheetFormatPr defaultRowHeight="16.5" outlineLevelRow="5" outlineLevelCol="1" x14ac:dyDescent="0.3"/>
  <cols>
    <col min="1" max="1" width="6" style="181" bestFit="1" customWidth="1"/>
    <col min="2" max="2" width="11.125" style="2" bestFit="1" customWidth="1"/>
    <col min="3" max="3" width="9.25" style="3" bestFit="1" customWidth="1"/>
    <col min="4" max="11" width="9.25" style="3" customWidth="1" outlineLevel="1"/>
    <col min="12" max="12" width="9.25" style="4" bestFit="1" customWidth="1"/>
    <col min="13" max="20" width="9.25" style="4" customWidth="1" outlineLevel="1"/>
    <col min="21" max="21" width="9.25" style="5" bestFit="1" customWidth="1"/>
    <col min="22" max="29" width="9.25" style="5" customWidth="1" outlineLevel="1"/>
    <col min="30" max="30" width="14.25" style="5" bestFit="1" customWidth="1"/>
    <col min="31" max="38" width="9.25" style="5" customWidth="1" outlineLevel="1"/>
    <col min="39" max="39" width="13.75" style="5" customWidth="1"/>
    <col min="40" max="40" width="14.625" style="5" customWidth="1"/>
    <col min="41" max="42" width="8.625" style="6" customWidth="1"/>
    <col min="43" max="43" width="10.625" style="6" customWidth="1"/>
    <col min="44" max="44" width="10.625" style="6" bestFit="1" customWidth="1"/>
    <col min="45" max="45" width="14.625" style="7" customWidth="1"/>
    <col min="46" max="47" width="8.625" style="8" customWidth="1"/>
    <col min="48" max="48" width="10.625" style="6" customWidth="1"/>
    <col min="49" max="49" width="10.625" style="6" bestFit="1" customWidth="1"/>
    <col min="50" max="50" width="11.625" style="3" customWidth="1"/>
    <col min="51" max="55" width="11.625" style="4" customWidth="1"/>
    <col min="56" max="56" width="14.625" style="5" customWidth="1"/>
    <col min="57" max="57" width="20.375" style="5" bestFit="1" customWidth="1"/>
    <col min="58" max="58" width="14" style="5" customWidth="1" outlineLevel="1"/>
    <col min="59" max="59" width="20.875" style="5" customWidth="1" outlineLevel="1"/>
    <col min="60" max="60" width="18.875" style="5" customWidth="1" outlineLevel="1"/>
    <col min="61" max="62" width="20.25" style="5" customWidth="1" outlineLevel="1"/>
    <col min="63" max="64" width="20.875" style="5" customWidth="1" outlineLevel="1"/>
  </cols>
  <sheetData>
    <row r="1" spans="1:64" ht="19.5" x14ac:dyDescent="0.3">
      <c r="A1" s="1" t="s">
        <v>0</v>
      </c>
    </row>
    <row r="2" spans="1:64" s="11" customFormat="1" x14ac:dyDescent="0.3">
      <c r="A2" s="9" t="s">
        <v>1</v>
      </c>
      <c r="B2" s="10"/>
      <c r="L2" s="4"/>
      <c r="M2" s="4"/>
      <c r="N2" s="4"/>
      <c r="O2" s="4"/>
      <c r="P2" s="4"/>
      <c r="Q2" s="4"/>
      <c r="R2" s="4"/>
      <c r="S2" s="4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O2" s="6"/>
      <c r="AP2" s="6"/>
      <c r="AQ2" s="6"/>
      <c r="AR2" s="6"/>
      <c r="AS2" s="12"/>
      <c r="AT2" s="12"/>
      <c r="AU2" s="12"/>
      <c r="AV2" s="6"/>
      <c r="AW2" s="6"/>
      <c r="AY2" s="4"/>
      <c r="AZ2" s="4"/>
      <c r="BA2" s="4"/>
      <c r="BB2" s="4"/>
      <c r="BC2" s="4"/>
      <c r="BF2" s="5"/>
      <c r="BG2" s="5"/>
      <c r="BH2" s="5"/>
      <c r="BI2" s="5"/>
      <c r="BJ2" s="5"/>
      <c r="BK2" s="5"/>
      <c r="BL2" s="5"/>
    </row>
    <row r="3" spans="1:64" s="11" customFormat="1" x14ac:dyDescent="0.3">
      <c r="A3" s="13" t="s">
        <v>2</v>
      </c>
      <c r="B3" s="10"/>
      <c r="L3" s="4"/>
      <c r="M3" s="4"/>
      <c r="N3" s="4"/>
      <c r="O3" s="4"/>
      <c r="P3" s="4"/>
      <c r="Q3" s="4"/>
      <c r="R3" s="4"/>
      <c r="S3" s="4"/>
      <c r="T3" s="4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O3" s="6"/>
      <c r="AP3" s="6"/>
      <c r="AQ3" s="6"/>
      <c r="AR3" s="6"/>
      <c r="AS3" s="12"/>
      <c r="AT3" s="12"/>
      <c r="AU3" s="12"/>
      <c r="AV3" s="6"/>
      <c r="AW3" s="6"/>
      <c r="AY3" s="4"/>
      <c r="AZ3" s="4"/>
      <c r="BA3" s="4"/>
      <c r="BB3" s="4"/>
      <c r="BC3" s="4"/>
      <c r="BF3" s="5"/>
      <c r="BG3" s="5"/>
      <c r="BH3" s="5"/>
      <c r="BI3" s="5"/>
      <c r="BJ3" s="5"/>
      <c r="BK3" s="5"/>
      <c r="BL3" s="5"/>
    </row>
    <row r="4" spans="1:64" s="11" customFormat="1" x14ac:dyDescent="0.3">
      <c r="A4" s="14" t="s">
        <v>3</v>
      </c>
      <c r="B4" s="15"/>
      <c r="C4" s="16"/>
      <c r="D4" s="16"/>
      <c r="E4" s="16"/>
      <c r="F4" s="16"/>
      <c r="G4" s="16"/>
      <c r="L4" s="4"/>
      <c r="M4" s="4"/>
      <c r="N4" s="4"/>
      <c r="O4" s="4"/>
      <c r="P4" s="4"/>
      <c r="Q4" s="4"/>
      <c r="R4" s="4"/>
      <c r="S4" s="4"/>
      <c r="T4" s="4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O4" s="6"/>
      <c r="AP4" s="6"/>
      <c r="AQ4" s="6"/>
      <c r="AR4" s="6"/>
      <c r="AS4" s="12"/>
      <c r="AT4" s="12"/>
      <c r="AU4" s="12"/>
      <c r="AV4" s="6"/>
      <c r="AW4" s="6"/>
      <c r="AY4" s="4"/>
      <c r="AZ4" s="4"/>
      <c r="BA4" s="4"/>
      <c r="BB4" s="4"/>
      <c r="BC4" s="4"/>
      <c r="BF4" s="5"/>
      <c r="BG4" s="5"/>
      <c r="BH4" s="5"/>
      <c r="BI4" s="5"/>
      <c r="BJ4" s="5"/>
      <c r="BK4" s="5"/>
      <c r="BL4" s="5"/>
    </row>
    <row r="5" spans="1:64" s="11" customFormat="1" ht="17.25" thickBot="1" x14ac:dyDescent="0.35">
      <c r="A5" s="17"/>
      <c r="B5" s="10"/>
      <c r="L5" s="4"/>
      <c r="M5" s="4"/>
      <c r="N5" s="4"/>
      <c r="O5" s="4"/>
      <c r="P5" s="4"/>
      <c r="Q5" s="4"/>
      <c r="R5" s="4"/>
      <c r="S5" s="4"/>
      <c r="T5" s="4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O5" s="6"/>
      <c r="AP5" s="6"/>
      <c r="AQ5" s="6"/>
      <c r="AR5" s="6"/>
      <c r="AS5" s="12"/>
      <c r="AT5" s="12"/>
      <c r="AU5" s="12"/>
      <c r="AV5" s="6"/>
      <c r="AW5" s="6"/>
      <c r="AY5" s="4"/>
      <c r="AZ5" s="4"/>
      <c r="BA5" s="4"/>
      <c r="BB5" s="4"/>
      <c r="BC5" s="4"/>
      <c r="BF5" s="5"/>
      <c r="BG5" s="5"/>
      <c r="BH5" s="5"/>
      <c r="BI5" s="5"/>
      <c r="BJ5" s="5"/>
      <c r="BK5" s="5"/>
      <c r="BL5" s="5"/>
    </row>
    <row r="6" spans="1:64" s="11" customFormat="1" ht="17.25" customHeight="1" thickBot="1" x14ac:dyDescent="0.35">
      <c r="A6" s="18" t="s">
        <v>4</v>
      </c>
      <c r="B6" s="19"/>
      <c r="C6" s="20" t="s">
        <v>5</v>
      </c>
      <c r="D6" s="21"/>
      <c r="E6" s="21"/>
      <c r="F6" s="21"/>
      <c r="G6" s="21"/>
      <c r="H6" s="21"/>
      <c r="I6" s="21"/>
      <c r="J6" s="21"/>
      <c r="K6" s="21"/>
      <c r="L6" s="22" t="s">
        <v>6</v>
      </c>
      <c r="M6" s="23"/>
      <c r="N6" s="23"/>
      <c r="O6" s="23"/>
      <c r="P6" s="23"/>
      <c r="Q6" s="23"/>
      <c r="R6" s="23"/>
      <c r="S6" s="23"/>
      <c r="T6" s="23"/>
      <c r="U6" s="24" t="s">
        <v>7</v>
      </c>
      <c r="V6" s="25"/>
      <c r="W6" s="25"/>
      <c r="X6" s="25"/>
      <c r="Y6" s="25"/>
      <c r="Z6" s="25"/>
      <c r="AA6" s="25"/>
      <c r="AB6" s="25"/>
      <c r="AC6" s="25"/>
      <c r="AD6" s="26" t="s">
        <v>8</v>
      </c>
      <c r="AE6" s="25"/>
      <c r="AF6" s="25"/>
      <c r="AG6" s="25"/>
      <c r="AH6" s="25"/>
      <c r="AI6" s="25"/>
      <c r="AJ6" s="25"/>
      <c r="AK6" s="25"/>
      <c r="AL6" s="25"/>
      <c r="AM6" s="26" t="s">
        <v>9</v>
      </c>
      <c r="AN6" s="24" t="s">
        <v>10</v>
      </c>
      <c r="AO6" s="27" t="s">
        <v>11</v>
      </c>
      <c r="AP6" s="28" t="s">
        <v>12</v>
      </c>
      <c r="AQ6" s="29" t="s">
        <v>13</v>
      </c>
      <c r="AR6" s="29" t="s">
        <v>14</v>
      </c>
      <c r="AS6" s="30" t="s">
        <v>15</v>
      </c>
      <c r="AT6" s="27" t="s">
        <v>16</v>
      </c>
      <c r="AU6" s="28" t="s">
        <v>17</v>
      </c>
      <c r="AV6" s="29" t="s">
        <v>18</v>
      </c>
      <c r="AW6" s="29" t="s">
        <v>19</v>
      </c>
      <c r="AX6" s="31" t="s">
        <v>20</v>
      </c>
      <c r="AY6" s="32" t="s">
        <v>21</v>
      </c>
      <c r="AZ6" s="33" t="s">
        <v>22</v>
      </c>
      <c r="BA6" s="34"/>
      <c r="BB6" s="34"/>
      <c r="BC6" s="34"/>
      <c r="BD6" s="25" t="s">
        <v>23</v>
      </c>
      <c r="BE6" s="35" t="s">
        <v>24</v>
      </c>
      <c r="BF6" s="24" t="s">
        <v>25</v>
      </c>
      <c r="BG6" s="26" t="s">
        <v>26</v>
      </c>
      <c r="BH6" s="26" t="s">
        <v>27</v>
      </c>
      <c r="BI6" s="26" t="s">
        <v>28</v>
      </c>
      <c r="BJ6" s="26" t="s">
        <v>29</v>
      </c>
      <c r="BK6" s="26" t="s">
        <v>30</v>
      </c>
      <c r="BL6" s="36" t="s">
        <v>31</v>
      </c>
    </row>
    <row r="7" spans="1:64" s="62" customFormat="1" ht="35.25" thickBot="1" x14ac:dyDescent="0.35">
      <c r="A7" s="37"/>
      <c r="B7" s="38"/>
      <c r="C7" s="39" t="s">
        <v>32</v>
      </c>
      <c r="D7" s="40" t="s">
        <v>33</v>
      </c>
      <c r="E7" s="41" t="s">
        <v>34</v>
      </c>
      <c r="F7" s="41" t="s">
        <v>35</v>
      </c>
      <c r="G7" s="41" t="s">
        <v>36</v>
      </c>
      <c r="H7" s="41" t="s">
        <v>37</v>
      </c>
      <c r="I7" s="41" t="s">
        <v>38</v>
      </c>
      <c r="J7" s="41" t="s">
        <v>39</v>
      </c>
      <c r="K7" s="41" t="s">
        <v>40</v>
      </c>
      <c r="L7" s="42" t="s">
        <v>41</v>
      </c>
      <c r="M7" s="43" t="s">
        <v>33</v>
      </c>
      <c r="N7" s="44" t="s">
        <v>34</v>
      </c>
      <c r="O7" s="44" t="s">
        <v>35</v>
      </c>
      <c r="P7" s="44" t="s">
        <v>36</v>
      </c>
      <c r="Q7" s="44" t="s">
        <v>37</v>
      </c>
      <c r="R7" s="44" t="s">
        <v>38</v>
      </c>
      <c r="S7" s="44" t="s">
        <v>39</v>
      </c>
      <c r="T7" s="45" t="s">
        <v>40</v>
      </c>
      <c r="U7" s="46" t="s">
        <v>42</v>
      </c>
      <c r="V7" s="47" t="s">
        <v>33</v>
      </c>
      <c r="W7" s="48" t="s">
        <v>34</v>
      </c>
      <c r="X7" s="48" t="s">
        <v>35</v>
      </c>
      <c r="Y7" s="48" t="s">
        <v>36</v>
      </c>
      <c r="Z7" s="48" t="s">
        <v>37</v>
      </c>
      <c r="AA7" s="48" t="s">
        <v>38</v>
      </c>
      <c r="AB7" s="48" t="s">
        <v>39</v>
      </c>
      <c r="AC7" s="48" t="s">
        <v>40</v>
      </c>
      <c r="AD7" s="46" t="s">
        <v>43</v>
      </c>
      <c r="AE7" s="47" t="s">
        <v>33</v>
      </c>
      <c r="AF7" s="48" t="s">
        <v>34</v>
      </c>
      <c r="AG7" s="48" t="s">
        <v>35</v>
      </c>
      <c r="AH7" s="48" t="s">
        <v>36</v>
      </c>
      <c r="AI7" s="48" t="s">
        <v>37</v>
      </c>
      <c r="AJ7" s="48" t="s">
        <v>38</v>
      </c>
      <c r="AK7" s="48" t="s">
        <v>39</v>
      </c>
      <c r="AL7" s="48" t="s">
        <v>40</v>
      </c>
      <c r="AM7" s="49"/>
      <c r="AN7" s="50"/>
      <c r="AO7" s="51"/>
      <c r="AP7" s="52"/>
      <c r="AQ7" s="53"/>
      <c r="AR7" s="53"/>
      <c r="AS7" s="54"/>
      <c r="AT7" s="51"/>
      <c r="AU7" s="52"/>
      <c r="AV7" s="53"/>
      <c r="AW7" s="53"/>
      <c r="AX7" s="55"/>
      <c r="AY7" s="56"/>
      <c r="AZ7" s="57" t="s">
        <v>44</v>
      </c>
      <c r="BA7" s="57" t="s">
        <v>45</v>
      </c>
      <c r="BB7" s="57" t="s">
        <v>46</v>
      </c>
      <c r="BC7" s="58" t="s">
        <v>47</v>
      </c>
      <c r="BD7" s="59"/>
      <c r="BE7" s="60"/>
      <c r="BF7" s="50"/>
      <c r="BG7" s="49"/>
      <c r="BH7" s="49"/>
      <c r="BI7" s="49"/>
      <c r="BJ7" s="49"/>
      <c r="BK7" s="49"/>
      <c r="BL7" s="61"/>
    </row>
    <row r="8" spans="1:64" x14ac:dyDescent="0.3">
      <c r="A8" s="63" t="s">
        <v>48</v>
      </c>
      <c r="B8" s="64"/>
      <c r="C8" s="65">
        <f t="shared" ref="C8:BL8" si="0">SUBTOTAL(4,C17:C426)</f>
        <v>40</v>
      </c>
      <c r="D8" s="66">
        <f t="shared" si="0"/>
        <v>40</v>
      </c>
      <c r="E8" s="66">
        <f t="shared" si="0"/>
        <v>40</v>
      </c>
      <c r="F8" s="66">
        <f t="shared" si="0"/>
        <v>0</v>
      </c>
      <c r="G8" s="66">
        <f t="shared" si="0"/>
        <v>0</v>
      </c>
      <c r="H8" s="66">
        <f t="shared" si="0"/>
        <v>0</v>
      </c>
      <c r="I8" s="66">
        <f t="shared" si="0"/>
        <v>0</v>
      </c>
      <c r="J8" s="66">
        <f t="shared" si="0"/>
        <v>0</v>
      </c>
      <c r="K8" s="66">
        <f t="shared" si="0"/>
        <v>0</v>
      </c>
      <c r="L8" s="67">
        <f t="shared" si="0"/>
        <v>8.6</v>
      </c>
      <c r="M8" s="68">
        <f t="shared" si="0"/>
        <v>8.6199999999999992</v>
      </c>
      <c r="N8" s="68">
        <f t="shared" si="0"/>
        <v>8.57</v>
      </c>
      <c r="O8" s="68">
        <f t="shared" si="0"/>
        <v>0</v>
      </c>
      <c r="P8" s="68">
        <f t="shared" si="0"/>
        <v>0</v>
      </c>
      <c r="Q8" s="68">
        <f t="shared" si="0"/>
        <v>0</v>
      </c>
      <c r="R8" s="68">
        <f t="shared" si="0"/>
        <v>0</v>
      </c>
      <c r="S8" s="68">
        <f t="shared" si="0"/>
        <v>0</v>
      </c>
      <c r="T8" s="68">
        <f t="shared" si="0"/>
        <v>0</v>
      </c>
      <c r="U8" s="69">
        <f t="shared" si="0"/>
        <v>2430</v>
      </c>
      <c r="V8" s="70">
        <f t="shared" si="0"/>
        <v>2520</v>
      </c>
      <c r="W8" s="70">
        <f t="shared" si="0"/>
        <v>2390</v>
      </c>
      <c r="X8" s="70">
        <f t="shared" si="0"/>
        <v>0</v>
      </c>
      <c r="Y8" s="70">
        <f t="shared" si="0"/>
        <v>0</v>
      </c>
      <c r="Z8" s="70">
        <f t="shared" si="0"/>
        <v>0</v>
      </c>
      <c r="AA8" s="70">
        <f t="shared" si="0"/>
        <v>0</v>
      </c>
      <c r="AB8" s="70">
        <f t="shared" si="0"/>
        <v>0</v>
      </c>
      <c r="AC8" s="70">
        <f t="shared" si="0"/>
        <v>0</v>
      </c>
      <c r="AD8" s="69">
        <f t="shared" si="0"/>
        <v>9750</v>
      </c>
      <c r="AE8" s="70">
        <f t="shared" si="0"/>
        <v>9800</v>
      </c>
      <c r="AF8" s="70">
        <f t="shared" si="0"/>
        <v>9700</v>
      </c>
      <c r="AG8" s="70">
        <f t="shared" si="0"/>
        <v>0</v>
      </c>
      <c r="AH8" s="70">
        <f t="shared" si="0"/>
        <v>0</v>
      </c>
      <c r="AI8" s="70">
        <f t="shared" si="0"/>
        <v>0</v>
      </c>
      <c r="AJ8" s="70">
        <f t="shared" si="0"/>
        <v>0</v>
      </c>
      <c r="AK8" s="70">
        <f t="shared" si="0"/>
        <v>0</v>
      </c>
      <c r="AL8" s="70">
        <f t="shared" si="0"/>
        <v>0</v>
      </c>
      <c r="AM8" s="70">
        <f t="shared" si="0"/>
        <v>118</v>
      </c>
      <c r="AN8" s="70">
        <f t="shared" si="0"/>
        <v>175.75</v>
      </c>
      <c r="AO8" s="71">
        <f t="shared" si="0"/>
        <v>34.799999999999997</v>
      </c>
      <c r="AP8" s="72">
        <f t="shared" si="0"/>
        <v>30.728399999999997</v>
      </c>
      <c r="AQ8" s="73">
        <f t="shared" si="0"/>
        <v>96.8</v>
      </c>
      <c r="AR8" s="73">
        <f t="shared" si="0"/>
        <v>28.599999999999994</v>
      </c>
      <c r="AS8" s="74">
        <f t="shared" si="0"/>
        <v>46</v>
      </c>
      <c r="AT8" s="75">
        <f t="shared" si="0"/>
        <v>21.75</v>
      </c>
      <c r="AU8" s="76">
        <f t="shared" si="0"/>
        <v>14.485549999999998</v>
      </c>
      <c r="AV8" s="73">
        <f t="shared" si="0"/>
        <v>72.961904761904762</v>
      </c>
      <c r="AW8" s="73">
        <f t="shared" si="0"/>
        <v>85.92642487046632</v>
      </c>
      <c r="AX8" s="65">
        <f t="shared" si="0"/>
        <v>97.829784547205861</v>
      </c>
      <c r="AY8" s="77">
        <f t="shared" si="0"/>
        <v>79.849999999999994</v>
      </c>
      <c r="AZ8" s="78">
        <f t="shared" si="0"/>
        <v>66.864999999999995</v>
      </c>
      <c r="BA8" s="78">
        <f t="shared" si="0"/>
        <v>0</v>
      </c>
      <c r="BB8" s="78">
        <f t="shared" si="0"/>
        <v>226</v>
      </c>
      <c r="BC8" s="78">
        <f t="shared" si="0"/>
        <v>0</v>
      </c>
      <c r="BD8" s="79">
        <f t="shared" si="0"/>
        <v>175.75</v>
      </c>
      <c r="BE8" s="69">
        <f t="shared" si="0"/>
        <v>14076</v>
      </c>
      <c r="BF8" s="70">
        <f t="shared" si="0"/>
        <v>900</v>
      </c>
      <c r="BG8" s="80">
        <f t="shared" si="0"/>
        <v>3521</v>
      </c>
      <c r="BH8" s="80">
        <f t="shared" si="0"/>
        <v>8138</v>
      </c>
      <c r="BI8" s="80">
        <f t="shared" si="0"/>
        <v>7632</v>
      </c>
      <c r="BJ8" s="80">
        <f t="shared" si="0"/>
        <v>0</v>
      </c>
      <c r="BK8" s="80">
        <f t="shared" si="0"/>
        <v>0</v>
      </c>
      <c r="BL8" s="79">
        <f t="shared" si="0"/>
        <v>0</v>
      </c>
    </row>
    <row r="9" spans="1:64" x14ac:dyDescent="0.3">
      <c r="A9" s="81" t="s">
        <v>49</v>
      </c>
      <c r="B9" s="82"/>
      <c r="C9" s="83">
        <f t="shared" ref="C9:BL9" si="1">SUBTOTAL(5,C17:C426)</f>
        <v>34.5</v>
      </c>
      <c r="D9" s="84">
        <f t="shared" si="1"/>
        <v>35</v>
      </c>
      <c r="E9" s="84">
        <f t="shared" si="1"/>
        <v>34</v>
      </c>
      <c r="F9" s="84">
        <f t="shared" si="1"/>
        <v>0</v>
      </c>
      <c r="G9" s="84">
        <f t="shared" si="1"/>
        <v>0</v>
      </c>
      <c r="H9" s="84">
        <f t="shared" si="1"/>
        <v>0</v>
      </c>
      <c r="I9" s="84">
        <f t="shared" si="1"/>
        <v>0</v>
      </c>
      <c r="J9" s="84">
        <f t="shared" si="1"/>
        <v>0</v>
      </c>
      <c r="K9" s="84">
        <f t="shared" si="1"/>
        <v>0</v>
      </c>
      <c r="L9" s="85">
        <f t="shared" si="1"/>
        <v>7.4</v>
      </c>
      <c r="M9" s="86">
        <f t="shared" si="1"/>
        <v>7.49</v>
      </c>
      <c r="N9" s="86">
        <f t="shared" si="1"/>
        <v>7.21</v>
      </c>
      <c r="O9" s="86">
        <f t="shared" si="1"/>
        <v>0</v>
      </c>
      <c r="P9" s="86">
        <f t="shared" si="1"/>
        <v>0</v>
      </c>
      <c r="Q9" s="86">
        <f t="shared" si="1"/>
        <v>0</v>
      </c>
      <c r="R9" s="86">
        <f t="shared" si="1"/>
        <v>0</v>
      </c>
      <c r="S9" s="86">
        <f t="shared" si="1"/>
        <v>0</v>
      </c>
      <c r="T9" s="86">
        <f t="shared" si="1"/>
        <v>0</v>
      </c>
      <c r="U9" s="87">
        <f t="shared" si="1"/>
        <v>864.5</v>
      </c>
      <c r="V9" s="88">
        <f t="shared" si="1"/>
        <v>987</v>
      </c>
      <c r="W9" s="88">
        <f t="shared" si="1"/>
        <v>142</v>
      </c>
      <c r="X9" s="88">
        <f t="shared" si="1"/>
        <v>0</v>
      </c>
      <c r="Y9" s="88">
        <f t="shared" si="1"/>
        <v>0</v>
      </c>
      <c r="Z9" s="88">
        <f t="shared" si="1"/>
        <v>0</v>
      </c>
      <c r="AA9" s="88">
        <f t="shared" si="1"/>
        <v>0</v>
      </c>
      <c r="AB9" s="88">
        <f t="shared" si="1"/>
        <v>0</v>
      </c>
      <c r="AC9" s="88">
        <f t="shared" si="1"/>
        <v>0</v>
      </c>
      <c r="AD9" s="87">
        <f t="shared" si="1"/>
        <v>6915</v>
      </c>
      <c r="AE9" s="88">
        <f t="shared" si="1"/>
        <v>6978</v>
      </c>
      <c r="AF9" s="88">
        <f t="shared" si="1"/>
        <v>6680</v>
      </c>
      <c r="AG9" s="88">
        <f t="shared" si="1"/>
        <v>0</v>
      </c>
      <c r="AH9" s="88">
        <f t="shared" si="1"/>
        <v>0</v>
      </c>
      <c r="AI9" s="88">
        <f t="shared" si="1"/>
        <v>0</v>
      </c>
      <c r="AJ9" s="88">
        <f t="shared" si="1"/>
        <v>0</v>
      </c>
      <c r="AK9" s="88">
        <f t="shared" si="1"/>
        <v>0</v>
      </c>
      <c r="AL9" s="88">
        <f t="shared" si="1"/>
        <v>0</v>
      </c>
      <c r="AM9" s="88">
        <f t="shared" si="1"/>
        <v>26.856330014224753</v>
      </c>
      <c r="AN9" s="88">
        <f t="shared" si="1"/>
        <v>0</v>
      </c>
      <c r="AO9" s="89">
        <f t="shared" si="1"/>
        <v>8.6</v>
      </c>
      <c r="AP9" s="90">
        <f t="shared" si="1"/>
        <v>0</v>
      </c>
      <c r="AQ9" s="91">
        <f t="shared" si="1"/>
        <v>71.400000000000006</v>
      </c>
      <c r="AR9" s="91">
        <f t="shared" si="1"/>
        <v>3.2000000000000028</v>
      </c>
      <c r="AS9" s="92">
        <f t="shared" si="1"/>
        <v>0</v>
      </c>
      <c r="AT9" s="93">
        <f t="shared" si="1"/>
        <v>10.5</v>
      </c>
      <c r="AU9" s="94">
        <f t="shared" si="1"/>
        <v>2.7162000000000002</v>
      </c>
      <c r="AV9" s="91">
        <f t="shared" si="1"/>
        <v>14.07357512953368</v>
      </c>
      <c r="AW9" s="91">
        <f t="shared" si="1"/>
        <v>27.038095238095238</v>
      </c>
      <c r="AX9" s="83">
        <f t="shared" si="1"/>
        <v>51.064597693650491</v>
      </c>
      <c r="AY9" s="95">
        <f t="shared" si="1"/>
        <v>68.45</v>
      </c>
      <c r="AZ9" s="96">
        <f t="shared" si="1"/>
        <v>48.194999999999993</v>
      </c>
      <c r="BA9" s="96">
        <f t="shared" si="1"/>
        <v>0</v>
      </c>
      <c r="BB9" s="96">
        <f t="shared" si="1"/>
        <v>22.5</v>
      </c>
      <c r="BC9" s="96">
        <f t="shared" si="1"/>
        <v>0</v>
      </c>
      <c r="BD9" s="97">
        <f t="shared" si="1"/>
        <v>0</v>
      </c>
      <c r="BE9" s="87">
        <f t="shared" si="1"/>
        <v>4</v>
      </c>
      <c r="BF9" s="88">
        <f t="shared" si="1"/>
        <v>0</v>
      </c>
      <c r="BG9" s="98">
        <f t="shared" si="1"/>
        <v>0</v>
      </c>
      <c r="BH9" s="98">
        <f t="shared" si="1"/>
        <v>0</v>
      </c>
      <c r="BI9" s="98">
        <f t="shared" si="1"/>
        <v>0</v>
      </c>
      <c r="BJ9" s="98">
        <f t="shared" si="1"/>
        <v>0</v>
      </c>
      <c r="BK9" s="98">
        <f t="shared" si="1"/>
        <v>0</v>
      </c>
      <c r="BL9" s="97">
        <f t="shared" si="1"/>
        <v>0</v>
      </c>
    </row>
    <row r="10" spans="1:64" x14ac:dyDescent="0.3">
      <c r="A10" s="81" t="s">
        <v>50</v>
      </c>
      <c r="B10" s="82"/>
      <c r="C10" s="83">
        <f t="shared" ref="C10:BL10" si="2">IFERROR(SUBTOTAL(1,C17:C426),"")</f>
        <v>36.999700598802399</v>
      </c>
      <c r="D10" s="84">
        <f t="shared" si="2"/>
        <v>37.21397260273973</v>
      </c>
      <c r="E10" s="84">
        <f t="shared" si="2"/>
        <v>36.975616438356163</v>
      </c>
      <c r="F10" s="84" t="str">
        <f t="shared" si="2"/>
        <v/>
      </c>
      <c r="G10" s="84" t="str">
        <f t="shared" si="2"/>
        <v/>
      </c>
      <c r="H10" s="84" t="str">
        <f t="shared" si="2"/>
        <v/>
      </c>
      <c r="I10" s="84" t="str">
        <f t="shared" si="2"/>
        <v/>
      </c>
      <c r="J10" s="84" t="str">
        <f t="shared" si="2"/>
        <v/>
      </c>
      <c r="K10" s="84" t="str">
        <f t="shared" si="2"/>
        <v/>
      </c>
      <c r="L10" s="85">
        <f t="shared" si="2"/>
        <v>8.0597285067873266</v>
      </c>
      <c r="M10" s="86">
        <f t="shared" si="2"/>
        <v>8.1002727272727277</v>
      </c>
      <c r="N10" s="86">
        <f t="shared" si="2"/>
        <v>8.0140909090909176</v>
      </c>
      <c r="O10" s="86" t="str">
        <f t="shared" si="2"/>
        <v/>
      </c>
      <c r="P10" s="86" t="str">
        <f t="shared" si="2"/>
        <v/>
      </c>
      <c r="Q10" s="86" t="str">
        <f t="shared" si="2"/>
        <v/>
      </c>
      <c r="R10" s="86" t="str">
        <f t="shared" si="2"/>
        <v/>
      </c>
      <c r="S10" s="86" t="str">
        <f t="shared" si="2"/>
        <v/>
      </c>
      <c r="T10" s="86" t="str">
        <f t="shared" si="2"/>
        <v/>
      </c>
      <c r="U10" s="87">
        <f t="shared" si="2"/>
        <v>1497.2847533632287</v>
      </c>
      <c r="V10" s="88">
        <f t="shared" si="2"/>
        <v>1558.1621621621621</v>
      </c>
      <c r="W10" s="88">
        <f t="shared" si="2"/>
        <v>1436.7117117117118</v>
      </c>
      <c r="X10" s="88" t="str">
        <f t="shared" si="2"/>
        <v/>
      </c>
      <c r="Y10" s="88" t="str">
        <f t="shared" si="2"/>
        <v/>
      </c>
      <c r="Z10" s="88" t="str">
        <f t="shared" si="2"/>
        <v/>
      </c>
      <c r="AA10" s="88" t="str">
        <f t="shared" si="2"/>
        <v/>
      </c>
      <c r="AB10" s="88" t="str">
        <f t="shared" si="2"/>
        <v/>
      </c>
      <c r="AC10" s="88" t="str">
        <f t="shared" si="2"/>
        <v/>
      </c>
      <c r="AD10" s="87">
        <f t="shared" si="2"/>
        <v>7978.078125</v>
      </c>
      <c r="AE10" s="88">
        <f t="shared" si="2"/>
        <v>8076.8125</v>
      </c>
      <c r="AF10" s="88">
        <f t="shared" si="2"/>
        <v>7879.6451612903229</v>
      </c>
      <c r="AG10" s="88" t="str">
        <f t="shared" si="2"/>
        <v/>
      </c>
      <c r="AH10" s="88" t="str">
        <f t="shared" si="2"/>
        <v/>
      </c>
      <c r="AI10" s="88" t="str">
        <f t="shared" si="2"/>
        <v/>
      </c>
      <c r="AJ10" s="88" t="str">
        <f t="shared" si="2"/>
        <v/>
      </c>
      <c r="AK10" s="88" t="str">
        <f t="shared" si="2"/>
        <v/>
      </c>
      <c r="AL10" s="88" t="str">
        <f t="shared" si="2"/>
        <v/>
      </c>
      <c r="AM10" s="88">
        <f t="shared" si="2"/>
        <v>40.759558276698215</v>
      </c>
      <c r="AN10" s="88">
        <f t="shared" si="2"/>
        <v>117.37216438356164</v>
      </c>
      <c r="AO10" s="89">
        <f t="shared" si="2"/>
        <v>21.323076923076922</v>
      </c>
      <c r="AP10" s="90">
        <f t="shared" si="2"/>
        <v>17.249467499999998</v>
      </c>
      <c r="AQ10" s="91">
        <f t="shared" si="2"/>
        <v>82.012820512820497</v>
      </c>
      <c r="AR10" s="91">
        <f t="shared" si="2"/>
        <v>17.987179487179489</v>
      </c>
      <c r="AS10" s="92">
        <f t="shared" si="2"/>
        <v>12.153424657534247</v>
      </c>
      <c r="AT10" s="93">
        <f t="shared" si="2"/>
        <v>14.987404580152674</v>
      </c>
      <c r="AU10" s="94">
        <f t="shared" si="2"/>
        <v>8.2793379844961219</v>
      </c>
      <c r="AV10" s="91">
        <f t="shared" si="2"/>
        <v>55.353224941343846</v>
      </c>
      <c r="AW10" s="91">
        <f t="shared" si="2"/>
        <v>44.646775058656168</v>
      </c>
      <c r="AX10" s="83">
        <f t="shared" si="2"/>
        <v>72.063041562850842</v>
      </c>
      <c r="AY10" s="95">
        <f t="shared" si="2"/>
        <v>75.151562499999969</v>
      </c>
      <c r="AZ10" s="96">
        <f t="shared" si="2"/>
        <v>60.903004807692319</v>
      </c>
      <c r="BA10" s="96" t="str">
        <f t="shared" si="2"/>
        <v/>
      </c>
      <c r="BB10" s="96">
        <f t="shared" si="2"/>
        <v>56.838942307692307</v>
      </c>
      <c r="BC10" s="96" t="str">
        <f t="shared" si="2"/>
        <v/>
      </c>
      <c r="BD10" s="97">
        <f>IFERROR(SUBTOTAL(1,BD17:BD426),"")</f>
        <v>117.33376373626373</v>
      </c>
      <c r="BE10" s="87">
        <f t="shared" si="2"/>
        <v>6270.9190751445085</v>
      </c>
      <c r="BF10" s="88">
        <f t="shared" si="2"/>
        <v>181.7013698630137</v>
      </c>
      <c r="BG10" s="98">
        <f t="shared" si="2"/>
        <v>88.350684931506848</v>
      </c>
      <c r="BH10" s="98">
        <f t="shared" si="2"/>
        <v>1244.3205479452056</v>
      </c>
      <c r="BI10" s="98">
        <f t="shared" si="2"/>
        <v>4430.1150684931508</v>
      </c>
      <c r="BJ10" s="98" t="str">
        <f t="shared" si="2"/>
        <v/>
      </c>
      <c r="BK10" s="98" t="str">
        <f t="shared" si="2"/>
        <v/>
      </c>
      <c r="BL10" s="97" t="str">
        <f t="shared" si="2"/>
        <v/>
      </c>
    </row>
    <row r="11" spans="1:64" ht="17.25" thickBot="1" x14ac:dyDescent="0.35">
      <c r="A11" s="99" t="s">
        <v>51</v>
      </c>
      <c r="B11" s="100"/>
      <c r="C11" s="101"/>
      <c r="D11" s="102"/>
      <c r="E11" s="102"/>
      <c r="F11" s="102"/>
      <c r="G11" s="102"/>
      <c r="H11" s="102"/>
      <c r="I11" s="102"/>
      <c r="J11" s="102"/>
      <c r="K11" s="102"/>
      <c r="L11" s="103"/>
      <c r="M11" s="104"/>
      <c r="N11" s="104"/>
      <c r="O11" s="104"/>
      <c r="P11" s="104"/>
      <c r="Q11" s="104"/>
      <c r="R11" s="104"/>
      <c r="S11" s="104"/>
      <c r="T11" s="104"/>
      <c r="U11" s="105"/>
      <c r="V11" s="106"/>
      <c r="W11" s="106"/>
      <c r="X11" s="106"/>
      <c r="Y11" s="106"/>
      <c r="Z11" s="106"/>
      <c r="AA11" s="106"/>
      <c r="AB11" s="106"/>
      <c r="AC11" s="106"/>
      <c r="AD11" s="105"/>
      <c r="AE11" s="106"/>
      <c r="AF11" s="106"/>
      <c r="AG11" s="106"/>
      <c r="AH11" s="106"/>
      <c r="AI11" s="106"/>
      <c r="AJ11" s="106"/>
      <c r="AK11" s="106"/>
      <c r="AL11" s="106"/>
      <c r="AM11" s="106"/>
      <c r="AN11" s="107">
        <f>SUBTOTAL(9,AN17:AN425)</f>
        <v>42726.189999999995</v>
      </c>
      <c r="AO11" s="108"/>
      <c r="AP11" s="109"/>
      <c r="AQ11" s="110"/>
      <c r="AR11" s="110"/>
      <c r="AS11" s="111">
        <f>SUBTOTAL(9,AS17:AS425)</f>
        <v>4436</v>
      </c>
      <c r="AT11" s="112"/>
      <c r="AU11" s="113"/>
      <c r="AV11" s="110"/>
      <c r="AW11" s="110"/>
      <c r="AX11" s="101"/>
      <c r="AY11" s="114"/>
      <c r="AZ11" s="115"/>
      <c r="BA11" s="115"/>
      <c r="BB11" s="115"/>
      <c r="BC11" s="115"/>
      <c r="BD11" s="116">
        <f>SUBTOTAL(9,BD17:BD425)</f>
        <v>42594.84</v>
      </c>
      <c r="BE11" s="117">
        <f t="shared" ref="BE11:BL11" si="3">SUBTOTAL(9,BE17:BE425)</f>
        <v>2163452</v>
      </c>
      <c r="BF11" s="107">
        <f t="shared" si="3"/>
        <v>65846</v>
      </c>
      <c r="BG11" s="118">
        <f t="shared" si="3"/>
        <v>32248</v>
      </c>
      <c r="BH11" s="118">
        <f t="shared" si="3"/>
        <v>454177</v>
      </c>
      <c r="BI11" s="118">
        <f t="shared" si="3"/>
        <v>1611181</v>
      </c>
      <c r="BJ11" s="118">
        <f t="shared" si="3"/>
        <v>0</v>
      </c>
      <c r="BK11" s="118">
        <f t="shared" si="3"/>
        <v>0</v>
      </c>
      <c r="BL11" s="116">
        <f t="shared" si="3"/>
        <v>0</v>
      </c>
    </row>
    <row r="12" spans="1:64" ht="17.25" thickBot="1" x14ac:dyDescent="0.35">
      <c r="A12" s="99" t="s">
        <v>52</v>
      </c>
      <c r="B12" s="100"/>
      <c r="C12" s="101"/>
      <c r="D12" s="102"/>
      <c r="E12" s="102"/>
      <c r="F12" s="102"/>
      <c r="G12" s="102"/>
      <c r="H12" s="102"/>
      <c r="I12" s="102"/>
      <c r="J12" s="102"/>
      <c r="K12" s="102"/>
      <c r="L12" s="103"/>
      <c r="M12" s="104"/>
      <c r="N12" s="104"/>
      <c r="O12" s="104"/>
      <c r="P12" s="104"/>
      <c r="Q12" s="104"/>
      <c r="R12" s="104"/>
      <c r="S12" s="104"/>
      <c r="T12" s="104"/>
      <c r="U12" s="105"/>
      <c r="V12" s="106"/>
      <c r="W12" s="106"/>
      <c r="X12" s="106"/>
      <c r="Y12" s="106"/>
      <c r="Z12" s="106"/>
      <c r="AA12" s="106"/>
      <c r="AB12" s="106"/>
      <c r="AC12" s="106"/>
      <c r="AD12" s="105"/>
      <c r="AE12" s="106"/>
      <c r="AF12" s="106"/>
      <c r="AG12" s="106"/>
      <c r="AH12" s="106"/>
      <c r="AI12" s="106"/>
      <c r="AJ12" s="106"/>
      <c r="AK12" s="106"/>
      <c r="AL12" s="106"/>
      <c r="AM12" s="106"/>
      <c r="AN12" s="107">
        <f>IFERROR(SUBTOTAL(9,AN17:AN426)/COUNTA(AN17:AN47,AN52:AN80,AN85:AN115,AN120:AN149,AN154:AN184,AN189:AN218,AN223:AN253,AN258:AN288,AN293:AN322,AN327:AN357,AN362:AN391,AN396:AN426),"")</f>
        <v>117.37216438356164</v>
      </c>
      <c r="AO12" s="108"/>
      <c r="AP12" s="109"/>
      <c r="AQ12" s="110"/>
      <c r="AR12" s="110"/>
      <c r="AS12" s="111">
        <f>IFERROR(SUBTOTAL(9,AS17:AS426)/COUNTA(AS17:AS47,AS52:AS80,AS85:AS115,AS120:AS149,AS154:AS184,AS189:AS218,AS223:AS253,AS258:AS288,AS293:AS322,AS327:AS357,AS362:AS391,AS396:AS426),"")</f>
        <v>12.153424657534247</v>
      </c>
      <c r="AT12" s="112"/>
      <c r="AU12" s="113"/>
      <c r="AV12" s="110"/>
      <c r="AW12" s="110"/>
      <c r="AX12" s="101"/>
      <c r="AY12" s="114"/>
      <c r="AZ12" s="115"/>
      <c r="BA12" s="115"/>
      <c r="BB12" s="115"/>
      <c r="BC12" s="115"/>
      <c r="BD12" s="116">
        <f>IFERROR(SUBTOTAL(9,BD17:BD426)/COUNTA(BD17:BD47,BD52:BD80,BD85:BD115,BD120:BD149,BD154:BD184,BD189:BD218,BD223:BD253,BD258:BD288,BD293:BD322,BD327:BD357,BD362:BD391,BD396:BD426),"")</f>
        <v>117.33376373626373</v>
      </c>
      <c r="BE12" s="119">
        <f>SUBTOTAL(9,BE17:BE426)/COUNTA(BE17:BE47,BE52:BE80,BE85:BE115,BE120:BE149,BE154:BE184,BE189:BE218,BE223:BE253,BE258:BE288,BE293:BE322,BE327:BE357,BE362:BE391,BE396:BE426)</f>
        <v>5928.2459016393441</v>
      </c>
      <c r="BF12" s="120">
        <f>IFERROR(SUBTOTAL(9,BF17:BF426)/COUNTA(BF17:BF47,BF52:BF80,BF85:BF115,BF120:BF149,BF154:BF184,BF189:BF218,BF223:BF253,BF258:BF288,BF293:BF322,BF327:BF357,BF362:BF391,BF396:BF426),"")</f>
        <v>181.7013698630137</v>
      </c>
      <c r="BG12" s="121">
        <f t="shared" ref="BG12:BL12" si="4">IFERROR(SUBTOTAL(9,BG17:BG426)/COUNTA(BG17:BG47,BG52:BG80,BG85:BG115,BG120:BG149,BG154:BG184,BG189:BG218,BG223:BG253,BG258:BG288,BG293:BG322,BG327:BG357,BG362:BG391,BG396:BG426),"")</f>
        <v>88.350684931506848</v>
      </c>
      <c r="BH12" s="121">
        <f t="shared" si="4"/>
        <v>1244.3205479452056</v>
      </c>
      <c r="BI12" s="121">
        <f t="shared" si="4"/>
        <v>4430.1150684931508</v>
      </c>
      <c r="BJ12" s="121" t="str">
        <f t="shared" si="4"/>
        <v/>
      </c>
      <c r="BK12" s="121" t="str">
        <f t="shared" si="4"/>
        <v/>
      </c>
      <c r="BL12" s="122" t="str">
        <f t="shared" si="4"/>
        <v/>
      </c>
    </row>
    <row r="13" spans="1:64" s="125" customFormat="1" x14ac:dyDescent="0.3">
      <c r="A13" s="123"/>
      <c r="B13" s="123"/>
      <c r="C13" s="124"/>
      <c r="L13" s="126"/>
      <c r="M13" s="127"/>
      <c r="N13" s="127"/>
      <c r="O13" s="127"/>
      <c r="P13" s="127"/>
      <c r="Q13" s="127"/>
      <c r="R13" s="127"/>
      <c r="S13" s="127"/>
      <c r="T13" s="127"/>
      <c r="U13" s="128"/>
      <c r="V13" s="129"/>
      <c r="W13" s="129"/>
      <c r="X13" s="129"/>
      <c r="Y13" s="129"/>
      <c r="Z13" s="129"/>
      <c r="AA13" s="129"/>
      <c r="AB13" s="129"/>
      <c r="AC13" s="129"/>
      <c r="AD13" s="128"/>
      <c r="AE13" s="129"/>
      <c r="AF13" s="129"/>
      <c r="AG13" s="129"/>
      <c r="AH13" s="129"/>
      <c r="AI13" s="129"/>
      <c r="AJ13" s="129"/>
      <c r="AK13" s="129"/>
      <c r="AL13" s="129"/>
      <c r="AM13" s="128"/>
      <c r="AN13" s="124"/>
      <c r="AO13" s="130"/>
      <c r="AP13" s="130"/>
      <c r="AQ13" s="130"/>
      <c r="AR13" s="130"/>
      <c r="AS13" s="131"/>
      <c r="AT13" s="131"/>
      <c r="AU13" s="131"/>
      <c r="AV13" s="130"/>
      <c r="AW13" s="130"/>
      <c r="AY13" s="127"/>
      <c r="AZ13" s="127"/>
      <c r="BA13" s="127"/>
      <c r="BB13" s="127"/>
      <c r="BC13" s="127"/>
      <c r="BD13" s="124"/>
      <c r="BF13" s="129"/>
      <c r="BG13" s="129"/>
      <c r="BH13" s="129"/>
      <c r="BI13" s="129"/>
      <c r="BJ13" s="129"/>
      <c r="BK13" s="129"/>
      <c r="BL13" s="129"/>
    </row>
    <row r="14" spans="1:64" s="125" customFormat="1" ht="17.25" thickBot="1" x14ac:dyDescent="0.35">
      <c r="A14" s="123"/>
      <c r="B14" s="123"/>
      <c r="L14" s="127"/>
      <c r="M14" s="127"/>
      <c r="N14" s="127"/>
      <c r="O14" s="127"/>
      <c r="P14" s="127"/>
      <c r="Q14" s="127"/>
      <c r="R14" s="127"/>
      <c r="S14" s="127"/>
      <c r="T14" s="127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O14" s="130"/>
      <c r="AP14" s="130"/>
      <c r="AQ14" s="130"/>
      <c r="AR14" s="130"/>
      <c r="AS14" s="131"/>
      <c r="AT14" s="131"/>
      <c r="AU14" s="131"/>
      <c r="AV14" s="130"/>
      <c r="AW14" s="130"/>
      <c r="AY14" s="127"/>
      <c r="AZ14" s="127"/>
      <c r="BA14" s="127"/>
      <c r="BB14" s="127"/>
      <c r="BC14" s="127"/>
      <c r="BF14" s="129"/>
      <c r="BG14" s="129"/>
      <c r="BH14" s="129"/>
      <c r="BI14" s="129"/>
      <c r="BJ14" s="129"/>
      <c r="BK14" s="129"/>
      <c r="BL14" s="129"/>
    </row>
    <row r="15" spans="1:64" s="11" customFormat="1" ht="17.25" customHeight="1" thickBot="1" x14ac:dyDescent="0.35">
      <c r="A15" s="132" t="s">
        <v>53</v>
      </c>
      <c r="B15" s="133" t="s">
        <v>54</v>
      </c>
      <c r="C15" s="20" t="s">
        <v>5</v>
      </c>
      <c r="D15" s="21"/>
      <c r="E15" s="21"/>
      <c r="F15" s="21"/>
      <c r="G15" s="21"/>
      <c r="H15" s="21"/>
      <c r="I15" s="21"/>
      <c r="J15" s="21"/>
      <c r="K15" s="21"/>
      <c r="L15" s="22" t="s">
        <v>6</v>
      </c>
      <c r="M15" s="23"/>
      <c r="N15" s="23"/>
      <c r="O15" s="23"/>
      <c r="P15" s="23"/>
      <c r="Q15" s="23"/>
      <c r="R15" s="23"/>
      <c r="S15" s="23"/>
      <c r="T15" s="23"/>
      <c r="U15" s="24" t="s">
        <v>7</v>
      </c>
      <c r="V15" s="25"/>
      <c r="W15" s="25"/>
      <c r="X15" s="25"/>
      <c r="Y15" s="25"/>
      <c r="Z15" s="25"/>
      <c r="AA15" s="25"/>
      <c r="AB15" s="25"/>
      <c r="AC15" s="25"/>
      <c r="AD15" s="26" t="s">
        <v>8</v>
      </c>
      <c r="AE15" s="25"/>
      <c r="AF15" s="25"/>
      <c r="AG15" s="25"/>
      <c r="AH15" s="25"/>
      <c r="AI15" s="25"/>
      <c r="AJ15" s="25"/>
      <c r="AK15" s="25"/>
      <c r="AL15" s="25"/>
      <c r="AM15" s="26" t="s">
        <v>9</v>
      </c>
      <c r="AN15" s="24" t="s">
        <v>10</v>
      </c>
      <c r="AO15" s="27" t="s">
        <v>11</v>
      </c>
      <c r="AP15" s="28" t="s">
        <v>12</v>
      </c>
      <c r="AQ15" s="29" t="s">
        <v>13</v>
      </c>
      <c r="AR15" s="29" t="s">
        <v>14</v>
      </c>
      <c r="AS15" s="30" t="s">
        <v>15</v>
      </c>
      <c r="AT15" s="27" t="s">
        <v>16</v>
      </c>
      <c r="AU15" s="28" t="s">
        <v>17</v>
      </c>
      <c r="AV15" s="29" t="s">
        <v>18</v>
      </c>
      <c r="AW15" s="29" t="s">
        <v>19</v>
      </c>
      <c r="AX15" s="31" t="s">
        <v>20</v>
      </c>
      <c r="AY15" s="32" t="s">
        <v>21</v>
      </c>
      <c r="AZ15" s="33" t="s">
        <v>55</v>
      </c>
      <c r="BA15" s="34"/>
      <c r="BB15" s="34"/>
      <c r="BC15" s="34"/>
      <c r="BD15" s="25" t="s">
        <v>23</v>
      </c>
      <c r="BE15" s="35" t="s">
        <v>24</v>
      </c>
      <c r="BF15" s="24" t="s">
        <v>25</v>
      </c>
      <c r="BG15" s="26" t="s">
        <v>26</v>
      </c>
      <c r="BH15" s="26" t="s">
        <v>27</v>
      </c>
      <c r="BI15" s="26" t="s">
        <v>28</v>
      </c>
      <c r="BJ15" s="26" t="s">
        <v>29</v>
      </c>
      <c r="BK15" s="26" t="s">
        <v>30</v>
      </c>
      <c r="BL15" s="36" t="s">
        <v>31</v>
      </c>
    </row>
    <row r="16" spans="1:64" s="62" customFormat="1" ht="35.25" thickBot="1" x14ac:dyDescent="0.35">
      <c r="A16" s="134"/>
      <c r="B16" s="135"/>
      <c r="C16" s="39" t="s">
        <v>32</v>
      </c>
      <c r="D16" s="40" t="s">
        <v>33</v>
      </c>
      <c r="E16" s="41" t="s">
        <v>34</v>
      </c>
      <c r="F16" s="41" t="s">
        <v>35</v>
      </c>
      <c r="G16" s="41" t="s">
        <v>36</v>
      </c>
      <c r="H16" s="41" t="s">
        <v>37</v>
      </c>
      <c r="I16" s="41" t="s">
        <v>38</v>
      </c>
      <c r="J16" s="41" t="s">
        <v>39</v>
      </c>
      <c r="K16" s="41" t="s">
        <v>40</v>
      </c>
      <c r="L16" s="42" t="s">
        <v>41</v>
      </c>
      <c r="M16" s="43" t="s">
        <v>33</v>
      </c>
      <c r="N16" s="44" t="s">
        <v>34</v>
      </c>
      <c r="O16" s="44" t="s">
        <v>35</v>
      </c>
      <c r="P16" s="44" t="s">
        <v>36</v>
      </c>
      <c r="Q16" s="44" t="s">
        <v>37</v>
      </c>
      <c r="R16" s="44" t="s">
        <v>38</v>
      </c>
      <c r="S16" s="44" t="s">
        <v>39</v>
      </c>
      <c r="T16" s="45" t="s">
        <v>40</v>
      </c>
      <c r="U16" s="46" t="s">
        <v>42</v>
      </c>
      <c r="V16" s="47" t="s">
        <v>33</v>
      </c>
      <c r="W16" s="48" t="s">
        <v>34</v>
      </c>
      <c r="X16" s="48" t="s">
        <v>35</v>
      </c>
      <c r="Y16" s="48" t="s">
        <v>36</v>
      </c>
      <c r="Z16" s="48" t="s">
        <v>37</v>
      </c>
      <c r="AA16" s="48" t="s">
        <v>38</v>
      </c>
      <c r="AB16" s="48" t="s">
        <v>39</v>
      </c>
      <c r="AC16" s="48" t="s">
        <v>40</v>
      </c>
      <c r="AD16" s="46" t="s">
        <v>43</v>
      </c>
      <c r="AE16" s="47" t="s">
        <v>33</v>
      </c>
      <c r="AF16" s="48" t="s">
        <v>34</v>
      </c>
      <c r="AG16" s="48" t="s">
        <v>35</v>
      </c>
      <c r="AH16" s="48" t="s">
        <v>36</v>
      </c>
      <c r="AI16" s="48" t="s">
        <v>37</v>
      </c>
      <c r="AJ16" s="48" t="s">
        <v>38</v>
      </c>
      <c r="AK16" s="48" t="s">
        <v>39</v>
      </c>
      <c r="AL16" s="48" t="s">
        <v>40</v>
      </c>
      <c r="AM16" s="49"/>
      <c r="AN16" s="50"/>
      <c r="AO16" s="51"/>
      <c r="AP16" s="52"/>
      <c r="AQ16" s="53"/>
      <c r="AR16" s="53"/>
      <c r="AS16" s="54"/>
      <c r="AT16" s="51"/>
      <c r="AU16" s="52"/>
      <c r="AV16" s="53"/>
      <c r="AW16" s="53"/>
      <c r="AX16" s="55"/>
      <c r="AY16" s="56"/>
      <c r="AZ16" s="57" t="s">
        <v>44</v>
      </c>
      <c r="BA16" s="57" t="s">
        <v>45</v>
      </c>
      <c r="BB16" s="57" t="s">
        <v>46</v>
      </c>
      <c r="BC16" s="58" t="s">
        <v>47</v>
      </c>
      <c r="BD16" s="59"/>
      <c r="BE16" s="60"/>
      <c r="BF16" s="50"/>
      <c r="BG16" s="49"/>
      <c r="BH16" s="49"/>
      <c r="BI16" s="49"/>
      <c r="BJ16" s="49"/>
      <c r="BK16" s="49"/>
      <c r="BL16" s="61"/>
    </row>
    <row r="17" spans="1:64" outlineLevel="5" x14ac:dyDescent="0.3">
      <c r="A17" s="136">
        <f>MONTH(B17)</f>
        <v>1</v>
      </c>
      <c r="B17" s="137">
        <v>44562</v>
      </c>
      <c r="C17" s="138">
        <f>IFERROR(ROUND(AVERAGE(D17:K17),1),"")</f>
        <v>38</v>
      </c>
      <c r="D17" s="84">
        <v>38</v>
      </c>
      <c r="E17" s="84">
        <v>38</v>
      </c>
      <c r="F17" s="84"/>
      <c r="G17" s="84"/>
      <c r="H17" s="139"/>
      <c r="I17" s="139"/>
      <c r="J17" s="139"/>
      <c r="K17" s="139"/>
      <c r="L17" s="140" t="str">
        <f>IFERROR(ROUND(AVERAGE(M17:T17),1),"")</f>
        <v/>
      </c>
      <c r="M17" s="86"/>
      <c r="N17" s="86"/>
      <c r="O17" s="86"/>
      <c r="P17" s="86"/>
      <c r="Q17" s="141"/>
      <c r="R17" s="141"/>
      <c r="S17" s="141"/>
      <c r="T17" s="141"/>
      <c r="U17" s="142" t="str">
        <f>IFERROR(ROUND(AVERAGE(V17:AC17),1),"")</f>
        <v/>
      </c>
      <c r="V17" s="143"/>
      <c r="W17" s="143"/>
      <c r="X17" s="143"/>
      <c r="Y17" s="143"/>
      <c r="Z17" s="143"/>
      <c r="AA17" s="143"/>
      <c r="AB17" s="143"/>
      <c r="AC17" s="143"/>
      <c r="AD17" s="142" t="str">
        <f>IFERROR(ROUND(AVERAGE(AE17:AL17),1),"")</f>
        <v/>
      </c>
      <c r="AE17" s="143"/>
      <c r="AF17" s="143"/>
      <c r="AG17" s="143"/>
      <c r="AH17" s="143"/>
      <c r="AI17" s="143"/>
      <c r="AJ17" s="143"/>
      <c r="AK17" s="143"/>
      <c r="AL17" s="143"/>
      <c r="AM17" s="143">
        <v>44.281827563561308</v>
      </c>
      <c r="AN17" s="88">
        <v>106.59</v>
      </c>
      <c r="AO17" s="144"/>
      <c r="AP17" s="145"/>
      <c r="AQ17" s="146" t="str">
        <f>IFERROR(AP17/AO17*100,"")</f>
        <v/>
      </c>
      <c r="AR17" s="146" t="str">
        <f>IFERROR(100-AQ17,"")</f>
        <v/>
      </c>
      <c r="AS17" s="147">
        <v>0</v>
      </c>
      <c r="AT17" s="148" t="s">
        <v>106</v>
      </c>
      <c r="AU17" s="149" t="s">
        <v>56</v>
      </c>
      <c r="AV17" s="146" t="str">
        <f>IFERROR(AU17/AT17*100,"")</f>
        <v/>
      </c>
      <c r="AW17" s="146" t="str">
        <f>IFERROR(100-AV17,"")</f>
        <v/>
      </c>
      <c r="AX17" s="138" t="str">
        <f>IFERROR((1-((AV17*AR17)/(AW17*AQ17)))*100,"")</f>
        <v/>
      </c>
      <c r="AY17" s="95" t="s">
        <v>56</v>
      </c>
      <c r="AZ17" s="150">
        <v>61.07</v>
      </c>
      <c r="BA17" s="150"/>
      <c r="BB17" s="150">
        <v>58</v>
      </c>
      <c r="BC17" s="150"/>
      <c r="BD17" s="97">
        <v>106.59</v>
      </c>
      <c r="BE17" s="142">
        <f>IF(SUM(BF17:BL17)=0,"",SUM(BF17:BL17))</f>
        <v>5740</v>
      </c>
      <c r="BF17" s="98">
        <v>840</v>
      </c>
      <c r="BG17" s="98">
        <v>0</v>
      </c>
      <c r="BH17" s="98">
        <v>0</v>
      </c>
      <c r="BI17" s="98">
        <v>4900</v>
      </c>
      <c r="BJ17" s="98"/>
      <c r="BK17" s="98"/>
      <c r="BL17" s="151"/>
    </row>
    <row r="18" spans="1:64" outlineLevel="5" x14ac:dyDescent="0.3">
      <c r="A18" s="152">
        <f t="shared" ref="A18:A90" si="5">MONTH(B18)</f>
        <v>1</v>
      </c>
      <c r="B18" s="153">
        <f>B17+1</f>
        <v>44563</v>
      </c>
      <c r="C18" s="138">
        <f t="shared" ref="C18:C47" si="6">IFERROR(ROUND(AVERAGE(D18:K18),1),"")</f>
        <v>38</v>
      </c>
      <c r="D18" s="84">
        <v>38</v>
      </c>
      <c r="E18" s="84">
        <v>38</v>
      </c>
      <c r="F18" s="84"/>
      <c r="G18" s="84"/>
      <c r="H18" s="84"/>
      <c r="I18" s="84"/>
      <c r="J18" s="84"/>
      <c r="K18" s="84"/>
      <c r="L18" s="140" t="str">
        <f t="shared" ref="L18:L47" si="7">IFERROR(ROUND(AVERAGE(M18:T18),1),"")</f>
        <v/>
      </c>
      <c r="M18" s="86"/>
      <c r="N18" s="86"/>
      <c r="O18" s="86"/>
      <c r="P18" s="86"/>
      <c r="Q18" s="86"/>
      <c r="R18" s="86"/>
      <c r="S18" s="86"/>
      <c r="T18" s="86"/>
      <c r="U18" s="142" t="str">
        <f t="shared" ref="U18:U47" si="8">IFERROR(ROUND(AVERAGE(V18:AC18),1),"")</f>
        <v/>
      </c>
      <c r="V18" s="88"/>
      <c r="W18" s="88"/>
      <c r="X18" s="88"/>
      <c r="Y18" s="88"/>
      <c r="Z18" s="88"/>
      <c r="AA18" s="88"/>
      <c r="AB18" s="88"/>
      <c r="AC18" s="88"/>
      <c r="AD18" s="142" t="str">
        <f t="shared" ref="AD18:AD47" si="9">IFERROR(ROUND(AVERAGE(AE18:AL18),1),"")</f>
        <v/>
      </c>
      <c r="AE18" s="88"/>
      <c r="AF18" s="88"/>
      <c r="AG18" s="88"/>
      <c r="AH18" s="88"/>
      <c r="AI18" s="88"/>
      <c r="AJ18" s="88"/>
      <c r="AK18" s="88"/>
      <c r="AL18" s="88"/>
      <c r="AM18" s="143">
        <v>67.428571428571431</v>
      </c>
      <c r="AN18" s="88">
        <v>70</v>
      </c>
      <c r="AO18" s="144"/>
      <c r="AP18" s="145"/>
      <c r="AQ18" s="146" t="str">
        <f>IFERROR(AP18/AO18*100,"")</f>
        <v/>
      </c>
      <c r="AR18" s="146" t="str">
        <f>IFERROR(100-AQ18,"")</f>
        <v/>
      </c>
      <c r="AS18" s="147">
        <v>0</v>
      </c>
      <c r="AT18" s="148" t="s">
        <v>106</v>
      </c>
      <c r="AU18" s="149" t="s">
        <v>56</v>
      </c>
      <c r="AV18" s="146" t="str">
        <f>IFERROR(AU18/AT18*100,"")</f>
        <v/>
      </c>
      <c r="AW18" s="146" t="str">
        <f>IFERROR(100-AV18,"")</f>
        <v/>
      </c>
      <c r="AX18" s="138" t="str">
        <f t="shared" ref="AX18:AX47" si="10">IFERROR((1-((AV18*AR18)/(AW18*AQ18)))*100,"")</f>
        <v/>
      </c>
      <c r="AY18" s="95" t="s">
        <v>56</v>
      </c>
      <c r="AZ18" s="96" t="s">
        <v>56</v>
      </c>
      <c r="BA18" s="96"/>
      <c r="BB18" s="96" t="s">
        <v>56</v>
      </c>
      <c r="BC18" s="96"/>
      <c r="BD18" s="97">
        <v>70</v>
      </c>
      <c r="BE18" s="142">
        <f t="shared" ref="BE18:BE47" si="11">IF(SUM(BF18:BL18)=0,"",SUM(BF18:BL18))</f>
        <v>5071</v>
      </c>
      <c r="BF18" s="98">
        <v>490</v>
      </c>
      <c r="BG18" s="98">
        <v>0</v>
      </c>
      <c r="BH18" s="98">
        <v>0</v>
      </c>
      <c r="BI18" s="98">
        <v>4581</v>
      </c>
      <c r="BJ18" s="98"/>
      <c r="BK18" s="98"/>
      <c r="BL18" s="97"/>
    </row>
    <row r="19" spans="1:64" outlineLevel="5" x14ac:dyDescent="0.3">
      <c r="A19" s="152">
        <f t="shared" si="5"/>
        <v>1</v>
      </c>
      <c r="B19" s="153">
        <f t="shared" ref="B19:B79" si="12">B18+1</f>
        <v>44564</v>
      </c>
      <c r="C19" s="138">
        <f t="shared" si="6"/>
        <v>38.5</v>
      </c>
      <c r="D19" s="84">
        <v>39</v>
      </c>
      <c r="E19" s="84">
        <v>38</v>
      </c>
      <c r="F19" s="84"/>
      <c r="G19" s="84"/>
      <c r="H19" s="84"/>
      <c r="I19" s="84"/>
      <c r="J19" s="84"/>
      <c r="K19" s="84"/>
      <c r="L19" s="140">
        <f t="shared" si="7"/>
        <v>7.7</v>
      </c>
      <c r="M19" s="86">
        <v>7.81</v>
      </c>
      <c r="N19" s="86">
        <v>7.62</v>
      </c>
      <c r="O19" s="86"/>
      <c r="P19" s="86"/>
      <c r="Q19" s="86"/>
      <c r="R19" s="86"/>
      <c r="S19" s="86"/>
      <c r="T19" s="86"/>
      <c r="U19" s="142">
        <f t="shared" si="8"/>
        <v>1510</v>
      </c>
      <c r="V19" s="88">
        <v>1530</v>
      </c>
      <c r="W19" s="88">
        <v>1490</v>
      </c>
      <c r="X19" s="88"/>
      <c r="Y19" s="88"/>
      <c r="Z19" s="88"/>
      <c r="AA19" s="88"/>
      <c r="AB19" s="88"/>
      <c r="AC19" s="88"/>
      <c r="AD19" s="142" t="str">
        <f t="shared" si="9"/>
        <v/>
      </c>
      <c r="AE19" s="88"/>
      <c r="AF19" s="88"/>
      <c r="AG19" s="88"/>
      <c r="AH19" s="88"/>
      <c r="AI19" s="88"/>
      <c r="AJ19" s="88"/>
      <c r="AK19" s="88"/>
      <c r="AL19" s="88"/>
      <c r="AM19" s="143">
        <v>45.564243652862245</v>
      </c>
      <c r="AN19" s="88">
        <v>103.59</v>
      </c>
      <c r="AO19" s="144">
        <v>33.700000000000003</v>
      </c>
      <c r="AP19" s="145">
        <v>29.015700000000002</v>
      </c>
      <c r="AQ19" s="146">
        <f>IFERROR(AP19/AO19*100,"")</f>
        <v>86.1</v>
      </c>
      <c r="AR19" s="146">
        <f>IFERROR(100-AQ19,"")</f>
        <v>13.900000000000006</v>
      </c>
      <c r="AS19" s="147">
        <v>25</v>
      </c>
      <c r="AT19" s="148">
        <v>15.65</v>
      </c>
      <c r="AU19" s="149">
        <v>8.2201000000000004</v>
      </c>
      <c r="AV19" s="146">
        <f>IFERROR(AU19/AT19*100,"")</f>
        <v>52.524600638977638</v>
      </c>
      <c r="AW19" s="146">
        <f>IFERROR(100-AV19,"")</f>
        <v>47.475399361022362</v>
      </c>
      <c r="AX19" s="138">
        <f t="shared" si="10"/>
        <v>82.138999561976391</v>
      </c>
      <c r="AY19" s="95">
        <v>74.349999999999994</v>
      </c>
      <c r="AZ19" s="96">
        <v>62.22</v>
      </c>
      <c r="BA19" s="96"/>
      <c r="BB19" s="96">
        <v>36</v>
      </c>
      <c r="BC19" s="96"/>
      <c r="BD19" s="97">
        <v>103.59</v>
      </c>
      <c r="BE19" s="142">
        <f t="shared" si="11"/>
        <v>5398</v>
      </c>
      <c r="BF19" s="98">
        <v>447</v>
      </c>
      <c r="BG19" s="98">
        <v>0</v>
      </c>
      <c r="BH19" s="98">
        <v>108</v>
      </c>
      <c r="BI19" s="98">
        <v>4843</v>
      </c>
      <c r="BJ19" s="98"/>
      <c r="BK19" s="98"/>
      <c r="BL19" s="97"/>
    </row>
    <row r="20" spans="1:64" outlineLevel="5" x14ac:dyDescent="0.3">
      <c r="A20" s="152">
        <f t="shared" si="5"/>
        <v>1</v>
      </c>
      <c r="B20" s="153">
        <f t="shared" si="12"/>
        <v>44565</v>
      </c>
      <c r="C20" s="138">
        <f t="shared" si="6"/>
        <v>38</v>
      </c>
      <c r="D20" s="84">
        <v>38</v>
      </c>
      <c r="E20" s="84">
        <v>38</v>
      </c>
      <c r="F20" s="84"/>
      <c r="G20" s="84"/>
      <c r="H20" s="84"/>
      <c r="I20" s="84"/>
      <c r="J20" s="84"/>
      <c r="K20" s="84"/>
      <c r="L20" s="140">
        <f t="shared" si="7"/>
        <v>7.6</v>
      </c>
      <c r="M20" s="86">
        <v>7.7</v>
      </c>
      <c r="N20" s="86">
        <v>7.49</v>
      </c>
      <c r="O20" s="86"/>
      <c r="P20" s="86"/>
      <c r="Q20" s="86"/>
      <c r="R20" s="86"/>
      <c r="S20" s="86"/>
      <c r="T20" s="86"/>
      <c r="U20" s="142">
        <f t="shared" si="8"/>
        <v>1700</v>
      </c>
      <c r="V20" s="88">
        <v>1750</v>
      </c>
      <c r="W20" s="88">
        <v>1650</v>
      </c>
      <c r="X20" s="88"/>
      <c r="Y20" s="88"/>
      <c r="Z20" s="88"/>
      <c r="AA20" s="88"/>
      <c r="AB20" s="88"/>
      <c r="AC20" s="88"/>
      <c r="AD20" s="142" t="str">
        <f t="shared" si="9"/>
        <v/>
      </c>
      <c r="AE20" s="88"/>
      <c r="AF20" s="88"/>
      <c r="AG20" s="88"/>
      <c r="AH20" s="88"/>
      <c r="AI20" s="88"/>
      <c r="AJ20" s="88"/>
      <c r="AK20" s="88"/>
      <c r="AL20" s="88"/>
      <c r="AM20" s="143">
        <v>53.093363329583802</v>
      </c>
      <c r="AN20" s="88">
        <v>88.9</v>
      </c>
      <c r="AO20" s="144"/>
      <c r="AP20" s="145"/>
      <c r="AQ20" s="146" t="str">
        <f>IFERROR(AP20/AO20*100,"")</f>
        <v/>
      </c>
      <c r="AR20" s="146" t="str">
        <f>IFERROR(100-AQ20,"")</f>
        <v/>
      </c>
      <c r="AS20" s="147">
        <v>20</v>
      </c>
      <c r="AT20" s="148" t="s">
        <v>106</v>
      </c>
      <c r="AU20" s="149" t="s">
        <v>56</v>
      </c>
      <c r="AV20" s="146" t="str">
        <f>IFERROR(AU20/AT20*100,"")</f>
        <v/>
      </c>
      <c r="AW20" s="146" t="str">
        <f>IFERROR(100-AV20,"")</f>
        <v/>
      </c>
      <c r="AX20" s="138" t="str">
        <f t="shared" si="10"/>
        <v/>
      </c>
      <c r="AY20" s="95" t="s">
        <v>56</v>
      </c>
      <c r="AZ20" s="96">
        <v>59.47</v>
      </c>
      <c r="BA20" s="96"/>
      <c r="BB20" s="96">
        <v>46.5</v>
      </c>
      <c r="BC20" s="96"/>
      <c r="BD20" s="97">
        <v>88.9</v>
      </c>
      <c r="BE20" s="142">
        <f t="shared" si="11"/>
        <v>7734</v>
      </c>
      <c r="BF20" s="98">
        <v>285</v>
      </c>
      <c r="BG20" s="98">
        <v>0</v>
      </c>
      <c r="BH20" s="98">
        <v>2482</v>
      </c>
      <c r="BI20" s="98">
        <v>4967</v>
      </c>
      <c r="BJ20" s="98"/>
      <c r="BK20" s="98"/>
      <c r="BL20" s="97"/>
    </row>
    <row r="21" spans="1:64" outlineLevel="5" x14ac:dyDescent="0.3">
      <c r="A21" s="152">
        <f t="shared" si="5"/>
        <v>1</v>
      </c>
      <c r="B21" s="153">
        <f t="shared" si="12"/>
        <v>44566</v>
      </c>
      <c r="C21" s="138">
        <f t="shared" si="6"/>
        <v>38.5</v>
      </c>
      <c r="D21" s="84">
        <v>39</v>
      </c>
      <c r="E21" s="84">
        <v>38</v>
      </c>
      <c r="F21" s="84"/>
      <c r="G21" s="84"/>
      <c r="H21" s="84"/>
      <c r="I21" s="84"/>
      <c r="J21" s="84"/>
      <c r="K21" s="84"/>
      <c r="L21" s="140">
        <f t="shared" si="7"/>
        <v>7.6</v>
      </c>
      <c r="M21" s="86">
        <v>7.63</v>
      </c>
      <c r="N21" s="86">
        <v>7.52</v>
      </c>
      <c r="O21" s="86"/>
      <c r="P21" s="86"/>
      <c r="Q21" s="86"/>
      <c r="R21" s="86"/>
      <c r="S21" s="86"/>
      <c r="T21" s="86"/>
      <c r="U21" s="142">
        <f t="shared" si="8"/>
        <v>1745.5</v>
      </c>
      <c r="V21" s="88">
        <v>1856</v>
      </c>
      <c r="W21" s="88">
        <v>1635</v>
      </c>
      <c r="X21" s="88"/>
      <c r="Y21" s="88"/>
      <c r="Z21" s="88"/>
      <c r="AA21" s="88"/>
      <c r="AB21" s="88"/>
      <c r="AC21" s="88"/>
      <c r="AD21" s="142">
        <f t="shared" si="9"/>
        <v>8400</v>
      </c>
      <c r="AE21" s="88">
        <v>8500</v>
      </c>
      <c r="AF21" s="88">
        <v>8300</v>
      </c>
      <c r="AG21" s="88"/>
      <c r="AH21" s="88"/>
      <c r="AI21" s="88"/>
      <c r="AJ21" s="88"/>
      <c r="AK21" s="88"/>
      <c r="AL21" s="88"/>
      <c r="AM21" s="143">
        <v>44.465379180405087</v>
      </c>
      <c r="AN21" s="88">
        <v>106.15</v>
      </c>
      <c r="AO21" s="89"/>
      <c r="AP21" s="90"/>
      <c r="AQ21" s="146" t="str">
        <f t="shared" ref="AQ21:AQ47" si="13">IFERROR(AP21/AO21*100,"")</f>
        <v/>
      </c>
      <c r="AR21" s="146" t="str">
        <f t="shared" ref="AR21:AR47" si="14">IFERROR(100-AQ21,"")</f>
        <v/>
      </c>
      <c r="AS21" s="147">
        <v>20</v>
      </c>
      <c r="AT21" s="93">
        <v>19.649999999999999</v>
      </c>
      <c r="AU21" s="94">
        <v>12.533050000000003</v>
      </c>
      <c r="AV21" s="146">
        <f t="shared" ref="AV21:AV47" si="15">IFERROR(AU21/AT21*100,"")</f>
        <v>63.781424936386784</v>
      </c>
      <c r="AW21" s="146">
        <f t="shared" ref="AW21:AW47" si="16">IFERROR(100-AV21,"")</f>
        <v>36.218575063613216</v>
      </c>
      <c r="AX21" s="138" t="str">
        <f t="shared" si="10"/>
        <v/>
      </c>
      <c r="AY21" s="95">
        <v>75.25</v>
      </c>
      <c r="AZ21" s="96">
        <v>58.744999999999997</v>
      </c>
      <c r="BA21" s="96"/>
      <c r="BB21" s="96">
        <v>42.5</v>
      </c>
      <c r="BC21" s="96"/>
      <c r="BD21" s="97">
        <v>106.15</v>
      </c>
      <c r="BE21" s="142">
        <f t="shared" si="11"/>
        <v>6621</v>
      </c>
      <c r="BF21" s="98">
        <v>336</v>
      </c>
      <c r="BG21" s="98">
        <v>0</v>
      </c>
      <c r="BH21" s="98">
        <v>1136</v>
      </c>
      <c r="BI21" s="98">
        <v>5149</v>
      </c>
      <c r="BJ21" s="98"/>
      <c r="BK21" s="98"/>
      <c r="BL21" s="97"/>
    </row>
    <row r="22" spans="1:64" outlineLevel="5" x14ac:dyDescent="0.3">
      <c r="A22" s="152">
        <f t="shared" si="5"/>
        <v>1</v>
      </c>
      <c r="B22" s="153">
        <f t="shared" si="12"/>
        <v>44567</v>
      </c>
      <c r="C22" s="138">
        <f t="shared" si="6"/>
        <v>37.5</v>
      </c>
      <c r="D22" s="84">
        <v>38</v>
      </c>
      <c r="E22" s="84">
        <v>37</v>
      </c>
      <c r="F22" s="84"/>
      <c r="G22" s="84"/>
      <c r="H22" s="84"/>
      <c r="I22" s="84"/>
      <c r="J22" s="84"/>
      <c r="K22" s="84"/>
      <c r="L22" s="140">
        <f t="shared" si="7"/>
        <v>7.5</v>
      </c>
      <c r="M22" s="86">
        <v>7.5</v>
      </c>
      <c r="N22" s="86">
        <v>7.52</v>
      </c>
      <c r="O22" s="86"/>
      <c r="P22" s="86"/>
      <c r="Q22" s="86"/>
      <c r="R22" s="86"/>
      <c r="S22" s="86"/>
      <c r="T22" s="86"/>
      <c r="U22" s="142">
        <f t="shared" si="8"/>
        <v>1770</v>
      </c>
      <c r="V22" s="88">
        <v>1920</v>
      </c>
      <c r="W22" s="88">
        <v>1620</v>
      </c>
      <c r="X22" s="88"/>
      <c r="Y22" s="88"/>
      <c r="Z22" s="88"/>
      <c r="AA22" s="88"/>
      <c r="AB22" s="88"/>
      <c r="AC22" s="88"/>
      <c r="AD22" s="142" t="str">
        <f t="shared" si="9"/>
        <v/>
      </c>
      <c r="AE22" s="88"/>
      <c r="AF22" s="88"/>
      <c r="AG22" s="88"/>
      <c r="AH22" s="88"/>
      <c r="AI22" s="88"/>
      <c r="AJ22" s="88"/>
      <c r="AK22" s="88"/>
      <c r="AL22" s="88"/>
      <c r="AM22" s="143">
        <v>44.087427610685594</v>
      </c>
      <c r="AN22" s="88">
        <v>107.06</v>
      </c>
      <c r="AO22" s="89"/>
      <c r="AP22" s="90"/>
      <c r="AQ22" s="146" t="str">
        <f t="shared" si="13"/>
        <v/>
      </c>
      <c r="AR22" s="146" t="str">
        <f t="shared" si="14"/>
        <v/>
      </c>
      <c r="AS22" s="147">
        <v>21</v>
      </c>
      <c r="AT22" s="93">
        <v>15.600000000000001</v>
      </c>
      <c r="AU22" s="94">
        <v>8.5089000000000006</v>
      </c>
      <c r="AV22" s="146">
        <f t="shared" si="15"/>
        <v>54.544230769230772</v>
      </c>
      <c r="AW22" s="146">
        <f t="shared" si="16"/>
        <v>45.455769230769228</v>
      </c>
      <c r="AX22" s="138" t="str">
        <f t="shared" si="10"/>
        <v/>
      </c>
      <c r="AY22" s="95">
        <v>75.900000000000006</v>
      </c>
      <c r="AZ22" s="96">
        <v>58.64</v>
      </c>
      <c r="BA22" s="96"/>
      <c r="BB22" s="96">
        <v>46</v>
      </c>
      <c r="BC22" s="96"/>
      <c r="BD22" s="97">
        <v>107.06</v>
      </c>
      <c r="BE22" s="142">
        <f t="shared" si="11"/>
        <v>7994</v>
      </c>
      <c r="BF22" s="98">
        <v>411</v>
      </c>
      <c r="BG22" s="98">
        <v>0</v>
      </c>
      <c r="BH22" s="98">
        <v>2461</v>
      </c>
      <c r="BI22" s="98">
        <v>5122</v>
      </c>
      <c r="BJ22" s="98"/>
      <c r="BK22" s="98"/>
      <c r="BL22" s="97"/>
    </row>
    <row r="23" spans="1:64" outlineLevel="5" x14ac:dyDescent="0.3">
      <c r="A23" s="152">
        <f t="shared" si="5"/>
        <v>1</v>
      </c>
      <c r="B23" s="153">
        <f t="shared" si="12"/>
        <v>44568</v>
      </c>
      <c r="C23" s="138">
        <f t="shared" si="6"/>
        <v>37.5</v>
      </c>
      <c r="D23" s="84">
        <v>38</v>
      </c>
      <c r="E23" s="84">
        <v>37</v>
      </c>
      <c r="F23" s="84"/>
      <c r="G23" s="84"/>
      <c r="H23" s="84"/>
      <c r="I23" s="84"/>
      <c r="J23" s="84"/>
      <c r="K23" s="84"/>
      <c r="L23" s="140" t="str">
        <f t="shared" si="7"/>
        <v/>
      </c>
      <c r="M23" s="86"/>
      <c r="N23" s="86"/>
      <c r="O23" s="86"/>
      <c r="P23" s="86"/>
      <c r="Q23" s="86"/>
      <c r="R23" s="86"/>
      <c r="S23" s="86"/>
      <c r="T23" s="86"/>
      <c r="U23" s="142" t="str">
        <f t="shared" si="8"/>
        <v/>
      </c>
      <c r="V23" s="88"/>
      <c r="W23" s="88"/>
      <c r="X23" s="88"/>
      <c r="Y23" s="88"/>
      <c r="Z23" s="88"/>
      <c r="AA23" s="88"/>
      <c r="AB23" s="88"/>
      <c r="AC23" s="88"/>
      <c r="AD23" s="142" t="str">
        <f t="shared" si="9"/>
        <v/>
      </c>
      <c r="AE23" s="88"/>
      <c r="AF23" s="88"/>
      <c r="AG23" s="88"/>
      <c r="AH23" s="88"/>
      <c r="AI23" s="88"/>
      <c r="AJ23" s="88"/>
      <c r="AK23" s="88"/>
      <c r="AL23" s="88"/>
      <c r="AM23" s="143">
        <v>39.717266913497134</v>
      </c>
      <c r="AN23" s="88">
        <v>118.84</v>
      </c>
      <c r="AO23" s="89"/>
      <c r="AP23" s="90"/>
      <c r="AQ23" s="146" t="str">
        <f t="shared" si="13"/>
        <v/>
      </c>
      <c r="AR23" s="146" t="str">
        <f t="shared" si="14"/>
        <v/>
      </c>
      <c r="AS23" s="147">
        <v>0</v>
      </c>
      <c r="AT23" s="93" t="s">
        <v>106</v>
      </c>
      <c r="AU23" s="94" t="s">
        <v>56</v>
      </c>
      <c r="AV23" s="146" t="str">
        <f t="shared" si="15"/>
        <v/>
      </c>
      <c r="AW23" s="146" t="str">
        <f t="shared" si="16"/>
        <v/>
      </c>
      <c r="AX23" s="138" t="str">
        <f t="shared" si="10"/>
        <v/>
      </c>
      <c r="AY23" s="95" t="s">
        <v>56</v>
      </c>
      <c r="AZ23" s="96" t="s">
        <v>56</v>
      </c>
      <c r="BA23" s="96"/>
      <c r="BB23" s="96" t="s">
        <v>56</v>
      </c>
      <c r="BC23" s="96"/>
      <c r="BD23" s="97">
        <v>118.84</v>
      </c>
      <c r="BE23" s="142">
        <f t="shared" si="11"/>
        <v>7599</v>
      </c>
      <c r="BF23" s="98">
        <v>375</v>
      </c>
      <c r="BG23" s="98">
        <v>0</v>
      </c>
      <c r="BH23" s="98">
        <v>2135</v>
      </c>
      <c r="BI23" s="98">
        <v>5089</v>
      </c>
      <c r="BJ23" s="98"/>
      <c r="BK23" s="98"/>
      <c r="BL23" s="97"/>
    </row>
    <row r="24" spans="1:64" outlineLevel="5" x14ac:dyDescent="0.3">
      <c r="A24" s="152">
        <f t="shared" si="5"/>
        <v>1</v>
      </c>
      <c r="B24" s="153">
        <f t="shared" si="12"/>
        <v>44569</v>
      </c>
      <c r="C24" s="138">
        <f t="shared" si="6"/>
        <v>38</v>
      </c>
      <c r="D24" s="84">
        <v>38</v>
      </c>
      <c r="E24" s="84">
        <v>38</v>
      </c>
      <c r="F24" s="84"/>
      <c r="G24" s="84"/>
      <c r="H24" s="84"/>
      <c r="I24" s="84"/>
      <c r="J24" s="84"/>
      <c r="K24" s="84"/>
      <c r="L24" s="140" t="str">
        <f t="shared" si="7"/>
        <v/>
      </c>
      <c r="M24" s="86"/>
      <c r="N24" s="86"/>
      <c r="O24" s="86"/>
      <c r="P24" s="86"/>
      <c r="Q24" s="86"/>
      <c r="R24" s="86"/>
      <c r="S24" s="86"/>
      <c r="T24" s="86"/>
      <c r="U24" s="142" t="str">
        <f t="shared" si="8"/>
        <v/>
      </c>
      <c r="V24" s="88"/>
      <c r="W24" s="88"/>
      <c r="X24" s="88"/>
      <c r="Y24" s="88"/>
      <c r="Z24" s="88"/>
      <c r="AA24" s="88"/>
      <c r="AB24" s="88"/>
      <c r="AC24" s="88"/>
      <c r="AD24" s="142" t="str">
        <f t="shared" si="9"/>
        <v/>
      </c>
      <c r="AE24" s="88"/>
      <c r="AF24" s="88"/>
      <c r="AG24" s="88"/>
      <c r="AH24" s="88"/>
      <c r="AI24" s="88"/>
      <c r="AJ24" s="88"/>
      <c r="AK24" s="88"/>
      <c r="AL24" s="88"/>
      <c r="AM24" s="143">
        <v>35.566272323110539</v>
      </c>
      <c r="AN24" s="88">
        <v>132.71</v>
      </c>
      <c r="AO24" s="89"/>
      <c r="AP24" s="90"/>
      <c r="AQ24" s="146" t="str">
        <f t="shared" si="13"/>
        <v/>
      </c>
      <c r="AR24" s="146" t="str">
        <f t="shared" si="14"/>
        <v/>
      </c>
      <c r="AS24" s="147">
        <v>0</v>
      </c>
      <c r="AT24" s="93" t="s">
        <v>106</v>
      </c>
      <c r="AU24" s="94" t="s">
        <v>56</v>
      </c>
      <c r="AV24" s="146" t="str">
        <f t="shared" si="15"/>
        <v/>
      </c>
      <c r="AW24" s="146" t="str">
        <f t="shared" si="16"/>
        <v/>
      </c>
      <c r="AX24" s="138" t="str">
        <f t="shared" si="10"/>
        <v/>
      </c>
      <c r="AY24" s="95" t="s">
        <v>56</v>
      </c>
      <c r="AZ24" s="96">
        <v>57.03</v>
      </c>
      <c r="BA24" s="96"/>
      <c r="BB24" s="96">
        <v>42.5</v>
      </c>
      <c r="BC24" s="96"/>
      <c r="BD24" s="97">
        <v>132.71</v>
      </c>
      <c r="BE24" s="142">
        <f t="shared" si="11"/>
        <v>8263</v>
      </c>
      <c r="BF24" s="98">
        <v>396</v>
      </c>
      <c r="BG24" s="98">
        <v>0</v>
      </c>
      <c r="BH24" s="98">
        <v>3006</v>
      </c>
      <c r="BI24" s="98">
        <v>4861</v>
      </c>
      <c r="BJ24" s="98"/>
      <c r="BK24" s="98"/>
      <c r="BL24" s="97"/>
    </row>
    <row r="25" spans="1:64" outlineLevel="5" x14ac:dyDescent="0.3">
      <c r="A25" s="152">
        <f t="shared" si="5"/>
        <v>1</v>
      </c>
      <c r="B25" s="153">
        <f t="shared" si="12"/>
        <v>44570</v>
      </c>
      <c r="C25" s="138">
        <f t="shared" si="6"/>
        <v>38</v>
      </c>
      <c r="D25" s="84">
        <v>38</v>
      </c>
      <c r="E25" s="84">
        <v>38</v>
      </c>
      <c r="F25" s="84"/>
      <c r="G25" s="84"/>
      <c r="H25" s="84"/>
      <c r="I25" s="84"/>
      <c r="J25" s="84"/>
      <c r="K25" s="84"/>
      <c r="L25" s="140" t="str">
        <f t="shared" si="7"/>
        <v/>
      </c>
      <c r="M25" s="86"/>
      <c r="N25" s="86"/>
      <c r="O25" s="86"/>
      <c r="P25" s="86"/>
      <c r="Q25" s="86"/>
      <c r="R25" s="86"/>
      <c r="S25" s="86"/>
      <c r="T25" s="86"/>
      <c r="U25" s="142" t="str">
        <f t="shared" si="8"/>
        <v/>
      </c>
      <c r="V25" s="88"/>
      <c r="W25" s="88"/>
      <c r="X25" s="88"/>
      <c r="Y25" s="88"/>
      <c r="Z25" s="88"/>
      <c r="AA25" s="88"/>
      <c r="AB25" s="88"/>
      <c r="AC25" s="88"/>
      <c r="AD25" s="142" t="str">
        <f t="shared" si="9"/>
        <v/>
      </c>
      <c r="AE25" s="88"/>
      <c r="AF25" s="88"/>
      <c r="AG25" s="88"/>
      <c r="AH25" s="88"/>
      <c r="AI25" s="88"/>
      <c r="AJ25" s="88"/>
      <c r="AK25" s="88"/>
      <c r="AL25" s="88"/>
      <c r="AM25" s="143">
        <v>36.307692307692307</v>
      </c>
      <c r="AN25" s="88">
        <v>130</v>
      </c>
      <c r="AO25" s="89"/>
      <c r="AP25" s="90"/>
      <c r="AQ25" s="146" t="str">
        <f t="shared" si="13"/>
        <v/>
      </c>
      <c r="AR25" s="146" t="str">
        <f t="shared" si="14"/>
        <v/>
      </c>
      <c r="AS25" s="147">
        <v>0</v>
      </c>
      <c r="AT25" s="93" t="s">
        <v>106</v>
      </c>
      <c r="AU25" s="94" t="s">
        <v>56</v>
      </c>
      <c r="AV25" s="146" t="str">
        <f t="shared" si="15"/>
        <v/>
      </c>
      <c r="AW25" s="146" t="str">
        <f t="shared" si="16"/>
        <v/>
      </c>
      <c r="AX25" s="138" t="str">
        <f t="shared" si="10"/>
        <v/>
      </c>
      <c r="AY25" s="95" t="s">
        <v>56</v>
      </c>
      <c r="AZ25" s="96">
        <v>57.06</v>
      </c>
      <c r="BA25" s="96"/>
      <c r="BB25" s="96">
        <v>50.5</v>
      </c>
      <c r="BC25" s="96"/>
      <c r="BD25" s="97">
        <v>130</v>
      </c>
      <c r="BE25" s="142">
        <f t="shared" si="11"/>
        <v>4963</v>
      </c>
      <c r="BF25" s="98">
        <v>356</v>
      </c>
      <c r="BG25" s="98">
        <v>0</v>
      </c>
      <c r="BH25" s="98">
        <v>0</v>
      </c>
      <c r="BI25" s="98">
        <v>4607</v>
      </c>
      <c r="BJ25" s="98"/>
      <c r="BK25" s="98"/>
      <c r="BL25" s="97"/>
    </row>
    <row r="26" spans="1:64" outlineLevel="5" x14ac:dyDescent="0.3">
      <c r="A26" s="152">
        <f t="shared" si="5"/>
        <v>1</v>
      </c>
      <c r="B26" s="153">
        <f t="shared" si="12"/>
        <v>44571</v>
      </c>
      <c r="C26" s="138">
        <f t="shared" si="6"/>
        <v>38.5</v>
      </c>
      <c r="D26" s="84">
        <v>38</v>
      </c>
      <c r="E26" s="84">
        <v>39</v>
      </c>
      <c r="F26" s="84"/>
      <c r="G26" s="84"/>
      <c r="H26" s="84"/>
      <c r="I26" s="84"/>
      <c r="J26" s="84"/>
      <c r="K26" s="84"/>
      <c r="L26" s="140">
        <f t="shared" si="7"/>
        <v>7.6</v>
      </c>
      <c r="M26" s="86">
        <v>7.61</v>
      </c>
      <c r="N26" s="86">
        <v>7.52</v>
      </c>
      <c r="O26" s="86"/>
      <c r="P26" s="86"/>
      <c r="Q26" s="86"/>
      <c r="R26" s="86"/>
      <c r="S26" s="86"/>
      <c r="T26" s="86"/>
      <c r="U26" s="142">
        <f t="shared" si="8"/>
        <v>1539</v>
      </c>
      <c r="V26" s="88">
        <v>1653</v>
      </c>
      <c r="W26" s="88">
        <v>1425</v>
      </c>
      <c r="X26" s="88"/>
      <c r="Y26" s="88"/>
      <c r="Z26" s="88"/>
      <c r="AA26" s="88"/>
      <c r="AB26" s="88"/>
      <c r="AC26" s="88"/>
      <c r="AD26" s="142" t="str">
        <f t="shared" si="9"/>
        <v/>
      </c>
      <c r="AE26" s="88"/>
      <c r="AF26" s="88"/>
      <c r="AG26" s="88"/>
      <c r="AH26" s="88"/>
      <c r="AI26" s="88"/>
      <c r="AJ26" s="88"/>
      <c r="AK26" s="88"/>
      <c r="AL26" s="88"/>
      <c r="AM26" s="143">
        <v>45.450168512277322</v>
      </c>
      <c r="AN26" s="88">
        <v>103.85</v>
      </c>
      <c r="AO26" s="89">
        <v>27.7</v>
      </c>
      <c r="AP26" s="90">
        <v>21.190499999999997</v>
      </c>
      <c r="AQ26" s="146">
        <f t="shared" si="13"/>
        <v>76.499999999999986</v>
      </c>
      <c r="AR26" s="146">
        <f t="shared" si="14"/>
        <v>23.500000000000014</v>
      </c>
      <c r="AS26" s="147">
        <v>22</v>
      </c>
      <c r="AT26" s="93">
        <v>16.55</v>
      </c>
      <c r="AU26" s="94">
        <v>9.1603500000000011</v>
      </c>
      <c r="AV26" s="146">
        <f t="shared" si="15"/>
        <v>55.349546827794569</v>
      </c>
      <c r="AW26" s="146">
        <f t="shared" si="16"/>
        <v>44.650453172205431</v>
      </c>
      <c r="AX26" s="138">
        <f t="shared" si="10"/>
        <v>61.920202912313862</v>
      </c>
      <c r="AY26" s="95">
        <v>78.849999999999994</v>
      </c>
      <c r="AZ26" s="96" t="s">
        <v>56</v>
      </c>
      <c r="BA26" s="96"/>
      <c r="BB26" s="96" t="s">
        <v>56</v>
      </c>
      <c r="BC26" s="96"/>
      <c r="BD26" s="97">
        <v>103.85</v>
      </c>
      <c r="BE26" s="142">
        <f t="shared" si="11"/>
        <v>5766</v>
      </c>
      <c r="BF26" s="98">
        <v>337</v>
      </c>
      <c r="BG26" s="98">
        <v>0</v>
      </c>
      <c r="BH26" s="98">
        <v>694</v>
      </c>
      <c r="BI26" s="98">
        <v>4735</v>
      </c>
      <c r="BJ26" s="98"/>
      <c r="BK26" s="98"/>
      <c r="BL26" s="97"/>
    </row>
    <row r="27" spans="1:64" outlineLevel="5" x14ac:dyDescent="0.3">
      <c r="A27" s="152">
        <f t="shared" si="5"/>
        <v>1</v>
      </c>
      <c r="B27" s="153">
        <f t="shared" si="12"/>
        <v>44572</v>
      </c>
      <c r="C27" s="138">
        <f t="shared" si="6"/>
        <v>38</v>
      </c>
      <c r="D27" s="84">
        <v>38</v>
      </c>
      <c r="E27" s="84">
        <v>38</v>
      </c>
      <c r="F27" s="84"/>
      <c r="G27" s="84"/>
      <c r="H27" s="84"/>
      <c r="I27" s="84"/>
      <c r="J27" s="84"/>
      <c r="K27" s="84"/>
      <c r="L27" s="140" t="str">
        <f t="shared" si="7"/>
        <v/>
      </c>
      <c r="M27" s="86"/>
      <c r="N27" s="86"/>
      <c r="O27" s="86"/>
      <c r="P27" s="86"/>
      <c r="Q27" s="86"/>
      <c r="R27" s="86"/>
      <c r="S27" s="86"/>
      <c r="T27" s="86"/>
      <c r="U27" s="142">
        <f t="shared" si="8"/>
        <v>1546.5</v>
      </c>
      <c r="V27" s="88">
        <v>1624</v>
      </c>
      <c r="W27" s="88">
        <v>1469</v>
      </c>
      <c r="X27" s="88"/>
      <c r="Y27" s="88"/>
      <c r="Z27" s="88"/>
      <c r="AA27" s="88"/>
      <c r="AB27" s="88"/>
      <c r="AC27" s="88"/>
      <c r="AD27" s="142" t="str">
        <f t="shared" si="9"/>
        <v/>
      </c>
      <c r="AE27" s="88"/>
      <c r="AF27" s="88"/>
      <c r="AG27" s="88"/>
      <c r="AH27" s="88"/>
      <c r="AI27" s="88"/>
      <c r="AJ27" s="88"/>
      <c r="AK27" s="88"/>
      <c r="AL27" s="88"/>
      <c r="AM27" s="143">
        <v>38.380224426736056</v>
      </c>
      <c r="AN27" s="88">
        <v>122.98</v>
      </c>
      <c r="AO27" s="89"/>
      <c r="AP27" s="90"/>
      <c r="AQ27" s="146" t="str">
        <f t="shared" si="13"/>
        <v/>
      </c>
      <c r="AR27" s="146" t="str">
        <f t="shared" si="14"/>
        <v/>
      </c>
      <c r="AS27" s="147">
        <v>22</v>
      </c>
      <c r="AT27" s="93" t="s">
        <v>106</v>
      </c>
      <c r="AU27" s="94" t="s">
        <v>56</v>
      </c>
      <c r="AV27" s="146" t="str">
        <f t="shared" si="15"/>
        <v/>
      </c>
      <c r="AW27" s="146" t="str">
        <f t="shared" si="16"/>
        <v/>
      </c>
      <c r="AX27" s="138" t="str">
        <f t="shared" si="10"/>
        <v/>
      </c>
      <c r="AY27" s="95" t="s">
        <v>56</v>
      </c>
      <c r="AZ27" s="96">
        <v>58.405000000000001</v>
      </c>
      <c r="BA27" s="96"/>
      <c r="BB27" s="96">
        <v>53.5</v>
      </c>
      <c r="BC27" s="96"/>
      <c r="BD27" s="97">
        <v>122.98</v>
      </c>
      <c r="BE27" s="142">
        <f t="shared" si="11"/>
        <v>10572</v>
      </c>
      <c r="BF27" s="98">
        <v>408</v>
      </c>
      <c r="BG27" s="98">
        <v>0</v>
      </c>
      <c r="BH27" s="98">
        <v>5174</v>
      </c>
      <c r="BI27" s="98">
        <v>4990</v>
      </c>
      <c r="BJ27" s="98"/>
      <c r="BK27" s="98"/>
      <c r="BL27" s="97"/>
    </row>
    <row r="28" spans="1:64" outlineLevel="5" x14ac:dyDescent="0.3">
      <c r="A28" s="152">
        <f t="shared" si="5"/>
        <v>1</v>
      </c>
      <c r="B28" s="153">
        <f t="shared" si="12"/>
        <v>44573</v>
      </c>
      <c r="C28" s="138">
        <f t="shared" si="6"/>
        <v>37.5</v>
      </c>
      <c r="D28" s="84">
        <v>38</v>
      </c>
      <c r="E28" s="84">
        <v>37</v>
      </c>
      <c r="F28" s="84"/>
      <c r="G28" s="84"/>
      <c r="H28" s="84"/>
      <c r="I28" s="84"/>
      <c r="J28" s="84"/>
      <c r="K28" s="84"/>
      <c r="L28" s="140">
        <f t="shared" si="7"/>
        <v>7.6</v>
      </c>
      <c r="M28" s="86">
        <v>7.63</v>
      </c>
      <c r="N28" s="86">
        <v>7.52</v>
      </c>
      <c r="O28" s="86"/>
      <c r="P28" s="86"/>
      <c r="Q28" s="86"/>
      <c r="R28" s="86"/>
      <c r="S28" s="86"/>
      <c r="T28" s="86"/>
      <c r="U28" s="142">
        <f t="shared" si="8"/>
        <v>1514</v>
      </c>
      <c r="V28" s="88">
        <v>1598</v>
      </c>
      <c r="W28" s="88">
        <v>1430</v>
      </c>
      <c r="X28" s="88"/>
      <c r="Y28" s="88"/>
      <c r="Z28" s="88"/>
      <c r="AA28" s="88"/>
      <c r="AB28" s="88"/>
      <c r="AC28" s="88"/>
      <c r="AD28" s="142">
        <f t="shared" si="9"/>
        <v>8400</v>
      </c>
      <c r="AE28" s="88">
        <v>8600</v>
      </c>
      <c r="AF28" s="88">
        <v>8200</v>
      </c>
      <c r="AG28" s="88"/>
      <c r="AH28" s="88"/>
      <c r="AI28" s="88"/>
      <c r="AJ28" s="88"/>
      <c r="AK28" s="88"/>
      <c r="AL28" s="88"/>
      <c r="AM28" s="143">
        <v>44.36924233878549</v>
      </c>
      <c r="AN28" s="88">
        <v>106.38</v>
      </c>
      <c r="AO28" s="89"/>
      <c r="AP28" s="90"/>
      <c r="AQ28" s="146" t="str">
        <f t="shared" si="13"/>
        <v/>
      </c>
      <c r="AR28" s="146" t="str">
        <f t="shared" si="14"/>
        <v/>
      </c>
      <c r="AS28" s="147">
        <v>20</v>
      </c>
      <c r="AT28" s="93">
        <v>16.95</v>
      </c>
      <c r="AU28" s="94">
        <v>8.7622</v>
      </c>
      <c r="AV28" s="146">
        <f t="shared" si="15"/>
        <v>51.694395280235995</v>
      </c>
      <c r="AW28" s="146">
        <f t="shared" si="16"/>
        <v>48.305604719764005</v>
      </c>
      <c r="AX28" s="138" t="str">
        <f t="shared" si="10"/>
        <v/>
      </c>
      <c r="AY28" s="95">
        <v>75.7</v>
      </c>
      <c r="AZ28" s="96">
        <v>58.744999999999997</v>
      </c>
      <c r="BA28" s="96"/>
      <c r="BB28" s="96">
        <v>42.5</v>
      </c>
      <c r="BC28" s="96"/>
      <c r="BD28" s="97">
        <v>106.38</v>
      </c>
      <c r="BE28" s="142">
        <f t="shared" si="11"/>
        <v>11371</v>
      </c>
      <c r="BF28" s="98">
        <v>277</v>
      </c>
      <c r="BG28" s="98">
        <v>0</v>
      </c>
      <c r="BH28" s="98">
        <v>6142</v>
      </c>
      <c r="BI28" s="98">
        <v>4952</v>
      </c>
      <c r="BJ28" s="98"/>
      <c r="BK28" s="98"/>
      <c r="BL28" s="97"/>
    </row>
    <row r="29" spans="1:64" outlineLevel="5" x14ac:dyDescent="0.3">
      <c r="A29" s="152">
        <f t="shared" si="5"/>
        <v>1</v>
      </c>
      <c r="B29" s="153">
        <f t="shared" si="12"/>
        <v>44574</v>
      </c>
      <c r="C29" s="138">
        <f t="shared" si="6"/>
        <v>37.799999999999997</v>
      </c>
      <c r="D29" s="84">
        <v>38</v>
      </c>
      <c r="E29" s="84">
        <v>37.5</v>
      </c>
      <c r="F29" s="84"/>
      <c r="G29" s="84"/>
      <c r="H29" s="84"/>
      <c r="I29" s="84"/>
      <c r="J29" s="84"/>
      <c r="K29" s="84"/>
      <c r="L29" s="140">
        <f t="shared" si="7"/>
        <v>7.6</v>
      </c>
      <c r="M29" s="86">
        <v>7.68</v>
      </c>
      <c r="N29" s="86">
        <v>7.52</v>
      </c>
      <c r="O29" s="86"/>
      <c r="P29" s="86"/>
      <c r="Q29" s="86"/>
      <c r="R29" s="86"/>
      <c r="S29" s="86"/>
      <c r="T29" s="86"/>
      <c r="U29" s="142">
        <f t="shared" si="8"/>
        <v>1520</v>
      </c>
      <c r="V29" s="88">
        <v>1620</v>
      </c>
      <c r="W29" s="88">
        <v>1420</v>
      </c>
      <c r="X29" s="88"/>
      <c r="Y29" s="88"/>
      <c r="Z29" s="88"/>
      <c r="AA29" s="88"/>
      <c r="AB29" s="88"/>
      <c r="AC29" s="88"/>
      <c r="AD29" s="142" t="str">
        <f t="shared" si="9"/>
        <v/>
      </c>
      <c r="AE29" s="88"/>
      <c r="AF29" s="88"/>
      <c r="AG29" s="88"/>
      <c r="AH29" s="88"/>
      <c r="AI29" s="88"/>
      <c r="AJ29" s="88"/>
      <c r="AK29" s="88"/>
      <c r="AL29" s="88"/>
      <c r="AM29" s="143">
        <v>44.524101499858503</v>
      </c>
      <c r="AN29" s="88">
        <v>106.01</v>
      </c>
      <c r="AO29" s="89"/>
      <c r="AP29" s="90"/>
      <c r="AQ29" s="146" t="str">
        <f t="shared" si="13"/>
        <v/>
      </c>
      <c r="AR29" s="146" t="str">
        <f t="shared" si="14"/>
        <v/>
      </c>
      <c r="AS29" s="147">
        <v>20</v>
      </c>
      <c r="AT29" s="93">
        <v>15.100000000000001</v>
      </c>
      <c r="AU29" s="94">
        <v>9.1212999999999997</v>
      </c>
      <c r="AV29" s="146">
        <f t="shared" si="15"/>
        <v>60.405960264900656</v>
      </c>
      <c r="AW29" s="146">
        <f t="shared" si="16"/>
        <v>39.594039735099344</v>
      </c>
      <c r="AX29" s="138" t="str">
        <f t="shared" si="10"/>
        <v/>
      </c>
      <c r="AY29" s="95">
        <v>77.55</v>
      </c>
      <c r="AZ29" s="96">
        <v>58.805</v>
      </c>
      <c r="BA29" s="96"/>
      <c r="BB29" s="96">
        <v>45</v>
      </c>
      <c r="BC29" s="96"/>
      <c r="BD29" s="97">
        <v>106.01</v>
      </c>
      <c r="BE29" s="142">
        <f t="shared" si="11"/>
        <v>9013</v>
      </c>
      <c r="BF29" s="98">
        <v>431</v>
      </c>
      <c r="BG29" s="98">
        <v>0</v>
      </c>
      <c r="BH29" s="98">
        <v>6684</v>
      </c>
      <c r="BI29" s="98">
        <v>1898</v>
      </c>
      <c r="BJ29" s="98"/>
      <c r="BK29" s="98"/>
      <c r="BL29" s="97"/>
    </row>
    <row r="30" spans="1:64" outlineLevel="5" x14ac:dyDescent="0.3">
      <c r="A30" s="152">
        <f t="shared" si="5"/>
        <v>1</v>
      </c>
      <c r="B30" s="153">
        <f t="shared" si="12"/>
        <v>44575</v>
      </c>
      <c r="C30" s="138">
        <f t="shared" si="6"/>
        <v>37.5</v>
      </c>
      <c r="D30" s="84">
        <v>38</v>
      </c>
      <c r="E30" s="84">
        <v>37</v>
      </c>
      <c r="F30" s="84"/>
      <c r="G30" s="84"/>
      <c r="H30" s="84"/>
      <c r="I30" s="84"/>
      <c r="J30" s="84"/>
      <c r="K30" s="84"/>
      <c r="L30" s="140">
        <f t="shared" si="7"/>
        <v>7.5</v>
      </c>
      <c r="M30" s="86">
        <v>7.51</v>
      </c>
      <c r="N30" s="86">
        <v>7.49</v>
      </c>
      <c r="O30" s="86"/>
      <c r="P30" s="86"/>
      <c r="Q30" s="86"/>
      <c r="R30" s="86"/>
      <c r="S30" s="86"/>
      <c r="T30" s="86"/>
      <c r="U30" s="142">
        <f t="shared" si="8"/>
        <v>1505</v>
      </c>
      <c r="V30" s="88">
        <v>1580</v>
      </c>
      <c r="W30" s="88">
        <v>1430</v>
      </c>
      <c r="X30" s="88"/>
      <c r="Y30" s="88"/>
      <c r="Z30" s="88"/>
      <c r="AA30" s="88"/>
      <c r="AB30" s="88"/>
      <c r="AC30" s="88"/>
      <c r="AD30" s="142" t="str">
        <f t="shared" si="9"/>
        <v/>
      </c>
      <c r="AE30" s="88"/>
      <c r="AF30" s="88"/>
      <c r="AG30" s="88"/>
      <c r="AH30" s="88"/>
      <c r="AI30" s="88"/>
      <c r="AJ30" s="88"/>
      <c r="AK30" s="88"/>
      <c r="AL30" s="88"/>
      <c r="AM30" s="143">
        <v>40.637107188979769</v>
      </c>
      <c r="AN30" s="88">
        <v>116.15</v>
      </c>
      <c r="AO30" s="89"/>
      <c r="AP30" s="90"/>
      <c r="AQ30" s="146" t="str">
        <f t="shared" si="13"/>
        <v/>
      </c>
      <c r="AR30" s="146" t="str">
        <f t="shared" si="14"/>
        <v/>
      </c>
      <c r="AS30" s="147">
        <v>20</v>
      </c>
      <c r="AT30" s="93" t="s">
        <v>106</v>
      </c>
      <c r="AU30" s="94" t="s">
        <v>56</v>
      </c>
      <c r="AV30" s="146" t="str">
        <f t="shared" si="15"/>
        <v/>
      </c>
      <c r="AW30" s="146" t="str">
        <f t="shared" si="16"/>
        <v/>
      </c>
      <c r="AX30" s="138" t="str">
        <f t="shared" si="10"/>
        <v/>
      </c>
      <c r="AY30" s="95" t="s">
        <v>56</v>
      </c>
      <c r="AZ30" s="96">
        <v>59.86</v>
      </c>
      <c r="BA30" s="96"/>
      <c r="BB30" s="96">
        <v>58</v>
      </c>
      <c r="BC30" s="96"/>
      <c r="BD30" s="97">
        <v>116.15</v>
      </c>
      <c r="BE30" s="142">
        <f t="shared" si="11"/>
        <v>7211</v>
      </c>
      <c r="BF30" s="98">
        <v>400</v>
      </c>
      <c r="BG30" s="98">
        <v>0</v>
      </c>
      <c r="BH30" s="98">
        <v>5336</v>
      </c>
      <c r="BI30" s="98">
        <v>1475</v>
      </c>
      <c r="BJ30" s="98"/>
      <c r="BK30" s="98"/>
      <c r="BL30" s="97"/>
    </row>
    <row r="31" spans="1:64" outlineLevel="5" x14ac:dyDescent="0.3">
      <c r="A31" s="152">
        <f t="shared" si="5"/>
        <v>1</v>
      </c>
      <c r="B31" s="153">
        <f t="shared" si="12"/>
        <v>44576</v>
      </c>
      <c r="C31" s="138">
        <f t="shared" si="6"/>
        <v>37.5</v>
      </c>
      <c r="D31" s="84">
        <v>38</v>
      </c>
      <c r="E31" s="84">
        <v>37</v>
      </c>
      <c r="F31" s="84"/>
      <c r="G31" s="84"/>
      <c r="H31" s="84"/>
      <c r="I31" s="84"/>
      <c r="J31" s="84"/>
      <c r="K31" s="84"/>
      <c r="L31" s="140" t="str">
        <f t="shared" si="7"/>
        <v/>
      </c>
      <c r="M31" s="86"/>
      <c r="N31" s="86"/>
      <c r="O31" s="86"/>
      <c r="P31" s="86"/>
      <c r="Q31" s="86"/>
      <c r="R31" s="86"/>
      <c r="S31" s="86"/>
      <c r="T31" s="86"/>
      <c r="U31" s="142" t="str">
        <f t="shared" si="8"/>
        <v/>
      </c>
      <c r="V31" s="88"/>
      <c r="W31" s="88"/>
      <c r="X31" s="88"/>
      <c r="Y31" s="88"/>
      <c r="Z31" s="88"/>
      <c r="AA31" s="88"/>
      <c r="AB31" s="88"/>
      <c r="AC31" s="88"/>
      <c r="AD31" s="142" t="str">
        <f t="shared" si="9"/>
        <v/>
      </c>
      <c r="AE31" s="88"/>
      <c r="AF31" s="88"/>
      <c r="AG31" s="88"/>
      <c r="AH31" s="88"/>
      <c r="AI31" s="88"/>
      <c r="AJ31" s="88"/>
      <c r="AK31" s="88"/>
      <c r="AL31" s="88"/>
      <c r="AM31" s="143">
        <v>43.112897332846188</v>
      </c>
      <c r="AN31" s="88">
        <v>109.47999999999999</v>
      </c>
      <c r="AO31" s="89"/>
      <c r="AP31" s="90"/>
      <c r="AQ31" s="146" t="str">
        <f t="shared" si="13"/>
        <v/>
      </c>
      <c r="AR31" s="146" t="str">
        <f t="shared" si="14"/>
        <v/>
      </c>
      <c r="AS31" s="147">
        <v>10</v>
      </c>
      <c r="AT31" s="93" t="s">
        <v>106</v>
      </c>
      <c r="AU31" s="94" t="s">
        <v>56</v>
      </c>
      <c r="AV31" s="146" t="str">
        <f t="shared" si="15"/>
        <v/>
      </c>
      <c r="AW31" s="146" t="str">
        <f t="shared" si="16"/>
        <v/>
      </c>
      <c r="AX31" s="138" t="str">
        <f t="shared" si="10"/>
        <v/>
      </c>
      <c r="AY31" s="95" t="s">
        <v>56</v>
      </c>
      <c r="AZ31" s="96" t="s">
        <v>56</v>
      </c>
      <c r="BA31" s="96"/>
      <c r="BB31" s="96" t="s">
        <v>56</v>
      </c>
      <c r="BC31" s="96"/>
      <c r="BD31" s="97">
        <v>109.47999999999999</v>
      </c>
      <c r="BE31" s="142">
        <f t="shared" si="11"/>
        <v>5941</v>
      </c>
      <c r="BF31" s="98">
        <v>282</v>
      </c>
      <c r="BG31" s="98">
        <v>0</v>
      </c>
      <c r="BH31" s="98">
        <v>946</v>
      </c>
      <c r="BI31" s="98">
        <v>4713</v>
      </c>
      <c r="BJ31" s="98"/>
      <c r="BK31" s="98"/>
      <c r="BL31" s="97"/>
    </row>
    <row r="32" spans="1:64" outlineLevel="5" x14ac:dyDescent="0.3">
      <c r="A32" s="152">
        <f t="shared" si="5"/>
        <v>1</v>
      </c>
      <c r="B32" s="153">
        <f t="shared" si="12"/>
        <v>44577</v>
      </c>
      <c r="C32" s="138">
        <f t="shared" si="6"/>
        <v>37.5</v>
      </c>
      <c r="D32" s="84">
        <v>38</v>
      </c>
      <c r="E32" s="84">
        <v>37</v>
      </c>
      <c r="F32" s="84"/>
      <c r="G32" s="84"/>
      <c r="H32" s="84"/>
      <c r="I32" s="84"/>
      <c r="J32" s="84"/>
      <c r="K32" s="84"/>
      <c r="L32" s="140" t="str">
        <f t="shared" si="7"/>
        <v/>
      </c>
      <c r="M32" s="86"/>
      <c r="N32" s="86"/>
      <c r="O32" s="86"/>
      <c r="P32" s="86"/>
      <c r="Q32" s="86"/>
      <c r="R32" s="86"/>
      <c r="S32" s="86"/>
      <c r="T32" s="86"/>
      <c r="U32" s="142" t="str">
        <f t="shared" si="8"/>
        <v/>
      </c>
      <c r="V32" s="88"/>
      <c r="W32" s="88"/>
      <c r="X32" s="88"/>
      <c r="Y32" s="88"/>
      <c r="Z32" s="88"/>
      <c r="AA32" s="88"/>
      <c r="AB32" s="88"/>
      <c r="AC32" s="88"/>
      <c r="AD32" s="142" t="str">
        <f t="shared" si="9"/>
        <v/>
      </c>
      <c r="AE32" s="88"/>
      <c r="AF32" s="88"/>
      <c r="AG32" s="88"/>
      <c r="AH32" s="88"/>
      <c r="AI32" s="88"/>
      <c r="AJ32" s="88"/>
      <c r="AK32" s="88"/>
      <c r="AL32" s="88"/>
      <c r="AM32" s="143">
        <v>42.909090909090907</v>
      </c>
      <c r="AN32" s="88">
        <v>110</v>
      </c>
      <c r="AO32" s="89"/>
      <c r="AP32" s="90"/>
      <c r="AQ32" s="146" t="str">
        <f t="shared" si="13"/>
        <v/>
      </c>
      <c r="AR32" s="146" t="str">
        <f t="shared" si="14"/>
        <v/>
      </c>
      <c r="AS32" s="147">
        <v>0</v>
      </c>
      <c r="AT32" s="93" t="s">
        <v>106</v>
      </c>
      <c r="AU32" s="94" t="s">
        <v>56</v>
      </c>
      <c r="AV32" s="146" t="str">
        <f t="shared" si="15"/>
        <v/>
      </c>
      <c r="AW32" s="146" t="str">
        <f t="shared" si="16"/>
        <v/>
      </c>
      <c r="AX32" s="138" t="str">
        <f t="shared" si="10"/>
        <v/>
      </c>
      <c r="AY32" s="95" t="s">
        <v>56</v>
      </c>
      <c r="AZ32" s="96" t="s">
        <v>56</v>
      </c>
      <c r="BA32" s="96"/>
      <c r="BB32" s="96" t="s">
        <v>56</v>
      </c>
      <c r="BC32" s="96"/>
      <c r="BD32" s="97">
        <v>110</v>
      </c>
      <c r="BE32" s="142">
        <f t="shared" si="11"/>
        <v>5232</v>
      </c>
      <c r="BF32" s="98">
        <v>377</v>
      </c>
      <c r="BG32" s="98">
        <v>0</v>
      </c>
      <c r="BH32" s="98">
        <v>0</v>
      </c>
      <c r="BI32" s="98">
        <v>4855</v>
      </c>
      <c r="BJ32" s="98"/>
      <c r="BK32" s="98"/>
      <c r="BL32" s="97"/>
    </row>
    <row r="33" spans="1:64" outlineLevel="5" x14ac:dyDescent="0.3">
      <c r="A33" s="152">
        <f t="shared" si="5"/>
        <v>1</v>
      </c>
      <c r="B33" s="153">
        <f t="shared" si="12"/>
        <v>44578</v>
      </c>
      <c r="C33" s="138">
        <f t="shared" si="6"/>
        <v>37.5</v>
      </c>
      <c r="D33" s="84">
        <v>38</v>
      </c>
      <c r="E33" s="84">
        <v>37</v>
      </c>
      <c r="F33" s="84"/>
      <c r="G33" s="84"/>
      <c r="H33" s="84"/>
      <c r="I33" s="84"/>
      <c r="J33" s="84"/>
      <c r="K33" s="84"/>
      <c r="L33" s="140">
        <f t="shared" si="7"/>
        <v>7.6</v>
      </c>
      <c r="M33" s="86">
        <v>7.65</v>
      </c>
      <c r="N33" s="86">
        <v>7.52</v>
      </c>
      <c r="O33" s="86"/>
      <c r="P33" s="86"/>
      <c r="Q33" s="86"/>
      <c r="R33" s="86"/>
      <c r="S33" s="86"/>
      <c r="T33" s="86"/>
      <c r="U33" s="142">
        <f t="shared" si="8"/>
        <v>1462</v>
      </c>
      <c r="V33" s="88">
        <v>1598</v>
      </c>
      <c r="W33" s="88">
        <v>1326</v>
      </c>
      <c r="X33" s="88"/>
      <c r="Y33" s="88"/>
      <c r="Z33" s="88"/>
      <c r="AA33" s="88"/>
      <c r="AB33" s="88"/>
      <c r="AC33" s="88"/>
      <c r="AD33" s="142" t="str">
        <f t="shared" si="9"/>
        <v/>
      </c>
      <c r="AE33" s="88"/>
      <c r="AF33" s="88"/>
      <c r="AG33" s="88"/>
      <c r="AH33" s="88"/>
      <c r="AI33" s="88"/>
      <c r="AJ33" s="88"/>
      <c r="AK33" s="88"/>
      <c r="AL33" s="88"/>
      <c r="AM33" s="143">
        <v>43.034281546316556</v>
      </c>
      <c r="AN33" s="88">
        <v>109.68</v>
      </c>
      <c r="AO33" s="89">
        <v>22</v>
      </c>
      <c r="AP33" s="90">
        <v>17.798000000000002</v>
      </c>
      <c r="AQ33" s="146">
        <f t="shared" si="13"/>
        <v>80.900000000000006</v>
      </c>
      <c r="AR33" s="146">
        <f t="shared" si="14"/>
        <v>19.099999999999994</v>
      </c>
      <c r="AS33" s="147">
        <v>20</v>
      </c>
      <c r="AT33" s="93">
        <v>17.3</v>
      </c>
      <c r="AU33" s="94">
        <v>9.4176000000000002</v>
      </c>
      <c r="AV33" s="146">
        <f t="shared" si="15"/>
        <v>54.43699421965318</v>
      </c>
      <c r="AW33" s="146">
        <f t="shared" si="16"/>
        <v>45.56300578034682</v>
      </c>
      <c r="AX33" s="138">
        <f t="shared" si="10"/>
        <v>71.792368835478584</v>
      </c>
      <c r="AY33" s="95">
        <v>68.45</v>
      </c>
      <c r="AZ33" s="96">
        <v>56.195</v>
      </c>
      <c r="BA33" s="96"/>
      <c r="BB33" s="96">
        <v>64</v>
      </c>
      <c r="BC33" s="96"/>
      <c r="BD33" s="97">
        <v>109.68</v>
      </c>
      <c r="BE33" s="142">
        <f t="shared" si="11"/>
        <v>5891</v>
      </c>
      <c r="BF33" s="98">
        <v>607</v>
      </c>
      <c r="BG33" s="98">
        <v>0</v>
      </c>
      <c r="BH33" s="98">
        <v>0</v>
      </c>
      <c r="BI33" s="98">
        <v>5284</v>
      </c>
      <c r="BJ33" s="98"/>
      <c r="BK33" s="98"/>
      <c r="BL33" s="97"/>
    </row>
    <row r="34" spans="1:64" outlineLevel="5" x14ac:dyDescent="0.3">
      <c r="A34" s="152">
        <f t="shared" si="5"/>
        <v>1</v>
      </c>
      <c r="B34" s="153">
        <f t="shared" si="12"/>
        <v>44579</v>
      </c>
      <c r="C34" s="138">
        <f t="shared" si="6"/>
        <v>37.5</v>
      </c>
      <c r="D34" s="84">
        <v>38</v>
      </c>
      <c r="E34" s="84">
        <v>37</v>
      </c>
      <c r="F34" s="84"/>
      <c r="G34" s="84"/>
      <c r="H34" s="84"/>
      <c r="I34" s="84"/>
      <c r="J34" s="84"/>
      <c r="K34" s="84"/>
      <c r="L34" s="140">
        <f t="shared" si="7"/>
        <v>7.5</v>
      </c>
      <c r="M34" s="86">
        <v>7.51</v>
      </c>
      <c r="N34" s="86">
        <v>7.46</v>
      </c>
      <c r="O34" s="86"/>
      <c r="P34" s="86"/>
      <c r="Q34" s="86"/>
      <c r="R34" s="86"/>
      <c r="S34" s="86"/>
      <c r="T34" s="86"/>
      <c r="U34" s="142">
        <f t="shared" si="8"/>
        <v>1554</v>
      </c>
      <c r="V34" s="88">
        <v>1598</v>
      </c>
      <c r="W34" s="88">
        <v>1510</v>
      </c>
      <c r="X34" s="88"/>
      <c r="Y34" s="88"/>
      <c r="Z34" s="88"/>
      <c r="AA34" s="88"/>
      <c r="AB34" s="88"/>
      <c r="AC34" s="88"/>
      <c r="AD34" s="142" t="str">
        <f t="shared" si="9"/>
        <v/>
      </c>
      <c r="AE34" s="88"/>
      <c r="AF34" s="88"/>
      <c r="AG34" s="88"/>
      <c r="AH34" s="88"/>
      <c r="AI34" s="88"/>
      <c r="AJ34" s="88"/>
      <c r="AK34" s="88"/>
      <c r="AL34" s="88"/>
      <c r="AM34" s="143">
        <v>40.752892419271284</v>
      </c>
      <c r="AN34" s="88">
        <v>115.82</v>
      </c>
      <c r="AO34" s="89"/>
      <c r="AP34" s="90"/>
      <c r="AQ34" s="146" t="str">
        <f t="shared" si="13"/>
        <v/>
      </c>
      <c r="AR34" s="146" t="str">
        <f t="shared" si="14"/>
        <v/>
      </c>
      <c r="AS34" s="147">
        <v>20</v>
      </c>
      <c r="AT34" s="93" t="s">
        <v>106</v>
      </c>
      <c r="AU34" s="94" t="s">
        <v>56</v>
      </c>
      <c r="AV34" s="146" t="str">
        <f t="shared" si="15"/>
        <v/>
      </c>
      <c r="AW34" s="146" t="str">
        <f t="shared" si="16"/>
        <v/>
      </c>
      <c r="AX34" s="138" t="str">
        <f t="shared" si="10"/>
        <v/>
      </c>
      <c r="AY34" s="95" t="s">
        <v>56</v>
      </c>
      <c r="AZ34" s="96">
        <v>59.59</v>
      </c>
      <c r="BA34" s="96"/>
      <c r="BB34" s="96">
        <v>48.5</v>
      </c>
      <c r="BC34" s="96"/>
      <c r="BD34" s="97">
        <v>115.82</v>
      </c>
      <c r="BE34" s="142">
        <f t="shared" si="11"/>
        <v>5643</v>
      </c>
      <c r="BF34" s="98">
        <v>728</v>
      </c>
      <c r="BG34" s="98">
        <v>0</v>
      </c>
      <c r="BH34" s="98">
        <v>0</v>
      </c>
      <c r="BI34" s="98">
        <v>4915</v>
      </c>
      <c r="BJ34" s="98"/>
      <c r="BK34" s="98"/>
      <c r="BL34" s="97"/>
    </row>
    <row r="35" spans="1:64" outlineLevel="5" x14ac:dyDescent="0.3">
      <c r="A35" s="152">
        <f t="shared" si="5"/>
        <v>1</v>
      </c>
      <c r="B35" s="153">
        <f t="shared" si="12"/>
        <v>44580</v>
      </c>
      <c r="C35" s="138">
        <f t="shared" si="6"/>
        <v>36.5</v>
      </c>
      <c r="D35" s="84">
        <v>38</v>
      </c>
      <c r="E35" s="84">
        <v>35</v>
      </c>
      <c r="F35" s="84"/>
      <c r="G35" s="84"/>
      <c r="H35" s="84"/>
      <c r="I35" s="84"/>
      <c r="J35" s="84"/>
      <c r="K35" s="84"/>
      <c r="L35" s="140">
        <f t="shared" si="7"/>
        <v>7.5</v>
      </c>
      <c r="M35" s="86">
        <v>7.59</v>
      </c>
      <c r="N35" s="86">
        <v>7.41</v>
      </c>
      <c r="O35" s="86"/>
      <c r="P35" s="86"/>
      <c r="Q35" s="86"/>
      <c r="R35" s="86"/>
      <c r="S35" s="86"/>
      <c r="T35" s="86"/>
      <c r="U35" s="142">
        <f t="shared" si="8"/>
        <v>1587.5</v>
      </c>
      <c r="V35" s="88">
        <v>1654</v>
      </c>
      <c r="W35" s="88">
        <v>1521</v>
      </c>
      <c r="X35" s="88"/>
      <c r="Y35" s="88"/>
      <c r="Z35" s="88"/>
      <c r="AA35" s="88"/>
      <c r="AB35" s="88"/>
      <c r="AC35" s="88"/>
      <c r="AD35" s="142">
        <f t="shared" si="9"/>
        <v>8720</v>
      </c>
      <c r="AE35" s="88">
        <v>8650</v>
      </c>
      <c r="AF35" s="88">
        <v>8790</v>
      </c>
      <c r="AG35" s="88"/>
      <c r="AH35" s="88"/>
      <c r="AI35" s="88"/>
      <c r="AJ35" s="88"/>
      <c r="AK35" s="88"/>
      <c r="AL35" s="88"/>
      <c r="AM35" s="143">
        <v>39.881706801858897</v>
      </c>
      <c r="AN35" s="88">
        <v>118.35</v>
      </c>
      <c r="AO35" s="89"/>
      <c r="AP35" s="90"/>
      <c r="AQ35" s="146" t="str">
        <f t="shared" si="13"/>
        <v/>
      </c>
      <c r="AR35" s="146" t="str">
        <f t="shared" si="14"/>
        <v/>
      </c>
      <c r="AS35" s="147">
        <v>20</v>
      </c>
      <c r="AT35" s="93">
        <v>15.850000000000001</v>
      </c>
      <c r="AU35" s="94">
        <v>5.0620499999999993</v>
      </c>
      <c r="AV35" s="146">
        <f t="shared" si="15"/>
        <v>31.937223974763402</v>
      </c>
      <c r="AW35" s="146">
        <f t="shared" si="16"/>
        <v>68.062776025236602</v>
      </c>
      <c r="AX35" s="138" t="str">
        <f t="shared" si="10"/>
        <v/>
      </c>
      <c r="AY35" s="95">
        <v>74.45</v>
      </c>
      <c r="AZ35" s="96">
        <v>59.314999999999998</v>
      </c>
      <c r="BA35" s="96"/>
      <c r="BB35" s="96">
        <v>32.5</v>
      </c>
      <c r="BC35" s="96"/>
      <c r="BD35" s="97">
        <v>118.35</v>
      </c>
      <c r="BE35" s="142">
        <f t="shared" si="11"/>
        <v>5301</v>
      </c>
      <c r="BF35" s="98">
        <v>418</v>
      </c>
      <c r="BG35" s="98">
        <v>0</v>
      </c>
      <c r="BH35" s="98">
        <v>53</v>
      </c>
      <c r="BI35" s="98">
        <v>4830</v>
      </c>
      <c r="BJ35" s="98"/>
      <c r="BK35" s="98"/>
      <c r="BL35" s="97"/>
    </row>
    <row r="36" spans="1:64" outlineLevel="5" x14ac:dyDescent="0.3">
      <c r="A36" s="152">
        <f t="shared" si="5"/>
        <v>1</v>
      </c>
      <c r="B36" s="153">
        <f t="shared" si="12"/>
        <v>44581</v>
      </c>
      <c r="C36" s="138">
        <f t="shared" si="6"/>
        <v>36</v>
      </c>
      <c r="D36" s="84">
        <v>38</v>
      </c>
      <c r="E36" s="84">
        <v>34</v>
      </c>
      <c r="F36" s="84"/>
      <c r="G36" s="84"/>
      <c r="H36" s="84"/>
      <c r="I36" s="84"/>
      <c r="J36" s="84"/>
      <c r="K36" s="84"/>
      <c r="L36" s="140">
        <f t="shared" si="7"/>
        <v>7.6</v>
      </c>
      <c r="M36" s="86">
        <v>7.68</v>
      </c>
      <c r="N36" s="86">
        <v>7.49</v>
      </c>
      <c r="O36" s="86"/>
      <c r="P36" s="86"/>
      <c r="Q36" s="86"/>
      <c r="R36" s="86"/>
      <c r="S36" s="86"/>
      <c r="T36" s="86"/>
      <c r="U36" s="142">
        <f t="shared" si="8"/>
        <v>1504</v>
      </c>
      <c r="V36" s="88">
        <v>1539</v>
      </c>
      <c r="W36" s="88">
        <v>1469</v>
      </c>
      <c r="X36" s="88"/>
      <c r="Y36" s="88"/>
      <c r="Z36" s="88"/>
      <c r="AA36" s="88"/>
      <c r="AB36" s="88"/>
      <c r="AC36" s="88"/>
      <c r="AD36" s="142" t="str">
        <f t="shared" si="9"/>
        <v/>
      </c>
      <c r="AE36" s="88"/>
      <c r="AF36" s="88"/>
      <c r="AG36" s="88"/>
      <c r="AH36" s="88"/>
      <c r="AI36" s="88"/>
      <c r="AJ36" s="88"/>
      <c r="AK36" s="88"/>
      <c r="AL36" s="88"/>
      <c r="AM36" s="143">
        <v>40.619621342512914</v>
      </c>
      <c r="AN36" s="88">
        <v>116.19999999999999</v>
      </c>
      <c r="AO36" s="89"/>
      <c r="AP36" s="90"/>
      <c r="AQ36" s="146" t="str">
        <f t="shared" si="13"/>
        <v/>
      </c>
      <c r="AR36" s="146" t="str">
        <f t="shared" si="14"/>
        <v/>
      </c>
      <c r="AS36" s="147">
        <v>20</v>
      </c>
      <c r="AT36" s="93">
        <v>14.85</v>
      </c>
      <c r="AU36" s="94">
        <v>8.4433000000000007</v>
      </c>
      <c r="AV36" s="146">
        <f t="shared" si="15"/>
        <v>56.857239057239063</v>
      </c>
      <c r="AW36" s="146">
        <f t="shared" si="16"/>
        <v>43.142760942760937</v>
      </c>
      <c r="AX36" s="138" t="str">
        <f t="shared" si="10"/>
        <v/>
      </c>
      <c r="AY36" s="95">
        <v>71.3</v>
      </c>
      <c r="AZ36" s="96">
        <v>59.884999999999998</v>
      </c>
      <c r="BA36" s="96"/>
      <c r="BB36" s="96">
        <v>37.5</v>
      </c>
      <c r="BC36" s="96"/>
      <c r="BD36" s="97">
        <v>116.19999999999999</v>
      </c>
      <c r="BE36" s="142">
        <f t="shared" si="11"/>
        <v>6423</v>
      </c>
      <c r="BF36" s="98">
        <v>631</v>
      </c>
      <c r="BG36" s="98">
        <v>0</v>
      </c>
      <c r="BH36" s="98">
        <v>724</v>
      </c>
      <c r="BI36" s="98">
        <v>5068</v>
      </c>
      <c r="BJ36" s="98"/>
      <c r="BK36" s="98"/>
      <c r="BL36" s="97"/>
    </row>
    <row r="37" spans="1:64" outlineLevel="5" x14ac:dyDescent="0.3">
      <c r="A37" s="152">
        <f t="shared" si="5"/>
        <v>1</v>
      </c>
      <c r="B37" s="153">
        <f t="shared" si="12"/>
        <v>44582</v>
      </c>
      <c r="C37" s="138">
        <f t="shared" si="6"/>
        <v>36.5</v>
      </c>
      <c r="D37" s="84">
        <v>38</v>
      </c>
      <c r="E37" s="84">
        <v>35</v>
      </c>
      <c r="F37" s="84"/>
      <c r="G37" s="84"/>
      <c r="H37" s="84"/>
      <c r="I37" s="84"/>
      <c r="J37" s="84"/>
      <c r="K37" s="84"/>
      <c r="L37" s="140">
        <f t="shared" si="7"/>
        <v>7.6</v>
      </c>
      <c r="M37" s="86">
        <v>7.68</v>
      </c>
      <c r="N37" s="86">
        <v>7.51</v>
      </c>
      <c r="O37" s="86"/>
      <c r="P37" s="86"/>
      <c r="Q37" s="86"/>
      <c r="R37" s="86"/>
      <c r="S37" s="86"/>
      <c r="T37" s="86"/>
      <c r="U37" s="142">
        <f t="shared" si="8"/>
        <v>1609</v>
      </c>
      <c r="V37" s="88">
        <v>1698</v>
      </c>
      <c r="W37" s="88">
        <v>1520</v>
      </c>
      <c r="X37" s="88"/>
      <c r="Y37" s="88"/>
      <c r="Z37" s="88"/>
      <c r="AA37" s="88"/>
      <c r="AB37" s="88"/>
      <c r="AC37" s="88"/>
      <c r="AD37" s="142" t="str">
        <f t="shared" si="9"/>
        <v/>
      </c>
      <c r="AE37" s="88"/>
      <c r="AF37" s="88"/>
      <c r="AG37" s="88"/>
      <c r="AH37" s="88"/>
      <c r="AI37" s="88"/>
      <c r="AJ37" s="88"/>
      <c r="AK37" s="88"/>
      <c r="AL37" s="88"/>
      <c r="AM37" s="143">
        <v>40.770493219314154</v>
      </c>
      <c r="AN37" s="88">
        <v>115.77000000000001</v>
      </c>
      <c r="AO37" s="89"/>
      <c r="AP37" s="90"/>
      <c r="AQ37" s="146" t="str">
        <f t="shared" si="13"/>
        <v/>
      </c>
      <c r="AR37" s="146" t="str">
        <f t="shared" si="14"/>
        <v/>
      </c>
      <c r="AS37" s="147">
        <v>13</v>
      </c>
      <c r="AT37" s="93" t="s">
        <v>106</v>
      </c>
      <c r="AU37" s="94" t="s">
        <v>56</v>
      </c>
      <c r="AV37" s="146" t="str">
        <f t="shared" si="15"/>
        <v/>
      </c>
      <c r="AW37" s="146" t="str">
        <f t="shared" si="16"/>
        <v/>
      </c>
      <c r="AX37" s="138" t="str">
        <f t="shared" si="10"/>
        <v/>
      </c>
      <c r="AY37" s="95" t="s">
        <v>56</v>
      </c>
      <c r="AZ37" s="96">
        <v>59.495000000000005</v>
      </c>
      <c r="BA37" s="96"/>
      <c r="BB37" s="96">
        <v>39</v>
      </c>
      <c r="BC37" s="96"/>
      <c r="BD37" s="97">
        <v>115.77000000000001</v>
      </c>
      <c r="BE37" s="142">
        <f t="shared" si="11"/>
        <v>8065</v>
      </c>
      <c r="BF37" s="98">
        <v>736</v>
      </c>
      <c r="BG37" s="98">
        <v>0</v>
      </c>
      <c r="BH37" s="98">
        <v>2433</v>
      </c>
      <c r="BI37" s="98">
        <v>4896</v>
      </c>
      <c r="BJ37" s="98"/>
      <c r="BK37" s="98"/>
      <c r="BL37" s="97"/>
    </row>
    <row r="38" spans="1:64" outlineLevel="5" x14ac:dyDescent="0.3">
      <c r="A38" s="152">
        <f t="shared" si="5"/>
        <v>1</v>
      </c>
      <c r="B38" s="153">
        <f t="shared" si="12"/>
        <v>44583</v>
      </c>
      <c r="C38" s="138">
        <f t="shared" si="6"/>
        <v>37.5</v>
      </c>
      <c r="D38" s="84">
        <v>37</v>
      </c>
      <c r="E38" s="84">
        <v>38</v>
      </c>
      <c r="F38" s="84"/>
      <c r="G38" s="84"/>
      <c r="H38" s="84"/>
      <c r="I38" s="84"/>
      <c r="J38" s="84"/>
      <c r="K38" s="84"/>
      <c r="L38" s="140" t="str">
        <f t="shared" si="7"/>
        <v/>
      </c>
      <c r="M38" s="86"/>
      <c r="N38" s="86"/>
      <c r="O38" s="86"/>
      <c r="P38" s="86"/>
      <c r="Q38" s="86"/>
      <c r="R38" s="86"/>
      <c r="S38" s="86"/>
      <c r="T38" s="86"/>
      <c r="U38" s="142" t="str">
        <f t="shared" si="8"/>
        <v/>
      </c>
      <c r="V38" s="88"/>
      <c r="W38" s="88"/>
      <c r="X38" s="88"/>
      <c r="Y38" s="88"/>
      <c r="Z38" s="88"/>
      <c r="AA38" s="88"/>
      <c r="AB38" s="88"/>
      <c r="AC38" s="88"/>
      <c r="AD38" s="142" t="str">
        <f t="shared" si="9"/>
        <v/>
      </c>
      <c r="AE38" s="88"/>
      <c r="AF38" s="88"/>
      <c r="AG38" s="88"/>
      <c r="AH38" s="88"/>
      <c r="AI38" s="88"/>
      <c r="AJ38" s="88"/>
      <c r="AK38" s="88"/>
      <c r="AL38" s="88"/>
      <c r="AM38" s="143">
        <v>40.972222222222229</v>
      </c>
      <c r="AN38" s="88">
        <v>115.19999999999999</v>
      </c>
      <c r="AO38" s="89"/>
      <c r="AP38" s="90"/>
      <c r="AQ38" s="146" t="str">
        <f t="shared" si="13"/>
        <v/>
      </c>
      <c r="AR38" s="146" t="str">
        <f t="shared" si="14"/>
        <v/>
      </c>
      <c r="AS38" s="147">
        <v>10</v>
      </c>
      <c r="AT38" s="93" t="s">
        <v>106</v>
      </c>
      <c r="AU38" s="94" t="s">
        <v>56</v>
      </c>
      <c r="AV38" s="146" t="str">
        <f t="shared" si="15"/>
        <v/>
      </c>
      <c r="AW38" s="146" t="str">
        <f t="shared" si="16"/>
        <v/>
      </c>
      <c r="AX38" s="138" t="str">
        <f t="shared" si="10"/>
        <v/>
      </c>
      <c r="AY38" s="95" t="s">
        <v>56</v>
      </c>
      <c r="AZ38" s="96">
        <v>59.965000000000003</v>
      </c>
      <c r="BA38" s="96"/>
      <c r="BB38" s="96">
        <v>39</v>
      </c>
      <c r="BC38" s="96"/>
      <c r="BD38" s="97">
        <v>115.19999999999999</v>
      </c>
      <c r="BE38" s="142">
        <f t="shared" si="11"/>
        <v>5522</v>
      </c>
      <c r="BF38" s="98">
        <v>391</v>
      </c>
      <c r="BG38" s="98">
        <v>0</v>
      </c>
      <c r="BH38" s="98">
        <v>274</v>
      </c>
      <c r="BI38" s="98">
        <v>4857</v>
      </c>
      <c r="BJ38" s="98"/>
      <c r="BK38" s="98"/>
      <c r="BL38" s="97"/>
    </row>
    <row r="39" spans="1:64" outlineLevel="5" x14ac:dyDescent="0.3">
      <c r="A39" s="152">
        <f t="shared" si="5"/>
        <v>1</v>
      </c>
      <c r="B39" s="153">
        <f t="shared" si="12"/>
        <v>44584</v>
      </c>
      <c r="C39" s="138">
        <f t="shared" si="6"/>
        <v>37.5</v>
      </c>
      <c r="D39" s="84">
        <v>37</v>
      </c>
      <c r="E39" s="84">
        <v>38</v>
      </c>
      <c r="F39" s="84"/>
      <c r="G39" s="84"/>
      <c r="H39" s="84"/>
      <c r="I39" s="84"/>
      <c r="J39" s="84"/>
      <c r="K39" s="84"/>
      <c r="L39" s="140" t="str">
        <f t="shared" si="7"/>
        <v/>
      </c>
      <c r="M39" s="86"/>
      <c r="N39" s="86"/>
      <c r="O39" s="86"/>
      <c r="P39" s="86"/>
      <c r="Q39" s="86"/>
      <c r="R39" s="86"/>
      <c r="S39" s="86"/>
      <c r="T39" s="86"/>
      <c r="U39" s="142" t="str">
        <f t="shared" si="8"/>
        <v/>
      </c>
      <c r="V39" s="88"/>
      <c r="W39" s="88"/>
      <c r="X39" s="88"/>
      <c r="Y39" s="88"/>
      <c r="Z39" s="88"/>
      <c r="AA39" s="88"/>
      <c r="AB39" s="88"/>
      <c r="AC39" s="88"/>
      <c r="AD39" s="142" t="str">
        <f t="shared" si="9"/>
        <v/>
      </c>
      <c r="AE39" s="88"/>
      <c r="AF39" s="88"/>
      <c r="AG39" s="88"/>
      <c r="AH39" s="88"/>
      <c r="AI39" s="88"/>
      <c r="AJ39" s="88"/>
      <c r="AK39" s="88"/>
      <c r="AL39" s="88"/>
      <c r="AM39" s="143">
        <v>42.909090909090907</v>
      </c>
      <c r="AN39" s="88">
        <v>110</v>
      </c>
      <c r="AO39" s="89"/>
      <c r="AP39" s="90"/>
      <c r="AQ39" s="146" t="str">
        <f t="shared" si="13"/>
        <v/>
      </c>
      <c r="AR39" s="146" t="str">
        <f t="shared" si="14"/>
        <v/>
      </c>
      <c r="AS39" s="147">
        <v>0</v>
      </c>
      <c r="AT39" s="93" t="s">
        <v>106</v>
      </c>
      <c r="AU39" s="94" t="s">
        <v>56</v>
      </c>
      <c r="AV39" s="146" t="str">
        <f t="shared" si="15"/>
        <v/>
      </c>
      <c r="AW39" s="146" t="str">
        <f t="shared" si="16"/>
        <v/>
      </c>
      <c r="AX39" s="138" t="str">
        <f t="shared" si="10"/>
        <v/>
      </c>
      <c r="AY39" s="95" t="s">
        <v>56</v>
      </c>
      <c r="AZ39" s="96" t="s">
        <v>56</v>
      </c>
      <c r="BA39" s="96"/>
      <c r="BB39" s="96" t="s">
        <v>56</v>
      </c>
      <c r="BC39" s="96"/>
      <c r="BD39" s="97">
        <v>110</v>
      </c>
      <c r="BE39" s="142">
        <f t="shared" si="11"/>
        <v>5266</v>
      </c>
      <c r="BF39" s="98">
        <v>389</v>
      </c>
      <c r="BG39" s="98">
        <v>0</v>
      </c>
      <c r="BH39" s="98">
        <v>6</v>
      </c>
      <c r="BI39" s="98">
        <v>4871</v>
      </c>
      <c r="BJ39" s="98"/>
      <c r="BK39" s="98"/>
      <c r="BL39" s="97"/>
    </row>
    <row r="40" spans="1:64" outlineLevel="5" x14ac:dyDescent="0.3">
      <c r="A40" s="152">
        <f t="shared" si="5"/>
        <v>1</v>
      </c>
      <c r="B40" s="153">
        <f t="shared" si="12"/>
        <v>44585</v>
      </c>
      <c r="C40" s="138">
        <f t="shared" si="6"/>
        <v>36.5</v>
      </c>
      <c r="D40" s="84">
        <v>38</v>
      </c>
      <c r="E40" s="84">
        <v>35</v>
      </c>
      <c r="F40" s="84"/>
      <c r="G40" s="84"/>
      <c r="H40" s="84"/>
      <c r="I40" s="84"/>
      <c r="J40" s="84"/>
      <c r="K40" s="84"/>
      <c r="L40" s="140">
        <f t="shared" si="7"/>
        <v>7.6</v>
      </c>
      <c r="M40" s="86">
        <v>7.65</v>
      </c>
      <c r="N40" s="86">
        <v>7.49</v>
      </c>
      <c r="O40" s="86"/>
      <c r="P40" s="86"/>
      <c r="Q40" s="86"/>
      <c r="R40" s="86"/>
      <c r="S40" s="86"/>
      <c r="T40" s="86"/>
      <c r="U40" s="142">
        <f t="shared" si="8"/>
        <v>864.5</v>
      </c>
      <c r="V40" s="88">
        <v>1587</v>
      </c>
      <c r="W40" s="88">
        <v>142</v>
      </c>
      <c r="X40" s="88"/>
      <c r="Y40" s="88"/>
      <c r="Z40" s="88"/>
      <c r="AA40" s="88"/>
      <c r="AB40" s="88"/>
      <c r="AC40" s="88"/>
      <c r="AD40" s="142" t="str">
        <f t="shared" si="9"/>
        <v/>
      </c>
      <c r="AE40" s="88"/>
      <c r="AF40" s="88"/>
      <c r="AG40" s="88"/>
      <c r="AH40" s="88"/>
      <c r="AI40" s="88"/>
      <c r="AJ40" s="88"/>
      <c r="AK40" s="88"/>
      <c r="AL40" s="88"/>
      <c r="AM40" s="143">
        <v>41.818020731815359</v>
      </c>
      <c r="AN40" s="88">
        <v>112.87</v>
      </c>
      <c r="AO40" s="89">
        <v>18.8</v>
      </c>
      <c r="AP40" s="90">
        <v>16.750799999999998</v>
      </c>
      <c r="AQ40" s="146">
        <f t="shared" si="13"/>
        <v>89.1</v>
      </c>
      <c r="AR40" s="146">
        <f t="shared" si="14"/>
        <v>10.900000000000006</v>
      </c>
      <c r="AS40" s="147">
        <v>10</v>
      </c>
      <c r="AT40" s="93">
        <v>13.5</v>
      </c>
      <c r="AU40" s="94">
        <v>7.9407000000000005</v>
      </c>
      <c r="AV40" s="146">
        <f t="shared" si="15"/>
        <v>58.820000000000007</v>
      </c>
      <c r="AW40" s="146">
        <f t="shared" si="16"/>
        <v>41.179999999999993</v>
      </c>
      <c r="AX40" s="138">
        <f t="shared" si="10"/>
        <v>82.526195526033618</v>
      </c>
      <c r="AY40" s="95">
        <v>74.849999999999994</v>
      </c>
      <c r="AZ40" s="96">
        <v>60.099999999999994</v>
      </c>
      <c r="BA40" s="96"/>
      <c r="BB40" s="96">
        <v>34.5</v>
      </c>
      <c r="BC40" s="96"/>
      <c r="BD40" s="97">
        <v>112.87</v>
      </c>
      <c r="BE40" s="142">
        <f t="shared" si="11"/>
        <v>7613</v>
      </c>
      <c r="BF40" s="98">
        <v>361</v>
      </c>
      <c r="BG40" s="98">
        <v>0</v>
      </c>
      <c r="BH40" s="98">
        <v>2071</v>
      </c>
      <c r="BI40" s="98">
        <v>5181</v>
      </c>
      <c r="BJ40" s="98"/>
      <c r="BK40" s="98"/>
      <c r="BL40" s="97"/>
    </row>
    <row r="41" spans="1:64" outlineLevel="5" x14ac:dyDescent="0.3">
      <c r="A41" s="152">
        <f t="shared" si="5"/>
        <v>1</v>
      </c>
      <c r="B41" s="153">
        <f t="shared" si="12"/>
        <v>44586</v>
      </c>
      <c r="C41" s="138">
        <f t="shared" si="6"/>
        <v>40</v>
      </c>
      <c r="D41" s="84">
        <v>40</v>
      </c>
      <c r="E41" s="84">
        <v>40</v>
      </c>
      <c r="F41" s="84"/>
      <c r="G41" s="84"/>
      <c r="H41" s="84"/>
      <c r="I41" s="84"/>
      <c r="J41" s="84"/>
      <c r="K41" s="84"/>
      <c r="L41" s="140">
        <f t="shared" si="7"/>
        <v>7.5</v>
      </c>
      <c r="M41" s="86">
        <v>7.58</v>
      </c>
      <c r="N41" s="86">
        <v>7.51</v>
      </c>
      <c r="O41" s="86"/>
      <c r="P41" s="86"/>
      <c r="Q41" s="86"/>
      <c r="R41" s="86"/>
      <c r="S41" s="86"/>
      <c r="T41" s="86"/>
      <c r="U41" s="142">
        <f t="shared" si="8"/>
        <v>1516.5</v>
      </c>
      <c r="V41" s="88">
        <v>1568</v>
      </c>
      <c r="W41" s="88">
        <v>1465</v>
      </c>
      <c r="X41" s="88"/>
      <c r="Y41" s="88"/>
      <c r="Z41" s="88"/>
      <c r="AA41" s="88"/>
      <c r="AB41" s="88"/>
      <c r="AC41" s="88"/>
      <c r="AD41" s="142" t="str">
        <f t="shared" si="9"/>
        <v/>
      </c>
      <c r="AE41" s="88"/>
      <c r="AF41" s="88"/>
      <c r="AG41" s="88"/>
      <c r="AH41" s="88"/>
      <c r="AI41" s="88"/>
      <c r="AJ41" s="88"/>
      <c r="AK41" s="88"/>
      <c r="AL41" s="88"/>
      <c r="AM41" s="143">
        <v>38.215529106954904</v>
      </c>
      <c r="AN41" s="88">
        <v>123.50999999999999</v>
      </c>
      <c r="AO41" s="89"/>
      <c r="AP41" s="90"/>
      <c r="AQ41" s="146" t="str">
        <f t="shared" si="13"/>
        <v/>
      </c>
      <c r="AR41" s="146" t="str">
        <f t="shared" si="14"/>
        <v/>
      </c>
      <c r="AS41" s="147">
        <v>20</v>
      </c>
      <c r="AT41" s="93" t="s">
        <v>106</v>
      </c>
      <c r="AU41" s="94" t="s">
        <v>56</v>
      </c>
      <c r="AV41" s="146" t="str">
        <f t="shared" si="15"/>
        <v/>
      </c>
      <c r="AW41" s="146" t="str">
        <f t="shared" si="16"/>
        <v/>
      </c>
      <c r="AX41" s="138" t="str">
        <f t="shared" si="10"/>
        <v/>
      </c>
      <c r="AY41" s="95" t="s">
        <v>56</v>
      </c>
      <c r="AZ41" s="96">
        <v>60.144999999999996</v>
      </c>
      <c r="BA41" s="96"/>
      <c r="BB41" s="96">
        <v>42.5</v>
      </c>
      <c r="BC41" s="96"/>
      <c r="BD41" s="97">
        <v>123.50999999999999</v>
      </c>
      <c r="BE41" s="142">
        <f t="shared" si="11"/>
        <v>7305</v>
      </c>
      <c r="BF41" s="98">
        <v>868</v>
      </c>
      <c r="BG41" s="98">
        <v>0</v>
      </c>
      <c r="BH41" s="98">
        <v>1456</v>
      </c>
      <c r="BI41" s="98">
        <v>4981</v>
      </c>
      <c r="BJ41" s="98"/>
      <c r="BK41" s="98"/>
      <c r="BL41" s="97"/>
    </row>
    <row r="42" spans="1:64" outlineLevel="5" x14ac:dyDescent="0.3">
      <c r="A42" s="152">
        <f t="shared" si="5"/>
        <v>1</v>
      </c>
      <c r="B42" s="153">
        <f t="shared" si="12"/>
        <v>44587</v>
      </c>
      <c r="C42" s="138">
        <f t="shared" si="6"/>
        <v>40</v>
      </c>
      <c r="D42" s="84">
        <v>40</v>
      </c>
      <c r="E42" s="84">
        <v>40</v>
      </c>
      <c r="F42" s="84"/>
      <c r="G42" s="84"/>
      <c r="H42" s="84"/>
      <c r="I42" s="84"/>
      <c r="J42" s="84"/>
      <c r="K42" s="84"/>
      <c r="L42" s="140">
        <f t="shared" si="7"/>
        <v>7.5</v>
      </c>
      <c r="M42" s="86">
        <v>7.53</v>
      </c>
      <c r="N42" s="86">
        <v>7.42</v>
      </c>
      <c r="O42" s="86"/>
      <c r="P42" s="86"/>
      <c r="Q42" s="86"/>
      <c r="R42" s="86"/>
      <c r="S42" s="86"/>
      <c r="T42" s="86"/>
      <c r="U42" s="142">
        <f t="shared" si="8"/>
        <v>1507</v>
      </c>
      <c r="V42" s="88">
        <v>1589</v>
      </c>
      <c r="W42" s="88">
        <v>1425</v>
      </c>
      <c r="X42" s="88"/>
      <c r="Y42" s="88"/>
      <c r="Z42" s="88"/>
      <c r="AA42" s="88"/>
      <c r="AB42" s="88"/>
      <c r="AC42" s="88"/>
      <c r="AD42" s="142" t="str">
        <f t="shared" si="9"/>
        <v/>
      </c>
      <c r="AE42" s="88"/>
      <c r="AF42" s="88"/>
      <c r="AG42" s="88"/>
      <c r="AH42" s="88"/>
      <c r="AI42" s="88"/>
      <c r="AJ42" s="88"/>
      <c r="AK42" s="88"/>
      <c r="AL42" s="88"/>
      <c r="AM42" s="143">
        <v>43.191800878477302</v>
      </c>
      <c r="AN42" s="88">
        <v>109.28</v>
      </c>
      <c r="AO42" s="89"/>
      <c r="AP42" s="90"/>
      <c r="AQ42" s="146" t="str">
        <f t="shared" si="13"/>
        <v/>
      </c>
      <c r="AR42" s="146" t="str">
        <f t="shared" si="14"/>
        <v/>
      </c>
      <c r="AS42" s="147">
        <v>20</v>
      </c>
      <c r="AT42" s="93">
        <v>11.15</v>
      </c>
      <c r="AU42" s="94">
        <v>6.8496000000000006</v>
      </c>
      <c r="AV42" s="146">
        <f t="shared" si="15"/>
        <v>61.431390134529153</v>
      </c>
      <c r="AW42" s="146">
        <f t="shared" si="16"/>
        <v>38.568609865470847</v>
      </c>
      <c r="AX42" s="138" t="str">
        <f t="shared" si="10"/>
        <v/>
      </c>
      <c r="AY42" s="95">
        <v>74.45</v>
      </c>
      <c r="AZ42" s="96">
        <v>60.260000000000005</v>
      </c>
      <c r="BA42" s="96"/>
      <c r="BB42" s="96">
        <v>52.5</v>
      </c>
      <c r="BC42" s="96"/>
      <c r="BD42" s="97">
        <v>109.28</v>
      </c>
      <c r="BE42" s="142">
        <f t="shared" si="11"/>
        <v>8507</v>
      </c>
      <c r="BF42" s="98">
        <v>0</v>
      </c>
      <c r="BG42" s="98">
        <v>559</v>
      </c>
      <c r="BH42" s="98">
        <v>3000</v>
      </c>
      <c r="BI42" s="98">
        <v>4948</v>
      </c>
      <c r="BJ42" s="98"/>
      <c r="BK42" s="98"/>
      <c r="BL42" s="97"/>
    </row>
    <row r="43" spans="1:64" outlineLevel="5" x14ac:dyDescent="0.3">
      <c r="A43" s="152">
        <f t="shared" si="5"/>
        <v>1</v>
      </c>
      <c r="B43" s="153">
        <f t="shared" si="12"/>
        <v>44588</v>
      </c>
      <c r="C43" s="138">
        <f t="shared" si="6"/>
        <v>38</v>
      </c>
      <c r="D43" s="84">
        <v>39</v>
      </c>
      <c r="E43" s="84">
        <v>37</v>
      </c>
      <c r="F43" s="84"/>
      <c r="G43" s="84"/>
      <c r="H43" s="84"/>
      <c r="I43" s="84"/>
      <c r="J43" s="84"/>
      <c r="K43" s="84"/>
      <c r="L43" s="140">
        <f t="shared" si="7"/>
        <v>7.5</v>
      </c>
      <c r="M43" s="86">
        <v>7.6</v>
      </c>
      <c r="N43" s="86">
        <v>7.47</v>
      </c>
      <c r="O43" s="86"/>
      <c r="P43" s="86"/>
      <c r="Q43" s="86"/>
      <c r="R43" s="86"/>
      <c r="S43" s="86"/>
      <c r="T43" s="86"/>
      <c r="U43" s="142">
        <f t="shared" si="8"/>
        <v>1505</v>
      </c>
      <c r="V43" s="88">
        <v>1540</v>
      </c>
      <c r="W43" s="88">
        <v>1470</v>
      </c>
      <c r="X43" s="88"/>
      <c r="Y43" s="88"/>
      <c r="Z43" s="88"/>
      <c r="AA43" s="88"/>
      <c r="AB43" s="88"/>
      <c r="AC43" s="88"/>
      <c r="AD43" s="142" t="str">
        <f t="shared" si="9"/>
        <v/>
      </c>
      <c r="AE43" s="88"/>
      <c r="AF43" s="88"/>
      <c r="AG43" s="88"/>
      <c r="AH43" s="88"/>
      <c r="AI43" s="88"/>
      <c r="AJ43" s="88"/>
      <c r="AK43" s="88"/>
      <c r="AL43" s="88"/>
      <c r="AM43" s="143">
        <v>43.57057140219699</v>
      </c>
      <c r="AN43" s="88">
        <v>108.33</v>
      </c>
      <c r="AO43" s="89"/>
      <c r="AP43" s="90"/>
      <c r="AQ43" s="146" t="str">
        <f t="shared" si="13"/>
        <v/>
      </c>
      <c r="AR43" s="146" t="str">
        <f t="shared" si="14"/>
        <v/>
      </c>
      <c r="AS43" s="147">
        <v>25</v>
      </c>
      <c r="AT43" s="93">
        <v>16.7</v>
      </c>
      <c r="AU43" s="94">
        <v>7.5002999999999993</v>
      </c>
      <c r="AV43" s="146">
        <f t="shared" si="15"/>
        <v>44.91197604790419</v>
      </c>
      <c r="AW43" s="146">
        <f t="shared" si="16"/>
        <v>55.08802395209581</v>
      </c>
      <c r="AX43" s="138" t="str">
        <f t="shared" si="10"/>
        <v/>
      </c>
      <c r="AY43" s="95">
        <v>74.400000000000006</v>
      </c>
      <c r="AZ43" s="96">
        <v>58.414999999999999</v>
      </c>
      <c r="BA43" s="96"/>
      <c r="BB43" s="96">
        <v>40.5</v>
      </c>
      <c r="BC43" s="96"/>
      <c r="BD43" s="97">
        <v>108.33</v>
      </c>
      <c r="BE43" s="142">
        <f t="shared" si="11"/>
        <v>9908</v>
      </c>
      <c r="BF43" s="98">
        <v>226</v>
      </c>
      <c r="BG43" s="98">
        <v>3015</v>
      </c>
      <c r="BH43" s="98">
        <v>2102</v>
      </c>
      <c r="BI43" s="98">
        <v>4565</v>
      </c>
      <c r="BJ43" s="98"/>
      <c r="BK43" s="98"/>
      <c r="BL43" s="97"/>
    </row>
    <row r="44" spans="1:64" outlineLevel="5" x14ac:dyDescent="0.3">
      <c r="A44" s="152">
        <f t="shared" si="5"/>
        <v>1</v>
      </c>
      <c r="B44" s="153">
        <f t="shared" si="12"/>
        <v>44589</v>
      </c>
      <c r="C44" s="138">
        <f t="shared" si="6"/>
        <v>40</v>
      </c>
      <c r="D44" s="84">
        <v>40</v>
      </c>
      <c r="E44" s="84">
        <v>40</v>
      </c>
      <c r="F44" s="84"/>
      <c r="G44" s="84"/>
      <c r="H44" s="84"/>
      <c r="I44" s="84"/>
      <c r="J44" s="84"/>
      <c r="K44" s="84"/>
      <c r="L44" s="140" t="str">
        <f t="shared" si="7"/>
        <v/>
      </c>
      <c r="M44" s="86"/>
      <c r="N44" s="86"/>
      <c r="O44" s="86"/>
      <c r="P44" s="86"/>
      <c r="Q44" s="86"/>
      <c r="R44" s="86"/>
      <c r="S44" s="86"/>
      <c r="T44" s="86"/>
      <c r="U44" s="142" t="str">
        <f t="shared" si="8"/>
        <v/>
      </c>
      <c r="V44" s="88"/>
      <c r="W44" s="88"/>
      <c r="X44" s="88"/>
      <c r="Y44" s="88"/>
      <c r="Z44" s="88"/>
      <c r="AA44" s="88"/>
      <c r="AB44" s="88"/>
      <c r="AC44" s="88"/>
      <c r="AD44" s="142" t="str">
        <f t="shared" si="9"/>
        <v/>
      </c>
      <c r="AE44" s="88"/>
      <c r="AF44" s="88"/>
      <c r="AG44" s="88"/>
      <c r="AH44" s="88"/>
      <c r="AI44" s="88"/>
      <c r="AJ44" s="88"/>
      <c r="AK44" s="88"/>
      <c r="AL44" s="88"/>
      <c r="AM44" s="143">
        <v>41.567591369440777</v>
      </c>
      <c r="AN44" s="88">
        <v>113.55</v>
      </c>
      <c r="AO44" s="89"/>
      <c r="AP44" s="90"/>
      <c r="AQ44" s="146" t="str">
        <f t="shared" si="13"/>
        <v/>
      </c>
      <c r="AR44" s="146" t="str">
        <f t="shared" si="14"/>
        <v/>
      </c>
      <c r="AS44" s="147">
        <v>20</v>
      </c>
      <c r="AT44" s="93" t="s">
        <v>106</v>
      </c>
      <c r="AU44" s="94" t="s">
        <v>56</v>
      </c>
      <c r="AV44" s="146" t="str">
        <f t="shared" si="15"/>
        <v/>
      </c>
      <c r="AW44" s="146" t="str">
        <f t="shared" si="16"/>
        <v/>
      </c>
      <c r="AX44" s="138" t="str">
        <f t="shared" si="10"/>
        <v/>
      </c>
      <c r="AY44" s="95" t="s">
        <v>56</v>
      </c>
      <c r="AZ44" s="96">
        <v>59.6</v>
      </c>
      <c r="BA44" s="96"/>
      <c r="BB44" s="96">
        <v>45.5</v>
      </c>
      <c r="BC44" s="96"/>
      <c r="BD44" s="97">
        <v>113.55</v>
      </c>
      <c r="BE44" s="142">
        <f t="shared" si="11"/>
        <v>8433</v>
      </c>
      <c r="BF44" s="98">
        <v>650</v>
      </c>
      <c r="BG44" s="98">
        <v>2831</v>
      </c>
      <c r="BH44" s="98">
        <v>0</v>
      </c>
      <c r="BI44" s="98">
        <v>4952</v>
      </c>
      <c r="BJ44" s="98"/>
      <c r="BK44" s="98"/>
      <c r="BL44" s="97"/>
    </row>
    <row r="45" spans="1:64" outlineLevel="5" x14ac:dyDescent="0.3">
      <c r="A45" s="152">
        <f t="shared" si="5"/>
        <v>1</v>
      </c>
      <c r="B45" s="153">
        <f t="shared" si="12"/>
        <v>44590</v>
      </c>
      <c r="C45" s="138">
        <f t="shared" si="6"/>
        <v>40</v>
      </c>
      <c r="D45" s="84">
        <v>40</v>
      </c>
      <c r="E45" s="84">
        <v>40</v>
      </c>
      <c r="F45" s="84"/>
      <c r="G45" s="84"/>
      <c r="H45" s="84"/>
      <c r="I45" s="84"/>
      <c r="J45" s="84"/>
      <c r="K45" s="84"/>
      <c r="L45" s="140" t="str">
        <f t="shared" si="7"/>
        <v/>
      </c>
      <c r="M45" s="86"/>
      <c r="N45" s="86"/>
      <c r="O45" s="86"/>
      <c r="P45" s="86"/>
      <c r="Q45" s="86"/>
      <c r="R45" s="86"/>
      <c r="S45" s="86"/>
      <c r="T45" s="86"/>
      <c r="U45" s="142" t="str">
        <f t="shared" si="8"/>
        <v/>
      </c>
      <c r="V45" s="88"/>
      <c r="W45" s="88"/>
      <c r="X45" s="88"/>
      <c r="Y45" s="88"/>
      <c r="Z45" s="88"/>
      <c r="AA45" s="88"/>
      <c r="AB45" s="88"/>
      <c r="AC45" s="88"/>
      <c r="AD45" s="142" t="str">
        <f t="shared" si="9"/>
        <v/>
      </c>
      <c r="AE45" s="88"/>
      <c r="AF45" s="88"/>
      <c r="AG45" s="88"/>
      <c r="AH45" s="88"/>
      <c r="AI45" s="88"/>
      <c r="AJ45" s="88"/>
      <c r="AK45" s="88"/>
      <c r="AL45" s="88"/>
      <c r="AM45" s="143">
        <v>40.528936974068351</v>
      </c>
      <c r="AN45" s="88">
        <v>116.46</v>
      </c>
      <c r="AO45" s="89"/>
      <c r="AP45" s="90"/>
      <c r="AQ45" s="146" t="str">
        <f t="shared" si="13"/>
        <v/>
      </c>
      <c r="AR45" s="146" t="str">
        <f t="shared" si="14"/>
        <v/>
      </c>
      <c r="AS45" s="147">
        <v>10</v>
      </c>
      <c r="AT45" s="93" t="s">
        <v>106</v>
      </c>
      <c r="AU45" s="94" t="s">
        <v>56</v>
      </c>
      <c r="AV45" s="146" t="str">
        <f t="shared" si="15"/>
        <v/>
      </c>
      <c r="AW45" s="146" t="str">
        <f t="shared" si="16"/>
        <v/>
      </c>
      <c r="AX45" s="138" t="str">
        <f t="shared" si="10"/>
        <v/>
      </c>
      <c r="AY45" s="95" t="s">
        <v>56</v>
      </c>
      <c r="AZ45" s="96" t="s">
        <v>56</v>
      </c>
      <c r="BA45" s="96"/>
      <c r="BB45" s="96" t="s">
        <v>56</v>
      </c>
      <c r="BC45" s="96"/>
      <c r="BD45" s="97">
        <v>116.46</v>
      </c>
      <c r="BE45" s="142">
        <f t="shared" si="11"/>
        <v>7950</v>
      </c>
      <c r="BF45" s="98">
        <v>135</v>
      </c>
      <c r="BG45" s="98">
        <v>2976</v>
      </c>
      <c r="BH45" s="98">
        <v>0</v>
      </c>
      <c r="BI45" s="98">
        <v>4839</v>
      </c>
      <c r="BJ45" s="98"/>
      <c r="BK45" s="98"/>
      <c r="BL45" s="97"/>
    </row>
    <row r="46" spans="1:64" outlineLevel="5" x14ac:dyDescent="0.3">
      <c r="A46" s="152">
        <f t="shared" si="5"/>
        <v>1</v>
      </c>
      <c r="B46" s="153">
        <f t="shared" si="12"/>
        <v>44591</v>
      </c>
      <c r="C46" s="138">
        <f t="shared" si="6"/>
        <v>38.5</v>
      </c>
      <c r="D46" s="84">
        <v>40</v>
      </c>
      <c r="E46" s="84">
        <v>37</v>
      </c>
      <c r="F46" s="84"/>
      <c r="G46" s="84"/>
      <c r="H46" s="84"/>
      <c r="I46" s="84"/>
      <c r="J46" s="84"/>
      <c r="K46" s="84"/>
      <c r="L46" s="140" t="str">
        <f t="shared" si="7"/>
        <v/>
      </c>
      <c r="M46" s="86"/>
      <c r="N46" s="86"/>
      <c r="O46" s="86"/>
      <c r="P46" s="86"/>
      <c r="Q46" s="86"/>
      <c r="R46" s="86"/>
      <c r="S46" s="86"/>
      <c r="T46" s="86"/>
      <c r="U46" s="142" t="str">
        <f t="shared" si="8"/>
        <v/>
      </c>
      <c r="V46" s="88"/>
      <c r="W46" s="88"/>
      <c r="X46" s="88"/>
      <c r="Y46" s="88"/>
      <c r="Z46" s="88"/>
      <c r="AA46" s="88"/>
      <c r="AB46" s="88"/>
      <c r="AC46" s="88"/>
      <c r="AD46" s="142" t="str">
        <f t="shared" si="9"/>
        <v/>
      </c>
      <c r="AE46" s="88"/>
      <c r="AF46" s="88"/>
      <c r="AG46" s="88"/>
      <c r="AH46" s="88"/>
      <c r="AI46" s="88"/>
      <c r="AJ46" s="88"/>
      <c r="AK46" s="88"/>
      <c r="AL46" s="88"/>
      <c r="AM46" s="143">
        <v>47.2</v>
      </c>
      <c r="AN46" s="88">
        <v>100</v>
      </c>
      <c r="AO46" s="89"/>
      <c r="AP46" s="90"/>
      <c r="AQ46" s="146" t="str">
        <f t="shared" si="13"/>
        <v/>
      </c>
      <c r="AR46" s="146" t="str">
        <f t="shared" si="14"/>
        <v/>
      </c>
      <c r="AS46" s="147">
        <v>0</v>
      </c>
      <c r="AT46" s="93" t="s">
        <v>106</v>
      </c>
      <c r="AU46" s="94" t="s">
        <v>56</v>
      </c>
      <c r="AV46" s="146" t="str">
        <f t="shared" si="15"/>
        <v/>
      </c>
      <c r="AW46" s="146" t="str">
        <f t="shared" si="16"/>
        <v/>
      </c>
      <c r="AX46" s="138" t="str">
        <f t="shared" si="10"/>
        <v/>
      </c>
      <c r="AY46" s="95" t="s">
        <v>56</v>
      </c>
      <c r="AZ46" s="96" t="s">
        <v>56</v>
      </c>
      <c r="BA46" s="96"/>
      <c r="BB46" s="96" t="s">
        <v>56</v>
      </c>
      <c r="BC46" s="96"/>
      <c r="BD46" s="97">
        <v>100</v>
      </c>
      <c r="BE46" s="142">
        <f t="shared" si="11"/>
        <v>6103</v>
      </c>
      <c r="BF46" s="98">
        <v>133</v>
      </c>
      <c r="BG46" s="98">
        <v>1447</v>
      </c>
      <c r="BH46" s="98">
        <v>0</v>
      </c>
      <c r="BI46" s="98">
        <v>4523</v>
      </c>
      <c r="BJ46" s="98"/>
      <c r="BK46" s="98"/>
      <c r="BL46" s="97"/>
    </row>
    <row r="47" spans="1:64" ht="17.25" outlineLevel="5" thickBot="1" x14ac:dyDescent="0.35">
      <c r="A47" s="154">
        <f t="shared" si="5"/>
        <v>1</v>
      </c>
      <c r="B47" s="155">
        <f t="shared" si="12"/>
        <v>44592</v>
      </c>
      <c r="C47" s="138">
        <f t="shared" si="6"/>
        <v>37.5</v>
      </c>
      <c r="D47" s="84">
        <v>39</v>
      </c>
      <c r="E47" s="84">
        <v>36</v>
      </c>
      <c r="F47" s="84"/>
      <c r="G47" s="84"/>
      <c r="H47" s="156"/>
      <c r="I47" s="156"/>
      <c r="J47" s="156"/>
      <c r="K47" s="156"/>
      <c r="L47" s="140" t="str">
        <f t="shared" si="7"/>
        <v/>
      </c>
      <c r="M47" s="86"/>
      <c r="N47" s="86"/>
      <c r="O47" s="86"/>
      <c r="P47" s="86"/>
      <c r="Q47" s="157"/>
      <c r="R47" s="157"/>
      <c r="S47" s="157"/>
      <c r="T47" s="157"/>
      <c r="U47" s="142" t="str">
        <f t="shared" si="8"/>
        <v/>
      </c>
      <c r="V47" s="158"/>
      <c r="W47" s="158"/>
      <c r="X47" s="158"/>
      <c r="Y47" s="158"/>
      <c r="Z47" s="158"/>
      <c r="AA47" s="158"/>
      <c r="AB47" s="158"/>
      <c r="AC47" s="158"/>
      <c r="AD47" s="142" t="str">
        <f t="shared" si="9"/>
        <v/>
      </c>
      <c r="AE47" s="158"/>
      <c r="AF47" s="158"/>
      <c r="AG47" s="158"/>
      <c r="AH47" s="158"/>
      <c r="AI47" s="158"/>
      <c r="AJ47" s="158"/>
      <c r="AK47" s="158"/>
      <c r="AL47" s="158"/>
      <c r="AM47" s="143">
        <v>38.339696206644462</v>
      </c>
      <c r="AN47" s="88">
        <v>123.11</v>
      </c>
      <c r="AO47" s="159"/>
      <c r="AP47" s="160"/>
      <c r="AQ47" s="146" t="str">
        <f t="shared" si="13"/>
        <v/>
      </c>
      <c r="AR47" s="146" t="str">
        <f t="shared" si="14"/>
        <v/>
      </c>
      <c r="AS47" s="147">
        <v>15</v>
      </c>
      <c r="AT47" s="161" t="s">
        <v>106</v>
      </c>
      <c r="AU47" s="162" t="s">
        <v>56</v>
      </c>
      <c r="AV47" s="146" t="str">
        <f t="shared" si="15"/>
        <v/>
      </c>
      <c r="AW47" s="146" t="str">
        <f t="shared" si="16"/>
        <v/>
      </c>
      <c r="AX47" s="138" t="str">
        <f t="shared" si="10"/>
        <v/>
      </c>
      <c r="AY47" s="95" t="s">
        <v>56</v>
      </c>
      <c r="AZ47" s="163" t="s">
        <v>56</v>
      </c>
      <c r="BA47" s="163"/>
      <c r="BB47" s="163" t="s">
        <v>56</v>
      </c>
      <c r="BC47" s="163"/>
      <c r="BD47" s="97">
        <v>123.11</v>
      </c>
      <c r="BE47" s="142">
        <f t="shared" si="11"/>
        <v>4798</v>
      </c>
      <c r="BF47" s="98">
        <v>0</v>
      </c>
      <c r="BG47" s="98">
        <v>0</v>
      </c>
      <c r="BH47" s="98">
        <v>0</v>
      </c>
      <c r="BI47" s="98">
        <v>4798</v>
      </c>
      <c r="BJ47" s="98"/>
      <c r="BK47" s="98"/>
      <c r="BL47" s="164"/>
    </row>
    <row r="48" spans="1:64" outlineLevel="4" x14ac:dyDescent="0.3">
      <c r="A48" s="63" t="s">
        <v>57</v>
      </c>
      <c r="B48" s="64"/>
      <c r="C48" s="65">
        <f t="shared" ref="C48:BL48" si="17">SUBTOTAL(4,C17:C47)</f>
        <v>40</v>
      </c>
      <c r="D48" s="66">
        <f t="shared" si="17"/>
        <v>40</v>
      </c>
      <c r="E48" s="66">
        <f t="shared" si="17"/>
        <v>40</v>
      </c>
      <c r="F48" s="66">
        <f t="shared" si="17"/>
        <v>0</v>
      </c>
      <c r="G48" s="66">
        <f t="shared" si="17"/>
        <v>0</v>
      </c>
      <c r="H48" s="66">
        <f t="shared" si="17"/>
        <v>0</v>
      </c>
      <c r="I48" s="66">
        <f t="shared" si="17"/>
        <v>0</v>
      </c>
      <c r="J48" s="66">
        <f t="shared" si="17"/>
        <v>0</v>
      </c>
      <c r="K48" s="66">
        <f t="shared" si="17"/>
        <v>0</v>
      </c>
      <c r="L48" s="67">
        <f t="shared" si="17"/>
        <v>7.7</v>
      </c>
      <c r="M48" s="68">
        <f t="shared" si="17"/>
        <v>7.81</v>
      </c>
      <c r="N48" s="68">
        <f t="shared" si="17"/>
        <v>7.62</v>
      </c>
      <c r="O48" s="68">
        <f t="shared" si="17"/>
        <v>0</v>
      </c>
      <c r="P48" s="68">
        <f t="shared" si="17"/>
        <v>0</v>
      </c>
      <c r="Q48" s="68">
        <f t="shared" si="17"/>
        <v>0</v>
      </c>
      <c r="R48" s="68">
        <f t="shared" si="17"/>
        <v>0</v>
      </c>
      <c r="S48" s="68">
        <f t="shared" si="17"/>
        <v>0</v>
      </c>
      <c r="T48" s="68">
        <f t="shared" si="17"/>
        <v>0</v>
      </c>
      <c r="U48" s="69">
        <f t="shared" si="17"/>
        <v>1770</v>
      </c>
      <c r="V48" s="70">
        <f t="shared" si="17"/>
        <v>1920</v>
      </c>
      <c r="W48" s="70">
        <f t="shared" si="17"/>
        <v>1650</v>
      </c>
      <c r="X48" s="70">
        <f t="shared" si="17"/>
        <v>0</v>
      </c>
      <c r="Y48" s="70">
        <f t="shared" si="17"/>
        <v>0</v>
      </c>
      <c r="Z48" s="70">
        <f t="shared" si="17"/>
        <v>0</v>
      </c>
      <c r="AA48" s="70">
        <f t="shared" si="17"/>
        <v>0</v>
      </c>
      <c r="AB48" s="70">
        <f t="shared" si="17"/>
        <v>0</v>
      </c>
      <c r="AC48" s="70">
        <f t="shared" si="17"/>
        <v>0</v>
      </c>
      <c r="AD48" s="69">
        <f t="shared" si="17"/>
        <v>8720</v>
      </c>
      <c r="AE48" s="70">
        <f t="shared" si="17"/>
        <v>8650</v>
      </c>
      <c r="AF48" s="70">
        <f t="shared" si="17"/>
        <v>8790</v>
      </c>
      <c r="AG48" s="70">
        <f t="shared" si="17"/>
        <v>0</v>
      </c>
      <c r="AH48" s="70">
        <f t="shared" si="17"/>
        <v>0</v>
      </c>
      <c r="AI48" s="70">
        <f t="shared" si="17"/>
        <v>0</v>
      </c>
      <c r="AJ48" s="70">
        <f t="shared" si="17"/>
        <v>0</v>
      </c>
      <c r="AK48" s="70">
        <f t="shared" si="17"/>
        <v>0</v>
      </c>
      <c r="AL48" s="70">
        <f t="shared" si="17"/>
        <v>0</v>
      </c>
      <c r="AM48" s="70">
        <f t="shared" si="17"/>
        <v>67.428571428571431</v>
      </c>
      <c r="AN48" s="70">
        <f t="shared" si="17"/>
        <v>132.71</v>
      </c>
      <c r="AO48" s="71">
        <f t="shared" si="17"/>
        <v>33.700000000000003</v>
      </c>
      <c r="AP48" s="72">
        <f t="shared" si="17"/>
        <v>29.015700000000002</v>
      </c>
      <c r="AQ48" s="73">
        <f t="shared" si="17"/>
        <v>89.1</v>
      </c>
      <c r="AR48" s="73">
        <f t="shared" si="17"/>
        <v>23.500000000000014</v>
      </c>
      <c r="AS48" s="74">
        <f t="shared" si="17"/>
        <v>25</v>
      </c>
      <c r="AT48" s="75">
        <f t="shared" si="17"/>
        <v>19.649999999999999</v>
      </c>
      <c r="AU48" s="76">
        <f t="shared" si="17"/>
        <v>12.533050000000003</v>
      </c>
      <c r="AV48" s="73">
        <f t="shared" si="17"/>
        <v>63.781424936386784</v>
      </c>
      <c r="AW48" s="73">
        <f t="shared" si="17"/>
        <v>68.062776025236602</v>
      </c>
      <c r="AX48" s="65">
        <f t="shared" si="17"/>
        <v>82.526195526033618</v>
      </c>
      <c r="AY48" s="77">
        <f t="shared" si="17"/>
        <v>78.849999999999994</v>
      </c>
      <c r="AZ48" s="78">
        <f t="shared" si="17"/>
        <v>62.22</v>
      </c>
      <c r="BA48" s="78">
        <f t="shared" si="17"/>
        <v>0</v>
      </c>
      <c r="BB48" s="78">
        <f t="shared" si="17"/>
        <v>64</v>
      </c>
      <c r="BC48" s="78">
        <f t="shared" si="17"/>
        <v>0</v>
      </c>
      <c r="BD48" s="79">
        <f t="shared" si="17"/>
        <v>132.71</v>
      </c>
      <c r="BE48" s="69">
        <f t="shared" si="17"/>
        <v>11371</v>
      </c>
      <c r="BF48" s="70">
        <f t="shared" si="17"/>
        <v>868</v>
      </c>
      <c r="BG48" s="80">
        <f t="shared" si="17"/>
        <v>3015</v>
      </c>
      <c r="BH48" s="80">
        <f t="shared" si="17"/>
        <v>6684</v>
      </c>
      <c r="BI48" s="80">
        <f t="shared" si="17"/>
        <v>5284</v>
      </c>
      <c r="BJ48" s="80">
        <f t="shared" si="17"/>
        <v>0</v>
      </c>
      <c r="BK48" s="80">
        <f t="shared" si="17"/>
        <v>0</v>
      </c>
      <c r="BL48" s="79">
        <f t="shared" si="17"/>
        <v>0</v>
      </c>
    </row>
    <row r="49" spans="1:64" outlineLevel="3" x14ac:dyDescent="0.3">
      <c r="A49" s="81" t="s">
        <v>58</v>
      </c>
      <c r="B49" s="82"/>
      <c r="C49" s="83">
        <f t="shared" ref="C49:BL49" si="18">SUBTOTAL(5,C17:C47)</f>
        <v>36</v>
      </c>
      <c r="D49" s="84">
        <f t="shared" si="18"/>
        <v>37</v>
      </c>
      <c r="E49" s="84">
        <f t="shared" si="18"/>
        <v>34</v>
      </c>
      <c r="F49" s="84">
        <f t="shared" si="18"/>
        <v>0</v>
      </c>
      <c r="G49" s="84">
        <f t="shared" si="18"/>
        <v>0</v>
      </c>
      <c r="H49" s="84">
        <f t="shared" si="18"/>
        <v>0</v>
      </c>
      <c r="I49" s="84">
        <f t="shared" si="18"/>
        <v>0</v>
      </c>
      <c r="J49" s="84">
        <f t="shared" si="18"/>
        <v>0</v>
      </c>
      <c r="K49" s="84">
        <f t="shared" si="18"/>
        <v>0</v>
      </c>
      <c r="L49" s="85">
        <f t="shared" si="18"/>
        <v>7.5</v>
      </c>
      <c r="M49" s="86">
        <f t="shared" si="18"/>
        <v>7.5</v>
      </c>
      <c r="N49" s="86">
        <f t="shared" si="18"/>
        <v>7.41</v>
      </c>
      <c r="O49" s="86">
        <f t="shared" si="18"/>
        <v>0</v>
      </c>
      <c r="P49" s="86">
        <f t="shared" si="18"/>
        <v>0</v>
      </c>
      <c r="Q49" s="86">
        <f t="shared" si="18"/>
        <v>0</v>
      </c>
      <c r="R49" s="86">
        <f t="shared" si="18"/>
        <v>0</v>
      </c>
      <c r="S49" s="86">
        <f t="shared" si="18"/>
        <v>0</v>
      </c>
      <c r="T49" s="86">
        <f t="shared" si="18"/>
        <v>0</v>
      </c>
      <c r="U49" s="87">
        <f t="shared" si="18"/>
        <v>864.5</v>
      </c>
      <c r="V49" s="88">
        <f t="shared" si="18"/>
        <v>1530</v>
      </c>
      <c r="W49" s="88">
        <f t="shared" si="18"/>
        <v>142</v>
      </c>
      <c r="X49" s="88">
        <f t="shared" si="18"/>
        <v>0</v>
      </c>
      <c r="Y49" s="88">
        <f t="shared" si="18"/>
        <v>0</v>
      </c>
      <c r="Z49" s="88">
        <f t="shared" si="18"/>
        <v>0</v>
      </c>
      <c r="AA49" s="88">
        <f t="shared" si="18"/>
        <v>0</v>
      </c>
      <c r="AB49" s="88">
        <f t="shared" si="18"/>
        <v>0</v>
      </c>
      <c r="AC49" s="88">
        <f t="shared" si="18"/>
        <v>0</v>
      </c>
      <c r="AD49" s="87">
        <f t="shared" si="18"/>
        <v>8400</v>
      </c>
      <c r="AE49" s="88">
        <f t="shared" si="18"/>
        <v>8500</v>
      </c>
      <c r="AF49" s="88">
        <f t="shared" si="18"/>
        <v>8200</v>
      </c>
      <c r="AG49" s="88">
        <f t="shared" si="18"/>
        <v>0</v>
      </c>
      <c r="AH49" s="88">
        <f t="shared" si="18"/>
        <v>0</v>
      </c>
      <c r="AI49" s="88">
        <f t="shared" si="18"/>
        <v>0</v>
      </c>
      <c r="AJ49" s="88">
        <f t="shared" si="18"/>
        <v>0</v>
      </c>
      <c r="AK49" s="88">
        <f t="shared" si="18"/>
        <v>0</v>
      </c>
      <c r="AL49" s="88">
        <f t="shared" si="18"/>
        <v>0</v>
      </c>
      <c r="AM49" s="88">
        <f t="shared" si="18"/>
        <v>35.566272323110539</v>
      </c>
      <c r="AN49" s="88">
        <f t="shared" si="18"/>
        <v>70</v>
      </c>
      <c r="AO49" s="89">
        <f t="shared" si="18"/>
        <v>18.8</v>
      </c>
      <c r="AP49" s="90">
        <f t="shared" si="18"/>
        <v>16.750799999999998</v>
      </c>
      <c r="AQ49" s="91">
        <f t="shared" si="18"/>
        <v>76.499999999999986</v>
      </c>
      <c r="AR49" s="91">
        <f t="shared" si="18"/>
        <v>10.900000000000006</v>
      </c>
      <c r="AS49" s="92">
        <f t="shared" si="18"/>
        <v>0</v>
      </c>
      <c r="AT49" s="93">
        <f t="shared" si="18"/>
        <v>11.15</v>
      </c>
      <c r="AU49" s="94">
        <f t="shared" si="18"/>
        <v>5.0620499999999993</v>
      </c>
      <c r="AV49" s="91">
        <f t="shared" si="18"/>
        <v>31.937223974763402</v>
      </c>
      <c r="AW49" s="91">
        <f t="shared" si="18"/>
        <v>36.218575063613216</v>
      </c>
      <c r="AX49" s="83">
        <f t="shared" si="18"/>
        <v>61.920202912313862</v>
      </c>
      <c r="AY49" s="95">
        <f t="shared" si="18"/>
        <v>68.45</v>
      </c>
      <c r="AZ49" s="96">
        <f t="shared" si="18"/>
        <v>56.195</v>
      </c>
      <c r="BA49" s="96">
        <f t="shared" si="18"/>
        <v>0</v>
      </c>
      <c r="BB49" s="96">
        <f t="shared" si="18"/>
        <v>32.5</v>
      </c>
      <c r="BC49" s="96">
        <f t="shared" si="18"/>
        <v>0</v>
      </c>
      <c r="BD49" s="97">
        <f t="shared" si="18"/>
        <v>70</v>
      </c>
      <c r="BE49" s="87">
        <f t="shared" si="18"/>
        <v>4798</v>
      </c>
      <c r="BF49" s="88">
        <f t="shared" si="18"/>
        <v>0</v>
      </c>
      <c r="BG49" s="98">
        <f t="shared" si="18"/>
        <v>0</v>
      </c>
      <c r="BH49" s="98">
        <f t="shared" si="18"/>
        <v>0</v>
      </c>
      <c r="BI49" s="98">
        <f t="shared" si="18"/>
        <v>1475</v>
      </c>
      <c r="BJ49" s="98">
        <f t="shared" si="18"/>
        <v>0</v>
      </c>
      <c r="BK49" s="98">
        <f t="shared" si="18"/>
        <v>0</v>
      </c>
      <c r="BL49" s="97">
        <f t="shared" si="18"/>
        <v>0</v>
      </c>
    </row>
    <row r="50" spans="1:64" outlineLevel="2" x14ac:dyDescent="0.3">
      <c r="A50" s="81" t="s">
        <v>59</v>
      </c>
      <c r="B50" s="82"/>
      <c r="C50" s="83">
        <f t="shared" ref="C50:BL50" si="19">IFERROR(SUBTOTAL(1,C17:C47),"")</f>
        <v>37.929032258064517</v>
      </c>
      <c r="D50" s="84">
        <f t="shared" si="19"/>
        <v>38.387096774193552</v>
      </c>
      <c r="E50" s="84">
        <f t="shared" si="19"/>
        <v>37.467741935483872</v>
      </c>
      <c r="F50" s="84" t="str">
        <f t="shared" si="19"/>
        <v/>
      </c>
      <c r="G50" s="84" t="str">
        <f t="shared" si="19"/>
        <v/>
      </c>
      <c r="H50" s="84" t="str">
        <f t="shared" si="19"/>
        <v/>
      </c>
      <c r="I50" s="84" t="str">
        <f t="shared" si="19"/>
        <v/>
      </c>
      <c r="J50" s="84" t="str">
        <f t="shared" si="19"/>
        <v/>
      </c>
      <c r="K50" s="84" t="str">
        <f t="shared" si="19"/>
        <v/>
      </c>
      <c r="L50" s="85">
        <f t="shared" si="19"/>
        <v>7.5647058823529392</v>
      </c>
      <c r="M50" s="86">
        <f t="shared" si="19"/>
        <v>7.620000000000001</v>
      </c>
      <c r="N50" s="86">
        <f t="shared" si="19"/>
        <v>7.498823529411764</v>
      </c>
      <c r="O50" s="86" t="str">
        <f t="shared" si="19"/>
        <v/>
      </c>
      <c r="P50" s="86" t="str">
        <f t="shared" si="19"/>
        <v/>
      </c>
      <c r="Q50" s="86" t="str">
        <f t="shared" si="19"/>
        <v/>
      </c>
      <c r="R50" s="86" t="str">
        <f t="shared" si="19"/>
        <v/>
      </c>
      <c r="S50" s="86" t="str">
        <f t="shared" si="19"/>
        <v/>
      </c>
      <c r="T50" s="86" t="str">
        <f t="shared" si="19"/>
        <v/>
      </c>
      <c r="U50" s="87">
        <f t="shared" si="19"/>
        <v>1525.5277777777778</v>
      </c>
      <c r="V50" s="88">
        <f t="shared" si="19"/>
        <v>1639</v>
      </c>
      <c r="W50" s="88">
        <f t="shared" si="19"/>
        <v>1412.0555555555557</v>
      </c>
      <c r="X50" s="88" t="str">
        <f t="shared" si="19"/>
        <v/>
      </c>
      <c r="Y50" s="88" t="str">
        <f t="shared" si="19"/>
        <v/>
      </c>
      <c r="Z50" s="88" t="str">
        <f t="shared" si="19"/>
        <v/>
      </c>
      <c r="AA50" s="88" t="str">
        <f t="shared" si="19"/>
        <v/>
      </c>
      <c r="AB50" s="88" t="str">
        <f t="shared" si="19"/>
        <v/>
      </c>
      <c r="AC50" s="88" t="str">
        <f t="shared" si="19"/>
        <v/>
      </c>
      <c r="AD50" s="87">
        <f t="shared" si="19"/>
        <v>8506.6666666666661</v>
      </c>
      <c r="AE50" s="88">
        <f t="shared" si="19"/>
        <v>8583.3333333333339</v>
      </c>
      <c r="AF50" s="88">
        <f t="shared" si="19"/>
        <v>8430</v>
      </c>
      <c r="AG50" s="88" t="str">
        <f t="shared" si="19"/>
        <v/>
      </c>
      <c r="AH50" s="88" t="str">
        <f t="shared" si="19"/>
        <v/>
      </c>
      <c r="AI50" s="88" t="str">
        <f t="shared" si="19"/>
        <v/>
      </c>
      <c r="AJ50" s="88" t="str">
        <f t="shared" si="19"/>
        <v/>
      </c>
      <c r="AK50" s="88" t="str">
        <f t="shared" si="19"/>
        <v/>
      </c>
      <c r="AL50" s="88" t="str">
        <f t="shared" si="19"/>
        <v/>
      </c>
      <c r="AM50" s="88">
        <f t="shared" si="19"/>
        <v>43.008623601571891</v>
      </c>
      <c r="AN50" s="88">
        <f t="shared" si="19"/>
        <v>111.18774193548388</v>
      </c>
      <c r="AO50" s="89">
        <f t="shared" si="19"/>
        <v>25.55</v>
      </c>
      <c r="AP50" s="90">
        <f t="shared" si="19"/>
        <v>21.188749999999999</v>
      </c>
      <c r="AQ50" s="91">
        <f t="shared" si="19"/>
        <v>83.149999999999991</v>
      </c>
      <c r="AR50" s="91">
        <f t="shared" si="19"/>
        <v>16.850000000000005</v>
      </c>
      <c r="AS50" s="92">
        <f t="shared" si="19"/>
        <v>13.64516129032258</v>
      </c>
      <c r="AT50" s="93">
        <f t="shared" si="19"/>
        <v>15.737499999999999</v>
      </c>
      <c r="AU50" s="94">
        <f t="shared" si="19"/>
        <v>8.459954166666666</v>
      </c>
      <c r="AV50" s="91">
        <f t="shared" si="19"/>
        <v>53.891248512634625</v>
      </c>
      <c r="AW50" s="91">
        <f t="shared" si="19"/>
        <v>46.108751487365389</v>
      </c>
      <c r="AX50" s="83">
        <f t="shared" si="19"/>
        <v>74.594441708950612</v>
      </c>
      <c r="AY50" s="95">
        <f t="shared" si="19"/>
        <v>74.625000000000014</v>
      </c>
      <c r="AZ50" s="96">
        <f t="shared" si="19"/>
        <v>59.227954545454537</v>
      </c>
      <c r="BA50" s="96" t="str">
        <f t="shared" si="19"/>
        <v/>
      </c>
      <c r="BB50" s="96">
        <f t="shared" si="19"/>
        <v>45.31818181818182</v>
      </c>
      <c r="BC50" s="96" t="str">
        <f t="shared" si="19"/>
        <v/>
      </c>
      <c r="BD50" s="97">
        <f>IFERROR(SUBTOTAL(1,BD17:BD47),"")</f>
        <v>111.18774193548388</v>
      </c>
      <c r="BE50" s="87">
        <f t="shared" si="19"/>
        <v>7007</v>
      </c>
      <c r="BF50" s="88">
        <f t="shared" si="19"/>
        <v>410.35483870967744</v>
      </c>
      <c r="BG50" s="98">
        <f t="shared" si="19"/>
        <v>349.29032258064518</v>
      </c>
      <c r="BH50" s="98">
        <f t="shared" si="19"/>
        <v>1562.0322580645161</v>
      </c>
      <c r="BI50" s="98">
        <f t="shared" si="19"/>
        <v>4685.322580645161</v>
      </c>
      <c r="BJ50" s="98" t="str">
        <f t="shared" si="19"/>
        <v/>
      </c>
      <c r="BK50" s="98" t="str">
        <f t="shared" si="19"/>
        <v/>
      </c>
      <c r="BL50" s="97" t="str">
        <f t="shared" si="19"/>
        <v/>
      </c>
    </row>
    <row r="51" spans="1:64" ht="17.25" outlineLevel="1" thickBot="1" x14ac:dyDescent="0.35">
      <c r="A51" s="99" t="s">
        <v>60</v>
      </c>
      <c r="B51" s="100"/>
      <c r="C51" s="101"/>
      <c r="D51" s="102"/>
      <c r="E51" s="102"/>
      <c r="F51" s="102"/>
      <c r="G51" s="102"/>
      <c r="H51" s="102"/>
      <c r="I51" s="102"/>
      <c r="J51" s="102"/>
      <c r="K51" s="102"/>
      <c r="L51" s="103"/>
      <c r="M51" s="104"/>
      <c r="N51" s="104"/>
      <c r="O51" s="104"/>
      <c r="P51" s="104"/>
      <c r="Q51" s="104"/>
      <c r="R51" s="104"/>
      <c r="S51" s="104"/>
      <c r="T51" s="104"/>
      <c r="U51" s="105"/>
      <c r="V51" s="106"/>
      <c r="W51" s="106"/>
      <c r="X51" s="106"/>
      <c r="Y51" s="106"/>
      <c r="Z51" s="106"/>
      <c r="AA51" s="106"/>
      <c r="AB51" s="106"/>
      <c r="AC51" s="106"/>
      <c r="AD51" s="105"/>
      <c r="AE51" s="106"/>
      <c r="AF51" s="106"/>
      <c r="AG51" s="106"/>
      <c r="AH51" s="106"/>
      <c r="AI51" s="106"/>
      <c r="AJ51" s="106"/>
      <c r="AK51" s="106"/>
      <c r="AL51" s="106"/>
      <c r="AM51" s="106"/>
      <c r="AN51" s="107">
        <f>SUBTOTAL(9,AN17:AN47)</f>
        <v>3446.8200000000006</v>
      </c>
      <c r="AO51" s="108"/>
      <c r="AP51" s="109"/>
      <c r="AQ51" s="110"/>
      <c r="AR51" s="110"/>
      <c r="AS51" s="111">
        <f>SUBTOTAL(9,AS17:AS47)</f>
        <v>423</v>
      </c>
      <c r="AT51" s="112"/>
      <c r="AU51" s="113"/>
      <c r="AV51" s="110"/>
      <c r="AW51" s="110"/>
      <c r="AX51" s="101"/>
      <c r="AY51" s="114"/>
      <c r="AZ51" s="115"/>
      <c r="BA51" s="115"/>
      <c r="BB51" s="115"/>
      <c r="BC51" s="115"/>
      <c r="BD51" s="116">
        <f>SUBTOTAL(9,BD17:BD47)</f>
        <v>3446.8200000000006</v>
      </c>
      <c r="BE51" s="117">
        <f t="shared" ref="BE51:BL51" si="20">SUBTOTAL(9,BE17:BE47)</f>
        <v>217217</v>
      </c>
      <c r="BF51" s="107">
        <f t="shared" si="20"/>
        <v>12721</v>
      </c>
      <c r="BG51" s="118">
        <f t="shared" si="20"/>
        <v>10828</v>
      </c>
      <c r="BH51" s="118">
        <f t="shared" si="20"/>
        <v>48423</v>
      </c>
      <c r="BI51" s="118">
        <f t="shared" si="20"/>
        <v>145245</v>
      </c>
      <c r="BJ51" s="118">
        <f t="shared" si="20"/>
        <v>0</v>
      </c>
      <c r="BK51" s="118">
        <f t="shared" si="20"/>
        <v>0</v>
      </c>
      <c r="BL51" s="116">
        <f t="shared" si="20"/>
        <v>0</v>
      </c>
    </row>
    <row r="52" spans="1:64" outlineLevel="5" x14ac:dyDescent="0.3">
      <c r="A52" s="136">
        <f t="shared" si="5"/>
        <v>2</v>
      </c>
      <c r="B52" s="165">
        <f>B47+1</f>
        <v>44593</v>
      </c>
      <c r="C52" s="138">
        <f t="shared" ref="C52:C80" si="21">IFERROR(ROUND(AVERAGE(D52:K52),1),"")</f>
        <v>37</v>
      </c>
      <c r="D52" s="84">
        <v>38</v>
      </c>
      <c r="E52" s="84">
        <v>36</v>
      </c>
      <c r="F52" s="84"/>
      <c r="G52" s="84"/>
      <c r="H52" s="139"/>
      <c r="I52" s="139"/>
      <c r="J52" s="139"/>
      <c r="K52" s="139"/>
      <c r="L52" s="140" t="str">
        <f t="shared" ref="L52:L80" si="22">IFERROR(ROUND(AVERAGE(M52:T52),1),"")</f>
        <v/>
      </c>
      <c r="M52" s="141"/>
      <c r="N52" s="141"/>
      <c r="O52" s="141"/>
      <c r="P52" s="141"/>
      <c r="Q52" s="141"/>
      <c r="R52" s="141"/>
      <c r="S52" s="141"/>
      <c r="T52" s="141"/>
      <c r="U52" s="142" t="str">
        <f t="shared" ref="U52:U80" si="23">IFERROR(ROUND(AVERAGE(V52:AC52),1),"")</f>
        <v/>
      </c>
      <c r="V52" s="143"/>
      <c r="W52" s="143"/>
      <c r="X52" s="143"/>
      <c r="Y52" s="143"/>
      <c r="Z52" s="143"/>
      <c r="AA52" s="143"/>
      <c r="AB52" s="143"/>
      <c r="AC52" s="143"/>
      <c r="AD52" s="142" t="str">
        <f t="shared" ref="AD52:AD80" si="24">IFERROR(ROUND(AVERAGE(AE52:AL52),1),"")</f>
        <v/>
      </c>
      <c r="AE52" s="143"/>
      <c r="AF52" s="143"/>
      <c r="AG52" s="143"/>
      <c r="AH52" s="143"/>
      <c r="AI52" s="143"/>
      <c r="AJ52" s="143"/>
      <c r="AK52" s="143"/>
      <c r="AL52" s="143"/>
      <c r="AM52" s="143">
        <v>47.2</v>
      </c>
      <c r="AN52" s="88">
        <v>100</v>
      </c>
      <c r="AO52" s="144"/>
      <c r="AP52" s="145"/>
      <c r="AQ52" s="146" t="str">
        <f t="shared" ref="AQ52:AQ80" si="25">IFERROR(AP52/AO52*100,"")</f>
        <v/>
      </c>
      <c r="AR52" s="146" t="str">
        <f t="shared" ref="AR52:AR80" si="26">IFERROR(100-AQ52,"")</f>
        <v/>
      </c>
      <c r="AS52" s="147">
        <v>10</v>
      </c>
      <c r="AT52" s="148" t="s">
        <v>106</v>
      </c>
      <c r="AU52" s="149" t="s">
        <v>56</v>
      </c>
      <c r="AV52" s="146" t="str">
        <f t="shared" ref="AV52:AV80" si="27">IFERROR(AU52/AT52*100,"")</f>
        <v/>
      </c>
      <c r="AW52" s="146" t="str">
        <f t="shared" ref="AW52:AW80" si="28">IFERROR(100-AV52,"")</f>
        <v/>
      </c>
      <c r="AX52" s="138" t="str">
        <f t="shared" ref="AX52:AX80" si="29">IFERROR((1-((AV52*AR52)/(AW52*AQ52)))*100,"")</f>
        <v/>
      </c>
      <c r="AY52" t="s">
        <v>56</v>
      </c>
      <c r="AZ52" s="150" t="s">
        <v>56</v>
      </c>
      <c r="BA52" s="150"/>
      <c r="BB52" s="150" t="s">
        <v>56</v>
      </c>
      <c r="BC52" s="150"/>
      <c r="BD52" s="97">
        <v>100</v>
      </c>
      <c r="BE52" s="142">
        <f t="shared" ref="BE52:BE80" si="30">IF(SUM(BF52:BL52)=0,"",SUM(BF52:BL52))</f>
        <v>5224</v>
      </c>
      <c r="BF52" s="98">
        <v>236</v>
      </c>
      <c r="BG52" s="98">
        <v>0</v>
      </c>
      <c r="BH52" s="98">
        <v>0</v>
      </c>
      <c r="BI52" s="98">
        <v>4988</v>
      </c>
      <c r="BJ52" s="98"/>
      <c r="BK52" s="98"/>
      <c r="BL52" s="151"/>
    </row>
    <row r="53" spans="1:64" outlineLevel="5" x14ac:dyDescent="0.3">
      <c r="A53" s="152">
        <f t="shared" si="5"/>
        <v>2</v>
      </c>
      <c r="B53" s="153">
        <f t="shared" si="12"/>
        <v>44594</v>
      </c>
      <c r="C53" s="138">
        <f t="shared" si="21"/>
        <v>37.5</v>
      </c>
      <c r="D53" s="84">
        <v>38</v>
      </c>
      <c r="E53" s="84">
        <v>37</v>
      </c>
      <c r="F53" s="84"/>
      <c r="G53" s="84"/>
      <c r="H53" s="84"/>
      <c r="I53" s="84"/>
      <c r="J53" s="84"/>
      <c r="K53" s="84"/>
      <c r="L53" s="140" t="str">
        <f t="shared" si="22"/>
        <v/>
      </c>
      <c r="M53" s="141"/>
      <c r="N53" s="141"/>
      <c r="O53" s="141"/>
      <c r="P53" s="141"/>
      <c r="Q53" s="86"/>
      <c r="R53" s="86"/>
      <c r="S53" s="86"/>
      <c r="T53" s="86"/>
      <c r="U53" s="142" t="str">
        <f t="shared" si="23"/>
        <v/>
      </c>
      <c r="V53" s="88"/>
      <c r="W53" s="88"/>
      <c r="X53" s="88"/>
      <c r="Y53" s="88"/>
      <c r="Z53" s="88"/>
      <c r="AA53" s="88"/>
      <c r="AB53" s="88"/>
      <c r="AC53" s="88"/>
      <c r="AD53" s="142" t="str">
        <f t="shared" si="24"/>
        <v/>
      </c>
      <c r="AE53" s="88"/>
      <c r="AF53" s="88"/>
      <c r="AG53" s="88"/>
      <c r="AH53" s="88"/>
      <c r="AI53" s="88"/>
      <c r="AJ53" s="88"/>
      <c r="AK53" s="88"/>
      <c r="AL53" s="88"/>
      <c r="AM53" s="143">
        <v>44.752062197781363</v>
      </c>
      <c r="AN53" s="88">
        <v>105.47</v>
      </c>
      <c r="AO53" s="89"/>
      <c r="AP53" s="90"/>
      <c r="AQ53" s="146" t="str">
        <f t="shared" si="25"/>
        <v/>
      </c>
      <c r="AR53" s="146" t="str">
        <f t="shared" si="26"/>
        <v/>
      </c>
      <c r="AS53" s="147">
        <v>10</v>
      </c>
      <c r="AT53" s="148" t="s">
        <v>106</v>
      </c>
      <c r="AU53" s="149" t="s">
        <v>56</v>
      </c>
      <c r="AV53" s="146" t="str">
        <f t="shared" si="27"/>
        <v/>
      </c>
      <c r="AW53" s="146" t="str">
        <f t="shared" si="28"/>
        <v/>
      </c>
      <c r="AX53" s="138" t="str">
        <f t="shared" si="29"/>
        <v/>
      </c>
      <c r="AY53" s="95" t="s">
        <v>56</v>
      </c>
      <c r="AZ53" s="96" t="s">
        <v>56</v>
      </c>
      <c r="BA53" s="96"/>
      <c r="BB53" s="96" t="s">
        <v>56</v>
      </c>
      <c r="BC53" s="96"/>
      <c r="BD53" s="97">
        <v>105.47</v>
      </c>
      <c r="BE53" s="142">
        <f t="shared" si="30"/>
        <v>5356</v>
      </c>
      <c r="BF53" s="98">
        <v>369</v>
      </c>
      <c r="BG53" s="98">
        <v>0</v>
      </c>
      <c r="BH53" s="98">
        <v>0</v>
      </c>
      <c r="BI53" s="98">
        <v>4987</v>
      </c>
      <c r="BJ53" s="98"/>
      <c r="BK53" s="98"/>
      <c r="BL53" s="97"/>
    </row>
    <row r="54" spans="1:64" outlineLevel="5" x14ac:dyDescent="0.3">
      <c r="A54" s="152">
        <f t="shared" si="5"/>
        <v>2</v>
      </c>
      <c r="B54" s="153">
        <f t="shared" si="12"/>
        <v>44595</v>
      </c>
      <c r="C54" s="138">
        <f t="shared" si="21"/>
        <v>37</v>
      </c>
      <c r="D54" s="84">
        <v>37</v>
      </c>
      <c r="E54" s="84">
        <v>37</v>
      </c>
      <c r="F54" s="84"/>
      <c r="G54" s="84"/>
      <c r="H54" s="84"/>
      <c r="I54" s="84"/>
      <c r="J54" s="84"/>
      <c r="K54" s="84"/>
      <c r="L54" s="140">
        <f t="shared" si="22"/>
        <v>7.6</v>
      </c>
      <c r="M54" s="141">
        <v>7.62</v>
      </c>
      <c r="N54" s="141">
        <v>7.49</v>
      </c>
      <c r="O54" s="141"/>
      <c r="P54" s="141"/>
      <c r="Q54" s="86"/>
      <c r="R54" s="86"/>
      <c r="S54" s="86"/>
      <c r="T54" s="86"/>
      <c r="U54" s="142">
        <f t="shared" si="23"/>
        <v>1475</v>
      </c>
      <c r="V54" s="88">
        <v>1530</v>
      </c>
      <c r="W54" s="88">
        <v>1420</v>
      </c>
      <c r="X54" s="88"/>
      <c r="Y54" s="88"/>
      <c r="Z54" s="88"/>
      <c r="AA54" s="88"/>
      <c r="AB54" s="88"/>
      <c r="AC54" s="88"/>
      <c r="AD54" s="142" t="str">
        <f t="shared" si="24"/>
        <v/>
      </c>
      <c r="AE54" s="88"/>
      <c r="AF54" s="88"/>
      <c r="AG54" s="88"/>
      <c r="AH54" s="88"/>
      <c r="AI54" s="88"/>
      <c r="AJ54" s="88"/>
      <c r="AK54" s="88"/>
      <c r="AL54" s="88"/>
      <c r="AM54" s="143">
        <v>39.574075626729268</v>
      </c>
      <c r="AN54" s="88">
        <v>119.27000000000001</v>
      </c>
      <c r="AO54" s="89"/>
      <c r="AP54" s="90"/>
      <c r="AQ54" s="146" t="str">
        <f t="shared" si="25"/>
        <v/>
      </c>
      <c r="AR54" s="146" t="str">
        <f t="shared" si="26"/>
        <v/>
      </c>
      <c r="AS54" s="147">
        <v>20</v>
      </c>
      <c r="AT54" s="148">
        <v>21.7</v>
      </c>
      <c r="AU54" s="149">
        <v>14.485549999999998</v>
      </c>
      <c r="AV54" s="146">
        <f t="shared" si="27"/>
        <v>66.753686635944703</v>
      </c>
      <c r="AW54" s="146">
        <f t="shared" si="28"/>
        <v>33.246313364055297</v>
      </c>
      <c r="AX54" s="138" t="str">
        <f t="shared" si="29"/>
        <v/>
      </c>
      <c r="AY54" s="95">
        <v>76.099999999999994</v>
      </c>
      <c r="AZ54" s="96">
        <v>58.844999999999999</v>
      </c>
      <c r="BA54" s="96"/>
      <c r="BB54" s="96">
        <v>46.5</v>
      </c>
      <c r="BC54" s="96"/>
      <c r="BD54" s="97">
        <v>119.27000000000001</v>
      </c>
      <c r="BE54" s="142">
        <f t="shared" si="30"/>
        <v>6245</v>
      </c>
      <c r="BF54" s="98">
        <v>666</v>
      </c>
      <c r="BG54" s="98">
        <v>624</v>
      </c>
      <c r="BH54" s="98">
        <v>0</v>
      </c>
      <c r="BI54" s="98">
        <v>4955</v>
      </c>
      <c r="BJ54" s="98"/>
      <c r="BK54" s="98"/>
      <c r="BL54" s="97"/>
    </row>
    <row r="55" spans="1:64" outlineLevel="5" x14ac:dyDescent="0.3">
      <c r="A55" s="152">
        <f t="shared" si="5"/>
        <v>2</v>
      </c>
      <c r="B55" s="153">
        <f t="shared" si="12"/>
        <v>44596</v>
      </c>
      <c r="C55" s="138">
        <f t="shared" si="21"/>
        <v>37</v>
      </c>
      <c r="D55" s="84">
        <v>37</v>
      </c>
      <c r="E55" s="84">
        <v>37</v>
      </c>
      <c r="F55" s="84"/>
      <c r="G55" s="84"/>
      <c r="H55" s="84"/>
      <c r="I55" s="84"/>
      <c r="J55" s="84"/>
      <c r="K55" s="84"/>
      <c r="L55" s="140">
        <f t="shared" si="22"/>
        <v>7.5</v>
      </c>
      <c r="M55" s="141">
        <v>7.52</v>
      </c>
      <c r="N55" s="141">
        <v>7.49</v>
      </c>
      <c r="O55" s="141"/>
      <c r="P55" s="141"/>
      <c r="Q55" s="86"/>
      <c r="R55" s="86"/>
      <c r="S55" s="86"/>
      <c r="T55" s="86"/>
      <c r="U55" s="142">
        <f t="shared" si="23"/>
        <v>1525.5</v>
      </c>
      <c r="V55" s="88">
        <v>1621</v>
      </c>
      <c r="W55" s="88">
        <v>1430</v>
      </c>
      <c r="X55" s="88"/>
      <c r="Y55" s="88"/>
      <c r="Z55" s="88"/>
      <c r="AA55" s="88"/>
      <c r="AB55" s="88"/>
      <c r="AC55" s="88"/>
      <c r="AD55" s="142" t="str">
        <f t="shared" si="24"/>
        <v/>
      </c>
      <c r="AE55" s="88"/>
      <c r="AF55" s="88"/>
      <c r="AG55" s="88"/>
      <c r="AH55" s="88"/>
      <c r="AI55" s="88"/>
      <c r="AJ55" s="88"/>
      <c r="AK55" s="88"/>
      <c r="AL55" s="88"/>
      <c r="AM55" s="143">
        <v>37.389100126742711</v>
      </c>
      <c r="AN55" s="88">
        <v>126.24000000000001</v>
      </c>
      <c r="AO55" s="89"/>
      <c r="AP55" s="90"/>
      <c r="AQ55" s="146" t="str">
        <f t="shared" si="25"/>
        <v/>
      </c>
      <c r="AR55" s="146" t="str">
        <f t="shared" si="26"/>
        <v/>
      </c>
      <c r="AS55" s="147">
        <v>20</v>
      </c>
      <c r="AT55" s="148" t="s">
        <v>106</v>
      </c>
      <c r="AU55" s="149" t="s">
        <v>56</v>
      </c>
      <c r="AV55" s="146" t="str">
        <f t="shared" si="27"/>
        <v/>
      </c>
      <c r="AW55" s="146" t="str">
        <f t="shared" si="28"/>
        <v/>
      </c>
      <c r="AX55" s="138" t="str">
        <f t="shared" si="29"/>
        <v/>
      </c>
      <c r="AY55" s="95" t="s">
        <v>56</v>
      </c>
      <c r="AZ55" s="96">
        <v>59.524999999999999</v>
      </c>
      <c r="BA55" s="96"/>
      <c r="BB55" s="96">
        <v>45</v>
      </c>
      <c r="BC55" s="96"/>
      <c r="BD55" s="97">
        <v>126.24000000000001</v>
      </c>
      <c r="BE55" s="142">
        <f t="shared" si="30"/>
        <v>7538</v>
      </c>
      <c r="BF55" s="98">
        <v>504</v>
      </c>
      <c r="BG55" s="98">
        <v>1949</v>
      </c>
      <c r="BH55" s="98">
        <v>0</v>
      </c>
      <c r="BI55" s="98">
        <v>5085</v>
      </c>
      <c r="BJ55" s="98"/>
      <c r="BK55" s="98"/>
      <c r="BL55" s="97"/>
    </row>
    <row r="56" spans="1:64" outlineLevel="5" x14ac:dyDescent="0.3">
      <c r="A56" s="152">
        <f t="shared" si="5"/>
        <v>2</v>
      </c>
      <c r="B56" s="153">
        <f t="shared" si="12"/>
        <v>44597</v>
      </c>
      <c r="C56" s="138">
        <f t="shared" si="21"/>
        <v>37</v>
      </c>
      <c r="D56" s="84">
        <v>37</v>
      </c>
      <c r="E56" s="84">
        <v>37</v>
      </c>
      <c r="F56" s="84"/>
      <c r="G56" s="84"/>
      <c r="H56" s="84"/>
      <c r="I56" s="84"/>
      <c r="J56" s="84"/>
      <c r="K56" s="84"/>
      <c r="L56" s="140" t="str">
        <f t="shared" si="22"/>
        <v/>
      </c>
      <c r="M56" s="141"/>
      <c r="N56" s="141"/>
      <c r="O56" s="141"/>
      <c r="P56" s="141"/>
      <c r="Q56" s="86"/>
      <c r="R56" s="86"/>
      <c r="S56" s="86"/>
      <c r="T56" s="86"/>
      <c r="U56" s="142" t="str">
        <f t="shared" si="23"/>
        <v/>
      </c>
      <c r="V56" s="88"/>
      <c r="W56" s="88"/>
      <c r="X56" s="88"/>
      <c r="Y56" s="88"/>
      <c r="Z56" s="88"/>
      <c r="AA56" s="88"/>
      <c r="AB56" s="88"/>
      <c r="AC56" s="88"/>
      <c r="AD56" s="142" t="str">
        <f t="shared" si="24"/>
        <v/>
      </c>
      <c r="AE56" s="88"/>
      <c r="AF56" s="88"/>
      <c r="AG56" s="88"/>
      <c r="AH56" s="88"/>
      <c r="AI56" s="88"/>
      <c r="AJ56" s="88"/>
      <c r="AK56" s="88"/>
      <c r="AL56" s="88"/>
      <c r="AM56" s="143">
        <v>43.168099506127675</v>
      </c>
      <c r="AN56" s="88">
        <v>109.34</v>
      </c>
      <c r="AO56" s="89"/>
      <c r="AP56" s="90"/>
      <c r="AQ56" s="146" t="str">
        <f t="shared" si="25"/>
        <v/>
      </c>
      <c r="AR56" s="146" t="str">
        <f t="shared" si="26"/>
        <v/>
      </c>
      <c r="AS56" s="147">
        <v>10</v>
      </c>
      <c r="AT56" s="148" t="s">
        <v>106</v>
      </c>
      <c r="AU56" s="149" t="s">
        <v>56</v>
      </c>
      <c r="AV56" s="146" t="str">
        <f t="shared" si="27"/>
        <v/>
      </c>
      <c r="AW56" s="146" t="str">
        <f t="shared" si="28"/>
        <v/>
      </c>
      <c r="AX56" s="138" t="str">
        <f t="shared" si="29"/>
        <v/>
      </c>
      <c r="AY56" s="95" t="s">
        <v>56</v>
      </c>
      <c r="AZ56" s="96" t="s">
        <v>56</v>
      </c>
      <c r="BA56" s="96"/>
      <c r="BB56" s="96" t="s">
        <v>56</v>
      </c>
      <c r="BC56" s="96"/>
      <c r="BD56" s="97">
        <v>109.34</v>
      </c>
      <c r="BE56" s="142">
        <f t="shared" si="30"/>
        <v>6880</v>
      </c>
      <c r="BF56" s="98">
        <v>356</v>
      </c>
      <c r="BG56" s="98">
        <v>1622</v>
      </c>
      <c r="BH56" s="98">
        <v>25</v>
      </c>
      <c r="BI56" s="98">
        <v>4877</v>
      </c>
      <c r="BJ56" s="98"/>
      <c r="BK56" s="98"/>
      <c r="BL56" s="97"/>
    </row>
    <row r="57" spans="1:64" outlineLevel="5" x14ac:dyDescent="0.3">
      <c r="A57" s="152">
        <f t="shared" si="5"/>
        <v>2</v>
      </c>
      <c r="B57" s="153">
        <f t="shared" si="12"/>
        <v>44598</v>
      </c>
      <c r="C57" s="138">
        <f t="shared" si="21"/>
        <v>37</v>
      </c>
      <c r="D57" s="84">
        <v>37</v>
      </c>
      <c r="E57" s="84">
        <v>37</v>
      </c>
      <c r="F57" s="84"/>
      <c r="G57" s="84"/>
      <c r="H57" s="84"/>
      <c r="I57" s="84"/>
      <c r="J57" s="84"/>
      <c r="K57" s="84"/>
      <c r="L57" s="140" t="str">
        <f t="shared" si="22"/>
        <v/>
      </c>
      <c r="M57" s="141"/>
      <c r="N57" s="141"/>
      <c r="O57" s="141"/>
      <c r="P57" s="141"/>
      <c r="Q57" s="86"/>
      <c r="R57" s="86"/>
      <c r="S57" s="86"/>
      <c r="T57" s="86"/>
      <c r="U57" s="142" t="str">
        <f t="shared" si="23"/>
        <v/>
      </c>
      <c r="V57" s="88"/>
      <c r="W57" s="88"/>
      <c r="X57" s="88"/>
      <c r="Y57" s="88"/>
      <c r="Z57" s="88"/>
      <c r="AA57" s="88"/>
      <c r="AB57" s="88"/>
      <c r="AC57" s="88"/>
      <c r="AD57" s="142" t="str">
        <f t="shared" si="24"/>
        <v/>
      </c>
      <c r="AE57" s="88"/>
      <c r="AF57" s="88"/>
      <c r="AG57" s="88"/>
      <c r="AH57" s="88"/>
      <c r="AI57" s="88"/>
      <c r="AJ57" s="88"/>
      <c r="AK57" s="88"/>
      <c r="AL57" s="88"/>
      <c r="AM57" s="143">
        <v>59</v>
      </c>
      <c r="AN57" s="88">
        <v>80</v>
      </c>
      <c r="AO57" s="89"/>
      <c r="AP57" s="90"/>
      <c r="AQ57" s="146" t="str">
        <f t="shared" si="25"/>
        <v/>
      </c>
      <c r="AR57" s="146" t="str">
        <f t="shared" si="26"/>
        <v/>
      </c>
      <c r="AS57" s="147">
        <v>0</v>
      </c>
      <c r="AT57" s="148" t="s">
        <v>106</v>
      </c>
      <c r="AU57" s="149" t="s">
        <v>56</v>
      </c>
      <c r="AV57" s="146" t="str">
        <f t="shared" si="27"/>
        <v/>
      </c>
      <c r="AW57" s="146" t="str">
        <f t="shared" si="28"/>
        <v/>
      </c>
      <c r="AX57" s="138" t="str">
        <f t="shared" si="29"/>
        <v/>
      </c>
      <c r="AY57" s="95" t="s">
        <v>56</v>
      </c>
      <c r="AZ57" s="96" t="s">
        <v>56</v>
      </c>
      <c r="BA57" s="96"/>
      <c r="BB57" s="96" t="s">
        <v>56</v>
      </c>
      <c r="BC57" s="96"/>
      <c r="BD57" s="97">
        <v>80</v>
      </c>
      <c r="BE57" s="142">
        <f t="shared" si="30"/>
        <v>5887</v>
      </c>
      <c r="BF57" s="98">
        <v>358</v>
      </c>
      <c r="BG57" s="98">
        <v>939</v>
      </c>
      <c r="BH57" s="98">
        <v>0</v>
      </c>
      <c r="BI57" s="98">
        <v>4590</v>
      </c>
      <c r="BJ57" s="98"/>
      <c r="BK57" s="98"/>
      <c r="BL57" s="97"/>
    </row>
    <row r="58" spans="1:64" outlineLevel="5" x14ac:dyDescent="0.3">
      <c r="A58" s="152">
        <f t="shared" si="5"/>
        <v>2</v>
      </c>
      <c r="B58" s="153">
        <f t="shared" si="12"/>
        <v>44599</v>
      </c>
      <c r="C58" s="138">
        <f t="shared" si="21"/>
        <v>38</v>
      </c>
      <c r="D58" s="84">
        <v>38</v>
      </c>
      <c r="E58" s="84">
        <v>38</v>
      </c>
      <c r="F58" s="84"/>
      <c r="G58" s="84"/>
      <c r="H58" s="84"/>
      <c r="I58" s="84"/>
      <c r="J58" s="84"/>
      <c r="K58" s="84"/>
      <c r="L58" s="140">
        <f t="shared" si="22"/>
        <v>7.5</v>
      </c>
      <c r="M58" s="141">
        <v>7.51</v>
      </c>
      <c r="N58" s="141">
        <v>7.43</v>
      </c>
      <c r="O58" s="141"/>
      <c r="P58" s="141"/>
      <c r="Q58" s="86"/>
      <c r="R58" s="86"/>
      <c r="S58" s="86"/>
      <c r="T58" s="86"/>
      <c r="U58" s="142">
        <f t="shared" si="23"/>
        <v>1460</v>
      </c>
      <c r="V58" s="88">
        <v>1530</v>
      </c>
      <c r="W58" s="88">
        <v>1390</v>
      </c>
      <c r="X58" s="88"/>
      <c r="Y58" s="88"/>
      <c r="Z58" s="88"/>
      <c r="AA58" s="88"/>
      <c r="AB58" s="88"/>
      <c r="AC58" s="88"/>
      <c r="AD58" s="142" t="str">
        <f t="shared" si="24"/>
        <v/>
      </c>
      <c r="AE58" s="88"/>
      <c r="AF58" s="88"/>
      <c r="AG58" s="88"/>
      <c r="AH58" s="88"/>
      <c r="AI58" s="88"/>
      <c r="AJ58" s="88"/>
      <c r="AK58" s="88"/>
      <c r="AL58" s="88"/>
      <c r="AM58" s="143">
        <v>51.455358116210618</v>
      </c>
      <c r="AN58" s="88">
        <v>91.73</v>
      </c>
      <c r="AO58" s="89">
        <v>34.799999999999997</v>
      </c>
      <c r="AP58" s="90">
        <v>30.728399999999997</v>
      </c>
      <c r="AQ58" s="146">
        <f t="shared" si="25"/>
        <v>88.3</v>
      </c>
      <c r="AR58" s="146">
        <f t="shared" si="26"/>
        <v>11.700000000000003</v>
      </c>
      <c r="AS58" s="147">
        <v>20</v>
      </c>
      <c r="AT58" s="148">
        <v>19.3</v>
      </c>
      <c r="AU58" s="149">
        <v>2.7162000000000002</v>
      </c>
      <c r="AV58" s="146">
        <f t="shared" si="27"/>
        <v>14.07357512953368</v>
      </c>
      <c r="AW58" s="146">
        <f t="shared" si="28"/>
        <v>85.92642487046632</v>
      </c>
      <c r="AX58" s="138">
        <f t="shared" si="29"/>
        <v>97.829784547205861</v>
      </c>
      <c r="AY58" s="95">
        <v>75.3</v>
      </c>
      <c r="AZ58" s="96">
        <v>59.65</v>
      </c>
      <c r="BA58" s="96"/>
      <c r="BB58" s="96">
        <v>50</v>
      </c>
      <c r="BC58" s="96"/>
      <c r="BD58" s="97">
        <v>91.73</v>
      </c>
      <c r="BE58" s="142">
        <f t="shared" si="30"/>
        <v>5070</v>
      </c>
      <c r="BF58" s="98">
        <v>379</v>
      </c>
      <c r="BG58" s="98">
        <v>0</v>
      </c>
      <c r="BH58" s="98">
        <v>0</v>
      </c>
      <c r="BI58" s="98">
        <v>4691</v>
      </c>
      <c r="BJ58" s="98"/>
      <c r="BK58" s="98"/>
      <c r="BL58" s="97"/>
    </row>
    <row r="59" spans="1:64" outlineLevel="5" x14ac:dyDescent="0.3">
      <c r="A59" s="152">
        <f t="shared" si="5"/>
        <v>2</v>
      </c>
      <c r="B59" s="153">
        <f t="shared" si="12"/>
        <v>44600</v>
      </c>
      <c r="C59" s="138">
        <f t="shared" si="21"/>
        <v>38</v>
      </c>
      <c r="D59" s="84">
        <v>38</v>
      </c>
      <c r="E59" s="84">
        <v>38</v>
      </c>
      <c r="F59" s="84"/>
      <c r="G59" s="84"/>
      <c r="H59" s="84"/>
      <c r="I59" s="84"/>
      <c r="J59" s="84"/>
      <c r="K59" s="84"/>
      <c r="L59" s="140">
        <f t="shared" si="22"/>
        <v>7.5</v>
      </c>
      <c r="M59" s="141">
        <v>7.49</v>
      </c>
      <c r="N59" s="141">
        <v>7.41</v>
      </c>
      <c r="O59" s="141"/>
      <c r="P59" s="141"/>
      <c r="Q59" s="86"/>
      <c r="R59" s="86"/>
      <c r="S59" s="86"/>
      <c r="T59" s="86"/>
      <c r="U59" s="142">
        <f t="shared" si="23"/>
        <v>1448</v>
      </c>
      <c r="V59" s="88">
        <v>1498</v>
      </c>
      <c r="W59" s="88">
        <v>1398</v>
      </c>
      <c r="X59" s="88"/>
      <c r="Y59" s="88"/>
      <c r="Z59" s="88"/>
      <c r="AA59" s="88"/>
      <c r="AB59" s="88"/>
      <c r="AC59" s="88"/>
      <c r="AD59" s="142" t="str">
        <f t="shared" si="24"/>
        <v/>
      </c>
      <c r="AE59" s="88"/>
      <c r="AF59" s="88"/>
      <c r="AG59" s="88"/>
      <c r="AH59" s="88"/>
      <c r="AI59" s="88"/>
      <c r="AJ59" s="88"/>
      <c r="AK59" s="88"/>
      <c r="AL59" s="88"/>
      <c r="AM59" s="143">
        <v>37.606565213927176</v>
      </c>
      <c r="AN59" s="88">
        <v>125.51</v>
      </c>
      <c r="AO59" s="89"/>
      <c r="AP59" s="90"/>
      <c r="AQ59" s="146" t="str">
        <f t="shared" si="25"/>
        <v/>
      </c>
      <c r="AR59" s="146" t="str">
        <f t="shared" si="26"/>
        <v/>
      </c>
      <c r="AS59" s="147">
        <v>30</v>
      </c>
      <c r="AT59" s="148" t="s">
        <v>106</v>
      </c>
      <c r="AU59" s="149" t="s">
        <v>56</v>
      </c>
      <c r="AV59" s="146" t="str">
        <f t="shared" si="27"/>
        <v/>
      </c>
      <c r="AW59" s="146" t="str">
        <f t="shared" si="28"/>
        <v/>
      </c>
      <c r="AX59" s="138" t="str">
        <f t="shared" si="29"/>
        <v/>
      </c>
      <c r="AY59" s="95" t="s">
        <v>56</v>
      </c>
      <c r="AZ59" s="96">
        <v>56.06</v>
      </c>
      <c r="BA59" s="96"/>
      <c r="BB59" s="96">
        <v>54.5</v>
      </c>
      <c r="BC59" s="96"/>
      <c r="BD59" s="97">
        <v>125.51</v>
      </c>
      <c r="BE59" s="142">
        <f t="shared" si="30"/>
        <v>5895</v>
      </c>
      <c r="BF59" s="98">
        <v>369</v>
      </c>
      <c r="BG59" s="98">
        <v>0</v>
      </c>
      <c r="BH59" s="98">
        <v>151</v>
      </c>
      <c r="BI59" s="98">
        <v>5375</v>
      </c>
      <c r="BJ59" s="98"/>
      <c r="BK59" s="98"/>
      <c r="BL59" s="97"/>
    </row>
    <row r="60" spans="1:64" outlineLevel="5" x14ac:dyDescent="0.3">
      <c r="A60" s="152">
        <f t="shared" si="5"/>
        <v>2</v>
      </c>
      <c r="B60" s="153">
        <f t="shared" si="12"/>
        <v>44601</v>
      </c>
      <c r="C60" s="138">
        <f t="shared" si="21"/>
        <v>38</v>
      </c>
      <c r="D60" s="84">
        <v>38</v>
      </c>
      <c r="E60" s="84">
        <v>38</v>
      </c>
      <c r="F60" s="84"/>
      <c r="G60" s="84"/>
      <c r="H60" s="84"/>
      <c r="I60" s="84"/>
      <c r="J60" s="84"/>
      <c r="K60" s="84"/>
      <c r="L60" s="140">
        <f t="shared" si="22"/>
        <v>7.5</v>
      </c>
      <c r="M60" s="141">
        <v>7.58</v>
      </c>
      <c r="N60" s="141">
        <v>7.49</v>
      </c>
      <c r="O60" s="141"/>
      <c r="P60" s="141"/>
      <c r="Q60" s="86"/>
      <c r="R60" s="86"/>
      <c r="S60" s="86"/>
      <c r="T60" s="86"/>
      <c r="U60" s="142">
        <f t="shared" si="23"/>
        <v>1525</v>
      </c>
      <c r="V60" s="88">
        <v>1624</v>
      </c>
      <c r="W60" s="88">
        <v>1426</v>
      </c>
      <c r="X60" s="88"/>
      <c r="Y60" s="88"/>
      <c r="Z60" s="88"/>
      <c r="AA60" s="88"/>
      <c r="AB60" s="88"/>
      <c r="AC60" s="88"/>
      <c r="AD60" s="142">
        <f t="shared" si="24"/>
        <v>8125</v>
      </c>
      <c r="AE60" s="88">
        <v>8250</v>
      </c>
      <c r="AF60" s="88">
        <v>8000</v>
      </c>
      <c r="AG60" s="88"/>
      <c r="AH60" s="88"/>
      <c r="AI60" s="88"/>
      <c r="AJ60" s="88"/>
      <c r="AK60" s="88"/>
      <c r="AL60" s="88"/>
      <c r="AM60" s="143">
        <v>44.001118672508618</v>
      </c>
      <c r="AN60" s="88">
        <v>107.27000000000001</v>
      </c>
      <c r="AO60" s="89"/>
      <c r="AP60" s="90"/>
      <c r="AQ60" s="146" t="str">
        <f t="shared" si="25"/>
        <v/>
      </c>
      <c r="AR60" s="146" t="str">
        <f t="shared" si="26"/>
        <v/>
      </c>
      <c r="AS60" s="147">
        <v>20</v>
      </c>
      <c r="AT60" s="148">
        <v>16.350000000000001</v>
      </c>
      <c r="AU60" s="149">
        <v>9.0486000000000004</v>
      </c>
      <c r="AV60" s="146">
        <f t="shared" si="27"/>
        <v>55.343119266055041</v>
      </c>
      <c r="AW60" s="146">
        <f t="shared" si="28"/>
        <v>44.656880733944959</v>
      </c>
      <c r="AX60" s="138" t="str">
        <f t="shared" si="29"/>
        <v/>
      </c>
      <c r="AY60" s="95">
        <v>78.05</v>
      </c>
      <c r="AZ60" s="96">
        <v>57.79</v>
      </c>
      <c r="BA60" s="96"/>
      <c r="BB60" s="96">
        <v>50.5</v>
      </c>
      <c r="BC60" s="96"/>
      <c r="BD60" s="97">
        <v>107.27000000000001</v>
      </c>
      <c r="BE60" s="142">
        <f t="shared" si="30"/>
        <v>10841</v>
      </c>
      <c r="BF60" s="98">
        <v>362</v>
      </c>
      <c r="BG60" s="98">
        <v>2861</v>
      </c>
      <c r="BH60" s="98">
        <v>2448</v>
      </c>
      <c r="BI60" s="98">
        <v>5170</v>
      </c>
      <c r="BJ60" s="98"/>
      <c r="BK60" s="98"/>
      <c r="BL60" s="97"/>
    </row>
    <row r="61" spans="1:64" outlineLevel="5" x14ac:dyDescent="0.3">
      <c r="A61" s="152">
        <f t="shared" si="5"/>
        <v>2</v>
      </c>
      <c r="B61" s="153">
        <f t="shared" si="12"/>
        <v>44602</v>
      </c>
      <c r="C61" s="138">
        <f t="shared" si="21"/>
        <v>38</v>
      </c>
      <c r="D61" s="84">
        <v>38</v>
      </c>
      <c r="E61" s="84">
        <v>38</v>
      </c>
      <c r="F61" s="84"/>
      <c r="G61" s="84"/>
      <c r="H61" s="84"/>
      <c r="I61" s="84"/>
      <c r="J61" s="84"/>
      <c r="K61" s="84"/>
      <c r="L61" s="140">
        <f t="shared" si="22"/>
        <v>7.6</v>
      </c>
      <c r="M61" s="141">
        <v>7.61</v>
      </c>
      <c r="N61" s="141">
        <v>7.49</v>
      </c>
      <c r="O61" s="141"/>
      <c r="P61" s="141"/>
      <c r="Q61" s="86"/>
      <c r="R61" s="86"/>
      <c r="S61" s="86"/>
      <c r="T61" s="86"/>
      <c r="U61" s="142">
        <f t="shared" si="23"/>
        <v>1495.5</v>
      </c>
      <c r="V61" s="88">
        <v>1521</v>
      </c>
      <c r="W61" s="88">
        <v>1470</v>
      </c>
      <c r="X61" s="88"/>
      <c r="Y61" s="88"/>
      <c r="Z61" s="88"/>
      <c r="AA61" s="88"/>
      <c r="AB61" s="88"/>
      <c r="AC61" s="88"/>
      <c r="AD61" s="142" t="str">
        <f t="shared" si="24"/>
        <v/>
      </c>
      <c r="AE61" s="88"/>
      <c r="AF61" s="88"/>
      <c r="AG61" s="88"/>
      <c r="AH61" s="88"/>
      <c r="AI61" s="88"/>
      <c r="AJ61" s="88"/>
      <c r="AK61" s="88"/>
      <c r="AL61" s="88"/>
      <c r="AM61" s="143">
        <v>37.878179921354629</v>
      </c>
      <c r="AN61" s="88">
        <v>124.61</v>
      </c>
      <c r="AO61" s="89"/>
      <c r="AP61" s="90"/>
      <c r="AQ61" s="146" t="str">
        <f t="shared" si="25"/>
        <v/>
      </c>
      <c r="AR61" s="146" t="str">
        <f t="shared" si="26"/>
        <v/>
      </c>
      <c r="AS61" s="147">
        <v>20</v>
      </c>
      <c r="AT61" s="148">
        <v>15.100000000000001</v>
      </c>
      <c r="AU61" s="149">
        <v>9.1212999999999997</v>
      </c>
      <c r="AV61" s="146">
        <f t="shared" si="27"/>
        <v>60.405960264900656</v>
      </c>
      <c r="AW61" s="146">
        <f t="shared" si="28"/>
        <v>39.594039735099344</v>
      </c>
      <c r="AX61" s="138" t="str">
        <f t="shared" si="29"/>
        <v/>
      </c>
      <c r="AY61" s="95">
        <v>77.55</v>
      </c>
      <c r="AZ61" s="96">
        <v>57.495000000000005</v>
      </c>
      <c r="BA61" s="96"/>
      <c r="BB61" s="96">
        <v>55.5</v>
      </c>
      <c r="BC61" s="96"/>
      <c r="BD61" s="97">
        <v>124.61</v>
      </c>
      <c r="BE61" s="142">
        <f t="shared" si="30"/>
        <v>8227</v>
      </c>
      <c r="BF61" s="98">
        <v>297</v>
      </c>
      <c r="BG61" s="98">
        <v>3274</v>
      </c>
      <c r="BH61" s="98">
        <v>1488</v>
      </c>
      <c r="BI61" s="98">
        <v>3168</v>
      </c>
      <c r="BJ61" s="98"/>
      <c r="BK61" s="98"/>
      <c r="BL61" s="97"/>
    </row>
    <row r="62" spans="1:64" outlineLevel="5" x14ac:dyDescent="0.3">
      <c r="A62" s="152">
        <f t="shared" si="5"/>
        <v>2</v>
      </c>
      <c r="B62" s="153">
        <f t="shared" si="12"/>
        <v>44603</v>
      </c>
      <c r="C62" s="138">
        <f t="shared" si="21"/>
        <v>38</v>
      </c>
      <c r="D62" s="84">
        <v>38</v>
      </c>
      <c r="E62" s="84">
        <v>38</v>
      </c>
      <c r="F62" s="84"/>
      <c r="G62" s="84"/>
      <c r="H62" s="84"/>
      <c r="I62" s="84"/>
      <c r="J62" s="84"/>
      <c r="K62" s="84"/>
      <c r="L62" s="140">
        <f t="shared" si="22"/>
        <v>7.6</v>
      </c>
      <c r="M62" s="141">
        <v>7.67</v>
      </c>
      <c r="N62" s="141">
        <v>7.5</v>
      </c>
      <c r="O62" s="141"/>
      <c r="P62" s="141"/>
      <c r="Q62" s="86"/>
      <c r="R62" s="86"/>
      <c r="S62" s="86"/>
      <c r="T62" s="86"/>
      <c r="U62" s="142">
        <f t="shared" si="23"/>
        <v>1508.5</v>
      </c>
      <c r="V62" s="88">
        <v>1589</v>
      </c>
      <c r="W62" s="88">
        <v>1428</v>
      </c>
      <c r="X62" s="88"/>
      <c r="Y62" s="88"/>
      <c r="Z62" s="88"/>
      <c r="AA62" s="88"/>
      <c r="AB62" s="88"/>
      <c r="AC62" s="88"/>
      <c r="AD62" s="142" t="str">
        <f t="shared" si="24"/>
        <v/>
      </c>
      <c r="AE62" s="88"/>
      <c r="AF62" s="88"/>
      <c r="AG62" s="88"/>
      <c r="AH62" s="88"/>
      <c r="AI62" s="88"/>
      <c r="AJ62" s="88"/>
      <c r="AK62" s="88"/>
      <c r="AL62" s="88"/>
      <c r="AM62" s="143">
        <v>39.603960396039604</v>
      </c>
      <c r="AN62" s="88">
        <v>119.18</v>
      </c>
      <c r="AO62" s="89"/>
      <c r="AP62" s="90"/>
      <c r="AQ62" s="146" t="str">
        <f t="shared" si="25"/>
        <v/>
      </c>
      <c r="AR62" s="146" t="str">
        <f t="shared" si="26"/>
        <v/>
      </c>
      <c r="AS62" s="147">
        <v>20</v>
      </c>
      <c r="AT62" s="148" t="s">
        <v>106</v>
      </c>
      <c r="AU62" s="149" t="s">
        <v>56</v>
      </c>
      <c r="AV62" s="146" t="str">
        <f t="shared" si="27"/>
        <v/>
      </c>
      <c r="AW62" s="146" t="str">
        <f t="shared" si="28"/>
        <v/>
      </c>
      <c r="AX62" s="138" t="str">
        <f t="shared" si="29"/>
        <v/>
      </c>
      <c r="AY62" s="95" t="s">
        <v>56</v>
      </c>
      <c r="AZ62" s="96">
        <v>58.924999999999997</v>
      </c>
      <c r="BA62" s="96"/>
      <c r="BB62" s="96">
        <v>35</v>
      </c>
      <c r="BC62" s="96"/>
      <c r="BD62" s="97">
        <v>119.18</v>
      </c>
      <c r="BE62" s="142">
        <f t="shared" si="30"/>
        <v>9388</v>
      </c>
      <c r="BF62" s="98">
        <v>380</v>
      </c>
      <c r="BG62" s="98">
        <v>3521</v>
      </c>
      <c r="BH62" s="98">
        <v>455</v>
      </c>
      <c r="BI62" s="98">
        <v>5032</v>
      </c>
      <c r="BJ62" s="98"/>
      <c r="BK62" s="98"/>
      <c r="BL62" s="97"/>
    </row>
    <row r="63" spans="1:64" outlineLevel="5" x14ac:dyDescent="0.3">
      <c r="A63" s="152">
        <f t="shared" si="5"/>
        <v>2</v>
      </c>
      <c r="B63" s="153">
        <f t="shared" si="12"/>
        <v>44604</v>
      </c>
      <c r="C63" s="138">
        <f t="shared" si="21"/>
        <v>38</v>
      </c>
      <c r="D63" s="84">
        <v>38</v>
      </c>
      <c r="E63" s="84">
        <v>38</v>
      </c>
      <c r="F63" s="84"/>
      <c r="G63" s="84"/>
      <c r="H63" s="84"/>
      <c r="I63" s="84"/>
      <c r="J63" s="84"/>
      <c r="K63" s="84"/>
      <c r="L63" s="140" t="str">
        <f t="shared" si="22"/>
        <v/>
      </c>
      <c r="M63" s="141"/>
      <c r="N63" s="141"/>
      <c r="O63" s="141"/>
      <c r="P63" s="141"/>
      <c r="Q63" s="86"/>
      <c r="R63" s="86"/>
      <c r="S63" s="86"/>
      <c r="T63" s="86"/>
      <c r="U63" s="142" t="str">
        <f t="shared" si="23"/>
        <v/>
      </c>
      <c r="V63" s="88"/>
      <c r="W63" s="88"/>
      <c r="X63" s="88"/>
      <c r="Y63" s="88"/>
      <c r="Z63" s="88"/>
      <c r="AA63" s="88"/>
      <c r="AB63" s="88"/>
      <c r="AC63" s="88"/>
      <c r="AD63" s="142" t="str">
        <f t="shared" si="24"/>
        <v/>
      </c>
      <c r="AE63" s="88"/>
      <c r="AF63" s="88"/>
      <c r="AG63" s="88"/>
      <c r="AH63" s="88"/>
      <c r="AI63" s="88"/>
      <c r="AJ63" s="88"/>
      <c r="AK63" s="88"/>
      <c r="AL63" s="88"/>
      <c r="AM63" s="143">
        <v>35.972867921652309</v>
      </c>
      <c r="AN63" s="88">
        <v>131.21</v>
      </c>
      <c r="AO63" s="89"/>
      <c r="AP63" s="90"/>
      <c r="AQ63" s="146" t="str">
        <f t="shared" si="25"/>
        <v/>
      </c>
      <c r="AR63" s="146" t="str">
        <f t="shared" si="26"/>
        <v/>
      </c>
      <c r="AS63" s="147">
        <v>0</v>
      </c>
      <c r="AT63" s="148" t="s">
        <v>106</v>
      </c>
      <c r="AU63" s="149" t="s">
        <v>56</v>
      </c>
      <c r="AV63" s="146" t="str">
        <f t="shared" si="27"/>
        <v/>
      </c>
      <c r="AW63" s="146" t="str">
        <f t="shared" si="28"/>
        <v/>
      </c>
      <c r="AX63" s="138" t="str">
        <f t="shared" si="29"/>
        <v/>
      </c>
      <c r="AY63" s="95" t="s">
        <v>56</v>
      </c>
      <c r="AZ63" s="96" t="s">
        <v>56</v>
      </c>
      <c r="BA63" s="96"/>
      <c r="BB63" s="96" t="s">
        <v>56</v>
      </c>
      <c r="BC63" s="96"/>
      <c r="BD63" s="97">
        <v>131.21</v>
      </c>
      <c r="BE63" s="142">
        <f t="shared" si="30"/>
        <v>9898</v>
      </c>
      <c r="BF63" s="98">
        <v>388</v>
      </c>
      <c r="BG63" s="98">
        <v>2778</v>
      </c>
      <c r="BH63" s="98">
        <v>1884</v>
      </c>
      <c r="BI63" s="98">
        <v>4848</v>
      </c>
      <c r="BJ63" s="98"/>
      <c r="BK63" s="98"/>
      <c r="BL63" s="97"/>
    </row>
    <row r="64" spans="1:64" outlineLevel="5" x14ac:dyDescent="0.3">
      <c r="A64" s="152">
        <f t="shared" si="5"/>
        <v>2</v>
      </c>
      <c r="B64" s="153">
        <f t="shared" si="12"/>
        <v>44605</v>
      </c>
      <c r="C64" s="138">
        <f t="shared" si="21"/>
        <v>37</v>
      </c>
      <c r="D64" s="84">
        <v>37</v>
      </c>
      <c r="E64" s="84">
        <v>37</v>
      </c>
      <c r="F64" s="84"/>
      <c r="G64" s="84"/>
      <c r="H64" s="84"/>
      <c r="I64" s="84"/>
      <c r="J64" s="84"/>
      <c r="K64" s="84"/>
      <c r="L64" s="140" t="str">
        <f t="shared" si="22"/>
        <v/>
      </c>
      <c r="M64" s="141"/>
      <c r="N64" s="141"/>
      <c r="O64" s="141"/>
      <c r="P64" s="141"/>
      <c r="Q64" s="86"/>
      <c r="R64" s="86"/>
      <c r="S64" s="86"/>
      <c r="T64" s="86"/>
      <c r="U64" s="142" t="str">
        <f t="shared" si="23"/>
        <v/>
      </c>
      <c r="V64" s="88"/>
      <c r="W64" s="88"/>
      <c r="X64" s="88"/>
      <c r="Y64" s="88"/>
      <c r="Z64" s="88"/>
      <c r="AA64" s="88"/>
      <c r="AB64" s="88"/>
      <c r="AC64" s="88"/>
      <c r="AD64" s="142" t="str">
        <f t="shared" si="24"/>
        <v/>
      </c>
      <c r="AE64" s="88"/>
      <c r="AF64" s="88"/>
      <c r="AG64" s="88"/>
      <c r="AH64" s="88"/>
      <c r="AI64" s="88"/>
      <c r="AJ64" s="88"/>
      <c r="AK64" s="88"/>
      <c r="AL64" s="88"/>
      <c r="AM64" s="143">
        <v>39.333333333333336</v>
      </c>
      <c r="AN64" s="88">
        <v>120</v>
      </c>
      <c r="AO64" s="89"/>
      <c r="AP64" s="90"/>
      <c r="AQ64" s="146" t="str">
        <f t="shared" si="25"/>
        <v/>
      </c>
      <c r="AR64" s="146" t="str">
        <f t="shared" si="26"/>
        <v/>
      </c>
      <c r="AS64" s="147">
        <v>0</v>
      </c>
      <c r="AT64" s="148" t="s">
        <v>106</v>
      </c>
      <c r="AU64" s="149" t="s">
        <v>56</v>
      </c>
      <c r="AV64" s="146" t="str">
        <f t="shared" si="27"/>
        <v/>
      </c>
      <c r="AW64" s="146" t="str">
        <f t="shared" si="28"/>
        <v/>
      </c>
      <c r="AX64" s="138" t="str">
        <f t="shared" si="29"/>
        <v/>
      </c>
      <c r="AY64" s="95" t="s">
        <v>56</v>
      </c>
      <c r="AZ64" s="96" t="s">
        <v>56</v>
      </c>
      <c r="BA64" s="96"/>
      <c r="BB64" s="96" t="s">
        <v>56</v>
      </c>
      <c r="BC64" s="96"/>
      <c r="BD64" s="97">
        <v>120</v>
      </c>
      <c r="BE64" s="142">
        <f t="shared" si="30"/>
        <v>7997</v>
      </c>
      <c r="BF64" s="98">
        <v>360</v>
      </c>
      <c r="BG64" s="98">
        <v>869</v>
      </c>
      <c r="BH64" s="98">
        <v>2031</v>
      </c>
      <c r="BI64" s="98">
        <v>4737</v>
      </c>
      <c r="BJ64" s="98"/>
      <c r="BK64" s="98"/>
      <c r="BL64" s="97"/>
    </row>
    <row r="65" spans="1:64" outlineLevel="5" x14ac:dyDescent="0.3">
      <c r="A65" s="152">
        <f t="shared" si="5"/>
        <v>2</v>
      </c>
      <c r="B65" s="153">
        <f t="shared" si="12"/>
        <v>44606</v>
      </c>
      <c r="C65" s="138">
        <f t="shared" si="21"/>
        <v>38.5</v>
      </c>
      <c r="D65" s="84">
        <v>39</v>
      </c>
      <c r="E65" s="84">
        <v>38</v>
      </c>
      <c r="F65" s="84"/>
      <c r="G65" s="84"/>
      <c r="H65" s="84"/>
      <c r="I65" s="84"/>
      <c r="J65" s="84"/>
      <c r="K65" s="84"/>
      <c r="L65" s="140">
        <f t="shared" si="22"/>
        <v>7.6</v>
      </c>
      <c r="M65" s="141">
        <v>7.64</v>
      </c>
      <c r="N65" s="141">
        <v>7.49</v>
      </c>
      <c r="O65" s="141"/>
      <c r="P65" s="141"/>
      <c r="Q65" s="86"/>
      <c r="R65" s="86"/>
      <c r="S65" s="86"/>
      <c r="T65" s="86"/>
      <c r="U65" s="142">
        <f t="shared" si="23"/>
        <v>1466.5</v>
      </c>
      <c r="V65" s="88">
        <v>1535</v>
      </c>
      <c r="W65" s="88">
        <v>1398</v>
      </c>
      <c r="X65" s="88"/>
      <c r="Y65" s="88"/>
      <c r="Z65" s="88"/>
      <c r="AA65" s="88"/>
      <c r="AB65" s="88"/>
      <c r="AC65" s="88"/>
      <c r="AD65" s="142" t="str">
        <f t="shared" si="24"/>
        <v/>
      </c>
      <c r="AE65" s="88"/>
      <c r="AF65" s="88"/>
      <c r="AG65" s="88"/>
      <c r="AH65" s="88"/>
      <c r="AI65" s="88"/>
      <c r="AJ65" s="88"/>
      <c r="AK65" s="88"/>
      <c r="AL65" s="88"/>
      <c r="AM65" s="143">
        <v>41.172365666434054</v>
      </c>
      <c r="AN65" s="88">
        <v>114.64</v>
      </c>
      <c r="AO65" s="89"/>
      <c r="AP65" s="90"/>
      <c r="AQ65" s="146" t="str">
        <f t="shared" si="25"/>
        <v/>
      </c>
      <c r="AR65" s="146" t="str">
        <f t="shared" si="26"/>
        <v/>
      </c>
      <c r="AS65" s="147">
        <v>20</v>
      </c>
      <c r="AT65" s="148">
        <v>15.850000000000001</v>
      </c>
      <c r="AU65" s="149">
        <v>8.597999999999999</v>
      </c>
      <c r="AV65" s="146">
        <f t="shared" si="27"/>
        <v>54.246056782334371</v>
      </c>
      <c r="AW65" s="146">
        <f t="shared" si="28"/>
        <v>45.753943217665629</v>
      </c>
      <c r="AX65" s="138" t="str">
        <f t="shared" si="29"/>
        <v/>
      </c>
      <c r="AY65" s="95">
        <v>75.45</v>
      </c>
      <c r="AZ65" s="96">
        <v>59.965000000000003</v>
      </c>
      <c r="BA65" s="96"/>
      <c r="BB65" s="96">
        <v>46.5</v>
      </c>
      <c r="BC65" s="96"/>
      <c r="BD65" s="97">
        <v>114.64</v>
      </c>
      <c r="BE65" s="142">
        <f t="shared" si="30"/>
        <v>6237</v>
      </c>
      <c r="BF65" s="98">
        <v>338</v>
      </c>
      <c r="BG65" s="98">
        <v>0</v>
      </c>
      <c r="BH65" s="98">
        <v>922</v>
      </c>
      <c r="BI65" s="98">
        <v>4977</v>
      </c>
      <c r="BJ65" s="98"/>
      <c r="BK65" s="98"/>
      <c r="BL65" s="97"/>
    </row>
    <row r="66" spans="1:64" outlineLevel="5" x14ac:dyDescent="0.3">
      <c r="A66" s="152">
        <f t="shared" si="5"/>
        <v>2</v>
      </c>
      <c r="B66" s="153">
        <f t="shared" si="12"/>
        <v>44607</v>
      </c>
      <c r="C66" s="138">
        <f t="shared" si="21"/>
        <v>38</v>
      </c>
      <c r="D66" s="84">
        <v>38</v>
      </c>
      <c r="E66" s="84">
        <v>38</v>
      </c>
      <c r="F66" s="84"/>
      <c r="G66" s="84"/>
      <c r="H66" s="84"/>
      <c r="I66" s="84"/>
      <c r="J66" s="84"/>
      <c r="K66" s="84"/>
      <c r="L66" s="140">
        <f t="shared" si="22"/>
        <v>7.5</v>
      </c>
      <c r="M66" s="141">
        <v>7.55</v>
      </c>
      <c r="N66" s="141">
        <v>7.49</v>
      </c>
      <c r="O66" s="141"/>
      <c r="P66" s="141"/>
      <c r="Q66" s="86"/>
      <c r="R66" s="86"/>
      <c r="S66" s="86"/>
      <c r="T66" s="86"/>
      <c r="U66" s="142">
        <f t="shared" si="23"/>
        <v>1507</v>
      </c>
      <c r="V66" s="88">
        <v>1578</v>
      </c>
      <c r="W66" s="88">
        <v>1436</v>
      </c>
      <c r="X66" s="88"/>
      <c r="Y66" s="88"/>
      <c r="Z66" s="88"/>
      <c r="AA66" s="88"/>
      <c r="AB66" s="88"/>
      <c r="AC66" s="88"/>
      <c r="AD66" s="142" t="str">
        <f t="shared" si="24"/>
        <v/>
      </c>
      <c r="AE66" s="88"/>
      <c r="AF66" s="88"/>
      <c r="AG66" s="88"/>
      <c r="AH66" s="88"/>
      <c r="AI66" s="88"/>
      <c r="AJ66" s="88"/>
      <c r="AK66" s="88"/>
      <c r="AL66" s="88"/>
      <c r="AM66" s="143">
        <v>55.653814408678222</v>
      </c>
      <c r="AN66" s="88">
        <v>84.81</v>
      </c>
      <c r="AO66" s="89"/>
      <c r="AP66" s="90"/>
      <c r="AQ66" s="146" t="str">
        <f t="shared" si="25"/>
        <v/>
      </c>
      <c r="AR66" s="146" t="str">
        <f t="shared" si="26"/>
        <v/>
      </c>
      <c r="AS66" s="147">
        <v>10</v>
      </c>
      <c r="AT66" s="148" t="s">
        <v>106</v>
      </c>
      <c r="AU66" s="149" t="s">
        <v>56</v>
      </c>
      <c r="AV66" s="146" t="str">
        <f t="shared" si="27"/>
        <v/>
      </c>
      <c r="AW66" s="146" t="str">
        <f t="shared" si="28"/>
        <v/>
      </c>
      <c r="AX66" s="138" t="str">
        <f t="shared" si="29"/>
        <v/>
      </c>
      <c r="AY66" s="95" t="s">
        <v>56</v>
      </c>
      <c r="AZ66" s="96">
        <v>59.9</v>
      </c>
      <c r="BA66" s="96"/>
      <c r="BB66" s="96">
        <v>52</v>
      </c>
      <c r="BC66" s="96"/>
      <c r="BD66" s="97">
        <v>84.81</v>
      </c>
      <c r="BE66" s="142">
        <f t="shared" si="30"/>
        <v>7984</v>
      </c>
      <c r="BF66" s="98">
        <v>304</v>
      </c>
      <c r="BG66" s="98">
        <v>0</v>
      </c>
      <c r="BH66" s="98">
        <v>5077</v>
      </c>
      <c r="BI66" s="98">
        <v>2603</v>
      </c>
      <c r="BJ66" s="98"/>
      <c r="BK66" s="98"/>
      <c r="BL66" s="97"/>
    </row>
    <row r="67" spans="1:64" outlineLevel="5" x14ac:dyDescent="0.3">
      <c r="A67" s="152">
        <f t="shared" si="5"/>
        <v>2</v>
      </c>
      <c r="B67" s="153">
        <f t="shared" si="12"/>
        <v>44608</v>
      </c>
      <c r="C67" s="138">
        <f t="shared" si="21"/>
        <v>38</v>
      </c>
      <c r="D67" s="84">
        <v>38</v>
      </c>
      <c r="E67" s="84">
        <v>38</v>
      </c>
      <c r="F67" s="84"/>
      <c r="G67" s="84"/>
      <c r="H67" s="84"/>
      <c r="I67" s="84"/>
      <c r="J67" s="84"/>
      <c r="K67" s="84"/>
      <c r="L67" s="140">
        <f t="shared" si="22"/>
        <v>7.5</v>
      </c>
      <c r="M67" s="141">
        <v>7.58</v>
      </c>
      <c r="N67" s="141">
        <v>7.41</v>
      </c>
      <c r="O67" s="141"/>
      <c r="P67" s="141"/>
      <c r="Q67" s="86"/>
      <c r="R67" s="86"/>
      <c r="S67" s="86"/>
      <c r="T67" s="86"/>
      <c r="U67" s="142">
        <f t="shared" si="23"/>
        <v>1455.5</v>
      </c>
      <c r="V67" s="88">
        <v>1524</v>
      </c>
      <c r="W67" s="88">
        <v>1387</v>
      </c>
      <c r="X67" s="88"/>
      <c r="Y67" s="88"/>
      <c r="Z67" s="88"/>
      <c r="AA67" s="88"/>
      <c r="AB67" s="88"/>
      <c r="AC67" s="88"/>
      <c r="AD67" s="142">
        <f t="shared" si="24"/>
        <v>8150</v>
      </c>
      <c r="AE67" s="88">
        <v>8300</v>
      </c>
      <c r="AF67" s="88">
        <v>8000</v>
      </c>
      <c r="AG67" s="88"/>
      <c r="AH67" s="88"/>
      <c r="AI67" s="88"/>
      <c r="AJ67" s="88"/>
      <c r="AK67" s="88"/>
      <c r="AL67" s="88"/>
      <c r="AM67" s="143">
        <v>41.611566604954596</v>
      </c>
      <c r="AN67" s="88">
        <v>113.43</v>
      </c>
      <c r="AO67" s="89"/>
      <c r="AP67" s="90"/>
      <c r="AQ67" s="146" t="str">
        <f t="shared" si="25"/>
        <v/>
      </c>
      <c r="AR67" s="146" t="str">
        <f t="shared" si="26"/>
        <v/>
      </c>
      <c r="AS67" s="147">
        <v>25</v>
      </c>
      <c r="AT67" s="148">
        <v>17.5</v>
      </c>
      <c r="AU67" s="149">
        <v>9.9634999999999998</v>
      </c>
      <c r="AV67" s="146">
        <f t="shared" si="27"/>
        <v>56.934285714285714</v>
      </c>
      <c r="AW67" s="146">
        <f t="shared" si="28"/>
        <v>43.065714285714286</v>
      </c>
      <c r="AX67" s="138" t="str">
        <f t="shared" si="29"/>
        <v/>
      </c>
      <c r="AY67" s="95">
        <v>72.150000000000006</v>
      </c>
      <c r="AZ67" s="96">
        <v>59.8</v>
      </c>
      <c r="BA67" s="96"/>
      <c r="BB67" s="96">
        <v>53.5</v>
      </c>
      <c r="BC67" s="96"/>
      <c r="BD67" s="97">
        <v>113.43</v>
      </c>
      <c r="BE67" s="142">
        <f t="shared" si="30"/>
        <v>7135</v>
      </c>
      <c r="BF67" s="98">
        <v>387</v>
      </c>
      <c r="BG67" s="98">
        <v>0</v>
      </c>
      <c r="BH67" s="98">
        <v>5243</v>
      </c>
      <c r="BI67" s="98">
        <v>1505</v>
      </c>
      <c r="BJ67" s="98"/>
      <c r="BK67" s="98"/>
      <c r="BL67" s="97"/>
    </row>
    <row r="68" spans="1:64" outlineLevel="5" x14ac:dyDescent="0.3">
      <c r="A68" s="152">
        <f t="shared" si="5"/>
        <v>2</v>
      </c>
      <c r="B68" s="153">
        <f t="shared" si="12"/>
        <v>44609</v>
      </c>
      <c r="C68" s="138">
        <f t="shared" si="21"/>
        <v>37</v>
      </c>
      <c r="D68" s="84">
        <v>37</v>
      </c>
      <c r="E68" s="84">
        <v>37</v>
      </c>
      <c r="F68" s="84"/>
      <c r="G68" s="84"/>
      <c r="H68" s="84"/>
      <c r="I68" s="84"/>
      <c r="J68" s="84"/>
      <c r="K68" s="84"/>
      <c r="L68" s="140">
        <f t="shared" si="22"/>
        <v>7.5</v>
      </c>
      <c r="M68" s="141">
        <v>7.51</v>
      </c>
      <c r="N68" s="141">
        <v>7.49</v>
      </c>
      <c r="O68" s="141"/>
      <c r="P68" s="141"/>
      <c r="Q68" s="86"/>
      <c r="R68" s="86"/>
      <c r="S68" s="86"/>
      <c r="T68" s="86"/>
      <c r="U68" s="142">
        <f t="shared" si="23"/>
        <v>1475</v>
      </c>
      <c r="V68" s="88">
        <v>1530</v>
      </c>
      <c r="W68" s="88">
        <v>1420</v>
      </c>
      <c r="X68" s="88"/>
      <c r="Y68" s="88"/>
      <c r="Z68" s="88"/>
      <c r="AA68" s="88"/>
      <c r="AB68" s="88"/>
      <c r="AC68" s="88"/>
      <c r="AD68" s="142" t="str">
        <f t="shared" si="24"/>
        <v/>
      </c>
      <c r="AE68" s="88"/>
      <c r="AF68" s="88"/>
      <c r="AG68" s="88"/>
      <c r="AH68" s="88"/>
      <c r="AI68" s="88"/>
      <c r="AJ68" s="88"/>
      <c r="AK68" s="88"/>
      <c r="AL68" s="88"/>
      <c r="AM68" s="143">
        <v>35.007045909664022</v>
      </c>
      <c r="AN68" s="88">
        <v>134.82999999999998</v>
      </c>
      <c r="AO68" s="89"/>
      <c r="AP68" s="90"/>
      <c r="AQ68" s="146" t="str">
        <f t="shared" si="25"/>
        <v/>
      </c>
      <c r="AR68" s="146" t="str">
        <f t="shared" si="26"/>
        <v/>
      </c>
      <c r="AS68" s="147">
        <v>20</v>
      </c>
      <c r="AT68" s="148">
        <v>16.45</v>
      </c>
      <c r="AU68" s="149">
        <v>9.0807500000000001</v>
      </c>
      <c r="AV68" s="146">
        <f t="shared" si="27"/>
        <v>55.202127659574472</v>
      </c>
      <c r="AW68" s="146">
        <f t="shared" si="28"/>
        <v>44.797872340425528</v>
      </c>
      <c r="AX68" s="138" t="str">
        <f t="shared" si="29"/>
        <v/>
      </c>
      <c r="AY68" s="95">
        <v>74.95</v>
      </c>
      <c r="AZ68" s="96">
        <v>60.44</v>
      </c>
      <c r="BA68" s="96"/>
      <c r="BB68" s="96">
        <v>55</v>
      </c>
      <c r="BC68" s="96"/>
      <c r="BD68" s="97">
        <v>134.82999999999998</v>
      </c>
      <c r="BE68" s="142">
        <f t="shared" si="30"/>
        <v>11368</v>
      </c>
      <c r="BF68" s="98">
        <v>680</v>
      </c>
      <c r="BG68" s="98">
        <v>1646</v>
      </c>
      <c r="BH68" s="98">
        <v>3965</v>
      </c>
      <c r="BI68" s="98">
        <v>5077</v>
      </c>
      <c r="BJ68" s="98"/>
      <c r="BK68" s="98"/>
      <c r="BL68" s="97"/>
    </row>
    <row r="69" spans="1:64" outlineLevel="5" x14ac:dyDescent="0.3">
      <c r="A69" s="152">
        <f t="shared" si="5"/>
        <v>2</v>
      </c>
      <c r="B69" s="153">
        <f t="shared" si="12"/>
        <v>44610</v>
      </c>
      <c r="C69" s="138">
        <f t="shared" si="21"/>
        <v>39</v>
      </c>
      <c r="D69" s="84">
        <v>39</v>
      </c>
      <c r="E69" s="84">
        <v>39</v>
      </c>
      <c r="F69" s="84"/>
      <c r="G69" s="84"/>
      <c r="H69" s="84"/>
      <c r="I69" s="84"/>
      <c r="J69" s="84"/>
      <c r="K69" s="84"/>
      <c r="L69" s="140">
        <f t="shared" si="22"/>
        <v>7.7</v>
      </c>
      <c r="M69" s="141">
        <v>7.74</v>
      </c>
      <c r="N69" s="141">
        <v>7.62</v>
      </c>
      <c r="O69" s="141"/>
      <c r="P69" s="141"/>
      <c r="Q69" s="86"/>
      <c r="R69" s="86"/>
      <c r="S69" s="86"/>
      <c r="T69" s="86"/>
      <c r="U69" s="142">
        <f t="shared" si="23"/>
        <v>1504</v>
      </c>
      <c r="V69" s="88">
        <v>1598</v>
      </c>
      <c r="W69" s="88">
        <v>1410</v>
      </c>
      <c r="X69" s="88"/>
      <c r="Y69" s="88"/>
      <c r="Z69" s="88"/>
      <c r="AA69" s="88"/>
      <c r="AB69" s="88"/>
      <c r="AC69" s="88"/>
      <c r="AD69" s="142" t="str">
        <f t="shared" si="24"/>
        <v/>
      </c>
      <c r="AE69" s="88"/>
      <c r="AF69" s="88"/>
      <c r="AG69" s="88"/>
      <c r="AH69" s="88"/>
      <c r="AI69" s="88"/>
      <c r="AJ69" s="88"/>
      <c r="AK69" s="88"/>
      <c r="AL69" s="88"/>
      <c r="AM69" s="143">
        <v>42.591589965710163</v>
      </c>
      <c r="AN69" s="88">
        <v>110.82</v>
      </c>
      <c r="AO69" s="89"/>
      <c r="AP69" s="90"/>
      <c r="AQ69" s="146" t="str">
        <f t="shared" si="25"/>
        <v/>
      </c>
      <c r="AR69" s="146" t="str">
        <f t="shared" si="26"/>
        <v/>
      </c>
      <c r="AS69" s="147">
        <v>20</v>
      </c>
      <c r="AT69" s="148" t="s">
        <v>106</v>
      </c>
      <c r="AU69" s="149" t="s">
        <v>56</v>
      </c>
      <c r="AV69" s="146" t="str">
        <f t="shared" si="27"/>
        <v/>
      </c>
      <c r="AW69" s="146" t="str">
        <f t="shared" si="28"/>
        <v/>
      </c>
      <c r="AX69" s="138" t="str">
        <f t="shared" si="29"/>
        <v/>
      </c>
      <c r="AY69" s="95" t="s">
        <v>56</v>
      </c>
      <c r="AZ69" s="96">
        <v>59.965000000000003</v>
      </c>
      <c r="BA69" s="96"/>
      <c r="BB69" s="96">
        <v>54</v>
      </c>
      <c r="BC69" s="96"/>
      <c r="BD69" s="97">
        <v>110.82</v>
      </c>
      <c r="BE69" s="142">
        <f t="shared" si="30"/>
        <v>10237</v>
      </c>
      <c r="BF69" s="98">
        <v>465</v>
      </c>
      <c r="BG69" s="98">
        <v>0</v>
      </c>
      <c r="BH69" s="98">
        <v>4955</v>
      </c>
      <c r="BI69" s="98">
        <v>4817</v>
      </c>
      <c r="BJ69" s="98"/>
      <c r="BK69" s="98"/>
      <c r="BL69" s="97"/>
    </row>
    <row r="70" spans="1:64" outlineLevel="5" x14ac:dyDescent="0.3">
      <c r="A70" s="152">
        <f t="shared" si="5"/>
        <v>2</v>
      </c>
      <c r="B70" s="153">
        <f t="shared" si="12"/>
        <v>44611</v>
      </c>
      <c r="C70" s="138">
        <f t="shared" si="21"/>
        <v>39</v>
      </c>
      <c r="D70" s="84">
        <v>39</v>
      </c>
      <c r="E70" s="84">
        <v>39</v>
      </c>
      <c r="F70" s="84"/>
      <c r="G70" s="84"/>
      <c r="H70" s="84"/>
      <c r="I70" s="84"/>
      <c r="J70" s="84"/>
      <c r="K70" s="84"/>
      <c r="L70" s="140" t="str">
        <f t="shared" si="22"/>
        <v/>
      </c>
      <c r="M70" s="141"/>
      <c r="N70" s="141"/>
      <c r="O70" s="141"/>
      <c r="P70" s="141"/>
      <c r="Q70" s="86"/>
      <c r="R70" s="86"/>
      <c r="S70" s="86"/>
      <c r="T70" s="86"/>
      <c r="U70" s="142" t="str">
        <f t="shared" si="23"/>
        <v/>
      </c>
      <c r="V70" s="88"/>
      <c r="W70" s="88"/>
      <c r="X70" s="88"/>
      <c r="Y70" s="88"/>
      <c r="Z70" s="88"/>
      <c r="AA70" s="88"/>
      <c r="AB70" s="88"/>
      <c r="AC70" s="88"/>
      <c r="AD70" s="142" t="str">
        <f t="shared" si="24"/>
        <v/>
      </c>
      <c r="AE70" s="88"/>
      <c r="AF70" s="88"/>
      <c r="AG70" s="88"/>
      <c r="AH70" s="88"/>
      <c r="AI70" s="88"/>
      <c r="AJ70" s="88"/>
      <c r="AK70" s="88"/>
      <c r="AL70" s="88"/>
      <c r="AM70" s="143">
        <v>38.402082824831176</v>
      </c>
      <c r="AN70" s="88">
        <v>122.91</v>
      </c>
      <c r="AO70" s="89"/>
      <c r="AP70" s="90"/>
      <c r="AQ70" s="146" t="str">
        <f t="shared" si="25"/>
        <v/>
      </c>
      <c r="AR70" s="146" t="str">
        <f t="shared" si="26"/>
        <v/>
      </c>
      <c r="AS70" s="147">
        <v>20</v>
      </c>
      <c r="AT70" s="148" t="s">
        <v>106</v>
      </c>
      <c r="AU70" s="149" t="s">
        <v>56</v>
      </c>
      <c r="AV70" s="146" t="str">
        <f t="shared" si="27"/>
        <v/>
      </c>
      <c r="AW70" s="146" t="str">
        <f t="shared" si="28"/>
        <v/>
      </c>
      <c r="AX70" s="138" t="str">
        <f t="shared" si="29"/>
        <v/>
      </c>
      <c r="AY70" s="95" t="s">
        <v>56</v>
      </c>
      <c r="AZ70" s="96" t="s">
        <v>56</v>
      </c>
      <c r="BA70" s="96"/>
      <c r="BB70" s="96" t="s">
        <v>56</v>
      </c>
      <c r="BC70" s="96"/>
      <c r="BD70" s="97">
        <v>122.91</v>
      </c>
      <c r="BE70" s="142">
        <f t="shared" si="30"/>
        <v>5464</v>
      </c>
      <c r="BF70" s="98">
        <v>285</v>
      </c>
      <c r="BG70" s="98">
        <v>0</v>
      </c>
      <c r="BH70" s="98">
        <v>509</v>
      </c>
      <c r="BI70" s="98">
        <v>4670</v>
      </c>
      <c r="BJ70" s="98"/>
      <c r="BK70" s="98"/>
      <c r="BL70" s="97"/>
    </row>
    <row r="71" spans="1:64" outlineLevel="5" x14ac:dyDescent="0.3">
      <c r="A71" s="152">
        <f t="shared" si="5"/>
        <v>2</v>
      </c>
      <c r="B71" s="153">
        <f t="shared" si="12"/>
        <v>44612</v>
      </c>
      <c r="C71" s="138">
        <f t="shared" si="21"/>
        <v>39</v>
      </c>
      <c r="D71" s="84">
        <v>39</v>
      </c>
      <c r="E71" s="84">
        <v>39</v>
      </c>
      <c r="F71" s="84"/>
      <c r="G71" s="84"/>
      <c r="H71" s="84"/>
      <c r="I71" s="84"/>
      <c r="J71" s="84"/>
      <c r="K71" s="84"/>
      <c r="L71" s="140" t="str">
        <f t="shared" si="22"/>
        <v/>
      </c>
      <c r="M71" s="141"/>
      <c r="N71" s="141"/>
      <c r="O71" s="141"/>
      <c r="P71" s="141"/>
      <c r="Q71" s="86"/>
      <c r="R71" s="86"/>
      <c r="S71" s="86"/>
      <c r="T71" s="86"/>
      <c r="U71" s="142" t="str">
        <f t="shared" si="23"/>
        <v/>
      </c>
      <c r="V71" s="88"/>
      <c r="W71" s="88"/>
      <c r="X71" s="88"/>
      <c r="Y71" s="88"/>
      <c r="Z71" s="88"/>
      <c r="AA71" s="88"/>
      <c r="AB71" s="88"/>
      <c r="AC71" s="88"/>
      <c r="AD71" s="142" t="str">
        <f t="shared" si="24"/>
        <v/>
      </c>
      <c r="AE71" s="88"/>
      <c r="AF71" s="88"/>
      <c r="AG71" s="88"/>
      <c r="AH71" s="88"/>
      <c r="AI71" s="88"/>
      <c r="AJ71" s="88"/>
      <c r="AK71" s="88"/>
      <c r="AL71" s="88"/>
      <c r="AM71" s="143">
        <v>39.333333333333336</v>
      </c>
      <c r="AN71" s="88">
        <v>120</v>
      </c>
      <c r="AO71" s="89"/>
      <c r="AP71" s="90"/>
      <c r="AQ71" s="146" t="str">
        <f t="shared" si="25"/>
        <v/>
      </c>
      <c r="AR71" s="146" t="str">
        <f t="shared" si="26"/>
        <v/>
      </c>
      <c r="AS71" s="147">
        <v>10</v>
      </c>
      <c r="AT71" s="148" t="s">
        <v>106</v>
      </c>
      <c r="AU71" s="149" t="s">
        <v>56</v>
      </c>
      <c r="AV71" s="146" t="str">
        <f t="shared" si="27"/>
        <v/>
      </c>
      <c r="AW71" s="146" t="str">
        <f t="shared" si="28"/>
        <v/>
      </c>
      <c r="AX71" s="138" t="str">
        <f t="shared" si="29"/>
        <v/>
      </c>
      <c r="AY71" s="95" t="s">
        <v>56</v>
      </c>
      <c r="AZ71" s="96" t="s">
        <v>56</v>
      </c>
      <c r="BA71" s="96"/>
      <c r="BB71" s="96" t="s">
        <v>56</v>
      </c>
      <c r="BC71" s="96"/>
      <c r="BD71" s="97">
        <v>120</v>
      </c>
      <c r="BE71" s="142">
        <f t="shared" si="30"/>
        <v>7990</v>
      </c>
      <c r="BF71" s="98">
        <v>329</v>
      </c>
      <c r="BG71" s="98">
        <v>0</v>
      </c>
      <c r="BH71" s="98">
        <v>2948</v>
      </c>
      <c r="BI71" s="98">
        <v>4713</v>
      </c>
      <c r="BJ71" s="98"/>
      <c r="BK71" s="98"/>
      <c r="BL71" s="97"/>
    </row>
    <row r="72" spans="1:64" outlineLevel="5" x14ac:dyDescent="0.3">
      <c r="A72" s="152">
        <f t="shared" si="5"/>
        <v>2</v>
      </c>
      <c r="B72" s="153">
        <f t="shared" si="12"/>
        <v>44613</v>
      </c>
      <c r="C72" s="138">
        <f t="shared" si="21"/>
        <v>37</v>
      </c>
      <c r="D72" s="84">
        <v>37</v>
      </c>
      <c r="E72" s="84">
        <v>37</v>
      </c>
      <c r="F72" s="84"/>
      <c r="G72" s="84"/>
      <c r="H72" s="84"/>
      <c r="I72" s="84"/>
      <c r="J72" s="84"/>
      <c r="K72" s="84"/>
      <c r="L72" s="140">
        <f t="shared" si="22"/>
        <v>7.6</v>
      </c>
      <c r="M72" s="141">
        <v>7.69</v>
      </c>
      <c r="N72" s="141">
        <v>7.51</v>
      </c>
      <c r="O72" s="141"/>
      <c r="P72" s="141"/>
      <c r="Q72" s="86"/>
      <c r="R72" s="86"/>
      <c r="S72" s="86"/>
      <c r="T72" s="86"/>
      <c r="U72" s="142">
        <f t="shared" si="23"/>
        <v>1499</v>
      </c>
      <c r="V72" s="88">
        <v>1578</v>
      </c>
      <c r="W72" s="88">
        <v>1420</v>
      </c>
      <c r="X72" s="88"/>
      <c r="Y72" s="88"/>
      <c r="Z72" s="88"/>
      <c r="AA72" s="88"/>
      <c r="AB72" s="88"/>
      <c r="AC72" s="88"/>
      <c r="AD72" s="142" t="str">
        <f t="shared" si="24"/>
        <v/>
      </c>
      <c r="AE72" s="88"/>
      <c r="AF72" s="88"/>
      <c r="AG72" s="88"/>
      <c r="AH72" s="88"/>
      <c r="AI72" s="88"/>
      <c r="AJ72" s="88"/>
      <c r="AK72" s="88"/>
      <c r="AL72" s="88"/>
      <c r="AM72" s="143">
        <v>49.013499480789193</v>
      </c>
      <c r="AN72" s="88">
        <v>96.300000000000011</v>
      </c>
      <c r="AO72" s="89">
        <v>17.3</v>
      </c>
      <c r="AP72" s="90">
        <v>14.324400000000001</v>
      </c>
      <c r="AQ72" s="146">
        <f t="shared" si="25"/>
        <v>82.8</v>
      </c>
      <c r="AR72" s="146">
        <f t="shared" si="26"/>
        <v>17.200000000000003</v>
      </c>
      <c r="AS72" s="147">
        <v>20</v>
      </c>
      <c r="AT72" s="148">
        <v>15.45</v>
      </c>
      <c r="AU72" s="149">
        <v>8.9011499999999995</v>
      </c>
      <c r="AV72" s="146">
        <f t="shared" si="27"/>
        <v>57.612621359223304</v>
      </c>
      <c r="AW72" s="146">
        <f t="shared" si="28"/>
        <v>42.387378640776696</v>
      </c>
      <c r="AX72" s="138">
        <f t="shared" si="29"/>
        <v>71.765559458221048</v>
      </c>
      <c r="AY72" s="95">
        <v>74.2</v>
      </c>
      <c r="AZ72" s="96">
        <v>62.025000000000006</v>
      </c>
      <c r="BA72" s="96"/>
      <c r="BB72" s="96">
        <v>54</v>
      </c>
      <c r="BC72" s="96"/>
      <c r="BD72" s="97">
        <v>96.300000000000011</v>
      </c>
      <c r="BE72" s="142">
        <f t="shared" si="30"/>
        <v>8193</v>
      </c>
      <c r="BF72" s="98">
        <v>394</v>
      </c>
      <c r="BG72" s="98">
        <v>0</v>
      </c>
      <c r="BH72" s="98">
        <v>3024</v>
      </c>
      <c r="BI72" s="98">
        <v>4775</v>
      </c>
      <c r="BJ72" s="98"/>
      <c r="BK72" s="98"/>
      <c r="BL72" s="97"/>
    </row>
    <row r="73" spans="1:64" outlineLevel="5" x14ac:dyDescent="0.3">
      <c r="A73" s="152">
        <f t="shared" si="5"/>
        <v>2</v>
      </c>
      <c r="B73" s="153">
        <f t="shared" si="12"/>
        <v>44614</v>
      </c>
      <c r="C73" s="138">
        <f t="shared" si="21"/>
        <v>37</v>
      </c>
      <c r="D73" s="84">
        <v>37</v>
      </c>
      <c r="E73" s="84">
        <v>37</v>
      </c>
      <c r="F73" s="84"/>
      <c r="G73" s="84"/>
      <c r="H73" s="84"/>
      <c r="I73" s="84"/>
      <c r="J73" s="84"/>
      <c r="K73" s="84"/>
      <c r="L73" s="140">
        <f t="shared" si="22"/>
        <v>7.5</v>
      </c>
      <c r="M73" s="141">
        <v>7.49</v>
      </c>
      <c r="N73" s="141">
        <v>7.58</v>
      </c>
      <c r="O73" s="141"/>
      <c r="P73" s="141"/>
      <c r="Q73" s="86"/>
      <c r="R73" s="86"/>
      <c r="S73" s="86"/>
      <c r="T73" s="86"/>
      <c r="U73" s="142">
        <f t="shared" si="23"/>
        <v>1593</v>
      </c>
      <c r="V73" s="88">
        <v>1654</v>
      </c>
      <c r="W73" s="88">
        <v>1532</v>
      </c>
      <c r="X73" s="88"/>
      <c r="Y73" s="88"/>
      <c r="Z73" s="88"/>
      <c r="AA73" s="88"/>
      <c r="AB73" s="88"/>
      <c r="AC73" s="88"/>
      <c r="AD73" s="142" t="str">
        <f t="shared" si="24"/>
        <v/>
      </c>
      <c r="AE73" s="88"/>
      <c r="AF73" s="88"/>
      <c r="AG73" s="88"/>
      <c r="AH73" s="88"/>
      <c r="AI73" s="88"/>
      <c r="AJ73" s="88"/>
      <c r="AK73" s="88"/>
      <c r="AL73" s="88"/>
      <c r="AM73" s="143">
        <v>49.161545672325801</v>
      </c>
      <c r="AN73" s="88">
        <v>96.009999999999991</v>
      </c>
      <c r="AO73" s="89"/>
      <c r="AP73" s="90"/>
      <c r="AQ73" s="146" t="str">
        <f t="shared" si="25"/>
        <v/>
      </c>
      <c r="AR73" s="146" t="str">
        <f t="shared" si="26"/>
        <v/>
      </c>
      <c r="AS73" s="147">
        <v>20</v>
      </c>
      <c r="AT73" s="148" t="s">
        <v>106</v>
      </c>
      <c r="AU73" s="149" t="s">
        <v>56</v>
      </c>
      <c r="AV73" s="146" t="str">
        <f t="shared" si="27"/>
        <v/>
      </c>
      <c r="AW73" s="146" t="str">
        <f t="shared" si="28"/>
        <v/>
      </c>
      <c r="AX73" s="138" t="str">
        <f t="shared" si="29"/>
        <v/>
      </c>
      <c r="AY73" s="95" t="s">
        <v>56</v>
      </c>
      <c r="AZ73" s="96">
        <v>60.825000000000003</v>
      </c>
      <c r="BA73" s="96"/>
      <c r="BB73" s="96">
        <v>50</v>
      </c>
      <c r="BC73" s="96"/>
      <c r="BD73" s="97">
        <v>96.009999999999991</v>
      </c>
      <c r="BE73" s="142">
        <f t="shared" si="30"/>
        <v>10024</v>
      </c>
      <c r="BF73" s="98">
        <v>290</v>
      </c>
      <c r="BG73" s="98">
        <v>0</v>
      </c>
      <c r="BH73" s="98">
        <v>4769</v>
      </c>
      <c r="BI73" s="98">
        <v>4965</v>
      </c>
      <c r="BJ73" s="98"/>
      <c r="BK73" s="98"/>
      <c r="BL73" s="97"/>
    </row>
    <row r="74" spans="1:64" outlineLevel="5" x14ac:dyDescent="0.3">
      <c r="A74" s="152">
        <f t="shared" si="5"/>
        <v>2</v>
      </c>
      <c r="B74" s="153">
        <f t="shared" si="12"/>
        <v>44615</v>
      </c>
      <c r="C74" s="138">
        <f t="shared" si="21"/>
        <v>38</v>
      </c>
      <c r="D74" s="84">
        <v>38</v>
      </c>
      <c r="E74" s="84">
        <v>38</v>
      </c>
      <c r="F74" s="84"/>
      <c r="G74" s="84"/>
      <c r="H74" s="84"/>
      <c r="I74" s="84"/>
      <c r="J74" s="84"/>
      <c r="K74" s="84"/>
      <c r="L74" s="140" t="str">
        <f t="shared" si="22"/>
        <v/>
      </c>
      <c r="M74" s="141"/>
      <c r="N74" s="141"/>
      <c r="O74" s="141"/>
      <c r="P74" s="141"/>
      <c r="Q74" s="86"/>
      <c r="R74" s="86"/>
      <c r="S74" s="86"/>
      <c r="T74" s="86"/>
      <c r="U74" s="142" t="str">
        <f t="shared" si="23"/>
        <v/>
      </c>
      <c r="V74" s="88"/>
      <c r="W74" s="88"/>
      <c r="X74" s="88"/>
      <c r="Y74" s="88"/>
      <c r="Z74" s="88"/>
      <c r="AA74" s="88"/>
      <c r="AB74" s="88"/>
      <c r="AC74" s="88"/>
      <c r="AD74" s="142" t="str">
        <f t="shared" si="24"/>
        <v/>
      </c>
      <c r="AE74" s="88"/>
      <c r="AF74" s="88"/>
      <c r="AG74" s="88"/>
      <c r="AH74" s="88"/>
      <c r="AI74" s="88"/>
      <c r="AJ74" s="88"/>
      <c r="AK74" s="88"/>
      <c r="AL74" s="88"/>
      <c r="AM74" s="143">
        <v>43.951950833410933</v>
      </c>
      <c r="AN74" s="88">
        <v>107.39</v>
      </c>
      <c r="AO74" s="89"/>
      <c r="AP74" s="90"/>
      <c r="AQ74" s="146" t="str">
        <f t="shared" si="25"/>
        <v/>
      </c>
      <c r="AR74" s="146" t="str">
        <f t="shared" si="26"/>
        <v/>
      </c>
      <c r="AS74" s="147">
        <v>20</v>
      </c>
      <c r="AT74" s="148" t="s">
        <v>106</v>
      </c>
      <c r="AU74" s="149" t="s">
        <v>56</v>
      </c>
      <c r="AV74" s="146" t="str">
        <f t="shared" si="27"/>
        <v/>
      </c>
      <c r="AW74" s="146" t="str">
        <f t="shared" si="28"/>
        <v/>
      </c>
      <c r="AX74" s="138" t="str">
        <f t="shared" si="29"/>
        <v/>
      </c>
      <c r="AY74" s="95" t="s">
        <v>56</v>
      </c>
      <c r="AZ74" s="96">
        <v>60.475000000000001</v>
      </c>
      <c r="BA74" s="96"/>
      <c r="BB74" s="96">
        <v>53</v>
      </c>
      <c r="BC74" s="96"/>
      <c r="BD74" s="97">
        <v>107.39</v>
      </c>
      <c r="BE74" s="142">
        <f t="shared" si="30"/>
        <v>12566</v>
      </c>
      <c r="BF74" s="98">
        <v>362</v>
      </c>
      <c r="BG74" s="98">
        <v>0</v>
      </c>
      <c r="BH74" s="98">
        <v>6842</v>
      </c>
      <c r="BI74" s="98">
        <v>5362</v>
      </c>
      <c r="BJ74" s="98"/>
      <c r="BK74" s="98"/>
      <c r="BL74" s="97"/>
    </row>
    <row r="75" spans="1:64" outlineLevel="5" x14ac:dyDescent="0.3">
      <c r="A75" s="152">
        <f t="shared" si="5"/>
        <v>2</v>
      </c>
      <c r="B75" s="153">
        <f t="shared" si="12"/>
        <v>44616</v>
      </c>
      <c r="C75" s="138">
        <f t="shared" si="21"/>
        <v>37.5</v>
      </c>
      <c r="D75" s="84">
        <v>38</v>
      </c>
      <c r="E75" s="84">
        <v>37</v>
      </c>
      <c r="F75" s="84"/>
      <c r="G75" s="84"/>
      <c r="H75" s="84"/>
      <c r="I75" s="84"/>
      <c r="J75" s="84"/>
      <c r="K75" s="84"/>
      <c r="L75" s="140">
        <f t="shared" si="22"/>
        <v>7.5</v>
      </c>
      <c r="M75" s="141">
        <v>7.51</v>
      </c>
      <c r="N75" s="141">
        <v>7.43</v>
      </c>
      <c r="O75" s="141"/>
      <c r="P75" s="141"/>
      <c r="Q75" s="86"/>
      <c r="R75" s="86"/>
      <c r="S75" s="86"/>
      <c r="T75" s="86"/>
      <c r="U75" s="142">
        <f t="shared" si="23"/>
        <v>1445</v>
      </c>
      <c r="V75" s="88">
        <v>1490</v>
      </c>
      <c r="W75" s="88">
        <v>1400</v>
      </c>
      <c r="X75" s="88"/>
      <c r="Y75" s="88"/>
      <c r="Z75" s="88"/>
      <c r="AA75" s="88"/>
      <c r="AB75" s="88"/>
      <c r="AC75" s="88"/>
      <c r="AD75" s="142" t="str">
        <f t="shared" si="24"/>
        <v/>
      </c>
      <c r="AE75" s="88"/>
      <c r="AF75" s="88"/>
      <c r="AG75" s="88"/>
      <c r="AH75" s="88"/>
      <c r="AI75" s="88"/>
      <c r="AJ75" s="88"/>
      <c r="AK75" s="88"/>
      <c r="AL75" s="88"/>
      <c r="AM75" s="143">
        <v>42.331838565022423</v>
      </c>
      <c r="AN75" s="88">
        <v>111.5</v>
      </c>
      <c r="AO75" s="89"/>
      <c r="AP75" s="90"/>
      <c r="AQ75" s="146" t="str">
        <f t="shared" si="25"/>
        <v/>
      </c>
      <c r="AR75" s="146" t="str">
        <f t="shared" si="26"/>
        <v/>
      </c>
      <c r="AS75" s="147">
        <v>25</v>
      </c>
      <c r="AT75" s="148">
        <v>15.05</v>
      </c>
      <c r="AU75" s="149">
        <v>8.3206500000000005</v>
      </c>
      <c r="AV75" s="146">
        <f t="shared" si="27"/>
        <v>55.286710963455157</v>
      </c>
      <c r="AW75" s="146">
        <f t="shared" si="28"/>
        <v>44.713289036544843</v>
      </c>
      <c r="AX75" s="138" t="str">
        <f t="shared" si="29"/>
        <v/>
      </c>
      <c r="AY75" s="95">
        <v>70.05</v>
      </c>
      <c r="AZ75" s="96">
        <v>60.325000000000003</v>
      </c>
      <c r="BA75" s="96"/>
      <c r="BB75" s="96">
        <v>50.5</v>
      </c>
      <c r="BC75" s="96"/>
      <c r="BD75" s="97">
        <v>111.5</v>
      </c>
      <c r="BE75" s="142">
        <f t="shared" si="30"/>
        <v>12632</v>
      </c>
      <c r="BF75" s="98">
        <v>370</v>
      </c>
      <c r="BG75" s="98">
        <v>0</v>
      </c>
      <c r="BH75" s="98">
        <v>7129</v>
      </c>
      <c r="BI75" s="98">
        <v>5133</v>
      </c>
      <c r="BJ75" s="98"/>
      <c r="BK75" s="98"/>
      <c r="BL75" s="97"/>
    </row>
    <row r="76" spans="1:64" outlineLevel="5" x14ac:dyDescent="0.3">
      <c r="A76" s="152">
        <f t="shared" si="5"/>
        <v>2</v>
      </c>
      <c r="B76" s="153">
        <f t="shared" si="12"/>
        <v>44617</v>
      </c>
      <c r="C76" s="138">
        <f t="shared" si="21"/>
        <v>38</v>
      </c>
      <c r="D76" s="84">
        <v>38</v>
      </c>
      <c r="E76" s="84">
        <v>38</v>
      </c>
      <c r="F76" s="84"/>
      <c r="G76" s="84"/>
      <c r="H76" s="84"/>
      <c r="I76" s="84"/>
      <c r="J76" s="84"/>
      <c r="K76" s="84"/>
      <c r="L76" s="140">
        <f t="shared" si="22"/>
        <v>7.6</v>
      </c>
      <c r="M76" s="141">
        <v>7.64</v>
      </c>
      <c r="N76" s="141">
        <v>7.48</v>
      </c>
      <c r="O76" s="141"/>
      <c r="P76" s="141"/>
      <c r="Q76" s="86"/>
      <c r="R76" s="86"/>
      <c r="S76" s="86"/>
      <c r="T76" s="86"/>
      <c r="U76" s="142">
        <f t="shared" si="23"/>
        <v>1393</v>
      </c>
      <c r="V76" s="88">
        <v>1458</v>
      </c>
      <c r="W76" s="88">
        <v>1328</v>
      </c>
      <c r="X76" s="88"/>
      <c r="Y76" s="88"/>
      <c r="Z76" s="88"/>
      <c r="AA76" s="88"/>
      <c r="AB76" s="88"/>
      <c r="AC76" s="88"/>
      <c r="AD76" s="142" t="str">
        <f t="shared" si="24"/>
        <v/>
      </c>
      <c r="AE76" s="88"/>
      <c r="AF76" s="88"/>
      <c r="AG76" s="88"/>
      <c r="AH76" s="88"/>
      <c r="AI76" s="88"/>
      <c r="AJ76" s="88"/>
      <c r="AK76" s="88"/>
      <c r="AL76" s="88"/>
      <c r="AM76" s="143">
        <v>36.246352326831513</v>
      </c>
      <c r="AN76" s="88">
        <v>130.22</v>
      </c>
      <c r="AO76" s="89"/>
      <c r="AP76" s="90"/>
      <c r="AQ76" s="146" t="str">
        <f t="shared" si="25"/>
        <v/>
      </c>
      <c r="AR76" s="146" t="str">
        <f t="shared" si="26"/>
        <v/>
      </c>
      <c r="AS76" s="147">
        <v>0</v>
      </c>
      <c r="AT76" s="148" t="s">
        <v>106</v>
      </c>
      <c r="AU76" s="149" t="s">
        <v>56</v>
      </c>
      <c r="AV76" s="146" t="str">
        <f t="shared" si="27"/>
        <v/>
      </c>
      <c r="AW76" s="146" t="str">
        <f t="shared" si="28"/>
        <v/>
      </c>
      <c r="AX76" s="138" t="str">
        <f t="shared" si="29"/>
        <v/>
      </c>
      <c r="AY76" s="95" t="s">
        <v>56</v>
      </c>
      <c r="AZ76" s="96">
        <v>60.349999999999994</v>
      </c>
      <c r="BA76" s="96"/>
      <c r="BB76" s="96">
        <v>55.5</v>
      </c>
      <c r="BC76" s="96"/>
      <c r="BD76" s="97">
        <v>130.22</v>
      </c>
      <c r="BE76" s="142">
        <f t="shared" si="30"/>
        <v>11001</v>
      </c>
      <c r="BF76" s="98">
        <v>370</v>
      </c>
      <c r="BG76" s="98">
        <v>0</v>
      </c>
      <c r="BH76" s="98">
        <v>6626</v>
      </c>
      <c r="BI76" s="98">
        <v>4005</v>
      </c>
      <c r="BJ76" s="98"/>
      <c r="BK76" s="98"/>
      <c r="BL76" s="97"/>
    </row>
    <row r="77" spans="1:64" outlineLevel="5" x14ac:dyDescent="0.3">
      <c r="A77" s="152">
        <f t="shared" si="5"/>
        <v>2</v>
      </c>
      <c r="B77" s="153">
        <f t="shared" si="12"/>
        <v>44618</v>
      </c>
      <c r="C77" s="138">
        <f t="shared" si="21"/>
        <v>38</v>
      </c>
      <c r="D77" s="84">
        <v>38</v>
      </c>
      <c r="E77" s="84">
        <v>38</v>
      </c>
      <c r="F77" s="84"/>
      <c r="G77" s="84"/>
      <c r="H77" s="84"/>
      <c r="I77" s="84"/>
      <c r="J77" s="84"/>
      <c r="K77" s="84"/>
      <c r="L77" s="140" t="str">
        <f t="shared" si="22"/>
        <v/>
      </c>
      <c r="M77" s="141"/>
      <c r="N77" s="141"/>
      <c r="O77" s="141"/>
      <c r="P77" s="141"/>
      <c r="Q77" s="86"/>
      <c r="R77" s="86"/>
      <c r="S77" s="86"/>
      <c r="T77" s="86"/>
      <c r="U77" s="142" t="str">
        <f t="shared" si="23"/>
        <v/>
      </c>
      <c r="V77" s="88"/>
      <c r="W77" s="88"/>
      <c r="X77" s="88"/>
      <c r="Y77" s="88"/>
      <c r="Z77" s="88"/>
      <c r="AA77" s="88"/>
      <c r="AB77" s="88"/>
      <c r="AC77" s="88"/>
      <c r="AD77" s="142" t="str">
        <f t="shared" si="24"/>
        <v/>
      </c>
      <c r="AE77" s="88"/>
      <c r="AF77" s="88"/>
      <c r="AG77" s="88"/>
      <c r="AH77" s="88"/>
      <c r="AI77" s="88"/>
      <c r="AJ77" s="88"/>
      <c r="AK77" s="88"/>
      <c r="AL77" s="88"/>
      <c r="AM77" s="143">
        <v>39.316951270304038</v>
      </c>
      <c r="AN77" s="88">
        <v>120.05</v>
      </c>
      <c r="AO77" s="89"/>
      <c r="AP77" s="90"/>
      <c r="AQ77" s="146" t="str">
        <f t="shared" si="25"/>
        <v/>
      </c>
      <c r="AR77" s="146" t="str">
        <f t="shared" si="26"/>
        <v/>
      </c>
      <c r="AS77" s="147">
        <v>20</v>
      </c>
      <c r="AT77" s="148" t="s">
        <v>106</v>
      </c>
      <c r="AU77" s="149" t="s">
        <v>56</v>
      </c>
      <c r="AV77" s="146" t="str">
        <f t="shared" si="27"/>
        <v/>
      </c>
      <c r="AW77" s="146" t="str">
        <f t="shared" si="28"/>
        <v/>
      </c>
      <c r="AX77" s="138" t="str">
        <f t="shared" si="29"/>
        <v/>
      </c>
      <c r="AY77" s="95" t="s">
        <v>56</v>
      </c>
      <c r="AZ77" s="96" t="s">
        <v>56</v>
      </c>
      <c r="BA77" s="96"/>
      <c r="BB77" s="96" t="s">
        <v>56</v>
      </c>
      <c r="BC77" s="96"/>
      <c r="BD77" s="97">
        <v>120.05</v>
      </c>
      <c r="BE77" s="142">
        <f t="shared" si="30"/>
        <v>9107</v>
      </c>
      <c r="BF77" s="98">
        <v>358</v>
      </c>
      <c r="BG77" s="98">
        <v>0</v>
      </c>
      <c r="BH77" s="98">
        <v>3606</v>
      </c>
      <c r="BI77" s="98">
        <v>5143</v>
      </c>
      <c r="BJ77" s="98"/>
      <c r="BK77" s="98"/>
      <c r="BL77" s="97"/>
    </row>
    <row r="78" spans="1:64" outlineLevel="5" x14ac:dyDescent="0.3">
      <c r="A78" s="152">
        <f t="shared" si="5"/>
        <v>2</v>
      </c>
      <c r="B78" s="153">
        <f t="shared" si="12"/>
        <v>44619</v>
      </c>
      <c r="C78" s="138">
        <f t="shared" si="21"/>
        <v>38</v>
      </c>
      <c r="D78" s="84">
        <v>38</v>
      </c>
      <c r="E78" s="84">
        <v>38</v>
      </c>
      <c r="F78" s="84"/>
      <c r="G78" s="84"/>
      <c r="H78" s="84"/>
      <c r="I78" s="84"/>
      <c r="J78" s="84"/>
      <c r="K78" s="84"/>
      <c r="L78" s="140" t="str">
        <f t="shared" si="22"/>
        <v/>
      </c>
      <c r="M78" s="141"/>
      <c r="N78" s="141"/>
      <c r="O78" s="141"/>
      <c r="P78" s="141"/>
      <c r="Q78" s="86"/>
      <c r="R78" s="86"/>
      <c r="S78" s="86"/>
      <c r="T78" s="86"/>
      <c r="U78" s="142" t="str">
        <f t="shared" si="23"/>
        <v/>
      </c>
      <c r="V78" s="88"/>
      <c r="W78" s="88"/>
      <c r="X78" s="88"/>
      <c r="Y78" s="88"/>
      <c r="Z78" s="88"/>
      <c r="AA78" s="88"/>
      <c r="AB78" s="88"/>
      <c r="AC78" s="88"/>
      <c r="AD78" s="142" t="str">
        <f t="shared" si="24"/>
        <v/>
      </c>
      <c r="AE78" s="88"/>
      <c r="AF78" s="88"/>
      <c r="AG78" s="88"/>
      <c r="AH78" s="88"/>
      <c r="AI78" s="88"/>
      <c r="AJ78" s="88"/>
      <c r="AK78" s="88"/>
      <c r="AL78" s="88"/>
      <c r="AM78" s="143">
        <v>36.307692307692307</v>
      </c>
      <c r="AN78" s="88">
        <v>130</v>
      </c>
      <c r="AO78" s="89"/>
      <c r="AP78" s="90"/>
      <c r="AQ78" s="146" t="str">
        <f t="shared" si="25"/>
        <v/>
      </c>
      <c r="AR78" s="146" t="str">
        <f t="shared" si="26"/>
        <v/>
      </c>
      <c r="AS78" s="147">
        <v>0</v>
      </c>
      <c r="AT78" s="148" t="s">
        <v>106</v>
      </c>
      <c r="AU78" s="149" t="s">
        <v>56</v>
      </c>
      <c r="AV78" s="146" t="str">
        <f t="shared" si="27"/>
        <v/>
      </c>
      <c r="AW78" s="146" t="str">
        <f t="shared" si="28"/>
        <v/>
      </c>
      <c r="AX78" s="138" t="str">
        <f t="shared" si="29"/>
        <v/>
      </c>
      <c r="AY78" s="95" t="s">
        <v>56</v>
      </c>
      <c r="AZ78" s="96" t="s">
        <v>56</v>
      </c>
      <c r="BA78" s="96"/>
      <c r="BB78" s="96" t="s">
        <v>56</v>
      </c>
      <c r="BC78" s="96"/>
      <c r="BD78" s="97">
        <v>130</v>
      </c>
      <c r="BE78" s="142">
        <f t="shared" si="30"/>
        <v>8881</v>
      </c>
      <c r="BF78" s="98">
        <v>358</v>
      </c>
      <c r="BG78" s="98">
        <v>0</v>
      </c>
      <c r="BH78" s="98">
        <v>3672</v>
      </c>
      <c r="BI78" s="98">
        <v>4851</v>
      </c>
      <c r="BJ78" s="98"/>
      <c r="BK78" s="98"/>
      <c r="BL78" s="97"/>
    </row>
    <row r="79" spans="1:64" outlineLevel="5" x14ac:dyDescent="0.3">
      <c r="A79" s="152">
        <f t="shared" si="5"/>
        <v>2</v>
      </c>
      <c r="B79" s="166">
        <f t="shared" si="12"/>
        <v>44620</v>
      </c>
      <c r="C79" s="138">
        <f t="shared" si="21"/>
        <v>38</v>
      </c>
      <c r="D79" s="84">
        <v>38</v>
      </c>
      <c r="E79" s="84">
        <v>38</v>
      </c>
      <c r="F79" s="84"/>
      <c r="G79" s="84"/>
      <c r="H79" s="84"/>
      <c r="I79" s="84"/>
      <c r="J79" s="84"/>
      <c r="K79" s="84"/>
      <c r="L79" s="140" t="str">
        <f t="shared" si="22"/>
        <v/>
      </c>
      <c r="M79" s="141"/>
      <c r="N79" s="141"/>
      <c r="O79" s="141"/>
      <c r="P79" s="141"/>
      <c r="Q79" s="86"/>
      <c r="R79" s="86"/>
      <c r="S79" s="86"/>
      <c r="T79" s="86"/>
      <c r="U79" s="142" t="str">
        <f t="shared" si="23"/>
        <v/>
      </c>
      <c r="V79" s="88"/>
      <c r="W79" s="88"/>
      <c r="X79" s="88"/>
      <c r="Y79" s="88"/>
      <c r="Z79" s="88"/>
      <c r="AA79" s="88"/>
      <c r="AB79" s="88"/>
      <c r="AC79" s="88"/>
      <c r="AD79" s="142" t="str">
        <f t="shared" si="24"/>
        <v/>
      </c>
      <c r="AE79" s="88"/>
      <c r="AF79" s="88"/>
      <c r="AG79" s="88"/>
      <c r="AH79" s="88"/>
      <c r="AI79" s="88"/>
      <c r="AJ79" s="88"/>
      <c r="AK79" s="88"/>
      <c r="AL79" s="88"/>
      <c r="AM79" s="143">
        <v>57.553956834532372</v>
      </c>
      <c r="AN79" s="88">
        <v>82.01</v>
      </c>
      <c r="AO79" s="89"/>
      <c r="AP79" s="90"/>
      <c r="AQ79" s="146" t="str">
        <f t="shared" si="25"/>
        <v/>
      </c>
      <c r="AR79" s="146" t="str">
        <f t="shared" si="26"/>
        <v/>
      </c>
      <c r="AS79" s="147">
        <v>24</v>
      </c>
      <c r="AT79" s="148" t="s">
        <v>106</v>
      </c>
      <c r="AU79" s="149" t="s">
        <v>56</v>
      </c>
      <c r="AV79" s="146" t="str">
        <f t="shared" si="27"/>
        <v/>
      </c>
      <c r="AW79" s="146" t="str">
        <f t="shared" si="28"/>
        <v/>
      </c>
      <c r="AX79" s="138" t="str">
        <f t="shared" si="29"/>
        <v/>
      </c>
      <c r="AY79" s="95" t="s">
        <v>56</v>
      </c>
      <c r="AZ79" s="96">
        <v>62.814999999999998</v>
      </c>
      <c r="BA79" s="96"/>
      <c r="BB79" s="96">
        <v>62</v>
      </c>
      <c r="BC79" s="96"/>
      <c r="BD79" s="97">
        <v>82.01</v>
      </c>
      <c r="BE79" s="142">
        <f t="shared" si="30"/>
        <v>7417</v>
      </c>
      <c r="BF79" s="98">
        <v>259</v>
      </c>
      <c r="BG79" s="98">
        <v>15</v>
      </c>
      <c r="BH79" s="98">
        <v>2490</v>
      </c>
      <c r="BI79" s="98">
        <v>4653</v>
      </c>
      <c r="BJ79" s="98"/>
      <c r="BK79" s="98"/>
      <c r="BL79" s="97"/>
    </row>
    <row r="80" spans="1:64" ht="17.25" outlineLevel="5" thickBot="1" x14ac:dyDescent="0.35">
      <c r="A80" s="167" t="e">
        <f t="shared" si="5"/>
        <v>#VALUE!</v>
      </c>
      <c r="B80" s="182" t="s">
        <v>105</v>
      </c>
      <c r="C80" s="138" t="str">
        <f t="shared" si="21"/>
        <v/>
      </c>
      <c r="D80" s="84"/>
      <c r="E80" s="84"/>
      <c r="F80" s="84"/>
      <c r="G80" s="84"/>
      <c r="H80" s="84"/>
      <c r="I80" s="84"/>
      <c r="J80" s="84"/>
      <c r="K80" s="84"/>
      <c r="L80" s="140" t="str">
        <f t="shared" si="22"/>
        <v/>
      </c>
      <c r="M80" s="86"/>
      <c r="N80" s="86"/>
      <c r="O80" s="86"/>
      <c r="P80" s="86"/>
      <c r="Q80" s="86"/>
      <c r="R80" s="86"/>
      <c r="S80" s="86"/>
      <c r="T80" s="86"/>
      <c r="U80" s="142" t="str">
        <f t="shared" si="23"/>
        <v/>
      </c>
      <c r="V80" s="88"/>
      <c r="W80" s="88"/>
      <c r="X80" s="88"/>
      <c r="Y80" s="88"/>
      <c r="Z80" s="88"/>
      <c r="AA80" s="88"/>
      <c r="AB80" s="88"/>
      <c r="AC80" s="88"/>
      <c r="AD80" s="142" t="str">
        <f t="shared" si="24"/>
        <v/>
      </c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9"/>
      <c r="AP80" s="90"/>
      <c r="AQ80" s="146" t="str">
        <f t="shared" si="25"/>
        <v/>
      </c>
      <c r="AR80" s="146" t="str">
        <f t="shared" si="26"/>
        <v/>
      </c>
      <c r="AS80" s="147"/>
      <c r="AT80" s="148"/>
      <c r="AU80" s="149"/>
      <c r="AV80" s="146" t="str">
        <f t="shared" si="27"/>
        <v/>
      </c>
      <c r="AW80" s="146" t="str">
        <f t="shared" si="28"/>
        <v/>
      </c>
      <c r="AX80" s="138" t="str">
        <f t="shared" si="29"/>
        <v/>
      </c>
      <c r="AY80" s="95"/>
      <c r="AZ80" s="96"/>
      <c r="BA80" s="96"/>
      <c r="BB80" s="96"/>
      <c r="BC80" s="96"/>
      <c r="BD80" s="97"/>
      <c r="BE80" s="142" t="str">
        <f t="shared" si="30"/>
        <v/>
      </c>
      <c r="BF80" s="98"/>
      <c r="BG80" s="98"/>
      <c r="BH80" s="98"/>
      <c r="BI80" s="98"/>
      <c r="BJ80" s="98"/>
      <c r="BK80" s="98"/>
      <c r="BL80" s="97"/>
    </row>
    <row r="81" spans="1:64" outlineLevel="4" x14ac:dyDescent="0.3">
      <c r="A81" s="63" t="s">
        <v>61</v>
      </c>
      <c r="B81" s="64"/>
      <c r="C81" s="65">
        <f t="shared" ref="C81:BL81" si="31">SUBTOTAL(4,C52:C80)</f>
        <v>39</v>
      </c>
      <c r="D81" s="66">
        <f t="shared" si="31"/>
        <v>39</v>
      </c>
      <c r="E81" s="66">
        <f t="shared" si="31"/>
        <v>39</v>
      </c>
      <c r="F81" s="66">
        <f t="shared" si="31"/>
        <v>0</v>
      </c>
      <c r="G81" s="66">
        <f t="shared" si="31"/>
        <v>0</v>
      </c>
      <c r="H81" s="66">
        <f t="shared" si="31"/>
        <v>0</v>
      </c>
      <c r="I81" s="66">
        <f t="shared" si="31"/>
        <v>0</v>
      </c>
      <c r="J81" s="66">
        <f t="shared" si="31"/>
        <v>0</v>
      </c>
      <c r="K81" s="66">
        <f t="shared" si="31"/>
        <v>0</v>
      </c>
      <c r="L81" s="67">
        <f t="shared" si="31"/>
        <v>7.7</v>
      </c>
      <c r="M81" s="68">
        <f t="shared" si="31"/>
        <v>7.74</v>
      </c>
      <c r="N81" s="68">
        <f t="shared" si="31"/>
        <v>7.62</v>
      </c>
      <c r="O81" s="68">
        <f t="shared" si="31"/>
        <v>0</v>
      </c>
      <c r="P81" s="68">
        <f t="shared" si="31"/>
        <v>0</v>
      </c>
      <c r="Q81" s="68">
        <f t="shared" si="31"/>
        <v>0</v>
      </c>
      <c r="R81" s="68">
        <f t="shared" si="31"/>
        <v>0</v>
      </c>
      <c r="S81" s="68">
        <f t="shared" si="31"/>
        <v>0</v>
      </c>
      <c r="T81" s="68">
        <f t="shared" si="31"/>
        <v>0</v>
      </c>
      <c r="U81" s="69">
        <f t="shared" si="31"/>
        <v>1593</v>
      </c>
      <c r="V81" s="70">
        <f t="shared" si="31"/>
        <v>1654</v>
      </c>
      <c r="W81" s="70">
        <f t="shared" si="31"/>
        <v>1532</v>
      </c>
      <c r="X81" s="70">
        <f t="shared" si="31"/>
        <v>0</v>
      </c>
      <c r="Y81" s="70">
        <f t="shared" si="31"/>
        <v>0</v>
      </c>
      <c r="Z81" s="70">
        <f t="shared" si="31"/>
        <v>0</v>
      </c>
      <c r="AA81" s="70">
        <f t="shared" si="31"/>
        <v>0</v>
      </c>
      <c r="AB81" s="70">
        <f t="shared" si="31"/>
        <v>0</v>
      </c>
      <c r="AC81" s="70">
        <f t="shared" si="31"/>
        <v>0</v>
      </c>
      <c r="AD81" s="69">
        <f t="shared" si="31"/>
        <v>8150</v>
      </c>
      <c r="AE81" s="70">
        <f t="shared" si="31"/>
        <v>8300</v>
      </c>
      <c r="AF81" s="70">
        <f t="shared" si="31"/>
        <v>8000</v>
      </c>
      <c r="AG81" s="70">
        <f t="shared" si="31"/>
        <v>0</v>
      </c>
      <c r="AH81" s="70">
        <f t="shared" si="31"/>
        <v>0</v>
      </c>
      <c r="AI81" s="70">
        <f t="shared" si="31"/>
        <v>0</v>
      </c>
      <c r="AJ81" s="70">
        <f t="shared" si="31"/>
        <v>0</v>
      </c>
      <c r="AK81" s="70">
        <f t="shared" si="31"/>
        <v>0</v>
      </c>
      <c r="AL81" s="70">
        <f t="shared" si="31"/>
        <v>0</v>
      </c>
      <c r="AM81" s="70">
        <f t="shared" si="31"/>
        <v>59</v>
      </c>
      <c r="AN81" s="70">
        <f t="shared" si="31"/>
        <v>134.82999999999998</v>
      </c>
      <c r="AO81" s="71">
        <f t="shared" si="31"/>
        <v>34.799999999999997</v>
      </c>
      <c r="AP81" s="72">
        <f t="shared" si="31"/>
        <v>30.728399999999997</v>
      </c>
      <c r="AQ81" s="73">
        <f t="shared" si="31"/>
        <v>88.3</v>
      </c>
      <c r="AR81" s="73">
        <f t="shared" si="31"/>
        <v>17.200000000000003</v>
      </c>
      <c r="AS81" s="74">
        <f t="shared" si="31"/>
        <v>30</v>
      </c>
      <c r="AT81" s="75">
        <f t="shared" si="31"/>
        <v>21.7</v>
      </c>
      <c r="AU81" s="76">
        <f t="shared" si="31"/>
        <v>14.485549999999998</v>
      </c>
      <c r="AV81" s="73">
        <f t="shared" si="31"/>
        <v>66.753686635944703</v>
      </c>
      <c r="AW81" s="73">
        <f t="shared" si="31"/>
        <v>85.92642487046632</v>
      </c>
      <c r="AX81" s="65">
        <f t="shared" si="31"/>
        <v>97.829784547205861</v>
      </c>
      <c r="AY81" s="77">
        <f t="shared" si="31"/>
        <v>78.05</v>
      </c>
      <c r="AZ81" s="78">
        <f t="shared" si="31"/>
        <v>62.814999999999998</v>
      </c>
      <c r="BA81" s="78">
        <f t="shared" si="31"/>
        <v>0</v>
      </c>
      <c r="BB81" s="78">
        <f t="shared" si="31"/>
        <v>62</v>
      </c>
      <c r="BC81" s="78">
        <f t="shared" si="31"/>
        <v>0</v>
      </c>
      <c r="BD81" s="79">
        <f t="shared" si="31"/>
        <v>134.82999999999998</v>
      </c>
      <c r="BE81" s="69">
        <f t="shared" si="31"/>
        <v>12632</v>
      </c>
      <c r="BF81" s="70">
        <f t="shared" si="31"/>
        <v>680</v>
      </c>
      <c r="BG81" s="80">
        <f t="shared" si="31"/>
        <v>3521</v>
      </c>
      <c r="BH81" s="80">
        <f t="shared" si="31"/>
        <v>7129</v>
      </c>
      <c r="BI81" s="80">
        <f t="shared" si="31"/>
        <v>5375</v>
      </c>
      <c r="BJ81" s="80">
        <f t="shared" si="31"/>
        <v>0</v>
      </c>
      <c r="BK81" s="80">
        <f t="shared" si="31"/>
        <v>0</v>
      </c>
      <c r="BL81" s="79">
        <f t="shared" si="31"/>
        <v>0</v>
      </c>
    </row>
    <row r="82" spans="1:64" outlineLevel="3" x14ac:dyDescent="0.3">
      <c r="A82" s="81" t="s">
        <v>62</v>
      </c>
      <c r="B82" s="82"/>
      <c r="C82" s="83">
        <f t="shared" ref="C82:BL82" si="32">SUBTOTAL(5,C52:C80)</f>
        <v>37</v>
      </c>
      <c r="D82" s="84">
        <f t="shared" si="32"/>
        <v>37</v>
      </c>
      <c r="E82" s="84">
        <f t="shared" si="32"/>
        <v>36</v>
      </c>
      <c r="F82" s="84">
        <f t="shared" si="32"/>
        <v>0</v>
      </c>
      <c r="G82" s="84">
        <f t="shared" si="32"/>
        <v>0</v>
      </c>
      <c r="H82" s="84">
        <f t="shared" si="32"/>
        <v>0</v>
      </c>
      <c r="I82" s="84">
        <f t="shared" si="32"/>
        <v>0</v>
      </c>
      <c r="J82" s="84">
        <f t="shared" si="32"/>
        <v>0</v>
      </c>
      <c r="K82" s="84">
        <f t="shared" si="32"/>
        <v>0</v>
      </c>
      <c r="L82" s="85">
        <f t="shared" si="32"/>
        <v>7.5</v>
      </c>
      <c r="M82" s="86">
        <f t="shared" si="32"/>
        <v>7.49</v>
      </c>
      <c r="N82" s="86">
        <f t="shared" si="32"/>
        <v>7.41</v>
      </c>
      <c r="O82" s="86">
        <f t="shared" si="32"/>
        <v>0</v>
      </c>
      <c r="P82" s="86">
        <f t="shared" si="32"/>
        <v>0</v>
      </c>
      <c r="Q82" s="86">
        <f t="shared" si="32"/>
        <v>0</v>
      </c>
      <c r="R82" s="86">
        <f t="shared" si="32"/>
        <v>0</v>
      </c>
      <c r="S82" s="86">
        <f t="shared" si="32"/>
        <v>0</v>
      </c>
      <c r="T82" s="86">
        <f t="shared" si="32"/>
        <v>0</v>
      </c>
      <c r="U82" s="87">
        <f t="shared" si="32"/>
        <v>1393</v>
      </c>
      <c r="V82" s="88">
        <f t="shared" si="32"/>
        <v>1458</v>
      </c>
      <c r="W82" s="88">
        <f t="shared" si="32"/>
        <v>1328</v>
      </c>
      <c r="X82" s="88">
        <f t="shared" si="32"/>
        <v>0</v>
      </c>
      <c r="Y82" s="88">
        <f t="shared" si="32"/>
        <v>0</v>
      </c>
      <c r="Z82" s="88">
        <f t="shared" si="32"/>
        <v>0</v>
      </c>
      <c r="AA82" s="88">
        <f t="shared" si="32"/>
        <v>0</v>
      </c>
      <c r="AB82" s="88">
        <f t="shared" si="32"/>
        <v>0</v>
      </c>
      <c r="AC82" s="88">
        <f t="shared" si="32"/>
        <v>0</v>
      </c>
      <c r="AD82" s="87">
        <f t="shared" si="32"/>
        <v>8125</v>
      </c>
      <c r="AE82" s="88">
        <f t="shared" si="32"/>
        <v>8250</v>
      </c>
      <c r="AF82" s="88">
        <f t="shared" si="32"/>
        <v>8000</v>
      </c>
      <c r="AG82" s="88">
        <f t="shared" si="32"/>
        <v>0</v>
      </c>
      <c r="AH82" s="88">
        <f t="shared" si="32"/>
        <v>0</v>
      </c>
      <c r="AI82" s="88">
        <f t="shared" si="32"/>
        <v>0</v>
      </c>
      <c r="AJ82" s="88">
        <f t="shared" si="32"/>
        <v>0</v>
      </c>
      <c r="AK82" s="88">
        <f t="shared" si="32"/>
        <v>0</v>
      </c>
      <c r="AL82" s="88">
        <f t="shared" si="32"/>
        <v>0</v>
      </c>
      <c r="AM82" s="88">
        <f t="shared" si="32"/>
        <v>35.007045909664022</v>
      </c>
      <c r="AN82" s="88">
        <f t="shared" si="32"/>
        <v>80</v>
      </c>
      <c r="AO82" s="89">
        <f t="shared" si="32"/>
        <v>17.3</v>
      </c>
      <c r="AP82" s="90">
        <f t="shared" si="32"/>
        <v>14.324400000000001</v>
      </c>
      <c r="AQ82" s="91">
        <f t="shared" si="32"/>
        <v>82.8</v>
      </c>
      <c r="AR82" s="91">
        <f t="shared" si="32"/>
        <v>11.700000000000003</v>
      </c>
      <c r="AS82" s="92">
        <f t="shared" si="32"/>
        <v>0</v>
      </c>
      <c r="AT82" s="93">
        <f t="shared" si="32"/>
        <v>15.05</v>
      </c>
      <c r="AU82" s="94">
        <f t="shared" si="32"/>
        <v>2.7162000000000002</v>
      </c>
      <c r="AV82" s="91">
        <f t="shared" si="32"/>
        <v>14.07357512953368</v>
      </c>
      <c r="AW82" s="91">
        <f t="shared" si="32"/>
        <v>33.246313364055297</v>
      </c>
      <c r="AX82" s="83">
        <f t="shared" si="32"/>
        <v>71.765559458221048</v>
      </c>
      <c r="AY82" s="95">
        <f t="shared" si="32"/>
        <v>70.05</v>
      </c>
      <c r="AZ82" s="96">
        <f t="shared" si="32"/>
        <v>56.06</v>
      </c>
      <c r="BA82" s="96">
        <f t="shared" si="32"/>
        <v>0</v>
      </c>
      <c r="BB82" s="96">
        <f t="shared" si="32"/>
        <v>35</v>
      </c>
      <c r="BC82" s="96">
        <f t="shared" si="32"/>
        <v>0</v>
      </c>
      <c r="BD82" s="97">
        <f t="shared" si="32"/>
        <v>80</v>
      </c>
      <c r="BE82" s="87">
        <f t="shared" si="32"/>
        <v>5070</v>
      </c>
      <c r="BF82" s="88">
        <f t="shared" si="32"/>
        <v>236</v>
      </c>
      <c r="BG82" s="98">
        <f t="shared" si="32"/>
        <v>0</v>
      </c>
      <c r="BH82" s="98">
        <f t="shared" si="32"/>
        <v>0</v>
      </c>
      <c r="BI82" s="98">
        <f t="shared" si="32"/>
        <v>1505</v>
      </c>
      <c r="BJ82" s="98">
        <f t="shared" si="32"/>
        <v>0</v>
      </c>
      <c r="BK82" s="98">
        <f t="shared" si="32"/>
        <v>0</v>
      </c>
      <c r="BL82" s="97">
        <f t="shared" si="32"/>
        <v>0</v>
      </c>
    </row>
    <row r="83" spans="1:64" outlineLevel="2" x14ac:dyDescent="0.3">
      <c r="A83" s="81" t="s">
        <v>63</v>
      </c>
      <c r="B83" s="82"/>
      <c r="C83" s="83">
        <f t="shared" ref="C83:BL83" si="33">IFERROR(SUBTOTAL(1,C52:C80),"")</f>
        <v>37.767857142857146</v>
      </c>
      <c r="D83" s="84">
        <f t="shared" si="33"/>
        <v>37.857142857142854</v>
      </c>
      <c r="E83" s="84">
        <f t="shared" si="33"/>
        <v>37.678571428571431</v>
      </c>
      <c r="F83" s="84" t="str">
        <f t="shared" si="33"/>
        <v/>
      </c>
      <c r="G83" s="84" t="str">
        <f t="shared" si="33"/>
        <v/>
      </c>
      <c r="H83" s="84" t="str">
        <f t="shared" si="33"/>
        <v/>
      </c>
      <c r="I83" s="84" t="str">
        <f t="shared" si="33"/>
        <v/>
      </c>
      <c r="J83" s="84" t="str">
        <f t="shared" si="33"/>
        <v/>
      </c>
      <c r="K83" s="84" t="str">
        <f t="shared" si="33"/>
        <v/>
      </c>
      <c r="L83" s="85">
        <f t="shared" si="33"/>
        <v>7.55</v>
      </c>
      <c r="M83" s="86">
        <f t="shared" si="33"/>
        <v>7.5843749999999996</v>
      </c>
      <c r="N83" s="86">
        <f t="shared" si="33"/>
        <v>7.4874999999999998</v>
      </c>
      <c r="O83" s="86" t="str">
        <f t="shared" si="33"/>
        <v/>
      </c>
      <c r="P83" s="86" t="str">
        <f t="shared" si="33"/>
        <v/>
      </c>
      <c r="Q83" s="86" t="str">
        <f t="shared" si="33"/>
        <v/>
      </c>
      <c r="R83" s="86" t="str">
        <f t="shared" si="33"/>
        <v/>
      </c>
      <c r="S83" s="86" t="str">
        <f t="shared" si="33"/>
        <v/>
      </c>
      <c r="T83" s="86" t="str">
        <f t="shared" si="33"/>
        <v/>
      </c>
      <c r="U83" s="87">
        <f t="shared" si="33"/>
        <v>1485.96875</v>
      </c>
      <c r="V83" s="88">
        <f t="shared" si="33"/>
        <v>1553.625</v>
      </c>
      <c r="W83" s="88">
        <f t="shared" si="33"/>
        <v>1418.3125</v>
      </c>
      <c r="X83" s="88" t="str">
        <f t="shared" si="33"/>
        <v/>
      </c>
      <c r="Y83" s="88" t="str">
        <f t="shared" si="33"/>
        <v/>
      </c>
      <c r="Z83" s="88" t="str">
        <f t="shared" si="33"/>
        <v/>
      </c>
      <c r="AA83" s="88" t="str">
        <f t="shared" si="33"/>
        <v/>
      </c>
      <c r="AB83" s="88" t="str">
        <f t="shared" si="33"/>
        <v/>
      </c>
      <c r="AC83" s="88" t="str">
        <f t="shared" si="33"/>
        <v/>
      </c>
      <c r="AD83" s="87">
        <f t="shared" si="33"/>
        <v>8137.5</v>
      </c>
      <c r="AE83" s="88">
        <f t="shared" si="33"/>
        <v>8275</v>
      </c>
      <c r="AF83" s="88">
        <f t="shared" si="33"/>
        <v>8000</v>
      </c>
      <c r="AG83" s="88" t="str">
        <f t="shared" si="33"/>
        <v/>
      </c>
      <c r="AH83" s="88" t="str">
        <f t="shared" si="33"/>
        <v/>
      </c>
      <c r="AI83" s="88" t="str">
        <f t="shared" si="33"/>
        <v/>
      </c>
      <c r="AJ83" s="88" t="str">
        <f t="shared" si="33"/>
        <v/>
      </c>
      <c r="AK83" s="88" t="str">
        <f t="shared" si="33"/>
        <v/>
      </c>
      <c r="AL83" s="88" t="str">
        <f t="shared" si="33"/>
        <v/>
      </c>
      <c r="AM83" s="88">
        <f t="shared" si="33"/>
        <v>43.021082394175778</v>
      </c>
      <c r="AN83" s="88">
        <f t="shared" si="33"/>
        <v>111.95535714285714</v>
      </c>
      <c r="AO83" s="89">
        <f t="shared" si="33"/>
        <v>26.049999999999997</v>
      </c>
      <c r="AP83" s="90">
        <f t="shared" si="33"/>
        <v>22.526399999999999</v>
      </c>
      <c r="AQ83" s="91">
        <f t="shared" si="33"/>
        <v>85.55</v>
      </c>
      <c r="AR83" s="91">
        <f t="shared" si="33"/>
        <v>14.450000000000003</v>
      </c>
      <c r="AS83" s="92">
        <f t="shared" si="33"/>
        <v>15.5</v>
      </c>
      <c r="AT83" s="93">
        <f t="shared" si="33"/>
        <v>16.972222222222225</v>
      </c>
      <c r="AU83" s="94">
        <f t="shared" si="33"/>
        <v>8.9150777777777765</v>
      </c>
      <c r="AV83" s="91">
        <f t="shared" si="33"/>
        <v>52.873127086145232</v>
      </c>
      <c r="AW83" s="91">
        <f t="shared" si="33"/>
        <v>47.126872913854768</v>
      </c>
      <c r="AX83" s="83">
        <f t="shared" si="33"/>
        <v>84.797672002713455</v>
      </c>
      <c r="AY83" s="95">
        <f t="shared" si="33"/>
        <v>74.866666666666674</v>
      </c>
      <c r="AZ83" s="96">
        <f t="shared" si="33"/>
        <v>59.731944444444451</v>
      </c>
      <c r="BA83" s="96" t="str">
        <f t="shared" si="33"/>
        <v/>
      </c>
      <c r="BB83" s="96">
        <f t="shared" si="33"/>
        <v>51.277777777777779</v>
      </c>
      <c r="BC83" s="96" t="str">
        <f t="shared" si="33"/>
        <v/>
      </c>
      <c r="BD83" s="97">
        <f>IFERROR(SUBTOTAL(1,BD52:BD80),"")</f>
        <v>111.95535714285714</v>
      </c>
      <c r="BE83" s="87">
        <f t="shared" si="33"/>
        <v>8238.6428571428569</v>
      </c>
      <c r="BF83" s="88">
        <f t="shared" si="33"/>
        <v>377.60714285714283</v>
      </c>
      <c r="BG83" s="98">
        <f t="shared" si="33"/>
        <v>717.78571428571433</v>
      </c>
      <c r="BH83" s="98">
        <f t="shared" si="33"/>
        <v>2509.25</v>
      </c>
      <c r="BI83" s="98">
        <f t="shared" si="33"/>
        <v>4634</v>
      </c>
      <c r="BJ83" s="98" t="str">
        <f t="shared" si="33"/>
        <v/>
      </c>
      <c r="BK83" s="98" t="str">
        <f t="shared" si="33"/>
        <v/>
      </c>
      <c r="BL83" s="97" t="str">
        <f t="shared" si="33"/>
        <v/>
      </c>
    </row>
    <row r="84" spans="1:64" ht="17.25" outlineLevel="1" thickBot="1" x14ac:dyDescent="0.35">
      <c r="A84" s="99" t="s">
        <v>64</v>
      </c>
      <c r="B84" s="100"/>
      <c r="C84" s="101"/>
      <c r="D84" s="102"/>
      <c r="E84" s="102"/>
      <c r="F84" s="102"/>
      <c r="G84" s="102"/>
      <c r="H84" s="102"/>
      <c r="I84" s="102"/>
      <c r="J84" s="102"/>
      <c r="K84" s="102"/>
      <c r="L84" s="103"/>
      <c r="M84" s="104"/>
      <c r="N84" s="104"/>
      <c r="O84" s="104"/>
      <c r="P84" s="104"/>
      <c r="Q84" s="104"/>
      <c r="R84" s="104"/>
      <c r="S84" s="104"/>
      <c r="T84" s="104"/>
      <c r="U84" s="105"/>
      <c r="V84" s="106"/>
      <c r="W84" s="106"/>
      <c r="X84" s="106"/>
      <c r="Y84" s="106"/>
      <c r="Z84" s="106"/>
      <c r="AA84" s="106"/>
      <c r="AB84" s="106"/>
      <c r="AC84" s="106"/>
      <c r="AD84" s="105"/>
      <c r="AE84" s="106"/>
      <c r="AF84" s="106"/>
      <c r="AG84" s="106"/>
      <c r="AH84" s="106"/>
      <c r="AI84" s="106"/>
      <c r="AJ84" s="106"/>
      <c r="AK84" s="106"/>
      <c r="AL84" s="106"/>
      <c r="AM84" s="106"/>
      <c r="AN84" s="107">
        <f>SUBTOTAL(9,AN52:AN80)</f>
        <v>3134.75</v>
      </c>
      <c r="AO84" s="108"/>
      <c r="AP84" s="109"/>
      <c r="AQ84" s="110"/>
      <c r="AR84" s="110"/>
      <c r="AS84" s="111">
        <f>SUBTOTAL(9,AS52:AS80)</f>
        <v>434</v>
      </c>
      <c r="AT84" s="112"/>
      <c r="AU84" s="113"/>
      <c r="AV84" s="110"/>
      <c r="AW84" s="110"/>
      <c r="AX84" s="101"/>
      <c r="AY84" s="114"/>
      <c r="AZ84" s="115"/>
      <c r="BA84" s="115"/>
      <c r="BB84" s="115"/>
      <c r="BC84" s="115"/>
      <c r="BD84" s="116">
        <f>SUBTOTAL(9,BD52:BD80)</f>
        <v>3134.75</v>
      </c>
      <c r="BE84" s="117">
        <f t="shared" ref="BE84:BL84" si="34">SUBTOTAL(9,BE52:BE80)</f>
        <v>230682</v>
      </c>
      <c r="BF84" s="107">
        <f t="shared" si="34"/>
        <v>10573</v>
      </c>
      <c r="BG84" s="118">
        <f t="shared" si="34"/>
        <v>20098</v>
      </c>
      <c r="BH84" s="118">
        <f t="shared" si="34"/>
        <v>70259</v>
      </c>
      <c r="BI84" s="118">
        <f t="shared" si="34"/>
        <v>129752</v>
      </c>
      <c r="BJ84" s="118">
        <f t="shared" si="34"/>
        <v>0</v>
      </c>
      <c r="BK84" s="118">
        <f t="shared" si="34"/>
        <v>0</v>
      </c>
      <c r="BL84" s="116">
        <f t="shared" si="34"/>
        <v>0</v>
      </c>
    </row>
    <row r="85" spans="1:64" outlineLevel="5" x14ac:dyDescent="0.3">
      <c r="A85" s="136">
        <f t="shared" si="5"/>
        <v>3</v>
      </c>
      <c r="B85" s="137">
        <f>B79+1</f>
        <v>44621</v>
      </c>
      <c r="C85" s="138"/>
      <c r="D85" s="84">
        <v>38</v>
      </c>
      <c r="E85" s="84">
        <v>38</v>
      </c>
      <c r="F85" s="84"/>
      <c r="G85" s="84"/>
      <c r="H85" s="84"/>
      <c r="I85" s="84"/>
      <c r="J85" s="84"/>
      <c r="K85" s="84"/>
      <c r="L85" s="140" t="str">
        <f t="shared" ref="L85:L115" si="35">IFERROR(ROUND(AVERAGE(M85:T85),1),"")</f>
        <v/>
      </c>
      <c r="M85" s="86"/>
      <c r="N85" s="86"/>
      <c r="O85" s="86"/>
      <c r="P85" s="86"/>
      <c r="Q85" s="86"/>
      <c r="R85" s="86"/>
      <c r="S85" s="86"/>
      <c r="T85" s="86"/>
      <c r="U85" s="142" t="str">
        <f t="shared" ref="U85:U115" si="36">IFERROR(ROUND(AVERAGE(V85:AC85),1),"")</f>
        <v/>
      </c>
      <c r="V85" s="88"/>
      <c r="W85" s="88"/>
      <c r="X85" s="88"/>
      <c r="Y85" s="88"/>
      <c r="Z85" s="88"/>
      <c r="AA85" s="88"/>
      <c r="AB85" s="88"/>
      <c r="AC85" s="88"/>
      <c r="AD85" s="142" t="str">
        <f t="shared" ref="AD85:AD115" si="37">IFERROR(ROUND(AVERAGE(AE85:AL85),1),"")</f>
        <v/>
      </c>
      <c r="AE85" s="88"/>
      <c r="AF85" s="88"/>
      <c r="AG85" s="88"/>
      <c r="AH85" s="88"/>
      <c r="AI85" s="88"/>
      <c r="AJ85" s="88"/>
      <c r="AK85" s="88"/>
      <c r="AL85" s="88"/>
      <c r="AM85" s="88">
        <v>54.84545665814548</v>
      </c>
      <c r="AN85" s="88">
        <v>86.06</v>
      </c>
      <c r="AO85" s="89"/>
      <c r="AP85" s="90"/>
      <c r="AQ85" s="146" t="str">
        <f t="shared" ref="AQ85:AQ115" si="38">IFERROR(AP85/AO85*100,"")</f>
        <v/>
      </c>
      <c r="AR85" s="146" t="str">
        <f t="shared" ref="AR85:AR115" si="39">IFERROR(100-AQ85,"")</f>
        <v/>
      </c>
      <c r="AS85" s="147">
        <v>0</v>
      </c>
      <c r="AT85" s="148" t="s">
        <v>106</v>
      </c>
      <c r="AU85" s="149" t="s">
        <v>56</v>
      </c>
      <c r="AV85" s="146" t="str">
        <f t="shared" ref="AV85:AV115" si="40">IFERROR(AU85/AT85*100,"")</f>
        <v/>
      </c>
      <c r="AW85" s="146" t="str">
        <f t="shared" ref="AW85:AW115" si="41">IFERROR(100-AV85,"")</f>
        <v/>
      </c>
      <c r="AX85" s="138" t="str">
        <f t="shared" ref="AX85:AX115" si="42">IFERROR((1-((AV85*AR85)/(AW85*AQ85)))*100,"")</f>
        <v/>
      </c>
      <c r="AY85" s="95" t="s">
        <v>56</v>
      </c>
      <c r="AZ85" s="96" t="s">
        <v>56</v>
      </c>
      <c r="BA85" s="96"/>
      <c r="BB85" s="96" t="s">
        <v>56</v>
      </c>
      <c r="BC85" s="96"/>
      <c r="BD85" s="97">
        <v>86.06</v>
      </c>
      <c r="BE85" s="142">
        <f t="shared" ref="BE85:BE115" si="43">IF(SUM(BF85:BL85)=0,"",SUM(BF85:BL85))</f>
        <v>10277</v>
      </c>
      <c r="BF85" s="98">
        <v>400</v>
      </c>
      <c r="BG85" s="98">
        <v>0</v>
      </c>
      <c r="BH85" s="98">
        <v>4785</v>
      </c>
      <c r="BI85" s="98">
        <v>5092</v>
      </c>
      <c r="BJ85" s="98"/>
      <c r="BK85" s="98"/>
      <c r="BL85" s="98"/>
    </row>
    <row r="86" spans="1:64" outlineLevel="5" x14ac:dyDescent="0.3">
      <c r="A86" s="152">
        <f t="shared" si="5"/>
        <v>3</v>
      </c>
      <c r="B86" s="153">
        <f t="shared" ref="B86:B149" si="44">B85+1</f>
        <v>44622</v>
      </c>
      <c r="C86" s="138"/>
      <c r="D86" s="84">
        <v>37</v>
      </c>
      <c r="E86" s="84">
        <v>37</v>
      </c>
      <c r="F86" s="84"/>
      <c r="G86" s="84"/>
      <c r="H86" s="84"/>
      <c r="I86" s="84"/>
      <c r="J86" s="84"/>
      <c r="K86" s="84"/>
      <c r="L86" s="140">
        <f t="shared" si="35"/>
        <v>7.4</v>
      </c>
      <c r="M86" s="86">
        <v>7.5</v>
      </c>
      <c r="N86" s="86">
        <v>7.32</v>
      </c>
      <c r="O86" s="86"/>
      <c r="P86" s="86"/>
      <c r="Q86" s="86"/>
      <c r="R86" s="86"/>
      <c r="S86" s="86"/>
      <c r="T86" s="86"/>
      <c r="U86" s="142">
        <f t="shared" si="36"/>
        <v>1428.5</v>
      </c>
      <c r="V86" s="88">
        <v>1498</v>
      </c>
      <c r="W86" s="88">
        <v>1359</v>
      </c>
      <c r="X86" s="88"/>
      <c r="Y86" s="88"/>
      <c r="Z86" s="88"/>
      <c r="AA86" s="88"/>
      <c r="AB86" s="88"/>
      <c r="AC86" s="88"/>
      <c r="AD86" s="142">
        <f t="shared" si="37"/>
        <v>8800</v>
      </c>
      <c r="AE86" s="88">
        <v>8950</v>
      </c>
      <c r="AF86" s="88">
        <v>8650</v>
      </c>
      <c r="AG86" s="88"/>
      <c r="AH86" s="88"/>
      <c r="AI86" s="88"/>
      <c r="AJ86" s="88"/>
      <c r="AK86" s="88"/>
      <c r="AL86" s="88"/>
      <c r="AM86" s="88">
        <v>43.450243947344191</v>
      </c>
      <c r="AN86" s="88">
        <v>108.63000000000001</v>
      </c>
      <c r="AO86" s="89"/>
      <c r="AP86" s="90"/>
      <c r="AQ86" s="146" t="str">
        <f t="shared" si="38"/>
        <v/>
      </c>
      <c r="AR86" s="146" t="str">
        <f t="shared" si="39"/>
        <v/>
      </c>
      <c r="AS86" s="147">
        <v>41</v>
      </c>
      <c r="AT86" s="148">
        <v>15.850000000000001</v>
      </c>
      <c r="AU86" s="149">
        <v>5.0620499999999993</v>
      </c>
      <c r="AV86" s="146">
        <f t="shared" si="40"/>
        <v>31.937223974763402</v>
      </c>
      <c r="AW86" s="146">
        <f t="shared" si="41"/>
        <v>68.062776025236602</v>
      </c>
      <c r="AX86" s="138" t="str">
        <f t="shared" si="42"/>
        <v/>
      </c>
      <c r="AY86" s="95">
        <v>74.45</v>
      </c>
      <c r="AZ86" s="96" t="s">
        <v>56</v>
      </c>
      <c r="BA86" s="96"/>
      <c r="BB86" s="96" t="s">
        <v>56</v>
      </c>
      <c r="BC86" s="96"/>
      <c r="BD86" s="97">
        <v>108.63000000000001</v>
      </c>
      <c r="BE86" s="142">
        <f t="shared" si="43"/>
        <v>10749</v>
      </c>
      <c r="BF86" s="98">
        <v>375</v>
      </c>
      <c r="BG86" s="98">
        <v>0</v>
      </c>
      <c r="BH86" s="98">
        <v>5412</v>
      </c>
      <c r="BI86" s="98">
        <v>4962</v>
      </c>
      <c r="BJ86" s="98"/>
      <c r="BK86" s="98"/>
      <c r="BL86" s="98"/>
    </row>
    <row r="87" spans="1:64" outlineLevel="5" x14ac:dyDescent="0.3">
      <c r="A87" s="152">
        <f t="shared" si="5"/>
        <v>3</v>
      </c>
      <c r="B87" s="153">
        <f t="shared" si="44"/>
        <v>44623</v>
      </c>
      <c r="C87" s="138"/>
      <c r="D87" s="84">
        <v>38</v>
      </c>
      <c r="E87" s="84">
        <v>39</v>
      </c>
      <c r="F87" s="84"/>
      <c r="G87" s="84"/>
      <c r="H87" s="84"/>
      <c r="I87" s="84"/>
      <c r="J87" s="84"/>
      <c r="K87" s="84"/>
      <c r="L87" s="140" t="str">
        <f t="shared" si="35"/>
        <v/>
      </c>
      <c r="M87" s="86"/>
      <c r="N87" s="86"/>
      <c r="O87" s="86"/>
      <c r="P87" s="86"/>
      <c r="Q87" s="86"/>
      <c r="R87" s="86"/>
      <c r="S87" s="86"/>
      <c r="T87" s="86"/>
      <c r="U87" s="142" t="str">
        <f t="shared" si="36"/>
        <v/>
      </c>
      <c r="V87" s="88"/>
      <c r="W87" s="88"/>
      <c r="X87" s="88"/>
      <c r="Y87" s="88"/>
      <c r="Z87" s="88"/>
      <c r="AA87" s="88"/>
      <c r="AB87" s="88"/>
      <c r="AC87" s="88"/>
      <c r="AD87" s="142" t="str">
        <f t="shared" si="37"/>
        <v/>
      </c>
      <c r="AE87" s="88"/>
      <c r="AF87" s="88"/>
      <c r="AG87" s="88"/>
      <c r="AH87" s="88"/>
      <c r="AI87" s="88"/>
      <c r="AJ87" s="88"/>
      <c r="AK87" s="88"/>
      <c r="AL87" s="88"/>
      <c r="AM87" s="88">
        <v>40.612631216658066</v>
      </c>
      <c r="AN87" s="88">
        <v>116.22</v>
      </c>
      <c r="AO87" s="89"/>
      <c r="AP87" s="90"/>
      <c r="AQ87" s="146" t="str">
        <f t="shared" si="38"/>
        <v/>
      </c>
      <c r="AR87" s="146" t="str">
        <f t="shared" si="39"/>
        <v/>
      </c>
      <c r="AS87" s="147">
        <v>30</v>
      </c>
      <c r="AT87" s="148" t="s">
        <v>106</v>
      </c>
      <c r="AU87" s="149" t="s">
        <v>56</v>
      </c>
      <c r="AV87" s="146" t="str">
        <f t="shared" si="40"/>
        <v/>
      </c>
      <c r="AW87" s="146" t="str">
        <f t="shared" si="41"/>
        <v/>
      </c>
      <c r="AX87" s="138" t="str">
        <f t="shared" si="42"/>
        <v/>
      </c>
      <c r="AY87" s="95" t="s">
        <v>56</v>
      </c>
      <c r="AZ87" s="96">
        <v>62.010000000000005</v>
      </c>
      <c r="BA87" s="96"/>
      <c r="BB87" s="96">
        <v>55.5</v>
      </c>
      <c r="BC87" s="96"/>
      <c r="BD87" s="97">
        <v>116.22</v>
      </c>
      <c r="BE87" s="142">
        <f t="shared" si="43"/>
        <v>12264</v>
      </c>
      <c r="BF87" s="98">
        <v>568</v>
      </c>
      <c r="BG87" s="98">
        <v>0</v>
      </c>
      <c r="BH87" s="98">
        <v>7026</v>
      </c>
      <c r="BI87" s="98">
        <v>4670</v>
      </c>
      <c r="BJ87" s="98"/>
      <c r="BK87" s="98"/>
      <c r="BL87" s="98"/>
    </row>
    <row r="88" spans="1:64" outlineLevel="5" x14ac:dyDescent="0.3">
      <c r="A88" s="152">
        <f t="shared" si="5"/>
        <v>3</v>
      </c>
      <c r="B88" s="153">
        <f t="shared" si="44"/>
        <v>44624</v>
      </c>
      <c r="C88" s="138"/>
      <c r="D88" s="84">
        <v>37</v>
      </c>
      <c r="E88" s="84">
        <v>37</v>
      </c>
      <c r="F88" s="84"/>
      <c r="G88" s="84"/>
      <c r="H88" s="84"/>
      <c r="I88" s="84"/>
      <c r="J88" s="84"/>
      <c r="K88" s="84"/>
      <c r="L88" s="140">
        <f t="shared" si="35"/>
        <v>7.6</v>
      </c>
      <c r="M88" s="86">
        <v>7.65</v>
      </c>
      <c r="N88" s="86">
        <v>7.53</v>
      </c>
      <c r="O88" s="86"/>
      <c r="P88" s="86"/>
      <c r="Q88" s="86"/>
      <c r="R88" s="86"/>
      <c r="S88" s="86"/>
      <c r="T88" s="86"/>
      <c r="U88" s="142">
        <f t="shared" si="36"/>
        <v>1436</v>
      </c>
      <c r="V88" s="88">
        <v>1547</v>
      </c>
      <c r="W88" s="88">
        <v>1325</v>
      </c>
      <c r="X88" s="88"/>
      <c r="Y88" s="88"/>
      <c r="Z88" s="88"/>
      <c r="AA88" s="88"/>
      <c r="AB88" s="88"/>
      <c r="AC88" s="88"/>
      <c r="AD88" s="142" t="str">
        <f t="shared" si="37"/>
        <v/>
      </c>
      <c r="AE88" s="88"/>
      <c r="AF88" s="88"/>
      <c r="AG88" s="88"/>
      <c r="AH88" s="88"/>
      <c r="AI88" s="88"/>
      <c r="AJ88" s="88"/>
      <c r="AK88" s="88"/>
      <c r="AL88" s="88"/>
      <c r="AM88" s="88">
        <v>36.711519016877965</v>
      </c>
      <c r="AN88" s="88">
        <v>128.57</v>
      </c>
      <c r="AO88" s="89"/>
      <c r="AP88" s="90"/>
      <c r="AQ88" s="146" t="str">
        <f t="shared" si="38"/>
        <v/>
      </c>
      <c r="AR88" s="146" t="str">
        <f t="shared" si="39"/>
        <v/>
      </c>
      <c r="AS88" s="147">
        <v>32</v>
      </c>
      <c r="AT88" s="148" t="s">
        <v>106</v>
      </c>
      <c r="AU88" s="149" t="s">
        <v>56</v>
      </c>
      <c r="AV88" s="146" t="str">
        <f t="shared" si="40"/>
        <v/>
      </c>
      <c r="AW88" s="146" t="str">
        <f t="shared" si="41"/>
        <v/>
      </c>
      <c r="AX88" s="138" t="str">
        <f t="shared" si="42"/>
        <v/>
      </c>
      <c r="AY88" s="95" t="s">
        <v>56</v>
      </c>
      <c r="AZ88" s="96">
        <v>61.795000000000002</v>
      </c>
      <c r="BA88" s="96"/>
      <c r="BB88" s="96">
        <v>52</v>
      </c>
      <c r="BC88" s="96"/>
      <c r="BD88" s="97">
        <v>128.57</v>
      </c>
      <c r="BE88" s="142">
        <f t="shared" si="43"/>
        <v>11974</v>
      </c>
      <c r="BF88" s="98">
        <v>0</v>
      </c>
      <c r="BG88" s="98">
        <v>0</v>
      </c>
      <c r="BH88" s="98">
        <v>6975</v>
      </c>
      <c r="BI88" s="98">
        <v>4999</v>
      </c>
      <c r="BJ88" s="98"/>
      <c r="BK88" s="98"/>
      <c r="BL88" s="98"/>
    </row>
    <row r="89" spans="1:64" outlineLevel="5" x14ac:dyDescent="0.3">
      <c r="A89" s="152">
        <f t="shared" si="5"/>
        <v>3</v>
      </c>
      <c r="B89" s="153">
        <f t="shared" si="44"/>
        <v>44625</v>
      </c>
      <c r="C89" s="138"/>
      <c r="D89" s="84">
        <v>38</v>
      </c>
      <c r="E89" s="84">
        <v>38</v>
      </c>
      <c r="F89" s="84"/>
      <c r="G89" s="84"/>
      <c r="H89" s="84"/>
      <c r="I89" s="84"/>
      <c r="J89" s="84"/>
      <c r="K89" s="84"/>
      <c r="L89" s="140" t="str">
        <f t="shared" si="35"/>
        <v/>
      </c>
      <c r="M89" s="86"/>
      <c r="N89" s="86"/>
      <c r="O89" s="86"/>
      <c r="P89" s="86"/>
      <c r="Q89" s="86"/>
      <c r="R89" s="86"/>
      <c r="S89" s="86"/>
      <c r="T89" s="86"/>
      <c r="U89" s="142" t="str">
        <f t="shared" si="36"/>
        <v/>
      </c>
      <c r="V89" s="88"/>
      <c r="W89" s="88"/>
      <c r="X89" s="88"/>
      <c r="Y89" s="88"/>
      <c r="Z89" s="88"/>
      <c r="AA89" s="88"/>
      <c r="AB89" s="88"/>
      <c r="AC89" s="88"/>
      <c r="AD89" s="142" t="str">
        <f t="shared" si="37"/>
        <v/>
      </c>
      <c r="AE89" s="88"/>
      <c r="AF89" s="88"/>
      <c r="AG89" s="88"/>
      <c r="AH89" s="88"/>
      <c r="AI89" s="88"/>
      <c r="AJ89" s="88"/>
      <c r="AK89" s="88"/>
      <c r="AL89" s="88"/>
      <c r="AM89" s="88">
        <v>37.76</v>
      </c>
      <c r="AN89" s="88">
        <v>125</v>
      </c>
      <c r="AO89" s="89"/>
      <c r="AP89" s="90"/>
      <c r="AQ89" s="146" t="str">
        <f t="shared" si="38"/>
        <v/>
      </c>
      <c r="AR89" s="146" t="str">
        <f t="shared" si="39"/>
        <v/>
      </c>
      <c r="AS89" s="147">
        <v>20</v>
      </c>
      <c r="AT89" s="148" t="s">
        <v>106</v>
      </c>
      <c r="AU89" s="149" t="s">
        <v>56</v>
      </c>
      <c r="AV89" s="146" t="str">
        <f t="shared" si="40"/>
        <v/>
      </c>
      <c r="AW89" s="146" t="str">
        <f t="shared" si="41"/>
        <v/>
      </c>
      <c r="AX89" s="138" t="str">
        <f t="shared" si="42"/>
        <v/>
      </c>
      <c r="AY89" s="95" t="s">
        <v>56</v>
      </c>
      <c r="AZ89" s="96" t="s">
        <v>56</v>
      </c>
      <c r="BA89" s="96"/>
      <c r="BB89" s="96" t="s">
        <v>56</v>
      </c>
      <c r="BC89" s="96"/>
      <c r="BD89" s="97">
        <v>125</v>
      </c>
      <c r="BE89" s="142">
        <f t="shared" si="43"/>
        <v>10919</v>
      </c>
      <c r="BF89" s="98">
        <v>504</v>
      </c>
      <c r="BG89" s="98">
        <v>0</v>
      </c>
      <c r="BH89" s="98">
        <v>5349</v>
      </c>
      <c r="BI89" s="98">
        <v>5066</v>
      </c>
      <c r="BJ89" s="98"/>
      <c r="BK89" s="98"/>
      <c r="BL89" s="98"/>
    </row>
    <row r="90" spans="1:64" outlineLevel="5" x14ac:dyDescent="0.3">
      <c r="A90" s="152">
        <f t="shared" si="5"/>
        <v>3</v>
      </c>
      <c r="B90" s="153">
        <f t="shared" si="44"/>
        <v>44626</v>
      </c>
      <c r="C90" s="138"/>
      <c r="D90" s="84">
        <v>38</v>
      </c>
      <c r="E90" s="84">
        <v>37</v>
      </c>
      <c r="F90" s="84"/>
      <c r="G90" s="84"/>
      <c r="H90" s="84"/>
      <c r="I90" s="84"/>
      <c r="J90" s="84"/>
      <c r="K90" s="84"/>
      <c r="L90" s="140" t="str">
        <f t="shared" si="35"/>
        <v/>
      </c>
      <c r="M90" s="86"/>
      <c r="N90" s="86"/>
      <c r="O90" s="86"/>
      <c r="P90" s="86"/>
      <c r="Q90" s="86"/>
      <c r="R90" s="86"/>
      <c r="S90" s="86"/>
      <c r="T90" s="86"/>
      <c r="U90" s="142" t="str">
        <f t="shared" si="36"/>
        <v/>
      </c>
      <c r="V90" s="88"/>
      <c r="W90" s="88"/>
      <c r="X90" s="88"/>
      <c r="Y90" s="88"/>
      <c r="Z90" s="88"/>
      <c r="AA90" s="88"/>
      <c r="AB90" s="88"/>
      <c r="AC90" s="88"/>
      <c r="AD90" s="142" t="str">
        <f t="shared" si="37"/>
        <v/>
      </c>
      <c r="AE90" s="88"/>
      <c r="AF90" s="88"/>
      <c r="AG90" s="88"/>
      <c r="AH90" s="88"/>
      <c r="AI90" s="88"/>
      <c r="AJ90" s="88"/>
      <c r="AK90" s="88"/>
      <c r="AL90" s="88"/>
      <c r="AM90" s="88">
        <v>39.333333333333336</v>
      </c>
      <c r="AN90" s="88">
        <v>120</v>
      </c>
      <c r="AO90" s="89"/>
      <c r="AP90" s="90"/>
      <c r="AQ90" s="146" t="str">
        <f t="shared" si="38"/>
        <v/>
      </c>
      <c r="AR90" s="146" t="str">
        <f t="shared" si="39"/>
        <v/>
      </c>
      <c r="AS90" s="147">
        <v>0</v>
      </c>
      <c r="AT90" s="148" t="s">
        <v>106</v>
      </c>
      <c r="AU90" s="149" t="s">
        <v>56</v>
      </c>
      <c r="AV90" s="146" t="str">
        <f t="shared" si="40"/>
        <v/>
      </c>
      <c r="AW90" s="146" t="str">
        <f t="shared" si="41"/>
        <v/>
      </c>
      <c r="AX90" s="138" t="str">
        <f t="shared" si="42"/>
        <v/>
      </c>
      <c r="AY90" s="95" t="s">
        <v>56</v>
      </c>
      <c r="AZ90" s="96" t="s">
        <v>56</v>
      </c>
      <c r="BA90" s="96"/>
      <c r="BB90" s="96" t="s">
        <v>56</v>
      </c>
      <c r="BC90" s="96"/>
      <c r="BD90" s="97">
        <v>120</v>
      </c>
      <c r="BE90" s="142">
        <f t="shared" si="43"/>
        <v>8149</v>
      </c>
      <c r="BF90" s="98">
        <v>342</v>
      </c>
      <c r="BG90" s="98">
        <v>0</v>
      </c>
      <c r="BH90" s="98">
        <v>3261</v>
      </c>
      <c r="BI90" s="98">
        <v>4546</v>
      </c>
      <c r="BJ90" s="98"/>
      <c r="BK90" s="98"/>
      <c r="BL90" s="98"/>
    </row>
    <row r="91" spans="1:64" outlineLevel="5" x14ac:dyDescent="0.3">
      <c r="A91" s="152">
        <f t="shared" ref="A91:A162" si="45">MONTH(B91)</f>
        <v>3</v>
      </c>
      <c r="B91" s="153">
        <f t="shared" si="44"/>
        <v>44627</v>
      </c>
      <c r="C91" s="138"/>
      <c r="D91" s="84">
        <v>38</v>
      </c>
      <c r="E91" s="84">
        <v>37</v>
      </c>
      <c r="F91" s="84"/>
      <c r="G91" s="84"/>
      <c r="H91" s="84"/>
      <c r="I91" s="84"/>
      <c r="J91" s="84"/>
      <c r="K91" s="84"/>
      <c r="L91" s="140">
        <f t="shared" si="35"/>
        <v>7.6</v>
      </c>
      <c r="M91" s="86">
        <v>7.65</v>
      </c>
      <c r="N91" s="86">
        <v>7.49</v>
      </c>
      <c r="O91" s="86"/>
      <c r="P91" s="86"/>
      <c r="Q91" s="86"/>
      <c r="R91" s="86"/>
      <c r="S91" s="86"/>
      <c r="T91" s="86"/>
      <c r="U91" s="142">
        <f t="shared" si="36"/>
        <v>1465</v>
      </c>
      <c r="V91" s="88">
        <v>1520</v>
      </c>
      <c r="W91" s="88">
        <v>1410</v>
      </c>
      <c r="X91" s="88"/>
      <c r="Y91" s="88"/>
      <c r="Z91" s="88"/>
      <c r="AA91" s="88"/>
      <c r="AB91" s="88"/>
      <c r="AC91" s="88"/>
      <c r="AD91" s="142" t="str">
        <f t="shared" si="37"/>
        <v/>
      </c>
      <c r="AE91" s="88"/>
      <c r="AF91" s="88"/>
      <c r="AG91" s="88"/>
      <c r="AH91" s="88"/>
      <c r="AI91" s="88"/>
      <c r="AJ91" s="88"/>
      <c r="AK91" s="88"/>
      <c r="AL91" s="88"/>
      <c r="AM91" s="88">
        <v>36.623215394165115</v>
      </c>
      <c r="AN91" s="88">
        <v>128.88</v>
      </c>
      <c r="AO91" s="89">
        <v>33.700000000000003</v>
      </c>
      <c r="AP91" s="90">
        <v>29.015700000000002</v>
      </c>
      <c r="AQ91" s="146">
        <f t="shared" si="38"/>
        <v>86.1</v>
      </c>
      <c r="AR91" s="146">
        <f t="shared" si="39"/>
        <v>13.900000000000006</v>
      </c>
      <c r="AS91" s="147">
        <v>23</v>
      </c>
      <c r="AT91" s="148">
        <v>15.65</v>
      </c>
      <c r="AU91" s="149">
        <v>8.2201000000000004</v>
      </c>
      <c r="AV91" s="146">
        <f t="shared" si="40"/>
        <v>52.524600638977638</v>
      </c>
      <c r="AW91" s="146">
        <f t="shared" si="41"/>
        <v>47.475399361022362</v>
      </c>
      <c r="AX91" s="138">
        <f t="shared" si="42"/>
        <v>82.138999561976391</v>
      </c>
      <c r="AY91" s="95">
        <v>74.349999999999994</v>
      </c>
      <c r="AZ91" s="96">
        <v>62.004999999999995</v>
      </c>
      <c r="BA91" s="96"/>
      <c r="BB91" s="96">
        <v>48.5</v>
      </c>
      <c r="BC91" s="96"/>
      <c r="BD91" s="97">
        <v>128.88</v>
      </c>
      <c r="BE91" s="142">
        <f t="shared" si="43"/>
        <v>8967</v>
      </c>
      <c r="BF91" s="98">
        <v>363</v>
      </c>
      <c r="BG91" s="98">
        <v>0</v>
      </c>
      <c r="BH91" s="98">
        <v>3981</v>
      </c>
      <c r="BI91" s="98">
        <v>4623</v>
      </c>
      <c r="BJ91" s="98"/>
      <c r="BK91" s="98"/>
      <c r="BL91" s="98"/>
    </row>
    <row r="92" spans="1:64" outlineLevel="5" x14ac:dyDescent="0.3">
      <c r="A92" s="152">
        <f t="shared" si="45"/>
        <v>3</v>
      </c>
      <c r="B92" s="153">
        <f t="shared" si="44"/>
        <v>44628</v>
      </c>
      <c r="C92" s="138"/>
      <c r="D92" s="84">
        <v>37</v>
      </c>
      <c r="E92" s="84">
        <v>37</v>
      </c>
      <c r="F92" s="84"/>
      <c r="G92" s="84"/>
      <c r="H92" s="84"/>
      <c r="I92" s="84"/>
      <c r="J92" s="84"/>
      <c r="K92" s="84"/>
      <c r="L92" s="140">
        <f t="shared" si="35"/>
        <v>7.7</v>
      </c>
      <c r="M92" s="86">
        <v>7.71</v>
      </c>
      <c r="N92" s="86">
        <v>7.62</v>
      </c>
      <c r="O92" s="86"/>
      <c r="P92" s="86"/>
      <c r="Q92" s="86"/>
      <c r="R92" s="86"/>
      <c r="S92" s="86"/>
      <c r="T92" s="86"/>
      <c r="U92" s="142">
        <f t="shared" si="36"/>
        <v>1431.5</v>
      </c>
      <c r="V92" s="88">
        <v>1498</v>
      </c>
      <c r="W92" s="88">
        <v>1365</v>
      </c>
      <c r="X92" s="88"/>
      <c r="Y92" s="88"/>
      <c r="Z92" s="88"/>
      <c r="AA92" s="88"/>
      <c r="AB92" s="88"/>
      <c r="AC92" s="88"/>
      <c r="AD92" s="142" t="str">
        <f t="shared" si="37"/>
        <v/>
      </c>
      <c r="AE92" s="88"/>
      <c r="AF92" s="88"/>
      <c r="AG92" s="88"/>
      <c r="AH92" s="88"/>
      <c r="AI92" s="88"/>
      <c r="AJ92" s="88"/>
      <c r="AK92" s="88"/>
      <c r="AL92" s="88"/>
      <c r="AM92" s="88">
        <v>38.787081929492977</v>
      </c>
      <c r="AN92" s="88">
        <v>121.69</v>
      </c>
      <c r="AO92" s="89"/>
      <c r="AP92" s="90"/>
      <c r="AQ92" s="146" t="str">
        <f t="shared" si="38"/>
        <v/>
      </c>
      <c r="AR92" s="146" t="str">
        <f t="shared" si="39"/>
        <v/>
      </c>
      <c r="AS92" s="147">
        <v>25</v>
      </c>
      <c r="AT92" s="148" t="s">
        <v>106</v>
      </c>
      <c r="AU92" s="149" t="s">
        <v>56</v>
      </c>
      <c r="AV92" s="146" t="str">
        <f t="shared" si="40"/>
        <v/>
      </c>
      <c r="AW92" s="146" t="str">
        <f t="shared" si="41"/>
        <v/>
      </c>
      <c r="AX92" s="138" t="str">
        <f t="shared" si="42"/>
        <v/>
      </c>
      <c r="AY92" s="95" t="s">
        <v>56</v>
      </c>
      <c r="AZ92" s="96">
        <v>61.76</v>
      </c>
      <c r="BA92" s="96"/>
      <c r="BB92" s="96">
        <v>52</v>
      </c>
      <c r="BC92" s="96"/>
      <c r="BD92" s="97">
        <v>121.69</v>
      </c>
      <c r="BE92" s="142">
        <f t="shared" si="43"/>
        <v>11985</v>
      </c>
      <c r="BF92" s="98">
        <v>365</v>
      </c>
      <c r="BG92" s="98">
        <v>0</v>
      </c>
      <c r="BH92" s="98">
        <v>6738</v>
      </c>
      <c r="BI92" s="98">
        <v>4882</v>
      </c>
      <c r="BJ92" s="98"/>
      <c r="BK92" s="98"/>
      <c r="BL92" s="98"/>
    </row>
    <row r="93" spans="1:64" outlineLevel="5" x14ac:dyDescent="0.3">
      <c r="A93" s="152">
        <f t="shared" si="45"/>
        <v>3</v>
      </c>
      <c r="B93" s="153">
        <f t="shared" si="44"/>
        <v>44629</v>
      </c>
      <c r="C93" s="138"/>
      <c r="D93" s="84">
        <v>38</v>
      </c>
      <c r="E93" s="84">
        <v>38</v>
      </c>
      <c r="F93" s="84"/>
      <c r="G93" s="84"/>
      <c r="H93" s="84"/>
      <c r="I93" s="84"/>
      <c r="J93" s="84"/>
      <c r="K93" s="84"/>
      <c r="L93" s="140" t="str">
        <f t="shared" si="35"/>
        <v/>
      </c>
      <c r="M93" s="86"/>
      <c r="N93" s="86"/>
      <c r="O93" s="86"/>
      <c r="P93" s="86"/>
      <c r="Q93" s="86"/>
      <c r="R93" s="86"/>
      <c r="S93" s="86"/>
      <c r="T93" s="86"/>
      <c r="U93" s="142" t="str">
        <f t="shared" si="36"/>
        <v/>
      </c>
      <c r="V93" s="88"/>
      <c r="W93" s="88"/>
      <c r="X93" s="88"/>
      <c r="Y93" s="88"/>
      <c r="Z93" s="88"/>
      <c r="AA93" s="88"/>
      <c r="AB93" s="88"/>
      <c r="AC93" s="88"/>
      <c r="AD93" s="142" t="str">
        <f t="shared" si="37"/>
        <v/>
      </c>
      <c r="AE93" s="88"/>
      <c r="AF93" s="88"/>
      <c r="AG93" s="88"/>
      <c r="AH93" s="88"/>
      <c r="AI93" s="88"/>
      <c r="AJ93" s="88"/>
      <c r="AK93" s="88"/>
      <c r="AL93" s="88"/>
      <c r="AM93" s="88">
        <v>38.644178811200256</v>
      </c>
      <c r="AN93" s="88">
        <v>122.14000000000001</v>
      </c>
      <c r="AO93" s="89"/>
      <c r="AP93" s="90"/>
      <c r="AQ93" s="146" t="str">
        <f t="shared" si="38"/>
        <v/>
      </c>
      <c r="AR93" s="146" t="str">
        <f t="shared" si="39"/>
        <v/>
      </c>
      <c r="AS93" s="147">
        <v>20</v>
      </c>
      <c r="AT93" s="148" t="s">
        <v>106</v>
      </c>
      <c r="AU93" s="149" t="s">
        <v>56</v>
      </c>
      <c r="AV93" s="146" t="str">
        <f t="shared" si="40"/>
        <v/>
      </c>
      <c r="AW93" s="146" t="str">
        <f t="shared" si="41"/>
        <v/>
      </c>
      <c r="AX93" s="138" t="str">
        <f t="shared" si="42"/>
        <v/>
      </c>
      <c r="AY93" s="95" t="s">
        <v>56</v>
      </c>
      <c r="AZ93" s="96" t="s">
        <v>56</v>
      </c>
      <c r="BA93" s="96"/>
      <c r="BB93" s="96" t="s">
        <v>56</v>
      </c>
      <c r="BC93" s="96"/>
      <c r="BD93" s="97">
        <v>122.14000000000001</v>
      </c>
      <c r="BE93" s="142">
        <f t="shared" si="43"/>
        <v>14076</v>
      </c>
      <c r="BF93" s="98">
        <v>741</v>
      </c>
      <c r="BG93" s="98">
        <v>0</v>
      </c>
      <c r="BH93" s="98">
        <v>8138</v>
      </c>
      <c r="BI93" s="98">
        <v>5197</v>
      </c>
      <c r="BJ93" s="98"/>
      <c r="BK93" s="98"/>
      <c r="BL93" s="98"/>
    </row>
    <row r="94" spans="1:64" outlineLevel="5" x14ac:dyDescent="0.3">
      <c r="A94" s="152">
        <f t="shared" si="45"/>
        <v>3</v>
      </c>
      <c r="B94" s="153">
        <f t="shared" si="44"/>
        <v>44630</v>
      </c>
      <c r="C94" s="138"/>
      <c r="D94" s="84">
        <v>39</v>
      </c>
      <c r="E94" s="84">
        <v>39</v>
      </c>
      <c r="F94" s="84"/>
      <c r="G94" s="84"/>
      <c r="H94" s="84"/>
      <c r="I94" s="84"/>
      <c r="J94" s="84"/>
      <c r="K94" s="84"/>
      <c r="L94" s="140">
        <f t="shared" si="35"/>
        <v>7.8</v>
      </c>
      <c r="M94" s="86">
        <v>7.91</v>
      </c>
      <c r="N94" s="86">
        <v>7.68</v>
      </c>
      <c r="O94" s="86"/>
      <c r="P94" s="86"/>
      <c r="Q94" s="86"/>
      <c r="R94" s="86"/>
      <c r="S94" s="86"/>
      <c r="T94" s="86"/>
      <c r="U94" s="142">
        <f t="shared" si="36"/>
        <v>1413</v>
      </c>
      <c r="V94" s="88">
        <v>1497</v>
      </c>
      <c r="W94" s="88">
        <v>1329</v>
      </c>
      <c r="X94" s="88"/>
      <c r="Y94" s="88"/>
      <c r="Z94" s="88"/>
      <c r="AA94" s="88"/>
      <c r="AB94" s="88"/>
      <c r="AC94" s="88"/>
      <c r="AD94" s="142" t="str">
        <f t="shared" si="37"/>
        <v/>
      </c>
      <c r="AE94" s="88"/>
      <c r="AF94" s="88"/>
      <c r="AG94" s="88"/>
      <c r="AH94" s="88"/>
      <c r="AI94" s="88"/>
      <c r="AJ94" s="88"/>
      <c r="AK94" s="88"/>
      <c r="AL94" s="88"/>
      <c r="AM94" s="88">
        <v>40.66161268090972</v>
      </c>
      <c r="AN94" s="88">
        <v>116.08</v>
      </c>
      <c r="AO94" s="89"/>
      <c r="AP94" s="90"/>
      <c r="AQ94" s="146" t="str">
        <f t="shared" si="38"/>
        <v/>
      </c>
      <c r="AR94" s="146" t="str">
        <f t="shared" si="39"/>
        <v/>
      </c>
      <c r="AS94" s="147">
        <v>20</v>
      </c>
      <c r="AT94" s="148">
        <v>16.45</v>
      </c>
      <c r="AU94" s="149">
        <v>9.0807500000000001</v>
      </c>
      <c r="AV94" s="146">
        <f t="shared" si="40"/>
        <v>55.202127659574472</v>
      </c>
      <c r="AW94" s="146">
        <f t="shared" si="41"/>
        <v>44.797872340425528</v>
      </c>
      <c r="AX94" s="138" t="str">
        <f t="shared" si="42"/>
        <v/>
      </c>
      <c r="AY94" s="95">
        <v>74.95</v>
      </c>
      <c r="AZ94" s="96" t="s">
        <v>56</v>
      </c>
      <c r="BA94" s="96"/>
      <c r="BB94" s="96" t="s">
        <v>56</v>
      </c>
      <c r="BC94" s="96"/>
      <c r="BD94" s="97">
        <v>116.08</v>
      </c>
      <c r="BE94" s="142">
        <f t="shared" si="43"/>
        <v>11480</v>
      </c>
      <c r="BF94" s="98">
        <v>900</v>
      </c>
      <c r="BG94" s="98">
        <v>0</v>
      </c>
      <c r="BH94" s="98">
        <v>5534</v>
      </c>
      <c r="BI94" s="98">
        <v>5046</v>
      </c>
      <c r="BJ94" s="98"/>
      <c r="BK94" s="98"/>
      <c r="BL94" s="98"/>
    </row>
    <row r="95" spans="1:64" outlineLevel="5" x14ac:dyDescent="0.3">
      <c r="A95" s="152">
        <f t="shared" si="45"/>
        <v>3</v>
      </c>
      <c r="B95" s="153">
        <f t="shared" si="44"/>
        <v>44631</v>
      </c>
      <c r="C95" s="138"/>
      <c r="D95" s="84">
        <v>37</v>
      </c>
      <c r="E95" s="84">
        <v>37</v>
      </c>
      <c r="F95" s="84"/>
      <c r="G95" s="84"/>
      <c r="H95" s="84"/>
      <c r="I95" s="84"/>
      <c r="J95" s="84"/>
      <c r="K95" s="84"/>
      <c r="L95" s="140">
        <f t="shared" si="35"/>
        <v>7.9</v>
      </c>
      <c r="M95" s="86">
        <v>7.93</v>
      </c>
      <c r="N95" s="86">
        <v>7.82</v>
      </c>
      <c r="O95" s="86"/>
      <c r="P95" s="86"/>
      <c r="Q95" s="86"/>
      <c r="R95" s="86"/>
      <c r="S95" s="86"/>
      <c r="T95" s="86"/>
      <c r="U95" s="142">
        <f t="shared" si="36"/>
        <v>1388</v>
      </c>
      <c r="V95" s="88">
        <v>1478</v>
      </c>
      <c r="W95" s="88">
        <v>1298</v>
      </c>
      <c r="X95" s="88"/>
      <c r="Y95" s="88"/>
      <c r="Z95" s="88"/>
      <c r="AA95" s="88"/>
      <c r="AB95" s="88"/>
      <c r="AC95" s="88"/>
      <c r="AD95" s="142" t="str">
        <f t="shared" si="37"/>
        <v/>
      </c>
      <c r="AE95" s="88"/>
      <c r="AF95" s="88"/>
      <c r="AG95" s="88"/>
      <c r="AH95" s="88"/>
      <c r="AI95" s="88"/>
      <c r="AJ95" s="88"/>
      <c r="AK95" s="88"/>
      <c r="AL95" s="88"/>
      <c r="AM95" s="88">
        <v>31.347545991897459</v>
      </c>
      <c r="AN95" s="88">
        <v>150.57</v>
      </c>
      <c r="AO95" s="89"/>
      <c r="AP95" s="90"/>
      <c r="AQ95" s="146" t="str">
        <f t="shared" si="38"/>
        <v/>
      </c>
      <c r="AR95" s="146" t="str">
        <f t="shared" si="39"/>
        <v/>
      </c>
      <c r="AS95" s="147">
        <v>30</v>
      </c>
      <c r="AT95" s="148" t="s">
        <v>106</v>
      </c>
      <c r="AU95" s="149" t="s">
        <v>56</v>
      </c>
      <c r="AV95" s="146" t="str">
        <f t="shared" si="40"/>
        <v/>
      </c>
      <c r="AW95" s="146" t="str">
        <f t="shared" si="41"/>
        <v/>
      </c>
      <c r="AX95" s="138" t="str">
        <f t="shared" si="42"/>
        <v/>
      </c>
      <c r="AY95" s="95" t="s">
        <v>56</v>
      </c>
      <c r="AZ95" s="96" t="s">
        <v>56</v>
      </c>
      <c r="BA95" s="96"/>
      <c r="BB95" s="96" t="s">
        <v>56</v>
      </c>
      <c r="BC95" s="96"/>
      <c r="BD95" s="97">
        <v>150.57</v>
      </c>
      <c r="BE95" s="142">
        <f t="shared" si="43"/>
        <v>11937</v>
      </c>
      <c r="BF95" s="98">
        <v>616</v>
      </c>
      <c r="BG95" s="98">
        <v>0</v>
      </c>
      <c r="BH95" s="98">
        <v>6266</v>
      </c>
      <c r="BI95" s="98">
        <v>5055</v>
      </c>
      <c r="BJ95" s="98"/>
      <c r="BK95" s="98"/>
      <c r="BL95" s="98"/>
    </row>
    <row r="96" spans="1:64" outlineLevel="5" x14ac:dyDescent="0.3">
      <c r="A96" s="152">
        <f t="shared" si="45"/>
        <v>3</v>
      </c>
      <c r="B96" s="153">
        <f t="shared" si="44"/>
        <v>44632</v>
      </c>
      <c r="C96" s="138"/>
      <c r="D96" s="84">
        <v>37</v>
      </c>
      <c r="E96" s="84">
        <v>37</v>
      </c>
      <c r="F96" s="84"/>
      <c r="G96" s="84"/>
      <c r="H96" s="84"/>
      <c r="I96" s="84"/>
      <c r="J96" s="84"/>
      <c r="K96" s="84"/>
      <c r="L96" s="140" t="str">
        <f t="shared" si="35"/>
        <v/>
      </c>
      <c r="M96" s="86"/>
      <c r="N96" s="86"/>
      <c r="O96" s="86"/>
      <c r="P96" s="86"/>
      <c r="Q96" s="86"/>
      <c r="R96" s="86"/>
      <c r="S96" s="86"/>
      <c r="T96" s="86"/>
      <c r="U96" s="142" t="str">
        <f t="shared" si="36"/>
        <v/>
      </c>
      <c r="V96" s="88"/>
      <c r="W96" s="88"/>
      <c r="X96" s="88"/>
      <c r="Y96" s="88"/>
      <c r="Z96" s="88"/>
      <c r="AA96" s="88"/>
      <c r="AB96" s="88"/>
      <c r="AC96" s="88"/>
      <c r="AD96" s="142" t="str">
        <f t="shared" si="37"/>
        <v/>
      </c>
      <c r="AE96" s="88"/>
      <c r="AF96" s="88"/>
      <c r="AG96" s="88"/>
      <c r="AH96" s="88"/>
      <c r="AI96" s="88"/>
      <c r="AJ96" s="88"/>
      <c r="AK96" s="88"/>
      <c r="AL96" s="88"/>
      <c r="AM96" s="88">
        <v>37.098168670910951</v>
      </c>
      <c r="AN96" s="88">
        <v>127.23</v>
      </c>
      <c r="AO96" s="89"/>
      <c r="AP96" s="90"/>
      <c r="AQ96" s="146" t="str">
        <f t="shared" si="38"/>
        <v/>
      </c>
      <c r="AR96" s="146" t="str">
        <f t="shared" si="39"/>
        <v/>
      </c>
      <c r="AS96" s="147">
        <v>10</v>
      </c>
      <c r="AT96" s="148" t="s">
        <v>106</v>
      </c>
      <c r="AU96" s="149" t="s">
        <v>56</v>
      </c>
      <c r="AV96" s="146" t="str">
        <f t="shared" si="40"/>
        <v/>
      </c>
      <c r="AW96" s="146" t="str">
        <f t="shared" si="41"/>
        <v/>
      </c>
      <c r="AX96" s="138" t="str">
        <f t="shared" si="42"/>
        <v/>
      </c>
      <c r="AY96" s="95" t="s">
        <v>56</v>
      </c>
      <c r="AZ96" s="96" t="s">
        <v>56</v>
      </c>
      <c r="BA96" s="96"/>
      <c r="BB96" s="96" t="s">
        <v>56</v>
      </c>
      <c r="BC96" s="96"/>
      <c r="BD96" s="97">
        <v>127.23</v>
      </c>
      <c r="BE96" s="142">
        <f t="shared" si="43"/>
        <v>6637</v>
      </c>
      <c r="BF96" s="98">
        <v>387</v>
      </c>
      <c r="BG96" s="98">
        <v>0</v>
      </c>
      <c r="BH96" s="98">
        <v>1288</v>
      </c>
      <c r="BI96" s="98">
        <v>4962</v>
      </c>
      <c r="BJ96" s="98"/>
      <c r="BK96" s="98"/>
      <c r="BL96" s="98"/>
    </row>
    <row r="97" spans="1:64" outlineLevel="5" x14ac:dyDescent="0.3">
      <c r="A97" s="152">
        <f t="shared" si="45"/>
        <v>3</v>
      </c>
      <c r="B97" s="153">
        <f t="shared" si="44"/>
        <v>44633</v>
      </c>
      <c r="C97" s="138"/>
      <c r="D97" s="84">
        <v>38</v>
      </c>
      <c r="E97" s="84">
        <v>38</v>
      </c>
      <c r="F97" s="84"/>
      <c r="G97" s="84"/>
      <c r="H97" s="84"/>
      <c r="I97" s="84"/>
      <c r="J97" s="84"/>
      <c r="K97" s="84"/>
      <c r="L97" s="140" t="str">
        <f t="shared" si="35"/>
        <v/>
      </c>
      <c r="M97" s="86"/>
      <c r="N97" s="86"/>
      <c r="O97" s="86"/>
      <c r="P97" s="86"/>
      <c r="Q97" s="86"/>
      <c r="R97" s="86"/>
      <c r="S97" s="86"/>
      <c r="T97" s="86"/>
      <c r="U97" s="142" t="str">
        <f t="shared" si="36"/>
        <v/>
      </c>
      <c r="V97" s="88"/>
      <c r="W97" s="88"/>
      <c r="X97" s="88"/>
      <c r="Y97" s="88"/>
      <c r="Z97" s="88"/>
      <c r="AA97" s="88"/>
      <c r="AB97" s="88"/>
      <c r="AC97" s="88"/>
      <c r="AD97" s="142" t="str">
        <f t="shared" si="37"/>
        <v/>
      </c>
      <c r="AE97" s="88"/>
      <c r="AF97" s="88"/>
      <c r="AG97" s="88"/>
      <c r="AH97" s="88"/>
      <c r="AI97" s="88"/>
      <c r="AJ97" s="88"/>
      <c r="AK97" s="88"/>
      <c r="AL97" s="88"/>
      <c r="AM97" s="88">
        <v>36.307692307692307</v>
      </c>
      <c r="AN97" s="88">
        <v>130</v>
      </c>
      <c r="AO97" s="89"/>
      <c r="AP97" s="90"/>
      <c r="AQ97" s="146" t="str">
        <f t="shared" si="38"/>
        <v/>
      </c>
      <c r="AR97" s="146" t="str">
        <f t="shared" si="39"/>
        <v/>
      </c>
      <c r="AS97" s="147">
        <v>0</v>
      </c>
      <c r="AT97" s="148" t="s">
        <v>106</v>
      </c>
      <c r="AU97" s="149" t="s">
        <v>56</v>
      </c>
      <c r="AV97" s="146" t="str">
        <f t="shared" si="40"/>
        <v/>
      </c>
      <c r="AW97" s="146" t="str">
        <f t="shared" si="41"/>
        <v/>
      </c>
      <c r="AX97" s="138" t="str">
        <f t="shared" si="42"/>
        <v/>
      </c>
      <c r="AY97" s="95" t="s">
        <v>56</v>
      </c>
      <c r="AZ97" s="96" t="s">
        <v>56</v>
      </c>
      <c r="BA97" s="96"/>
      <c r="BB97" s="96" t="s">
        <v>56</v>
      </c>
      <c r="BC97" s="96"/>
      <c r="BD97" s="97">
        <v>130</v>
      </c>
      <c r="BE97" s="142">
        <f t="shared" si="43"/>
        <v>5529</v>
      </c>
      <c r="BF97" s="98">
        <v>191</v>
      </c>
      <c r="BG97" s="98">
        <v>0</v>
      </c>
      <c r="BH97" s="98">
        <v>606</v>
      </c>
      <c r="BI97" s="98">
        <v>4732</v>
      </c>
      <c r="BJ97" s="98"/>
      <c r="BK97" s="98"/>
      <c r="BL97" s="98"/>
    </row>
    <row r="98" spans="1:64" outlineLevel="5" x14ac:dyDescent="0.3">
      <c r="A98" s="152">
        <f t="shared" si="45"/>
        <v>3</v>
      </c>
      <c r="B98" s="153">
        <f t="shared" si="44"/>
        <v>44634</v>
      </c>
      <c r="C98" s="138"/>
      <c r="D98" s="84">
        <v>39</v>
      </c>
      <c r="E98" s="84">
        <v>39</v>
      </c>
      <c r="F98" s="84"/>
      <c r="G98" s="84"/>
      <c r="H98" s="84"/>
      <c r="I98" s="84"/>
      <c r="J98" s="84"/>
      <c r="K98" s="84"/>
      <c r="L98" s="140">
        <f t="shared" si="35"/>
        <v>8.1999999999999993</v>
      </c>
      <c r="M98" s="86">
        <v>8.25</v>
      </c>
      <c r="N98" s="86">
        <v>8.19</v>
      </c>
      <c r="O98" s="86"/>
      <c r="P98" s="86"/>
      <c r="Q98" s="86"/>
      <c r="R98" s="86"/>
      <c r="S98" s="86"/>
      <c r="T98" s="86"/>
      <c r="U98" s="142">
        <f t="shared" si="36"/>
        <v>1430</v>
      </c>
      <c r="V98" s="88">
        <v>1470</v>
      </c>
      <c r="W98" s="88">
        <v>1390</v>
      </c>
      <c r="X98" s="88"/>
      <c r="Y98" s="88"/>
      <c r="Z98" s="88"/>
      <c r="AA98" s="88"/>
      <c r="AB98" s="88"/>
      <c r="AC98" s="88"/>
      <c r="AD98" s="142" t="str">
        <f t="shared" si="37"/>
        <v/>
      </c>
      <c r="AE98" s="88"/>
      <c r="AF98" s="88"/>
      <c r="AG98" s="88"/>
      <c r="AH98" s="88"/>
      <c r="AI98" s="88"/>
      <c r="AJ98" s="88"/>
      <c r="AK98" s="88"/>
      <c r="AL98" s="88"/>
      <c r="AM98" s="88">
        <v>40.146295823764568</v>
      </c>
      <c r="AN98" s="88">
        <v>117.57</v>
      </c>
      <c r="AO98" s="89">
        <v>27.7</v>
      </c>
      <c r="AP98" s="90">
        <v>21.190499999999997</v>
      </c>
      <c r="AQ98" s="146">
        <f t="shared" si="38"/>
        <v>76.499999999999986</v>
      </c>
      <c r="AR98" s="146">
        <f t="shared" si="39"/>
        <v>23.500000000000014</v>
      </c>
      <c r="AS98" s="147">
        <v>20</v>
      </c>
      <c r="AT98" s="148">
        <v>16.55</v>
      </c>
      <c r="AU98" s="149">
        <v>9.1603500000000011</v>
      </c>
      <c r="AV98" s="146">
        <f t="shared" si="40"/>
        <v>55.349546827794569</v>
      </c>
      <c r="AW98" s="146">
        <f t="shared" si="41"/>
        <v>44.650453172205431</v>
      </c>
      <c r="AX98" s="138">
        <f t="shared" si="42"/>
        <v>61.920202912313862</v>
      </c>
      <c r="AY98" s="95" t="s">
        <v>56</v>
      </c>
      <c r="AZ98" s="96" t="s">
        <v>56</v>
      </c>
      <c r="BA98" s="96"/>
      <c r="BB98" s="96" t="s">
        <v>56</v>
      </c>
      <c r="BC98" s="96"/>
      <c r="BD98" s="97">
        <v>117.57</v>
      </c>
      <c r="BE98" s="142">
        <f t="shared" si="43"/>
        <v>6508</v>
      </c>
      <c r="BF98" s="98">
        <v>184</v>
      </c>
      <c r="BG98" s="98">
        <v>0</v>
      </c>
      <c r="BH98" s="98">
        <v>1638</v>
      </c>
      <c r="BI98" s="98">
        <v>4686</v>
      </c>
      <c r="BJ98" s="98"/>
      <c r="BK98" s="98"/>
      <c r="BL98" s="98"/>
    </row>
    <row r="99" spans="1:64" outlineLevel="5" x14ac:dyDescent="0.3">
      <c r="A99" s="152">
        <f t="shared" si="45"/>
        <v>3</v>
      </c>
      <c r="B99" s="153">
        <f t="shared" si="44"/>
        <v>44635</v>
      </c>
      <c r="C99" s="138"/>
      <c r="D99" s="84">
        <v>38</v>
      </c>
      <c r="E99" s="84">
        <v>38</v>
      </c>
      <c r="F99" s="84"/>
      <c r="G99" s="84"/>
      <c r="H99" s="84"/>
      <c r="I99" s="84"/>
      <c r="J99" s="84"/>
      <c r="K99" s="84"/>
      <c r="L99" s="140">
        <f t="shared" si="35"/>
        <v>8.1999999999999993</v>
      </c>
      <c r="M99" s="86">
        <v>8.25</v>
      </c>
      <c r="N99" s="86">
        <v>8.16</v>
      </c>
      <c r="O99" s="86"/>
      <c r="P99" s="86"/>
      <c r="Q99" s="86"/>
      <c r="R99" s="86"/>
      <c r="S99" s="86"/>
      <c r="T99" s="86"/>
      <c r="U99" s="142">
        <f t="shared" si="36"/>
        <v>1468.5</v>
      </c>
      <c r="V99" s="88">
        <v>1514</v>
      </c>
      <c r="W99" s="88">
        <v>1423</v>
      </c>
      <c r="X99" s="88"/>
      <c r="Y99" s="88"/>
      <c r="Z99" s="88"/>
      <c r="AA99" s="88"/>
      <c r="AB99" s="88"/>
      <c r="AC99" s="88"/>
      <c r="AD99" s="142" t="str">
        <f t="shared" si="37"/>
        <v/>
      </c>
      <c r="AE99" s="88"/>
      <c r="AF99" s="88"/>
      <c r="AG99" s="88"/>
      <c r="AH99" s="88"/>
      <c r="AI99" s="88"/>
      <c r="AJ99" s="88"/>
      <c r="AK99" s="88"/>
      <c r="AL99" s="88"/>
      <c r="AM99" s="88">
        <v>44.269367848433689</v>
      </c>
      <c r="AN99" s="88">
        <v>106.62</v>
      </c>
      <c r="AO99" s="89"/>
      <c r="AP99" s="90"/>
      <c r="AQ99" s="146" t="str">
        <f t="shared" si="38"/>
        <v/>
      </c>
      <c r="AR99" s="146" t="str">
        <f t="shared" si="39"/>
        <v/>
      </c>
      <c r="AS99" s="147">
        <v>30</v>
      </c>
      <c r="AT99" s="148" t="s">
        <v>106</v>
      </c>
      <c r="AU99" s="149" t="s">
        <v>56</v>
      </c>
      <c r="AV99" s="146" t="str">
        <f t="shared" si="40"/>
        <v/>
      </c>
      <c r="AW99" s="146" t="str">
        <f t="shared" si="41"/>
        <v/>
      </c>
      <c r="AX99" s="138" t="str">
        <f t="shared" si="42"/>
        <v/>
      </c>
      <c r="AY99" s="95" t="s">
        <v>56</v>
      </c>
      <c r="AZ99" s="96" t="s">
        <v>56</v>
      </c>
      <c r="BA99" s="96"/>
      <c r="BB99" s="96" t="s">
        <v>56</v>
      </c>
      <c r="BC99" s="96"/>
      <c r="BD99" s="97">
        <v>106.62</v>
      </c>
      <c r="BE99" s="142">
        <f t="shared" si="43"/>
        <v>9709</v>
      </c>
      <c r="BF99" s="98">
        <v>342</v>
      </c>
      <c r="BG99" s="98">
        <v>0</v>
      </c>
      <c r="BH99" s="98">
        <v>4539</v>
      </c>
      <c r="BI99" s="98">
        <v>4828</v>
      </c>
      <c r="BJ99" s="98"/>
      <c r="BK99" s="98"/>
      <c r="BL99" s="98"/>
    </row>
    <row r="100" spans="1:64" outlineLevel="5" x14ac:dyDescent="0.3">
      <c r="A100" s="152">
        <f t="shared" si="45"/>
        <v>3</v>
      </c>
      <c r="B100" s="153">
        <f t="shared" si="44"/>
        <v>44636</v>
      </c>
      <c r="C100" s="138"/>
      <c r="D100" s="84">
        <v>39</v>
      </c>
      <c r="E100" s="84">
        <v>40</v>
      </c>
      <c r="F100" s="84"/>
      <c r="G100" s="84"/>
      <c r="H100" s="84"/>
      <c r="I100" s="84"/>
      <c r="J100" s="84"/>
      <c r="K100" s="84"/>
      <c r="L100" s="140">
        <f t="shared" si="35"/>
        <v>8.1999999999999993</v>
      </c>
      <c r="M100" s="86">
        <v>8.19</v>
      </c>
      <c r="N100" s="86">
        <v>8.15</v>
      </c>
      <c r="O100" s="86"/>
      <c r="P100" s="86"/>
      <c r="Q100" s="86"/>
      <c r="R100" s="86"/>
      <c r="S100" s="86"/>
      <c r="T100" s="86"/>
      <c r="U100" s="142">
        <f t="shared" si="36"/>
        <v>1480.5</v>
      </c>
      <c r="V100" s="88">
        <v>1541</v>
      </c>
      <c r="W100" s="88">
        <v>1420</v>
      </c>
      <c r="X100" s="88"/>
      <c r="Y100" s="88"/>
      <c r="Z100" s="88"/>
      <c r="AA100" s="88"/>
      <c r="AB100" s="88"/>
      <c r="AC100" s="88"/>
      <c r="AD100" s="142">
        <f t="shared" si="37"/>
        <v>8450</v>
      </c>
      <c r="AE100" s="88">
        <v>8600</v>
      </c>
      <c r="AF100" s="88">
        <v>8300</v>
      </c>
      <c r="AG100" s="88"/>
      <c r="AH100" s="88"/>
      <c r="AI100" s="88"/>
      <c r="AJ100" s="88"/>
      <c r="AK100" s="88"/>
      <c r="AL100" s="88"/>
      <c r="AM100" s="88">
        <v>36.104949131798357</v>
      </c>
      <c r="AN100" s="88">
        <v>130.73000000000002</v>
      </c>
      <c r="AO100" s="89"/>
      <c r="AP100" s="90"/>
      <c r="AQ100" s="146" t="str">
        <f t="shared" si="38"/>
        <v/>
      </c>
      <c r="AR100" s="146" t="str">
        <f t="shared" si="39"/>
        <v/>
      </c>
      <c r="AS100" s="147">
        <v>25</v>
      </c>
      <c r="AT100" s="148">
        <v>15.100000000000001</v>
      </c>
      <c r="AU100" s="149">
        <v>9.1212999999999997</v>
      </c>
      <c r="AV100" s="146">
        <f t="shared" si="40"/>
        <v>60.405960264900656</v>
      </c>
      <c r="AW100" s="146">
        <f t="shared" si="41"/>
        <v>39.594039735099344</v>
      </c>
      <c r="AX100" s="138" t="str">
        <f t="shared" si="42"/>
        <v/>
      </c>
      <c r="AY100" s="95">
        <v>77.55</v>
      </c>
      <c r="AZ100" s="96" t="s">
        <v>56</v>
      </c>
      <c r="BA100" s="96"/>
      <c r="BB100" s="96" t="s">
        <v>56</v>
      </c>
      <c r="BC100" s="96"/>
      <c r="BD100" s="97">
        <v>130.73000000000002</v>
      </c>
      <c r="BE100" s="142">
        <f t="shared" si="43"/>
        <v>10757</v>
      </c>
      <c r="BF100" s="98">
        <v>390</v>
      </c>
      <c r="BG100" s="98">
        <v>0</v>
      </c>
      <c r="BH100" s="98">
        <v>5423</v>
      </c>
      <c r="BI100" s="98">
        <v>4944</v>
      </c>
      <c r="BJ100" s="98"/>
      <c r="BK100" s="98"/>
      <c r="BL100" s="98"/>
    </row>
    <row r="101" spans="1:64" outlineLevel="5" x14ac:dyDescent="0.3">
      <c r="A101" s="152">
        <f t="shared" si="45"/>
        <v>3</v>
      </c>
      <c r="B101" s="153">
        <f t="shared" si="44"/>
        <v>44637</v>
      </c>
      <c r="C101" s="138"/>
      <c r="D101" s="84">
        <v>40</v>
      </c>
      <c r="E101" s="84">
        <v>39</v>
      </c>
      <c r="F101" s="84"/>
      <c r="G101" s="84"/>
      <c r="H101" s="84"/>
      <c r="I101" s="84"/>
      <c r="J101" s="84"/>
      <c r="K101" s="84"/>
      <c r="L101" s="140">
        <f t="shared" si="35"/>
        <v>8.1999999999999993</v>
      </c>
      <c r="M101" s="86">
        <v>8.24</v>
      </c>
      <c r="N101" s="86">
        <v>8.15</v>
      </c>
      <c r="O101" s="86"/>
      <c r="P101" s="86"/>
      <c r="Q101" s="86"/>
      <c r="R101" s="86"/>
      <c r="S101" s="86"/>
      <c r="T101" s="86"/>
      <c r="U101" s="142">
        <f t="shared" si="36"/>
        <v>1434</v>
      </c>
      <c r="V101" s="88">
        <v>1458</v>
      </c>
      <c r="W101" s="88">
        <v>1410</v>
      </c>
      <c r="X101" s="88"/>
      <c r="Y101" s="88"/>
      <c r="Z101" s="88"/>
      <c r="AA101" s="88"/>
      <c r="AB101" s="88"/>
      <c r="AC101" s="88"/>
      <c r="AD101" s="142" t="str">
        <f t="shared" si="37"/>
        <v/>
      </c>
      <c r="AE101" s="88"/>
      <c r="AF101" s="88"/>
      <c r="AG101" s="88"/>
      <c r="AH101" s="88"/>
      <c r="AI101" s="88"/>
      <c r="AJ101" s="88"/>
      <c r="AK101" s="88"/>
      <c r="AL101" s="88"/>
      <c r="AM101" s="88">
        <v>36.332845816334384</v>
      </c>
      <c r="AN101" s="88">
        <v>129.91</v>
      </c>
      <c r="AO101" s="89"/>
      <c r="AP101" s="90"/>
      <c r="AQ101" s="146" t="str">
        <f t="shared" si="38"/>
        <v/>
      </c>
      <c r="AR101" s="146" t="str">
        <f t="shared" si="39"/>
        <v/>
      </c>
      <c r="AS101" s="147">
        <v>20</v>
      </c>
      <c r="AT101" s="148">
        <v>13.9</v>
      </c>
      <c r="AU101" s="149">
        <v>8.3048999999999999</v>
      </c>
      <c r="AV101" s="146">
        <f t="shared" si="40"/>
        <v>59.747482014388488</v>
      </c>
      <c r="AW101" s="146">
        <f t="shared" si="41"/>
        <v>40.252517985611512</v>
      </c>
      <c r="AX101" s="138" t="str">
        <f t="shared" si="42"/>
        <v/>
      </c>
      <c r="AY101" s="95">
        <v>77.400000000000006</v>
      </c>
      <c r="AZ101" s="96" t="s">
        <v>56</v>
      </c>
      <c r="BA101" s="96"/>
      <c r="BB101" s="96" t="s">
        <v>56</v>
      </c>
      <c r="BC101" s="96"/>
      <c r="BD101" s="97">
        <v>129.91</v>
      </c>
      <c r="BE101" s="142">
        <f t="shared" si="43"/>
        <v>11087</v>
      </c>
      <c r="BF101" s="98">
        <v>198</v>
      </c>
      <c r="BG101" s="98">
        <v>0</v>
      </c>
      <c r="BH101" s="98">
        <v>6005</v>
      </c>
      <c r="BI101" s="98">
        <v>4884</v>
      </c>
      <c r="BJ101" s="98"/>
      <c r="BK101" s="98"/>
      <c r="BL101" s="98"/>
    </row>
    <row r="102" spans="1:64" outlineLevel="5" x14ac:dyDescent="0.3">
      <c r="A102" s="152">
        <f t="shared" si="45"/>
        <v>3</v>
      </c>
      <c r="B102" s="153">
        <f t="shared" si="44"/>
        <v>44638</v>
      </c>
      <c r="C102" s="138"/>
      <c r="D102" s="84">
        <v>39</v>
      </c>
      <c r="E102" s="84">
        <v>39</v>
      </c>
      <c r="F102" s="84"/>
      <c r="G102" s="84"/>
      <c r="H102" s="84"/>
      <c r="I102" s="84"/>
      <c r="J102" s="84"/>
      <c r="K102" s="84"/>
      <c r="L102" s="140" t="str">
        <f t="shared" si="35"/>
        <v/>
      </c>
      <c r="M102" s="86"/>
      <c r="N102" s="86"/>
      <c r="O102" s="86"/>
      <c r="P102" s="86"/>
      <c r="Q102" s="86"/>
      <c r="R102" s="86"/>
      <c r="S102" s="86"/>
      <c r="T102" s="86"/>
      <c r="U102" s="142" t="str">
        <f t="shared" si="36"/>
        <v/>
      </c>
      <c r="V102" s="88"/>
      <c r="W102" s="88"/>
      <c r="X102" s="88"/>
      <c r="Y102" s="88"/>
      <c r="Z102" s="88"/>
      <c r="AA102" s="88"/>
      <c r="AB102" s="88"/>
      <c r="AC102" s="88"/>
      <c r="AD102" s="142" t="str">
        <f t="shared" si="37"/>
        <v/>
      </c>
      <c r="AE102" s="88"/>
      <c r="AF102" s="88"/>
      <c r="AG102" s="88"/>
      <c r="AH102" s="88"/>
      <c r="AI102" s="88"/>
      <c r="AJ102" s="88"/>
      <c r="AK102" s="88"/>
      <c r="AL102" s="88"/>
      <c r="AM102" s="88">
        <v>44.667360651083563</v>
      </c>
      <c r="AN102" s="88">
        <v>105.67</v>
      </c>
      <c r="AO102" s="89"/>
      <c r="AP102" s="90"/>
      <c r="AQ102" s="146" t="str">
        <f t="shared" si="38"/>
        <v/>
      </c>
      <c r="AR102" s="146" t="str">
        <f t="shared" si="39"/>
        <v/>
      </c>
      <c r="AS102" s="147">
        <v>20</v>
      </c>
      <c r="AT102" s="148" t="s">
        <v>106</v>
      </c>
      <c r="AU102" s="149" t="s">
        <v>56</v>
      </c>
      <c r="AV102" s="146" t="str">
        <f t="shared" si="40"/>
        <v/>
      </c>
      <c r="AW102" s="146" t="str">
        <f t="shared" si="41"/>
        <v/>
      </c>
      <c r="AX102" s="138" t="str">
        <f t="shared" si="42"/>
        <v/>
      </c>
      <c r="AY102" s="95" t="s">
        <v>56</v>
      </c>
      <c r="AZ102" s="96" t="s">
        <v>56</v>
      </c>
      <c r="BA102" s="96"/>
      <c r="BB102" s="96" t="s">
        <v>56</v>
      </c>
      <c r="BC102" s="96"/>
      <c r="BD102" s="97">
        <v>105.67</v>
      </c>
      <c r="BE102" s="142">
        <f t="shared" si="43"/>
        <v>13103</v>
      </c>
      <c r="BF102" s="98">
        <v>363</v>
      </c>
      <c r="BG102" s="98">
        <v>0</v>
      </c>
      <c r="BH102" s="98">
        <v>7986</v>
      </c>
      <c r="BI102" s="98">
        <v>4754</v>
      </c>
      <c r="BJ102" s="98"/>
      <c r="BK102" s="98"/>
      <c r="BL102" s="98"/>
    </row>
    <row r="103" spans="1:64" outlineLevel="5" x14ac:dyDescent="0.3">
      <c r="A103" s="152">
        <f t="shared" si="45"/>
        <v>3</v>
      </c>
      <c r="B103" s="153">
        <f t="shared" si="44"/>
        <v>44639</v>
      </c>
      <c r="C103" s="138"/>
      <c r="D103" s="84">
        <v>38</v>
      </c>
      <c r="E103" s="84">
        <v>38</v>
      </c>
      <c r="F103" s="84"/>
      <c r="G103" s="84"/>
      <c r="H103" s="84"/>
      <c r="I103" s="84"/>
      <c r="J103" s="84"/>
      <c r="K103" s="84"/>
      <c r="L103" s="140" t="str">
        <f t="shared" si="35"/>
        <v/>
      </c>
      <c r="M103" s="86"/>
      <c r="N103" s="86"/>
      <c r="O103" s="86"/>
      <c r="P103" s="86"/>
      <c r="Q103" s="86"/>
      <c r="R103" s="86"/>
      <c r="S103" s="86"/>
      <c r="T103" s="86"/>
      <c r="U103" s="142" t="str">
        <f t="shared" si="36"/>
        <v/>
      </c>
      <c r="V103" s="88"/>
      <c r="W103" s="88"/>
      <c r="X103" s="88"/>
      <c r="Y103" s="88"/>
      <c r="Z103" s="88"/>
      <c r="AA103" s="88"/>
      <c r="AB103" s="88"/>
      <c r="AC103" s="88"/>
      <c r="AD103" s="142" t="str">
        <f t="shared" si="37"/>
        <v/>
      </c>
      <c r="AE103" s="88"/>
      <c r="AF103" s="88"/>
      <c r="AG103" s="88"/>
      <c r="AH103" s="88"/>
      <c r="AI103" s="88"/>
      <c r="AJ103" s="88"/>
      <c r="AK103" s="88"/>
      <c r="AL103" s="88"/>
      <c r="AM103" s="88">
        <v>40.473332190018866</v>
      </c>
      <c r="AN103" s="88">
        <v>116.62</v>
      </c>
      <c r="AO103" s="89"/>
      <c r="AP103" s="90"/>
      <c r="AQ103" s="146" t="str">
        <f t="shared" si="38"/>
        <v/>
      </c>
      <c r="AR103" s="146" t="str">
        <f t="shared" si="39"/>
        <v/>
      </c>
      <c r="AS103" s="147">
        <v>0</v>
      </c>
      <c r="AT103" s="148" t="s">
        <v>106</v>
      </c>
      <c r="AU103" s="149" t="s">
        <v>56</v>
      </c>
      <c r="AV103" s="146" t="str">
        <f t="shared" si="40"/>
        <v/>
      </c>
      <c r="AW103" s="146" t="str">
        <f t="shared" si="41"/>
        <v/>
      </c>
      <c r="AX103" s="138" t="str">
        <f t="shared" si="42"/>
        <v/>
      </c>
      <c r="AY103" s="95" t="s">
        <v>56</v>
      </c>
      <c r="AZ103" s="96" t="s">
        <v>56</v>
      </c>
      <c r="BA103" s="96"/>
      <c r="BB103" s="96" t="s">
        <v>56</v>
      </c>
      <c r="BC103" s="96"/>
      <c r="BD103" s="97">
        <v>116.62</v>
      </c>
      <c r="BE103" s="142">
        <f t="shared" si="43"/>
        <v>11982</v>
      </c>
      <c r="BF103" s="98">
        <v>259</v>
      </c>
      <c r="BG103" s="98">
        <v>0</v>
      </c>
      <c r="BH103" s="98">
        <v>7034</v>
      </c>
      <c r="BI103" s="98">
        <v>4689</v>
      </c>
      <c r="BJ103" s="98"/>
      <c r="BK103" s="98"/>
      <c r="BL103" s="98"/>
    </row>
    <row r="104" spans="1:64" outlineLevel="5" x14ac:dyDescent="0.3">
      <c r="A104" s="152">
        <f t="shared" si="45"/>
        <v>3</v>
      </c>
      <c r="B104" s="153">
        <f t="shared" si="44"/>
        <v>44640</v>
      </c>
      <c r="C104" s="138"/>
      <c r="D104" s="84">
        <v>38</v>
      </c>
      <c r="E104" s="84">
        <v>38</v>
      </c>
      <c r="F104" s="84"/>
      <c r="G104" s="84"/>
      <c r="H104" s="84"/>
      <c r="I104" s="84"/>
      <c r="J104" s="84"/>
      <c r="K104" s="84"/>
      <c r="L104" s="140" t="str">
        <f t="shared" si="35"/>
        <v/>
      </c>
      <c r="M104" s="86"/>
      <c r="N104" s="86"/>
      <c r="O104" s="86"/>
      <c r="P104" s="86"/>
      <c r="Q104" s="86"/>
      <c r="R104" s="86"/>
      <c r="S104" s="86"/>
      <c r="T104" s="86"/>
      <c r="U104" s="142" t="str">
        <f t="shared" si="36"/>
        <v/>
      </c>
      <c r="V104" s="88"/>
      <c r="W104" s="88"/>
      <c r="X104" s="88"/>
      <c r="Y104" s="88"/>
      <c r="Z104" s="88"/>
      <c r="AA104" s="88"/>
      <c r="AB104" s="88"/>
      <c r="AC104" s="88"/>
      <c r="AD104" s="142" t="str">
        <f t="shared" si="37"/>
        <v/>
      </c>
      <c r="AE104" s="88"/>
      <c r="AF104" s="88"/>
      <c r="AG104" s="88"/>
      <c r="AH104" s="88"/>
      <c r="AI104" s="88"/>
      <c r="AJ104" s="88"/>
      <c r="AK104" s="88"/>
      <c r="AL104" s="88"/>
      <c r="AM104" s="88">
        <v>39.333333333333336</v>
      </c>
      <c r="AN104" s="88">
        <v>120</v>
      </c>
      <c r="AO104" s="89"/>
      <c r="AP104" s="90"/>
      <c r="AQ104" s="146" t="str">
        <f t="shared" si="38"/>
        <v/>
      </c>
      <c r="AR104" s="146" t="str">
        <f t="shared" si="39"/>
        <v/>
      </c>
      <c r="AS104" s="147">
        <v>0</v>
      </c>
      <c r="AT104" s="148" t="s">
        <v>106</v>
      </c>
      <c r="AU104" s="149" t="s">
        <v>56</v>
      </c>
      <c r="AV104" s="146" t="str">
        <f t="shared" si="40"/>
        <v/>
      </c>
      <c r="AW104" s="146" t="str">
        <f t="shared" si="41"/>
        <v/>
      </c>
      <c r="AX104" s="138" t="str">
        <f t="shared" si="42"/>
        <v/>
      </c>
      <c r="AY104" s="95" t="s">
        <v>56</v>
      </c>
      <c r="AZ104" s="96" t="s">
        <v>56</v>
      </c>
      <c r="BA104" s="96"/>
      <c r="BB104" s="96" t="s">
        <v>56</v>
      </c>
      <c r="BC104" s="96"/>
      <c r="BD104" s="97">
        <v>120</v>
      </c>
      <c r="BE104" s="142">
        <f t="shared" si="43"/>
        <v>11878</v>
      </c>
      <c r="BF104" s="98">
        <v>176</v>
      </c>
      <c r="BG104" s="98">
        <v>0</v>
      </c>
      <c r="BH104" s="98">
        <v>7037</v>
      </c>
      <c r="BI104" s="98">
        <v>4665</v>
      </c>
      <c r="BJ104" s="98"/>
      <c r="BK104" s="98"/>
      <c r="BL104" s="98"/>
    </row>
    <row r="105" spans="1:64" outlineLevel="5" x14ac:dyDescent="0.3">
      <c r="A105" s="152">
        <f t="shared" si="45"/>
        <v>3</v>
      </c>
      <c r="B105" s="153">
        <f t="shared" si="44"/>
        <v>44641</v>
      </c>
      <c r="C105" s="138"/>
      <c r="D105" s="84">
        <v>39</v>
      </c>
      <c r="E105" s="84">
        <v>39</v>
      </c>
      <c r="F105" s="84"/>
      <c r="G105" s="84"/>
      <c r="H105" s="84"/>
      <c r="I105" s="84"/>
      <c r="J105" s="84"/>
      <c r="K105" s="84"/>
      <c r="L105" s="140">
        <f t="shared" si="35"/>
        <v>8.1999999999999993</v>
      </c>
      <c r="M105" s="86">
        <v>8.24</v>
      </c>
      <c r="N105" s="86">
        <v>8.15</v>
      </c>
      <c r="O105" s="86"/>
      <c r="P105" s="86"/>
      <c r="Q105" s="86"/>
      <c r="R105" s="86"/>
      <c r="S105" s="86"/>
      <c r="T105" s="86"/>
      <c r="U105" s="142">
        <f t="shared" si="36"/>
        <v>1359</v>
      </c>
      <c r="V105" s="88">
        <v>1398</v>
      </c>
      <c r="W105" s="88">
        <v>1320</v>
      </c>
      <c r="X105" s="88"/>
      <c r="Y105" s="88"/>
      <c r="Z105" s="88"/>
      <c r="AA105" s="88"/>
      <c r="AB105" s="88"/>
      <c r="AC105" s="88"/>
      <c r="AD105" s="142" t="str">
        <f t="shared" si="37"/>
        <v/>
      </c>
      <c r="AE105" s="88"/>
      <c r="AF105" s="88"/>
      <c r="AG105" s="88"/>
      <c r="AH105" s="88"/>
      <c r="AI105" s="88"/>
      <c r="AJ105" s="88"/>
      <c r="AK105" s="88"/>
      <c r="AL105" s="88"/>
      <c r="AM105" s="88">
        <v>41.604230938739533</v>
      </c>
      <c r="AN105" s="88">
        <v>113.45</v>
      </c>
      <c r="AO105" s="89">
        <v>27.3</v>
      </c>
      <c r="AP105" s="90">
        <v>23.532600000000002</v>
      </c>
      <c r="AQ105" s="146">
        <f t="shared" si="38"/>
        <v>86.200000000000017</v>
      </c>
      <c r="AR105" s="146">
        <f t="shared" si="39"/>
        <v>13.799999999999983</v>
      </c>
      <c r="AS105" s="147">
        <v>20</v>
      </c>
      <c r="AT105" s="148">
        <v>15.4</v>
      </c>
      <c r="AU105" s="149">
        <v>9.8363999999999994</v>
      </c>
      <c r="AV105" s="146">
        <f t="shared" si="40"/>
        <v>63.872727272727268</v>
      </c>
      <c r="AW105" s="146">
        <f t="shared" si="41"/>
        <v>36.127272727272732</v>
      </c>
      <c r="AX105" s="138">
        <f t="shared" si="42"/>
        <v>71.69572055950691</v>
      </c>
      <c r="AY105" s="95">
        <v>79.3</v>
      </c>
      <c r="AZ105" s="96">
        <v>61.385000000000005</v>
      </c>
      <c r="BA105" s="96"/>
      <c r="BB105" s="96">
        <v>38</v>
      </c>
      <c r="BC105" s="96"/>
      <c r="BD105" s="97">
        <v>113.45</v>
      </c>
      <c r="BE105" s="142">
        <f t="shared" si="43"/>
        <v>12005</v>
      </c>
      <c r="BF105" s="98">
        <v>0</v>
      </c>
      <c r="BG105" s="98">
        <v>0</v>
      </c>
      <c r="BH105" s="98">
        <v>7249</v>
      </c>
      <c r="BI105" s="98">
        <v>4756</v>
      </c>
      <c r="BJ105" s="98"/>
      <c r="BK105" s="98"/>
      <c r="BL105" s="98"/>
    </row>
    <row r="106" spans="1:64" outlineLevel="5" x14ac:dyDescent="0.3">
      <c r="A106" s="152">
        <f t="shared" si="45"/>
        <v>3</v>
      </c>
      <c r="B106" s="153">
        <f t="shared" si="44"/>
        <v>44642</v>
      </c>
      <c r="C106" s="138"/>
      <c r="D106" s="84">
        <v>39</v>
      </c>
      <c r="E106" s="84">
        <v>39</v>
      </c>
      <c r="F106" s="84"/>
      <c r="G106" s="84"/>
      <c r="H106" s="84"/>
      <c r="I106" s="84"/>
      <c r="J106" s="84"/>
      <c r="K106" s="84"/>
      <c r="L106" s="140">
        <f t="shared" si="35"/>
        <v>8.1999999999999993</v>
      </c>
      <c r="M106" s="86">
        <v>8.26</v>
      </c>
      <c r="N106" s="86">
        <v>8.1999999999999993</v>
      </c>
      <c r="O106" s="86"/>
      <c r="P106" s="86"/>
      <c r="Q106" s="86"/>
      <c r="R106" s="86"/>
      <c r="S106" s="86"/>
      <c r="T106" s="86"/>
      <c r="U106" s="142">
        <f t="shared" si="36"/>
        <v>1427</v>
      </c>
      <c r="V106" s="88">
        <v>1489</v>
      </c>
      <c r="W106" s="88">
        <v>1365</v>
      </c>
      <c r="X106" s="88"/>
      <c r="Y106" s="88"/>
      <c r="Z106" s="88"/>
      <c r="AA106" s="88"/>
      <c r="AB106" s="88"/>
      <c r="AC106" s="88"/>
      <c r="AD106" s="142" t="str">
        <f t="shared" si="37"/>
        <v/>
      </c>
      <c r="AE106" s="88"/>
      <c r="AF106" s="88"/>
      <c r="AG106" s="88"/>
      <c r="AH106" s="88"/>
      <c r="AI106" s="88"/>
      <c r="AJ106" s="88"/>
      <c r="AK106" s="88"/>
      <c r="AL106" s="88"/>
      <c r="AM106" s="88">
        <v>42.530185619030462</v>
      </c>
      <c r="AN106" s="88">
        <v>110.97999999999999</v>
      </c>
      <c r="AO106" s="89"/>
      <c r="AP106" s="90"/>
      <c r="AQ106" s="146" t="str">
        <f t="shared" si="38"/>
        <v/>
      </c>
      <c r="AR106" s="146" t="str">
        <f t="shared" si="39"/>
        <v/>
      </c>
      <c r="AS106" s="147">
        <v>20</v>
      </c>
      <c r="AT106" s="148" t="s">
        <v>106</v>
      </c>
      <c r="AU106" s="149" t="s">
        <v>56</v>
      </c>
      <c r="AV106" s="146" t="str">
        <f t="shared" si="40"/>
        <v/>
      </c>
      <c r="AW106" s="146" t="str">
        <f t="shared" si="41"/>
        <v/>
      </c>
      <c r="AX106" s="138" t="str">
        <f t="shared" si="42"/>
        <v/>
      </c>
      <c r="AY106" s="95" t="s">
        <v>56</v>
      </c>
      <c r="AZ106" s="96">
        <v>59.775000000000006</v>
      </c>
      <c r="BA106" s="96"/>
      <c r="BB106" s="96">
        <v>45.5</v>
      </c>
      <c r="BC106" s="96"/>
      <c r="BD106" s="97">
        <v>110.97999999999999</v>
      </c>
      <c r="BE106" s="142">
        <f t="shared" si="43"/>
        <v>12305</v>
      </c>
      <c r="BF106" s="98">
        <v>365</v>
      </c>
      <c r="BG106" s="98">
        <v>0</v>
      </c>
      <c r="BH106" s="98">
        <v>6922</v>
      </c>
      <c r="BI106" s="98">
        <v>5018</v>
      </c>
      <c r="BJ106" s="98"/>
      <c r="BK106" s="98"/>
      <c r="BL106" s="98"/>
    </row>
    <row r="107" spans="1:64" outlineLevel="5" x14ac:dyDescent="0.3">
      <c r="A107" s="152">
        <f t="shared" si="45"/>
        <v>3</v>
      </c>
      <c r="B107" s="153">
        <f t="shared" si="44"/>
        <v>44643</v>
      </c>
      <c r="C107" s="138"/>
      <c r="D107" s="84">
        <v>39</v>
      </c>
      <c r="E107" s="84">
        <v>39</v>
      </c>
      <c r="F107" s="84"/>
      <c r="G107" s="84"/>
      <c r="H107" s="84"/>
      <c r="I107" s="84"/>
      <c r="J107" s="84"/>
      <c r="K107" s="84"/>
      <c r="L107" s="140">
        <f t="shared" si="35"/>
        <v>8.1999999999999993</v>
      </c>
      <c r="M107" s="86">
        <v>8.24</v>
      </c>
      <c r="N107" s="86">
        <v>8.16</v>
      </c>
      <c r="O107" s="86"/>
      <c r="P107" s="86"/>
      <c r="Q107" s="86"/>
      <c r="R107" s="86"/>
      <c r="S107" s="86"/>
      <c r="T107" s="86"/>
      <c r="U107" s="142">
        <f t="shared" si="36"/>
        <v>1853</v>
      </c>
      <c r="V107" s="88">
        <v>1950</v>
      </c>
      <c r="W107" s="88">
        <v>1756</v>
      </c>
      <c r="X107" s="88"/>
      <c r="Y107" s="88"/>
      <c r="Z107" s="88"/>
      <c r="AA107" s="88"/>
      <c r="AB107" s="88"/>
      <c r="AC107" s="88"/>
      <c r="AD107" s="142">
        <f t="shared" si="37"/>
        <v>7350</v>
      </c>
      <c r="AE107" s="88">
        <v>7500</v>
      </c>
      <c r="AF107" s="88">
        <v>7200</v>
      </c>
      <c r="AG107" s="88"/>
      <c r="AH107" s="88"/>
      <c r="AI107" s="88"/>
      <c r="AJ107" s="88"/>
      <c r="AK107" s="88"/>
      <c r="AL107" s="88"/>
      <c r="AM107" s="88">
        <v>43.711798481200219</v>
      </c>
      <c r="AN107" s="88">
        <v>107.98</v>
      </c>
      <c r="AO107" s="89"/>
      <c r="AP107" s="90"/>
      <c r="AQ107" s="146" t="str">
        <f t="shared" si="38"/>
        <v/>
      </c>
      <c r="AR107" s="146" t="str">
        <f t="shared" si="39"/>
        <v/>
      </c>
      <c r="AS107" s="147">
        <v>25</v>
      </c>
      <c r="AT107" s="148">
        <v>21.75</v>
      </c>
      <c r="AU107" s="149">
        <v>13.297750000000001</v>
      </c>
      <c r="AV107" s="146">
        <f t="shared" si="40"/>
        <v>61.139080459770121</v>
      </c>
      <c r="AW107" s="146">
        <f t="shared" si="41"/>
        <v>38.860919540229879</v>
      </c>
      <c r="AX107" s="138" t="str">
        <f t="shared" si="42"/>
        <v/>
      </c>
      <c r="AY107" s="95">
        <v>75.3</v>
      </c>
      <c r="AZ107" s="96">
        <v>60.87</v>
      </c>
      <c r="BA107" s="96"/>
      <c r="BB107" s="96">
        <v>45</v>
      </c>
      <c r="BC107" s="96"/>
      <c r="BD107" s="97">
        <v>107.98</v>
      </c>
      <c r="BE107" s="142">
        <f t="shared" si="43"/>
        <v>10938</v>
      </c>
      <c r="BF107" s="98">
        <v>0</v>
      </c>
      <c r="BG107" s="98">
        <v>0</v>
      </c>
      <c r="BH107" s="98">
        <v>5987</v>
      </c>
      <c r="BI107" s="98">
        <v>4951</v>
      </c>
      <c r="BJ107" s="98"/>
      <c r="BK107" s="98"/>
      <c r="BL107" s="98"/>
    </row>
    <row r="108" spans="1:64" outlineLevel="5" x14ac:dyDescent="0.3">
      <c r="A108" s="152">
        <f t="shared" si="45"/>
        <v>3</v>
      </c>
      <c r="B108" s="153">
        <f t="shared" si="44"/>
        <v>44644</v>
      </c>
      <c r="C108" s="138"/>
      <c r="D108" s="84">
        <v>39</v>
      </c>
      <c r="E108" s="84">
        <v>40</v>
      </c>
      <c r="F108" s="84"/>
      <c r="G108" s="84"/>
      <c r="H108" s="84"/>
      <c r="I108" s="84"/>
      <c r="J108" s="84"/>
      <c r="K108" s="84"/>
      <c r="L108" s="140">
        <f t="shared" si="35"/>
        <v>8.1999999999999993</v>
      </c>
      <c r="M108" s="86">
        <v>8.25</v>
      </c>
      <c r="N108" s="86">
        <v>8.18</v>
      </c>
      <c r="O108" s="86"/>
      <c r="P108" s="86"/>
      <c r="Q108" s="86"/>
      <c r="R108" s="86"/>
      <c r="S108" s="86"/>
      <c r="T108" s="86"/>
      <c r="U108" s="142">
        <f t="shared" si="36"/>
        <v>1885</v>
      </c>
      <c r="V108" s="88">
        <v>1950</v>
      </c>
      <c r="W108" s="88">
        <v>1820</v>
      </c>
      <c r="X108" s="88"/>
      <c r="Y108" s="88"/>
      <c r="Z108" s="88"/>
      <c r="AA108" s="88"/>
      <c r="AB108" s="88"/>
      <c r="AC108" s="88"/>
      <c r="AD108" s="142" t="str">
        <f t="shared" si="37"/>
        <v/>
      </c>
      <c r="AE108" s="88"/>
      <c r="AF108" s="88"/>
      <c r="AG108" s="88"/>
      <c r="AH108" s="88"/>
      <c r="AI108" s="88"/>
      <c r="AJ108" s="88"/>
      <c r="AK108" s="88"/>
      <c r="AL108" s="88"/>
      <c r="AM108" s="88">
        <v>33.839977057642677</v>
      </c>
      <c r="AN108" s="88">
        <v>139.47999999999999</v>
      </c>
      <c r="AO108" s="89"/>
      <c r="AP108" s="90"/>
      <c r="AQ108" s="146" t="str">
        <f t="shared" si="38"/>
        <v/>
      </c>
      <c r="AR108" s="146" t="str">
        <f t="shared" si="39"/>
        <v/>
      </c>
      <c r="AS108" s="147">
        <v>20</v>
      </c>
      <c r="AT108" s="148">
        <v>15.100000000000001</v>
      </c>
      <c r="AU108" s="149">
        <v>9.1212999999999997</v>
      </c>
      <c r="AV108" s="146">
        <f t="shared" si="40"/>
        <v>60.405960264900656</v>
      </c>
      <c r="AW108" s="146">
        <f t="shared" si="41"/>
        <v>39.594039735099344</v>
      </c>
      <c r="AX108" s="138" t="str">
        <f t="shared" si="42"/>
        <v/>
      </c>
      <c r="AY108" s="95">
        <v>77.55</v>
      </c>
      <c r="AZ108" s="96">
        <v>60.504999999999995</v>
      </c>
      <c r="BA108" s="96"/>
      <c r="BB108" s="96">
        <v>47.5</v>
      </c>
      <c r="BC108" s="96"/>
      <c r="BD108" s="97">
        <v>139.47999999999999</v>
      </c>
      <c r="BE108" s="142">
        <f t="shared" si="43"/>
        <v>11522</v>
      </c>
      <c r="BF108" s="98">
        <v>234</v>
      </c>
      <c r="BG108" s="98">
        <v>0</v>
      </c>
      <c r="BH108" s="98">
        <v>6293</v>
      </c>
      <c r="BI108" s="98">
        <v>4995</v>
      </c>
      <c r="BJ108" s="98"/>
      <c r="BK108" s="98"/>
      <c r="BL108" s="98"/>
    </row>
    <row r="109" spans="1:64" outlineLevel="5" x14ac:dyDescent="0.3">
      <c r="A109" s="152">
        <f t="shared" si="45"/>
        <v>3</v>
      </c>
      <c r="B109" s="153">
        <f t="shared" si="44"/>
        <v>44645</v>
      </c>
      <c r="C109" s="138"/>
      <c r="D109" s="84">
        <v>38</v>
      </c>
      <c r="E109" s="84">
        <v>38</v>
      </c>
      <c r="F109" s="84"/>
      <c r="G109" s="84"/>
      <c r="H109" s="84"/>
      <c r="I109" s="84"/>
      <c r="J109" s="84"/>
      <c r="K109" s="84"/>
      <c r="L109" s="140" t="str">
        <f t="shared" si="35"/>
        <v/>
      </c>
      <c r="M109" s="86"/>
      <c r="N109" s="86"/>
      <c r="O109" s="86"/>
      <c r="P109" s="86"/>
      <c r="Q109" s="86"/>
      <c r="R109" s="86"/>
      <c r="S109" s="86"/>
      <c r="T109" s="86"/>
      <c r="U109" s="142" t="str">
        <f t="shared" si="36"/>
        <v/>
      </c>
      <c r="V109" s="88"/>
      <c r="W109" s="88"/>
      <c r="X109" s="88"/>
      <c r="Y109" s="88"/>
      <c r="Z109" s="88"/>
      <c r="AA109" s="88"/>
      <c r="AB109" s="88"/>
      <c r="AC109" s="88"/>
      <c r="AD109" s="142" t="str">
        <f t="shared" si="37"/>
        <v/>
      </c>
      <c r="AE109" s="88"/>
      <c r="AF109" s="88"/>
      <c r="AG109" s="88"/>
      <c r="AH109" s="88"/>
      <c r="AI109" s="88"/>
      <c r="AJ109" s="88"/>
      <c r="AK109" s="88"/>
      <c r="AL109" s="88"/>
      <c r="AM109" s="88">
        <v>32.128514056224901</v>
      </c>
      <c r="AN109" s="88">
        <v>146.91</v>
      </c>
      <c r="AO109" s="89"/>
      <c r="AP109" s="90"/>
      <c r="AQ109" s="146" t="str">
        <f t="shared" si="38"/>
        <v/>
      </c>
      <c r="AR109" s="146" t="str">
        <f t="shared" si="39"/>
        <v/>
      </c>
      <c r="AS109" s="147">
        <v>30</v>
      </c>
      <c r="AT109" s="148" t="s">
        <v>106</v>
      </c>
      <c r="AU109" s="149" t="s">
        <v>56</v>
      </c>
      <c r="AV109" s="146" t="str">
        <f t="shared" si="40"/>
        <v/>
      </c>
      <c r="AW109" s="146" t="str">
        <f t="shared" si="41"/>
        <v/>
      </c>
      <c r="AX109" s="138" t="str">
        <f t="shared" si="42"/>
        <v/>
      </c>
      <c r="AY109" s="95" t="s">
        <v>56</v>
      </c>
      <c r="AZ109" s="96">
        <v>58.475000000000001</v>
      </c>
      <c r="BA109" s="96"/>
      <c r="BB109" s="96">
        <v>79</v>
      </c>
      <c r="BC109" s="96"/>
      <c r="BD109" s="97">
        <v>146.91</v>
      </c>
      <c r="BE109" s="142">
        <f t="shared" si="43"/>
        <v>9795</v>
      </c>
      <c r="BF109" s="98">
        <v>291</v>
      </c>
      <c r="BG109" s="98">
        <v>0</v>
      </c>
      <c r="BH109" s="98">
        <v>4491</v>
      </c>
      <c r="BI109" s="98">
        <v>5013</v>
      </c>
      <c r="BJ109" s="98"/>
      <c r="BK109" s="98"/>
      <c r="BL109" s="98"/>
    </row>
    <row r="110" spans="1:64" outlineLevel="5" x14ac:dyDescent="0.3">
      <c r="A110" s="152">
        <f t="shared" si="45"/>
        <v>3</v>
      </c>
      <c r="B110" s="153">
        <f t="shared" si="44"/>
        <v>44646</v>
      </c>
      <c r="C110" s="138"/>
      <c r="D110" s="84">
        <v>38</v>
      </c>
      <c r="E110" s="84">
        <v>38</v>
      </c>
      <c r="F110" s="84"/>
      <c r="G110" s="84"/>
      <c r="H110" s="84"/>
      <c r="I110" s="84"/>
      <c r="J110" s="84"/>
      <c r="K110" s="84"/>
      <c r="L110" s="140" t="str">
        <f t="shared" si="35"/>
        <v/>
      </c>
      <c r="M110" s="86"/>
      <c r="N110" s="86"/>
      <c r="O110" s="86"/>
      <c r="P110" s="86"/>
      <c r="Q110" s="86"/>
      <c r="R110" s="86"/>
      <c r="S110" s="86"/>
      <c r="T110" s="86"/>
      <c r="U110" s="142" t="str">
        <f t="shared" si="36"/>
        <v/>
      </c>
      <c r="V110" s="88"/>
      <c r="W110" s="88"/>
      <c r="X110" s="88"/>
      <c r="Y110" s="88"/>
      <c r="Z110" s="88"/>
      <c r="AA110" s="88"/>
      <c r="AB110" s="88"/>
      <c r="AC110" s="88"/>
      <c r="AD110" s="142" t="str">
        <f t="shared" si="37"/>
        <v/>
      </c>
      <c r="AE110" s="88"/>
      <c r="AF110" s="88"/>
      <c r="AG110" s="88"/>
      <c r="AH110" s="88"/>
      <c r="AI110" s="88"/>
      <c r="AJ110" s="88"/>
      <c r="AK110" s="88"/>
      <c r="AL110" s="88"/>
      <c r="AM110" s="88">
        <v>32.036923912305703</v>
      </c>
      <c r="AN110" s="88">
        <v>147.33000000000001</v>
      </c>
      <c r="AO110" s="89"/>
      <c r="AP110" s="90"/>
      <c r="AQ110" s="146" t="str">
        <f t="shared" si="38"/>
        <v/>
      </c>
      <c r="AR110" s="146" t="str">
        <f t="shared" si="39"/>
        <v/>
      </c>
      <c r="AS110" s="147">
        <v>10</v>
      </c>
      <c r="AT110" s="148" t="s">
        <v>106</v>
      </c>
      <c r="AU110" s="149" t="s">
        <v>56</v>
      </c>
      <c r="AV110" s="146" t="str">
        <f t="shared" si="40"/>
        <v/>
      </c>
      <c r="AW110" s="146" t="str">
        <f t="shared" si="41"/>
        <v/>
      </c>
      <c r="AX110" s="138" t="str">
        <f t="shared" si="42"/>
        <v/>
      </c>
      <c r="AY110" s="95" t="s">
        <v>56</v>
      </c>
      <c r="AZ110" s="96" t="s">
        <v>56</v>
      </c>
      <c r="BA110" s="96"/>
      <c r="BB110" s="96" t="s">
        <v>56</v>
      </c>
      <c r="BC110" s="96"/>
      <c r="BD110" s="97">
        <v>147.33000000000001</v>
      </c>
      <c r="BE110" s="142">
        <f t="shared" si="43"/>
        <v>5540</v>
      </c>
      <c r="BF110" s="98">
        <v>315</v>
      </c>
      <c r="BG110" s="98">
        <v>0</v>
      </c>
      <c r="BH110" s="98">
        <v>0</v>
      </c>
      <c r="BI110" s="98">
        <v>5225</v>
      </c>
      <c r="BJ110" s="98"/>
      <c r="BK110" s="98"/>
      <c r="BL110" s="98"/>
    </row>
    <row r="111" spans="1:64" outlineLevel="5" x14ac:dyDescent="0.3">
      <c r="A111" s="152">
        <f t="shared" si="45"/>
        <v>3</v>
      </c>
      <c r="B111" s="153">
        <f t="shared" si="44"/>
        <v>44647</v>
      </c>
      <c r="C111" s="138"/>
      <c r="D111" s="84">
        <v>38</v>
      </c>
      <c r="E111" s="84">
        <v>38</v>
      </c>
      <c r="F111" s="84"/>
      <c r="G111" s="84"/>
      <c r="H111" s="84"/>
      <c r="I111" s="84"/>
      <c r="J111" s="84"/>
      <c r="K111" s="84"/>
      <c r="L111" s="140" t="str">
        <f t="shared" si="35"/>
        <v/>
      </c>
      <c r="M111" s="86"/>
      <c r="N111" s="86"/>
      <c r="O111" s="86"/>
      <c r="P111" s="86"/>
      <c r="Q111" s="86"/>
      <c r="R111" s="86"/>
      <c r="S111" s="86"/>
      <c r="T111" s="86"/>
      <c r="U111" s="142" t="str">
        <f t="shared" si="36"/>
        <v/>
      </c>
      <c r="V111" s="88"/>
      <c r="W111" s="88"/>
      <c r="X111" s="88"/>
      <c r="Y111" s="88"/>
      <c r="Z111" s="88"/>
      <c r="AA111" s="88"/>
      <c r="AB111" s="88"/>
      <c r="AC111" s="88"/>
      <c r="AD111" s="142" t="str">
        <f t="shared" si="37"/>
        <v/>
      </c>
      <c r="AE111" s="88"/>
      <c r="AF111" s="88"/>
      <c r="AG111" s="88"/>
      <c r="AH111" s="88"/>
      <c r="AI111" s="88"/>
      <c r="AJ111" s="88"/>
      <c r="AK111" s="88"/>
      <c r="AL111" s="88"/>
      <c r="AM111" s="88">
        <v>41.043478260869563</v>
      </c>
      <c r="AN111" s="88">
        <v>115</v>
      </c>
      <c r="AO111" s="89"/>
      <c r="AP111" s="90"/>
      <c r="AQ111" s="146" t="str">
        <f t="shared" si="38"/>
        <v/>
      </c>
      <c r="AR111" s="146" t="str">
        <f t="shared" si="39"/>
        <v/>
      </c>
      <c r="AS111" s="147">
        <v>10</v>
      </c>
      <c r="AT111" s="148" t="s">
        <v>106</v>
      </c>
      <c r="AU111" s="149" t="s">
        <v>56</v>
      </c>
      <c r="AV111" s="146" t="str">
        <f t="shared" si="40"/>
        <v/>
      </c>
      <c r="AW111" s="146" t="str">
        <f t="shared" si="41"/>
        <v/>
      </c>
      <c r="AX111" s="138" t="str">
        <f t="shared" si="42"/>
        <v/>
      </c>
      <c r="AY111" s="95" t="s">
        <v>56</v>
      </c>
      <c r="AZ111" s="96" t="s">
        <v>56</v>
      </c>
      <c r="BA111" s="96"/>
      <c r="BB111" s="96" t="s">
        <v>56</v>
      </c>
      <c r="BC111" s="96"/>
      <c r="BD111" s="97">
        <v>115</v>
      </c>
      <c r="BE111" s="142">
        <f t="shared" si="43"/>
        <v>5013</v>
      </c>
      <c r="BF111" s="98">
        <v>305</v>
      </c>
      <c r="BG111" s="98">
        <v>0</v>
      </c>
      <c r="BH111" s="98">
        <v>0</v>
      </c>
      <c r="BI111" s="98">
        <v>4708</v>
      </c>
      <c r="BJ111" s="98"/>
      <c r="BK111" s="98"/>
      <c r="BL111" s="98"/>
    </row>
    <row r="112" spans="1:64" outlineLevel="5" x14ac:dyDescent="0.3">
      <c r="A112" s="152">
        <f t="shared" si="45"/>
        <v>3</v>
      </c>
      <c r="B112" s="153">
        <f t="shared" si="44"/>
        <v>44648</v>
      </c>
      <c r="C112" s="138"/>
      <c r="D112" s="84">
        <v>38</v>
      </c>
      <c r="E112" s="84">
        <v>38</v>
      </c>
      <c r="F112" s="84"/>
      <c r="G112" s="84"/>
      <c r="H112" s="84"/>
      <c r="I112" s="84"/>
      <c r="J112" s="84"/>
      <c r="K112" s="84"/>
      <c r="L112" s="140">
        <f t="shared" si="35"/>
        <v>8.1999999999999993</v>
      </c>
      <c r="M112" s="86">
        <v>8.1999999999999993</v>
      </c>
      <c r="N112" s="86">
        <v>8.14</v>
      </c>
      <c r="O112" s="86"/>
      <c r="P112" s="86"/>
      <c r="Q112" s="86"/>
      <c r="R112" s="86"/>
      <c r="S112" s="86"/>
      <c r="T112" s="86"/>
      <c r="U112" s="142">
        <f t="shared" si="36"/>
        <v>1804</v>
      </c>
      <c r="V112" s="88">
        <v>1897</v>
      </c>
      <c r="W112" s="88">
        <v>1711</v>
      </c>
      <c r="X112" s="88"/>
      <c r="Y112" s="88"/>
      <c r="Z112" s="88"/>
      <c r="AA112" s="88"/>
      <c r="AB112" s="88"/>
      <c r="AC112" s="88"/>
      <c r="AD112" s="142" t="str">
        <f t="shared" si="37"/>
        <v/>
      </c>
      <c r="AE112" s="88"/>
      <c r="AF112" s="88"/>
      <c r="AG112" s="88"/>
      <c r="AH112" s="88"/>
      <c r="AI112" s="88"/>
      <c r="AJ112" s="88"/>
      <c r="AK112" s="88"/>
      <c r="AL112" s="88"/>
      <c r="AM112" s="88">
        <v>44.7139067828723</v>
      </c>
      <c r="AN112" s="88">
        <v>105.56</v>
      </c>
      <c r="AO112" s="89">
        <v>27</v>
      </c>
      <c r="AP112" s="90">
        <v>23.786999999999999</v>
      </c>
      <c r="AQ112" s="146">
        <f t="shared" si="38"/>
        <v>88.1</v>
      </c>
      <c r="AR112" s="146">
        <f t="shared" si="39"/>
        <v>11.900000000000006</v>
      </c>
      <c r="AS112" s="147">
        <v>25</v>
      </c>
      <c r="AT112" s="148">
        <v>17.75</v>
      </c>
      <c r="AU112" s="149">
        <v>9.25</v>
      </c>
      <c r="AV112" s="146">
        <f t="shared" si="40"/>
        <v>52.112676056338024</v>
      </c>
      <c r="AW112" s="146">
        <f t="shared" si="41"/>
        <v>47.887323943661976</v>
      </c>
      <c r="AX112" s="138">
        <f t="shared" si="42"/>
        <v>85.300794551645851</v>
      </c>
      <c r="AY112" s="95">
        <v>73.7</v>
      </c>
      <c r="AZ112" s="96">
        <v>60.379999999999995</v>
      </c>
      <c r="BA112" s="96"/>
      <c r="BB112" s="96">
        <v>63.5</v>
      </c>
      <c r="BC112" s="96"/>
      <c r="BD112" s="97">
        <v>105.56</v>
      </c>
      <c r="BE112" s="142">
        <f t="shared" si="43"/>
        <v>5021</v>
      </c>
      <c r="BF112" s="98">
        <v>300</v>
      </c>
      <c r="BG112" s="98">
        <v>0</v>
      </c>
      <c r="BH112" s="98">
        <v>38</v>
      </c>
      <c r="BI112" s="98">
        <v>4683</v>
      </c>
      <c r="BJ112" s="98"/>
      <c r="BK112" s="98"/>
      <c r="BL112" s="98"/>
    </row>
    <row r="113" spans="1:64" outlineLevel="5" x14ac:dyDescent="0.3">
      <c r="A113" s="152">
        <f t="shared" si="45"/>
        <v>3</v>
      </c>
      <c r="B113" s="153">
        <f t="shared" si="44"/>
        <v>44649</v>
      </c>
      <c r="C113" s="138"/>
      <c r="D113" s="84">
        <v>38</v>
      </c>
      <c r="E113" s="84">
        <v>38</v>
      </c>
      <c r="F113" s="84"/>
      <c r="G113" s="84"/>
      <c r="H113" s="84"/>
      <c r="I113" s="84"/>
      <c r="J113" s="84"/>
      <c r="K113" s="84"/>
      <c r="L113" s="140">
        <f t="shared" si="35"/>
        <v>8.3000000000000007</v>
      </c>
      <c r="M113" s="86">
        <v>8.2899999999999991</v>
      </c>
      <c r="N113" s="86">
        <v>8.2100000000000009</v>
      </c>
      <c r="O113" s="86"/>
      <c r="P113" s="86"/>
      <c r="Q113" s="86"/>
      <c r="R113" s="86"/>
      <c r="S113" s="86"/>
      <c r="T113" s="86"/>
      <c r="U113" s="142">
        <f t="shared" si="36"/>
        <v>1809</v>
      </c>
      <c r="V113" s="88">
        <v>1897</v>
      </c>
      <c r="W113" s="88">
        <v>1721</v>
      </c>
      <c r="X113" s="88"/>
      <c r="Y113" s="88"/>
      <c r="Z113" s="88"/>
      <c r="AA113" s="88"/>
      <c r="AB113" s="88"/>
      <c r="AC113" s="88"/>
      <c r="AD113" s="142" t="str">
        <f t="shared" si="37"/>
        <v/>
      </c>
      <c r="AE113" s="88"/>
      <c r="AF113" s="88"/>
      <c r="AG113" s="88"/>
      <c r="AH113" s="88"/>
      <c r="AI113" s="88"/>
      <c r="AJ113" s="88"/>
      <c r="AK113" s="88"/>
      <c r="AL113" s="88"/>
      <c r="AM113" s="88">
        <v>37.156577186491383</v>
      </c>
      <c r="AN113" s="88">
        <v>127.03</v>
      </c>
      <c r="AO113" s="89"/>
      <c r="AP113" s="90"/>
      <c r="AQ113" s="146" t="str">
        <f t="shared" si="38"/>
        <v/>
      </c>
      <c r="AR113" s="146" t="str">
        <f t="shared" si="39"/>
        <v/>
      </c>
      <c r="AS113" s="147">
        <v>20</v>
      </c>
      <c r="AT113" s="148" t="s">
        <v>106</v>
      </c>
      <c r="AU113" s="149" t="s">
        <v>56</v>
      </c>
      <c r="AV113" s="146" t="str">
        <f t="shared" si="40"/>
        <v/>
      </c>
      <c r="AW113" s="146" t="str">
        <f t="shared" si="41"/>
        <v/>
      </c>
      <c r="AX113" s="138" t="str">
        <f t="shared" si="42"/>
        <v/>
      </c>
      <c r="AY113" s="95" t="s">
        <v>56</v>
      </c>
      <c r="AZ113" s="96">
        <v>60.230000000000004</v>
      </c>
      <c r="BA113" s="96"/>
      <c r="BB113" s="96">
        <v>60.5</v>
      </c>
      <c r="BC113" s="96"/>
      <c r="BD113" s="97">
        <v>127.03</v>
      </c>
      <c r="BE113" s="142">
        <f t="shared" si="43"/>
        <v>3088</v>
      </c>
      <c r="BF113" s="98">
        <v>0</v>
      </c>
      <c r="BG113" s="98">
        <v>0</v>
      </c>
      <c r="BH113" s="98">
        <v>1</v>
      </c>
      <c r="BI113" s="98">
        <v>3087</v>
      </c>
      <c r="BJ113" s="98"/>
      <c r="BK113" s="98"/>
      <c r="BL113" s="98"/>
    </row>
    <row r="114" spans="1:64" outlineLevel="5" x14ac:dyDescent="0.3">
      <c r="A114" s="152">
        <f t="shared" si="45"/>
        <v>3</v>
      </c>
      <c r="B114" s="153">
        <f t="shared" si="44"/>
        <v>44650</v>
      </c>
      <c r="C114" s="138"/>
      <c r="D114" s="84">
        <v>38</v>
      </c>
      <c r="E114" s="84">
        <v>38</v>
      </c>
      <c r="F114" s="84"/>
      <c r="G114" s="84"/>
      <c r="H114" s="84"/>
      <c r="I114" s="84"/>
      <c r="J114" s="84"/>
      <c r="K114" s="84"/>
      <c r="L114" s="140">
        <f t="shared" si="35"/>
        <v>7.7</v>
      </c>
      <c r="M114" s="86">
        <v>8.24</v>
      </c>
      <c r="N114" s="86">
        <v>7.21</v>
      </c>
      <c r="O114" s="86"/>
      <c r="P114" s="86"/>
      <c r="Q114" s="86"/>
      <c r="R114" s="86"/>
      <c r="S114" s="86"/>
      <c r="T114" s="86"/>
      <c r="U114" s="142">
        <f t="shared" si="36"/>
        <v>1892</v>
      </c>
      <c r="V114" s="88">
        <v>1997</v>
      </c>
      <c r="W114" s="88">
        <v>1787</v>
      </c>
      <c r="X114" s="88"/>
      <c r="Y114" s="88"/>
      <c r="Z114" s="88"/>
      <c r="AA114" s="88"/>
      <c r="AB114" s="88"/>
      <c r="AC114" s="88"/>
      <c r="AD114" s="142" t="str">
        <f t="shared" si="37"/>
        <v/>
      </c>
      <c r="AE114" s="88"/>
      <c r="AF114" s="88"/>
      <c r="AG114" s="88"/>
      <c r="AH114" s="88"/>
      <c r="AI114" s="88"/>
      <c r="AJ114" s="88"/>
      <c r="AK114" s="88"/>
      <c r="AL114" s="88"/>
      <c r="AM114" s="88">
        <v>36.428185536775487</v>
      </c>
      <c r="AN114" s="88">
        <v>129.57</v>
      </c>
      <c r="AO114" s="89"/>
      <c r="AP114" s="90"/>
      <c r="AQ114" s="146" t="str">
        <f t="shared" si="38"/>
        <v/>
      </c>
      <c r="AR114" s="146" t="str">
        <f t="shared" si="39"/>
        <v/>
      </c>
      <c r="AS114" s="147">
        <v>20</v>
      </c>
      <c r="AT114" s="148">
        <v>15.8</v>
      </c>
      <c r="AU114" s="149">
        <v>5.0554999999999994</v>
      </c>
      <c r="AV114" s="146">
        <f t="shared" si="40"/>
        <v>31.99683544303797</v>
      </c>
      <c r="AW114" s="146">
        <f t="shared" si="41"/>
        <v>68.003164556962034</v>
      </c>
      <c r="AX114" s="138" t="str">
        <f t="shared" si="42"/>
        <v/>
      </c>
      <c r="AY114" s="95">
        <v>74.45</v>
      </c>
      <c r="AZ114" s="96">
        <v>60.31</v>
      </c>
      <c r="BA114" s="96"/>
      <c r="BB114" s="96">
        <v>57.5</v>
      </c>
      <c r="BC114" s="96"/>
      <c r="BD114" s="97">
        <v>129.57</v>
      </c>
      <c r="BE114" s="142">
        <f t="shared" si="43"/>
        <v>5153</v>
      </c>
      <c r="BF114" s="98">
        <v>130</v>
      </c>
      <c r="BG114" s="98">
        <v>0</v>
      </c>
      <c r="BH114" s="98">
        <v>0</v>
      </c>
      <c r="BI114" s="98">
        <v>5023</v>
      </c>
      <c r="BJ114" s="98"/>
      <c r="BK114" s="98"/>
      <c r="BL114" s="98"/>
    </row>
    <row r="115" spans="1:64" ht="17.25" outlineLevel="5" thickBot="1" x14ac:dyDescent="0.35">
      <c r="A115" s="154">
        <f t="shared" si="45"/>
        <v>3</v>
      </c>
      <c r="B115" s="155">
        <f t="shared" si="44"/>
        <v>44651</v>
      </c>
      <c r="C115" s="138"/>
      <c r="D115" s="84">
        <v>37</v>
      </c>
      <c r="E115" s="84">
        <v>37</v>
      </c>
      <c r="F115" s="84"/>
      <c r="G115" s="84"/>
      <c r="H115" s="84"/>
      <c r="I115" s="84"/>
      <c r="J115" s="84"/>
      <c r="K115" s="84"/>
      <c r="L115" s="140">
        <f t="shared" si="35"/>
        <v>8.1999999999999993</v>
      </c>
      <c r="M115" s="86">
        <v>8.25</v>
      </c>
      <c r="N115" s="86">
        <v>8.19</v>
      </c>
      <c r="O115" s="86"/>
      <c r="P115" s="86"/>
      <c r="Q115" s="86"/>
      <c r="R115" s="86"/>
      <c r="S115" s="86"/>
      <c r="T115" s="86"/>
      <c r="U115" s="142">
        <f t="shared" si="36"/>
        <v>1860</v>
      </c>
      <c r="V115" s="88">
        <v>1957</v>
      </c>
      <c r="W115" s="88">
        <v>1763</v>
      </c>
      <c r="X115" s="88"/>
      <c r="Y115" s="88"/>
      <c r="Z115" s="88"/>
      <c r="AA115" s="88"/>
      <c r="AB115" s="88"/>
      <c r="AC115" s="88"/>
      <c r="AD115" s="142" t="str">
        <f t="shared" si="37"/>
        <v/>
      </c>
      <c r="AE115" s="88"/>
      <c r="AF115" s="88"/>
      <c r="AG115" s="88"/>
      <c r="AH115" s="88"/>
      <c r="AI115" s="88"/>
      <c r="AJ115" s="88"/>
      <c r="AK115" s="88"/>
      <c r="AL115" s="88"/>
      <c r="AM115" s="88">
        <v>34.754436344893598</v>
      </c>
      <c r="AN115" s="88">
        <v>135.81</v>
      </c>
      <c r="AO115" s="89"/>
      <c r="AP115" s="90"/>
      <c r="AQ115" s="146" t="str">
        <f t="shared" si="38"/>
        <v/>
      </c>
      <c r="AR115" s="146" t="str">
        <f t="shared" si="39"/>
        <v/>
      </c>
      <c r="AS115" s="147">
        <v>24</v>
      </c>
      <c r="AT115" s="148">
        <v>17.149999999999999</v>
      </c>
      <c r="AU115" s="149">
        <v>9.7748500000000007</v>
      </c>
      <c r="AV115" s="146">
        <f t="shared" si="40"/>
        <v>56.996209912536457</v>
      </c>
      <c r="AW115" s="146">
        <f t="shared" si="41"/>
        <v>43.003790087463543</v>
      </c>
      <c r="AX115" s="138" t="str">
        <f t="shared" si="42"/>
        <v/>
      </c>
      <c r="AY115" s="95">
        <v>79.849999999999994</v>
      </c>
      <c r="AZ115" s="96">
        <v>59.585000000000001</v>
      </c>
      <c r="BA115" s="96"/>
      <c r="BB115" s="96">
        <v>51</v>
      </c>
      <c r="BC115" s="96"/>
      <c r="BD115" s="97">
        <v>135.81</v>
      </c>
      <c r="BE115" s="142">
        <f t="shared" si="43"/>
        <v>5365</v>
      </c>
      <c r="BF115" s="98">
        <v>13</v>
      </c>
      <c r="BG115" s="98">
        <v>6</v>
      </c>
      <c r="BH115" s="98">
        <v>121</v>
      </c>
      <c r="BI115" s="98">
        <v>5225</v>
      </c>
      <c r="BJ115" s="98"/>
      <c r="BK115" s="98"/>
      <c r="BL115" s="98"/>
    </row>
    <row r="116" spans="1:64" outlineLevel="4" x14ac:dyDescent="0.3">
      <c r="A116" s="63" t="s">
        <v>65</v>
      </c>
      <c r="B116" s="64"/>
      <c r="C116" s="65">
        <f t="shared" ref="C116:BL116" si="46">SUBTOTAL(4,C85:C115)</f>
        <v>0</v>
      </c>
      <c r="D116" s="66">
        <f t="shared" si="46"/>
        <v>40</v>
      </c>
      <c r="E116" s="66">
        <f t="shared" si="46"/>
        <v>40</v>
      </c>
      <c r="F116" s="66">
        <f t="shared" si="46"/>
        <v>0</v>
      </c>
      <c r="G116" s="66">
        <f t="shared" si="46"/>
        <v>0</v>
      </c>
      <c r="H116" s="66">
        <f t="shared" si="46"/>
        <v>0</v>
      </c>
      <c r="I116" s="66">
        <f t="shared" si="46"/>
        <v>0</v>
      </c>
      <c r="J116" s="66">
        <f t="shared" si="46"/>
        <v>0</v>
      </c>
      <c r="K116" s="66">
        <f t="shared" si="46"/>
        <v>0</v>
      </c>
      <c r="L116" s="67">
        <f t="shared" si="46"/>
        <v>8.3000000000000007</v>
      </c>
      <c r="M116" s="68">
        <f t="shared" si="46"/>
        <v>8.2899999999999991</v>
      </c>
      <c r="N116" s="68">
        <f t="shared" si="46"/>
        <v>8.2100000000000009</v>
      </c>
      <c r="O116" s="68">
        <f t="shared" si="46"/>
        <v>0</v>
      </c>
      <c r="P116" s="68">
        <f t="shared" si="46"/>
        <v>0</v>
      </c>
      <c r="Q116" s="68">
        <f t="shared" si="46"/>
        <v>0</v>
      </c>
      <c r="R116" s="68">
        <f t="shared" si="46"/>
        <v>0</v>
      </c>
      <c r="S116" s="68">
        <f t="shared" si="46"/>
        <v>0</v>
      </c>
      <c r="T116" s="68">
        <f t="shared" si="46"/>
        <v>0</v>
      </c>
      <c r="U116" s="69">
        <f t="shared" si="46"/>
        <v>1892</v>
      </c>
      <c r="V116" s="70">
        <f t="shared" si="46"/>
        <v>1997</v>
      </c>
      <c r="W116" s="70">
        <f t="shared" si="46"/>
        <v>1820</v>
      </c>
      <c r="X116" s="70">
        <f t="shared" si="46"/>
        <v>0</v>
      </c>
      <c r="Y116" s="70">
        <f t="shared" si="46"/>
        <v>0</v>
      </c>
      <c r="Z116" s="70">
        <f t="shared" si="46"/>
        <v>0</v>
      </c>
      <c r="AA116" s="70">
        <f t="shared" si="46"/>
        <v>0</v>
      </c>
      <c r="AB116" s="70">
        <f t="shared" si="46"/>
        <v>0</v>
      </c>
      <c r="AC116" s="70">
        <f t="shared" si="46"/>
        <v>0</v>
      </c>
      <c r="AD116" s="69">
        <f t="shared" si="46"/>
        <v>8800</v>
      </c>
      <c r="AE116" s="70">
        <f t="shared" si="46"/>
        <v>8950</v>
      </c>
      <c r="AF116" s="70">
        <f t="shared" si="46"/>
        <v>8650</v>
      </c>
      <c r="AG116" s="70">
        <f t="shared" si="46"/>
        <v>0</v>
      </c>
      <c r="AH116" s="70">
        <f t="shared" si="46"/>
        <v>0</v>
      </c>
      <c r="AI116" s="70">
        <f t="shared" si="46"/>
        <v>0</v>
      </c>
      <c r="AJ116" s="70">
        <f t="shared" si="46"/>
        <v>0</v>
      </c>
      <c r="AK116" s="70">
        <f t="shared" si="46"/>
        <v>0</v>
      </c>
      <c r="AL116" s="70">
        <f t="shared" si="46"/>
        <v>0</v>
      </c>
      <c r="AM116" s="70">
        <f t="shared" si="46"/>
        <v>54.84545665814548</v>
      </c>
      <c r="AN116" s="70">
        <f t="shared" si="46"/>
        <v>150.57</v>
      </c>
      <c r="AO116" s="71">
        <f t="shared" si="46"/>
        <v>33.700000000000003</v>
      </c>
      <c r="AP116" s="72">
        <f t="shared" si="46"/>
        <v>29.015700000000002</v>
      </c>
      <c r="AQ116" s="73">
        <f t="shared" si="46"/>
        <v>88.1</v>
      </c>
      <c r="AR116" s="73">
        <f t="shared" si="46"/>
        <v>23.500000000000014</v>
      </c>
      <c r="AS116" s="74">
        <f t="shared" si="46"/>
        <v>41</v>
      </c>
      <c r="AT116" s="75">
        <f t="shared" si="46"/>
        <v>21.75</v>
      </c>
      <c r="AU116" s="76">
        <f t="shared" si="46"/>
        <v>13.297750000000001</v>
      </c>
      <c r="AV116" s="73">
        <f t="shared" si="46"/>
        <v>63.872727272727268</v>
      </c>
      <c r="AW116" s="73">
        <f t="shared" si="46"/>
        <v>68.062776025236602</v>
      </c>
      <c r="AX116" s="65">
        <f t="shared" si="46"/>
        <v>85.300794551645851</v>
      </c>
      <c r="AY116" s="77">
        <f t="shared" si="46"/>
        <v>79.849999999999994</v>
      </c>
      <c r="AZ116" s="78">
        <f t="shared" si="46"/>
        <v>62.010000000000005</v>
      </c>
      <c r="BA116" s="78">
        <f t="shared" si="46"/>
        <v>0</v>
      </c>
      <c r="BB116" s="78">
        <f t="shared" si="46"/>
        <v>79</v>
      </c>
      <c r="BC116" s="78">
        <f t="shared" si="46"/>
        <v>0</v>
      </c>
      <c r="BD116" s="79">
        <f t="shared" si="46"/>
        <v>150.57</v>
      </c>
      <c r="BE116" s="69">
        <f t="shared" si="46"/>
        <v>14076</v>
      </c>
      <c r="BF116" s="70">
        <f t="shared" si="46"/>
        <v>900</v>
      </c>
      <c r="BG116" s="80">
        <f t="shared" si="46"/>
        <v>6</v>
      </c>
      <c r="BH116" s="80">
        <f t="shared" si="46"/>
        <v>8138</v>
      </c>
      <c r="BI116" s="80">
        <f t="shared" si="46"/>
        <v>5225</v>
      </c>
      <c r="BJ116" s="80">
        <f t="shared" si="46"/>
        <v>0</v>
      </c>
      <c r="BK116" s="80">
        <f t="shared" si="46"/>
        <v>0</v>
      </c>
      <c r="BL116" s="79">
        <f t="shared" si="46"/>
        <v>0</v>
      </c>
    </row>
    <row r="117" spans="1:64" outlineLevel="3" x14ac:dyDescent="0.3">
      <c r="A117" s="81" t="s">
        <v>66</v>
      </c>
      <c r="B117" s="82"/>
      <c r="C117" s="83">
        <f t="shared" ref="C117:BL117" si="47">SUBTOTAL(5,C85:C115)</f>
        <v>0</v>
      </c>
      <c r="D117" s="84">
        <f t="shared" si="47"/>
        <v>37</v>
      </c>
      <c r="E117" s="84">
        <f t="shared" si="47"/>
        <v>37</v>
      </c>
      <c r="F117" s="84">
        <f t="shared" si="47"/>
        <v>0</v>
      </c>
      <c r="G117" s="84">
        <f t="shared" si="47"/>
        <v>0</v>
      </c>
      <c r="H117" s="84">
        <f t="shared" si="47"/>
        <v>0</v>
      </c>
      <c r="I117" s="84">
        <f t="shared" si="47"/>
        <v>0</v>
      </c>
      <c r="J117" s="84">
        <f t="shared" si="47"/>
        <v>0</v>
      </c>
      <c r="K117" s="84">
        <f t="shared" si="47"/>
        <v>0</v>
      </c>
      <c r="L117" s="85">
        <f t="shared" si="47"/>
        <v>7.4</v>
      </c>
      <c r="M117" s="86">
        <f t="shared" si="47"/>
        <v>7.5</v>
      </c>
      <c r="N117" s="86">
        <f t="shared" si="47"/>
        <v>7.21</v>
      </c>
      <c r="O117" s="86">
        <f t="shared" si="47"/>
        <v>0</v>
      </c>
      <c r="P117" s="86">
        <f t="shared" si="47"/>
        <v>0</v>
      </c>
      <c r="Q117" s="86">
        <f t="shared" si="47"/>
        <v>0</v>
      </c>
      <c r="R117" s="86">
        <f t="shared" si="47"/>
        <v>0</v>
      </c>
      <c r="S117" s="86">
        <f t="shared" si="47"/>
        <v>0</v>
      </c>
      <c r="T117" s="86">
        <f t="shared" si="47"/>
        <v>0</v>
      </c>
      <c r="U117" s="87">
        <f t="shared" si="47"/>
        <v>1359</v>
      </c>
      <c r="V117" s="88">
        <f t="shared" si="47"/>
        <v>1398</v>
      </c>
      <c r="W117" s="88">
        <f t="shared" si="47"/>
        <v>1298</v>
      </c>
      <c r="X117" s="88">
        <f t="shared" si="47"/>
        <v>0</v>
      </c>
      <c r="Y117" s="88">
        <f t="shared" si="47"/>
        <v>0</v>
      </c>
      <c r="Z117" s="88">
        <f t="shared" si="47"/>
        <v>0</v>
      </c>
      <c r="AA117" s="88">
        <f t="shared" si="47"/>
        <v>0</v>
      </c>
      <c r="AB117" s="88">
        <f t="shared" si="47"/>
        <v>0</v>
      </c>
      <c r="AC117" s="88">
        <f t="shared" si="47"/>
        <v>0</v>
      </c>
      <c r="AD117" s="87">
        <f t="shared" si="47"/>
        <v>7350</v>
      </c>
      <c r="AE117" s="88">
        <f t="shared" si="47"/>
        <v>7500</v>
      </c>
      <c r="AF117" s="88">
        <f t="shared" si="47"/>
        <v>7200</v>
      </c>
      <c r="AG117" s="88">
        <f t="shared" si="47"/>
        <v>0</v>
      </c>
      <c r="AH117" s="88">
        <f t="shared" si="47"/>
        <v>0</v>
      </c>
      <c r="AI117" s="88">
        <f t="shared" si="47"/>
        <v>0</v>
      </c>
      <c r="AJ117" s="88">
        <f t="shared" si="47"/>
        <v>0</v>
      </c>
      <c r="AK117" s="88">
        <f t="shared" si="47"/>
        <v>0</v>
      </c>
      <c r="AL117" s="88">
        <f t="shared" si="47"/>
        <v>0</v>
      </c>
      <c r="AM117" s="88">
        <f t="shared" si="47"/>
        <v>31.347545991897459</v>
      </c>
      <c r="AN117" s="88">
        <f t="shared" si="47"/>
        <v>86.06</v>
      </c>
      <c r="AO117" s="89">
        <f t="shared" si="47"/>
        <v>27</v>
      </c>
      <c r="AP117" s="90">
        <f t="shared" si="47"/>
        <v>21.190499999999997</v>
      </c>
      <c r="AQ117" s="91">
        <f t="shared" si="47"/>
        <v>76.499999999999986</v>
      </c>
      <c r="AR117" s="91">
        <f t="shared" si="47"/>
        <v>11.900000000000006</v>
      </c>
      <c r="AS117" s="92">
        <f t="shared" si="47"/>
        <v>0</v>
      </c>
      <c r="AT117" s="93">
        <f t="shared" si="47"/>
        <v>13.9</v>
      </c>
      <c r="AU117" s="94">
        <f t="shared" si="47"/>
        <v>5.0554999999999994</v>
      </c>
      <c r="AV117" s="91">
        <f t="shared" si="47"/>
        <v>31.937223974763402</v>
      </c>
      <c r="AW117" s="91">
        <f t="shared" si="47"/>
        <v>36.127272727272732</v>
      </c>
      <c r="AX117" s="83">
        <f t="shared" si="47"/>
        <v>61.920202912313862</v>
      </c>
      <c r="AY117" s="95">
        <f t="shared" si="47"/>
        <v>73.7</v>
      </c>
      <c r="AZ117" s="96">
        <f t="shared" si="47"/>
        <v>58.475000000000001</v>
      </c>
      <c r="BA117" s="96">
        <f t="shared" si="47"/>
        <v>0</v>
      </c>
      <c r="BB117" s="96">
        <f t="shared" si="47"/>
        <v>38</v>
      </c>
      <c r="BC117" s="96">
        <f t="shared" si="47"/>
        <v>0</v>
      </c>
      <c r="BD117" s="97">
        <f t="shared" si="47"/>
        <v>86.06</v>
      </c>
      <c r="BE117" s="87">
        <f t="shared" si="47"/>
        <v>3088</v>
      </c>
      <c r="BF117" s="88">
        <f t="shared" si="47"/>
        <v>0</v>
      </c>
      <c r="BG117" s="98">
        <f t="shared" si="47"/>
        <v>0</v>
      </c>
      <c r="BH117" s="98">
        <f t="shared" si="47"/>
        <v>0</v>
      </c>
      <c r="BI117" s="98">
        <f t="shared" si="47"/>
        <v>3087</v>
      </c>
      <c r="BJ117" s="98">
        <f t="shared" si="47"/>
        <v>0</v>
      </c>
      <c r="BK117" s="98">
        <f t="shared" si="47"/>
        <v>0</v>
      </c>
      <c r="BL117" s="97">
        <f t="shared" si="47"/>
        <v>0</v>
      </c>
    </row>
    <row r="118" spans="1:64" outlineLevel="2" x14ac:dyDescent="0.3">
      <c r="A118" s="81" t="s">
        <v>67</v>
      </c>
      <c r="B118" s="82"/>
      <c r="C118" s="83" t="str">
        <f t="shared" ref="C118:BL118" si="48">IFERROR(SUBTOTAL(1,C85:C115),"")</f>
        <v/>
      </c>
      <c r="D118" s="84">
        <f t="shared" si="48"/>
        <v>38.12903225806452</v>
      </c>
      <c r="E118" s="84">
        <f t="shared" si="48"/>
        <v>38.12903225806452</v>
      </c>
      <c r="F118" s="84" t="str">
        <f t="shared" si="48"/>
        <v/>
      </c>
      <c r="G118" s="84" t="str">
        <f t="shared" si="48"/>
        <v/>
      </c>
      <c r="H118" s="84" t="str">
        <f t="shared" si="48"/>
        <v/>
      </c>
      <c r="I118" s="84" t="str">
        <f t="shared" si="48"/>
        <v/>
      </c>
      <c r="J118" s="84" t="str">
        <f t="shared" si="48"/>
        <v/>
      </c>
      <c r="K118" s="84" t="str">
        <f t="shared" si="48"/>
        <v/>
      </c>
      <c r="L118" s="85">
        <f t="shared" si="48"/>
        <v>8</v>
      </c>
      <c r="M118" s="86">
        <f t="shared" si="48"/>
        <v>8.0694444444444446</v>
      </c>
      <c r="N118" s="86">
        <f t="shared" si="48"/>
        <v>7.9194444444444452</v>
      </c>
      <c r="O118" s="86" t="str">
        <f t="shared" si="48"/>
        <v/>
      </c>
      <c r="P118" s="86" t="str">
        <f t="shared" si="48"/>
        <v/>
      </c>
      <c r="Q118" s="86" t="str">
        <f t="shared" si="48"/>
        <v/>
      </c>
      <c r="R118" s="86" t="str">
        <f t="shared" si="48"/>
        <v/>
      </c>
      <c r="S118" s="86" t="str">
        <f t="shared" si="48"/>
        <v/>
      </c>
      <c r="T118" s="86" t="str">
        <f t="shared" si="48"/>
        <v/>
      </c>
      <c r="U118" s="87">
        <f t="shared" si="48"/>
        <v>1570.2222222222222</v>
      </c>
      <c r="V118" s="88">
        <f t="shared" si="48"/>
        <v>1642</v>
      </c>
      <c r="W118" s="88">
        <f t="shared" si="48"/>
        <v>1498.4444444444443</v>
      </c>
      <c r="X118" s="88" t="str">
        <f t="shared" si="48"/>
        <v/>
      </c>
      <c r="Y118" s="88" t="str">
        <f t="shared" si="48"/>
        <v/>
      </c>
      <c r="Z118" s="88" t="str">
        <f t="shared" si="48"/>
        <v/>
      </c>
      <c r="AA118" s="88" t="str">
        <f t="shared" si="48"/>
        <v/>
      </c>
      <c r="AB118" s="88" t="str">
        <f t="shared" si="48"/>
        <v/>
      </c>
      <c r="AC118" s="88" t="str">
        <f t="shared" si="48"/>
        <v/>
      </c>
      <c r="AD118" s="87">
        <f t="shared" si="48"/>
        <v>8200</v>
      </c>
      <c r="AE118" s="88">
        <f t="shared" si="48"/>
        <v>8350</v>
      </c>
      <c r="AF118" s="88">
        <f t="shared" si="48"/>
        <v>8050</v>
      </c>
      <c r="AG118" s="88" t="str">
        <f t="shared" si="48"/>
        <v/>
      </c>
      <c r="AH118" s="88" t="str">
        <f t="shared" si="48"/>
        <v/>
      </c>
      <c r="AI118" s="88" t="str">
        <f t="shared" si="48"/>
        <v/>
      </c>
      <c r="AJ118" s="88" t="str">
        <f t="shared" si="48"/>
        <v/>
      </c>
      <c r="AK118" s="88" t="str">
        <f t="shared" si="48"/>
        <v/>
      </c>
      <c r="AL118" s="88" t="str">
        <f t="shared" si="48"/>
        <v/>
      </c>
      <c r="AM118" s="88">
        <f t="shared" si="48"/>
        <v>39.143818675175503</v>
      </c>
      <c r="AN118" s="88">
        <f t="shared" si="48"/>
        <v>122.17064516129031</v>
      </c>
      <c r="AO118" s="89">
        <f t="shared" si="48"/>
        <v>28.925000000000001</v>
      </c>
      <c r="AP118" s="90">
        <f t="shared" si="48"/>
        <v>24.381450000000001</v>
      </c>
      <c r="AQ118" s="91">
        <f t="shared" si="48"/>
        <v>84.224999999999994</v>
      </c>
      <c r="AR118" s="91">
        <f t="shared" si="48"/>
        <v>15.775000000000002</v>
      </c>
      <c r="AS118" s="92">
        <f t="shared" si="48"/>
        <v>19.032258064516128</v>
      </c>
      <c r="AT118" s="93">
        <f t="shared" si="48"/>
        <v>16.370833333333334</v>
      </c>
      <c r="AU118" s="94">
        <f t="shared" si="48"/>
        <v>8.773770833333332</v>
      </c>
      <c r="AV118" s="91">
        <f t="shared" si="48"/>
        <v>53.474202565809144</v>
      </c>
      <c r="AW118" s="91">
        <f t="shared" si="48"/>
        <v>46.525797434190856</v>
      </c>
      <c r="AX118" s="83">
        <f t="shared" si="48"/>
        <v>75.263929396360766</v>
      </c>
      <c r="AY118" s="95">
        <f t="shared" si="48"/>
        <v>76.259090909090915</v>
      </c>
      <c r="AZ118" s="96">
        <f t="shared" si="48"/>
        <v>60.698846153846155</v>
      </c>
      <c r="BA118" s="96" t="str">
        <f t="shared" si="48"/>
        <v/>
      </c>
      <c r="BB118" s="96">
        <f t="shared" si="48"/>
        <v>53.5</v>
      </c>
      <c r="BC118" s="96" t="str">
        <f t="shared" si="48"/>
        <v/>
      </c>
      <c r="BD118" s="97">
        <f>IFERROR(SUBTOTAL(1,BD85:BD115),"")</f>
        <v>122.17064516129031</v>
      </c>
      <c r="BE118" s="87">
        <f t="shared" si="48"/>
        <v>9539.0967741935492</v>
      </c>
      <c r="BF118" s="88">
        <f t="shared" si="48"/>
        <v>310.22580645161293</v>
      </c>
      <c r="BG118" s="98">
        <f t="shared" si="48"/>
        <v>0.19354838709677419</v>
      </c>
      <c r="BH118" s="98">
        <f t="shared" si="48"/>
        <v>4391.0645161290322</v>
      </c>
      <c r="BI118" s="98">
        <f t="shared" si="48"/>
        <v>4837.6129032258068</v>
      </c>
      <c r="BJ118" s="98" t="str">
        <f t="shared" si="48"/>
        <v/>
      </c>
      <c r="BK118" s="98" t="str">
        <f t="shared" si="48"/>
        <v/>
      </c>
      <c r="BL118" s="97" t="str">
        <f t="shared" si="48"/>
        <v/>
      </c>
    </row>
    <row r="119" spans="1:64" ht="17.25" outlineLevel="1" thickBot="1" x14ac:dyDescent="0.35">
      <c r="A119" s="99" t="s">
        <v>68</v>
      </c>
      <c r="B119" s="100"/>
      <c r="C119" s="101"/>
      <c r="D119" s="102"/>
      <c r="E119" s="102"/>
      <c r="F119" s="102"/>
      <c r="G119" s="102"/>
      <c r="H119" s="102"/>
      <c r="I119" s="102"/>
      <c r="J119" s="102"/>
      <c r="K119" s="102"/>
      <c r="L119" s="103"/>
      <c r="M119" s="104"/>
      <c r="N119" s="104"/>
      <c r="O119" s="104"/>
      <c r="P119" s="104"/>
      <c r="Q119" s="104"/>
      <c r="R119" s="104"/>
      <c r="S119" s="104"/>
      <c r="T119" s="104"/>
      <c r="U119" s="105"/>
      <c r="V119" s="106"/>
      <c r="W119" s="106"/>
      <c r="X119" s="106"/>
      <c r="Y119" s="106"/>
      <c r="Z119" s="106"/>
      <c r="AA119" s="106"/>
      <c r="AB119" s="106"/>
      <c r="AC119" s="106"/>
      <c r="AD119" s="105"/>
      <c r="AE119" s="106"/>
      <c r="AF119" s="106"/>
      <c r="AG119" s="106"/>
      <c r="AH119" s="106"/>
      <c r="AI119" s="106"/>
      <c r="AJ119" s="106"/>
      <c r="AK119" s="106"/>
      <c r="AL119" s="106"/>
      <c r="AM119" s="106"/>
      <c r="AN119" s="107">
        <f>SUBTOTAL(9,AN85:AN115)</f>
        <v>3787.2899999999995</v>
      </c>
      <c r="AO119" s="108"/>
      <c r="AP119" s="109"/>
      <c r="AQ119" s="110"/>
      <c r="AR119" s="110"/>
      <c r="AS119" s="111">
        <f>SUBTOTAL(9,AS85:AS115)</f>
        <v>590</v>
      </c>
      <c r="AT119" s="112"/>
      <c r="AU119" s="113"/>
      <c r="AV119" s="110"/>
      <c r="AW119" s="110"/>
      <c r="AX119" s="101"/>
      <c r="AY119" s="114"/>
      <c r="AZ119" s="115"/>
      <c r="BA119" s="115"/>
      <c r="BB119" s="115"/>
      <c r="BC119" s="115"/>
      <c r="BD119" s="116">
        <f>SUBTOTAL(9,BD85:BD115)</f>
        <v>3787.2899999999995</v>
      </c>
      <c r="BE119" s="117">
        <f t="shared" ref="BE119:BL119" si="49">SUBTOTAL(9,BE85:BE115)</f>
        <v>295712</v>
      </c>
      <c r="BF119" s="107">
        <f t="shared" si="49"/>
        <v>9617</v>
      </c>
      <c r="BG119" s="118">
        <f t="shared" si="49"/>
        <v>6</v>
      </c>
      <c r="BH119" s="118">
        <f t="shared" si="49"/>
        <v>136123</v>
      </c>
      <c r="BI119" s="118">
        <f t="shared" si="49"/>
        <v>149966</v>
      </c>
      <c r="BJ119" s="118">
        <f t="shared" si="49"/>
        <v>0</v>
      </c>
      <c r="BK119" s="118">
        <f t="shared" si="49"/>
        <v>0</v>
      </c>
      <c r="BL119" s="116">
        <f t="shared" si="49"/>
        <v>0</v>
      </c>
    </row>
    <row r="120" spans="1:64" outlineLevel="5" x14ac:dyDescent="0.3">
      <c r="A120" s="136">
        <f t="shared" si="45"/>
        <v>4</v>
      </c>
      <c r="B120" s="165">
        <f>B115+1</f>
        <v>44652</v>
      </c>
      <c r="C120" s="138">
        <f t="shared" ref="C120:C149" si="50">IFERROR(ROUND(AVERAGE(D120:K120),1),"")</f>
        <v>37</v>
      </c>
      <c r="D120" s="84">
        <v>37</v>
      </c>
      <c r="E120" s="84">
        <v>37</v>
      </c>
      <c r="F120" s="84"/>
      <c r="G120" s="84"/>
      <c r="H120" s="84"/>
      <c r="I120" s="84"/>
      <c r="J120" s="84"/>
      <c r="K120" s="84"/>
      <c r="L120" s="140">
        <f t="shared" ref="L120:L149" si="51">IFERROR(ROUND(AVERAGE(M120:T120),1),"")</f>
        <v>8.1999999999999993</v>
      </c>
      <c r="M120" s="86">
        <v>8.26</v>
      </c>
      <c r="N120" s="86">
        <v>8.1999999999999993</v>
      </c>
      <c r="O120" s="86"/>
      <c r="P120" s="86"/>
      <c r="Q120" s="86"/>
      <c r="R120" s="86"/>
      <c r="S120" s="86"/>
      <c r="T120" s="86"/>
      <c r="U120" s="142">
        <f t="shared" ref="U120:U149" si="52">IFERROR(ROUND(AVERAGE(V120:AC120),1),"")</f>
        <v>1840</v>
      </c>
      <c r="V120" s="88">
        <v>1915</v>
      </c>
      <c r="W120" s="88">
        <v>1765</v>
      </c>
      <c r="X120" s="88"/>
      <c r="Y120" s="88"/>
      <c r="Z120" s="88"/>
      <c r="AA120" s="88"/>
      <c r="AB120" s="88"/>
      <c r="AC120" s="88"/>
      <c r="AD120" s="142" t="str">
        <f t="shared" ref="AD120:AD149" si="53">IFERROR(ROUND(AVERAGE(AE120:AL120),1),"")</f>
        <v/>
      </c>
      <c r="AE120" s="88"/>
      <c r="AF120" s="88"/>
      <c r="AG120" s="88"/>
      <c r="AH120" s="88"/>
      <c r="AI120" s="88"/>
      <c r="AJ120" s="88"/>
      <c r="AK120" s="88"/>
      <c r="AL120" s="88"/>
      <c r="AM120" s="88">
        <v>32.087015635622024</v>
      </c>
      <c r="AN120" s="88">
        <v>147.1</v>
      </c>
      <c r="AO120" s="89"/>
      <c r="AP120" s="90"/>
      <c r="AQ120" s="146" t="str">
        <f t="shared" ref="AQ120:AQ149" si="54">IFERROR(AP120/AO120*100,"")</f>
        <v/>
      </c>
      <c r="AR120" s="146" t="str">
        <f t="shared" ref="AR120:AR149" si="55">IFERROR(100-AQ120,"")</f>
        <v/>
      </c>
      <c r="AS120" s="147">
        <v>46</v>
      </c>
      <c r="AT120" s="148" t="s">
        <v>106</v>
      </c>
      <c r="AU120" s="149" t="s">
        <v>56</v>
      </c>
      <c r="AV120" s="146" t="str">
        <f t="shared" ref="AV120:AV149" si="56">IFERROR(AU120/AT120*100,"")</f>
        <v/>
      </c>
      <c r="AW120" s="146" t="str">
        <f t="shared" ref="AW120:AW149" si="57">IFERROR(100-AV120,"")</f>
        <v/>
      </c>
      <c r="AX120" s="138" t="str">
        <f t="shared" ref="AX120:AX149" si="58">IFERROR((1-((AV120*AR120)/(AW120*AQ120)))*100,"")</f>
        <v/>
      </c>
      <c r="AY120" s="95" t="s">
        <v>56</v>
      </c>
      <c r="AZ120" s="96">
        <v>60.064999999999998</v>
      </c>
      <c r="BA120" s="96"/>
      <c r="BB120" s="96">
        <v>53.5</v>
      </c>
      <c r="BC120" s="96"/>
      <c r="BD120" s="97">
        <v>147.1</v>
      </c>
      <c r="BE120" s="142">
        <f t="shared" ref="BE120:BE149" si="59">IF(SUM(BF120:BL120)=0,"",SUM(BF120:BL120))</f>
        <v>8771</v>
      </c>
      <c r="BF120" s="98">
        <v>380</v>
      </c>
      <c r="BG120" s="98">
        <v>0</v>
      </c>
      <c r="BH120" s="98">
        <v>3188</v>
      </c>
      <c r="BI120" s="98">
        <v>5203</v>
      </c>
      <c r="BJ120" s="98"/>
      <c r="BK120" s="98"/>
      <c r="BL120" s="98"/>
    </row>
    <row r="121" spans="1:64" outlineLevel="5" x14ac:dyDescent="0.3">
      <c r="A121" s="152">
        <f t="shared" si="45"/>
        <v>4</v>
      </c>
      <c r="B121" s="153">
        <f t="shared" si="44"/>
        <v>44653</v>
      </c>
      <c r="C121" s="138">
        <f t="shared" si="50"/>
        <v>37</v>
      </c>
      <c r="D121" s="84">
        <v>37</v>
      </c>
      <c r="E121" s="84">
        <v>37</v>
      </c>
      <c r="F121" s="84"/>
      <c r="G121" s="84"/>
      <c r="H121" s="84"/>
      <c r="I121" s="84"/>
      <c r="J121" s="84"/>
      <c r="K121" s="84"/>
      <c r="L121" s="140" t="str">
        <f t="shared" si="51"/>
        <v/>
      </c>
      <c r="M121" s="86"/>
      <c r="N121" s="86"/>
      <c r="O121" s="86"/>
      <c r="P121" s="86"/>
      <c r="Q121" s="86"/>
      <c r="R121" s="86"/>
      <c r="S121" s="86"/>
      <c r="T121" s="86"/>
      <c r="U121" s="142" t="str">
        <f t="shared" si="52"/>
        <v/>
      </c>
      <c r="V121" s="88"/>
      <c r="W121" s="88"/>
      <c r="X121" s="88"/>
      <c r="Y121" s="88"/>
      <c r="Z121" s="88"/>
      <c r="AA121" s="88"/>
      <c r="AB121" s="88"/>
      <c r="AC121" s="88"/>
      <c r="AD121" s="142" t="str">
        <f t="shared" si="53"/>
        <v/>
      </c>
      <c r="AE121" s="88"/>
      <c r="AF121" s="88"/>
      <c r="AG121" s="88"/>
      <c r="AH121" s="88"/>
      <c r="AI121" s="88"/>
      <c r="AJ121" s="88"/>
      <c r="AK121" s="88"/>
      <c r="AL121" s="88"/>
      <c r="AM121" s="88">
        <v>28.78750914857282</v>
      </c>
      <c r="AN121" s="88">
        <v>163.96</v>
      </c>
      <c r="AO121" s="89"/>
      <c r="AP121" s="90"/>
      <c r="AQ121" s="146" t="str">
        <f t="shared" si="54"/>
        <v/>
      </c>
      <c r="AR121" s="146" t="str">
        <f t="shared" si="55"/>
        <v/>
      </c>
      <c r="AS121" s="147">
        <v>9</v>
      </c>
      <c r="AT121" s="148" t="s">
        <v>106</v>
      </c>
      <c r="AU121" s="149" t="s">
        <v>56</v>
      </c>
      <c r="AV121" s="146" t="str">
        <f t="shared" si="56"/>
        <v/>
      </c>
      <c r="AW121" s="146" t="str">
        <f t="shared" si="57"/>
        <v/>
      </c>
      <c r="AX121" s="138" t="str">
        <f t="shared" si="58"/>
        <v/>
      </c>
      <c r="AY121" s="95" t="s">
        <v>56</v>
      </c>
      <c r="AZ121" s="96" t="s">
        <v>56</v>
      </c>
      <c r="BA121" s="96"/>
      <c r="BB121" s="96" t="s">
        <v>56</v>
      </c>
      <c r="BC121" s="96"/>
      <c r="BD121" s="97">
        <v>163.96</v>
      </c>
      <c r="BE121" s="142">
        <f t="shared" si="59"/>
        <v>8527</v>
      </c>
      <c r="BF121" s="98">
        <v>0</v>
      </c>
      <c r="BG121" s="98">
        <v>0</v>
      </c>
      <c r="BH121" s="98">
        <v>3573</v>
      </c>
      <c r="BI121" s="98">
        <v>4954</v>
      </c>
      <c r="BJ121" s="98"/>
      <c r="BK121" s="98"/>
      <c r="BL121" s="98"/>
    </row>
    <row r="122" spans="1:64" outlineLevel="5" x14ac:dyDescent="0.3">
      <c r="A122" s="152">
        <f t="shared" si="45"/>
        <v>4</v>
      </c>
      <c r="B122" s="153">
        <f t="shared" si="44"/>
        <v>44654</v>
      </c>
      <c r="C122" s="138">
        <f t="shared" si="50"/>
        <v>36</v>
      </c>
      <c r="D122" s="84">
        <v>36</v>
      </c>
      <c r="E122" s="84">
        <v>36</v>
      </c>
      <c r="F122" s="84"/>
      <c r="G122" s="84"/>
      <c r="H122" s="84"/>
      <c r="I122" s="84"/>
      <c r="J122" s="84"/>
      <c r="K122" s="84"/>
      <c r="L122" s="140" t="str">
        <f t="shared" si="51"/>
        <v/>
      </c>
      <c r="M122" s="86"/>
      <c r="N122" s="86"/>
      <c r="O122" s="86"/>
      <c r="P122" s="86"/>
      <c r="Q122" s="86"/>
      <c r="R122" s="86"/>
      <c r="S122" s="86"/>
      <c r="T122" s="86"/>
      <c r="U122" s="142" t="str">
        <f t="shared" si="52"/>
        <v/>
      </c>
      <c r="V122" s="88"/>
      <c r="W122" s="88"/>
      <c r="X122" s="88"/>
      <c r="Y122" s="88"/>
      <c r="Z122" s="88"/>
      <c r="AA122" s="88"/>
      <c r="AB122" s="88"/>
      <c r="AC122" s="88"/>
      <c r="AD122" s="142" t="str">
        <f t="shared" si="53"/>
        <v/>
      </c>
      <c r="AE122" s="88"/>
      <c r="AF122" s="88"/>
      <c r="AG122" s="88"/>
      <c r="AH122" s="88"/>
      <c r="AI122" s="88"/>
      <c r="AJ122" s="88"/>
      <c r="AK122" s="88"/>
      <c r="AL122" s="88"/>
      <c r="AM122" s="88">
        <v>33.714285714285715</v>
      </c>
      <c r="AN122" s="88">
        <v>140</v>
      </c>
      <c r="AO122" s="89"/>
      <c r="AP122" s="90"/>
      <c r="AQ122" s="146" t="str">
        <f t="shared" si="54"/>
        <v/>
      </c>
      <c r="AR122" s="146" t="str">
        <f t="shared" si="55"/>
        <v/>
      </c>
      <c r="AS122" s="147">
        <v>0</v>
      </c>
      <c r="AT122" s="148" t="s">
        <v>106</v>
      </c>
      <c r="AU122" s="149" t="s">
        <v>56</v>
      </c>
      <c r="AV122" s="146" t="str">
        <f t="shared" si="56"/>
        <v/>
      </c>
      <c r="AW122" s="146" t="str">
        <f t="shared" si="57"/>
        <v/>
      </c>
      <c r="AX122" s="138" t="str">
        <f t="shared" si="58"/>
        <v/>
      </c>
      <c r="AY122" s="95" t="s">
        <v>56</v>
      </c>
      <c r="AZ122" s="96" t="s">
        <v>56</v>
      </c>
      <c r="BA122" s="96"/>
      <c r="BB122" s="96" t="s">
        <v>56</v>
      </c>
      <c r="BC122" s="96"/>
      <c r="BD122" s="97">
        <v>140</v>
      </c>
      <c r="BE122" s="142">
        <f t="shared" si="59"/>
        <v>7872</v>
      </c>
      <c r="BF122" s="98">
        <v>18</v>
      </c>
      <c r="BG122" s="98">
        <v>0</v>
      </c>
      <c r="BH122" s="98">
        <v>3171</v>
      </c>
      <c r="BI122" s="98">
        <v>4683</v>
      </c>
      <c r="BJ122" s="98"/>
      <c r="BK122" s="98"/>
      <c r="BL122" s="98"/>
    </row>
    <row r="123" spans="1:64" outlineLevel="5" x14ac:dyDescent="0.3">
      <c r="A123" s="152">
        <f t="shared" si="45"/>
        <v>4</v>
      </c>
      <c r="B123" s="153">
        <f t="shared" si="44"/>
        <v>44655</v>
      </c>
      <c r="C123" s="138">
        <f t="shared" si="50"/>
        <v>37</v>
      </c>
      <c r="D123" s="84">
        <v>37</v>
      </c>
      <c r="E123" s="84">
        <v>37</v>
      </c>
      <c r="F123" s="84"/>
      <c r="G123" s="84"/>
      <c r="H123" s="84"/>
      <c r="I123" s="84"/>
      <c r="J123" s="84"/>
      <c r="K123" s="84"/>
      <c r="L123" s="140">
        <f t="shared" si="51"/>
        <v>8.1999999999999993</v>
      </c>
      <c r="M123" s="86">
        <v>8.1999999999999993</v>
      </c>
      <c r="N123" s="86">
        <v>8.15</v>
      </c>
      <c r="O123" s="86"/>
      <c r="P123" s="86"/>
      <c r="Q123" s="86"/>
      <c r="R123" s="86"/>
      <c r="S123" s="86"/>
      <c r="T123" s="86"/>
      <c r="U123" s="142">
        <f t="shared" si="52"/>
        <v>1833</v>
      </c>
      <c r="V123" s="88">
        <v>1925</v>
      </c>
      <c r="W123" s="88">
        <v>1741</v>
      </c>
      <c r="X123" s="88"/>
      <c r="Y123" s="88"/>
      <c r="Z123" s="88"/>
      <c r="AA123" s="88"/>
      <c r="AB123" s="88"/>
      <c r="AC123" s="88"/>
      <c r="AD123" s="142" t="str">
        <f t="shared" si="53"/>
        <v/>
      </c>
      <c r="AE123" s="88"/>
      <c r="AF123" s="88"/>
      <c r="AG123" s="88"/>
      <c r="AH123" s="88"/>
      <c r="AI123" s="88"/>
      <c r="AJ123" s="88"/>
      <c r="AK123" s="88"/>
      <c r="AL123" s="88"/>
      <c r="AM123" s="88">
        <v>49.815303430079155</v>
      </c>
      <c r="AN123" s="88">
        <v>94.75</v>
      </c>
      <c r="AO123" s="89">
        <v>20.3</v>
      </c>
      <c r="AP123" s="90">
        <v>19.650400000000001</v>
      </c>
      <c r="AQ123" s="146">
        <f t="shared" si="54"/>
        <v>96.8</v>
      </c>
      <c r="AR123" s="146">
        <f t="shared" si="55"/>
        <v>3.2000000000000028</v>
      </c>
      <c r="AS123" s="147">
        <v>20</v>
      </c>
      <c r="AT123" s="148"/>
      <c r="AU123" s="149"/>
      <c r="AV123" s="146" t="str">
        <f t="shared" si="56"/>
        <v/>
      </c>
      <c r="AW123" s="146" t="str">
        <f t="shared" si="57"/>
        <v/>
      </c>
      <c r="AX123" s="138" t="str">
        <f t="shared" si="58"/>
        <v/>
      </c>
      <c r="AY123" s="95">
        <v>70.099999999999994</v>
      </c>
      <c r="AZ123" s="96">
        <v>61.39</v>
      </c>
      <c r="BA123" s="96"/>
      <c r="BB123" s="96">
        <v>49</v>
      </c>
      <c r="BC123" s="96"/>
      <c r="BD123" s="97">
        <v>94.75</v>
      </c>
      <c r="BE123" s="142">
        <f t="shared" si="59"/>
        <v>7945</v>
      </c>
      <c r="BF123" s="98">
        <v>28</v>
      </c>
      <c r="BG123" s="98">
        <v>0</v>
      </c>
      <c r="BH123" s="98">
        <v>3068</v>
      </c>
      <c r="BI123" s="98">
        <v>4849</v>
      </c>
      <c r="BJ123" s="98"/>
      <c r="BK123" s="98"/>
      <c r="BL123" s="98"/>
    </row>
    <row r="124" spans="1:64" outlineLevel="5" x14ac:dyDescent="0.3">
      <c r="A124" s="152">
        <f t="shared" si="45"/>
        <v>4</v>
      </c>
      <c r="B124" s="153">
        <f t="shared" si="44"/>
        <v>44656</v>
      </c>
      <c r="C124" s="138">
        <f t="shared" si="50"/>
        <v>37</v>
      </c>
      <c r="D124" s="84">
        <v>37</v>
      </c>
      <c r="E124" s="84">
        <v>37</v>
      </c>
      <c r="F124" s="84"/>
      <c r="G124" s="84"/>
      <c r="H124" s="84"/>
      <c r="I124" s="84"/>
      <c r="J124" s="84"/>
      <c r="K124" s="84"/>
      <c r="L124" s="140">
        <f t="shared" si="51"/>
        <v>8.1999999999999993</v>
      </c>
      <c r="M124" s="86">
        <v>8.24</v>
      </c>
      <c r="N124" s="86">
        <v>8.16</v>
      </c>
      <c r="O124" s="86"/>
      <c r="P124" s="86"/>
      <c r="Q124" s="86"/>
      <c r="R124" s="86"/>
      <c r="S124" s="86"/>
      <c r="T124" s="86"/>
      <c r="U124" s="142">
        <f t="shared" si="52"/>
        <v>1807</v>
      </c>
      <c r="V124" s="88">
        <v>1925</v>
      </c>
      <c r="W124" s="88">
        <v>1689</v>
      </c>
      <c r="X124" s="88"/>
      <c r="Y124" s="88"/>
      <c r="Z124" s="88"/>
      <c r="AA124" s="88"/>
      <c r="AB124" s="88"/>
      <c r="AC124" s="88"/>
      <c r="AD124" s="142" t="str">
        <f t="shared" si="53"/>
        <v/>
      </c>
      <c r="AE124" s="88"/>
      <c r="AF124" s="88"/>
      <c r="AG124" s="88"/>
      <c r="AH124" s="88"/>
      <c r="AI124" s="88"/>
      <c r="AJ124" s="88"/>
      <c r="AK124" s="88"/>
      <c r="AL124" s="88"/>
      <c r="AM124" s="88">
        <v>35.74132969862184</v>
      </c>
      <c r="AN124" s="88">
        <v>132.06</v>
      </c>
      <c r="AO124" s="89"/>
      <c r="AP124" s="90"/>
      <c r="AQ124" s="146" t="str">
        <f t="shared" si="54"/>
        <v/>
      </c>
      <c r="AR124" s="146" t="str">
        <f t="shared" si="55"/>
        <v/>
      </c>
      <c r="AS124" s="147">
        <v>40</v>
      </c>
      <c r="AT124" s="148" t="s">
        <v>106</v>
      </c>
      <c r="AU124" s="149" t="s">
        <v>56</v>
      </c>
      <c r="AV124" s="146" t="str">
        <f t="shared" si="56"/>
        <v/>
      </c>
      <c r="AW124" s="146" t="str">
        <f t="shared" si="57"/>
        <v/>
      </c>
      <c r="AX124" s="138" t="str">
        <f t="shared" si="58"/>
        <v/>
      </c>
      <c r="AY124" s="95" t="s">
        <v>56</v>
      </c>
      <c r="AZ124" s="96">
        <v>60.879999999999995</v>
      </c>
      <c r="BA124" s="96"/>
      <c r="BB124" s="96">
        <v>55.5</v>
      </c>
      <c r="BC124" s="96"/>
      <c r="BD124" s="97">
        <v>132.06</v>
      </c>
      <c r="BE124" s="142">
        <f t="shared" si="59"/>
        <v>8489</v>
      </c>
      <c r="BF124" s="98">
        <v>2</v>
      </c>
      <c r="BG124" s="98">
        <v>0</v>
      </c>
      <c r="BH124" s="98">
        <v>3234</v>
      </c>
      <c r="BI124" s="98">
        <v>5253</v>
      </c>
      <c r="BJ124" s="98"/>
      <c r="BK124" s="98"/>
      <c r="BL124" s="98"/>
    </row>
    <row r="125" spans="1:64" outlineLevel="5" x14ac:dyDescent="0.3">
      <c r="A125" s="152">
        <f t="shared" si="45"/>
        <v>4</v>
      </c>
      <c r="B125" s="153">
        <f t="shared" si="44"/>
        <v>44657</v>
      </c>
      <c r="C125" s="138">
        <f t="shared" si="50"/>
        <v>37</v>
      </c>
      <c r="D125" s="84">
        <v>37</v>
      </c>
      <c r="E125" s="84">
        <v>37</v>
      </c>
      <c r="F125" s="84"/>
      <c r="G125" s="84"/>
      <c r="H125" s="84"/>
      <c r="I125" s="84"/>
      <c r="J125" s="84"/>
      <c r="K125" s="84"/>
      <c r="L125" s="140">
        <f t="shared" si="51"/>
        <v>8.1999999999999993</v>
      </c>
      <c r="M125" s="86">
        <v>8.2899999999999991</v>
      </c>
      <c r="N125" s="86">
        <v>8.1999999999999993</v>
      </c>
      <c r="O125" s="86"/>
      <c r="P125" s="86"/>
      <c r="Q125" s="86"/>
      <c r="R125" s="86"/>
      <c r="S125" s="86"/>
      <c r="T125" s="86"/>
      <c r="U125" s="142">
        <f t="shared" si="52"/>
        <v>1799</v>
      </c>
      <c r="V125" s="88">
        <v>1898</v>
      </c>
      <c r="W125" s="88">
        <v>1700</v>
      </c>
      <c r="X125" s="88"/>
      <c r="Y125" s="88"/>
      <c r="Z125" s="88"/>
      <c r="AA125" s="88"/>
      <c r="AB125" s="88"/>
      <c r="AC125" s="88"/>
      <c r="AD125" s="142">
        <f t="shared" si="53"/>
        <v>7870</v>
      </c>
      <c r="AE125" s="88">
        <v>8150</v>
      </c>
      <c r="AF125" s="88">
        <v>7590</v>
      </c>
      <c r="AG125" s="88"/>
      <c r="AH125" s="88"/>
      <c r="AI125" s="88"/>
      <c r="AJ125" s="88"/>
      <c r="AK125" s="88"/>
      <c r="AL125" s="88"/>
      <c r="AM125" s="88">
        <v>35.218624085957323</v>
      </c>
      <c r="AN125" s="88">
        <v>134.01999999999998</v>
      </c>
      <c r="AO125" s="89"/>
      <c r="AP125" s="90"/>
      <c r="AQ125" s="146" t="str">
        <f t="shared" si="54"/>
        <v/>
      </c>
      <c r="AR125" s="146" t="str">
        <f t="shared" si="55"/>
        <v/>
      </c>
      <c r="AS125" s="147">
        <v>20</v>
      </c>
      <c r="AT125" s="148" t="s">
        <v>106</v>
      </c>
      <c r="AU125" s="149" t="s">
        <v>56</v>
      </c>
      <c r="AV125" s="146" t="str">
        <f t="shared" si="56"/>
        <v/>
      </c>
      <c r="AW125" s="146" t="str">
        <f t="shared" si="57"/>
        <v/>
      </c>
      <c r="AX125" s="138" t="str">
        <f t="shared" si="58"/>
        <v/>
      </c>
      <c r="AY125" s="95" t="s">
        <v>56</v>
      </c>
      <c r="AZ125" s="96">
        <v>60.765000000000001</v>
      </c>
      <c r="BA125" s="96"/>
      <c r="BB125" s="96">
        <v>51</v>
      </c>
      <c r="BC125" s="96"/>
      <c r="BD125" s="97">
        <v>134.01999999999998</v>
      </c>
      <c r="BE125" s="142">
        <f t="shared" si="59"/>
        <v>8306</v>
      </c>
      <c r="BF125" s="98">
        <v>9</v>
      </c>
      <c r="BG125" s="98">
        <v>0</v>
      </c>
      <c r="BH125" s="98">
        <v>3043</v>
      </c>
      <c r="BI125" s="98">
        <v>5254</v>
      </c>
      <c r="BJ125" s="98"/>
      <c r="BK125" s="98"/>
      <c r="BL125" s="98"/>
    </row>
    <row r="126" spans="1:64" outlineLevel="5" x14ac:dyDescent="0.3">
      <c r="A126" s="152">
        <f t="shared" si="45"/>
        <v>4</v>
      </c>
      <c r="B126" s="153">
        <f t="shared" si="44"/>
        <v>44658</v>
      </c>
      <c r="C126" s="138">
        <f t="shared" si="50"/>
        <v>35</v>
      </c>
      <c r="D126" s="84">
        <v>35</v>
      </c>
      <c r="E126" s="84">
        <v>35</v>
      </c>
      <c r="F126" s="84"/>
      <c r="G126" s="84"/>
      <c r="H126" s="84"/>
      <c r="I126" s="84"/>
      <c r="J126" s="84"/>
      <c r="K126" s="84"/>
      <c r="L126" s="140">
        <f t="shared" si="51"/>
        <v>8.1999999999999993</v>
      </c>
      <c r="M126" s="86">
        <v>8.2100000000000009</v>
      </c>
      <c r="N126" s="86">
        <v>8.16</v>
      </c>
      <c r="O126" s="86"/>
      <c r="P126" s="86"/>
      <c r="Q126" s="86"/>
      <c r="R126" s="86"/>
      <c r="S126" s="86"/>
      <c r="T126" s="86"/>
      <c r="U126" s="142">
        <f t="shared" si="52"/>
        <v>1880</v>
      </c>
      <c r="V126" s="88">
        <v>1925</v>
      </c>
      <c r="W126" s="88">
        <v>1835</v>
      </c>
      <c r="X126" s="88"/>
      <c r="Y126" s="88"/>
      <c r="Z126" s="88"/>
      <c r="AA126" s="88"/>
      <c r="AB126" s="88"/>
      <c r="AC126" s="88"/>
      <c r="AD126" s="142" t="str">
        <f t="shared" si="53"/>
        <v/>
      </c>
      <c r="AE126" s="88"/>
      <c r="AF126" s="88"/>
      <c r="AG126" s="88"/>
      <c r="AH126" s="88"/>
      <c r="AI126" s="88"/>
      <c r="AJ126" s="88"/>
      <c r="AK126" s="88"/>
      <c r="AL126" s="88"/>
      <c r="AM126" s="88">
        <v>34.02046994377973</v>
      </c>
      <c r="AN126" s="88">
        <v>138.74</v>
      </c>
      <c r="AO126" s="89"/>
      <c r="AP126" s="90"/>
      <c r="AQ126" s="146" t="str">
        <f t="shared" si="54"/>
        <v/>
      </c>
      <c r="AR126" s="146" t="str">
        <f t="shared" si="55"/>
        <v/>
      </c>
      <c r="AS126" s="147">
        <v>31</v>
      </c>
      <c r="AT126" s="148">
        <v>16.350000000000001</v>
      </c>
      <c r="AU126" s="149">
        <v>9.744250000000001</v>
      </c>
      <c r="AV126" s="146">
        <f t="shared" si="56"/>
        <v>59.59785932721713</v>
      </c>
      <c r="AW126" s="146">
        <f t="shared" si="57"/>
        <v>40.40214067278287</v>
      </c>
      <c r="AX126" s="138" t="str">
        <f t="shared" si="58"/>
        <v/>
      </c>
      <c r="AY126" s="95">
        <v>78.95</v>
      </c>
      <c r="AZ126" s="96">
        <v>59.78</v>
      </c>
      <c r="BA126" s="96"/>
      <c r="BB126" s="96">
        <v>43.5</v>
      </c>
      <c r="BC126" s="96"/>
      <c r="BD126" s="97">
        <v>138.74</v>
      </c>
      <c r="BE126" s="142">
        <f t="shared" si="59"/>
        <v>8211</v>
      </c>
      <c r="BF126" s="98">
        <v>95</v>
      </c>
      <c r="BG126" s="98">
        <v>0</v>
      </c>
      <c r="BH126" s="98">
        <v>3028</v>
      </c>
      <c r="BI126" s="98">
        <v>5088</v>
      </c>
      <c r="BJ126" s="98"/>
      <c r="BK126" s="98"/>
      <c r="BL126" s="98"/>
    </row>
    <row r="127" spans="1:64" outlineLevel="5" x14ac:dyDescent="0.3">
      <c r="A127" s="152">
        <f t="shared" si="45"/>
        <v>4</v>
      </c>
      <c r="B127" s="153">
        <f t="shared" si="44"/>
        <v>44659</v>
      </c>
      <c r="C127" s="138">
        <f t="shared" si="50"/>
        <v>36</v>
      </c>
      <c r="D127" s="84">
        <v>36</v>
      </c>
      <c r="E127" s="84">
        <v>36</v>
      </c>
      <c r="F127" s="84"/>
      <c r="G127" s="84"/>
      <c r="H127" s="84"/>
      <c r="I127" s="84"/>
      <c r="J127" s="84"/>
      <c r="K127" s="84"/>
      <c r="L127" s="140">
        <f t="shared" si="51"/>
        <v>8.1999999999999993</v>
      </c>
      <c r="M127" s="86">
        <v>8.2799999999999994</v>
      </c>
      <c r="N127" s="86">
        <v>8.2100000000000009</v>
      </c>
      <c r="O127" s="86"/>
      <c r="P127" s="86"/>
      <c r="Q127" s="86"/>
      <c r="R127" s="86"/>
      <c r="S127" s="86"/>
      <c r="T127" s="86"/>
      <c r="U127" s="142">
        <f t="shared" si="52"/>
        <v>1831</v>
      </c>
      <c r="V127" s="88">
        <v>1897</v>
      </c>
      <c r="W127" s="88">
        <v>1765</v>
      </c>
      <c r="X127" s="88"/>
      <c r="Y127" s="88"/>
      <c r="Z127" s="88"/>
      <c r="AA127" s="88"/>
      <c r="AB127" s="88"/>
      <c r="AC127" s="88"/>
      <c r="AD127" s="142" t="str">
        <f t="shared" si="53"/>
        <v/>
      </c>
      <c r="AE127" s="88"/>
      <c r="AF127" s="88"/>
      <c r="AG127" s="88"/>
      <c r="AH127" s="88"/>
      <c r="AI127" s="88"/>
      <c r="AJ127" s="88"/>
      <c r="AK127" s="88"/>
      <c r="AL127" s="88"/>
      <c r="AM127" s="88">
        <v>32.067395882872475</v>
      </c>
      <c r="AN127" s="88">
        <v>147.19</v>
      </c>
      <c r="AO127" s="89"/>
      <c r="AP127" s="90"/>
      <c r="AQ127" s="146" t="str">
        <f t="shared" si="54"/>
        <v/>
      </c>
      <c r="AR127" s="146" t="str">
        <f t="shared" si="55"/>
        <v/>
      </c>
      <c r="AS127" s="147">
        <v>26</v>
      </c>
      <c r="AT127" s="148" t="s">
        <v>106</v>
      </c>
      <c r="AU127" s="149" t="s">
        <v>56</v>
      </c>
      <c r="AV127" s="146" t="str">
        <f t="shared" si="56"/>
        <v/>
      </c>
      <c r="AW127" s="146" t="str">
        <f t="shared" si="57"/>
        <v/>
      </c>
      <c r="AX127" s="138" t="str">
        <f t="shared" si="58"/>
        <v/>
      </c>
      <c r="AY127" s="95" t="s">
        <v>56</v>
      </c>
      <c r="AZ127" s="96">
        <v>59.730000000000004</v>
      </c>
      <c r="BA127" s="96"/>
      <c r="BB127" s="96">
        <v>45.5</v>
      </c>
      <c r="BC127" s="96"/>
      <c r="BD127" s="97">
        <v>147.19</v>
      </c>
      <c r="BE127" s="142">
        <f t="shared" si="59"/>
        <v>7793</v>
      </c>
      <c r="BF127" s="98">
        <v>192</v>
      </c>
      <c r="BG127" s="98">
        <v>0</v>
      </c>
      <c r="BH127" s="98">
        <v>2543</v>
      </c>
      <c r="BI127" s="98">
        <v>5058</v>
      </c>
      <c r="BJ127" s="98"/>
      <c r="BK127" s="98"/>
      <c r="BL127" s="98"/>
    </row>
    <row r="128" spans="1:64" outlineLevel="5" x14ac:dyDescent="0.3">
      <c r="A128" s="152">
        <f t="shared" si="45"/>
        <v>4</v>
      </c>
      <c r="B128" s="153">
        <f t="shared" si="44"/>
        <v>44660</v>
      </c>
      <c r="C128" s="138">
        <f t="shared" si="50"/>
        <v>36</v>
      </c>
      <c r="D128" s="84">
        <v>36</v>
      </c>
      <c r="E128" s="84">
        <v>36</v>
      </c>
      <c r="F128" s="84"/>
      <c r="G128" s="84"/>
      <c r="H128" s="84"/>
      <c r="I128" s="84"/>
      <c r="J128" s="84"/>
      <c r="K128" s="84"/>
      <c r="L128" s="140" t="str">
        <f t="shared" si="51"/>
        <v/>
      </c>
      <c r="M128" s="86"/>
      <c r="N128" s="86"/>
      <c r="O128" s="86"/>
      <c r="P128" s="86"/>
      <c r="Q128" s="86"/>
      <c r="R128" s="86"/>
      <c r="S128" s="86"/>
      <c r="T128" s="86"/>
      <c r="U128" s="142" t="str">
        <f t="shared" si="52"/>
        <v/>
      </c>
      <c r="V128" s="88"/>
      <c r="W128" s="88"/>
      <c r="X128" s="88"/>
      <c r="Y128" s="88"/>
      <c r="Z128" s="88"/>
      <c r="AA128" s="88"/>
      <c r="AB128" s="88"/>
      <c r="AC128" s="88"/>
      <c r="AD128" s="142" t="str">
        <f t="shared" si="53"/>
        <v/>
      </c>
      <c r="AE128" s="88"/>
      <c r="AF128" s="88"/>
      <c r="AG128" s="88"/>
      <c r="AH128" s="88"/>
      <c r="AI128" s="88"/>
      <c r="AJ128" s="88"/>
      <c r="AK128" s="88"/>
      <c r="AL128" s="88"/>
      <c r="AM128" s="88">
        <v>35.18711793648427</v>
      </c>
      <c r="AN128" s="88">
        <v>134.13999999999999</v>
      </c>
      <c r="AO128" s="89"/>
      <c r="AP128" s="90"/>
      <c r="AQ128" s="146" t="str">
        <f t="shared" si="54"/>
        <v/>
      </c>
      <c r="AR128" s="146" t="str">
        <f t="shared" si="55"/>
        <v/>
      </c>
      <c r="AS128" s="147">
        <v>15</v>
      </c>
      <c r="AT128" s="148" t="s">
        <v>106</v>
      </c>
      <c r="AU128" s="149" t="s">
        <v>56</v>
      </c>
      <c r="AV128" s="146" t="str">
        <f t="shared" si="56"/>
        <v/>
      </c>
      <c r="AW128" s="146" t="str">
        <f t="shared" si="57"/>
        <v/>
      </c>
      <c r="AX128" s="138" t="str">
        <f t="shared" si="58"/>
        <v/>
      </c>
      <c r="AY128" s="95" t="s">
        <v>56</v>
      </c>
      <c r="AZ128" s="96" t="s">
        <v>56</v>
      </c>
      <c r="BA128" s="96"/>
      <c r="BB128" s="96" t="s">
        <v>56</v>
      </c>
      <c r="BC128" s="96"/>
      <c r="BD128" s="97">
        <v>134.13999999999999</v>
      </c>
      <c r="BE128" s="142">
        <f t="shared" si="59"/>
        <v>7619</v>
      </c>
      <c r="BF128" s="98">
        <v>224</v>
      </c>
      <c r="BG128" s="98">
        <v>0</v>
      </c>
      <c r="BH128" s="98">
        <v>2581</v>
      </c>
      <c r="BI128" s="98">
        <v>4814</v>
      </c>
      <c r="BJ128" s="98"/>
      <c r="BK128" s="98"/>
      <c r="BL128" s="98"/>
    </row>
    <row r="129" spans="1:64" outlineLevel="5" x14ac:dyDescent="0.3">
      <c r="A129" s="152">
        <f t="shared" si="45"/>
        <v>4</v>
      </c>
      <c r="B129" s="153">
        <f t="shared" si="44"/>
        <v>44661</v>
      </c>
      <c r="C129" s="138">
        <f t="shared" si="50"/>
        <v>39.5</v>
      </c>
      <c r="D129" s="84">
        <v>40</v>
      </c>
      <c r="E129" s="84">
        <v>39</v>
      </c>
      <c r="F129" s="84"/>
      <c r="G129" s="84"/>
      <c r="H129" s="84"/>
      <c r="I129" s="84"/>
      <c r="J129" s="84"/>
      <c r="K129" s="84"/>
      <c r="L129" s="140" t="str">
        <f t="shared" si="51"/>
        <v/>
      </c>
      <c r="M129" s="86"/>
      <c r="N129" s="86"/>
      <c r="O129" s="86"/>
      <c r="P129" s="86"/>
      <c r="Q129" s="86"/>
      <c r="R129" s="86"/>
      <c r="S129" s="86"/>
      <c r="T129" s="86"/>
      <c r="U129" s="142" t="str">
        <f t="shared" si="52"/>
        <v/>
      </c>
      <c r="V129" s="88"/>
      <c r="W129" s="88"/>
      <c r="X129" s="88"/>
      <c r="Y129" s="88"/>
      <c r="Z129" s="88"/>
      <c r="AA129" s="88"/>
      <c r="AB129" s="88"/>
      <c r="AC129" s="88"/>
      <c r="AD129" s="142" t="str">
        <f t="shared" si="53"/>
        <v/>
      </c>
      <c r="AE129" s="88"/>
      <c r="AF129" s="88"/>
      <c r="AG129" s="88"/>
      <c r="AH129" s="88"/>
      <c r="AI129" s="88"/>
      <c r="AJ129" s="88"/>
      <c r="AK129" s="88"/>
      <c r="AL129" s="88"/>
      <c r="AM129" s="88">
        <v>36.307692307692307</v>
      </c>
      <c r="AN129" s="88">
        <v>130</v>
      </c>
      <c r="AO129" s="89"/>
      <c r="AP129" s="90"/>
      <c r="AQ129" s="146" t="str">
        <f t="shared" si="54"/>
        <v/>
      </c>
      <c r="AR129" s="146" t="str">
        <f t="shared" si="55"/>
        <v/>
      </c>
      <c r="AS129" s="147">
        <v>0</v>
      </c>
      <c r="AT129" s="148" t="s">
        <v>106</v>
      </c>
      <c r="AU129" s="149" t="s">
        <v>56</v>
      </c>
      <c r="AV129" s="146" t="str">
        <f t="shared" si="56"/>
        <v/>
      </c>
      <c r="AW129" s="146" t="str">
        <f t="shared" si="57"/>
        <v/>
      </c>
      <c r="AX129" s="138" t="str">
        <f t="shared" si="58"/>
        <v/>
      </c>
      <c r="AY129" s="95" t="s">
        <v>56</v>
      </c>
      <c r="AZ129" s="96" t="s">
        <v>56</v>
      </c>
      <c r="BA129" s="96"/>
      <c r="BB129" s="96" t="s">
        <v>56</v>
      </c>
      <c r="BC129" s="96"/>
      <c r="BD129" s="97">
        <v>130</v>
      </c>
      <c r="BE129" s="142">
        <f t="shared" si="59"/>
        <v>6682</v>
      </c>
      <c r="BF129" s="98">
        <v>129</v>
      </c>
      <c r="BG129" s="98">
        <v>0</v>
      </c>
      <c r="BH129" s="98">
        <v>1902</v>
      </c>
      <c r="BI129" s="98">
        <v>4651</v>
      </c>
      <c r="BJ129" s="98"/>
      <c r="BK129" s="98"/>
      <c r="BL129" s="98"/>
    </row>
    <row r="130" spans="1:64" outlineLevel="5" x14ac:dyDescent="0.3">
      <c r="A130" s="152">
        <f t="shared" si="45"/>
        <v>4</v>
      </c>
      <c r="B130" s="153">
        <f t="shared" si="44"/>
        <v>44662</v>
      </c>
      <c r="C130" s="138">
        <f t="shared" si="50"/>
        <v>39</v>
      </c>
      <c r="D130" s="84">
        <v>39</v>
      </c>
      <c r="E130" s="84">
        <v>39</v>
      </c>
      <c r="F130" s="84"/>
      <c r="G130" s="84"/>
      <c r="H130" s="84"/>
      <c r="I130" s="84"/>
      <c r="J130" s="84"/>
      <c r="K130" s="84"/>
      <c r="L130" s="140">
        <f t="shared" si="51"/>
        <v>8.1999999999999993</v>
      </c>
      <c r="M130" s="86">
        <v>8.25</v>
      </c>
      <c r="N130" s="86">
        <v>8.14</v>
      </c>
      <c r="O130" s="86"/>
      <c r="P130" s="86"/>
      <c r="Q130" s="86"/>
      <c r="R130" s="86"/>
      <c r="S130" s="86"/>
      <c r="T130" s="86"/>
      <c r="U130" s="142">
        <f t="shared" si="52"/>
        <v>1799</v>
      </c>
      <c r="V130" s="88">
        <v>1859</v>
      </c>
      <c r="W130" s="88">
        <v>1739</v>
      </c>
      <c r="X130" s="88"/>
      <c r="Y130" s="88"/>
      <c r="Z130" s="88"/>
      <c r="AA130" s="88"/>
      <c r="AB130" s="88"/>
      <c r="AC130" s="88"/>
      <c r="AD130" s="142" t="str">
        <f t="shared" si="53"/>
        <v/>
      </c>
      <c r="AE130" s="88"/>
      <c r="AF130" s="88"/>
      <c r="AG130" s="88"/>
      <c r="AH130" s="88"/>
      <c r="AI130" s="88"/>
      <c r="AJ130" s="88"/>
      <c r="AK130" s="88"/>
      <c r="AL130" s="88"/>
      <c r="AM130" s="88">
        <v>53.045628231063169</v>
      </c>
      <c r="AN130" s="88">
        <v>88.97999999999999</v>
      </c>
      <c r="AO130" s="89">
        <v>28.8</v>
      </c>
      <c r="AP130" s="90">
        <v>25.862399999999997</v>
      </c>
      <c r="AQ130" s="146">
        <f t="shared" si="54"/>
        <v>89.8</v>
      </c>
      <c r="AR130" s="146">
        <f t="shared" si="55"/>
        <v>10.200000000000003</v>
      </c>
      <c r="AS130" s="147">
        <v>0</v>
      </c>
      <c r="AT130" s="148">
        <v>13.65</v>
      </c>
      <c r="AU130" s="149">
        <v>4.9682500000000003</v>
      </c>
      <c r="AV130" s="146">
        <f t="shared" si="56"/>
        <v>36.397435897435898</v>
      </c>
      <c r="AW130" s="146">
        <f t="shared" si="57"/>
        <v>63.602564102564102</v>
      </c>
      <c r="AX130" s="138">
        <f t="shared" si="58"/>
        <v>93.499900560676167</v>
      </c>
      <c r="AY130" s="95">
        <v>76.3</v>
      </c>
      <c r="AZ130" s="96">
        <v>62.36</v>
      </c>
      <c r="BA130" s="96"/>
      <c r="BB130" s="96">
        <v>44</v>
      </c>
      <c r="BC130" s="96"/>
      <c r="BD130" s="97">
        <v>88.97999999999999</v>
      </c>
      <c r="BE130" s="142">
        <f t="shared" si="59"/>
        <v>6534</v>
      </c>
      <c r="BF130" s="98">
        <v>0</v>
      </c>
      <c r="BG130" s="98">
        <v>0</v>
      </c>
      <c r="BH130" s="98">
        <v>1755</v>
      </c>
      <c r="BI130" s="98">
        <v>4779</v>
      </c>
      <c r="BJ130" s="98"/>
      <c r="BK130" s="98"/>
      <c r="BL130" s="98"/>
    </row>
    <row r="131" spans="1:64" outlineLevel="5" x14ac:dyDescent="0.3">
      <c r="A131" s="152">
        <f t="shared" si="45"/>
        <v>4</v>
      </c>
      <c r="B131" s="153">
        <f t="shared" si="44"/>
        <v>44663</v>
      </c>
      <c r="C131" s="138">
        <f t="shared" si="50"/>
        <v>38</v>
      </c>
      <c r="D131" s="84">
        <v>38</v>
      </c>
      <c r="E131" s="84">
        <v>38</v>
      </c>
      <c r="F131" s="84"/>
      <c r="G131" s="84"/>
      <c r="H131" s="84"/>
      <c r="I131" s="84"/>
      <c r="J131" s="84"/>
      <c r="K131" s="84"/>
      <c r="L131" s="140">
        <f t="shared" si="51"/>
        <v>8.1999999999999993</v>
      </c>
      <c r="M131" s="86">
        <v>8.24</v>
      </c>
      <c r="N131" s="86">
        <v>8.1999999999999993</v>
      </c>
      <c r="O131" s="86"/>
      <c r="P131" s="86"/>
      <c r="Q131" s="86"/>
      <c r="R131" s="86"/>
      <c r="S131" s="86"/>
      <c r="T131" s="86"/>
      <c r="U131" s="142">
        <f t="shared" si="52"/>
        <v>1793.5</v>
      </c>
      <c r="V131" s="88">
        <v>1845</v>
      </c>
      <c r="W131" s="88">
        <v>1742</v>
      </c>
      <c r="X131" s="88"/>
      <c r="Y131" s="88"/>
      <c r="Z131" s="88"/>
      <c r="AA131" s="88"/>
      <c r="AB131" s="88"/>
      <c r="AC131" s="88"/>
      <c r="AD131" s="142" t="str">
        <f t="shared" si="53"/>
        <v/>
      </c>
      <c r="AE131" s="88"/>
      <c r="AF131" s="88"/>
      <c r="AG131" s="88"/>
      <c r="AH131" s="88"/>
      <c r="AI131" s="88"/>
      <c r="AJ131" s="88"/>
      <c r="AK131" s="88"/>
      <c r="AL131" s="88"/>
      <c r="AM131" s="88">
        <v>48.549681135568811</v>
      </c>
      <c r="AN131" s="88">
        <v>97.22</v>
      </c>
      <c r="AO131" s="89"/>
      <c r="AP131" s="90"/>
      <c r="AQ131" s="146" t="str">
        <f t="shared" si="54"/>
        <v/>
      </c>
      <c r="AR131" s="146" t="str">
        <f t="shared" si="55"/>
        <v/>
      </c>
      <c r="AS131" s="147">
        <v>44</v>
      </c>
      <c r="AT131" s="148" t="s">
        <v>106</v>
      </c>
      <c r="AU131" s="149" t="s">
        <v>56</v>
      </c>
      <c r="AV131" s="146" t="str">
        <f t="shared" si="56"/>
        <v/>
      </c>
      <c r="AW131" s="146" t="str">
        <f t="shared" si="57"/>
        <v/>
      </c>
      <c r="AX131" s="138" t="str">
        <f t="shared" si="58"/>
        <v/>
      </c>
      <c r="AY131" s="95" t="s">
        <v>56</v>
      </c>
      <c r="AZ131" s="96">
        <v>63.254999999999995</v>
      </c>
      <c r="BA131" s="96"/>
      <c r="BB131" s="96">
        <v>41.5</v>
      </c>
      <c r="BC131" s="96"/>
      <c r="BD131" s="97">
        <v>97.22</v>
      </c>
      <c r="BE131" s="142">
        <f t="shared" si="59"/>
        <v>5095</v>
      </c>
      <c r="BF131" s="98">
        <v>0</v>
      </c>
      <c r="BG131" s="98">
        <v>0</v>
      </c>
      <c r="BH131" s="98">
        <v>13</v>
      </c>
      <c r="BI131" s="98">
        <v>5082</v>
      </c>
      <c r="BJ131" s="98"/>
      <c r="BK131" s="98"/>
      <c r="BL131" s="98"/>
    </row>
    <row r="132" spans="1:64" outlineLevel="5" x14ac:dyDescent="0.3">
      <c r="A132" s="152">
        <f t="shared" si="45"/>
        <v>4</v>
      </c>
      <c r="B132" s="153">
        <f t="shared" si="44"/>
        <v>44664</v>
      </c>
      <c r="C132" s="138">
        <f t="shared" si="50"/>
        <v>39</v>
      </c>
      <c r="D132" s="84">
        <v>39</v>
      </c>
      <c r="E132" s="84">
        <v>39</v>
      </c>
      <c r="F132" s="84"/>
      <c r="G132" s="84"/>
      <c r="H132" s="84"/>
      <c r="I132" s="84"/>
      <c r="J132" s="84"/>
      <c r="K132" s="84"/>
      <c r="L132" s="140">
        <f t="shared" si="51"/>
        <v>8.1</v>
      </c>
      <c r="M132" s="86">
        <v>8.19</v>
      </c>
      <c r="N132" s="86">
        <v>8.09</v>
      </c>
      <c r="O132" s="86"/>
      <c r="P132" s="86"/>
      <c r="Q132" s="86"/>
      <c r="R132" s="86"/>
      <c r="S132" s="86"/>
      <c r="T132" s="86"/>
      <c r="U132" s="142">
        <f t="shared" si="52"/>
        <v>1749</v>
      </c>
      <c r="V132" s="88">
        <v>1859</v>
      </c>
      <c r="W132" s="88">
        <v>1639</v>
      </c>
      <c r="X132" s="88"/>
      <c r="Y132" s="88"/>
      <c r="Z132" s="88"/>
      <c r="AA132" s="88"/>
      <c r="AB132" s="88"/>
      <c r="AC132" s="88"/>
      <c r="AD132" s="142">
        <f t="shared" si="53"/>
        <v>7930</v>
      </c>
      <c r="AE132" s="88">
        <v>8010</v>
      </c>
      <c r="AF132" s="88">
        <v>7850</v>
      </c>
      <c r="AG132" s="88"/>
      <c r="AH132" s="88"/>
      <c r="AI132" s="88"/>
      <c r="AJ132" s="88"/>
      <c r="AK132" s="88"/>
      <c r="AL132" s="88"/>
      <c r="AM132" s="88">
        <v>32.759578012215442</v>
      </c>
      <c r="AN132" s="88">
        <v>144.07999999999998</v>
      </c>
      <c r="AO132" s="89"/>
      <c r="AP132" s="90"/>
      <c r="AQ132" s="146" t="str">
        <f t="shared" si="54"/>
        <v/>
      </c>
      <c r="AR132" s="146" t="str">
        <f t="shared" si="55"/>
        <v/>
      </c>
      <c r="AS132" s="147">
        <v>41</v>
      </c>
      <c r="AT132" s="148">
        <v>15.1</v>
      </c>
      <c r="AU132" s="149">
        <v>9.0217999999999989</v>
      </c>
      <c r="AV132" s="146">
        <f t="shared" si="56"/>
        <v>59.747019867549668</v>
      </c>
      <c r="AW132" s="146">
        <f t="shared" si="57"/>
        <v>40.252980132450332</v>
      </c>
      <c r="AX132" s="138" t="str">
        <f t="shared" si="58"/>
        <v/>
      </c>
      <c r="AY132" s="95">
        <v>73.7</v>
      </c>
      <c r="AZ132" s="96">
        <v>61.004999999999995</v>
      </c>
      <c r="BA132" s="96"/>
      <c r="BB132" s="96">
        <v>47.5</v>
      </c>
      <c r="BC132" s="96"/>
      <c r="BD132" s="97">
        <v>144.07999999999998</v>
      </c>
      <c r="BE132" s="142">
        <f t="shared" si="59"/>
        <v>8814</v>
      </c>
      <c r="BF132" s="98">
        <v>0</v>
      </c>
      <c r="BG132" s="98">
        <v>0</v>
      </c>
      <c r="BH132" s="98">
        <v>3336</v>
      </c>
      <c r="BI132" s="98">
        <v>5478</v>
      </c>
      <c r="BJ132" s="98"/>
      <c r="BK132" s="98"/>
      <c r="BL132" s="98"/>
    </row>
    <row r="133" spans="1:64" outlineLevel="5" x14ac:dyDescent="0.3">
      <c r="A133" s="152">
        <f t="shared" si="45"/>
        <v>4</v>
      </c>
      <c r="B133" s="153">
        <f t="shared" si="44"/>
        <v>44665</v>
      </c>
      <c r="C133" s="138">
        <f t="shared" si="50"/>
        <v>38</v>
      </c>
      <c r="D133" s="84">
        <v>38</v>
      </c>
      <c r="E133" s="84">
        <v>38</v>
      </c>
      <c r="F133" s="84"/>
      <c r="G133" s="84"/>
      <c r="H133" s="84"/>
      <c r="I133" s="84"/>
      <c r="J133" s="84"/>
      <c r="K133" s="84"/>
      <c r="L133" s="140">
        <f t="shared" si="51"/>
        <v>8.1999999999999993</v>
      </c>
      <c r="M133" s="86">
        <v>8.1999999999999993</v>
      </c>
      <c r="N133" s="86">
        <v>8.1300000000000008</v>
      </c>
      <c r="O133" s="86"/>
      <c r="P133" s="86"/>
      <c r="Q133" s="86"/>
      <c r="R133" s="86"/>
      <c r="S133" s="86"/>
      <c r="T133" s="86"/>
      <c r="U133" s="142">
        <f t="shared" si="52"/>
        <v>1776</v>
      </c>
      <c r="V133" s="88">
        <v>1854</v>
      </c>
      <c r="W133" s="88">
        <v>1698</v>
      </c>
      <c r="X133" s="88"/>
      <c r="Y133" s="88"/>
      <c r="Z133" s="88"/>
      <c r="AA133" s="88"/>
      <c r="AB133" s="88"/>
      <c r="AC133" s="88"/>
      <c r="AD133" s="142" t="str">
        <f t="shared" si="53"/>
        <v/>
      </c>
      <c r="AE133" s="88"/>
      <c r="AF133" s="88"/>
      <c r="AG133" s="88"/>
      <c r="AH133" s="88"/>
      <c r="AI133" s="88"/>
      <c r="AJ133" s="88"/>
      <c r="AK133" s="88"/>
      <c r="AL133" s="88"/>
      <c r="AM133" s="88">
        <v>35.885349349958183</v>
      </c>
      <c r="AN133" s="88">
        <v>131.53</v>
      </c>
      <c r="AO133" s="89"/>
      <c r="AP133" s="90"/>
      <c r="AQ133" s="146" t="str">
        <f t="shared" si="54"/>
        <v/>
      </c>
      <c r="AR133" s="146" t="str">
        <f t="shared" si="55"/>
        <v/>
      </c>
      <c r="AS133" s="147">
        <v>40</v>
      </c>
      <c r="AT133" s="148">
        <v>13.9</v>
      </c>
      <c r="AU133" s="149">
        <v>8.3048999999999999</v>
      </c>
      <c r="AV133" s="146">
        <f t="shared" si="56"/>
        <v>59.747482014388488</v>
      </c>
      <c r="AW133" s="146">
        <f t="shared" si="57"/>
        <v>40.252517985611512</v>
      </c>
      <c r="AX133" s="138" t="str">
        <f t="shared" si="58"/>
        <v/>
      </c>
      <c r="AY133" s="95">
        <v>77.400000000000006</v>
      </c>
      <c r="AZ133" s="96">
        <v>61.064999999999998</v>
      </c>
      <c r="BA133" s="96"/>
      <c r="BB133" s="96">
        <v>45.5</v>
      </c>
      <c r="BC133" s="96"/>
      <c r="BD133" s="97">
        <v>131.53</v>
      </c>
      <c r="BE133" s="142">
        <f t="shared" si="59"/>
        <v>10060</v>
      </c>
      <c r="BF133" s="98">
        <v>0</v>
      </c>
      <c r="BG133" s="98">
        <v>0</v>
      </c>
      <c r="BH133" s="98">
        <v>4667</v>
      </c>
      <c r="BI133" s="98">
        <v>5393</v>
      </c>
      <c r="BJ133" s="98"/>
      <c r="BK133" s="98"/>
      <c r="BL133" s="98"/>
    </row>
    <row r="134" spans="1:64" outlineLevel="5" x14ac:dyDescent="0.3">
      <c r="A134" s="152">
        <f t="shared" si="45"/>
        <v>4</v>
      </c>
      <c r="B134" s="153">
        <f t="shared" si="44"/>
        <v>44666</v>
      </c>
      <c r="C134" s="138">
        <f t="shared" si="50"/>
        <v>38</v>
      </c>
      <c r="D134" s="84">
        <v>38</v>
      </c>
      <c r="E134" s="84">
        <v>38</v>
      </c>
      <c r="F134" s="84"/>
      <c r="G134" s="84"/>
      <c r="H134" s="84"/>
      <c r="I134" s="84"/>
      <c r="J134" s="84"/>
      <c r="K134" s="84"/>
      <c r="L134" s="140">
        <f t="shared" si="51"/>
        <v>8.1999999999999993</v>
      </c>
      <c r="M134" s="86">
        <v>8.26</v>
      </c>
      <c r="N134" s="86">
        <v>8.19</v>
      </c>
      <c r="O134" s="86"/>
      <c r="P134" s="86"/>
      <c r="Q134" s="86"/>
      <c r="R134" s="86"/>
      <c r="S134" s="86"/>
      <c r="T134" s="86"/>
      <c r="U134" s="142">
        <f t="shared" si="52"/>
        <v>1837.5</v>
      </c>
      <c r="V134" s="88">
        <v>1910</v>
      </c>
      <c r="W134" s="88">
        <v>1765</v>
      </c>
      <c r="X134" s="88"/>
      <c r="Y134" s="88"/>
      <c r="Z134" s="88"/>
      <c r="AA134" s="88"/>
      <c r="AB134" s="88"/>
      <c r="AC134" s="88"/>
      <c r="AD134" s="142" t="str">
        <f t="shared" si="53"/>
        <v/>
      </c>
      <c r="AE134" s="88"/>
      <c r="AF134" s="88"/>
      <c r="AG134" s="88"/>
      <c r="AH134" s="88"/>
      <c r="AI134" s="88"/>
      <c r="AJ134" s="88"/>
      <c r="AK134" s="88"/>
      <c r="AL134" s="88"/>
      <c r="AM134" s="88">
        <v>30.881968071185554</v>
      </c>
      <c r="AN134" s="88">
        <v>152.84</v>
      </c>
      <c r="AO134" s="89"/>
      <c r="AP134" s="90"/>
      <c r="AQ134" s="146" t="str">
        <f t="shared" si="54"/>
        <v/>
      </c>
      <c r="AR134" s="146" t="str">
        <f t="shared" si="55"/>
        <v/>
      </c>
      <c r="AS134" s="147">
        <v>40</v>
      </c>
      <c r="AT134" s="148" t="s">
        <v>106</v>
      </c>
      <c r="AU134" s="149" t="s">
        <v>56</v>
      </c>
      <c r="AV134" s="146" t="str">
        <f t="shared" si="56"/>
        <v/>
      </c>
      <c r="AW134" s="146" t="str">
        <f t="shared" si="57"/>
        <v/>
      </c>
      <c r="AX134" s="138" t="str">
        <f t="shared" si="58"/>
        <v/>
      </c>
      <c r="AY134" s="95" t="s">
        <v>56</v>
      </c>
      <c r="AZ134" s="96">
        <v>60.365000000000002</v>
      </c>
      <c r="BA134" s="96"/>
      <c r="BB134" s="96">
        <v>50</v>
      </c>
      <c r="BC134" s="96"/>
      <c r="BD134" s="97">
        <v>152.84</v>
      </c>
      <c r="BE134" s="142">
        <f t="shared" si="59"/>
        <v>9368</v>
      </c>
      <c r="BF134" s="98">
        <v>0</v>
      </c>
      <c r="BG134" s="98">
        <v>0</v>
      </c>
      <c r="BH134" s="98">
        <v>4226</v>
      </c>
      <c r="BI134" s="98">
        <v>5142</v>
      </c>
      <c r="BJ134" s="98"/>
      <c r="BK134" s="98"/>
      <c r="BL134" s="98"/>
    </row>
    <row r="135" spans="1:64" outlineLevel="5" x14ac:dyDescent="0.3">
      <c r="A135" s="152">
        <f t="shared" si="45"/>
        <v>4</v>
      </c>
      <c r="B135" s="153">
        <f t="shared" si="44"/>
        <v>44667</v>
      </c>
      <c r="C135" s="138">
        <f t="shared" si="50"/>
        <v>37</v>
      </c>
      <c r="D135" s="84">
        <v>37</v>
      </c>
      <c r="E135" s="84">
        <v>37</v>
      </c>
      <c r="F135" s="84"/>
      <c r="G135" s="84"/>
      <c r="H135" s="84"/>
      <c r="I135" s="84"/>
      <c r="J135" s="84"/>
      <c r="K135" s="84"/>
      <c r="L135" s="140" t="str">
        <f t="shared" si="51"/>
        <v/>
      </c>
      <c r="M135" s="86"/>
      <c r="N135" s="86"/>
      <c r="O135" s="86"/>
      <c r="P135" s="86"/>
      <c r="Q135" s="86"/>
      <c r="R135" s="86"/>
      <c r="S135" s="86"/>
      <c r="T135" s="86"/>
      <c r="U135" s="142" t="str">
        <f t="shared" si="52"/>
        <v/>
      </c>
      <c r="V135" s="88"/>
      <c r="W135" s="88"/>
      <c r="X135" s="88"/>
      <c r="Y135" s="88"/>
      <c r="Z135" s="88"/>
      <c r="AA135" s="88"/>
      <c r="AB135" s="88"/>
      <c r="AC135" s="88"/>
      <c r="AD135" s="142" t="str">
        <f t="shared" si="53"/>
        <v/>
      </c>
      <c r="AE135" s="88"/>
      <c r="AF135" s="88"/>
      <c r="AG135" s="88"/>
      <c r="AH135" s="88"/>
      <c r="AI135" s="88"/>
      <c r="AJ135" s="88"/>
      <c r="AK135" s="88"/>
      <c r="AL135" s="88"/>
      <c r="AM135" s="88">
        <v>32.691508519185483</v>
      </c>
      <c r="AN135" s="88">
        <v>144.38</v>
      </c>
      <c r="AO135" s="89"/>
      <c r="AP135" s="90"/>
      <c r="AQ135" s="146" t="str">
        <f t="shared" si="54"/>
        <v/>
      </c>
      <c r="AR135" s="146" t="str">
        <f t="shared" si="55"/>
        <v/>
      </c>
      <c r="AS135" s="147">
        <v>17</v>
      </c>
      <c r="AT135" s="148" t="s">
        <v>106</v>
      </c>
      <c r="AU135" s="149" t="s">
        <v>56</v>
      </c>
      <c r="AV135" s="146" t="str">
        <f t="shared" si="56"/>
        <v/>
      </c>
      <c r="AW135" s="146" t="str">
        <f t="shared" si="57"/>
        <v/>
      </c>
      <c r="AX135" s="138" t="str">
        <f t="shared" si="58"/>
        <v/>
      </c>
      <c r="AY135" s="95" t="s">
        <v>56</v>
      </c>
      <c r="AZ135" s="96" t="s">
        <v>56</v>
      </c>
      <c r="BA135" s="96"/>
      <c r="BB135" s="96" t="s">
        <v>56</v>
      </c>
      <c r="BC135" s="96"/>
      <c r="BD135" s="97">
        <v>144.38</v>
      </c>
      <c r="BE135" s="142">
        <f t="shared" si="59"/>
        <v>10258</v>
      </c>
      <c r="BF135" s="98">
        <v>0</v>
      </c>
      <c r="BG135" s="98">
        <v>0</v>
      </c>
      <c r="BH135" s="98">
        <v>5270</v>
      </c>
      <c r="BI135" s="98">
        <v>4988</v>
      </c>
      <c r="BJ135" s="98"/>
      <c r="BK135" s="98"/>
      <c r="BL135" s="98"/>
    </row>
    <row r="136" spans="1:64" outlineLevel="5" x14ac:dyDescent="0.3">
      <c r="A136" s="152">
        <f t="shared" si="45"/>
        <v>4</v>
      </c>
      <c r="B136" s="153">
        <f t="shared" si="44"/>
        <v>44668</v>
      </c>
      <c r="C136" s="138">
        <f t="shared" si="50"/>
        <v>37</v>
      </c>
      <c r="D136" s="84">
        <v>37</v>
      </c>
      <c r="E136" s="84">
        <v>37</v>
      </c>
      <c r="F136" s="84"/>
      <c r="G136" s="84"/>
      <c r="H136" s="84"/>
      <c r="I136" s="84"/>
      <c r="J136" s="84"/>
      <c r="K136" s="84"/>
      <c r="L136" s="140" t="str">
        <f t="shared" si="51"/>
        <v/>
      </c>
      <c r="M136" s="86"/>
      <c r="N136" s="86"/>
      <c r="O136" s="86"/>
      <c r="P136" s="86"/>
      <c r="Q136" s="86"/>
      <c r="R136" s="86"/>
      <c r="S136" s="86"/>
      <c r="T136" s="86"/>
      <c r="U136" s="142" t="str">
        <f t="shared" si="52"/>
        <v/>
      </c>
      <c r="V136" s="88"/>
      <c r="W136" s="88"/>
      <c r="X136" s="88"/>
      <c r="Y136" s="88"/>
      <c r="Z136" s="88"/>
      <c r="AA136" s="88"/>
      <c r="AB136" s="88"/>
      <c r="AC136" s="88"/>
      <c r="AD136" s="142" t="str">
        <f t="shared" si="53"/>
        <v/>
      </c>
      <c r="AE136" s="88"/>
      <c r="AF136" s="88"/>
      <c r="AG136" s="88"/>
      <c r="AH136" s="88"/>
      <c r="AI136" s="88"/>
      <c r="AJ136" s="88"/>
      <c r="AK136" s="88"/>
      <c r="AL136" s="88"/>
      <c r="AM136" s="88">
        <v>36.307692307692307</v>
      </c>
      <c r="AN136" s="88">
        <v>130</v>
      </c>
      <c r="AO136" s="89"/>
      <c r="AP136" s="90"/>
      <c r="AQ136" s="146" t="str">
        <f t="shared" si="54"/>
        <v/>
      </c>
      <c r="AR136" s="146" t="str">
        <f t="shared" si="55"/>
        <v/>
      </c>
      <c r="AS136" s="147">
        <v>10</v>
      </c>
      <c r="AT136" s="148" t="s">
        <v>106</v>
      </c>
      <c r="AU136" s="149" t="s">
        <v>56</v>
      </c>
      <c r="AV136" s="146" t="str">
        <f t="shared" si="56"/>
        <v/>
      </c>
      <c r="AW136" s="146" t="str">
        <f t="shared" si="57"/>
        <v/>
      </c>
      <c r="AX136" s="138" t="str">
        <f t="shared" si="58"/>
        <v/>
      </c>
      <c r="AY136" s="95" t="s">
        <v>56</v>
      </c>
      <c r="AZ136" s="96" t="s">
        <v>56</v>
      </c>
      <c r="BA136" s="96"/>
      <c r="BB136" s="96" t="s">
        <v>56</v>
      </c>
      <c r="BC136" s="96"/>
      <c r="BD136" s="97">
        <v>130</v>
      </c>
      <c r="BE136" s="142">
        <f t="shared" si="59"/>
        <v>8101</v>
      </c>
      <c r="BF136" s="98">
        <v>122</v>
      </c>
      <c r="BG136" s="98">
        <v>0</v>
      </c>
      <c r="BH136" s="98">
        <v>3226</v>
      </c>
      <c r="BI136" s="98">
        <v>4753</v>
      </c>
      <c r="BJ136" s="98"/>
      <c r="BK136" s="98"/>
      <c r="BL136" s="98"/>
    </row>
    <row r="137" spans="1:64" outlineLevel="5" x14ac:dyDescent="0.3">
      <c r="A137" s="152">
        <f t="shared" si="45"/>
        <v>4</v>
      </c>
      <c r="B137" s="153">
        <f t="shared" si="44"/>
        <v>44669</v>
      </c>
      <c r="C137" s="138">
        <f t="shared" si="50"/>
        <v>37</v>
      </c>
      <c r="D137" s="84">
        <v>37</v>
      </c>
      <c r="E137" s="84">
        <v>37</v>
      </c>
      <c r="F137" s="84"/>
      <c r="G137" s="84"/>
      <c r="H137" s="84"/>
      <c r="I137" s="84"/>
      <c r="J137" s="84"/>
      <c r="K137" s="84"/>
      <c r="L137" s="140">
        <f t="shared" si="51"/>
        <v>8.1999999999999993</v>
      </c>
      <c r="M137" s="86">
        <v>8.24</v>
      </c>
      <c r="N137" s="86">
        <v>8.1300000000000008</v>
      </c>
      <c r="O137" s="86"/>
      <c r="P137" s="86"/>
      <c r="Q137" s="86"/>
      <c r="R137" s="86"/>
      <c r="S137" s="86"/>
      <c r="T137" s="86"/>
      <c r="U137" s="142">
        <f t="shared" si="52"/>
        <v>1814.5</v>
      </c>
      <c r="V137" s="88">
        <v>1897</v>
      </c>
      <c r="W137" s="88">
        <v>1732</v>
      </c>
      <c r="X137" s="88"/>
      <c r="Y137" s="88"/>
      <c r="Z137" s="88"/>
      <c r="AA137" s="88"/>
      <c r="AB137" s="88"/>
      <c r="AC137" s="88"/>
      <c r="AD137" s="142" t="str">
        <f t="shared" si="53"/>
        <v/>
      </c>
      <c r="AE137" s="88"/>
      <c r="AF137" s="88"/>
      <c r="AG137" s="88"/>
      <c r="AH137" s="88"/>
      <c r="AI137" s="88"/>
      <c r="AJ137" s="88"/>
      <c r="AK137" s="88"/>
      <c r="AL137" s="88"/>
      <c r="AM137" s="88">
        <v>51.799824407374885</v>
      </c>
      <c r="AN137" s="88">
        <v>91.12</v>
      </c>
      <c r="AO137" s="89"/>
      <c r="AP137" s="90"/>
      <c r="AQ137" s="146" t="str">
        <f t="shared" si="54"/>
        <v/>
      </c>
      <c r="AR137" s="146" t="str">
        <f t="shared" si="55"/>
        <v/>
      </c>
      <c r="AS137" s="147">
        <v>40</v>
      </c>
      <c r="AT137" s="148" t="s">
        <v>106</v>
      </c>
      <c r="AU137" s="149" t="s">
        <v>56</v>
      </c>
      <c r="AV137" s="146" t="str">
        <f t="shared" si="56"/>
        <v/>
      </c>
      <c r="AW137" s="146" t="str">
        <f t="shared" si="57"/>
        <v/>
      </c>
      <c r="AX137" s="138" t="str">
        <f t="shared" si="58"/>
        <v/>
      </c>
      <c r="AY137" s="95" t="s">
        <v>56</v>
      </c>
      <c r="AZ137" s="96">
        <v>62.115000000000002</v>
      </c>
      <c r="BA137" s="96"/>
      <c r="BB137" s="96">
        <v>40</v>
      </c>
      <c r="BC137" s="96"/>
      <c r="BD137" s="97">
        <v>91.12</v>
      </c>
      <c r="BE137" s="142">
        <f t="shared" si="59"/>
        <v>5833</v>
      </c>
      <c r="BF137" s="98">
        <v>0</v>
      </c>
      <c r="BG137" s="98">
        <v>0</v>
      </c>
      <c r="BH137" s="98">
        <v>868</v>
      </c>
      <c r="BI137" s="98">
        <v>4965</v>
      </c>
      <c r="BJ137" s="98"/>
      <c r="BK137" s="98"/>
      <c r="BL137" s="98"/>
    </row>
    <row r="138" spans="1:64" outlineLevel="5" x14ac:dyDescent="0.3">
      <c r="A138" s="152">
        <f t="shared" si="45"/>
        <v>4</v>
      </c>
      <c r="B138" s="153">
        <f t="shared" si="44"/>
        <v>44670</v>
      </c>
      <c r="C138" s="138">
        <f t="shared" si="50"/>
        <v>37</v>
      </c>
      <c r="D138" s="84">
        <v>37</v>
      </c>
      <c r="E138" s="84">
        <v>37</v>
      </c>
      <c r="F138" s="84"/>
      <c r="G138" s="84"/>
      <c r="H138" s="84"/>
      <c r="I138" s="84"/>
      <c r="J138" s="84"/>
      <c r="K138" s="84"/>
      <c r="L138" s="140">
        <f t="shared" si="51"/>
        <v>8.1999999999999993</v>
      </c>
      <c r="M138" s="86">
        <v>8.2899999999999991</v>
      </c>
      <c r="N138" s="86">
        <v>8.16</v>
      </c>
      <c r="O138" s="86"/>
      <c r="P138" s="86"/>
      <c r="Q138" s="86"/>
      <c r="R138" s="86"/>
      <c r="S138" s="86"/>
      <c r="T138" s="86"/>
      <c r="U138" s="142">
        <f t="shared" si="52"/>
        <v>1728</v>
      </c>
      <c r="V138" s="88">
        <v>1854</v>
      </c>
      <c r="W138" s="88">
        <v>1602</v>
      </c>
      <c r="X138" s="88"/>
      <c r="Y138" s="88"/>
      <c r="Z138" s="88"/>
      <c r="AA138" s="88"/>
      <c r="AB138" s="88"/>
      <c r="AC138" s="88"/>
      <c r="AD138" s="142" t="str">
        <f t="shared" si="53"/>
        <v/>
      </c>
      <c r="AE138" s="88"/>
      <c r="AF138" s="88"/>
      <c r="AG138" s="88"/>
      <c r="AH138" s="88"/>
      <c r="AI138" s="88"/>
      <c r="AJ138" s="88"/>
      <c r="AK138" s="88"/>
      <c r="AL138" s="88"/>
      <c r="AM138" s="88">
        <v>30.773242926065979</v>
      </c>
      <c r="AN138" s="88">
        <v>153.38</v>
      </c>
      <c r="AO138" s="89"/>
      <c r="AP138" s="90"/>
      <c r="AQ138" s="146" t="str">
        <f t="shared" si="54"/>
        <v/>
      </c>
      <c r="AR138" s="146" t="str">
        <f t="shared" si="55"/>
        <v/>
      </c>
      <c r="AS138" s="147">
        <v>35</v>
      </c>
      <c r="AT138" s="148" t="s">
        <v>106</v>
      </c>
      <c r="AU138" s="149" t="s">
        <v>56</v>
      </c>
      <c r="AV138" s="146" t="str">
        <f t="shared" si="56"/>
        <v/>
      </c>
      <c r="AW138" s="146" t="str">
        <f t="shared" si="57"/>
        <v/>
      </c>
      <c r="AX138" s="138" t="str">
        <f t="shared" si="58"/>
        <v/>
      </c>
      <c r="AY138" s="95" t="s">
        <v>56</v>
      </c>
      <c r="AZ138" s="96">
        <v>60.674999999999997</v>
      </c>
      <c r="BA138" s="96"/>
      <c r="BB138" s="96">
        <v>45.5</v>
      </c>
      <c r="BC138" s="96"/>
      <c r="BD138" s="97">
        <v>153.38</v>
      </c>
      <c r="BE138" s="142">
        <f t="shared" si="59"/>
        <v>8159</v>
      </c>
      <c r="BF138" s="98">
        <v>29</v>
      </c>
      <c r="BG138" s="98">
        <v>0</v>
      </c>
      <c r="BH138" s="98">
        <v>3090</v>
      </c>
      <c r="BI138" s="98">
        <v>5040</v>
      </c>
      <c r="BJ138" s="98"/>
      <c r="BK138" s="98"/>
      <c r="BL138" s="98"/>
    </row>
    <row r="139" spans="1:64" outlineLevel="5" x14ac:dyDescent="0.3">
      <c r="A139" s="152">
        <f t="shared" si="45"/>
        <v>4</v>
      </c>
      <c r="B139" s="153">
        <f t="shared" si="44"/>
        <v>44671</v>
      </c>
      <c r="C139" s="138">
        <f t="shared" si="50"/>
        <v>37</v>
      </c>
      <c r="D139" s="84">
        <v>37</v>
      </c>
      <c r="E139" s="84">
        <v>37</v>
      </c>
      <c r="F139" s="84"/>
      <c r="G139" s="84"/>
      <c r="H139" s="84"/>
      <c r="I139" s="84"/>
      <c r="J139" s="84"/>
      <c r="K139" s="84"/>
      <c r="L139" s="140">
        <f t="shared" si="51"/>
        <v>8.3000000000000007</v>
      </c>
      <c r="M139" s="86">
        <v>8.31</v>
      </c>
      <c r="N139" s="86">
        <v>8.19</v>
      </c>
      <c r="O139" s="86"/>
      <c r="P139" s="86"/>
      <c r="Q139" s="86"/>
      <c r="R139" s="86"/>
      <c r="S139" s="86"/>
      <c r="T139" s="86"/>
      <c r="U139" s="142">
        <f t="shared" si="52"/>
        <v>1777.5</v>
      </c>
      <c r="V139" s="88">
        <v>1856</v>
      </c>
      <c r="W139" s="88">
        <v>1699</v>
      </c>
      <c r="X139" s="88"/>
      <c r="Y139" s="88"/>
      <c r="Z139" s="88"/>
      <c r="AA139" s="88"/>
      <c r="AB139" s="88"/>
      <c r="AC139" s="88"/>
      <c r="AD139" s="142">
        <f t="shared" si="53"/>
        <v>7950</v>
      </c>
      <c r="AE139" s="88">
        <v>7890</v>
      </c>
      <c r="AF139" s="88">
        <v>8010</v>
      </c>
      <c r="AG139" s="88"/>
      <c r="AH139" s="88"/>
      <c r="AI139" s="88"/>
      <c r="AJ139" s="88"/>
      <c r="AK139" s="88"/>
      <c r="AL139" s="88"/>
      <c r="AM139" s="88">
        <v>32.128514056224901</v>
      </c>
      <c r="AN139" s="88">
        <v>146.91</v>
      </c>
      <c r="AO139" s="89"/>
      <c r="AP139" s="90"/>
      <c r="AQ139" s="146" t="str">
        <f t="shared" si="54"/>
        <v/>
      </c>
      <c r="AR139" s="146" t="str">
        <f t="shared" si="55"/>
        <v/>
      </c>
      <c r="AS139" s="147">
        <v>35</v>
      </c>
      <c r="AT139" s="148">
        <v>14.75</v>
      </c>
      <c r="AU139" s="149">
        <v>8.8359999999999985</v>
      </c>
      <c r="AV139" s="146">
        <f t="shared" si="56"/>
        <v>59.905084745762707</v>
      </c>
      <c r="AW139" s="146">
        <f t="shared" si="57"/>
        <v>40.094915254237293</v>
      </c>
      <c r="AX139" s="138" t="str">
        <f t="shared" si="58"/>
        <v/>
      </c>
      <c r="AY139" s="95">
        <v>70.849999999999994</v>
      </c>
      <c r="AZ139" s="96">
        <v>60.45</v>
      </c>
      <c r="BA139" s="96"/>
      <c r="BB139" s="96">
        <v>43.5</v>
      </c>
      <c r="BC139" s="96"/>
      <c r="BD139" s="97">
        <v>146.91</v>
      </c>
      <c r="BE139" s="142">
        <f t="shared" si="59"/>
        <v>11659</v>
      </c>
      <c r="BF139" s="98">
        <v>139</v>
      </c>
      <c r="BG139" s="98">
        <v>0</v>
      </c>
      <c r="BH139" s="98">
        <v>5861</v>
      </c>
      <c r="BI139" s="98">
        <v>5659</v>
      </c>
      <c r="BJ139" s="98"/>
      <c r="BK139" s="98"/>
      <c r="BL139" s="98"/>
    </row>
    <row r="140" spans="1:64" outlineLevel="5" x14ac:dyDescent="0.3">
      <c r="A140" s="152">
        <f t="shared" si="45"/>
        <v>4</v>
      </c>
      <c r="B140" s="153">
        <f t="shared" si="44"/>
        <v>44672</v>
      </c>
      <c r="C140" s="138">
        <f t="shared" si="50"/>
        <v>37.5</v>
      </c>
      <c r="D140" s="84">
        <v>38</v>
      </c>
      <c r="E140" s="84">
        <v>37</v>
      </c>
      <c r="F140" s="84"/>
      <c r="G140" s="84"/>
      <c r="H140" s="84"/>
      <c r="I140" s="84"/>
      <c r="J140" s="84"/>
      <c r="K140" s="84"/>
      <c r="L140" s="140">
        <f t="shared" si="51"/>
        <v>8.1999999999999993</v>
      </c>
      <c r="M140" s="86">
        <v>8.34</v>
      </c>
      <c r="N140" s="86">
        <v>8.14</v>
      </c>
      <c r="O140" s="86"/>
      <c r="P140" s="86"/>
      <c r="Q140" s="86"/>
      <c r="R140" s="86"/>
      <c r="S140" s="86"/>
      <c r="T140" s="86"/>
      <c r="U140" s="142">
        <f t="shared" si="52"/>
        <v>1779</v>
      </c>
      <c r="V140" s="88">
        <v>1856</v>
      </c>
      <c r="W140" s="88">
        <v>1702</v>
      </c>
      <c r="X140" s="88"/>
      <c r="Y140" s="88"/>
      <c r="Z140" s="88"/>
      <c r="AA140" s="88"/>
      <c r="AB140" s="88"/>
      <c r="AC140" s="88"/>
      <c r="AD140" s="142" t="str">
        <f t="shared" si="53"/>
        <v/>
      </c>
      <c r="AE140" s="88"/>
      <c r="AF140" s="88"/>
      <c r="AG140" s="88"/>
      <c r="AH140" s="88"/>
      <c r="AI140" s="88"/>
      <c r="AJ140" s="88"/>
      <c r="AK140" s="88"/>
      <c r="AL140" s="88"/>
      <c r="AM140" s="88">
        <v>32.924107142857139</v>
      </c>
      <c r="AN140" s="88">
        <v>143.36000000000001</v>
      </c>
      <c r="AO140" s="89"/>
      <c r="AP140" s="90"/>
      <c r="AQ140" s="146" t="str">
        <f t="shared" si="54"/>
        <v/>
      </c>
      <c r="AR140" s="146" t="str">
        <f t="shared" si="55"/>
        <v/>
      </c>
      <c r="AS140" s="147">
        <v>37</v>
      </c>
      <c r="AT140" s="148">
        <v>15</v>
      </c>
      <c r="AU140" s="149">
        <v>8.5530499999999989</v>
      </c>
      <c r="AV140" s="146">
        <f t="shared" si="56"/>
        <v>57.020333333333326</v>
      </c>
      <c r="AW140" s="146">
        <f t="shared" si="57"/>
        <v>42.979666666666674</v>
      </c>
      <c r="AX140" s="138" t="str">
        <f t="shared" si="58"/>
        <v/>
      </c>
      <c r="AY140" s="95">
        <v>74.150000000000006</v>
      </c>
      <c r="AZ140" s="96">
        <v>60.56</v>
      </c>
      <c r="BA140" s="96"/>
      <c r="BB140" s="96">
        <v>45.5</v>
      </c>
      <c r="BC140" s="96"/>
      <c r="BD140" s="97">
        <v>143.36000000000001</v>
      </c>
      <c r="BE140" s="142">
        <f t="shared" si="59"/>
        <v>11578</v>
      </c>
      <c r="BF140" s="98">
        <v>110</v>
      </c>
      <c r="BG140" s="98">
        <v>0</v>
      </c>
      <c r="BH140" s="98">
        <v>6064</v>
      </c>
      <c r="BI140" s="98">
        <v>5404</v>
      </c>
      <c r="BJ140" s="98"/>
      <c r="BK140" s="98"/>
      <c r="BL140" s="98"/>
    </row>
    <row r="141" spans="1:64" outlineLevel="5" x14ac:dyDescent="0.3">
      <c r="A141" s="152">
        <f t="shared" si="45"/>
        <v>4</v>
      </c>
      <c r="B141" s="153">
        <f t="shared" si="44"/>
        <v>44673</v>
      </c>
      <c r="C141" s="138">
        <f t="shared" si="50"/>
        <v>38</v>
      </c>
      <c r="D141" s="84">
        <v>38</v>
      </c>
      <c r="E141" s="84">
        <v>38</v>
      </c>
      <c r="F141" s="84"/>
      <c r="G141" s="84"/>
      <c r="H141" s="84"/>
      <c r="I141" s="84"/>
      <c r="J141" s="84"/>
      <c r="K141" s="84"/>
      <c r="L141" s="140">
        <f t="shared" si="51"/>
        <v>8.1999999999999993</v>
      </c>
      <c r="M141" s="86">
        <v>8.24</v>
      </c>
      <c r="N141" s="86">
        <v>8.1300000000000008</v>
      </c>
      <c r="O141" s="86"/>
      <c r="P141" s="86"/>
      <c r="Q141" s="86"/>
      <c r="R141" s="86"/>
      <c r="S141" s="86"/>
      <c r="T141" s="86"/>
      <c r="U141" s="142">
        <f t="shared" si="52"/>
        <v>1758</v>
      </c>
      <c r="V141" s="88">
        <v>1869</v>
      </c>
      <c r="W141" s="88">
        <v>1647</v>
      </c>
      <c r="X141" s="88"/>
      <c r="Y141" s="88"/>
      <c r="Z141" s="88"/>
      <c r="AA141" s="88"/>
      <c r="AB141" s="88"/>
      <c r="AC141" s="88"/>
      <c r="AD141" s="142" t="str">
        <f t="shared" si="53"/>
        <v/>
      </c>
      <c r="AE141" s="88"/>
      <c r="AF141" s="88"/>
      <c r="AG141" s="88"/>
      <c r="AH141" s="88"/>
      <c r="AI141" s="88"/>
      <c r="AJ141" s="88"/>
      <c r="AK141" s="88"/>
      <c r="AL141" s="88"/>
      <c r="AM141" s="88">
        <v>38.688524590163937</v>
      </c>
      <c r="AN141" s="88">
        <v>122</v>
      </c>
      <c r="AO141" s="89"/>
      <c r="AP141" s="90"/>
      <c r="AQ141" s="146" t="str">
        <f t="shared" si="54"/>
        <v/>
      </c>
      <c r="AR141" s="146" t="str">
        <f t="shared" si="55"/>
        <v/>
      </c>
      <c r="AS141" s="147">
        <v>33</v>
      </c>
      <c r="AT141" s="148" t="s">
        <v>106</v>
      </c>
      <c r="AU141" s="149" t="s">
        <v>56</v>
      </c>
      <c r="AV141" s="146" t="str">
        <f t="shared" si="56"/>
        <v/>
      </c>
      <c r="AW141" s="146" t="str">
        <f t="shared" si="57"/>
        <v/>
      </c>
      <c r="AX141" s="138" t="str">
        <f t="shared" si="58"/>
        <v/>
      </c>
      <c r="AY141" s="95" t="s">
        <v>56</v>
      </c>
      <c r="AZ141" s="96">
        <v>60.5</v>
      </c>
      <c r="BA141" s="96"/>
      <c r="BB141" s="96">
        <v>41</v>
      </c>
      <c r="BC141" s="96"/>
      <c r="BD141" s="97">
        <v>122</v>
      </c>
      <c r="BE141" s="142">
        <f t="shared" si="59"/>
        <v>9084</v>
      </c>
      <c r="BF141" s="98">
        <v>124</v>
      </c>
      <c r="BG141" s="98">
        <v>0</v>
      </c>
      <c r="BH141" s="98">
        <v>3880</v>
      </c>
      <c r="BI141" s="98">
        <v>5080</v>
      </c>
      <c r="BJ141" s="98"/>
      <c r="BK141" s="98"/>
      <c r="BL141" s="98"/>
    </row>
    <row r="142" spans="1:64" outlineLevel="5" x14ac:dyDescent="0.3">
      <c r="A142" s="152">
        <f t="shared" si="45"/>
        <v>4</v>
      </c>
      <c r="B142" s="153">
        <f t="shared" si="44"/>
        <v>44674</v>
      </c>
      <c r="C142" s="138">
        <f t="shared" si="50"/>
        <v>38</v>
      </c>
      <c r="D142" s="84">
        <v>38</v>
      </c>
      <c r="E142" s="84">
        <v>38</v>
      </c>
      <c r="F142" s="84"/>
      <c r="G142" s="84"/>
      <c r="H142" s="84"/>
      <c r="I142" s="84"/>
      <c r="J142" s="84"/>
      <c r="K142" s="84"/>
      <c r="L142" s="140" t="str">
        <f t="shared" si="51"/>
        <v/>
      </c>
      <c r="M142" s="86"/>
      <c r="N142" s="86"/>
      <c r="O142" s="86"/>
      <c r="P142" s="86"/>
      <c r="Q142" s="86"/>
      <c r="R142" s="86"/>
      <c r="S142" s="86"/>
      <c r="T142" s="86"/>
      <c r="U142" s="142" t="str">
        <f t="shared" si="52"/>
        <v/>
      </c>
      <c r="V142" s="88"/>
      <c r="W142" s="88"/>
      <c r="X142" s="88"/>
      <c r="Y142" s="88"/>
      <c r="Z142" s="88"/>
      <c r="AA142" s="88"/>
      <c r="AB142" s="88"/>
      <c r="AC142" s="88"/>
      <c r="AD142" s="142" t="str">
        <f t="shared" si="53"/>
        <v/>
      </c>
      <c r="AE142" s="88"/>
      <c r="AF142" s="88"/>
      <c r="AG142" s="88"/>
      <c r="AH142" s="88"/>
      <c r="AI142" s="88"/>
      <c r="AJ142" s="88"/>
      <c r="AK142" s="88"/>
      <c r="AL142" s="88"/>
      <c r="AM142" s="88">
        <v>33.711877723019789</v>
      </c>
      <c r="AN142" s="88">
        <v>140.01</v>
      </c>
      <c r="AO142" s="89"/>
      <c r="AP142" s="90"/>
      <c r="AQ142" s="146" t="str">
        <f t="shared" si="54"/>
        <v/>
      </c>
      <c r="AR142" s="146" t="str">
        <f t="shared" si="55"/>
        <v/>
      </c>
      <c r="AS142" s="147">
        <v>40</v>
      </c>
      <c r="AT142" s="148" t="s">
        <v>106</v>
      </c>
      <c r="AU142" s="149" t="s">
        <v>56</v>
      </c>
      <c r="AV142" s="146" t="str">
        <f t="shared" si="56"/>
        <v/>
      </c>
      <c r="AW142" s="146" t="str">
        <f t="shared" si="57"/>
        <v/>
      </c>
      <c r="AX142" s="138" t="str">
        <f t="shared" si="58"/>
        <v/>
      </c>
      <c r="AY142" s="95" t="s">
        <v>56</v>
      </c>
      <c r="AZ142" s="96" t="s">
        <v>56</v>
      </c>
      <c r="BA142" s="96"/>
      <c r="BB142" s="96" t="s">
        <v>56</v>
      </c>
      <c r="BC142" s="96"/>
      <c r="BD142" s="97">
        <v>140.01</v>
      </c>
      <c r="BE142" s="142">
        <f t="shared" si="59"/>
        <v>7489</v>
      </c>
      <c r="BF142" s="98">
        <v>0</v>
      </c>
      <c r="BG142" s="98">
        <v>0</v>
      </c>
      <c r="BH142" s="98">
        <v>2398</v>
      </c>
      <c r="BI142" s="98">
        <v>5091</v>
      </c>
      <c r="BJ142" s="98"/>
      <c r="BK142" s="98"/>
      <c r="BL142" s="98"/>
    </row>
    <row r="143" spans="1:64" outlineLevel="5" x14ac:dyDescent="0.3">
      <c r="A143" s="152">
        <f t="shared" si="45"/>
        <v>4</v>
      </c>
      <c r="B143" s="153">
        <f t="shared" si="44"/>
        <v>44675</v>
      </c>
      <c r="C143" s="138">
        <f t="shared" si="50"/>
        <v>38</v>
      </c>
      <c r="D143" s="84">
        <v>38</v>
      </c>
      <c r="E143" s="84">
        <v>38</v>
      </c>
      <c r="F143" s="84"/>
      <c r="G143" s="84"/>
      <c r="H143" s="84"/>
      <c r="I143" s="84"/>
      <c r="J143" s="84"/>
      <c r="K143" s="84"/>
      <c r="L143" s="140" t="str">
        <f t="shared" si="51"/>
        <v/>
      </c>
      <c r="M143" s="86"/>
      <c r="N143" s="86"/>
      <c r="O143" s="86"/>
      <c r="P143" s="86"/>
      <c r="Q143" s="86"/>
      <c r="R143" s="86"/>
      <c r="S143" s="86"/>
      <c r="T143" s="86"/>
      <c r="U143" s="142" t="str">
        <f t="shared" si="52"/>
        <v/>
      </c>
      <c r="V143" s="88"/>
      <c r="W143" s="88"/>
      <c r="X143" s="88"/>
      <c r="Y143" s="88"/>
      <c r="Z143" s="88"/>
      <c r="AA143" s="88"/>
      <c r="AB143" s="88"/>
      <c r="AC143" s="88"/>
      <c r="AD143" s="142" t="str">
        <f t="shared" si="53"/>
        <v/>
      </c>
      <c r="AE143" s="88"/>
      <c r="AF143" s="88"/>
      <c r="AG143" s="88"/>
      <c r="AH143" s="88"/>
      <c r="AI143" s="88"/>
      <c r="AJ143" s="88"/>
      <c r="AK143" s="88"/>
      <c r="AL143" s="88"/>
      <c r="AM143" s="88">
        <v>33.714285714285715</v>
      </c>
      <c r="AN143" s="88">
        <v>140</v>
      </c>
      <c r="AO143" s="89"/>
      <c r="AP143" s="90"/>
      <c r="AQ143" s="146" t="str">
        <f t="shared" si="54"/>
        <v/>
      </c>
      <c r="AR143" s="146" t="str">
        <f t="shared" si="55"/>
        <v/>
      </c>
      <c r="AS143" s="147">
        <v>0</v>
      </c>
      <c r="AT143" s="148" t="s">
        <v>106</v>
      </c>
      <c r="AU143" s="149" t="s">
        <v>56</v>
      </c>
      <c r="AV143" s="146" t="str">
        <f t="shared" si="56"/>
        <v/>
      </c>
      <c r="AW143" s="146" t="str">
        <f t="shared" si="57"/>
        <v/>
      </c>
      <c r="AX143" s="138" t="str">
        <f t="shared" si="58"/>
        <v/>
      </c>
      <c r="AY143" s="95" t="s">
        <v>56</v>
      </c>
      <c r="AZ143" s="96" t="s">
        <v>56</v>
      </c>
      <c r="BA143" s="96"/>
      <c r="BB143" s="96" t="s">
        <v>56</v>
      </c>
      <c r="BC143" s="96"/>
      <c r="BD143" s="97">
        <v>140</v>
      </c>
      <c r="BE143" s="142">
        <f t="shared" si="59"/>
        <v>7143</v>
      </c>
      <c r="BF143" s="98">
        <v>0</v>
      </c>
      <c r="BG143" s="98">
        <v>0</v>
      </c>
      <c r="BH143" s="98">
        <v>2057</v>
      </c>
      <c r="BI143" s="98">
        <v>5086</v>
      </c>
      <c r="BJ143" s="98"/>
      <c r="BK143" s="98"/>
      <c r="BL143" s="98"/>
    </row>
    <row r="144" spans="1:64" outlineLevel="5" x14ac:dyDescent="0.3">
      <c r="A144" s="152">
        <f t="shared" si="45"/>
        <v>4</v>
      </c>
      <c r="B144" s="153">
        <f t="shared" si="44"/>
        <v>44676</v>
      </c>
      <c r="C144" s="138">
        <f t="shared" si="50"/>
        <v>37</v>
      </c>
      <c r="D144" s="84">
        <v>37</v>
      </c>
      <c r="E144" s="84">
        <v>37</v>
      </c>
      <c r="F144" s="84"/>
      <c r="G144" s="84"/>
      <c r="H144" s="84"/>
      <c r="I144" s="84"/>
      <c r="J144" s="84"/>
      <c r="K144" s="84"/>
      <c r="L144" s="140">
        <f t="shared" si="51"/>
        <v>8.3000000000000007</v>
      </c>
      <c r="M144" s="86">
        <v>8.31</v>
      </c>
      <c r="N144" s="86">
        <v>8.1999999999999993</v>
      </c>
      <c r="O144" s="86"/>
      <c r="P144" s="86"/>
      <c r="Q144" s="86"/>
      <c r="R144" s="86"/>
      <c r="S144" s="86"/>
      <c r="T144" s="86"/>
      <c r="U144" s="142">
        <f t="shared" si="52"/>
        <v>1785</v>
      </c>
      <c r="V144" s="88">
        <v>1854</v>
      </c>
      <c r="W144" s="88">
        <v>1716</v>
      </c>
      <c r="X144" s="88"/>
      <c r="Y144" s="88"/>
      <c r="Z144" s="88"/>
      <c r="AA144" s="88"/>
      <c r="AB144" s="88"/>
      <c r="AC144" s="88"/>
      <c r="AD144" s="142" t="str">
        <f t="shared" si="53"/>
        <v/>
      </c>
      <c r="AE144" s="88"/>
      <c r="AF144" s="88"/>
      <c r="AG144" s="88"/>
      <c r="AH144" s="88"/>
      <c r="AI144" s="88"/>
      <c r="AJ144" s="88"/>
      <c r="AK144" s="88"/>
      <c r="AL144" s="88"/>
      <c r="AM144" s="88">
        <v>34.877706347446981</v>
      </c>
      <c r="AN144" s="88">
        <v>135.33000000000001</v>
      </c>
      <c r="AO144" s="89">
        <v>27.4</v>
      </c>
      <c r="AP144" s="90">
        <v>22.741999999999997</v>
      </c>
      <c r="AQ144" s="146">
        <f t="shared" si="54"/>
        <v>83</v>
      </c>
      <c r="AR144" s="146">
        <f t="shared" si="55"/>
        <v>17</v>
      </c>
      <c r="AS144" s="147">
        <v>32</v>
      </c>
      <c r="AT144" s="148">
        <v>12.7</v>
      </c>
      <c r="AU144" s="149">
        <v>7.1173000000000002</v>
      </c>
      <c r="AV144" s="146">
        <f t="shared" si="56"/>
        <v>56.041732283464576</v>
      </c>
      <c r="AW144" s="146">
        <f t="shared" si="57"/>
        <v>43.958267716535424</v>
      </c>
      <c r="AX144" s="138">
        <f t="shared" si="58"/>
        <v>73.887899386249373</v>
      </c>
      <c r="AY144" s="95">
        <v>77.599999999999994</v>
      </c>
      <c r="AZ144" s="96">
        <v>62.914999999999999</v>
      </c>
      <c r="BA144" s="96"/>
      <c r="BB144" s="96">
        <v>27.5</v>
      </c>
      <c r="BC144" s="96"/>
      <c r="BD144" s="97">
        <v>135.33000000000001</v>
      </c>
      <c r="BE144" s="142">
        <f t="shared" si="59"/>
        <v>8076</v>
      </c>
      <c r="BF144" s="98">
        <v>0</v>
      </c>
      <c r="BG144" s="98">
        <v>0</v>
      </c>
      <c r="BH144" s="98">
        <v>2985</v>
      </c>
      <c r="BI144" s="98">
        <v>5091</v>
      </c>
      <c r="BJ144" s="98"/>
      <c r="BK144" s="98"/>
      <c r="BL144" s="98"/>
    </row>
    <row r="145" spans="1:64" outlineLevel="5" x14ac:dyDescent="0.3">
      <c r="A145" s="152">
        <f t="shared" si="45"/>
        <v>4</v>
      </c>
      <c r="B145" s="153">
        <f t="shared" si="44"/>
        <v>44677</v>
      </c>
      <c r="C145" s="138">
        <f t="shared" si="50"/>
        <v>38</v>
      </c>
      <c r="D145" s="84">
        <v>38</v>
      </c>
      <c r="E145" s="84">
        <v>38</v>
      </c>
      <c r="F145" s="84"/>
      <c r="G145" s="84"/>
      <c r="H145" s="84"/>
      <c r="I145" s="84"/>
      <c r="J145" s="84"/>
      <c r="K145" s="84"/>
      <c r="L145" s="140">
        <f t="shared" si="51"/>
        <v>7.9</v>
      </c>
      <c r="M145" s="86">
        <v>7.91</v>
      </c>
      <c r="N145" s="86">
        <v>7.85</v>
      </c>
      <c r="O145" s="86"/>
      <c r="P145" s="86"/>
      <c r="Q145" s="86"/>
      <c r="R145" s="86"/>
      <c r="S145" s="86"/>
      <c r="T145" s="86"/>
      <c r="U145" s="142">
        <f t="shared" si="52"/>
        <v>1743.5</v>
      </c>
      <c r="V145" s="88">
        <v>1789</v>
      </c>
      <c r="W145" s="88">
        <v>1698</v>
      </c>
      <c r="X145" s="88"/>
      <c r="Y145" s="88"/>
      <c r="Z145" s="88"/>
      <c r="AA145" s="88"/>
      <c r="AB145" s="88"/>
      <c r="AC145" s="88"/>
      <c r="AD145" s="142" t="str">
        <f t="shared" si="53"/>
        <v/>
      </c>
      <c r="AE145" s="88"/>
      <c r="AF145" s="88"/>
      <c r="AG145" s="88"/>
      <c r="AH145" s="88"/>
      <c r="AI145" s="88"/>
      <c r="AJ145" s="88"/>
      <c r="AK145" s="88"/>
      <c r="AL145" s="88"/>
      <c r="AM145" s="88">
        <v>30.200268731204812</v>
      </c>
      <c r="AN145" s="88">
        <v>156.29</v>
      </c>
      <c r="AO145" s="89"/>
      <c r="AP145" s="90"/>
      <c r="AQ145" s="146" t="str">
        <f t="shared" si="54"/>
        <v/>
      </c>
      <c r="AR145" s="146" t="str">
        <f t="shared" si="55"/>
        <v/>
      </c>
      <c r="AS145" s="147">
        <v>35</v>
      </c>
      <c r="AT145" s="148" t="s">
        <v>106</v>
      </c>
      <c r="AU145" s="149" t="s">
        <v>56</v>
      </c>
      <c r="AV145" s="146" t="str">
        <f t="shared" si="56"/>
        <v/>
      </c>
      <c r="AW145" s="146" t="str">
        <f t="shared" si="57"/>
        <v/>
      </c>
      <c r="AX145" s="138" t="str">
        <f t="shared" si="58"/>
        <v/>
      </c>
      <c r="AY145" s="95" t="s">
        <v>56</v>
      </c>
      <c r="AZ145" s="96">
        <v>61.945</v>
      </c>
      <c r="BA145" s="96"/>
      <c r="BB145" s="96">
        <v>38</v>
      </c>
      <c r="BC145" s="96"/>
      <c r="BD145" s="97">
        <v>156.29</v>
      </c>
      <c r="BE145" s="142">
        <f t="shared" si="59"/>
        <v>11365</v>
      </c>
      <c r="BF145" s="98">
        <v>0</v>
      </c>
      <c r="BG145" s="98">
        <v>0</v>
      </c>
      <c r="BH145" s="98">
        <v>6284</v>
      </c>
      <c r="BI145" s="98">
        <v>5081</v>
      </c>
      <c r="BJ145" s="98"/>
      <c r="BK145" s="98"/>
      <c r="BL145" s="98"/>
    </row>
    <row r="146" spans="1:64" outlineLevel="5" x14ac:dyDescent="0.3">
      <c r="A146" s="152">
        <f t="shared" si="45"/>
        <v>4</v>
      </c>
      <c r="B146" s="153">
        <f t="shared" si="44"/>
        <v>44678</v>
      </c>
      <c r="C146" s="138">
        <f t="shared" si="50"/>
        <v>37.5</v>
      </c>
      <c r="D146" s="84">
        <v>37</v>
      </c>
      <c r="E146" s="84">
        <v>38</v>
      </c>
      <c r="F146" s="84"/>
      <c r="G146" s="84"/>
      <c r="H146" s="84"/>
      <c r="I146" s="84"/>
      <c r="J146" s="84"/>
      <c r="K146" s="84"/>
      <c r="L146" s="140">
        <f t="shared" si="51"/>
        <v>7.9</v>
      </c>
      <c r="M146" s="86">
        <v>7.91</v>
      </c>
      <c r="N146" s="86">
        <v>7.87</v>
      </c>
      <c r="O146" s="86"/>
      <c r="P146" s="86"/>
      <c r="Q146" s="86"/>
      <c r="R146" s="86"/>
      <c r="S146" s="86"/>
      <c r="T146" s="86"/>
      <c r="U146" s="142">
        <f t="shared" si="52"/>
        <v>1807</v>
      </c>
      <c r="V146" s="88">
        <v>1894</v>
      </c>
      <c r="W146" s="88">
        <v>1720</v>
      </c>
      <c r="X146" s="88"/>
      <c r="Y146" s="88"/>
      <c r="Z146" s="88"/>
      <c r="AA146" s="88"/>
      <c r="AB146" s="88"/>
      <c r="AC146" s="88"/>
      <c r="AD146" s="142">
        <f t="shared" si="53"/>
        <v>7935</v>
      </c>
      <c r="AE146" s="88">
        <v>8020</v>
      </c>
      <c r="AF146" s="88">
        <v>7850</v>
      </c>
      <c r="AG146" s="88"/>
      <c r="AH146" s="88"/>
      <c r="AI146" s="88"/>
      <c r="AJ146" s="88"/>
      <c r="AK146" s="88"/>
      <c r="AL146" s="88"/>
      <c r="AM146" s="88">
        <v>28.474903474903478</v>
      </c>
      <c r="AN146" s="88">
        <v>165.76</v>
      </c>
      <c r="AO146" s="89"/>
      <c r="AP146" s="90"/>
      <c r="AQ146" s="146" t="str">
        <f t="shared" si="54"/>
        <v/>
      </c>
      <c r="AR146" s="146" t="str">
        <f t="shared" si="55"/>
        <v/>
      </c>
      <c r="AS146" s="147">
        <v>20</v>
      </c>
      <c r="AT146" s="148">
        <v>13.85</v>
      </c>
      <c r="AU146" s="149">
        <v>8.9651999999999994</v>
      </c>
      <c r="AV146" s="146">
        <f t="shared" si="56"/>
        <v>64.730685920577614</v>
      </c>
      <c r="AW146" s="146">
        <f t="shared" si="57"/>
        <v>35.269314079422386</v>
      </c>
      <c r="AX146" s="138" t="str">
        <f t="shared" si="58"/>
        <v/>
      </c>
      <c r="AY146" s="95">
        <v>73.900000000000006</v>
      </c>
      <c r="AZ146" s="96">
        <v>60.400000000000006</v>
      </c>
      <c r="BA146" s="96"/>
      <c r="BB146" s="96">
        <v>50</v>
      </c>
      <c r="BC146" s="96"/>
      <c r="BD146" s="97">
        <v>165.76</v>
      </c>
      <c r="BE146" s="142">
        <f t="shared" si="59"/>
        <v>11243</v>
      </c>
      <c r="BF146" s="98">
        <v>0</v>
      </c>
      <c r="BG146" s="98">
        <v>0</v>
      </c>
      <c r="BH146" s="98">
        <v>6152</v>
      </c>
      <c r="BI146" s="98">
        <v>5091</v>
      </c>
      <c r="BJ146" s="98"/>
      <c r="BK146" s="98"/>
      <c r="BL146" s="98"/>
    </row>
    <row r="147" spans="1:64" outlineLevel="5" x14ac:dyDescent="0.3">
      <c r="A147" s="152">
        <f t="shared" si="45"/>
        <v>4</v>
      </c>
      <c r="B147" s="153">
        <f t="shared" si="44"/>
        <v>44679</v>
      </c>
      <c r="C147" s="138">
        <f t="shared" si="50"/>
        <v>37.5</v>
      </c>
      <c r="D147" s="84">
        <v>37</v>
      </c>
      <c r="E147" s="84">
        <v>38</v>
      </c>
      <c r="F147" s="84"/>
      <c r="G147" s="84"/>
      <c r="H147" s="84"/>
      <c r="I147" s="84"/>
      <c r="J147" s="84"/>
      <c r="K147" s="84"/>
      <c r="L147" s="140">
        <f t="shared" si="51"/>
        <v>7.8</v>
      </c>
      <c r="M147" s="86">
        <v>7.87</v>
      </c>
      <c r="N147" s="86">
        <v>7.8</v>
      </c>
      <c r="O147" s="86"/>
      <c r="P147" s="86"/>
      <c r="Q147" s="86"/>
      <c r="R147" s="86"/>
      <c r="S147" s="86"/>
      <c r="T147" s="86"/>
      <c r="U147" s="142">
        <f t="shared" si="52"/>
        <v>1864</v>
      </c>
      <c r="V147" s="88">
        <v>1912</v>
      </c>
      <c r="W147" s="88">
        <v>1816</v>
      </c>
      <c r="X147" s="88"/>
      <c r="Y147" s="88"/>
      <c r="Z147" s="88"/>
      <c r="AA147" s="88"/>
      <c r="AB147" s="88"/>
      <c r="AC147" s="88"/>
      <c r="AD147" s="142" t="str">
        <f t="shared" si="53"/>
        <v/>
      </c>
      <c r="AE147" s="88"/>
      <c r="AF147" s="88"/>
      <c r="AG147" s="88"/>
      <c r="AH147" s="88"/>
      <c r="AI147" s="88"/>
      <c r="AJ147" s="88"/>
      <c r="AK147" s="88"/>
      <c r="AL147" s="88"/>
      <c r="AM147" s="88">
        <v>42.169212900920215</v>
      </c>
      <c r="AN147" s="88">
        <v>111.93</v>
      </c>
      <c r="AO147" s="89"/>
      <c r="AP147" s="90"/>
      <c r="AQ147" s="146" t="str">
        <f t="shared" si="54"/>
        <v/>
      </c>
      <c r="AR147" s="146" t="str">
        <f t="shared" si="55"/>
        <v/>
      </c>
      <c r="AS147" s="147">
        <v>20</v>
      </c>
      <c r="AT147" s="148" t="s">
        <v>106</v>
      </c>
      <c r="AU147" s="149" t="s">
        <v>56</v>
      </c>
      <c r="AV147" s="146" t="str">
        <f t="shared" si="56"/>
        <v/>
      </c>
      <c r="AW147" s="146" t="str">
        <f t="shared" si="57"/>
        <v/>
      </c>
      <c r="AX147" s="138" t="str">
        <f t="shared" si="58"/>
        <v/>
      </c>
      <c r="AY147" s="95" t="s">
        <v>56</v>
      </c>
      <c r="AZ147" s="96">
        <v>60.91</v>
      </c>
      <c r="BA147" s="96"/>
      <c r="BB147" s="96">
        <v>32</v>
      </c>
      <c r="BC147" s="96"/>
      <c r="BD147" s="97">
        <v>111.93</v>
      </c>
      <c r="BE147" s="142">
        <f t="shared" si="59"/>
        <v>8852</v>
      </c>
      <c r="BF147" s="98">
        <v>0</v>
      </c>
      <c r="BG147" s="98">
        <v>0</v>
      </c>
      <c r="BH147" s="98">
        <v>3762</v>
      </c>
      <c r="BI147" s="98">
        <v>5090</v>
      </c>
      <c r="BJ147" s="98"/>
      <c r="BK147" s="98"/>
      <c r="BL147" s="98"/>
    </row>
    <row r="148" spans="1:64" outlineLevel="5" x14ac:dyDescent="0.3">
      <c r="A148" s="152">
        <f t="shared" si="45"/>
        <v>4</v>
      </c>
      <c r="B148" s="153">
        <f t="shared" si="44"/>
        <v>44680</v>
      </c>
      <c r="C148" s="138">
        <f t="shared" si="50"/>
        <v>38</v>
      </c>
      <c r="D148" s="84">
        <v>38</v>
      </c>
      <c r="E148" s="84">
        <v>38</v>
      </c>
      <c r="F148" s="84"/>
      <c r="G148" s="84"/>
      <c r="H148" s="84"/>
      <c r="I148" s="84"/>
      <c r="J148" s="84"/>
      <c r="K148" s="84"/>
      <c r="L148" s="140">
        <f t="shared" si="51"/>
        <v>7.9</v>
      </c>
      <c r="M148" s="86">
        <v>7.97</v>
      </c>
      <c r="N148" s="86">
        <v>7.82</v>
      </c>
      <c r="O148" s="86"/>
      <c r="P148" s="86"/>
      <c r="Q148" s="86"/>
      <c r="R148" s="86"/>
      <c r="S148" s="86"/>
      <c r="T148" s="86"/>
      <c r="U148" s="142">
        <f t="shared" si="52"/>
        <v>1776</v>
      </c>
      <c r="V148" s="88">
        <v>1854</v>
      </c>
      <c r="W148" s="88">
        <v>1698</v>
      </c>
      <c r="X148" s="88"/>
      <c r="Y148" s="88"/>
      <c r="Z148" s="88"/>
      <c r="AA148" s="88"/>
      <c r="AB148" s="88"/>
      <c r="AC148" s="88"/>
      <c r="AD148" s="142" t="str">
        <f t="shared" si="53"/>
        <v/>
      </c>
      <c r="AE148" s="88"/>
      <c r="AF148" s="88"/>
      <c r="AG148" s="88"/>
      <c r="AH148" s="88"/>
      <c r="AI148" s="88"/>
      <c r="AJ148" s="88"/>
      <c r="AK148" s="88"/>
      <c r="AL148" s="88"/>
      <c r="AM148" s="88">
        <v>34.89833641404806</v>
      </c>
      <c r="AN148" s="88">
        <v>135.25</v>
      </c>
      <c r="AO148" s="89"/>
      <c r="AP148" s="90"/>
      <c r="AQ148" s="146" t="str">
        <f t="shared" si="54"/>
        <v/>
      </c>
      <c r="AR148" s="146" t="str">
        <f t="shared" si="55"/>
        <v/>
      </c>
      <c r="AS148" s="147">
        <v>33</v>
      </c>
      <c r="AT148" s="148" t="s">
        <v>106</v>
      </c>
      <c r="AU148" s="149" t="s">
        <v>56</v>
      </c>
      <c r="AV148" s="146" t="str">
        <f t="shared" si="56"/>
        <v/>
      </c>
      <c r="AW148" s="146" t="str">
        <f t="shared" si="57"/>
        <v/>
      </c>
      <c r="AX148" s="138" t="str">
        <f t="shared" si="58"/>
        <v/>
      </c>
      <c r="AY148" s="95" t="s">
        <v>56</v>
      </c>
      <c r="AZ148" s="96">
        <v>60.53</v>
      </c>
      <c r="BA148" s="96"/>
      <c r="BB148" s="96">
        <v>42</v>
      </c>
      <c r="BC148" s="96"/>
      <c r="BD148" s="97">
        <v>135.25</v>
      </c>
      <c r="BE148" s="142">
        <f t="shared" si="59"/>
        <v>9623</v>
      </c>
      <c r="BF148" s="98">
        <v>0</v>
      </c>
      <c r="BG148" s="98">
        <v>0</v>
      </c>
      <c r="BH148" s="98">
        <v>4543</v>
      </c>
      <c r="BI148" s="98">
        <v>5080</v>
      </c>
      <c r="BJ148" s="98"/>
      <c r="BK148" s="98"/>
      <c r="BL148" s="98"/>
    </row>
    <row r="149" spans="1:64" ht="17.25" outlineLevel="5" thickBot="1" x14ac:dyDescent="0.35">
      <c r="A149" s="154">
        <f t="shared" si="45"/>
        <v>4</v>
      </c>
      <c r="B149" s="155">
        <f t="shared" si="44"/>
        <v>44681</v>
      </c>
      <c r="C149" s="138">
        <f t="shared" si="50"/>
        <v>38</v>
      </c>
      <c r="D149" s="84">
        <v>38</v>
      </c>
      <c r="E149" s="84">
        <v>38</v>
      </c>
      <c r="F149" s="84"/>
      <c r="G149" s="84"/>
      <c r="H149" s="84"/>
      <c r="I149" s="84"/>
      <c r="J149" s="84"/>
      <c r="K149" s="84"/>
      <c r="L149" s="140" t="str">
        <f t="shared" si="51"/>
        <v/>
      </c>
      <c r="M149" s="86"/>
      <c r="N149" s="86"/>
      <c r="O149" s="86"/>
      <c r="P149" s="86"/>
      <c r="Q149" s="86"/>
      <c r="R149" s="86"/>
      <c r="S149" s="86"/>
      <c r="T149" s="86"/>
      <c r="U149" s="142" t="str">
        <f t="shared" si="52"/>
        <v/>
      </c>
      <c r="V149" s="88"/>
      <c r="W149" s="88"/>
      <c r="X149" s="88"/>
      <c r="Y149" s="88"/>
      <c r="Z149" s="88"/>
      <c r="AA149" s="88"/>
      <c r="AB149" s="88"/>
      <c r="AC149" s="88"/>
      <c r="AD149" s="142" t="str">
        <f t="shared" si="53"/>
        <v/>
      </c>
      <c r="AE149" s="88"/>
      <c r="AF149" s="88"/>
      <c r="AG149" s="88"/>
      <c r="AH149" s="88"/>
      <c r="AI149" s="88"/>
      <c r="AJ149" s="88"/>
      <c r="AK149" s="88"/>
      <c r="AL149" s="88"/>
      <c r="AM149" s="88">
        <v>35.871713026295787</v>
      </c>
      <c r="AN149" s="88">
        <v>131.58000000000001</v>
      </c>
      <c r="AO149" s="89"/>
      <c r="AP149" s="90"/>
      <c r="AQ149" s="146" t="str">
        <f t="shared" si="54"/>
        <v/>
      </c>
      <c r="AR149" s="146" t="str">
        <f t="shared" si="55"/>
        <v/>
      </c>
      <c r="AS149" s="147">
        <v>19</v>
      </c>
      <c r="AT149" s="148" t="s">
        <v>106</v>
      </c>
      <c r="AU149" s="149" t="s">
        <v>56</v>
      </c>
      <c r="AV149" s="146" t="str">
        <f t="shared" si="56"/>
        <v/>
      </c>
      <c r="AW149" s="146" t="str">
        <f t="shared" si="57"/>
        <v/>
      </c>
      <c r="AX149" s="138" t="str">
        <f t="shared" si="58"/>
        <v/>
      </c>
      <c r="AY149" s="95" t="s">
        <v>56</v>
      </c>
      <c r="AZ149" s="96" t="s">
        <v>56</v>
      </c>
      <c r="BA149" s="96"/>
      <c r="BB149" s="96" t="s">
        <v>56</v>
      </c>
      <c r="BC149" s="96"/>
      <c r="BD149" s="97">
        <v>131.58000000000001</v>
      </c>
      <c r="BE149" s="142">
        <f t="shared" si="59"/>
        <v>5197</v>
      </c>
      <c r="BF149" s="98">
        <v>0</v>
      </c>
      <c r="BG149" s="98">
        <v>1</v>
      </c>
      <c r="BH149" s="98">
        <v>116</v>
      </c>
      <c r="BI149" s="98">
        <v>5080</v>
      </c>
      <c r="BJ149" s="98"/>
      <c r="BK149" s="98"/>
      <c r="BL149" s="98"/>
    </row>
    <row r="150" spans="1:64" outlineLevel="4" x14ac:dyDescent="0.3">
      <c r="A150" s="63" t="s">
        <v>69</v>
      </c>
      <c r="B150" s="64"/>
      <c r="C150" s="65">
        <f t="shared" ref="C150:BL150" si="60">SUBTOTAL(4,C120:C149)</f>
        <v>39.5</v>
      </c>
      <c r="D150" s="66">
        <f t="shared" si="60"/>
        <v>40</v>
      </c>
      <c r="E150" s="66">
        <f t="shared" si="60"/>
        <v>39</v>
      </c>
      <c r="F150" s="66">
        <f t="shared" si="60"/>
        <v>0</v>
      </c>
      <c r="G150" s="66">
        <f t="shared" si="60"/>
        <v>0</v>
      </c>
      <c r="H150" s="66">
        <f t="shared" si="60"/>
        <v>0</v>
      </c>
      <c r="I150" s="66">
        <f t="shared" si="60"/>
        <v>0</v>
      </c>
      <c r="J150" s="66">
        <f t="shared" si="60"/>
        <v>0</v>
      </c>
      <c r="K150" s="66">
        <f t="shared" si="60"/>
        <v>0</v>
      </c>
      <c r="L150" s="67">
        <f t="shared" si="60"/>
        <v>8.3000000000000007</v>
      </c>
      <c r="M150" s="68">
        <f t="shared" si="60"/>
        <v>8.34</v>
      </c>
      <c r="N150" s="68">
        <f t="shared" si="60"/>
        <v>8.2100000000000009</v>
      </c>
      <c r="O150" s="68">
        <f t="shared" si="60"/>
        <v>0</v>
      </c>
      <c r="P150" s="68">
        <f t="shared" si="60"/>
        <v>0</v>
      </c>
      <c r="Q150" s="68">
        <f t="shared" si="60"/>
        <v>0</v>
      </c>
      <c r="R150" s="68">
        <f t="shared" si="60"/>
        <v>0</v>
      </c>
      <c r="S150" s="68">
        <f t="shared" si="60"/>
        <v>0</v>
      </c>
      <c r="T150" s="68">
        <f t="shared" si="60"/>
        <v>0</v>
      </c>
      <c r="U150" s="69">
        <f t="shared" si="60"/>
        <v>1880</v>
      </c>
      <c r="V150" s="70">
        <f t="shared" si="60"/>
        <v>1925</v>
      </c>
      <c r="W150" s="70">
        <f t="shared" si="60"/>
        <v>1835</v>
      </c>
      <c r="X150" s="70">
        <f t="shared" si="60"/>
        <v>0</v>
      </c>
      <c r="Y150" s="70">
        <f t="shared" si="60"/>
        <v>0</v>
      </c>
      <c r="Z150" s="70">
        <f t="shared" si="60"/>
        <v>0</v>
      </c>
      <c r="AA150" s="70">
        <f t="shared" si="60"/>
        <v>0</v>
      </c>
      <c r="AB150" s="70">
        <f t="shared" si="60"/>
        <v>0</v>
      </c>
      <c r="AC150" s="70">
        <f t="shared" si="60"/>
        <v>0</v>
      </c>
      <c r="AD150" s="69">
        <f t="shared" si="60"/>
        <v>7950</v>
      </c>
      <c r="AE150" s="70">
        <f t="shared" si="60"/>
        <v>8150</v>
      </c>
      <c r="AF150" s="70">
        <f t="shared" si="60"/>
        <v>8010</v>
      </c>
      <c r="AG150" s="70">
        <f t="shared" si="60"/>
        <v>0</v>
      </c>
      <c r="AH150" s="70">
        <f t="shared" si="60"/>
        <v>0</v>
      </c>
      <c r="AI150" s="70">
        <f t="shared" si="60"/>
        <v>0</v>
      </c>
      <c r="AJ150" s="70">
        <f t="shared" si="60"/>
        <v>0</v>
      </c>
      <c r="AK150" s="70">
        <f t="shared" si="60"/>
        <v>0</v>
      </c>
      <c r="AL150" s="70">
        <f t="shared" si="60"/>
        <v>0</v>
      </c>
      <c r="AM150" s="70">
        <f t="shared" si="60"/>
        <v>53.045628231063169</v>
      </c>
      <c r="AN150" s="70">
        <f t="shared" si="60"/>
        <v>165.76</v>
      </c>
      <c r="AO150" s="71">
        <f t="shared" si="60"/>
        <v>28.8</v>
      </c>
      <c r="AP150" s="72">
        <f t="shared" si="60"/>
        <v>25.862399999999997</v>
      </c>
      <c r="AQ150" s="73">
        <f t="shared" si="60"/>
        <v>96.8</v>
      </c>
      <c r="AR150" s="73">
        <f t="shared" si="60"/>
        <v>17</v>
      </c>
      <c r="AS150" s="74">
        <f t="shared" si="60"/>
        <v>46</v>
      </c>
      <c r="AT150" s="75">
        <f t="shared" si="60"/>
        <v>16.350000000000001</v>
      </c>
      <c r="AU150" s="76">
        <f t="shared" si="60"/>
        <v>9.744250000000001</v>
      </c>
      <c r="AV150" s="73">
        <f t="shared" si="60"/>
        <v>64.730685920577614</v>
      </c>
      <c r="AW150" s="73">
        <f t="shared" si="60"/>
        <v>63.602564102564102</v>
      </c>
      <c r="AX150" s="65">
        <f t="shared" si="60"/>
        <v>93.499900560676167</v>
      </c>
      <c r="AY150" s="77">
        <f t="shared" si="60"/>
        <v>78.95</v>
      </c>
      <c r="AZ150" s="78">
        <f t="shared" si="60"/>
        <v>63.254999999999995</v>
      </c>
      <c r="BA150" s="78">
        <f t="shared" si="60"/>
        <v>0</v>
      </c>
      <c r="BB150" s="78">
        <f t="shared" si="60"/>
        <v>55.5</v>
      </c>
      <c r="BC150" s="78">
        <f t="shared" si="60"/>
        <v>0</v>
      </c>
      <c r="BD150" s="79">
        <f t="shared" si="60"/>
        <v>165.76</v>
      </c>
      <c r="BE150" s="69">
        <f t="shared" si="60"/>
        <v>11659</v>
      </c>
      <c r="BF150" s="70">
        <f t="shared" si="60"/>
        <v>380</v>
      </c>
      <c r="BG150" s="80">
        <f t="shared" si="60"/>
        <v>1</v>
      </c>
      <c r="BH150" s="80">
        <f t="shared" si="60"/>
        <v>6284</v>
      </c>
      <c r="BI150" s="80">
        <f t="shared" si="60"/>
        <v>5659</v>
      </c>
      <c r="BJ150" s="80">
        <f t="shared" si="60"/>
        <v>0</v>
      </c>
      <c r="BK150" s="80">
        <f t="shared" si="60"/>
        <v>0</v>
      </c>
      <c r="BL150" s="79">
        <f t="shared" si="60"/>
        <v>0</v>
      </c>
    </row>
    <row r="151" spans="1:64" outlineLevel="3" x14ac:dyDescent="0.3">
      <c r="A151" s="81" t="s">
        <v>70</v>
      </c>
      <c r="B151" s="82"/>
      <c r="C151" s="83">
        <f t="shared" ref="C151:BL151" si="61">SUBTOTAL(5,C120:C149)</f>
        <v>35</v>
      </c>
      <c r="D151" s="84">
        <f t="shared" si="61"/>
        <v>35</v>
      </c>
      <c r="E151" s="84">
        <f t="shared" si="61"/>
        <v>35</v>
      </c>
      <c r="F151" s="84">
        <f t="shared" si="61"/>
        <v>0</v>
      </c>
      <c r="G151" s="84">
        <f t="shared" si="61"/>
        <v>0</v>
      </c>
      <c r="H151" s="84">
        <f t="shared" si="61"/>
        <v>0</v>
      </c>
      <c r="I151" s="84">
        <f t="shared" si="61"/>
        <v>0</v>
      </c>
      <c r="J151" s="84">
        <f t="shared" si="61"/>
        <v>0</v>
      </c>
      <c r="K151" s="84">
        <f t="shared" si="61"/>
        <v>0</v>
      </c>
      <c r="L151" s="85">
        <f t="shared" si="61"/>
        <v>7.8</v>
      </c>
      <c r="M151" s="86">
        <f t="shared" si="61"/>
        <v>7.87</v>
      </c>
      <c r="N151" s="86">
        <f t="shared" si="61"/>
        <v>7.8</v>
      </c>
      <c r="O151" s="86">
        <f t="shared" si="61"/>
        <v>0</v>
      </c>
      <c r="P151" s="86">
        <f t="shared" si="61"/>
        <v>0</v>
      </c>
      <c r="Q151" s="86">
        <f t="shared" si="61"/>
        <v>0</v>
      </c>
      <c r="R151" s="86">
        <f t="shared" si="61"/>
        <v>0</v>
      </c>
      <c r="S151" s="86">
        <f t="shared" si="61"/>
        <v>0</v>
      </c>
      <c r="T151" s="86">
        <f t="shared" si="61"/>
        <v>0</v>
      </c>
      <c r="U151" s="87">
        <f t="shared" si="61"/>
        <v>1728</v>
      </c>
      <c r="V151" s="88">
        <f t="shared" si="61"/>
        <v>1789</v>
      </c>
      <c r="W151" s="88">
        <f t="shared" si="61"/>
        <v>1602</v>
      </c>
      <c r="X151" s="88">
        <f t="shared" si="61"/>
        <v>0</v>
      </c>
      <c r="Y151" s="88">
        <f t="shared" si="61"/>
        <v>0</v>
      </c>
      <c r="Z151" s="88">
        <f t="shared" si="61"/>
        <v>0</v>
      </c>
      <c r="AA151" s="88">
        <f t="shared" si="61"/>
        <v>0</v>
      </c>
      <c r="AB151" s="88">
        <f t="shared" si="61"/>
        <v>0</v>
      </c>
      <c r="AC151" s="88">
        <f t="shared" si="61"/>
        <v>0</v>
      </c>
      <c r="AD151" s="87">
        <f t="shared" si="61"/>
        <v>7870</v>
      </c>
      <c r="AE151" s="88">
        <f t="shared" si="61"/>
        <v>7890</v>
      </c>
      <c r="AF151" s="88">
        <f t="shared" si="61"/>
        <v>7590</v>
      </c>
      <c r="AG151" s="88">
        <f t="shared" si="61"/>
        <v>0</v>
      </c>
      <c r="AH151" s="88">
        <f t="shared" si="61"/>
        <v>0</v>
      </c>
      <c r="AI151" s="88">
        <f t="shared" si="61"/>
        <v>0</v>
      </c>
      <c r="AJ151" s="88">
        <f t="shared" si="61"/>
        <v>0</v>
      </c>
      <c r="AK151" s="88">
        <f t="shared" si="61"/>
        <v>0</v>
      </c>
      <c r="AL151" s="88">
        <f t="shared" si="61"/>
        <v>0</v>
      </c>
      <c r="AM151" s="88">
        <f t="shared" si="61"/>
        <v>28.474903474903478</v>
      </c>
      <c r="AN151" s="88">
        <f t="shared" si="61"/>
        <v>88.97999999999999</v>
      </c>
      <c r="AO151" s="89">
        <f t="shared" si="61"/>
        <v>20.3</v>
      </c>
      <c r="AP151" s="90">
        <f t="shared" si="61"/>
        <v>19.650400000000001</v>
      </c>
      <c r="AQ151" s="91">
        <f t="shared" si="61"/>
        <v>83</v>
      </c>
      <c r="AR151" s="91">
        <f t="shared" si="61"/>
        <v>3.2000000000000028</v>
      </c>
      <c r="AS151" s="92">
        <f t="shared" si="61"/>
        <v>0</v>
      </c>
      <c r="AT151" s="93">
        <f t="shared" si="61"/>
        <v>12.7</v>
      </c>
      <c r="AU151" s="94">
        <f t="shared" si="61"/>
        <v>4.9682500000000003</v>
      </c>
      <c r="AV151" s="91">
        <f t="shared" si="61"/>
        <v>36.397435897435898</v>
      </c>
      <c r="AW151" s="91">
        <f t="shared" si="61"/>
        <v>35.269314079422386</v>
      </c>
      <c r="AX151" s="83">
        <f t="shared" si="61"/>
        <v>73.887899386249373</v>
      </c>
      <c r="AY151" s="95">
        <f t="shared" si="61"/>
        <v>70.099999999999994</v>
      </c>
      <c r="AZ151" s="96">
        <f t="shared" si="61"/>
        <v>59.730000000000004</v>
      </c>
      <c r="BA151" s="96">
        <f t="shared" si="61"/>
        <v>0</v>
      </c>
      <c r="BB151" s="96">
        <f t="shared" si="61"/>
        <v>27.5</v>
      </c>
      <c r="BC151" s="96">
        <f t="shared" si="61"/>
        <v>0</v>
      </c>
      <c r="BD151" s="97">
        <f t="shared" si="61"/>
        <v>88.97999999999999</v>
      </c>
      <c r="BE151" s="87">
        <f t="shared" si="61"/>
        <v>5095</v>
      </c>
      <c r="BF151" s="88">
        <f t="shared" si="61"/>
        <v>0</v>
      </c>
      <c r="BG151" s="98">
        <f t="shared" si="61"/>
        <v>0</v>
      </c>
      <c r="BH151" s="98">
        <f t="shared" si="61"/>
        <v>13</v>
      </c>
      <c r="BI151" s="98">
        <f t="shared" si="61"/>
        <v>4651</v>
      </c>
      <c r="BJ151" s="98">
        <f t="shared" si="61"/>
        <v>0</v>
      </c>
      <c r="BK151" s="98">
        <f t="shared" si="61"/>
        <v>0</v>
      </c>
      <c r="BL151" s="97">
        <f t="shared" si="61"/>
        <v>0</v>
      </c>
    </row>
    <row r="152" spans="1:64" outlineLevel="2" x14ac:dyDescent="0.3">
      <c r="A152" s="81" t="s">
        <v>71</v>
      </c>
      <c r="B152" s="82"/>
      <c r="C152" s="83">
        <f t="shared" ref="C152:BL152" si="62">IFERROR(SUBTOTAL(1,C120:C149),"")</f>
        <v>37.4</v>
      </c>
      <c r="D152" s="84">
        <f t="shared" si="62"/>
        <v>37.4</v>
      </c>
      <c r="E152" s="84">
        <f t="shared" si="62"/>
        <v>37.4</v>
      </c>
      <c r="F152" s="84" t="str">
        <f t="shared" si="62"/>
        <v/>
      </c>
      <c r="G152" s="84" t="str">
        <f t="shared" si="62"/>
        <v/>
      </c>
      <c r="H152" s="84" t="str">
        <f t="shared" si="62"/>
        <v/>
      </c>
      <c r="I152" s="84" t="str">
        <f t="shared" si="62"/>
        <v/>
      </c>
      <c r="J152" s="84" t="str">
        <f t="shared" si="62"/>
        <v/>
      </c>
      <c r="K152" s="84" t="str">
        <f t="shared" si="62"/>
        <v/>
      </c>
      <c r="L152" s="85">
        <f t="shared" si="62"/>
        <v>8.1428571428571459</v>
      </c>
      <c r="M152" s="86">
        <f t="shared" si="62"/>
        <v>8.1909523809523819</v>
      </c>
      <c r="N152" s="86">
        <f t="shared" si="62"/>
        <v>8.1009523809523802</v>
      </c>
      <c r="O152" s="86" t="str">
        <f t="shared" si="62"/>
        <v/>
      </c>
      <c r="P152" s="86" t="str">
        <f t="shared" si="62"/>
        <v/>
      </c>
      <c r="Q152" s="86" t="str">
        <f t="shared" si="62"/>
        <v/>
      </c>
      <c r="R152" s="86" t="str">
        <f t="shared" si="62"/>
        <v/>
      </c>
      <c r="S152" s="86" t="str">
        <f t="shared" si="62"/>
        <v/>
      </c>
      <c r="T152" s="86" t="str">
        <f t="shared" si="62"/>
        <v/>
      </c>
      <c r="U152" s="87">
        <f t="shared" si="62"/>
        <v>1798.9285714285713</v>
      </c>
      <c r="V152" s="88">
        <f t="shared" si="62"/>
        <v>1878.4285714285713</v>
      </c>
      <c r="W152" s="88">
        <f t="shared" si="62"/>
        <v>1719.4285714285713</v>
      </c>
      <c r="X152" s="88" t="str">
        <f t="shared" si="62"/>
        <v/>
      </c>
      <c r="Y152" s="88" t="str">
        <f t="shared" si="62"/>
        <v/>
      </c>
      <c r="Z152" s="88" t="str">
        <f t="shared" si="62"/>
        <v/>
      </c>
      <c r="AA152" s="88" t="str">
        <f t="shared" si="62"/>
        <v/>
      </c>
      <c r="AB152" s="88" t="str">
        <f t="shared" si="62"/>
        <v/>
      </c>
      <c r="AC152" s="88" t="str">
        <f t="shared" si="62"/>
        <v/>
      </c>
      <c r="AD152" s="87">
        <f t="shared" si="62"/>
        <v>7921.25</v>
      </c>
      <c r="AE152" s="88">
        <f t="shared" si="62"/>
        <v>8017.5</v>
      </c>
      <c r="AF152" s="88">
        <f t="shared" si="62"/>
        <v>7825</v>
      </c>
      <c r="AG152" s="88" t="str">
        <f t="shared" si="62"/>
        <v/>
      </c>
      <c r="AH152" s="88" t="str">
        <f t="shared" si="62"/>
        <v/>
      </c>
      <c r="AI152" s="88" t="str">
        <f t="shared" si="62"/>
        <v/>
      </c>
      <c r="AJ152" s="88" t="str">
        <f t="shared" si="62"/>
        <v/>
      </c>
      <c r="AK152" s="88" t="str">
        <f t="shared" si="62"/>
        <v/>
      </c>
      <c r="AL152" s="88" t="str">
        <f t="shared" si="62"/>
        <v/>
      </c>
      <c r="AM152" s="88">
        <f t="shared" si="62"/>
        <v>36.110022228854945</v>
      </c>
      <c r="AN152" s="88">
        <f t="shared" si="62"/>
        <v>134.13033333333331</v>
      </c>
      <c r="AO152" s="89">
        <f t="shared" si="62"/>
        <v>25.5</v>
      </c>
      <c r="AP152" s="90">
        <f t="shared" si="62"/>
        <v>22.751599999999996</v>
      </c>
      <c r="AQ152" s="91">
        <f t="shared" si="62"/>
        <v>89.866666666666674</v>
      </c>
      <c r="AR152" s="91">
        <f t="shared" si="62"/>
        <v>10.133333333333335</v>
      </c>
      <c r="AS152" s="92">
        <f t="shared" si="62"/>
        <v>25.933333333333334</v>
      </c>
      <c r="AT152" s="93">
        <f t="shared" si="62"/>
        <v>14.4125</v>
      </c>
      <c r="AU152" s="94">
        <f t="shared" si="62"/>
        <v>8.1888437500000002</v>
      </c>
      <c r="AV152" s="91">
        <f t="shared" si="62"/>
        <v>56.648454173716182</v>
      </c>
      <c r="AW152" s="91">
        <f t="shared" si="62"/>
        <v>43.351545826283825</v>
      </c>
      <c r="AX152" s="83">
        <f t="shared" si="62"/>
        <v>83.693899973462777</v>
      </c>
      <c r="AY152" s="95">
        <f t="shared" si="62"/>
        <v>74.772222222222226</v>
      </c>
      <c r="AZ152" s="96">
        <f t="shared" si="62"/>
        <v>61.031428571428577</v>
      </c>
      <c r="BA152" s="96" t="str">
        <f t="shared" si="62"/>
        <v/>
      </c>
      <c r="BB152" s="96">
        <f t="shared" si="62"/>
        <v>44.357142857142854</v>
      </c>
      <c r="BC152" s="96" t="str">
        <f t="shared" si="62"/>
        <v/>
      </c>
      <c r="BD152" s="97">
        <f>IFERROR(SUBTOTAL(1,BD120:BD149),"")</f>
        <v>134.13033333333331</v>
      </c>
      <c r="BE152" s="87">
        <f t="shared" si="62"/>
        <v>8458.2000000000007</v>
      </c>
      <c r="BF152" s="88">
        <f t="shared" si="62"/>
        <v>53.366666666666667</v>
      </c>
      <c r="BG152" s="98">
        <f t="shared" si="62"/>
        <v>3.3333333333333333E-2</v>
      </c>
      <c r="BH152" s="98">
        <f t="shared" si="62"/>
        <v>3329.4666666666667</v>
      </c>
      <c r="BI152" s="98">
        <f t="shared" si="62"/>
        <v>5075.333333333333</v>
      </c>
      <c r="BJ152" s="98" t="str">
        <f t="shared" si="62"/>
        <v/>
      </c>
      <c r="BK152" s="98" t="str">
        <f t="shared" si="62"/>
        <v/>
      </c>
      <c r="BL152" s="97" t="str">
        <f t="shared" si="62"/>
        <v/>
      </c>
    </row>
    <row r="153" spans="1:64" ht="17.25" outlineLevel="1" thickBot="1" x14ac:dyDescent="0.35">
      <c r="A153" s="99" t="s">
        <v>72</v>
      </c>
      <c r="B153" s="100"/>
      <c r="C153" s="101"/>
      <c r="D153" s="102"/>
      <c r="E153" s="102"/>
      <c r="F153" s="102"/>
      <c r="G153" s="102"/>
      <c r="H153" s="102"/>
      <c r="I153" s="102"/>
      <c r="J153" s="102"/>
      <c r="K153" s="102"/>
      <c r="L153" s="103"/>
      <c r="M153" s="104"/>
      <c r="N153" s="104"/>
      <c r="O153" s="104"/>
      <c r="P153" s="104"/>
      <c r="Q153" s="104"/>
      <c r="R153" s="104"/>
      <c r="S153" s="104"/>
      <c r="T153" s="104"/>
      <c r="U153" s="105"/>
      <c r="V153" s="106"/>
      <c r="W153" s="106"/>
      <c r="X153" s="106"/>
      <c r="Y153" s="106"/>
      <c r="Z153" s="106"/>
      <c r="AA153" s="106"/>
      <c r="AB153" s="106"/>
      <c r="AC153" s="106"/>
      <c r="AD153" s="105"/>
      <c r="AE153" s="106"/>
      <c r="AF153" s="106"/>
      <c r="AG153" s="106"/>
      <c r="AH153" s="106"/>
      <c r="AI153" s="106"/>
      <c r="AJ153" s="106"/>
      <c r="AK153" s="106"/>
      <c r="AL153" s="106"/>
      <c r="AM153" s="106"/>
      <c r="AN153" s="107">
        <f>SUBTOTAL(9,AN120:AN149)</f>
        <v>4023.9099999999994</v>
      </c>
      <c r="AO153" s="108"/>
      <c r="AP153" s="109"/>
      <c r="AQ153" s="110"/>
      <c r="AR153" s="110"/>
      <c r="AS153" s="111">
        <f>SUBTOTAL(9,AS120:AS149)</f>
        <v>778</v>
      </c>
      <c r="AT153" s="112"/>
      <c r="AU153" s="113"/>
      <c r="AV153" s="110"/>
      <c r="AW153" s="110"/>
      <c r="AX153" s="101"/>
      <c r="AY153" s="114"/>
      <c r="AZ153" s="115"/>
      <c r="BA153" s="115"/>
      <c r="BB153" s="115"/>
      <c r="BC153" s="115"/>
      <c r="BD153" s="116">
        <f>SUBTOTAL(9,BD120:BD149)</f>
        <v>4023.9099999999994</v>
      </c>
      <c r="BE153" s="117">
        <f t="shared" ref="BE153:BL153" si="63">SUBTOTAL(9,BE120:BE149)</f>
        <v>253746</v>
      </c>
      <c r="BF153" s="107">
        <f t="shared" si="63"/>
        <v>1601</v>
      </c>
      <c r="BG153" s="118">
        <f t="shared" si="63"/>
        <v>1</v>
      </c>
      <c r="BH153" s="118">
        <f t="shared" si="63"/>
        <v>99884</v>
      </c>
      <c r="BI153" s="118">
        <f t="shared" si="63"/>
        <v>152260</v>
      </c>
      <c r="BJ153" s="118">
        <f t="shared" si="63"/>
        <v>0</v>
      </c>
      <c r="BK153" s="118">
        <f t="shared" si="63"/>
        <v>0</v>
      </c>
      <c r="BL153" s="116">
        <f t="shared" si="63"/>
        <v>0</v>
      </c>
    </row>
    <row r="154" spans="1:64" outlineLevel="5" x14ac:dyDescent="0.3">
      <c r="A154" s="136">
        <f t="shared" si="45"/>
        <v>5</v>
      </c>
      <c r="B154" s="165">
        <f>B149+1</f>
        <v>44682</v>
      </c>
      <c r="C154" s="138">
        <f t="shared" ref="C154:C184" si="64">IFERROR(ROUND(AVERAGE(D154:K154),1),"")</f>
        <v>38</v>
      </c>
      <c r="D154" s="84">
        <v>38</v>
      </c>
      <c r="E154" s="84">
        <v>38</v>
      </c>
      <c r="F154" s="84"/>
      <c r="G154" s="84"/>
      <c r="H154" s="84"/>
      <c r="I154" s="84"/>
      <c r="J154" s="84"/>
      <c r="K154" s="84"/>
      <c r="L154" s="140" t="str">
        <f t="shared" ref="L154:L184" si="65">IFERROR(ROUND(AVERAGE(M154:T154),1),"")</f>
        <v/>
      </c>
      <c r="M154" s="86"/>
      <c r="N154" s="86"/>
      <c r="O154" s="86"/>
      <c r="P154" s="86"/>
      <c r="Q154" s="86"/>
      <c r="R154" s="86"/>
      <c r="S154" s="86"/>
      <c r="T154" s="86"/>
      <c r="U154" s="142" t="str">
        <f t="shared" ref="U154:U184" si="66">IFERROR(ROUND(AVERAGE(V154:AC154),1),"")</f>
        <v/>
      </c>
      <c r="V154" s="88"/>
      <c r="W154" s="88"/>
      <c r="X154" s="88"/>
      <c r="Y154" s="88"/>
      <c r="Z154" s="88"/>
      <c r="AA154" s="88"/>
      <c r="AB154" s="88"/>
      <c r="AC154" s="88"/>
      <c r="AD154" s="142" t="str">
        <f t="shared" ref="AD154:AD184" si="67">IFERROR(ROUND(AVERAGE(AE154:AL154),1),"")</f>
        <v/>
      </c>
      <c r="AE154" s="88"/>
      <c r="AF154" s="88"/>
      <c r="AG154" s="88"/>
      <c r="AH154" s="88"/>
      <c r="AI154" s="88"/>
      <c r="AJ154" s="88"/>
      <c r="AK154" s="88"/>
      <c r="AL154" s="88"/>
      <c r="AM154" s="88">
        <v>39.333333333333336</v>
      </c>
      <c r="AN154" s="88">
        <v>120</v>
      </c>
      <c r="AO154" s="89"/>
      <c r="AP154" s="90">
        <v>0</v>
      </c>
      <c r="AQ154" s="146" t="str">
        <f t="shared" ref="AQ154:AQ184" si="68">IFERROR(AP154/AO154*100,"")</f>
        <v/>
      </c>
      <c r="AR154" s="146" t="str">
        <f t="shared" ref="AR154:AR184" si="69">IFERROR(100-AQ154,"")</f>
        <v/>
      </c>
      <c r="AS154" s="147">
        <v>9</v>
      </c>
      <c r="AT154" s="148" t="s">
        <v>106</v>
      </c>
      <c r="AU154" s="149" t="s">
        <v>56</v>
      </c>
      <c r="AV154" s="146" t="str">
        <f t="shared" ref="AV154:AV184" si="70">IFERROR(AU154/AT154*100,"")</f>
        <v/>
      </c>
      <c r="AW154" s="146" t="str">
        <f t="shared" ref="AW154:AW184" si="71">IFERROR(100-AV154,"")</f>
        <v/>
      </c>
      <c r="AX154" s="138" t="str">
        <f t="shared" ref="AX154:AX184" si="72">IFERROR((1-((AV154*AR154)/(AW154*AQ154)))*100,"")</f>
        <v/>
      </c>
      <c r="AY154" s="95" t="s">
        <v>56</v>
      </c>
      <c r="AZ154" s="96" t="s">
        <v>56</v>
      </c>
      <c r="BA154" s="96"/>
      <c r="BB154" s="96" t="s">
        <v>56</v>
      </c>
      <c r="BC154" s="96"/>
      <c r="BD154" s="97">
        <v>120</v>
      </c>
      <c r="BE154" s="142">
        <f t="shared" ref="BE154:BE184" si="73">IF(SUM(BF154:BL154)=0,"",SUM(BF154:BL154))</f>
        <v>5640</v>
      </c>
      <c r="BF154" s="98">
        <v>0</v>
      </c>
      <c r="BG154" s="98">
        <v>0</v>
      </c>
      <c r="BH154" s="98">
        <v>0</v>
      </c>
      <c r="BI154" s="98">
        <v>5640</v>
      </c>
      <c r="BJ154" s="98"/>
      <c r="BK154" s="98"/>
      <c r="BL154" s="97"/>
    </row>
    <row r="155" spans="1:64" outlineLevel="5" x14ac:dyDescent="0.3">
      <c r="A155" s="152">
        <f t="shared" si="45"/>
        <v>5</v>
      </c>
      <c r="B155" s="153">
        <f t="shared" ref="B155:B218" si="74">B154+1</f>
        <v>44683</v>
      </c>
      <c r="C155" s="138">
        <f t="shared" si="64"/>
        <v>39</v>
      </c>
      <c r="D155" s="84">
        <v>39</v>
      </c>
      <c r="E155" s="84">
        <v>39</v>
      </c>
      <c r="F155" s="84"/>
      <c r="G155" s="84"/>
      <c r="H155" s="84"/>
      <c r="I155" s="84"/>
      <c r="J155" s="84"/>
      <c r="K155" s="84"/>
      <c r="L155" s="140">
        <f t="shared" si="65"/>
        <v>7.9</v>
      </c>
      <c r="M155" s="86">
        <v>7.94</v>
      </c>
      <c r="N155" s="86">
        <v>7.85</v>
      </c>
      <c r="O155" s="86"/>
      <c r="P155" s="86"/>
      <c r="Q155" s="86"/>
      <c r="R155" s="86"/>
      <c r="S155" s="86"/>
      <c r="T155" s="86"/>
      <c r="U155" s="142">
        <f t="shared" si="66"/>
        <v>1787</v>
      </c>
      <c r="V155" s="88">
        <v>1854</v>
      </c>
      <c r="W155" s="88">
        <v>1720</v>
      </c>
      <c r="X155" s="88"/>
      <c r="Y155" s="88"/>
      <c r="Z155" s="88"/>
      <c r="AA155" s="88"/>
      <c r="AB155" s="88"/>
      <c r="AC155" s="88"/>
      <c r="AD155" s="142" t="str">
        <f t="shared" si="67"/>
        <v/>
      </c>
      <c r="AE155" s="88"/>
      <c r="AF155" s="88"/>
      <c r="AG155" s="88"/>
      <c r="AH155" s="88"/>
      <c r="AI155" s="88"/>
      <c r="AJ155" s="88"/>
      <c r="AK155" s="88"/>
      <c r="AL155" s="88"/>
      <c r="AM155" s="88">
        <v>40.798686144005529</v>
      </c>
      <c r="AN155" s="88">
        <v>115.69</v>
      </c>
      <c r="AO155" s="89">
        <v>17.5</v>
      </c>
      <c r="AP155" s="90">
        <v>14.28</v>
      </c>
      <c r="AQ155" s="146">
        <f t="shared" si="68"/>
        <v>81.599999999999994</v>
      </c>
      <c r="AR155" s="146">
        <f t="shared" si="69"/>
        <v>18.400000000000006</v>
      </c>
      <c r="AS155" s="147">
        <v>35</v>
      </c>
      <c r="AT155" s="148">
        <v>12.350000000000001</v>
      </c>
      <c r="AU155" s="149">
        <v>5.9613500000000004</v>
      </c>
      <c r="AV155" s="146">
        <f t="shared" si="70"/>
        <v>48.270040485829959</v>
      </c>
      <c r="AW155" s="146">
        <f t="shared" si="71"/>
        <v>51.729959514170041</v>
      </c>
      <c r="AX155" s="138">
        <f t="shared" si="72"/>
        <v>78.959154431810205</v>
      </c>
      <c r="AY155" s="95">
        <v>70.75</v>
      </c>
      <c r="AZ155" s="96">
        <v>63.174999999999997</v>
      </c>
      <c r="BA155" s="96"/>
      <c r="BB155" s="96">
        <v>36.5</v>
      </c>
      <c r="BC155" s="96"/>
      <c r="BD155" s="97">
        <v>115.69</v>
      </c>
      <c r="BE155" s="142">
        <f t="shared" si="73"/>
        <v>6399</v>
      </c>
      <c r="BF155" s="98">
        <v>0</v>
      </c>
      <c r="BG155" s="98">
        <v>0</v>
      </c>
      <c r="BH155" s="98">
        <v>1169</v>
      </c>
      <c r="BI155" s="98">
        <v>5230</v>
      </c>
      <c r="BJ155" s="98"/>
      <c r="BK155" s="98"/>
      <c r="BL155" s="97"/>
    </row>
    <row r="156" spans="1:64" outlineLevel="5" x14ac:dyDescent="0.3">
      <c r="A156" s="152">
        <f t="shared" si="45"/>
        <v>5</v>
      </c>
      <c r="B156" s="153">
        <f t="shared" si="74"/>
        <v>44684</v>
      </c>
      <c r="C156" s="138">
        <f t="shared" si="64"/>
        <v>37</v>
      </c>
      <c r="D156" s="84">
        <v>37</v>
      </c>
      <c r="E156" s="84">
        <v>37</v>
      </c>
      <c r="F156" s="84"/>
      <c r="G156" s="84"/>
      <c r="H156" s="84"/>
      <c r="I156" s="84"/>
      <c r="J156" s="84"/>
      <c r="K156" s="84"/>
      <c r="L156" s="140">
        <f t="shared" si="65"/>
        <v>7.9</v>
      </c>
      <c r="M156" s="86">
        <v>7.89</v>
      </c>
      <c r="N156" s="86">
        <v>7.86</v>
      </c>
      <c r="O156" s="86"/>
      <c r="P156" s="86"/>
      <c r="Q156" s="86"/>
      <c r="R156" s="86"/>
      <c r="S156" s="86"/>
      <c r="T156" s="86"/>
      <c r="U156" s="142">
        <f t="shared" si="66"/>
        <v>1772</v>
      </c>
      <c r="V156" s="88">
        <v>1845</v>
      </c>
      <c r="W156" s="88">
        <v>1699</v>
      </c>
      <c r="X156" s="88"/>
      <c r="Y156" s="88"/>
      <c r="Z156" s="88"/>
      <c r="AA156" s="88"/>
      <c r="AB156" s="88"/>
      <c r="AC156" s="88"/>
      <c r="AD156" s="142" t="str">
        <f t="shared" si="67"/>
        <v/>
      </c>
      <c r="AE156" s="88"/>
      <c r="AF156" s="88"/>
      <c r="AG156" s="88"/>
      <c r="AH156" s="88"/>
      <c r="AI156" s="88"/>
      <c r="AJ156" s="88"/>
      <c r="AK156" s="88"/>
      <c r="AL156" s="88"/>
      <c r="AM156" s="88">
        <v>41.82172603225235</v>
      </c>
      <c r="AN156" s="88">
        <v>112.86</v>
      </c>
      <c r="AO156" s="89"/>
      <c r="AP156" s="90"/>
      <c r="AQ156" s="146" t="str">
        <f t="shared" si="68"/>
        <v/>
      </c>
      <c r="AR156" s="146" t="str">
        <f t="shared" si="69"/>
        <v/>
      </c>
      <c r="AS156" s="147">
        <v>40</v>
      </c>
      <c r="AT156" s="148" t="s">
        <v>106</v>
      </c>
      <c r="AU156" s="149" t="s">
        <v>56</v>
      </c>
      <c r="AV156" s="146" t="str">
        <f t="shared" si="70"/>
        <v/>
      </c>
      <c r="AW156" s="146" t="str">
        <f t="shared" si="71"/>
        <v/>
      </c>
      <c r="AX156" s="138" t="str">
        <f t="shared" si="72"/>
        <v/>
      </c>
      <c r="AY156" s="95" t="s">
        <v>56</v>
      </c>
      <c r="AZ156" s="96">
        <v>63.465000000000003</v>
      </c>
      <c r="BA156" s="96"/>
      <c r="BB156" s="96">
        <v>40</v>
      </c>
      <c r="BC156" s="96"/>
      <c r="BD156" s="97">
        <v>112.86</v>
      </c>
      <c r="BE156" s="142">
        <f t="shared" si="73"/>
        <v>8527</v>
      </c>
      <c r="BF156" s="98">
        <v>0</v>
      </c>
      <c r="BG156" s="98">
        <v>0</v>
      </c>
      <c r="BH156" s="98">
        <v>3327</v>
      </c>
      <c r="BI156" s="98">
        <v>5200</v>
      </c>
      <c r="BJ156" s="98"/>
      <c r="BK156" s="98"/>
      <c r="BL156" s="97"/>
    </row>
    <row r="157" spans="1:64" outlineLevel="5" x14ac:dyDescent="0.3">
      <c r="A157" s="152">
        <f t="shared" si="45"/>
        <v>5</v>
      </c>
      <c r="B157" s="153">
        <f t="shared" si="74"/>
        <v>44685</v>
      </c>
      <c r="C157" s="138">
        <f t="shared" si="64"/>
        <v>37</v>
      </c>
      <c r="D157" s="84">
        <v>37</v>
      </c>
      <c r="E157" s="84">
        <v>37</v>
      </c>
      <c r="F157" s="84"/>
      <c r="G157" s="84"/>
      <c r="H157" s="84"/>
      <c r="I157" s="84"/>
      <c r="J157" s="84"/>
      <c r="K157" s="84"/>
      <c r="L157" s="140">
        <f t="shared" si="65"/>
        <v>7.9</v>
      </c>
      <c r="M157" s="86">
        <v>7.95</v>
      </c>
      <c r="N157" s="86">
        <v>7.85</v>
      </c>
      <c r="O157" s="86"/>
      <c r="P157" s="86"/>
      <c r="Q157" s="86"/>
      <c r="R157" s="86"/>
      <c r="S157" s="86"/>
      <c r="T157" s="86"/>
      <c r="U157" s="142">
        <f t="shared" si="66"/>
        <v>1772</v>
      </c>
      <c r="V157" s="88">
        <v>1825</v>
      </c>
      <c r="W157" s="88">
        <v>1719</v>
      </c>
      <c r="X157" s="88"/>
      <c r="Y157" s="88"/>
      <c r="Z157" s="88"/>
      <c r="AA157" s="88"/>
      <c r="AB157" s="88"/>
      <c r="AC157" s="88"/>
      <c r="AD157" s="142">
        <f t="shared" si="67"/>
        <v>7715</v>
      </c>
      <c r="AE157" s="88">
        <v>7900</v>
      </c>
      <c r="AF157" s="88">
        <v>7530</v>
      </c>
      <c r="AG157" s="88"/>
      <c r="AH157" s="88"/>
      <c r="AI157" s="88"/>
      <c r="AJ157" s="88"/>
      <c r="AK157" s="88"/>
      <c r="AL157" s="88"/>
      <c r="AM157" s="88">
        <v>37.513908758543955</v>
      </c>
      <c r="AN157" s="88">
        <v>125.82</v>
      </c>
      <c r="AO157" s="89"/>
      <c r="AP157" s="90"/>
      <c r="AQ157" s="146" t="str">
        <f t="shared" si="68"/>
        <v/>
      </c>
      <c r="AR157" s="146" t="str">
        <f t="shared" si="69"/>
        <v/>
      </c>
      <c r="AS157" s="147">
        <v>25</v>
      </c>
      <c r="AT157" s="148">
        <v>13.4</v>
      </c>
      <c r="AU157" s="149">
        <v>7.9136000000000006</v>
      </c>
      <c r="AV157" s="146">
        <f t="shared" si="70"/>
        <v>59.056716417910451</v>
      </c>
      <c r="AW157" s="146">
        <f t="shared" si="71"/>
        <v>40.943283582089549</v>
      </c>
      <c r="AX157" s="138" t="str">
        <f t="shared" si="72"/>
        <v/>
      </c>
      <c r="AY157" s="95">
        <v>74.3</v>
      </c>
      <c r="AZ157" s="96">
        <v>62.834999999999994</v>
      </c>
      <c r="BA157" s="96"/>
      <c r="BB157" s="96">
        <v>42.5</v>
      </c>
      <c r="BC157" s="96"/>
      <c r="BD157" s="97">
        <v>125.82</v>
      </c>
      <c r="BE157" s="142">
        <f t="shared" si="73"/>
        <v>7591</v>
      </c>
      <c r="BF157" s="98">
        <v>0</v>
      </c>
      <c r="BG157" s="98">
        <v>0</v>
      </c>
      <c r="BH157" s="98">
        <v>2171</v>
      </c>
      <c r="BI157" s="98">
        <v>5420</v>
      </c>
      <c r="BJ157" s="98"/>
      <c r="BK157" s="98"/>
      <c r="BL157" s="97"/>
    </row>
    <row r="158" spans="1:64" outlineLevel="5" x14ac:dyDescent="0.3">
      <c r="A158" s="152">
        <f t="shared" si="45"/>
        <v>5</v>
      </c>
      <c r="B158" s="153">
        <f t="shared" si="74"/>
        <v>44686</v>
      </c>
      <c r="C158" s="138">
        <f t="shared" si="64"/>
        <v>38</v>
      </c>
      <c r="D158" s="84">
        <v>38</v>
      </c>
      <c r="E158" s="84">
        <v>38</v>
      </c>
      <c r="F158" s="84"/>
      <c r="G158" s="84"/>
      <c r="H158" s="84"/>
      <c r="I158" s="84"/>
      <c r="J158" s="84"/>
      <c r="K158" s="84"/>
      <c r="L158" s="140" t="str">
        <f t="shared" si="65"/>
        <v/>
      </c>
      <c r="M158" s="86"/>
      <c r="N158" s="86"/>
      <c r="O158" s="86"/>
      <c r="P158" s="86"/>
      <c r="Q158" s="86"/>
      <c r="R158" s="86"/>
      <c r="S158" s="86"/>
      <c r="T158" s="86"/>
      <c r="U158" s="142" t="str">
        <f t="shared" si="66"/>
        <v/>
      </c>
      <c r="V158" s="88"/>
      <c r="W158" s="88"/>
      <c r="X158" s="88"/>
      <c r="Y158" s="88"/>
      <c r="Z158" s="88"/>
      <c r="AA158" s="88"/>
      <c r="AB158" s="88"/>
      <c r="AC158" s="88"/>
      <c r="AD158" s="142" t="str">
        <f t="shared" si="67"/>
        <v/>
      </c>
      <c r="AE158" s="88"/>
      <c r="AF158" s="88"/>
      <c r="AG158" s="88"/>
      <c r="AH158" s="88"/>
      <c r="AI158" s="88"/>
      <c r="AJ158" s="88"/>
      <c r="AK158" s="88"/>
      <c r="AL158" s="88"/>
      <c r="AM158" s="88">
        <v>38.61888397970872</v>
      </c>
      <c r="AN158" s="88">
        <v>122.22</v>
      </c>
      <c r="AO158" s="89"/>
      <c r="AP158" s="90"/>
      <c r="AQ158" s="146" t="str">
        <f t="shared" si="68"/>
        <v/>
      </c>
      <c r="AR158" s="146" t="str">
        <f t="shared" si="69"/>
        <v/>
      </c>
      <c r="AS158" s="147">
        <v>20</v>
      </c>
      <c r="AT158" s="148" t="s">
        <v>106</v>
      </c>
      <c r="AU158" s="149" t="s">
        <v>56</v>
      </c>
      <c r="AV158" s="146" t="str">
        <f t="shared" si="70"/>
        <v/>
      </c>
      <c r="AW158" s="146" t="str">
        <f t="shared" si="71"/>
        <v/>
      </c>
      <c r="AX158" s="138" t="str">
        <f t="shared" si="72"/>
        <v/>
      </c>
      <c r="AY158" s="95" t="s">
        <v>56</v>
      </c>
      <c r="AZ158" s="96" t="s">
        <v>56</v>
      </c>
      <c r="BA158" s="96"/>
      <c r="BB158" s="96" t="s">
        <v>56</v>
      </c>
      <c r="BC158" s="96"/>
      <c r="BD158" s="97">
        <v>122.22</v>
      </c>
      <c r="BE158" s="142">
        <f t="shared" si="73"/>
        <v>8970</v>
      </c>
      <c r="BF158" s="98">
        <v>0</v>
      </c>
      <c r="BG158" s="98">
        <v>0</v>
      </c>
      <c r="BH158" s="98">
        <v>3920</v>
      </c>
      <c r="BI158" s="98">
        <v>5050</v>
      </c>
      <c r="BJ158" s="98"/>
      <c r="BK158" s="98"/>
      <c r="BL158" s="97"/>
    </row>
    <row r="159" spans="1:64" outlineLevel="5" x14ac:dyDescent="0.3">
      <c r="A159" s="152">
        <f t="shared" si="45"/>
        <v>5</v>
      </c>
      <c r="B159" s="153">
        <f t="shared" si="74"/>
        <v>44687</v>
      </c>
      <c r="C159" s="138">
        <f t="shared" si="64"/>
        <v>38</v>
      </c>
      <c r="D159" s="84">
        <v>38</v>
      </c>
      <c r="E159" s="84">
        <v>38</v>
      </c>
      <c r="F159" s="84"/>
      <c r="G159" s="84"/>
      <c r="H159" s="84"/>
      <c r="I159" s="84"/>
      <c r="J159" s="84"/>
      <c r="K159" s="84"/>
      <c r="L159" s="140">
        <f t="shared" si="65"/>
        <v>7.9</v>
      </c>
      <c r="M159" s="86">
        <v>7.91</v>
      </c>
      <c r="N159" s="86">
        <v>7.81</v>
      </c>
      <c r="O159" s="86"/>
      <c r="P159" s="86"/>
      <c r="Q159" s="86"/>
      <c r="R159" s="86"/>
      <c r="S159" s="86"/>
      <c r="T159" s="86"/>
      <c r="U159" s="142">
        <f t="shared" si="66"/>
        <v>1751</v>
      </c>
      <c r="V159" s="88">
        <v>1815</v>
      </c>
      <c r="W159" s="88">
        <v>1687</v>
      </c>
      <c r="X159" s="88"/>
      <c r="Y159" s="88"/>
      <c r="Z159" s="88"/>
      <c r="AA159" s="88"/>
      <c r="AB159" s="88"/>
      <c r="AC159" s="88"/>
      <c r="AD159" s="142" t="str">
        <f t="shared" si="67"/>
        <v/>
      </c>
      <c r="AE159" s="88"/>
      <c r="AF159" s="88"/>
      <c r="AG159" s="88"/>
      <c r="AH159" s="88"/>
      <c r="AI159" s="88"/>
      <c r="AJ159" s="88"/>
      <c r="AK159" s="88"/>
      <c r="AL159" s="88"/>
      <c r="AM159" s="88">
        <v>35.064259713245669</v>
      </c>
      <c r="AN159" s="88">
        <v>134.61000000000001</v>
      </c>
      <c r="AO159" s="89"/>
      <c r="AP159" s="90"/>
      <c r="AQ159" s="146" t="str">
        <f t="shared" si="68"/>
        <v/>
      </c>
      <c r="AR159" s="146" t="str">
        <f t="shared" si="69"/>
        <v/>
      </c>
      <c r="AS159" s="147">
        <v>25</v>
      </c>
      <c r="AT159" s="148" t="s">
        <v>106</v>
      </c>
      <c r="AU159" s="149" t="s">
        <v>56</v>
      </c>
      <c r="AV159" s="146" t="str">
        <f t="shared" si="70"/>
        <v/>
      </c>
      <c r="AW159" s="146" t="str">
        <f t="shared" si="71"/>
        <v/>
      </c>
      <c r="AX159" s="138" t="str">
        <f t="shared" si="72"/>
        <v/>
      </c>
      <c r="AY159" s="95" t="s">
        <v>56</v>
      </c>
      <c r="AZ159" s="96">
        <v>62.284999999999997</v>
      </c>
      <c r="BA159" s="96"/>
      <c r="BB159" s="96">
        <v>47.5</v>
      </c>
      <c r="BC159" s="96"/>
      <c r="BD159" s="97">
        <v>134.61000000000001</v>
      </c>
      <c r="BE159" s="142">
        <f t="shared" si="73"/>
        <v>8111</v>
      </c>
      <c r="BF159" s="98">
        <v>0</v>
      </c>
      <c r="BG159" s="98">
        <v>0</v>
      </c>
      <c r="BH159" s="98">
        <v>2961</v>
      </c>
      <c r="BI159" s="98">
        <v>5150</v>
      </c>
      <c r="BJ159" s="98"/>
      <c r="BK159" s="98"/>
      <c r="BL159" s="97"/>
    </row>
    <row r="160" spans="1:64" outlineLevel="5" x14ac:dyDescent="0.3">
      <c r="A160" s="152">
        <f t="shared" si="45"/>
        <v>5</v>
      </c>
      <c r="B160" s="153">
        <f t="shared" si="74"/>
        <v>44688</v>
      </c>
      <c r="C160" s="138">
        <f t="shared" si="64"/>
        <v>38</v>
      </c>
      <c r="D160" s="84">
        <v>38</v>
      </c>
      <c r="E160" s="84">
        <v>38</v>
      </c>
      <c r="F160" s="84"/>
      <c r="G160" s="84"/>
      <c r="H160" s="84"/>
      <c r="I160" s="84"/>
      <c r="J160" s="84"/>
      <c r="K160" s="84"/>
      <c r="L160" s="140" t="str">
        <f t="shared" si="65"/>
        <v/>
      </c>
      <c r="M160" s="86"/>
      <c r="N160" s="86"/>
      <c r="O160" s="86"/>
      <c r="P160" s="86"/>
      <c r="Q160" s="86"/>
      <c r="R160" s="86"/>
      <c r="S160" s="86"/>
      <c r="T160" s="86"/>
      <c r="U160" s="142" t="str">
        <f t="shared" si="66"/>
        <v/>
      </c>
      <c r="V160" s="88"/>
      <c r="W160" s="88"/>
      <c r="X160" s="88"/>
      <c r="Y160" s="88"/>
      <c r="Z160" s="88"/>
      <c r="AA160" s="88"/>
      <c r="AB160" s="88"/>
      <c r="AC160" s="88"/>
      <c r="AD160" s="142" t="str">
        <f t="shared" si="67"/>
        <v/>
      </c>
      <c r="AE160" s="88"/>
      <c r="AF160" s="88"/>
      <c r="AG160" s="88"/>
      <c r="AH160" s="88"/>
      <c r="AI160" s="88"/>
      <c r="AJ160" s="88"/>
      <c r="AK160" s="88"/>
      <c r="AL160" s="88"/>
      <c r="AM160" s="88">
        <v>34.708434443709095</v>
      </c>
      <c r="AN160" s="88">
        <v>135.99</v>
      </c>
      <c r="AO160" s="89"/>
      <c r="AP160" s="90"/>
      <c r="AQ160" s="146" t="str">
        <f t="shared" si="68"/>
        <v/>
      </c>
      <c r="AR160" s="146" t="str">
        <f t="shared" si="69"/>
        <v/>
      </c>
      <c r="AS160" s="147">
        <v>10</v>
      </c>
      <c r="AT160" s="148" t="s">
        <v>106</v>
      </c>
      <c r="AU160" s="149" t="s">
        <v>56</v>
      </c>
      <c r="AV160" s="146" t="str">
        <f t="shared" si="70"/>
        <v/>
      </c>
      <c r="AW160" s="146" t="str">
        <f t="shared" si="71"/>
        <v/>
      </c>
      <c r="AX160" s="138" t="str">
        <f t="shared" si="72"/>
        <v/>
      </c>
      <c r="AY160" s="95" t="s">
        <v>56</v>
      </c>
      <c r="AZ160" s="96" t="s">
        <v>56</v>
      </c>
      <c r="BA160" s="96"/>
      <c r="BB160" s="96" t="s">
        <v>56</v>
      </c>
      <c r="BC160" s="96"/>
      <c r="BD160" s="97">
        <v>135.99</v>
      </c>
      <c r="BE160" s="142">
        <f t="shared" si="73"/>
        <v>9058</v>
      </c>
      <c r="BF160" s="98">
        <v>0</v>
      </c>
      <c r="BG160" s="98">
        <v>0</v>
      </c>
      <c r="BH160" s="98">
        <v>3968</v>
      </c>
      <c r="BI160" s="98">
        <v>5090</v>
      </c>
      <c r="BJ160" s="98"/>
      <c r="BK160" s="98"/>
      <c r="BL160" s="97"/>
    </row>
    <row r="161" spans="1:64" outlineLevel="5" x14ac:dyDescent="0.3">
      <c r="A161" s="152">
        <f t="shared" si="45"/>
        <v>5</v>
      </c>
      <c r="B161" s="153">
        <f t="shared" si="74"/>
        <v>44689</v>
      </c>
      <c r="C161" s="138">
        <f t="shared" si="64"/>
        <v>38</v>
      </c>
      <c r="D161" s="84">
        <v>38</v>
      </c>
      <c r="E161" s="84">
        <v>38</v>
      </c>
      <c r="F161" s="84"/>
      <c r="G161" s="84"/>
      <c r="H161" s="84"/>
      <c r="I161" s="84"/>
      <c r="J161" s="84"/>
      <c r="K161" s="84"/>
      <c r="L161" s="140" t="str">
        <f t="shared" si="65"/>
        <v/>
      </c>
      <c r="M161" s="86"/>
      <c r="N161" s="86"/>
      <c r="O161" s="86"/>
      <c r="P161" s="86"/>
      <c r="Q161" s="86"/>
      <c r="R161" s="86"/>
      <c r="S161" s="86"/>
      <c r="T161" s="86"/>
      <c r="U161" s="142" t="str">
        <f t="shared" si="66"/>
        <v/>
      </c>
      <c r="V161" s="88"/>
      <c r="W161" s="88"/>
      <c r="X161" s="88"/>
      <c r="Y161" s="88"/>
      <c r="Z161" s="88"/>
      <c r="AA161" s="88"/>
      <c r="AB161" s="88"/>
      <c r="AC161" s="88"/>
      <c r="AD161" s="142" t="str">
        <f t="shared" si="67"/>
        <v/>
      </c>
      <c r="AE161" s="88"/>
      <c r="AF161" s="88"/>
      <c r="AG161" s="88"/>
      <c r="AH161" s="88"/>
      <c r="AI161" s="88"/>
      <c r="AJ161" s="88"/>
      <c r="AK161" s="88"/>
      <c r="AL161" s="88"/>
      <c r="AM161" s="88">
        <v>33.714285714285715</v>
      </c>
      <c r="AN161" s="88">
        <v>140</v>
      </c>
      <c r="AO161" s="89"/>
      <c r="AP161" s="90"/>
      <c r="AQ161" s="146" t="str">
        <f t="shared" si="68"/>
        <v/>
      </c>
      <c r="AR161" s="146" t="str">
        <f t="shared" si="69"/>
        <v/>
      </c>
      <c r="AS161" s="147">
        <v>17</v>
      </c>
      <c r="AT161" s="148" t="s">
        <v>106</v>
      </c>
      <c r="AU161" s="149" t="s">
        <v>56</v>
      </c>
      <c r="AV161" s="146" t="str">
        <f t="shared" si="70"/>
        <v/>
      </c>
      <c r="AW161" s="146" t="str">
        <f t="shared" si="71"/>
        <v/>
      </c>
      <c r="AX161" s="138" t="str">
        <f t="shared" si="72"/>
        <v/>
      </c>
      <c r="AY161" s="95" t="s">
        <v>56</v>
      </c>
      <c r="AZ161" s="96" t="s">
        <v>56</v>
      </c>
      <c r="BA161" s="96"/>
      <c r="BB161" s="96" t="s">
        <v>56</v>
      </c>
      <c r="BC161" s="96"/>
      <c r="BD161" s="97">
        <v>140</v>
      </c>
      <c r="BE161" s="142">
        <f t="shared" si="73"/>
        <v>8303</v>
      </c>
      <c r="BF161" s="98">
        <v>0</v>
      </c>
      <c r="BG161" s="98">
        <v>0</v>
      </c>
      <c r="BH161" s="98">
        <v>3243</v>
      </c>
      <c r="BI161" s="98">
        <v>5060</v>
      </c>
      <c r="BJ161" s="98"/>
      <c r="BK161" s="98"/>
      <c r="BL161" s="97"/>
    </row>
    <row r="162" spans="1:64" outlineLevel="5" x14ac:dyDescent="0.3">
      <c r="A162" s="152">
        <f t="shared" si="45"/>
        <v>5</v>
      </c>
      <c r="B162" s="153">
        <f t="shared" si="74"/>
        <v>44690</v>
      </c>
      <c r="C162" s="138">
        <f t="shared" si="64"/>
        <v>38</v>
      </c>
      <c r="D162" s="84">
        <v>38</v>
      </c>
      <c r="E162" s="84">
        <v>38</v>
      </c>
      <c r="F162" s="84"/>
      <c r="G162" s="84"/>
      <c r="H162" s="84"/>
      <c r="I162" s="84"/>
      <c r="J162" s="84"/>
      <c r="K162" s="84"/>
      <c r="L162" s="140">
        <f t="shared" si="65"/>
        <v>7.8</v>
      </c>
      <c r="M162" s="86">
        <v>7.89</v>
      </c>
      <c r="N162" s="86">
        <v>7.75</v>
      </c>
      <c r="O162" s="86"/>
      <c r="P162" s="86"/>
      <c r="Q162" s="86"/>
      <c r="R162" s="86"/>
      <c r="S162" s="86"/>
      <c r="T162" s="86"/>
      <c r="U162" s="142">
        <f t="shared" si="66"/>
        <v>1781</v>
      </c>
      <c r="V162" s="88">
        <v>1864</v>
      </c>
      <c r="W162" s="88">
        <v>1698</v>
      </c>
      <c r="X162" s="88"/>
      <c r="Y162" s="88"/>
      <c r="Z162" s="88"/>
      <c r="AA162" s="88"/>
      <c r="AB162" s="88"/>
      <c r="AC162" s="88"/>
      <c r="AD162" s="142" t="str">
        <f t="shared" si="67"/>
        <v/>
      </c>
      <c r="AE162" s="88"/>
      <c r="AF162" s="88"/>
      <c r="AG162" s="88"/>
      <c r="AH162" s="88"/>
      <c r="AI162" s="88"/>
      <c r="AJ162" s="88"/>
      <c r="AK162" s="88"/>
      <c r="AL162" s="88"/>
      <c r="AM162" s="88">
        <v>39.603960396039604</v>
      </c>
      <c r="AN162" s="88">
        <v>119.18</v>
      </c>
      <c r="AO162" s="89"/>
      <c r="AP162" s="90"/>
      <c r="AQ162" s="146" t="str">
        <f t="shared" si="68"/>
        <v/>
      </c>
      <c r="AR162" s="146" t="str">
        <f t="shared" si="69"/>
        <v/>
      </c>
      <c r="AS162" s="147">
        <v>40</v>
      </c>
      <c r="AT162" s="148" t="s">
        <v>106</v>
      </c>
      <c r="AU162" s="149" t="s">
        <v>56</v>
      </c>
      <c r="AV162" s="146" t="str">
        <f t="shared" si="70"/>
        <v/>
      </c>
      <c r="AW162" s="146" t="str">
        <f t="shared" si="71"/>
        <v/>
      </c>
      <c r="AX162" s="138" t="str">
        <f t="shared" si="72"/>
        <v/>
      </c>
      <c r="AY162" s="95" t="s">
        <v>56</v>
      </c>
      <c r="AZ162" s="96">
        <v>63.730000000000004</v>
      </c>
      <c r="BA162" s="96"/>
      <c r="BB162" s="96">
        <v>43.5</v>
      </c>
      <c r="BC162" s="96"/>
      <c r="BD162" s="97">
        <v>119.18</v>
      </c>
      <c r="BE162" s="142">
        <f t="shared" si="73"/>
        <v>5260</v>
      </c>
      <c r="BF162" s="98">
        <v>0</v>
      </c>
      <c r="BG162" s="98">
        <v>0</v>
      </c>
      <c r="BH162" s="98">
        <v>180</v>
      </c>
      <c r="BI162" s="98">
        <v>5080</v>
      </c>
      <c r="BJ162" s="98"/>
      <c r="BK162" s="98"/>
      <c r="BL162" s="97"/>
    </row>
    <row r="163" spans="1:64" outlineLevel="5" x14ac:dyDescent="0.3">
      <c r="A163" s="152">
        <f t="shared" ref="A163:A234" si="75">MONTH(B163)</f>
        <v>5</v>
      </c>
      <c r="B163" s="153">
        <f t="shared" si="74"/>
        <v>44691</v>
      </c>
      <c r="C163" s="138">
        <f t="shared" si="64"/>
        <v>38</v>
      </c>
      <c r="D163" s="84">
        <v>38</v>
      </c>
      <c r="E163" s="84">
        <v>38</v>
      </c>
      <c r="F163" s="84"/>
      <c r="G163" s="84"/>
      <c r="H163" s="84"/>
      <c r="I163" s="84"/>
      <c r="J163" s="84"/>
      <c r="K163" s="84"/>
      <c r="L163" s="140">
        <f t="shared" si="65"/>
        <v>7.9</v>
      </c>
      <c r="M163" s="86">
        <v>7.91</v>
      </c>
      <c r="N163" s="86">
        <v>7.85</v>
      </c>
      <c r="O163" s="86"/>
      <c r="P163" s="86"/>
      <c r="Q163" s="86"/>
      <c r="R163" s="86"/>
      <c r="S163" s="86"/>
      <c r="T163" s="86"/>
      <c r="U163" s="142">
        <f t="shared" si="66"/>
        <v>1791</v>
      </c>
      <c r="V163" s="88">
        <v>1856</v>
      </c>
      <c r="W163" s="88">
        <v>1726</v>
      </c>
      <c r="X163" s="88"/>
      <c r="Y163" s="88"/>
      <c r="Z163" s="88"/>
      <c r="AA163" s="88"/>
      <c r="AB163" s="88"/>
      <c r="AC163" s="88"/>
      <c r="AD163" s="142" t="str">
        <f t="shared" si="67"/>
        <v/>
      </c>
      <c r="AE163" s="88"/>
      <c r="AF163" s="88"/>
      <c r="AG163" s="88"/>
      <c r="AH163" s="88"/>
      <c r="AI163" s="88"/>
      <c r="AJ163" s="88"/>
      <c r="AK163" s="88"/>
      <c r="AL163" s="88"/>
      <c r="AM163" s="88">
        <v>37.5736347715332</v>
      </c>
      <c r="AN163" s="88">
        <v>125.61999999999999</v>
      </c>
      <c r="AO163" s="89"/>
      <c r="AP163" s="90"/>
      <c r="AQ163" s="146" t="str">
        <f t="shared" si="68"/>
        <v/>
      </c>
      <c r="AR163" s="146" t="str">
        <f t="shared" si="69"/>
        <v/>
      </c>
      <c r="AS163" s="147">
        <v>20</v>
      </c>
      <c r="AT163" s="148" t="s">
        <v>106</v>
      </c>
      <c r="AU163" s="149" t="s">
        <v>56</v>
      </c>
      <c r="AV163" s="146" t="str">
        <f t="shared" si="70"/>
        <v/>
      </c>
      <c r="AW163" s="146" t="str">
        <f t="shared" si="71"/>
        <v/>
      </c>
      <c r="AX163" s="138" t="str">
        <f t="shared" si="72"/>
        <v/>
      </c>
      <c r="AY163" s="95" t="s">
        <v>56</v>
      </c>
      <c r="AZ163" s="96">
        <v>64.08</v>
      </c>
      <c r="BA163" s="96"/>
      <c r="BB163" s="96">
        <v>43.5</v>
      </c>
      <c r="BC163" s="96"/>
      <c r="BD163" s="97">
        <v>125.61999999999999</v>
      </c>
      <c r="BE163" s="142">
        <f t="shared" si="73"/>
        <v>7348</v>
      </c>
      <c r="BF163" s="98">
        <v>153</v>
      </c>
      <c r="BG163" s="98">
        <v>0</v>
      </c>
      <c r="BH163" s="98">
        <v>2252</v>
      </c>
      <c r="BI163" s="98">
        <v>4943</v>
      </c>
      <c r="BJ163" s="98"/>
      <c r="BK163" s="98"/>
      <c r="BL163" s="97"/>
    </row>
    <row r="164" spans="1:64" outlineLevel="5" x14ac:dyDescent="0.3">
      <c r="A164" s="152">
        <f t="shared" si="75"/>
        <v>5</v>
      </c>
      <c r="B164" s="153">
        <f t="shared" si="74"/>
        <v>44692</v>
      </c>
      <c r="C164" s="138">
        <f t="shared" si="64"/>
        <v>38</v>
      </c>
      <c r="D164" s="84">
        <v>38</v>
      </c>
      <c r="E164" s="84">
        <v>38</v>
      </c>
      <c r="F164" s="84"/>
      <c r="G164" s="84"/>
      <c r="H164" s="84"/>
      <c r="I164" s="84"/>
      <c r="J164" s="84"/>
      <c r="K164" s="84"/>
      <c r="L164" s="140">
        <f t="shared" si="65"/>
        <v>7.9</v>
      </c>
      <c r="M164" s="86">
        <v>7.94</v>
      </c>
      <c r="N164" s="86">
        <v>7.82</v>
      </c>
      <c r="O164" s="86"/>
      <c r="P164" s="86"/>
      <c r="Q164" s="86"/>
      <c r="R164" s="86"/>
      <c r="S164" s="86"/>
      <c r="T164" s="86"/>
      <c r="U164" s="142">
        <f t="shared" si="66"/>
        <v>1780</v>
      </c>
      <c r="V164" s="88">
        <v>1835</v>
      </c>
      <c r="W164" s="88">
        <v>1725</v>
      </c>
      <c r="X164" s="88"/>
      <c r="Y164" s="88"/>
      <c r="Z164" s="88"/>
      <c r="AA164" s="88"/>
      <c r="AB164" s="88"/>
      <c r="AC164" s="88"/>
      <c r="AD164" s="142">
        <f t="shared" si="67"/>
        <v>7950</v>
      </c>
      <c r="AE164" s="88">
        <v>7890</v>
      </c>
      <c r="AF164" s="88">
        <v>8010</v>
      </c>
      <c r="AG164" s="88"/>
      <c r="AH164" s="88"/>
      <c r="AI164" s="88"/>
      <c r="AJ164" s="88"/>
      <c r="AK164" s="88"/>
      <c r="AL164" s="88"/>
      <c r="AM164" s="88">
        <v>40.201005025125632</v>
      </c>
      <c r="AN164" s="88">
        <v>117.41</v>
      </c>
      <c r="AO164" s="89"/>
      <c r="AP164" s="90"/>
      <c r="AQ164" s="146" t="str">
        <f t="shared" si="68"/>
        <v/>
      </c>
      <c r="AR164" s="146" t="str">
        <f t="shared" si="69"/>
        <v/>
      </c>
      <c r="AS164" s="147">
        <v>37</v>
      </c>
      <c r="AT164" s="148">
        <v>16.399999999999999</v>
      </c>
      <c r="AU164" s="149">
        <v>11.754799999999999</v>
      </c>
      <c r="AV164" s="146">
        <f t="shared" si="70"/>
        <v>71.675609756097572</v>
      </c>
      <c r="AW164" s="146">
        <f t="shared" si="71"/>
        <v>28.324390243902428</v>
      </c>
      <c r="AX164" s="138" t="str">
        <f t="shared" si="72"/>
        <v/>
      </c>
      <c r="AY164" s="95">
        <v>71.45</v>
      </c>
      <c r="AZ164" s="96">
        <v>61.564999999999998</v>
      </c>
      <c r="BA164" s="96"/>
      <c r="BB164" s="96">
        <v>66.5</v>
      </c>
      <c r="BC164" s="96"/>
      <c r="BD164" s="97">
        <v>117.41</v>
      </c>
      <c r="BE164" s="142">
        <f t="shared" si="73"/>
        <v>7922</v>
      </c>
      <c r="BF164" s="98">
        <v>214</v>
      </c>
      <c r="BG164" s="98">
        <v>0</v>
      </c>
      <c r="BH164" s="98">
        <v>1253</v>
      </c>
      <c r="BI164" s="98">
        <v>6455</v>
      </c>
      <c r="BJ164" s="98"/>
      <c r="BK164" s="98"/>
      <c r="BL164" s="97"/>
    </row>
    <row r="165" spans="1:64" outlineLevel="5" x14ac:dyDescent="0.3">
      <c r="A165" s="152">
        <f t="shared" si="75"/>
        <v>5</v>
      </c>
      <c r="B165" s="153">
        <f t="shared" si="74"/>
        <v>44693</v>
      </c>
      <c r="C165" s="138">
        <f t="shared" si="64"/>
        <v>38</v>
      </c>
      <c r="D165" s="84">
        <v>38</v>
      </c>
      <c r="E165" s="84">
        <v>38</v>
      </c>
      <c r="F165" s="84"/>
      <c r="G165" s="84"/>
      <c r="H165" s="84"/>
      <c r="I165" s="84"/>
      <c r="J165" s="84"/>
      <c r="K165" s="84"/>
      <c r="L165" s="140">
        <f t="shared" si="65"/>
        <v>7.9</v>
      </c>
      <c r="M165" s="86">
        <v>7.98</v>
      </c>
      <c r="N165" s="86">
        <v>7.87</v>
      </c>
      <c r="O165" s="86"/>
      <c r="P165" s="86"/>
      <c r="Q165" s="86"/>
      <c r="R165" s="86"/>
      <c r="S165" s="86"/>
      <c r="T165" s="86"/>
      <c r="U165" s="142">
        <f t="shared" si="66"/>
        <v>1819</v>
      </c>
      <c r="V165" s="88">
        <v>1910</v>
      </c>
      <c r="W165" s="88">
        <v>1728</v>
      </c>
      <c r="X165" s="88"/>
      <c r="Y165" s="88"/>
      <c r="Z165" s="88"/>
      <c r="AA165" s="88"/>
      <c r="AB165" s="88"/>
      <c r="AC165" s="88"/>
      <c r="AD165" s="142" t="str">
        <f t="shared" si="67"/>
        <v/>
      </c>
      <c r="AE165" s="88"/>
      <c r="AF165" s="88"/>
      <c r="AG165" s="88"/>
      <c r="AH165" s="88"/>
      <c r="AI165" s="88"/>
      <c r="AJ165" s="88"/>
      <c r="AK165" s="88"/>
      <c r="AL165" s="88"/>
      <c r="AM165" s="88">
        <v>37.884260374026809</v>
      </c>
      <c r="AN165" s="88">
        <v>124.59</v>
      </c>
      <c r="AO165" s="89"/>
      <c r="AP165" s="90"/>
      <c r="AQ165" s="146" t="str">
        <f t="shared" si="68"/>
        <v/>
      </c>
      <c r="AR165" s="146" t="str">
        <f t="shared" si="69"/>
        <v/>
      </c>
      <c r="AS165" s="147">
        <v>24</v>
      </c>
      <c r="AT165" s="148">
        <v>10.5</v>
      </c>
      <c r="AU165" s="149">
        <v>7.6610000000000005</v>
      </c>
      <c r="AV165" s="146">
        <f t="shared" si="70"/>
        <v>72.961904761904762</v>
      </c>
      <c r="AW165" s="146">
        <f t="shared" si="71"/>
        <v>27.038095238095238</v>
      </c>
      <c r="AX165" s="138" t="str">
        <f t="shared" si="72"/>
        <v/>
      </c>
      <c r="AY165" s="95">
        <v>73.650000000000006</v>
      </c>
      <c r="AZ165" s="96">
        <v>61.715000000000003</v>
      </c>
      <c r="BA165" s="96"/>
      <c r="BB165" s="96">
        <v>61</v>
      </c>
      <c r="BC165" s="96"/>
      <c r="BD165" s="97">
        <v>124.59</v>
      </c>
      <c r="BE165" s="142">
        <f t="shared" si="73"/>
        <v>7008</v>
      </c>
      <c r="BF165" s="98">
        <v>208</v>
      </c>
      <c r="BG165" s="98">
        <v>0</v>
      </c>
      <c r="BH165" s="98">
        <v>413</v>
      </c>
      <c r="BI165" s="98">
        <v>6387</v>
      </c>
      <c r="BJ165" s="98"/>
      <c r="BK165" s="98"/>
      <c r="BL165" s="97"/>
    </row>
    <row r="166" spans="1:64" outlineLevel="5" x14ac:dyDescent="0.3">
      <c r="A166" s="152">
        <f t="shared" si="75"/>
        <v>5</v>
      </c>
      <c r="B166" s="153">
        <f t="shared" si="74"/>
        <v>44694</v>
      </c>
      <c r="C166" s="138">
        <f t="shared" si="64"/>
        <v>38</v>
      </c>
      <c r="D166" s="84">
        <v>38</v>
      </c>
      <c r="E166" s="84">
        <v>38</v>
      </c>
      <c r="F166" s="84"/>
      <c r="G166" s="84"/>
      <c r="H166" s="84"/>
      <c r="I166" s="84"/>
      <c r="J166" s="84"/>
      <c r="K166" s="84"/>
      <c r="L166" s="140" t="str">
        <f t="shared" si="65"/>
        <v/>
      </c>
      <c r="M166" s="86"/>
      <c r="N166" s="86"/>
      <c r="O166" s="86"/>
      <c r="P166" s="86"/>
      <c r="Q166" s="86"/>
      <c r="R166" s="86"/>
      <c r="S166" s="86"/>
      <c r="T166" s="86"/>
      <c r="U166" s="142" t="str">
        <f t="shared" si="66"/>
        <v/>
      </c>
      <c r="V166" s="88"/>
      <c r="W166" s="88"/>
      <c r="X166" s="88"/>
      <c r="Y166" s="88"/>
      <c r="Z166" s="88"/>
      <c r="AA166" s="88"/>
      <c r="AB166" s="88"/>
      <c r="AC166" s="88"/>
      <c r="AD166" s="142" t="str">
        <f t="shared" si="67"/>
        <v/>
      </c>
      <c r="AE166" s="88"/>
      <c r="AF166" s="88"/>
      <c r="AG166" s="88"/>
      <c r="AH166" s="88"/>
      <c r="AI166" s="88"/>
      <c r="AJ166" s="88"/>
      <c r="AK166" s="88"/>
      <c r="AL166" s="88"/>
      <c r="AM166" s="88">
        <v>37.70871614604139</v>
      </c>
      <c r="AN166" s="88">
        <v>125.16999999999999</v>
      </c>
      <c r="AO166" s="89"/>
      <c r="AP166" s="90"/>
      <c r="AQ166" s="146" t="str">
        <f t="shared" si="68"/>
        <v/>
      </c>
      <c r="AR166" s="146" t="str">
        <f t="shared" si="69"/>
        <v/>
      </c>
      <c r="AS166" s="147">
        <v>23</v>
      </c>
      <c r="AT166" s="148" t="s">
        <v>106</v>
      </c>
      <c r="AU166" s="149" t="s">
        <v>56</v>
      </c>
      <c r="AV166" s="146" t="str">
        <f t="shared" si="70"/>
        <v/>
      </c>
      <c r="AW166" s="146" t="str">
        <f t="shared" si="71"/>
        <v/>
      </c>
      <c r="AX166" s="138" t="str">
        <f t="shared" si="72"/>
        <v/>
      </c>
      <c r="AY166" s="95" t="s">
        <v>56</v>
      </c>
      <c r="AZ166" s="96">
        <v>62.19</v>
      </c>
      <c r="BA166" s="96"/>
      <c r="BB166" s="96">
        <v>37.5</v>
      </c>
      <c r="BC166" s="96"/>
      <c r="BD166" s="97">
        <v>125.16999999999999</v>
      </c>
      <c r="BE166" s="142">
        <f t="shared" si="73"/>
        <v>6889</v>
      </c>
      <c r="BF166" s="98">
        <v>454</v>
      </c>
      <c r="BG166" s="98">
        <v>0</v>
      </c>
      <c r="BH166" s="98">
        <v>308</v>
      </c>
      <c r="BI166" s="98">
        <v>6127</v>
      </c>
      <c r="BJ166" s="98"/>
      <c r="BK166" s="98"/>
      <c r="BL166" s="97"/>
    </row>
    <row r="167" spans="1:64" outlineLevel="5" x14ac:dyDescent="0.3">
      <c r="A167" s="152">
        <f t="shared" si="75"/>
        <v>5</v>
      </c>
      <c r="B167" s="153">
        <f t="shared" si="74"/>
        <v>44695</v>
      </c>
      <c r="C167" s="138">
        <f t="shared" si="64"/>
        <v>38</v>
      </c>
      <c r="D167" s="84">
        <v>38</v>
      </c>
      <c r="E167" s="84">
        <v>38</v>
      </c>
      <c r="F167" s="84"/>
      <c r="G167" s="84"/>
      <c r="H167" s="84"/>
      <c r="I167" s="84"/>
      <c r="J167" s="84"/>
      <c r="K167" s="84"/>
      <c r="L167" s="140" t="str">
        <f t="shared" si="65"/>
        <v/>
      </c>
      <c r="M167" s="86"/>
      <c r="N167" s="86"/>
      <c r="O167" s="86"/>
      <c r="P167" s="86"/>
      <c r="Q167" s="86"/>
      <c r="R167" s="86"/>
      <c r="S167" s="86"/>
      <c r="T167" s="86"/>
      <c r="U167" s="142" t="str">
        <f t="shared" si="66"/>
        <v/>
      </c>
      <c r="V167" s="88"/>
      <c r="W167" s="88"/>
      <c r="X167" s="88"/>
      <c r="Y167" s="88"/>
      <c r="Z167" s="88"/>
      <c r="AA167" s="88"/>
      <c r="AB167" s="88"/>
      <c r="AC167" s="88"/>
      <c r="AD167" s="142" t="str">
        <f t="shared" si="67"/>
        <v/>
      </c>
      <c r="AE167" s="88"/>
      <c r="AF167" s="88"/>
      <c r="AG167" s="88"/>
      <c r="AH167" s="88"/>
      <c r="AI167" s="88"/>
      <c r="AJ167" s="88"/>
      <c r="AK167" s="88"/>
      <c r="AL167" s="88"/>
      <c r="AM167" s="88">
        <v>36.069081461103465</v>
      </c>
      <c r="AN167" s="88">
        <v>130.86000000000001</v>
      </c>
      <c r="AO167" s="89"/>
      <c r="AP167" s="90"/>
      <c r="AQ167" s="146" t="str">
        <f t="shared" si="68"/>
        <v/>
      </c>
      <c r="AR167" s="146" t="str">
        <f t="shared" si="69"/>
        <v/>
      </c>
      <c r="AS167" s="147">
        <v>10</v>
      </c>
      <c r="AT167" s="148" t="s">
        <v>106</v>
      </c>
      <c r="AU167" s="149" t="s">
        <v>56</v>
      </c>
      <c r="AV167" s="146" t="str">
        <f t="shared" si="70"/>
        <v/>
      </c>
      <c r="AW167" s="146" t="str">
        <f t="shared" si="71"/>
        <v/>
      </c>
      <c r="AX167" s="138" t="str">
        <f t="shared" si="72"/>
        <v/>
      </c>
      <c r="AY167" s="95" t="s">
        <v>56</v>
      </c>
      <c r="AZ167" s="96" t="s">
        <v>56</v>
      </c>
      <c r="BA167" s="96"/>
      <c r="BB167" s="96" t="s">
        <v>56</v>
      </c>
      <c r="BC167" s="96"/>
      <c r="BD167" s="97">
        <v>130.86000000000001</v>
      </c>
      <c r="BE167" s="142">
        <f t="shared" si="73"/>
        <v>7400</v>
      </c>
      <c r="BF167" s="98">
        <v>301</v>
      </c>
      <c r="BG167" s="98">
        <v>0</v>
      </c>
      <c r="BH167" s="98">
        <v>1118</v>
      </c>
      <c r="BI167" s="98">
        <v>5981</v>
      </c>
      <c r="BJ167" s="98"/>
      <c r="BK167" s="98"/>
      <c r="BL167" s="97"/>
    </row>
    <row r="168" spans="1:64" outlineLevel="5" x14ac:dyDescent="0.3">
      <c r="A168" s="152">
        <f t="shared" si="75"/>
        <v>5</v>
      </c>
      <c r="B168" s="153">
        <f t="shared" si="74"/>
        <v>44696</v>
      </c>
      <c r="C168" s="138">
        <f t="shared" si="64"/>
        <v>38</v>
      </c>
      <c r="D168" s="84">
        <v>38</v>
      </c>
      <c r="E168" s="84">
        <v>38</v>
      </c>
      <c r="F168" s="84"/>
      <c r="G168" s="84"/>
      <c r="H168" s="84"/>
      <c r="I168" s="84"/>
      <c r="J168" s="84"/>
      <c r="K168" s="84"/>
      <c r="L168" s="140" t="str">
        <f t="shared" si="65"/>
        <v/>
      </c>
      <c r="M168" s="86"/>
      <c r="N168" s="86"/>
      <c r="O168" s="86"/>
      <c r="P168" s="86"/>
      <c r="Q168" s="86"/>
      <c r="R168" s="86"/>
      <c r="S168" s="86"/>
      <c r="T168" s="86"/>
      <c r="U168" s="142" t="str">
        <f t="shared" si="66"/>
        <v/>
      </c>
      <c r="V168" s="88"/>
      <c r="W168" s="88"/>
      <c r="X168" s="88"/>
      <c r="Y168" s="88"/>
      <c r="Z168" s="88"/>
      <c r="AA168" s="88"/>
      <c r="AB168" s="88"/>
      <c r="AC168" s="88"/>
      <c r="AD168" s="142" t="str">
        <f t="shared" si="67"/>
        <v/>
      </c>
      <c r="AE168" s="88"/>
      <c r="AF168" s="88"/>
      <c r="AG168" s="88"/>
      <c r="AH168" s="88"/>
      <c r="AI168" s="88"/>
      <c r="AJ168" s="88"/>
      <c r="AK168" s="88"/>
      <c r="AL168" s="88"/>
      <c r="AM168" s="88">
        <v>36.307692307692307</v>
      </c>
      <c r="AN168" s="88">
        <v>130</v>
      </c>
      <c r="AO168" s="89"/>
      <c r="AP168" s="90"/>
      <c r="AQ168" s="146" t="str">
        <f t="shared" si="68"/>
        <v/>
      </c>
      <c r="AR168" s="146" t="str">
        <f t="shared" si="69"/>
        <v/>
      </c>
      <c r="AS168" s="147">
        <v>0</v>
      </c>
      <c r="AT168" s="148" t="s">
        <v>106</v>
      </c>
      <c r="AU168" s="149" t="s">
        <v>56</v>
      </c>
      <c r="AV168" s="146" t="str">
        <f t="shared" si="70"/>
        <v/>
      </c>
      <c r="AW168" s="146" t="str">
        <f t="shared" si="71"/>
        <v/>
      </c>
      <c r="AX168" s="138" t="str">
        <f t="shared" si="72"/>
        <v/>
      </c>
      <c r="AY168" s="95" t="s">
        <v>56</v>
      </c>
      <c r="AZ168" s="96" t="s">
        <v>56</v>
      </c>
      <c r="BA168" s="96"/>
      <c r="BB168" s="96" t="s">
        <v>56</v>
      </c>
      <c r="BC168" s="96"/>
      <c r="BD168" s="97">
        <v>130</v>
      </c>
      <c r="BE168" s="142">
        <f t="shared" si="73"/>
        <v>5434</v>
      </c>
      <c r="BF168" s="98">
        <v>0</v>
      </c>
      <c r="BG168" s="98">
        <v>0</v>
      </c>
      <c r="BH168" s="98">
        <v>16</v>
      </c>
      <c r="BI168" s="98">
        <v>5418</v>
      </c>
      <c r="BJ168" s="98"/>
      <c r="BK168" s="98"/>
      <c r="BL168" s="97"/>
    </row>
    <row r="169" spans="1:64" outlineLevel="5" x14ac:dyDescent="0.3">
      <c r="A169" s="152">
        <f t="shared" si="75"/>
        <v>5</v>
      </c>
      <c r="B169" s="153">
        <f t="shared" si="74"/>
        <v>44697</v>
      </c>
      <c r="C169" s="138">
        <f t="shared" si="64"/>
        <v>38.5</v>
      </c>
      <c r="D169" s="84">
        <v>39</v>
      </c>
      <c r="E169" s="84">
        <v>38</v>
      </c>
      <c r="F169" s="84"/>
      <c r="G169" s="84"/>
      <c r="H169" s="84"/>
      <c r="I169" s="84"/>
      <c r="J169" s="84"/>
      <c r="K169" s="84"/>
      <c r="L169" s="140">
        <f t="shared" si="65"/>
        <v>7.9</v>
      </c>
      <c r="M169" s="86">
        <v>7.96</v>
      </c>
      <c r="N169" s="86">
        <v>7.85</v>
      </c>
      <c r="O169" s="86"/>
      <c r="P169" s="86"/>
      <c r="Q169" s="86"/>
      <c r="R169" s="86"/>
      <c r="S169" s="86"/>
      <c r="T169" s="86"/>
      <c r="U169" s="142">
        <f t="shared" si="66"/>
        <v>1726</v>
      </c>
      <c r="V169" s="88">
        <v>1856</v>
      </c>
      <c r="W169" s="88">
        <v>1596</v>
      </c>
      <c r="X169" s="88"/>
      <c r="Y169" s="88"/>
      <c r="Z169" s="88"/>
      <c r="AA169" s="88"/>
      <c r="AB169" s="88"/>
      <c r="AC169" s="88"/>
      <c r="AD169" s="142" t="str">
        <f t="shared" si="67"/>
        <v/>
      </c>
      <c r="AE169" s="88"/>
      <c r="AF169" s="88"/>
      <c r="AG169" s="88"/>
      <c r="AH169" s="88"/>
      <c r="AI169" s="88"/>
      <c r="AJ169" s="88"/>
      <c r="AK169" s="88"/>
      <c r="AL169" s="88"/>
      <c r="AM169" s="88">
        <v>84.937916141803129</v>
      </c>
      <c r="AN169" s="88">
        <v>55.57</v>
      </c>
      <c r="AO169" s="89">
        <v>18.5</v>
      </c>
      <c r="AP169" s="90">
        <v>16.520499999999998</v>
      </c>
      <c r="AQ169" s="146">
        <f t="shared" si="68"/>
        <v>89.3</v>
      </c>
      <c r="AR169" s="146">
        <f t="shared" si="69"/>
        <v>10.700000000000003</v>
      </c>
      <c r="AS169" s="147">
        <v>20</v>
      </c>
      <c r="AT169" s="148">
        <v>15.2</v>
      </c>
      <c r="AU169" s="149">
        <v>7.9916</v>
      </c>
      <c r="AV169" s="146">
        <f t="shared" si="70"/>
        <v>52.576315789473682</v>
      </c>
      <c r="AW169" s="146">
        <f t="shared" si="71"/>
        <v>47.423684210526318</v>
      </c>
      <c r="AX169" s="138">
        <f t="shared" si="72"/>
        <v>86.716051628953721</v>
      </c>
      <c r="AY169" s="95">
        <v>73.099999999999994</v>
      </c>
      <c r="AZ169" s="96">
        <v>65.134999999999991</v>
      </c>
      <c r="BA169" s="96"/>
      <c r="BB169" s="96">
        <v>31.5</v>
      </c>
      <c r="BC169" s="96"/>
      <c r="BD169" s="97">
        <v>55.57</v>
      </c>
      <c r="BE169" s="142">
        <f t="shared" si="73"/>
        <v>5668</v>
      </c>
      <c r="BF169" s="98">
        <v>0</v>
      </c>
      <c r="BG169" s="98">
        <v>0</v>
      </c>
      <c r="BH169" s="98">
        <v>0</v>
      </c>
      <c r="BI169" s="98">
        <v>5668</v>
      </c>
      <c r="BJ169" s="98"/>
      <c r="BK169" s="98"/>
      <c r="BL169" s="97"/>
    </row>
    <row r="170" spans="1:64" outlineLevel="5" x14ac:dyDescent="0.3">
      <c r="A170" s="152">
        <f t="shared" si="75"/>
        <v>5</v>
      </c>
      <c r="B170" s="153">
        <f t="shared" si="74"/>
        <v>44698</v>
      </c>
      <c r="C170" s="138">
        <f t="shared" si="64"/>
        <v>38</v>
      </c>
      <c r="D170" s="84">
        <v>38</v>
      </c>
      <c r="E170" s="84">
        <v>38</v>
      </c>
      <c r="F170" s="84"/>
      <c r="G170" s="84"/>
      <c r="H170" s="84"/>
      <c r="I170" s="84"/>
      <c r="J170" s="84"/>
      <c r="K170" s="84"/>
      <c r="L170" s="140">
        <f t="shared" si="65"/>
        <v>7.9</v>
      </c>
      <c r="M170" s="86">
        <v>7.91</v>
      </c>
      <c r="N170" s="86">
        <v>7.82</v>
      </c>
      <c r="O170" s="86"/>
      <c r="P170" s="86"/>
      <c r="Q170" s="86"/>
      <c r="R170" s="86"/>
      <c r="S170" s="86"/>
      <c r="T170" s="86"/>
      <c r="U170" s="142">
        <f t="shared" si="66"/>
        <v>1714.5</v>
      </c>
      <c r="V170" s="88">
        <v>1800</v>
      </c>
      <c r="W170" s="88">
        <v>1629</v>
      </c>
      <c r="X170" s="88"/>
      <c r="Y170" s="88"/>
      <c r="Z170" s="88"/>
      <c r="AA170" s="88"/>
      <c r="AB170" s="88"/>
      <c r="AC170" s="88"/>
      <c r="AD170" s="142" t="str">
        <f t="shared" si="67"/>
        <v/>
      </c>
      <c r="AE170" s="88"/>
      <c r="AF170" s="88"/>
      <c r="AG170" s="88"/>
      <c r="AH170" s="88"/>
      <c r="AI170" s="88"/>
      <c r="AJ170" s="88"/>
      <c r="AK170" s="88"/>
      <c r="AL170" s="88"/>
      <c r="AM170" s="88">
        <v>118</v>
      </c>
      <c r="AN170" s="88">
        <v>40</v>
      </c>
      <c r="AO170" s="89"/>
      <c r="AP170" s="90"/>
      <c r="AQ170" s="146" t="str">
        <f t="shared" si="68"/>
        <v/>
      </c>
      <c r="AR170" s="146" t="str">
        <f t="shared" si="69"/>
        <v/>
      </c>
      <c r="AS170" s="147">
        <v>0</v>
      </c>
      <c r="AT170" s="148" t="s">
        <v>106</v>
      </c>
      <c r="AU170" s="149" t="s">
        <v>56</v>
      </c>
      <c r="AV170" s="146" t="str">
        <f t="shared" si="70"/>
        <v/>
      </c>
      <c r="AW170" s="146" t="str">
        <f t="shared" si="71"/>
        <v/>
      </c>
      <c r="AX170" s="138" t="str">
        <f t="shared" si="72"/>
        <v/>
      </c>
      <c r="AY170" s="95" t="s">
        <v>56</v>
      </c>
      <c r="AZ170" s="96">
        <v>66.864999999999995</v>
      </c>
      <c r="BA170" s="96"/>
      <c r="BB170" s="96">
        <v>22.5</v>
      </c>
      <c r="BC170" s="96"/>
      <c r="BD170" s="97">
        <v>40</v>
      </c>
      <c r="BE170" s="142">
        <f t="shared" si="73"/>
        <v>3168</v>
      </c>
      <c r="BF170" s="98">
        <v>0</v>
      </c>
      <c r="BG170" s="98">
        <v>0</v>
      </c>
      <c r="BH170" s="98">
        <v>0</v>
      </c>
      <c r="BI170" s="98">
        <v>3168</v>
      </c>
      <c r="BJ170" s="98"/>
      <c r="BK170" s="98"/>
      <c r="BL170" s="97"/>
    </row>
    <row r="171" spans="1:64" outlineLevel="5" x14ac:dyDescent="0.3">
      <c r="A171" s="152">
        <f t="shared" si="75"/>
        <v>5</v>
      </c>
      <c r="B171" s="153">
        <f t="shared" si="74"/>
        <v>44699</v>
      </c>
      <c r="C171" s="138">
        <f t="shared" si="64"/>
        <v>38</v>
      </c>
      <c r="D171" s="84">
        <v>38</v>
      </c>
      <c r="E171" s="84">
        <v>38</v>
      </c>
      <c r="F171" s="84"/>
      <c r="G171" s="84"/>
      <c r="H171" s="84"/>
      <c r="I171" s="84"/>
      <c r="J171" s="84"/>
      <c r="K171" s="84"/>
      <c r="L171" s="140">
        <f t="shared" si="65"/>
        <v>7.8</v>
      </c>
      <c r="M171" s="86"/>
      <c r="N171" s="86">
        <v>7.82</v>
      </c>
      <c r="O171" s="86"/>
      <c r="P171" s="86"/>
      <c r="Q171" s="86"/>
      <c r="R171" s="86"/>
      <c r="S171" s="86"/>
      <c r="T171" s="86"/>
      <c r="U171" s="142">
        <f t="shared" si="66"/>
        <v>1710</v>
      </c>
      <c r="V171" s="88"/>
      <c r="W171" s="88">
        <v>1710</v>
      </c>
      <c r="X171" s="88"/>
      <c r="Y171" s="88"/>
      <c r="Z171" s="88"/>
      <c r="AA171" s="88"/>
      <c r="AB171" s="88"/>
      <c r="AC171" s="88"/>
      <c r="AD171" s="142" t="str">
        <f t="shared" si="67"/>
        <v/>
      </c>
      <c r="AE171" s="88"/>
      <c r="AF171" s="88"/>
      <c r="AG171" s="88"/>
      <c r="AH171" s="88"/>
      <c r="AI171" s="88"/>
      <c r="AJ171" s="88"/>
      <c r="AK171" s="88"/>
      <c r="AL171" s="88"/>
      <c r="AM171" s="88">
        <v>52.761010507489374</v>
      </c>
      <c r="AN171" s="88">
        <v>89.460000000000008</v>
      </c>
      <c r="AO171" s="89"/>
      <c r="AP171" s="90"/>
      <c r="AQ171" s="146" t="str">
        <f t="shared" si="68"/>
        <v/>
      </c>
      <c r="AR171" s="146" t="str">
        <f t="shared" si="69"/>
        <v/>
      </c>
      <c r="AS171" s="147">
        <v>0</v>
      </c>
      <c r="AT171" s="148">
        <v>16.600000000000001</v>
      </c>
      <c r="AU171" s="149" t="s">
        <v>56</v>
      </c>
      <c r="AV171" s="146" t="str">
        <f t="shared" si="70"/>
        <v/>
      </c>
      <c r="AW171" s="146" t="str">
        <f t="shared" si="71"/>
        <v/>
      </c>
      <c r="AX171" s="138" t="str">
        <f t="shared" si="72"/>
        <v/>
      </c>
      <c r="AY171" s="95">
        <v>71.8</v>
      </c>
      <c r="AZ171" s="96">
        <v>65.265000000000001</v>
      </c>
      <c r="BA171" s="96"/>
      <c r="BB171" s="96">
        <v>31.5</v>
      </c>
      <c r="BC171" s="96"/>
      <c r="BD171" s="97">
        <v>89.460000000000008</v>
      </c>
      <c r="BE171" s="142">
        <f t="shared" si="73"/>
        <v>12</v>
      </c>
      <c r="BF171" s="98">
        <v>12</v>
      </c>
      <c r="BG171" s="98">
        <v>0</v>
      </c>
      <c r="BH171" s="98">
        <v>0</v>
      </c>
      <c r="BI171" s="98">
        <v>0</v>
      </c>
      <c r="BJ171" s="98"/>
      <c r="BK171" s="98"/>
      <c r="BL171" s="97"/>
    </row>
    <row r="172" spans="1:64" outlineLevel="5" x14ac:dyDescent="0.3">
      <c r="A172" s="152">
        <f t="shared" si="75"/>
        <v>5</v>
      </c>
      <c r="B172" s="153">
        <f t="shared" si="74"/>
        <v>44700</v>
      </c>
      <c r="C172" s="138">
        <f t="shared" si="64"/>
        <v>37</v>
      </c>
      <c r="D172" s="84">
        <v>37</v>
      </c>
      <c r="E172" s="84">
        <v>37</v>
      </c>
      <c r="F172" s="84"/>
      <c r="G172" s="84"/>
      <c r="H172" s="84"/>
      <c r="I172" s="84"/>
      <c r="J172" s="84"/>
      <c r="K172" s="84"/>
      <c r="L172" s="140" t="str">
        <f t="shared" si="65"/>
        <v/>
      </c>
      <c r="M172" s="86"/>
      <c r="N172" s="86"/>
      <c r="O172" s="86"/>
      <c r="P172" s="86"/>
      <c r="Q172" s="86"/>
      <c r="R172" s="86"/>
      <c r="S172" s="86"/>
      <c r="T172" s="86"/>
      <c r="U172" s="142" t="str">
        <f t="shared" si="66"/>
        <v/>
      </c>
      <c r="V172" s="88"/>
      <c r="W172" s="88"/>
      <c r="X172" s="88"/>
      <c r="Y172" s="88"/>
      <c r="Z172" s="88"/>
      <c r="AA172" s="88"/>
      <c r="AB172" s="88"/>
      <c r="AC172" s="88"/>
      <c r="AD172" s="142" t="str">
        <f t="shared" si="67"/>
        <v/>
      </c>
      <c r="AE172" s="88"/>
      <c r="AF172" s="88"/>
      <c r="AG172" s="88"/>
      <c r="AH172" s="88"/>
      <c r="AI172" s="88"/>
      <c r="AJ172" s="88"/>
      <c r="AK172" s="88"/>
      <c r="AL172" s="88"/>
      <c r="AM172" s="88">
        <v>49.590250052532042</v>
      </c>
      <c r="AN172" s="88">
        <v>95.18</v>
      </c>
      <c r="AO172" s="89"/>
      <c r="AP172" s="90"/>
      <c r="AQ172" s="146" t="str">
        <f t="shared" si="68"/>
        <v/>
      </c>
      <c r="AR172" s="146" t="str">
        <f t="shared" si="69"/>
        <v/>
      </c>
      <c r="AS172" s="147">
        <v>0</v>
      </c>
      <c r="AT172" s="148" t="s">
        <v>106</v>
      </c>
      <c r="AU172" s="149" t="s">
        <v>56</v>
      </c>
      <c r="AV172" s="146" t="str">
        <f t="shared" si="70"/>
        <v/>
      </c>
      <c r="AW172" s="146" t="str">
        <f t="shared" si="71"/>
        <v/>
      </c>
      <c r="AX172" s="138" t="str">
        <f t="shared" si="72"/>
        <v/>
      </c>
      <c r="AY172" s="95" t="s">
        <v>56</v>
      </c>
      <c r="AZ172" s="96">
        <v>65.36</v>
      </c>
      <c r="BA172" s="96"/>
      <c r="BB172" s="96">
        <v>36.5</v>
      </c>
      <c r="BC172" s="96"/>
      <c r="BD172" s="97">
        <v>95.18</v>
      </c>
      <c r="BE172" s="142">
        <f t="shared" si="73"/>
        <v>194</v>
      </c>
      <c r="BF172" s="98">
        <v>0</v>
      </c>
      <c r="BG172" s="98">
        <v>0</v>
      </c>
      <c r="BH172" s="98">
        <v>194</v>
      </c>
      <c r="BI172" s="98">
        <v>0</v>
      </c>
      <c r="BJ172" s="98"/>
      <c r="BK172" s="98"/>
      <c r="BL172" s="97"/>
    </row>
    <row r="173" spans="1:64" outlineLevel="5" x14ac:dyDescent="0.3">
      <c r="A173" s="152">
        <f t="shared" si="75"/>
        <v>5</v>
      </c>
      <c r="B173" s="153">
        <f t="shared" si="74"/>
        <v>44701</v>
      </c>
      <c r="C173" s="138">
        <f t="shared" si="64"/>
        <v>37</v>
      </c>
      <c r="D173" s="84">
        <v>37</v>
      </c>
      <c r="E173" s="84">
        <v>37</v>
      </c>
      <c r="F173" s="84"/>
      <c r="G173" s="84"/>
      <c r="H173" s="84"/>
      <c r="I173" s="84"/>
      <c r="J173" s="84"/>
      <c r="K173" s="84"/>
      <c r="L173" s="140">
        <f t="shared" si="65"/>
        <v>7.9</v>
      </c>
      <c r="M173" s="86">
        <v>7.93</v>
      </c>
      <c r="N173" s="86">
        <v>7.84</v>
      </c>
      <c r="O173" s="86"/>
      <c r="P173" s="86"/>
      <c r="Q173" s="86"/>
      <c r="R173" s="86"/>
      <c r="S173" s="86"/>
      <c r="T173" s="86"/>
      <c r="U173" s="142">
        <f t="shared" si="66"/>
        <v>1642</v>
      </c>
      <c r="V173" s="88">
        <v>1758</v>
      </c>
      <c r="W173" s="88">
        <v>1526</v>
      </c>
      <c r="X173" s="88"/>
      <c r="Y173" s="88"/>
      <c r="Z173" s="88"/>
      <c r="AA173" s="88"/>
      <c r="AB173" s="88"/>
      <c r="AC173" s="88"/>
      <c r="AD173" s="142" t="str">
        <f t="shared" si="67"/>
        <v/>
      </c>
      <c r="AE173" s="88"/>
      <c r="AF173" s="88"/>
      <c r="AG173" s="88"/>
      <c r="AH173" s="88"/>
      <c r="AI173" s="88"/>
      <c r="AJ173" s="88"/>
      <c r="AK173" s="88"/>
      <c r="AL173" s="88"/>
      <c r="AM173" s="88">
        <v>54.346574553828447</v>
      </c>
      <c r="AN173" s="88">
        <v>86.85</v>
      </c>
      <c r="AO173" s="89"/>
      <c r="AP173" s="90"/>
      <c r="AQ173" s="146" t="str">
        <f t="shared" si="68"/>
        <v/>
      </c>
      <c r="AR173" s="146" t="str">
        <f t="shared" si="69"/>
        <v/>
      </c>
      <c r="AS173" s="147">
        <v>0</v>
      </c>
      <c r="AT173" s="148" t="s">
        <v>106</v>
      </c>
      <c r="AU173" s="149" t="s">
        <v>56</v>
      </c>
      <c r="AV173" s="146" t="str">
        <f t="shared" si="70"/>
        <v/>
      </c>
      <c r="AW173" s="146" t="str">
        <f t="shared" si="71"/>
        <v/>
      </c>
      <c r="AX173" s="138" t="str">
        <f t="shared" si="72"/>
        <v/>
      </c>
      <c r="AY173" s="95" t="s">
        <v>56</v>
      </c>
      <c r="AZ173" s="96">
        <v>65.64</v>
      </c>
      <c r="BA173" s="96"/>
      <c r="BB173" s="96">
        <v>39</v>
      </c>
      <c r="BC173" s="96"/>
      <c r="BD173" s="97">
        <v>86.85</v>
      </c>
      <c r="BE173" s="142">
        <f t="shared" si="73"/>
        <v>377</v>
      </c>
      <c r="BF173" s="98">
        <v>315</v>
      </c>
      <c r="BG173" s="98">
        <v>0</v>
      </c>
      <c r="BH173" s="98">
        <v>62</v>
      </c>
      <c r="BI173" s="98">
        <v>0</v>
      </c>
      <c r="BJ173" s="98"/>
      <c r="BK173" s="98"/>
      <c r="BL173" s="97"/>
    </row>
    <row r="174" spans="1:64" outlineLevel="5" x14ac:dyDescent="0.3">
      <c r="A174" s="152">
        <f t="shared" si="75"/>
        <v>5</v>
      </c>
      <c r="B174" s="153">
        <f t="shared" si="74"/>
        <v>44702</v>
      </c>
      <c r="C174" s="138">
        <f t="shared" si="64"/>
        <v>38</v>
      </c>
      <c r="D174" s="84">
        <v>38</v>
      </c>
      <c r="E174" s="84">
        <v>38</v>
      </c>
      <c r="F174" s="84"/>
      <c r="G174" s="84"/>
      <c r="H174" s="84"/>
      <c r="I174" s="84"/>
      <c r="J174" s="84"/>
      <c r="K174" s="84"/>
      <c r="L174" s="140" t="str">
        <f t="shared" si="65"/>
        <v/>
      </c>
      <c r="M174" s="86"/>
      <c r="N174" s="86"/>
      <c r="O174" s="86"/>
      <c r="P174" s="86"/>
      <c r="Q174" s="86"/>
      <c r="R174" s="86"/>
      <c r="S174" s="86"/>
      <c r="T174" s="86"/>
      <c r="U174" s="142" t="str">
        <f t="shared" si="66"/>
        <v/>
      </c>
      <c r="V174" s="88"/>
      <c r="W174" s="88"/>
      <c r="X174" s="88"/>
      <c r="Y174" s="88"/>
      <c r="Z174" s="88"/>
      <c r="AA174" s="88"/>
      <c r="AB174" s="88"/>
      <c r="AC174" s="88"/>
      <c r="AD174" s="142" t="str">
        <f t="shared" si="67"/>
        <v/>
      </c>
      <c r="AE174" s="88"/>
      <c r="AF174" s="88"/>
      <c r="AG174" s="88"/>
      <c r="AH174" s="88"/>
      <c r="AI174" s="88"/>
      <c r="AJ174" s="88"/>
      <c r="AK174" s="88"/>
      <c r="AL174" s="88"/>
      <c r="AM174" s="88">
        <v>58.911632551173234</v>
      </c>
      <c r="AN174" s="88">
        <v>80.12</v>
      </c>
      <c r="AO174" s="89"/>
      <c r="AP174" s="90"/>
      <c r="AQ174" s="146" t="str">
        <f t="shared" si="68"/>
        <v/>
      </c>
      <c r="AR174" s="146" t="str">
        <f t="shared" si="69"/>
        <v/>
      </c>
      <c r="AS174" s="147">
        <v>0</v>
      </c>
      <c r="AT174" s="148" t="s">
        <v>106</v>
      </c>
      <c r="AU174" s="149" t="s">
        <v>56</v>
      </c>
      <c r="AV174" s="146" t="str">
        <f t="shared" si="70"/>
        <v/>
      </c>
      <c r="AW174" s="146" t="str">
        <f t="shared" si="71"/>
        <v/>
      </c>
      <c r="AX174" s="138" t="str">
        <f t="shared" si="72"/>
        <v/>
      </c>
      <c r="AY174" s="95" t="s">
        <v>56</v>
      </c>
      <c r="AZ174" s="96" t="s">
        <v>56</v>
      </c>
      <c r="BA174" s="96"/>
      <c r="BB174" s="96" t="s">
        <v>56</v>
      </c>
      <c r="BC174" s="96"/>
      <c r="BD174" s="97">
        <v>80.12</v>
      </c>
      <c r="BE174" s="142">
        <f t="shared" si="73"/>
        <v>443</v>
      </c>
      <c r="BF174" s="98">
        <v>443</v>
      </c>
      <c r="BG174" s="98">
        <v>0</v>
      </c>
      <c r="BH174" s="98">
        <v>0</v>
      </c>
      <c r="BI174" s="98">
        <v>0</v>
      </c>
      <c r="BJ174" s="98"/>
      <c r="BK174" s="98"/>
      <c r="BL174" s="97"/>
    </row>
    <row r="175" spans="1:64" outlineLevel="5" x14ac:dyDescent="0.3">
      <c r="A175" s="152">
        <f t="shared" si="75"/>
        <v>5</v>
      </c>
      <c r="B175" s="153">
        <f t="shared" si="74"/>
        <v>44703</v>
      </c>
      <c r="C175" s="138">
        <f t="shared" si="64"/>
        <v>38</v>
      </c>
      <c r="D175" s="84">
        <v>38</v>
      </c>
      <c r="E175" s="84">
        <v>38</v>
      </c>
      <c r="F175" s="84"/>
      <c r="G175" s="84"/>
      <c r="H175" s="84"/>
      <c r="I175" s="84"/>
      <c r="J175" s="84"/>
      <c r="K175" s="84"/>
      <c r="L175" s="140" t="str">
        <f t="shared" si="65"/>
        <v/>
      </c>
      <c r="M175" s="86"/>
      <c r="N175" s="86"/>
      <c r="O175" s="86"/>
      <c r="P175" s="86"/>
      <c r="Q175" s="86"/>
      <c r="R175" s="86"/>
      <c r="S175" s="86"/>
      <c r="T175" s="86"/>
      <c r="U175" s="142" t="str">
        <f t="shared" si="66"/>
        <v/>
      </c>
      <c r="V175" s="88"/>
      <c r="W175" s="88"/>
      <c r="X175" s="88"/>
      <c r="Y175" s="88"/>
      <c r="Z175" s="88"/>
      <c r="AA175" s="88"/>
      <c r="AB175" s="88"/>
      <c r="AC175" s="88"/>
      <c r="AD175" s="142" t="str">
        <f t="shared" si="67"/>
        <v/>
      </c>
      <c r="AE175" s="88"/>
      <c r="AF175" s="88"/>
      <c r="AG175" s="88"/>
      <c r="AH175" s="88"/>
      <c r="AI175" s="88"/>
      <c r="AJ175" s="88"/>
      <c r="AK175" s="88"/>
      <c r="AL175" s="88"/>
      <c r="AM175" s="88">
        <v>67.428571428571431</v>
      </c>
      <c r="AN175" s="88">
        <v>70</v>
      </c>
      <c r="AO175" s="89"/>
      <c r="AP175" s="90"/>
      <c r="AQ175" s="146" t="str">
        <f t="shared" si="68"/>
        <v/>
      </c>
      <c r="AR175" s="146" t="str">
        <f t="shared" si="69"/>
        <v/>
      </c>
      <c r="AS175" s="147">
        <v>0</v>
      </c>
      <c r="AT175" s="148" t="s">
        <v>106</v>
      </c>
      <c r="AU175" s="149" t="s">
        <v>56</v>
      </c>
      <c r="AV175" s="146" t="str">
        <f t="shared" si="70"/>
        <v/>
      </c>
      <c r="AW175" s="146" t="str">
        <f t="shared" si="71"/>
        <v/>
      </c>
      <c r="AX175" s="138" t="str">
        <f t="shared" si="72"/>
        <v/>
      </c>
      <c r="AY175" s="95" t="s">
        <v>56</v>
      </c>
      <c r="AZ175" s="96" t="s">
        <v>56</v>
      </c>
      <c r="BA175" s="96"/>
      <c r="BB175" s="96" t="s">
        <v>56</v>
      </c>
      <c r="BC175" s="96"/>
      <c r="BD175" s="97">
        <v>70</v>
      </c>
      <c r="BE175" s="142">
        <f t="shared" si="73"/>
        <v>364</v>
      </c>
      <c r="BF175" s="98">
        <v>0</v>
      </c>
      <c r="BG175" s="98">
        <v>0</v>
      </c>
      <c r="BH175" s="98">
        <v>0</v>
      </c>
      <c r="BI175" s="98">
        <v>364</v>
      </c>
      <c r="BJ175" s="98"/>
      <c r="BK175" s="98"/>
      <c r="BL175" s="97"/>
    </row>
    <row r="176" spans="1:64" outlineLevel="5" x14ac:dyDescent="0.3">
      <c r="A176" s="152">
        <f t="shared" si="75"/>
        <v>5</v>
      </c>
      <c r="B176" s="153">
        <f t="shared" si="74"/>
        <v>44704</v>
      </c>
      <c r="C176" s="138">
        <f t="shared" si="64"/>
        <v>38</v>
      </c>
      <c r="D176" s="84">
        <v>38</v>
      </c>
      <c r="E176" s="84">
        <v>38</v>
      </c>
      <c r="F176" s="84"/>
      <c r="G176" s="84"/>
      <c r="H176" s="84"/>
      <c r="I176" s="84"/>
      <c r="J176" s="84"/>
      <c r="K176" s="84"/>
      <c r="L176" s="140">
        <f t="shared" si="65"/>
        <v>8</v>
      </c>
      <c r="M176" s="86">
        <v>8.01</v>
      </c>
      <c r="N176" s="86">
        <v>7.93</v>
      </c>
      <c r="O176" s="86"/>
      <c r="P176" s="86"/>
      <c r="Q176" s="86"/>
      <c r="R176" s="86"/>
      <c r="S176" s="86"/>
      <c r="T176" s="86"/>
      <c r="U176" s="142">
        <f t="shared" si="66"/>
        <v>1674</v>
      </c>
      <c r="V176" s="88">
        <v>1738</v>
      </c>
      <c r="W176" s="88">
        <v>1610</v>
      </c>
      <c r="X176" s="88"/>
      <c r="Y176" s="88"/>
      <c r="Z176" s="88"/>
      <c r="AA176" s="88"/>
      <c r="AB176" s="88"/>
      <c r="AC176" s="88"/>
      <c r="AD176" s="142" t="str">
        <f t="shared" si="67"/>
        <v/>
      </c>
      <c r="AE176" s="88"/>
      <c r="AF176" s="88"/>
      <c r="AG176" s="88"/>
      <c r="AH176" s="88"/>
      <c r="AI176" s="88"/>
      <c r="AJ176" s="88"/>
      <c r="AK176" s="88"/>
      <c r="AL176" s="88"/>
      <c r="AM176" s="88">
        <v>39.925562510573506</v>
      </c>
      <c r="AN176" s="88">
        <v>118.22</v>
      </c>
      <c r="AO176" s="89">
        <v>27.4</v>
      </c>
      <c r="AP176" s="90">
        <v>22.741999999999997</v>
      </c>
      <c r="AQ176" s="146">
        <f t="shared" si="68"/>
        <v>83</v>
      </c>
      <c r="AR176" s="146">
        <f t="shared" si="69"/>
        <v>17</v>
      </c>
      <c r="AS176" s="147">
        <v>0</v>
      </c>
      <c r="AT176" s="148">
        <v>16.850000000000001</v>
      </c>
      <c r="AU176" s="149">
        <v>8.7235499999999995</v>
      </c>
      <c r="AV176" s="146">
        <f t="shared" si="70"/>
        <v>51.771810089020761</v>
      </c>
      <c r="AW176" s="146">
        <f t="shared" si="71"/>
        <v>48.228189910979239</v>
      </c>
      <c r="AX176" s="138">
        <f t="shared" si="72"/>
        <v>78.013139749592057</v>
      </c>
      <c r="AY176" s="95">
        <v>74.75</v>
      </c>
      <c r="AZ176" s="96">
        <v>62.05</v>
      </c>
      <c r="BA176" s="96"/>
      <c r="BB176" s="96">
        <v>48.5</v>
      </c>
      <c r="BC176" s="96"/>
      <c r="BD176" s="97">
        <v>118.22</v>
      </c>
      <c r="BE176" s="142">
        <f t="shared" si="73"/>
        <v>4979</v>
      </c>
      <c r="BF176" s="98">
        <v>0</v>
      </c>
      <c r="BG176" s="98">
        <v>0</v>
      </c>
      <c r="BH176" s="98">
        <v>136</v>
      </c>
      <c r="BI176" s="98">
        <v>4843</v>
      </c>
      <c r="BJ176" s="98"/>
      <c r="BK176" s="98"/>
      <c r="BL176" s="97"/>
    </row>
    <row r="177" spans="1:64" outlineLevel="5" x14ac:dyDescent="0.3">
      <c r="A177" s="152">
        <f t="shared" si="75"/>
        <v>5</v>
      </c>
      <c r="B177" s="153">
        <f t="shared" si="74"/>
        <v>44705</v>
      </c>
      <c r="C177" s="138">
        <f t="shared" si="64"/>
        <v>37.5</v>
      </c>
      <c r="D177" s="84">
        <v>38</v>
      </c>
      <c r="E177" s="84">
        <v>37</v>
      </c>
      <c r="F177" s="84"/>
      <c r="G177" s="84"/>
      <c r="H177" s="84"/>
      <c r="I177" s="84"/>
      <c r="J177" s="84"/>
      <c r="K177" s="84"/>
      <c r="L177" s="140">
        <f t="shared" si="65"/>
        <v>7.9</v>
      </c>
      <c r="M177" s="86">
        <v>7.98</v>
      </c>
      <c r="N177" s="86">
        <v>7.85</v>
      </c>
      <c r="O177" s="86"/>
      <c r="P177" s="86"/>
      <c r="Q177" s="86"/>
      <c r="R177" s="86"/>
      <c r="S177" s="86"/>
      <c r="T177" s="86"/>
      <c r="U177" s="142">
        <f t="shared" si="66"/>
        <v>1741</v>
      </c>
      <c r="V177" s="88">
        <v>1795</v>
      </c>
      <c r="W177" s="88">
        <v>1687</v>
      </c>
      <c r="X177" s="88"/>
      <c r="Y177" s="88"/>
      <c r="Z177" s="88"/>
      <c r="AA177" s="88"/>
      <c r="AB177" s="88"/>
      <c r="AC177" s="88"/>
      <c r="AD177" s="142" t="str">
        <f t="shared" si="67"/>
        <v/>
      </c>
      <c r="AE177" s="88"/>
      <c r="AF177" s="88"/>
      <c r="AG177" s="88"/>
      <c r="AH177" s="88"/>
      <c r="AI177" s="88"/>
      <c r="AJ177" s="88"/>
      <c r="AK177" s="88"/>
      <c r="AL177" s="88"/>
      <c r="AM177" s="88">
        <v>35.781972557046473</v>
      </c>
      <c r="AN177" s="88">
        <v>131.91</v>
      </c>
      <c r="AO177" s="89"/>
      <c r="AP177" s="90"/>
      <c r="AQ177" s="146" t="str">
        <f t="shared" si="68"/>
        <v/>
      </c>
      <c r="AR177" s="146" t="str">
        <f t="shared" si="69"/>
        <v/>
      </c>
      <c r="AS177" s="147">
        <v>0</v>
      </c>
      <c r="AT177" s="148" t="s">
        <v>106</v>
      </c>
      <c r="AU177" s="149" t="s">
        <v>56</v>
      </c>
      <c r="AV177" s="146" t="str">
        <f t="shared" si="70"/>
        <v/>
      </c>
      <c r="AW177" s="146" t="str">
        <f t="shared" si="71"/>
        <v/>
      </c>
      <c r="AX177" s="138" t="str">
        <f t="shared" si="72"/>
        <v/>
      </c>
      <c r="AY177" s="95" t="s">
        <v>56</v>
      </c>
      <c r="AZ177" s="96">
        <v>61.18</v>
      </c>
      <c r="BA177" s="96"/>
      <c r="BB177" s="96">
        <v>47.5</v>
      </c>
      <c r="BC177" s="96"/>
      <c r="BD177" s="97">
        <v>131.91</v>
      </c>
      <c r="BE177" s="142">
        <f t="shared" si="73"/>
        <v>6112</v>
      </c>
      <c r="BF177" s="98">
        <v>0</v>
      </c>
      <c r="BG177" s="98">
        <v>0</v>
      </c>
      <c r="BH177" s="98">
        <v>0</v>
      </c>
      <c r="BI177" s="98">
        <v>6112</v>
      </c>
      <c r="BJ177" s="98"/>
      <c r="BK177" s="98"/>
      <c r="BL177" s="97"/>
    </row>
    <row r="178" spans="1:64" outlineLevel="5" x14ac:dyDescent="0.3">
      <c r="A178" s="152">
        <f t="shared" si="75"/>
        <v>5</v>
      </c>
      <c r="B178" s="153">
        <f t="shared" si="74"/>
        <v>44706</v>
      </c>
      <c r="C178" s="138">
        <f t="shared" si="64"/>
        <v>37.5</v>
      </c>
      <c r="D178" s="84">
        <v>38</v>
      </c>
      <c r="E178" s="84">
        <v>37</v>
      </c>
      <c r="F178" s="84"/>
      <c r="G178" s="84"/>
      <c r="H178" s="84"/>
      <c r="I178" s="84"/>
      <c r="J178" s="84"/>
      <c r="K178" s="84"/>
      <c r="L178" s="140">
        <f t="shared" si="65"/>
        <v>7.9</v>
      </c>
      <c r="M178" s="86">
        <v>7.92</v>
      </c>
      <c r="N178" s="86">
        <v>7.83</v>
      </c>
      <c r="O178" s="86"/>
      <c r="P178" s="86"/>
      <c r="Q178" s="86"/>
      <c r="R178" s="86"/>
      <c r="S178" s="86"/>
      <c r="T178" s="86"/>
      <c r="U178" s="142">
        <f t="shared" si="66"/>
        <v>1704</v>
      </c>
      <c r="V178" s="88">
        <v>1710</v>
      </c>
      <c r="W178" s="88">
        <v>1698</v>
      </c>
      <c r="X178" s="88"/>
      <c r="Y178" s="88"/>
      <c r="Z178" s="88"/>
      <c r="AA178" s="88"/>
      <c r="AB178" s="88"/>
      <c r="AC178" s="88"/>
      <c r="AD178" s="142">
        <f t="shared" si="67"/>
        <v>7930</v>
      </c>
      <c r="AE178" s="88">
        <v>8010</v>
      </c>
      <c r="AF178" s="88">
        <v>7850</v>
      </c>
      <c r="AG178" s="88"/>
      <c r="AH178" s="88"/>
      <c r="AI178" s="88"/>
      <c r="AJ178" s="88"/>
      <c r="AK178" s="88"/>
      <c r="AL178" s="88"/>
      <c r="AM178" s="88">
        <v>36.174126302881668</v>
      </c>
      <c r="AN178" s="88">
        <v>130.47999999999999</v>
      </c>
      <c r="AO178" s="89"/>
      <c r="AP178" s="90"/>
      <c r="AQ178" s="146" t="str">
        <f t="shared" si="68"/>
        <v/>
      </c>
      <c r="AR178" s="146" t="str">
        <f t="shared" si="69"/>
        <v/>
      </c>
      <c r="AS178" s="147">
        <v>0</v>
      </c>
      <c r="AT178" s="148">
        <v>14.65</v>
      </c>
      <c r="AU178" s="149">
        <v>8.5868500000000001</v>
      </c>
      <c r="AV178" s="146">
        <f t="shared" si="70"/>
        <v>58.613310580204782</v>
      </c>
      <c r="AW178" s="146">
        <f t="shared" si="71"/>
        <v>41.386689419795218</v>
      </c>
      <c r="AX178" s="138" t="str">
        <f t="shared" si="72"/>
        <v/>
      </c>
      <c r="AY178" s="95">
        <v>74.2</v>
      </c>
      <c r="AZ178" s="96">
        <v>60.92</v>
      </c>
      <c r="BA178" s="96"/>
      <c r="BB178" s="96">
        <v>30</v>
      </c>
      <c r="BC178" s="96"/>
      <c r="BD178" s="97">
        <v>130.47999999999999</v>
      </c>
      <c r="BE178" s="142">
        <f t="shared" si="73"/>
        <v>5266</v>
      </c>
      <c r="BF178" s="98">
        <v>0</v>
      </c>
      <c r="BG178" s="98">
        <v>0</v>
      </c>
      <c r="BH178" s="98">
        <v>73</v>
      </c>
      <c r="BI178" s="98">
        <v>5193</v>
      </c>
      <c r="BJ178" s="98"/>
      <c r="BK178" s="98"/>
      <c r="BL178" s="97"/>
    </row>
    <row r="179" spans="1:64" outlineLevel="5" x14ac:dyDescent="0.3">
      <c r="A179" s="152">
        <f t="shared" si="75"/>
        <v>5</v>
      </c>
      <c r="B179" s="153">
        <f t="shared" si="74"/>
        <v>44707</v>
      </c>
      <c r="C179" s="138">
        <f t="shared" si="64"/>
        <v>37</v>
      </c>
      <c r="D179" s="84">
        <v>37</v>
      </c>
      <c r="E179" s="84">
        <v>37</v>
      </c>
      <c r="F179" s="84"/>
      <c r="G179" s="84"/>
      <c r="H179" s="84"/>
      <c r="I179" s="84"/>
      <c r="J179" s="84"/>
      <c r="K179" s="84"/>
      <c r="L179" s="140">
        <f t="shared" si="65"/>
        <v>7.9</v>
      </c>
      <c r="M179" s="86">
        <v>7.94</v>
      </c>
      <c r="N179" s="86">
        <v>7.82</v>
      </c>
      <c r="O179" s="86"/>
      <c r="P179" s="86"/>
      <c r="Q179" s="86"/>
      <c r="R179" s="86"/>
      <c r="S179" s="86"/>
      <c r="T179" s="86"/>
      <c r="U179" s="142">
        <f t="shared" si="66"/>
        <v>1677.5</v>
      </c>
      <c r="V179" s="88">
        <v>1745</v>
      </c>
      <c r="W179" s="88">
        <v>1610</v>
      </c>
      <c r="X179" s="88"/>
      <c r="Y179" s="88"/>
      <c r="Z179" s="88"/>
      <c r="AA179" s="88"/>
      <c r="AB179" s="88"/>
      <c r="AC179" s="88"/>
      <c r="AD179" s="142" t="str">
        <f t="shared" si="67"/>
        <v/>
      </c>
      <c r="AE179" s="88"/>
      <c r="AF179" s="88"/>
      <c r="AG179" s="88"/>
      <c r="AH179" s="88"/>
      <c r="AI179" s="88"/>
      <c r="AJ179" s="88"/>
      <c r="AK179" s="88"/>
      <c r="AL179" s="88"/>
      <c r="AM179" s="88">
        <v>34.558500512520141</v>
      </c>
      <c r="AN179" s="88">
        <v>136.57999999999998</v>
      </c>
      <c r="AO179" s="89"/>
      <c r="AP179" s="90"/>
      <c r="AQ179" s="146" t="str">
        <f t="shared" si="68"/>
        <v/>
      </c>
      <c r="AR179" s="146" t="str">
        <f t="shared" si="69"/>
        <v/>
      </c>
      <c r="AS179" s="147">
        <v>0</v>
      </c>
      <c r="AT179" s="148" t="s">
        <v>106</v>
      </c>
      <c r="AU179" s="149" t="s">
        <v>56</v>
      </c>
      <c r="AV179" s="146" t="str">
        <f t="shared" si="70"/>
        <v/>
      </c>
      <c r="AW179" s="146" t="str">
        <f t="shared" si="71"/>
        <v/>
      </c>
      <c r="AX179" s="138" t="str">
        <f t="shared" si="72"/>
        <v/>
      </c>
      <c r="AY179" s="95" t="s">
        <v>56</v>
      </c>
      <c r="AZ179" s="96">
        <v>60.525000000000006</v>
      </c>
      <c r="BA179" s="96"/>
      <c r="BB179" s="96">
        <v>46</v>
      </c>
      <c r="BC179" s="96"/>
      <c r="BD179" s="97">
        <v>136.57999999999998</v>
      </c>
      <c r="BE179" s="142">
        <f t="shared" si="73"/>
        <v>5595</v>
      </c>
      <c r="BF179" s="98">
        <v>0</v>
      </c>
      <c r="BG179" s="98">
        <v>0</v>
      </c>
      <c r="BH179" s="98">
        <v>186</v>
      </c>
      <c r="BI179" s="98">
        <v>5409</v>
      </c>
      <c r="BJ179" s="98"/>
      <c r="BK179" s="98"/>
      <c r="BL179" s="97"/>
    </row>
    <row r="180" spans="1:64" outlineLevel="5" x14ac:dyDescent="0.3">
      <c r="A180" s="152">
        <f t="shared" si="75"/>
        <v>5</v>
      </c>
      <c r="B180" s="153">
        <f t="shared" si="74"/>
        <v>44708</v>
      </c>
      <c r="C180" s="138">
        <f t="shared" si="64"/>
        <v>37</v>
      </c>
      <c r="D180" s="84">
        <v>37</v>
      </c>
      <c r="E180" s="84">
        <v>37</v>
      </c>
      <c r="F180" s="84"/>
      <c r="G180" s="84"/>
      <c r="H180" s="84"/>
      <c r="I180" s="84"/>
      <c r="J180" s="84"/>
      <c r="K180" s="84"/>
      <c r="L180" s="140">
        <f t="shared" si="65"/>
        <v>7.9</v>
      </c>
      <c r="M180" s="86">
        <v>7.92</v>
      </c>
      <c r="N180" s="86">
        <v>7.86</v>
      </c>
      <c r="O180" s="86"/>
      <c r="P180" s="86"/>
      <c r="Q180" s="86"/>
      <c r="R180" s="86"/>
      <c r="S180" s="86"/>
      <c r="T180" s="86"/>
      <c r="U180" s="142">
        <f t="shared" si="66"/>
        <v>1665</v>
      </c>
      <c r="V180" s="88">
        <v>1750</v>
      </c>
      <c r="W180" s="88">
        <v>1580</v>
      </c>
      <c r="X180" s="88"/>
      <c r="Y180" s="88"/>
      <c r="Z180" s="88"/>
      <c r="AA180" s="88"/>
      <c r="AB180" s="88"/>
      <c r="AC180" s="88"/>
      <c r="AD180" s="142" t="str">
        <f t="shared" si="67"/>
        <v/>
      </c>
      <c r="AE180" s="88"/>
      <c r="AF180" s="88"/>
      <c r="AG180" s="88"/>
      <c r="AH180" s="88"/>
      <c r="AI180" s="88"/>
      <c r="AJ180" s="88"/>
      <c r="AK180" s="88"/>
      <c r="AL180" s="88"/>
      <c r="AM180" s="88">
        <v>32.069574670471532</v>
      </c>
      <c r="AN180" s="88">
        <v>147.18</v>
      </c>
      <c r="AO180" s="89"/>
      <c r="AP180" s="90"/>
      <c r="AQ180" s="146" t="str">
        <f t="shared" si="68"/>
        <v/>
      </c>
      <c r="AR180" s="146" t="str">
        <f t="shared" si="69"/>
        <v/>
      </c>
      <c r="AS180" s="147">
        <v>0</v>
      </c>
      <c r="AT180" s="148" t="s">
        <v>106</v>
      </c>
      <c r="AU180" s="149" t="s">
        <v>56</v>
      </c>
      <c r="AV180" s="146" t="str">
        <f t="shared" si="70"/>
        <v/>
      </c>
      <c r="AW180" s="146" t="str">
        <f t="shared" si="71"/>
        <v/>
      </c>
      <c r="AX180" s="138" t="str">
        <f t="shared" si="72"/>
        <v/>
      </c>
      <c r="AY180" s="95" t="s">
        <v>56</v>
      </c>
      <c r="AZ180" s="96">
        <v>61.905000000000001</v>
      </c>
      <c r="BA180" s="96"/>
      <c r="BB180" s="96">
        <v>59</v>
      </c>
      <c r="BC180" s="96"/>
      <c r="BD180" s="97">
        <v>147.18</v>
      </c>
      <c r="BE180" s="142">
        <f t="shared" si="73"/>
        <v>5844</v>
      </c>
      <c r="BF180" s="98">
        <v>0</v>
      </c>
      <c r="BG180" s="98">
        <v>0</v>
      </c>
      <c r="BH180" s="98">
        <v>0</v>
      </c>
      <c r="BI180" s="98">
        <v>5844</v>
      </c>
      <c r="BJ180" s="98"/>
      <c r="BK180" s="98"/>
      <c r="BL180" s="97"/>
    </row>
    <row r="181" spans="1:64" outlineLevel="5" x14ac:dyDescent="0.3">
      <c r="A181" s="152">
        <f t="shared" si="75"/>
        <v>5</v>
      </c>
      <c r="B181" s="153">
        <f t="shared" si="74"/>
        <v>44709</v>
      </c>
      <c r="C181" s="138">
        <f t="shared" si="64"/>
        <v>37</v>
      </c>
      <c r="D181" s="84">
        <v>37</v>
      </c>
      <c r="E181" s="84">
        <v>37</v>
      </c>
      <c r="F181" s="84"/>
      <c r="G181" s="84"/>
      <c r="H181" s="84"/>
      <c r="I181" s="84"/>
      <c r="J181" s="84"/>
      <c r="K181" s="84"/>
      <c r="L181" s="140" t="str">
        <f t="shared" si="65"/>
        <v/>
      </c>
      <c r="M181" s="86"/>
      <c r="N181" s="86"/>
      <c r="O181" s="86"/>
      <c r="P181" s="86"/>
      <c r="Q181" s="86"/>
      <c r="R181" s="86"/>
      <c r="S181" s="86"/>
      <c r="T181" s="86"/>
      <c r="U181" s="142" t="str">
        <f t="shared" si="66"/>
        <v/>
      </c>
      <c r="V181" s="88"/>
      <c r="W181" s="88"/>
      <c r="X181" s="88"/>
      <c r="Y181" s="88"/>
      <c r="Z181" s="88"/>
      <c r="AA181" s="88"/>
      <c r="AB181" s="88"/>
      <c r="AC181" s="88"/>
      <c r="AD181" s="142" t="str">
        <f t="shared" si="67"/>
        <v/>
      </c>
      <c r="AE181" s="88"/>
      <c r="AF181" s="88"/>
      <c r="AG181" s="88"/>
      <c r="AH181" s="88"/>
      <c r="AI181" s="88"/>
      <c r="AJ181" s="88"/>
      <c r="AK181" s="88"/>
      <c r="AL181" s="88"/>
      <c r="AM181" s="88">
        <v>66.254912970241449</v>
      </c>
      <c r="AN181" s="88">
        <v>71.239999999999995</v>
      </c>
      <c r="AO181" s="89"/>
      <c r="AP181" s="90"/>
      <c r="AQ181" s="146" t="str">
        <f t="shared" si="68"/>
        <v/>
      </c>
      <c r="AR181" s="146" t="str">
        <f t="shared" si="69"/>
        <v/>
      </c>
      <c r="AS181" s="147">
        <v>0</v>
      </c>
      <c r="AT181" s="148" t="s">
        <v>106</v>
      </c>
      <c r="AU181" s="149" t="s">
        <v>56</v>
      </c>
      <c r="AV181" s="146" t="str">
        <f t="shared" si="70"/>
        <v/>
      </c>
      <c r="AW181" s="146" t="str">
        <f t="shared" si="71"/>
        <v/>
      </c>
      <c r="AX181" s="138" t="str">
        <f t="shared" si="72"/>
        <v/>
      </c>
      <c r="AY181" s="95" t="s">
        <v>56</v>
      </c>
      <c r="AZ181" s="96" t="s">
        <v>56</v>
      </c>
      <c r="BA181" s="96"/>
      <c r="BB181" s="96" t="s">
        <v>56</v>
      </c>
      <c r="BC181" s="96"/>
      <c r="BD181" s="97">
        <v>71.239999999999995</v>
      </c>
      <c r="BE181" s="142">
        <f t="shared" si="73"/>
        <v>5519</v>
      </c>
      <c r="BF181" s="98">
        <v>0</v>
      </c>
      <c r="BG181" s="98">
        <v>0</v>
      </c>
      <c r="BH181" s="98">
        <v>0</v>
      </c>
      <c r="BI181" s="98">
        <v>5519</v>
      </c>
      <c r="BJ181" s="98"/>
      <c r="BK181" s="98"/>
      <c r="BL181" s="97"/>
    </row>
    <row r="182" spans="1:64" outlineLevel="5" x14ac:dyDescent="0.3">
      <c r="A182" s="152">
        <f t="shared" si="75"/>
        <v>5</v>
      </c>
      <c r="B182" s="153">
        <f t="shared" si="74"/>
        <v>44710</v>
      </c>
      <c r="C182" s="138">
        <f t="shared" si="64"/>
        <v>37</v>
      </c>
      <c r="D182" s="84">
        <v>37</v>
      </c>
      <c r="E182" s="84">
        <v>37</v>
      </c>
      <c r="F182" s="84"/>
      <c r="G182" s="84"/>
      <c r="H182" s="84"/>
      <c r="I182" s="84"/>
      <c r="J182" s="84"/>
      <c r="K182" s="84"/>
      <c r="L182" s="140" t="str">
        <f t="shared" si="65"/>
        <v/>
      </c>
      <c r="M182" s="86"/>
      <c r="N182" s="86"/>
      <c r="O182" s="86"/>
      <c r="P182" s="86"/>
      <c r="Q182" s="86"/>
      <c r="R182" s="86"/>
      <c r="S182" s="86"/>
      <c r="T182" s="86"/>
      <c r="U182" s="142" t="str">
        <f t="shared" si="66"/>
        <v/>
      </c>
      <c r="V182" s="88"/>
      <c r="W182" s="88"/>
      <c r="X182" s="88"/>
      <c r="Y182" s="88"/>
      <c r="Z182" s="88"/>
      <c r="AA182" s="88"/>
      <c r="AB182" s="88"/>
      <c r="AC182" s="88"/>
      <c r="AD182" s="142" t="str">
        <f t="shared" si="67"/>
        <v/>
      </c>
      <c r="AE182" s="88"/>
      <c r="AF182" s="88"/>
      <c r="AG182" s="88"/>
      <c r="AH182" s="88"/>
      <c r="AI182" s="88"/>
      <c r="AJ182" s="88"/>
      <c r="AK182" s="88"/>
      <c r="AL182" s="88"/>
      <c r="AM182" s="88">
        <v>32.551724137931032</v>
      </c>
      <c r="AN182" s="88">
        <v>145</v>
      </c>
      <c r="AO182" s="89"/>
      <c r="AP182" s="90"/>
      <c r="AQ182" s="146" t="str">
        <f t="shared" si="68"/>
        <v/>
      </c>
      <c r="AR182" s="146" t="str">
        <f t="shared" si="69"/>
        <v/>
      </c>
      <c r="AS182" s="147">
        <v>0</v>
      </c>
      <c r="AT182" s="148" t="s">
        <v>106</v>
      </c>
      <c r="AU182" s="149" t="s">
        <v>56</v>
      </c>
      <c r="AV182" s="146" t="str">
        <f t="shared" si="70"/>
        <v/>
      </c>
      <c r="AW182" s="146" t="str">
        <f t="shared" si="71"/>
        <v/>
      </c>
      <c r="AX182" s="138" t="str">
        <f t="shared" si="72"/>
        <v/>
      </c>
      <c r="AY182" s="95" t="s">
        <v>56</v>
      </c>
      <c r="AZ182" s="96" t="s">
        <v>56</v>
      </c>
      <c r="BA182" s="96"/>
      <c r="BB182" s="96" t="s">
        <v>56</v>
      </c>
      <c r="BC182" s="96"/>
      <c r="BD182" s="97">
        <v>145</v>
      </c>
      <c r="BE182" s="142">
        <f t="shared" si="73"/>
        <v>3945</v>
      </c>
      <c r="BF182" s="98">
        <v>0</v>
      </c>
      <c r="BG182" s="98">
        <v>0</v>
      </c>
      <c r="BH182" s="98">
        <v>0</v>
      </c>
      <c r="BI182" s="98">
        <v>3945</v>
      </c>
      <c r="BJ182" s="98"/>
      <c r="BK182" s="98"/>
      <c r="BL182" s="97"/>
    </row>
    <row r="183" spans="1:64" outlineLevel="5" x14ac:dyDescent="0.3">
      <c r="A183" s="152">
        <f t="shared" si="75"/>
        <v>5</v>
      </c>
      <c r="B183" s="153">
        <f t="shared" si="74"/>
        <v>44711</v>
      </c>
      <c r="C183" s="138">
        <f t="shared" si="64"/>
        <v>37</v>
      </c>
      <c r="D183" s="84">
        <v>37</v>
      </c>
      <c r="E183" s="84">
        <v>37</v>
      </c>
      <c r="F183" s="84"/>
      <c r="G183" s="84"/>
      <c r="H183" s="84"/>
      <c r="I183" s="84"/>
      <c r="J183" s="84"/>
      <c r="K183" s="84"/>
      <c r="L183" s="140">
        <f t="shared" si="65"/>
        <v>7.9</v>
      </c>
      <c r="M183" s="86">
        <v>7.9</v>
      </c>
      <c r="N183" s="86">
        <v>7.81</v>
      </c>
      <c r="O183" s="86"/>
      <c r="P183" s="86"/>
      <c r="Q183" s="86"/>
      <c r="R183" s="86"/>
      <c r="S183" s="86"/>
      <c r="T183" s="86"/>
      <c r="U183" s="142">
        <f t="shared" si="66"/>
        <v>1691.5</v>
      </c>
      <c r="V183" s="88">
        <v>1758</v>
      </c>
      <c r="W183" s="88">
        <v>1625</v>
      </c>
      <c r="X183" s="88"/>
      <c r="Y183" s="88"/>
      <c r="Z183" s="88"/>
      <c r="AA183" s="88"/>
      <c r="AB183" s="88"/>
      <c r="AC183" s="88"/>
      <c r="AD183" s="142" t="str">
        <f t="shared" si="67"/>
        <v/>
      </c>
      <c r="AE183" s="88"/>
      <c r="AF183" s="88"/>
      <c r="AG183" s="88"/>
      <c r="AH183" s="88"/>
      <c r="AI183" s="88"/>
      <c r="AJ183" s="88"/>
      <c r="AK183" s="88"/>
      <c r="AL183" s="88"/>
      <c r="AM183" s="88">
        <v>33.267550042289258</v>
      </c>
      <c r="AN183" s="88">
        <v>141.88</v>
      </c>
      <c r="AO183" s="89">
        <v>28</v>
      </c>
      <c r="AP183" s="90">
        <v>24.247999999999998</v>
      </c>
      <c r="AQ183" s="146">
        <f t="shared" si="68"/>
        <v>86.6</v>
      </c>
      <c r="AR183" s="146">
        <f t="shared" si="69"/>
        <v>13.400000000000006</v>
      </c>
      <c r="AS183" s="147">
        <v>0</v>
      </c>
      <c r="AT183" s="148">
        <v>14.3</v>
      </c>
      <c r="AU183" s="149">
        <v>7.4074499999999999</v>
      </c>
      <c r="AV183" s="146">
        <f t="shared" si="70"/>
        <v>51.800349650349645</v>
      </c>
      <c r="AW183" s="146">
        <f t="shared" si="71"/>
        <v>48.199650349650355</v>
      </c>
      <c r="AX183" s="138">
        <f t="shared" si="72"/>
        <v>83.370633315755143</v>
      </c>
      <c r="AY183" s="95">
        <v>75.900000000000006</v>
      </c>
      <c r="AZ183" s="96">
        <v>65.344999999999999</v>
      </c>
      <c r="BA183" s="96"/>
      <c r="BB183" s="96">
        <v>39</v>
      </c>
      <c r="BC183" s="96"/>
      <c r="BD183" s="97">
        <v>141.88</v>
      </c>
      <c r="BE183" s="142">
        <f t="shared" si="73"/>
        <v>4662</v>
      </c>
      <c r="BF183" s="98">
        <v>0</v>
      </c>
      <c r="BG183" s="98">
        <v>0</v>
      </c>
      <c r="BH183" s="98">
        <v>0</v>
      </c>
      <c r="BI183" s="98">
        <v>4662</v>
      </c>
      <c r="BJ183" s="98"/>
      <c r="BK183" s="98"/>
      <c r="BL183" s="97"/>
    </row>
    <row r="184" spans="1:64" ht="17.25" outlineLevel="5" thickBot="1" x14ac:dyDescent="0.35">
      <c r="A184" s="154">
        <f t="shared" si="75"/>
        <v>5</v>
      </c>
      <c r="B184" s="155">
        <f t="shared" si="74"/>
        <v>44712</v>
      </c>
      <c r="C184" s="138">
        <f t="shared" si="64"/>
        <v>37</v>
      </c>
      <c r="D184" s="84">
        <v>37</v>
      </c>
      <c r="E184" s="84">
        <v>37</v>
      </c>
      <c r="F184" s="84"/>
      <c r="G184" s="84"/>
      <c r="H184" s="84"/>
      <c r="I184" s="84"/>
      <c r="J184" s="84"/>
      <c r="K184" s="84"/>
      <c r="L184" s="140">
        <f t="shared" si="65"/>
        <v>7.9</v>
      </c>
      <c r="M184" s="86">
        <v>7.95</v>
      </c>
      <c r="N184" s="86">
        <v>7.82</v>
      </c>
      <c r="O184" s="86"/>
      <c r="P184" s="86"/>
      <c r="Q184" s="86"/>
      <c r="R184" s="86"/>
      <c r="S184" s="86"/>
      <c r="T184" s="86"/>
      <c r="U184" s="142">
        <f t="shared" si="66"/>
        <v>1618</v>
      </c>
      <c r="V184" s="88">
        <v>1698</v>
      </c>
      <c r="W184" s="88">
        <v>1538</v>
      </c>
      <c r="X184" s="88"/>
      <c r="Y184" s="88"/>
      <c r="Z184" s="88"/>
      <c r="AA184" s="88"/>
      <c r="AB184" s="88"/>
      <c r="AC184" s="88"/>
      <c r="AD184" s="142" t="str">
        <f t="shared" si="67"/>
        <v/>
      </c>
      <c r="AE184" s="88"/>
      <c r="AF184" s="88"/>
      <c r="AG184" s="88"/>
      <c r="AH184" s="88"/>
      <c r="AI184" s="88"/>
      <c r="AJ184" s="88"/>
      <c r="AK184" s="88"/>
      <c r="AL184" s="88"/>
      <c r="AM184" s="88">
        <v>35.934526075371146</v>
      </c>
      <c r="AN184" s="88">
        <v>131.35</v>
      </c>
      <c r="AO184" s="89"/>
      <c r="AP184" s="90"/>
      <c r="AQ184" s="146" t="str">
        <f t="shared" si="68"/>
        <v/>
      </c>
      <c r="AR184" s="146" t="str">
        <f t="shared" si="69"/>
        <v/>
      </c>
      <c r="AS184" s="147">
        <v>0</v>
      </c>
      <c r="AT184" s="148" t="s">
        <v>106</v>
      </c>
      <c r="AU184" s="149" t="s">
        <v>56</v>
      </c>
      <c r="AV184" s="146" t="str">
        <f t="shared" si="70"/>
        <v/>
      </c>
      <c r="AW184" s="146" t="str">
        <f t="shared" si="71"/>
        <v/>
      </c>
      <c r="AX184" s="138" t="str">
        <f t="shared" si="72"/>
        <v/>
      </c>
      <c r="AY184" s="95"/>
      <c r="AZ184" s="96"/>
      <c r="BA184" s="96"/>
      <c r="BB184" s="96"/>
      <c r="BC184" s="96"/>
      <c r="BD184" s="97"/>
      <c r="BE184" s="142">
        <f t="shared" si="73"/>
        <v>6181</v>
      </c>
      <c r="BF184" s="98">
        <v>0</v>
      </c>
      <c r="BG184" s="98">
        <v>0</v>
      </c>
      <c r="BH184" s="98">
        <v>0</v>
      </c>
      <c r="BI184" s="98">
        <v>6181</v>
      </c>
      <c r="BJ184" s="98"/>
      <c r="BK184" s="98"/>
      <c r="BL184" s="97"/>
    </row>
    <row r="185" spans="1:64" outlineLevel="4" x14ac:dyDescent="0.3">
      <c r="A185" s="63" t="s">
        <v>73</v>
      </c>
      <c r="B185" s="64"/>
      <c r="C185" s="65">
        <f t="shared" ref="C185:BL185" si="76">SUBTOTAL(4,C154:C184)</f>
        <v>39</v>
      </c>
      <c r="D185" s="66">
        <f t="shared" si="76"/>
        <v>39</v>
      </c>
      <c r="E185" s="66">
        <f t="shared" si="76"/>
        <v>39</v>
      </c>
      <c r="F185" s="66">
        <f t="shared" si="76"/>
        <v>0</v>
      </c>
      <c r="G185" s="66">
        <f t="shared" si="76"/>
        <v>0</v>
      </c>
      <c r="H185" s="66">
        <f t="shared" si="76"/>
        <v>0</v>
      </c>
      <c r="I185" s="66">
        <f t="shared" si="76"/>
        <v>0</v>
      </c>
      <c r="J185" s="66">
        <f t="shared" si="76"/>
        <v>0</v>
      </c>
      <c r="K185" s="66">
        <f t="shared" si="76"/>
        <v>0</v>
      </c>
      <c r="L185" s="67">
        <f t="shared" si="76"/>
        <v>8</v>
      </c>
      <c r="M185" s="68">
        <f t="shared" si="76"/>
        <v>8.01</v>
      </c>
      <c r="N185" s="68">
        <f t="shared" si="76"/>
        <v>7.93</v>
      </c>
      <c r="O185" s="68">
        <f t="shared" si="76"/>
        <v>0</v>
      </c>
      <c r="P185" s="68">
        <f t="shared" si="76"/>
        <v>0</v>
      </c>
      <c r="Q185" s="68">
        <f t="shared" si="76"/>
        <v>0</v>
      </c>
      <c r="R185" s="68">
        <f t="shared" si="76"/>
        <v>0</v>
      </c>
      <c r="S185" s="68">
        <f t="shared" si="76"/>
        <v>0</v>
      </c>
      <c r="T185" s="68">
        <f t="shared" si="76"/>
        <v>0</v>
      </c>
      <c r="U185" s="69">
        <f t="shared" si="76"/>
        <v>1819</v>
      </c>
      <c r="V185" s="70">
        <f t="shared" si="76"/>
        <v>1910</v>
      </c>
      <c r="W185" s="70">
        <f t="shared" si="76"/>
        <v>1728</v>
      </c>
      <c r="X185" s="70">
        <f t="shared" si="76"/>
        <v>0</v>
      </c>
      <c r="Y185" s="70">
        <f t="shared" si="76"/>
        <v>0</v>
      </c>
      <c r="Z185" s="70">
        <f t="shared" si="76"/>
        <v>0</v>
      </c>
      <c r="AA185" s="70">
        <f t="shared" si="76"/>
        <v>0</v>
      </c>
      <c r="AB185" s="70">
        <f t="shared" si="76"/>
        <v>0</v>
      </c>
      <c r="AC185" s="70">
        <f t="shared" si="76"/>
        <v>0</v>
      </c>
      <c r="AD185" s="69">
        <f t="shared" si="76"/>
        <v>7950</v>
      </c>
      <c r="AE185" s="70">
        <f t="shared" si="76"/>
        <v>8010</v>
      </c>
      <c r="AF185" s="70">
        <f t="shared" si="76"/>
        <v>8010</v>
      </c>
      <c r="AG185" s="70">
        <f t="shared" si="76"/>
        <v>0</v>
      </c>
      <c r="AH185" s="70">
        <f t="shared" si="76"/>
        <v>0</v>
      </c>
      <c r="AI185" s="70">
        <f t="shared" si="76"/>
        <v>0</v>
      </c>
      <c r="AJ185" s="70">
        <f t="shared" si="76"/>
        <v>0</v>
      </c>
      <c r="AK185" s="70">
        <f t="shared" si="76"/>
        <v>0</v>
      </c>
      <c r="AL185" s="70">
        <f t="shared" si="76"/>
        <v>0</v>
      </c>
      <c r="AM185" s="70">
        <f t="shared" si="76"/>
        <v>118</v>
      </c>
      <c r="AN185" s="70">
        <f t="shared" si="76"/>
        <v>147.18</v>
      </c>
      <c r="AO185" s="71">
        <f t="shared" si="76"/>
        <v>28</v>
      </c>
      <c r="AP185" s="72">
        <f t="shared" si="76"/>
        <v>24.247999999999998</v>
      </c>
      <c r="AQ185" s="73">
        <f t="shared" si="76"/>
        <v>89.3</v>
      </c>
      <c r="AR185" s="73">
        <f t="shared" si="76"/>
        <v>18.400000000000006</v>
      </c>
      <c r="AS185" s="74">
        <f t="shared" si="76"/>
        <v>40</v>
      </c>
      <c r="AT185" s="75">
        <f t="shared" si="76"/>
        <v>16.850000000000001</v>
      </c>
      <c r="AU185" s="76">
        <f t="shared" si="76"/>
        <v>11.754799999999999</v>
      </c>
      <c r="AV185" s="73">
        <f t="shared" si="76"/>
        <v>72.961904761904762</v>
      </c>
      <c r="AW185" s="73">
        <f t="shared" si="76"/>
        <v>51.729959514170041</v>
      </c>
      <c r="AX185" s="65">
        <f t="shared" si="76"/>
        <v>86.716051628953721</v>
      </c>
      <c r="AY185" s="77">
        <f t="shared" si="76"/>
        <v>75.900000000000006</v>
      </c>
      <c r="AZ185" s="78">
        <f t="shared" si="76"/>
        <v>66.864999999999995</v>
      </c>
      <c r="BA185" s="78">
        <f t="shared" si="76"/>
        <v>0</v>
      </c>
      <c r="BB185" s="78">
        <f t="shared" si="76"/>
        <v>66.5</v>
      </c>
      <c r="BC185" s="78">
        <f t="shared" si="76"/>
        <v>0</v>
      </c>
      <c r="BD185" s="79">
        <f t="shared" si="76"/>
        <v>147.18</v>
      </c>
      <c r="BE185" s="69">
        <f t="shared" si="76"/>
        <v>9058</v>
      </c>
      <c r="BF185" s="70">
        <f t="shared" si="76"/>
        <v>454</v>
      </c>
      <c r="BG185" s="80">
        <f t="shared" si="76"/>
        <v>0</v>
      </c>
      <c r="BH185" s="80">
        <f t="shared" si="76"/>
        <v>3968</v>
      </c>
      <c r="BI185" s="80">
        <f t="shared" si="76"/>
        <v>6455</v>
      </c>
      <c r="BJ185" s="80">
        <f t="shared" si="76"/>
        <v>0</v>
      </c>
      <c r="BK185" s="80">
        <f t="shared" si="76"/>
        <v>0</v>
      </c>
      <c r="BL185" s="79">
        <f t="shared" si="76"/>
        <v>0</v>
      </c>
    </row>
    <row r="186" spans="1:64" outlineLevel="3" x14ac:dyDescent="0.3">
      <c r="A186" s="81" t="s">
        <v>74</v>
      </c>
      <c r="B186" s="82"/>
      <c r="C186" s="83">
        <f t="shared" ref="C186:BL186" si="77">SUBTOTAL(5,C154:C184)</f>
        <v>37</v>
      </c>
      <c r="D186" s="84">
        <f t="shared" si="77"/>
        <v>37</v>
      </c>
      <c r="E186" s="84">
        <f t="shared" si="77"/>
        <v>37</v>
      </c>
      <c r="F186" s="84">
        <f t="shared" si="77"/>
        <v>0</v>
      </c>
      <c r="G186" s="84">
        <f t="shared" si="77"/>
        <v>0</v>
      </c>
      <c r="H186" s="84">
        <f t="shared" si="77"/>
        <v>0</v>
      </c>
      <c r="I186" s="84">
        <f t="shared" si="77"/>
        <v>0</v>
      </c>
      <c r="J186" s="84">
        <f t="shared" si="77"/>
        <v>0</v>
      </c>
      <c r="K186" s="84">
        <f t="shared" si="77"/>
        <v>0</v>
      </c>
      <c r="L186" s="85">
        <f t="shared" si="77"/>
        <v>7.8</v>
      </c>
      <c r="M186" s="86">
        <f t="shared" si="77"/>
        <v>7.89</v>
      </c>
      <c r="N186" s="86">
        <f t="shared" si="77"/>
        <v>7.75</v>
      </c>
      <c r="O186" s="86">
        <f t="shared" si="77"/>
        <v>0</v>
      </c>
      <c r="P186" s="86">
        <f t="shared" si="77"/>
        <v>0</v>
      </c>
      <c r="Q186" s="86">
        <f t="shared" si="77"/>
        <v>0</v>
      </c>
      <c r="R186" s="86">
        <f t="shared" si="77"/>
        <v>0</v>
      </c>
      <c r="S186" s="86">
        <f t="shared" si="77"/>
        <v>0</v>
      </c>
      <c r="T186" s="86">
        <f t="shared" si="77"/>
        <v>0</v>
      </c>
      <c r="U186" s="87">
        <f t="shared" si="77"/>
        <v>1618</v>
      </c>
      <c r="V186" s="88">
        <f t="shared" si="77"/>
        <v>1698</v>
      </c>
      <c r="W186" s="88">
        <f t="shared" si="77"/>
        <v>1526</v>
      </c>
      <c r="X186" s="88">
        <f t="shared" si="77"/>
        <v>0</v>
      </c>
      <c r="Y186" s="88">
        <f t="shared" si="77"/>
        <v>0</v>
      </c>
      <c r="Z186" s="88">
        <f t="shared" si="77"/>
        <v>0</v>
      </c>
      <c r="AA186" s="88">
        <f t="shared" si="77"/>
        <v>0</v>
      </c>
      <c r="AB186" s="88">
        <f t="shared" si="77"/>
        <v>0</v>
      </c>
      <c r="AC186" s="88">
        <f t="shared" si="77"/>
        <v>0</v>
      </c>
      <c r="AD186" s="87">
        <f t="shared" si="77"/>
        <v>7715</v>
      </c>
      <c r="AE186" s="88">
        <f t="shared" si="77"/>
        <v>7890</v>
      </c>
      <c r="AF186" s="88">
        <f t="shared" si="77"/>
        <v>7530</v>
      </c>
      <c r="AG186" s="88">
        <f t="shared" si="77"/>
        <v>0</v>
      </c>
      <c r="AH186" s="88">
        <f t="shared" si="77"/>
        <v>0</v>
      </c>
      <c r="AI186" s="88">
        <f t="shared" si="77"/>
        <v>0</v>
      </c>
      <c r="AJ186" s="88">
        <f t="shared" si="77"/>
        <v>0</v>
      </c>
      <c r="AK186" s="88">
        <f t="shared" si="77"/>
        <v>0</v>
      </c>
      <c r="AL186" s="88">
        <f t="shared" si="77"/>
        <v>0</v>
      </c>
      <c r="AM186" s="88">
        <f t="shared" si="77"/>
        <v>32.069574670471532</v>
      </c>
      <c r="AN186" s="88">
        <f t="shared" si="77"/>
        <v>40</v>
      </c>
      <c r="AO186" s="89">
        <f t="shared" si="77"/>
        <v>17.5</v>
      </c>
      <c r="AP186" s="90">
        <f t="shared" si="77"/>
        <v>0</v>
      </c>
      <c r="AQ186" s="91">
        <f t="shared" si="77"/>
        <v>81.599999999999994</v>
      </c>
      <c r="AR186" s="91">
        <f t="shared" si="77"/>
        <v>10.700000000000003</v>
      </c>
      <c r="AS186" s="92">
        <f t="shared" si="77"/>
        <v>0</v>
      </c>
      <c r="AT186" s="93">
        <f t="shared" si="77"/>
        <v>10.5</v>
      </c>
      <c r="AU186" s="94">
        <f t="shared" si="77"/>
        <v>5.9613500000000004</v>
      </c>
      <c r="AV186" s="91">
        <f t="shared" si="77"/>
        <v>48.270040485829959</v>
      </c>
      <c r="AW186" s="91">
        <f t="shared" si="77"/>
        <v>27.038095238095238</v>
      </c>
      <c r="AX186" s="83">
        <f t="shared" si="77"/>
        <v>78.013139749592057</v>
      </c>
      <c r="AY186" s="95">
        <f t="shared" si="77"/>
        <v>70.75</v>
      </c>
      <c r="AZ186" s="96">
        <f t="shared" si="77"/>
        <v>60.525000000000006</v>
      </c>
      <c r="BA186" s="96">
        <f t="shared" si="77"/>
        <v>0</v>
      </c>
      <c r="BB186" s="96">
        <f t="shared" si="77"/>
        <v>22.5</v>
      </c>
      <c r="BC186" s="96">
        <f t="shared" si="77"/>
        <v>0</v>
      </c>
      <c r="BD186" s="97">
        <f t="shared" si="77"/>
        <v>40</v>
      </c>
      <c r="BE186" s="87">
        <f t="shared" si="77"/>
        <v>12</v>
      </c>
      <c r="BF186" s="88">
        <f t="shared" si="77"/>
        <v>0</v>
      </c>
      <c r="BG186" s="98">
        <f t="shared" si="77"/>
        <v>0</v>
      </c>
      <c r="BH186" s="98">
        <f t="shared" si="77"/>
        <v>0</v>
      </c>
      <c r="BI186" s="98">
        <f t="shared" si="77"/>
        <v>0</v>
      </c>
      <c r="BJ186" s="98">
        <f t="shared" si="77"/>
        <v>0</v>
      </c>
      <c r="BK186" s="98">
        <f t="shared" si="77"/>
        <v>0</v>
      </c>
      <c r="BL186" s="97">
        <f t="shared" si="77"/>
        <v>0</v>
      </c>
    </row>
    <row r="187" spans="1:64" outlineLevel="2" x14ac:dyDescent="0.3">
      <c r="A187" s="81" t="s">
        <v>75</v>
      </c>
      <c r="B187" s="82"/>
      <c r="C187" s="83">
        <f t="shared" ref="C187:BL187" si="78">IFERROR(SUBTOTAL(1,C154:C184),"")</f>
        <v>37.693548387096776</v>
      </c>
      <c r="D187" s="84">
        <f t="shared" si="78"/>
        <v>37.741935483870968</v>
      </c>
      <c r="E187" s="84">
        <f t="shared" si="78"/>
        <v>37.645161290322584</v>
      </c>
      <c r="F187" s="84" t="str">
        <f t="shared" si="78"/>
        <v/>
      </c>
      <c r="G187" s="84" t="str">
        <f t="shared" si="78"/>
        <v/>
      </c>
      <c r="H187" s="84" t="str">
        <f t="shared" si="78"/>
        <v/>
      </c>
      <c r="I187" s="84" t="str">
        <f t="shared" si="78"/>
        <v/>
      </c>
      <c r="J187" s="84" t="str">
        <f t="shared" si="78"/>
        <v/>
      </c>
      <c r="K187" s="84" t="str">
        <f t="shared" si="78"/>
        <v/>
      </c>
      <c r="L187" s="85">
        <f t="shared" si="78"/>
        <v>7.8947368421052646</v>
      </c>
      <c r="M187" s="86">
        <f t="shared" si="78"/>
        <v>7.9349999999999987</v>
      </c>
      <c r="N187" s="86">
        <f t="shared" si="78"/>
        <v>7.8373684210526333</v>
      </c>
      <c r="O187" s="86" t="str">
        <f t="shared" si="78"/>
        <v/>
      </c>
      <c r="P187" s="86" t="str">
        <f t="shared" si="78"/>
        <v/>
      </c>
      <c r="Q187" s="86" t="str">
        <f t="shared" si="78"/>
        <v/>
      </c>
      <c r="R187" s="86" t="str">
        <f t="shared" si="78"/>
        <v/>
      </c>
      <c r="S187" s="86" t="str">
        <f t="shared" si="78"/>
        <v/>
      </c>
      <c r="T187" s="86" t="str">
        <f t="shared" si="78"/>
        <v/>
      </c>
      <c r="U187" s="87">
        <f t="shared" si="78"/>
        <v>1727.1842105263158</v>
      </c>
      <c r="V187" s="88">
        <f t="shared" si="78"/>
        <v>1800.6666666666667</v>
      </c>
      <c r="W187" s="88">
        <f t="shared" si="78"/>
        <v>1658.4736842105262</v>
      </c>
      <c r="X187" s="88" t="str">
        <f t="shared" si="78"/>
        <v/>
      </c>
      <c r="Y187" s="88" t="str">
        <f t="shared" si="78"/>
        <v/>
      </c>
      <c r="Z187" s="88" t="str">
        <f t="shared" si="78"/>
        <v/>
      </c>
      <c r="AA187" s="88" t="str">
        <f t="shared" si="78"/>
        <v/>
      </c>
      <c r="AB187" s="88" t="str">
        <f t="shared" si="78"/>
        <v/>
      </c>
      <c r="AC187" s="88" t="str">
        <f t="shared" si="78"/>
        <v/>
      </c>
      <c r="AD187" s="87">
        <f t="shared" si="78"/>
        <v>7865</v>
      </c>
      <c r="AE187" s="88">
        <f t="shared" si="78"/>
        <v>7933.333333333333</v>
      </c>
      <c r="AF187" s="88">
        <f t="shared" si="78"/>
        <v>7796.666666666667</v>
      </c>
      <c r="AG187" s="88" t="str">
        <f t="shared" si="78"/>
        <v/>
      </c>
      <c r="AH187" s="88" t="str">
        <f t="shared" si="78"/>
        <v/>
      </c>
      <c r="AI187" s="88" t="str">
        <f t="shared" si="78"/>
        <v/>
      </c>
      <c r="AJ187" s="88" t="str">
        <f t="shared" si="78"/>
        <v/>
      </c>
      <c r="AK187" s="88" t="str">
        <f t="shared" si="78"/>
        <v/>
      </c>
      <c r="AL187" s="88" t="str">
        <f t="shared" si="78"/>
        <v/>
      </c>
      <c r="AM187" s="88">
        <f t="shared" si="78"/>
        <v>45.1424604392055</v>
      </c>
      <c r="AN187" s="88">
        <f t="shared" si="78"/>
        <v>114.54967741935479</v>
      </c>
      <c r="AO187" s="89">
        <f t="shared" si="78"/>
        <v>22.85</v>
      </c>
      <c r="AP187" s="90">
        <f t="shared" si="78"/>
        <v>15.5581</v>
      </c>
      <c r="AQ187" s="91">
        <f t="shared" si="78"/>
        <v>85.125</v>
      </c>
      <c r="AR187" s="91">
        <f t="shared" si="78"/>
        <v>14.875000000000004</v>
      </c>
      <c r="AS187" s="92">
        <f t="shared" si="78"/>
        <v>11.451612903225806</v>
      </c>
      <c r="AT187" s="93">
        <f t="shared" si="78"/>
        <v>14.472222222222221</v>
      </c>
      <c r="AU187" s="94">
        <f t="shared" si="78"/>
        <v>8.2500249999999991</v>
      </c>
      <c r="AV187" s="91">
        <f t="shared" si="78"/>
        <v>58.340757191348949</v>
      </c>
      <c r="AW187" s="91">
        <f t="shared" si="78"/>
        <v>41.659242808651051</v>
      </c>
      <c r="AX187" s="83">
        <f t="shared" si="78"/>
        <v>81.764744781527781</v>
      </c>
      <c r="AY187" s="95">
        <f t="shared" si="78"/>
        <v>73.322222222222223</v>
      </c>
      <c r="AZ187" s="96">
        <f t="shared" si="78"/>
        <v>63.261499999999998</v>
      </c>
      <c r="BA187" s="96" t="str">
        <f t="shared" si="78"/>
        <v/>
      </c>
      <c r="BB187" s="96">
        <f t="shared" si="78"/>
        <v>42.475000000000001</v>
      </c>
      <c r="BC187" s="96" t="str">
        <f t="shared" si="78"/>
        <v/>
      </c>
      <c r="BD187" s="97">
        <f>IFERROR(SUBTOTAL(1,BD154:BD184),"")</f>
        <v>113.98966666666662</v>
      </c>
      <c r="BE187" s="87">
        <f t="shared" si="78"/>
        <v>5425.4516129032254</v>
      </c>
      <c r="BF187" s="88">
        <f t="shared" si="78"/>
        <v>67.741935483870961</v>
      </c>
      <c r="BG187" s="98">
        <f t="shared" si="78"/>
        <v>0</v>
      </c>
      <c r="BH187" s="98">
        <f t="shared" si="78"/>
        <v>869.35483870967744</v>
      </c>
      <c r="BI187" s="98">
        <f t="shared" si="78"/>
        <v>4488.3548387096771</v>
      </c>
      <c r="BJ187" s="98" t="str">
        <f t="shared" si="78"/>
        <v/>
      </c>
      <c r="BK187" s="98" t="str">
        <f t="shared" si="78"/>
        <v/>
      </c>
      <c r="BL187" s="97" t="str">
        <f t="shared" si="78"/>
        <v/>
      </c>
    </row>
    <row r="188" spans="1:64" ht="17.25" outlineLevel="1" thickBot="1" x14ac:dyDescent="0.35">
      <c r="A188" s="99" t="s">
        <v>76</v>
      </c>
      <c r="B188" s="100"/>
      <c r="C188" s="101"/>
      <c r="D188" s="102"/>
      <c r="E188" s="102"/>
      <c r="F188" s="102"/>
      <c r="G188" s="102"/>
      <c r="H188" s="102"/>
      <c r="I188" s="102"/>
      <c r="J188" s="102"/>
      <c r="K188" s="102"/>
      <c r="L188" s="103"/>
      <c r="M188" s="104"/>
      <c r="N188" s="104"/>
      <c r="O188" s="104"/>
      <c r="P188" s="104"/>
      <c r="Q188" s="104"/>
      <c r="R188" s="104"/>
      <c r="S188" s="104"/>
      <c r="T188" s="104"/>
      <c r="U188" s="105"/>
      <c r="V188" s="106"/>
      <c r="W188" s="106"/>
      <c r="X188" s="106"/>
      <c r="Y188" s="106"/>
      <c r="Z188" s="106"/>
      <c r="AA188" s="106"/>
      <c r="AB188" s="106"/>
      <c r="AC188" s="106"/>
      <c r="AD188" s="105"/>
      <c r="AE188" s="106"/>
      <c r="AF188" s="106"/>
      <c r="AG188" s="106"/>
      <c r="AH188" s="106"/>
      <c r="AI188" s="106"/>
      <c r="AJ188" s="106"/>
      <c r="AK188" s="106"/>
      <c r="AL188" s="106"/>
      <c r="AM188" s="106"/>
      <c r="AN188" s="107">
        <f>SUBTOTAL(9,AN154:AN184)</f>
        <v>3551.0399999999986</v>
      </c>
      <c r="AO188" s="108"/>
      <c r="AP188" s="109"/>
      <c r="AQ188" s="110"/>
      <c r="AR188" s="110"/>
      <c r="AS188" s="111">
        <f>SUBTOTAL(9,AS154:AS184)</f>
        <v>355</v>
      </c>
      <c r="AT188" s="112"/>
      <c r="AU188" s="113"/>
      <c r="AV188" s="110"/>
      <c r="AW188" s="110"/>
      <c r="AX188" s="101"/>
      <c r="AY188" s="114"/>
      <c r="AZ188" s="115"/>
      <c r="BA188" s="115"/>
      <c r="BB188" s="115"/>
      <c r="BC188" s="115"/>
      <c r="BD188" s="116">
        <f>SUBTOTAL(9,BD154:BD184)</f>
        <v>3419.6899999999987</v>
      </c>
      <c r="BE188" s="117">
        <f t="shared" ref="BE188:BL188" si="79">SUBTOTAL(9,BE154:BE184)</f>
        <v>168189</v>
      </c>
      <c r="BF188" s="107">
        <f t="shared" si="79"/>
        <v>2100</v>
      </c>
      <c r="BG188" s="118">
        <f t="shared" si="79"/>
        <v>0</v>
      </c>
      <c r="BH188" s="118">
        <f t="shared" si="79"/>
        <v>26950</v>
      </c>
      <c r="BI188" s="118">
        <f t="shared" si="79"/>
        <v>139139</v>
      </c>
      <c r="BJ188" s="118">
        <f t="shared" si="79"/>
        <v>0</v>
      </c>
      <c r="BK188" s="118">
        <f t="shared" si="79"/>
        <v>0</v>
      </c>
      <c r="BL188" s="116">
        <f t="shared" si="79"/>
        <v>0</v>
      </c>
    </row>
    <row r="189" spans="1:64" outlineLevel="5" x14ac:dyDescent="0.3">
      <c r="A189" s="136">
        <f t="shared" si="75"/>
        <v>6</v>
      </c>
      <c r="B189" s="165">
        <f>B184+1</f>
        <v>44713</v>
      </c>
      <c r="C189" s="138">
        <f t="shared" ref="C189:C218" si="80">IFERROR(ROUND(AVERAGE(D189:K189),1),"")</f>
        <v>37</v>
      </c>
      <c r="D189" s="84">
        <v>37</v>
      </c>
      <c r="E189" s="84">
        <v>37</v>
      </c>
      <c r="F189" s="84"/>
      <c r="G189" s="84"/>
      <c r="H189" s="84"/>
      <c r="I189" s="84"/>
      <c r="J189" s="84"/>
      <c r="K189" s="84"/>
      <c r="L189" s="140" t="str">
        <f t="shared" ref="L189:L218" si="81">IFERROR(ROUND(AVERAGE(M189:T189),1),"")</f>
        <v/>
      </c>
      <c r="M189" s="86"/>
      <c r="N189" s="86"/>
      <c r="O189" s="86"/>
      <c r="P189" s="86"/>
      <c r="Q189" s="86"/>
      <c r="R189" s="86"/>
      <c r="S189" s="86"/>
      <c r="T189" s="86"/>
      <c r="U189" s="142" t="str">
        <f t="shared" ref="U189:U218" si="82">IFERROR(ROUND(AVERAGE(V189:AC189),1),"")</f>
        <v/>
      </c>
      <c r="V189" s="88"/>
      <c r="W189" s="88"/>
      <c r="X189" s="88"/>
      <c r="Y189" s="88"/>
      <c r="Z189" s="88"/>
      <c r="AA189" s="88"/>
      <c r="AB189" s="88"/>
      <c r="AC189" s="88"/>
      <c r="AD189" s="142" t="str">
        <f t="shared" ref="AD189:AD218" si="83">IFERROR(ROUND(AVERAGE(AE189:AL189),1),"")</f>
        <v/>
      </c>
      <c r="AE189" s="88"/>
      <c r="AF189" s="88"/>
      <c r="AG189" s="88"/>
      <c r="AH189" s="88"/>
      <c r="AI189" s="88"/>
      <c r="AJ189" s="88"/>
      <c r="AK189" s="88"/>
      <c r="AL189" s="88"/>
      <c r="AM189" s="88">
        <v>32.791440878143675</v>
      </c>
      <c r="AN189" s="88">
        <v>143.94</v>
      </c>
      <c r="AO189" s="89"/>
      <c r="AP189" s="90"/>
      <c r="AQ189" s="146" t="str">
        <f t="shared" ref="AQ189:AQ218" si="84">IFERROR(AP189/AO189*100,"")</f>
        <v/>
      </c>
      <c r="AR189" s="146" t="str">
        <f t="shared" ref="AR189:AR218" si="85">IFERROR(100-AQ189,"")</f>
        <v/>
      </c>
      <c r="AS189" s="147">
        <v>0</v>
      </c>
      <c r="AT189" s="148" t="s">
        <v>106</v>
      </c>
      <c r="AU189" s="149" t="s">
        <v>56</v>
      </c>
      <c r="AV189" s="146" t="str">
        <f t="shared" ref="AV189:AV218" si="86">IFERROR(AU189/AT189*100,"")</f>
        <v/>
      </c>
      <c r="AW189" s="146" t="str">
        <f t="shared" ref="AW189:AW218" si="87">IFERROR(100-AV189,"")</f>
        <v/>
      </c>
      <c r="AX189" s="138" t="str">
        <f t="shared" ref="AX189:AX218" si="88">IFERROR((1-((AV189*AR189)/(AW189*AQ189)))*100,"")</f>
        <v/>
      </c>
      <c r="AY189" s="95" t="s">
        <v>56</v>
      </c>
      <c r="AZ189" s="96" t="s">
        <v>56</v>
      </c>
      <c r="BA189" s="96"/>
      <c r="BB189" s="96" t="s">
        <v>56</v>
      </c>
      <c r="BC189" s="96"/>
      <c r="BD189" s="97">
        <v>143.94</v>
      </c>
      <c r="BE189" s="142">
        <f t="shared" ref="BE189:BE218" si="89">IF(SUM(BF189:BL189)=0,"",SUM(BF189:BL189))</f>
        <v>5985</v>
      </c>
      <c r="BF189" s="98">
        <v>0</v>
      </c>
      <c r="BG189" s="98">
        <v>0</v>
      </c>
      <c r="BH189" s="98">
        <v>0</v>
      </c>
      <c r="BI189" s="98">
        <v>5985</v>
      </c>
      <c r="BJ189" s="98"/>
      <c r="BK189" s="98"/>
      <c r="BL189" s="98"/>
    </row>
    <row r="190" spans="1:64" outlineLevel="5" x14ac:dyDescent="0.3">
      <c r="A190" s="152">
        <f t="shared" si="75"/>
        <v>6</v>
      </c>
      <c r="B190" s="153">
        <f t="shared" si="74"/>
        <v>44714</v>
      </c>
      <c r="C190" s="138">
        <f t="shared" si="80"/>
        <v>36.5</v>
      </c>
      <c r="D190" s="84">
        <v>37</v>
      </c>
      <c r="E190" s="84">
        <v>36</v>
      </c>
      <c r="F190" s="84"/>
      <c r="G190" s="84"/>
      <c r="H190" s="84"/>
      <c r="I190" s="84"/>
      <c r="J190" s="84"/>
      <c r="K190" s="84"/>
      <c r="L190" s="140">
        <f t="shared" si="81"/>
        <v>7.9</v>
      </c>
      <c r="M190" s="86">
        <v>7.99</v>
      </c>
      <c r="N190" s="86">
        <v>7.86</v>
      </c>
      <c r="O190" s="86"/>
      <c r="P190" s="86"/>
      <c r="Q190" s="86"/>
      <c r="R190" s="86"/>
      <c r="S190" s="86"/>
      <c r="T190" s="86"/>
      <c r="U190" s="142">
        <f t="shared" si="82"/>
        <v>1681.5</v>
      </c>
      <c r="V190" s="88">
        <v>1738</v>
      </c>
      <c r="W190" s="88">
        <v>1625</v>
      </c>
      <c r="X190" s="88"/>
      <c r="Y190" s="88"/>
      <c r="Z190" s="88"/>
      <c r="AA190" s="88"/>
      <c r="AB190" s="88"/>
      <c r="AC190" s="88"/>
      <c r="AD190" s="142" t="str">
        <f t="shared" si="83"/>
        <v/>
      </c>
      <c r="AE190" s="88"/>
      <c r="AF190" s="88"/>
      <c r="AG190" s="88"/>
      <c r="AH190" s="88"/>
      <c r="AI190" s="88"/>
      <c r="AJ190" s="88"/>
      <c r="AK190" s="88"/>
      <c r="AL190" s="88"/>
      <c r="AM190" s="88">
        <v>34.304818664147106</v>
      </c>
      <c r="AN190" s="88">
        <v>137.59</v>
      </c>
      <c r="AO190" s="89"/>
      <c r="AP190" s="90"/>
      <c r="AQ190" s="146" t="str">
        <f t="shared" si="84"/>
        <v/>
      </c>
      <c r="AR190" s="146" t="str">
        <f t="shared" si="85"/>
        <v/>
      </c>
      <c r="AS190" s="147">
        <v>0</v>
      </c>
      <c r="AT190" s="148">
        <v>14.25</v>
      </c>
      <c r="AU190" s="149">
        <v>7.8595500000000005</v>
      </c>
      <c r="AV190" s="146">
        <f t="shared" si="86"/>
        <v>55.154736842105265</v>
      </c>
      <c r="AW190" s="146">
        <f t="shared" si="87"/>
        <v>44.845263157894735</v>
      </c>
      <c r="AX190" s="138" t="str">
        <f t="shared" si="88"/>
        <v/>
      </c>
      <c r="AY190" s="95">
        <v>74.7</v>
      </c>
      <c r="AZ190" s="96">
        <v>64.615000000000009</v>
      </c>
      <c r="BA190" s="96"/>
      <c r="BB190" s="96">
        <v>41</v>
      </c>
      <c r="BC190" s="96"/>
      <c r="BD190" s="97">
        <v>137.59</v>
      </c>
      <c r="BE190" s="142">
        <f t="shared" si="89"/>
        <v>5705</v>
      </c>
      <c r="BF190" s="98">
        <v>0</v>
      </c>
      <c r="BG190" s="98">
        <v>0</v>
      </c>
      <c r="BH190" s="98">
        <v>0</v>
      </c>
      <c r="BI190" s="98">
        <v>5705</v>
      </c>
      <c r="BJ190" s="98"/>
      <c r="BK190" s="98"/>
      <c r="BL190" s="98"/>
    </row>
    <row r="191" spans="1:64" outlineLevel="5" x14ac:dyDescent="0.3">
      <c r="A191" s="152">
        <f t="shared" si="75"/>
        <v>6</v>
      </c>
      <c r="B191" s="153">
        <f t="shared" si="74"/>
        <v>44715</v>
      </c>
      <c r="C191" s="138">
        <f t="shared" si="80"/>
        <v>36.5</v>
      </c>
      <c r="D191" s="84">
        <v>37</v>
      </c>
      <c r="E191" s="84">
        <v>36</v>
      </c>
      <c r="F191" s="84"/>
      <c r="G191" s="84"/>
      <c r="H191" s="84"/>
      <c r="I191" s="84"/>
      <c r="J191" s="84"/>
      <c r="K191" s="84"/>
      <c r="L191" s="140" t="str">
        <f t="shared" si="81"/>
        <v/>
      </c>
      <c r="M191" s="86"/>
      <c r="N191" s="86"/>
      <c r="O191" s="86"/>
      <c r="P191" s="86"/>
      <c r="Q191" s="86"/>
      <c r="R191" s="86"/>
      <c r="S191" s="86"/>
      <c r="T191" s="86"/>
      <c r="U191" s="142" t="str">
        <f t="shared" si="82"/>
        <v/>
      </c>
      <c r="V191" s="88"/>
      <c r="W191" s="88"/>
      <c r="X191" s="88"/>
      <c r="Y191" s="88"/>
      <c r="Z191" s="88"/>
      <c r="AA191" s="88"/>
      <c r="AB191" s="88"/>
      <c r="AC191" s="88"/>
      <c r="AD191" s="142" t="str">
        <f t="shared" si="83"/>
        <v/>
      </c>
      <c r="AE191" s="88"/>
      <c r="AF191" s="88"/>
      <c r="AG191" s="88"/>
      <c r="AH191" s="88"/>
      <c r="AI191" s="88"/>
      <c r="AJ191" s="88"/>
      <c r="AK191" s="88"/>
      <c r="AL191" s="88"/>
      <c r="AM191" s="88">
        <v>39.63056255247691</v>
      </c>
      <c r="AN191" s="88">
        <v>119.1</v>
      </c>
      <c r="AO191" s="89"/>
      <c r="AP191" s="90"/>
      <c r="AQ191" s="146" t="str">
        <f t="shared" si="84"/>
        <v/>
      </c>
      <c r="AR191" s="146" t="str">
        <f t="shared" si="85"/>
        <v/>
      </c>
      <c r="AS191" s="147">
        <v>0</v>
      </c>
      <c r="AT191" s="148" t="s">
        <v>106</v>
      </c>
      <c r="AU191" s="149" t="s">
        <v>56</v>
      </c>
      <c r="AV191" s="146" t="str">
        <f t="shared" si="86"/>
        <v/>
      </c>
      <c r="AW191" s="146" t="str">
        <f t="shared" si="87"/>
        <v/>
      </c>
      <c r="AX191" s="138" t="str">
        <f t="shared" si="88"/>
        <v/>
      </c>
      <c r="AY191" s="95" t="s">
        <v>56</v>
      </c>
      <c r="AZ191" s="96">
        <v>65.224999999999994</v>
      </c>
      <c r="BA191" s="96"/>
      <c r="BB191" s="96">
        <v>43.5</v>
      </c>
      <c r="BC191" s="96"/>
      <c r="BD191" s="97">
        <v>119.1</v>
      </c>
      <c r="BE191" s="142">
        <f t="shared" si="89"/>
        <v>5905</v>
      </c>
      <c r="BF191" s="98">
        <v>0</v>
      </c>
      <c r="BG191" s="98">
        <v>0</v>
      </c>
      <c r="BH191" s="98">
        <v>7</v>
      </c>
      <c r="BI191" s="98">
        <v>5898</v>
      </c>
      <c r="BJ191" s="98"/>
      <c r="BK191" s="98"/>
      <c r="BL191" s="98"/>
    </row>
    <row r="192" spans="1:64" outlineLevel="5" x14ac:dyDescent="0.3">
      <c r="A192" s="152">
        <f t="shared" si="75"/>
        <v>6</v>
      </c>
      <c r="B192" s="153">
        <f t="shared" si="74"/>
        <v>44716</v>
      </c>
      <c r="C192" s="138">
        <f t="shared" si="80"/>
        <v>36.5</v>
      </c>
      <c r="D192" s="84">
        <v>37</v>
      </c>
      <c r="E192" s="84">
        <v>36</v>
      </c>
      <c r="F192" s="84"/>
      <c r="G192" s="84"/>
      <c r="H192" s="84"/>
      <c r="I192" s="84"/>
      <c r="J192" s="84"/>
      <c r="K192" s="84"/>
      <c r="L192" s="140" t="str">
        <f t="shared" si="81"/>
        <v/>
      </c>
      <c r="M192" s="86"/>
      <c r="N192" s="86"/>
      <c r="O192" s="86"/>
      <c r="P192" s="86"/>
      <c r="Q192" s="86"/>
      <c r="R192" s="86"/>
      <c r="S192" s="86"/>
      <c r="T192" s="86"/>
      <c r="U192" s="142" t="str">
        <f t="shared" si="82"/>
        <v/>
      </c>
      <c r="V192" s="88"/>
      <c r="W192" s="88"/>
      <c r="X192" s="88"/>
      <c r="Y192" s="88"/>
      <c r="Z192" s="88"/>
      <c r="AA192" s="88"/>
      <c r="AB192" s="88"/>
      <c r="AC192" s="88"/>
      <c r="AD192" s="142" t="str">
        <f t="shared" si="83"/>
        <v/>
      </c>
      <c r="AE192" s="88"/>
      <c r="AF192" s="88"/>
      <c r="AG192" s="88"/>
      <c r="AH192" s="88"/>
      <c r="AI192" s="88"/>
      <c r="AJ192" s="88"/>
      <c r="AK192" s="88"/>
      <c r="AL192" s="88"/>
      <c r="AM192" s="88">
        <v>42.626207893073243</v>
      </c>
      <c r="AN192" s="88">
        <v>110.73</v>
      </c>
      <c r="AO192" s="89"/>
      <c r="AP192" s="90"/>
      <c r="AQ192" s="146" t="str">
        <f t="shared" si="84"/>
        <v/>
      </c>
      <c r="AR192" s="146" t="str">
        <f t="shared" si="85"/>
        <v/>
      </c>
      <c r="AS192" s="147">
        <v>0</v>
      </c>
      <c r="AT192" s="148" t="s">
        <v>106</v>
      </c>
      <c r="AU192" s="149" t="s">
        <v>56</v>
      </c>
      <c r="AV192" s="146" t="str">
        <f t="shared" si="86"/>
        <v/>
      </c>
      <c r="AW192" s="146" t="str">
        <f t="shared" si="87"/>
        <v/>
      </c>
      <c r="AX192" s="138" t="str">
        <f t="shared" si="88"/>
        <v/>
      </c>
      <c r="AY192" s="95" t="s">
        <v>56</v>
      </c>
      <c r="AZ192" s="96" t="s">
        <v>56</v>
      </c>
      <c r="BA192" s="96"/>
      <c r="BB192" s="96" t="s">
        <v>56</v>
      </c>
      <c r="BC192" s="96"/>
      <c r="BD192" s="97">
        <v>110.73</v>
      </c>
      <c r="BE192" s="142">
        <f t="shared" si="89"/>
        <v>5188</v>
      </c>
      <c r="BF192" s="98">
        <v>0</v>
      </c>
      <c r="BG192" s="98">
        <v>0</v>
      </c>
      <c r="BH192" s="98">
        <v>0</v>
      </c>
      <c r="BI192" s="98">
        <v>5188</v>
      </c>
      <c r="BJ192" s="98"/>
      <c r="BK192" s="98"/>
      <c r="BL192" s="98"/>
    </row>
    <row r="193" spans="1:64" outlineLevel="5" x14ac:dyDescent="0.3">
      <c r="A193" s="152">
        <f t="shared" si="75"/>
        <v>6</v>
      </c>
      <c r="B193" s="153">
        <f t="shared" si="74"/>
        <v>44717</v>
      </c>
      <c r="C193" s="138">
        <f t="shared" si="80"/>
        <v>36.5</v>
      </c>
      <c r="D193" s="84">
        <v>37</v>
      </c>
      <c r="E193" s="84">
        <v>36</v>
      </c>
      <c r="F193" s="84"/>
      <c r="G193" s="84"/>
      <c r="H193" s="84"/>
      <c r="I193" s="84"/>
      <c r="J193" s="84"/>
      <c r="K193" s="84"/>
      <c r="L193" s="140" t="str">
        <f t="shared" si="81"/>
        <v/>
      </c>
      <c r="M193" s="86"/>
      <c r="N193" s="86"/>
      <c r="O193" s="86"/>
      <c r="P193" s="86"/>
      <c r="Q193" s="86"/>
      <c r="R193" s="86"/>
      <c r="S193" s="86"/>
      <c r="T193" s="86"/>
      <c r="U193" s="142" t="str">
        <f t="shared" si="82"/>
        <v/>
      </c>
      <c r="V193" s="88"/>
      <c r="W193" s="88"/>
      <c r="X193" s="88"/>
      <c r="Y193" s="88"/>
      <c r="Z193" s="88"/>
      <c r="AA193" s="88"/>
      <c r="AB193" s="88"/>
      <c r="AC193" s="88"/>
      <c r="AD193" s="142" t="str">
        <f t="shared" si="83"/>
        <v/>
      </c>
      <c r="AE193" s="88"/>
      <c r="AF193" s="88"/>
      <c r="AG193" s="88"/>
      <c r="AH193" s="88"/>
      <c r="AI193" s="88"/>
      <c r="AJ193" s="88"/>
      <c r="AK193" s="88"/>
      <c r="AL193" s="88"/>
      <c r="AM193" s="88">
        <v>44.952380952380949</v>
      </c>
      <c r="AN193" s="88">
        <v>105</v>
      </c>
      <c r="AO193" s="89"/>
      <c r="AP193" s="90"/>
      <c r="AQ193" s="146" t="str">
        <f t="shared" si="84"/>
        <v/>
      </c>
      <c r="AR193" s="146" t="str">
        <f t="shared" si="85"/>
        <v/>
      </c>
      <c r="AS193" s="147">
        <v>0</v>
      </c>
      <c r="AT193" s="148" t="s">
        <v>106</v>
      </c>
      <c r="AU193" s="149" t="s">
        <v>56</v>
      </c>
      <c r="AV193" s="146" t="str">
        <f t="shared" si="86"/>
        <v/>
      </c>
      <c r="AW193" s="146" t="str">
        <f t="shared" si="87"/>
        <v/>
      </c>
      <c r="AX193" s="138" t="str">
        <f t="shared" si="88"/>
        <v/>
      </c>
      <c r="AY193" s="95" t="s">
        <v>56</v>
      </c>
      <c r="AZ193" s="96" t="s">
        <v>56</v>
      </c>
      <c r="BA193" s="96"/>
      <c r="BB193" s="96" t="s">
        <v>56</v>
      </c>
      <c r="BC193" s="96"/>
      <c r="BD193" s="97">
        <v>105</v>
      </c>
      <c r="BE193" s="142">
        <f t="shared" si="89"/>
        <v>2513</v>
      </c>
      <c r="BF193" s="98">
        <v>0</v>
      </c>
      <c r="BG193" s="98">
        <v>0</v>
      </c>
      <c r="BH193" s="98">
        <v>0</v>
      </c>
      <c r="BI193" s="98">
        <v>2513</v>
      </c>
      <c r="BJ193" s="98"/>
      <c r="BK193" s="98"/>
      <c r="BL193" s="98"/>
    </row>
    <row r="194" spans="1:64" outlineLevel="5" x14ac:dyDescent="0.3">
      <c r="A194" s="152">
        <f t="shared" si="75"/>
        <v>6</v>
      </c>
      <c r="B194" s="153">
        <f t="shared" si="74"/>
        <v>44718</v>
      </c>
      <c r="C194" s="138">
        <f t="shared" si="80"/>
        <v>36.5</v>
      </c>
      <c r="D194" s="84">
        <v>37</v>
      </c>
      <c r="E194" s="84">
        <v>36</v>
      </c>
      <c r="F194" s="84"/>
      <c r="G194" s="84"/>
      <c r="H194" s="84"/>
      <c r="I194" s="84"/>
      <c r="J194" s="84"/>
      <c r="K194" s="84"/>
      <c r="L194" s="140" t="str">
        <f t="shared" si="81"/>
        <v/>
      </c>
      <c r="M194" s="86"/>
      <c r="N194" s="86"/>
      <c r="O194" s="86"/>
      <c r="P194" s="86"/>
      <c r="Q194" s="86"/>
      <c r="R194" s="86"/>
      <c r="S194" s="86"/>
      <c r="T194" s="86"/>
      <c r="U194" s="142" t="str">
        <f t="shared" si="82"/>
        <v/>
      </c>
      <c r="V194" s="88"/>
      <c r="W194" s="88"/>
      <c r="X194" s="88"/>
      <c r="Y194" s="88"/>
      <c r="Z194" s="88"/>
      <c r="AA194" s="88"/>
      <c r="AB194" s="88"/>
      <c r="AC194" s="88"/>
      <c r="AD194" s="142" t="str">
        <f t="shared" si="83"/>
        <v/>
      </c>
      <c r="AE194" s="88"/>
      <c r="AF194" s="88"/>
      <c r="AG194" s="88"/>
      <c r="AH194" s="88"/>
      <c r="AI194" s="88"/>
      <c r="AJ194" s="88"/>
      <c r="AK194" s="88"/>
      <c r="AL194" s="88"/>
      <c r="AM194" s="88">
        <v>40.248998038714078</v>
      </c>
      <c r="AN194" s="88">
        <v>117.27000000000001</v>
      </c>
      <c r="AO194" s="89"/>
      <c r="AP194" s="90"/>
      <c r="AQ194" s="146" t="str">
        <f t="shared" si="84"/>
        <v/>
      </c>
      <c r="AR194" s="146" t="str">
        <f t="shared" si="85"/>
        <v/>
      </c>
      <c r="AS194" s="147">
        <v>0</v>
      </c>
      <c r="AT194" s="148" t="s">
        <v>106</v>
      </c>
      <c r="AU194" s="149" t="s">
        <v>56</v>
      </c>
      <c r="AV194" s="146" t="str">
        <f t="shared" si="86"/>
        <v/>
      </c>
      <c r="AW194" s="146" t="str">
        <f t="shared" si="87"/>
        <v/>
      </c>
      <c r="AX194" s="138" t="str">
        <f t="shared" si="88"/>
        <v/>
      </c>
      <c r="AY194" s="95" t="s">
        <v>56</v>
      </c>
      <c r="AZ194" s="96" t="s">
        <v>56</v>
      </c>
      <c r="BA194" s="96"/>
      <c r="BB194" s="96" t="s">
        <v>56</v>
      </c>
      <c r="BC194" s="96"/>
      <c r="BD194" s="97">
        <v>117.27000000000001</v>
      </c>
      <c r="BE194" s="142">
        <f t="shared" si="89"/>
        <v>4742</v>
      </c>
      <c r="BF194" s="98">
        <v>0</v>
      </c>
      <c r="BG194" s="98">
        <v>0</v>
      </c>
      <c r="BH194" s="98">
        <v>0</v>
      </c>
      <c r="BI194" s="98">
        <v>4742</v>
      </c>
      <c r="BJ194" s="98"/>
      <c r="BK194" s="98"/>
      <c r="BL194" s="98"/>
    </row>
    <row r="195" spans="1:64" outlineLevel="5" x14ac:dyDescent="0.3">
      <c r="A195" s="152">
        <f t="shared" si="75"/>
        <v>6</v>
      </c>
      <c r="B195" s="153">
        <f t="shared" si="74"/>
        <v>44719</v>
      </c>
      <c r="C195" s="138">
        <f t="shared" si="80"/>
        <v>36</v>
      </c>
      <c r="D195" s="84">
        <v>36</v>
      </c>
      <c r="E195" s="84">
        <v>36</v>
      </c>
      <c r="F195" s="84"/>
      <c r="G195" s="84"/>
      <c r="H195" s="84"/>
      <c r="I195" s="84"/>
      <c r="J195" s="84"/>
      <c r="K195" s="84"/>
      <c r="L195" s="140" t="str">
        <f t="shared" si="81"/>
        <v/>
      </c>
      <c r="M195" s="86"/>
      <c r="N195" s="86"/>
      <c r="O195" s="86"/>
      <c r="P195" s="86"/>
      <c r="Q195" s="86"/>
      <c r="R195" s="86"/>
      <c r="S195" s="86"/>
      <c r="T195" s="86"/>
      <c r="U195" s="142" t="str">
        <f t="shared" si="82"/>
        <v/>
      </c>
      <c r="V195" s="88"/>
      <c r="W195" s="88"/>
      <c r="X195" s="88"/>
      <c r="Y195" s="88"/>
      <c r="Z195" s="88"/>
      <c r="AA195" s="88"/>
      <c r="AB195" s="88"/>
      <c r="AC195" s="88"/>
      <c r="AD195" s="142" t="str">
        <f t="shared" si="83"/>
        <v/>
      </c>
      <c r="AE195" s="88"/>
      <c r="AF195" s="88"/>
      <c r="AG195" s="88"/>
      <c r="AH195" s="88"/>
      <c r="AI195" s="88"/>
      <c r="AJ195" s="88"/>
      <c r="AK195" s="88"/>
      <c r="AL195" s="88"/>
      <c r="AM195" s="88">
        <v>44.507307873644507</v>
      </c>
      <c r="AN195" s="88">
        <v>106.05</v>
      </c>
      <c r="AO195" s="89"/>
      <c r="AP195" s="90"/>
      <c r="AQ195" s="146" t="str">
        <f t="shared" si="84"/>
        <v/>
      </c>
      <c r="AR195" s="146" t="str">
        <f t="shared" si="85"/>
        <v/>
      </c>
      <c r="AS195" s="147">
        <v>0</v>
      </c>
      <c r="AT195" s="148" t="s">
        <v>106</v>
      </c>
      <c r="AU195" s="149" t="s">
        <v>56</v>
      </c>
      <c r="AV195" s="146" t="str">
        <f t="shared" si="86"/>
        <v/>
      </c>
      <c r="AW195" s="146" t="str">
        <f t="shared" si="87"/>
        <v/>
      </c>
      <c r="AX195" s="138" t="str">
        <f t="shared" si="88"/>
        <v/>
      </c>
      <c r="AY195" s="95" t="s">
        <v>56</v>
      </c>
      <c r="AZ195" s="96">
        <v>65.75</v>
      </c>
      <c r="BA195" s="96"/>
      <c r="BB195" s="96">
        <v>36.5</v>
      </c>
      <c r="BC195" s="96"/>
      <c r="BD195" s="97">
        <v>106.05</v>
      </c>
      <c r="BE195" s="142">
        <f t="shared" si="89"/>
        <v>5320</v>
      </c>
      <c r="BF195" s="98">
        <v>0</v>
      </c>
      <c r="BG195" s="98">
        <v>0</v>
      </c>
      <c r="BH195" s="98">
        <v>1</v>
      </c>
      <c r="BI195" s="98">
        <v>5319</v>
      </c>
      <c r="BJ195" s="98"/>
      <c r="BK195" s="98"/>
      <c r="BL195" s="98"/>
    </row>
    <row r="196" spans="1:64" outlineLevel="5" x14ac:dyDescent="0.3">
      <c r="A196" s="152">
        <f t="shared" si="75"/>
        <v>6</v>
      </c>
      <c r="B196" s="153">
        <f t="shared" si="74"/>
        <v>44720</v>
      </c>
      <c r="C196" s="138">
        <f t="shared" si="80"/>
        <v>37</v>
      </c>
      <c r="D196" s="84">
        <v>37</v>
      </c>
      <c r="E196" s="84">
        <v>37</v>
      </c>
      <c r="F196" s="84"/>
      <c r="G196" s="84"/>
      <c r="H196" s="84"/>
      <c r="I196" s="84"/>
      <c r="J196" s="84"/>
      <c r="K196" s="84"/>
      <c r="L196" s="140">
        <f t="shared" si="81"/>
        <v>7.9</v>
      </c>
      <c r="M196" s="86">
        <v>7.91</v>
      </c>
      <c r="N196" s="86">
        <v>7.87</v>
      </c>
      <c r="O196" s="86"/>
      <c r="P196" s="86"/>
      <c r="Q196" s="86"/>
      <c r="R196" s="86"/>
      <c r="S196" s="86"/>
      <c r="T196" s="86"/>
      <c r="U196" s="142">
        <f t="shared" si="82"/>
        <v>1670</v>
      </c>
      <c r="V196" s="88">
        <v>1750</v>
      </c>
      <c r="W196" s="88">
        <v>1590</v>
      </c>
      <c r="X196" s="88"/>
      <c r="Y196" s="88"/>
      <c r="Z196" s="88"/>
      <c r="AA196" s="88"/>
      <c r="AB196" s="88"/>
      <c r="AC196" s="88"/>
      <c r="AD196" s="142">
        <f t="shared" si="83"/>
        <v>7925</v>
      </c>
      <c r="AE196" s="88">
        <v>8000</v>
      </c>
      <c r="AF196" s="88">
        <v>7850</v>
      </c>
      <c r="AG196" s="88"/>
      <c r="AH196" s="88"/>
      <c r="AI196" s="88"/>
      <c r="AJ196" s="88"/>
      <c r="AK196" s="88"/>
      <c r="AL196" s="88"/>
      <c r="AM196" s="88">
        <v>39.770812268284459</v>
      </c>
      <c r="AN196" s="88">
        <v>118.68</v>
      </c>
      <c r="AO196" s="89"/>
      <c r="AP196" s="90"/>
      <c r="AQ196" s="146" t="str">
        <f t="shared" si="84"/>
        <v/>
      </c>
      <c r="AR196" s="146" t="str">
        <f t="shared" si="85"/>
        <v/>
      </c>
      <c r="AS196" s="147">
        <v>0</v>
      </c>
      <c r="AT196" s="148">
        <v>15.850000000000001</v>
      </c>
      <c r="AU196" s="149">
        <v>5.0620499999999993</v>
      </c>
      <c r="AV196" s="146">
        <f t="shared" si="86"/>
        <v>31.937223974763402</v>
      </c>
      <c r="AW196" s="146">
        <f t="shared" si="87"/>
        <v>68.062776025236602</v>
      </c>
      <c r="AX196" s="138" t="str">
        <f t="shared" si="88"/>
        <v/>
      </c>
      <c r="AY196" s="95">
        <v>74.45</v>
      </c>
      <c r="AZ196" s="96">
        <v>61.064999999999998</v>
      </c>
      <c r="BA196" s="96"/>
      <c r="BB196" s="96">
        <v>44</v>
      </c>
      <c r="BC196" s="96"/>
      <c r="BD196" s="97">
        <v>118.68</v>
      </c>
      <c r="BE196" s="142">
        <f t="shared" si="89"/>
        <v>5956</v>
      </c>
      <c r="BF196" s="98">
        <v>0</v>
      </c>
      <c r="BG196" s="98">
        <v>0</v>
      </c>
      <c r="BH196" s="98">
        <v>0</v>
      </c>
      <c r="BI196" s="98">
        <v>5956</v>
      </c>
      <c r="BJ196" s="98"/>
      <c r="BK196" s="98"/>
      <c r="BL196" s="98"/>
    </row>
    <row r="197" spans="1:64" outlineLevel="5" x14ac:dyDescent="0.3">
      <c r="A197" s="152">
        <f t="shared" si="75"/>
        <v>6</v>
      </c>
      <c r="B197" s="153">
        <f t="shared" si="74"/>
        <v>44721</v>
      </c>
      <c r="C197" s="138">
        <f t="shared" si="80"/>
        <v>36</v>
      </c>
      <c r="D197" s="84">
        <v>36</v>
      </c>
      <c r="E197" s="84">
        <v>36</v>
      </c>
      <c r="F197" s="84"/>
      <c r="G197" s="84"/>
      <c r="H197" s="84"/>
      <c r="I197" s="84"/>
      <c r="J197" s="84"/>
      <c r="K197" s="84"/>
      <c r="L197" s="140">
        <f t="shared" si="81"/>
        <v>7.9</v>
      </c>
      <c r="M197" s="86">
        <v>7.95</v>
      </c>
      <c r="N197" s="86">
        <v>7.82</v>
      </c>
      <c r="O197" s="86"/>
      <c r="P197" s="86"/>
      <c r="Q197" s="86"/>
      <c r="R197" s="86"/>
      <c r="S197" s="86"/>
      <c r="T197" s="86"/>
      <c r="U197" s="142">
        <f t="shared" si="82"/>
        <v>1683.5</v>
      </c>
      <c r="V197" s="88">
        <v>1765</v>
      </c>
      <c r="W197" s="88">
        <v>1602</v>
      </c>
      <c r="X197" s="88"/>
      <c r="Y197" s="88"/>
      <c r="Z197" s="88"/>
      <c r="AA197" s="88"/>
      <c r="AB197" s="88"/>
      <c r="AC197" s="88"/>
      <c r="AD197" s="142" t="str">
        <f t="shared" si="83"/>
        <v/>
      </c>
      <c r="AE197" s="88"/>
      <c r="AF197" s="88"/>
      <c r="AG197" s="88"/>
      <c r="AH197" s="88"/>
      <c r="AI197" s="88"/>
      <c r="AJ197" s="88"/>
      <c r="AK197" s="88"/>
      <c r="AL197" s="88"/>
      <c r="AM197" s="88">
        <v>44.726618023310905</v>
      </c>
      <c r="AN197" s="88">
        <v>105.53</v>
      </c>
      <c r="AO197" s="89"/>
      <c r="AP197" s="90"/>
      <c r="AQ197" s="146" t="str">
        <f t="shared" si="84"/>
        <v/>
      </c>
      <c r="AR197" s="146" t="str">
        <f t="shared" si="85"/>
        <v/>
      </c>
      <c r="AS197" s="147">
        <v>0</v>
      </c>
      <c r="AT197" s="148">
        <v>14.85</v>
      </c>
      <c r="AU197" s="149">
        <v>8.5807500000000001</v>
      </c>
      <c r="AV197" s="146">
        <f t="shared" si="86"/>
        <v>57.782828282828277</v>
      </c>
      <c r="AW197" s="146">
        <f t="shared" si="87"/>
        <v>42.217171717171723</v>
      </c>
      <c r="AX197" s="138" t="str">
        <f t="shared" si="88"/>
        <v/>
      </c>
      <c r="AY197" s="95">
        <v>72.650000000000006</v>
      </c>
      <c r="AZ197" s="96">
        <v>62.394999999999996</v>
      </c>
      <c r="BA197" s="96"/>
      <c r="BB197" s="96">
        <v>34</v>
      </c>
      <c r="BC197" s="96"/>
      <c r="BD197" s="97">
        <v>105.53</v>
      </c>
      <c r="BE197" s="142">
        <f t="shared" si="89"/>
        <v>5890</v>
      </c>
      <c r="BF197" s="98">
        <v>0</v>
      </c>
      <c r="BG197" s="98">
        <v>0</v>
      </c>
      <c r="BH197" s="98">
        <v>0</v>
      </c>
      <c r="BI197" s="98">
        <v>5890</v>
      </c>
      <c r="BJ197" s="98"/>
      <c r="BK197" s="98"/>
      <c r="BL197" s="98"/>
    </row>
    <row r="198" spans="1:64" outlineLevel="5" x14ac:dyDescent="0.3">
      <c r="A198" s="152">
        <f t="shared" si="75"/>
        <v>6</v>
      </c>
      <c r="B198" s="153">
        <f t="shared" si="74"/>
        <v>44722</v>
      </c>
      <c r="C198" s="138">
        <f t="shared" si="80"/>
        <v>36</v>
      </c>
      <c r="D198" s="84">
        <v>36</v>
      </c>
      <c r="E198" s="84">
        <v>36</v>
      </c>
      <c r="F198" s="84"/>
      <c r="G198" s="84"/>
      <c r="H198" s="84"/>
      <c r="I198" s="84"/>
      <c r="J198" s="84"/>
      <c r="K198" s="84"/>
      <c r="L198" s="140">
        <f t="shared" si="81"/>
        <v>7.8</v>
      </c>
      <c r="M198" s="86">
        <v>7.89</v>
      </c>
      <c r="N198" s="86">
        <v>7.8</v>
      </c>
      <c r="O198" s="86"/>
      <c r="P198" s="86"/>
      <c r="Q198" s="86"/>
      <c r="R198" s="86"/>
      <c r="S198" s="86"/>
      <c r="T198" s="86"/>
      <c r="U198" s="142">
        <f t="shared" si="82"/>
        <v>1609</v>
      </c>
      <c r="V198" s="88">
        <v>1698</v>
      </c>
      <c r="W198" s="88">
        <v>1520</v>
      </c>
      <c r="X198" s="88"/>
      <c r="Y198" s="88"/>
      <c r="Z198" s="88"/>
      <c r="AA198" s="88"/>
      <c r="AB198" s="88"/>
      <c r="AC198" s="88"/>
      <c r="AD198" s="142" t="str">
        <f t="shared" si="83"/>
        <v/>
      </c>
      <c r="AE198" s="88"/>
      <c r="AF198" s="88"/>
      <c r="AG198" s="88"/>
      <c r="AH198" s="88"/>
      <c r="AI198" s="88"/>
      <c r="AJ198" s="88"/>
      <c r="AK198" s="88"/>
      <c r="AL198" s="88"/>
      <c r="AM198" s="88">
        <v>43.061764437551318</v>
      </c>
      <c r="AN198" s="88">
        <v>109.61</v>
      </c>
      <c r="AO198" s="89"/>
      <c r="AP198" s="90"/>
      <c r="AQ198" s="146" t="str">
        <f t="shared" si="84"/>
        <v/>
      </c>
      <c r="AR198" s="146" t="str">
        <f t="shared" si="85"/>
        <v/>
      </c>
      <c r="AS198" s="147">
        <v>0</v>
      </c>
      <c r="AT198" s="148" t="s">
        <v>106</v>
      </c>
      <c r="AU198" s="149" t="s">
        <v>56</v>
      </c>
      <c r="AV198" s="146" t="str">
        <f t="shared" si="86"/>
        <v/>
      </c>
      <c r="AW198" s="146" t="str">
        <f t="shared" si="87"/>
        <v/>
      </c>
      <c r="AX198" s="138" t="str">
        <f t="shared" si="88"/>
        <v/>
      </c>
      <c r="AY198" s="95" t="s">
        <v>56</v>
      </c>
      <c r="AZ198" s="96">
        <v>63.695</v>
      </c>
      <c r="BA198" s="96"/>
      <c r="BB198" s="96">
        <v>30</v>
      </c>
      <c r="BC198" s="96"/>
      <c r="BD198" s="97">
        <v>109.61</v>
      </c>
      <c r="BE198" s="142">
        <f t="shared" si="89"/>
        <v>4874</v>
      </c>
      <c r="BF198" s="98">
        <v>0</v>
      </c>
      <c r="BG198" s="98">
        <v>0</v>
      </c>
      <c r="BH198" s="98">
        <v>0</v>
      </c>
      <c r="BI198" s="98">
        <v>4874</v>
      </c>
      <c r="BJ198" s="98"/>
      <c r="BK198" s="98"/>
      <c r="BL198" s="98"/>
    </row>
    <row r="199" spans="1:64" outlineLevel="5" x14ac:dyDescent="0.3">
      <c r="A199" s="152">
        <f t="shared" si="75"/>
        <v>6</v>
      </c>
      <c r="B199" s="153">
        <f t="shared" si="74"/>
        <v>44723</v>
      </c>
      <c r="C199" s="138">
        <f t="shared" si="80"/>
        <v>36</v>
      </c>
      <c r="D199" s="84">
        <v>36</v>
      </c>
      <c r="E199" s="84">
        <v>36</v>
      </c>
      <c r="F199" s="84"/>
      <c r="G199" s="84"/>
      <c r="H199" s="84"/>
      <c r="I199" s="84"/>
      <c r="J199" s="84"/>
      <c r="K199" s="84"/>
      <c r="L199" s="140" t="str">
        <f t="shared" si="81"/>
        <v/>
      </c>
      <c r="M199" s="86"/>
      <c r="N199" s="86"/>
      <c r="O199" s="86"/>
      <c r="P199" s="86"/>
      <c r="Q199" s="86"/>
      <c r="R199" s="86"/>
      <c r="S199" s="86"/>
      <c r="T199" s="86"/>
      <c r="U199" s="142" t="str">
        <f t="shared" si="82"/>
        <v/>
      </c>
      <c r="V199" s="88"/>
      <c r="W199" s="88"/>
      <c r="X199" s="88"/>
      <c r="Y199" s="88"/>
      <c r="Z199" s="88"/>
      <c r="AA199" s="88"/>
      <c r="AB199" s="88"/>
      <c r="AC199" s="88"/>
      <c r="AD199" s="142" t="str">
        <f t="shared" si="83"/>
        <v/>
      </c>
      <c r="AE199" s="88"/>
      <c r="AF199" s="88"/>
      <c r="AG199" s="88"/>
      <c r="AH199" s="88"/>
      <c r="AI199" s="88"/>
      <c r="AJ199" s="88"/>
      <c r="AK199" s="88"/>
      <c r="AL199" s="88"/>
      <c r="AM199" s="88">
        <v>47.190561887622472</v>
      </c>
      <c r="AN199" s="88">
        <v>100.02000000000001</v>
      </c>
      <c r="AO199" s="89"/>
      <c r="AP199" s="90"/>
      <c r="AQ199" s="146" t="str">
        <f t="shared" si="84"/>
        <v/>
      </c>
      <c r="AR199" s="146" t="str">
        <f t="shared" si="85"/>
        <v/>
      </c>
      <c r="AS199" s="147">
        <v>0</v>
      </c>
      <c r="AT199" s="148" t="s">
        <v>106</v>
      </c>
      <c r="AU199" s="149" t="s">
        <v>56</v>
      </c>
      <c r="AV199" s="146" t="str">
        <f t="shared" si="86"/>
        <v/>
      </c>
      <c r="AW199" s="146" t="str">
        <f t="shared" si="87"/>
        <v/>
      </c>
      <c r="AX199" s="138" t="str">
        <f t="shared" si="88"/>
        <v/>
      </c>
      <c r="AY199" s="95" t="s">
        <v>56</v>
      </c>
      <c r="AZ199" s="96" t="s">
        <v>56</v>
      </c>
      <c r="BA199" s="96"/>
      <c r="BB199" s="96" t="s">
        <v>56</v>
      </c>
      <c r="BC199" s="96"/>
      <c r="BD199" s="97">
        <v>100.02000000000001</v>
      </c>
      <c r="BE199" s="142">
        <f t="shared" si="89"/>
        <v>3804</v>
      </c>
      <c r="BF199" s="98">
        <v>0</v>
      </c>
      <c r="BG199" s="98">
        <v>0</v>
      </c>
      <c r="BH199" s="98">
        <v>0</v>
      </c>
      <c r="BI199" s="98">
        <v>3804</v>
      </c>
      <c r="BJ199" s="98"/>
      <c r="BK199" s="98"/>
      <c r="BL199" s="98"/>
    </row>
    <row r="200" spans="1:64" outlineLevel="5" x14ac:dyDescent="0.3">
      <c r="A200" s="152">
        <f t="shared" si="75"/>
        <v>6</v>
      </c>
      <c r="B200" s="153">
        <f t="shared" si="74"/>
        <v>44724</v>
      </c>
      <c r="C200" s="138">
        <f t="shared" si="80"/>
        <v>36</v>
      </c>
      <c r="D200" s="84">
        <v>36</v>
      </c>
      <c r="E200" s="84">
        <v>36</v>
      </c>
      <c r="F200" s="84"/>
      <c r="G200" s="84"/>
      <c r="H200" s="84"/>
      <c r="I200" s="84"/>
      <c r="J200" s="84"/>
      <c r="K200" s="84"/>
      <c r="L200" s="140" t="str">
        <f t="shared" si="81"/>
        <v/>
      </c>
      <c r="M200" s="86"/>
      <c r="N200" s="86"/>
      <c r="O200" s="86"/>
      <c r="P200" s="86"/>
      <c r="Q200" s="86"/>
      <c r="R200" s="86"/>
      <c r="S200" s="86"/>
      <c r="T200" s="86"/>
      <c r="U200" s="142" t="str">
        <f t="shared" si="82"/>
        <v/>
      </c>
      <c r="V200" s="88"/>
      <c r="W200" s="88"/>
      <c r="X200" s="88"/>
      <c r="Y200" s="88"/>
      <c r="Z200" s="88"/>
      <c r="AA200" s="88"/>
      <c r="AB200" s="88"/>
      <c r="AC200" s="88"/>
      <c r="AD200" s="142" t="str">
        <f t="shared" si="83"/>
        <v/>
      </c>
      <c r="AE200" s="88"/>
      <c r="AF200" s="88"/>
      <c r="AG200" s="88"/>
      <c r="AH200" s="88"/>
      <c r="AI200" s="88"/>
      <c r="AJ200" s="88"/>
      <c r="AK200" s="88"/>
      <c r="AL200" s="88"/>
      <c r="AM200" s="88">
        <v>59</v>
      </c>
      <c r="AN200" s="88">
        <v>80</v>
      </c>
      <c r="AO200" s="89"/>
      <c r="AP200" s="90"/>
      <c r="AQ200" s="146" t="str">
        <f t="shared" si="84"/>
        <v/>
      </c>
      <c r="AR200" s="146" t="str">
        <f t="shared" si="85"/>
        <v/>
      </c>
      <c r="AS200" s="147">
        <v>0</v>
      </c>
      <c r="AT200" s="148" t="s">
        <v>106</v>
      </c>
      <c r="AU200" s="149" t="s">
        <v>56</v>
      </c>
      <c r="AV200" s="146" t="str">
        <f t="shared" si="86"/>
        <v/>
      </c>
      <c r="AW200" s="146" t="str">
        <f t="shared" si="87"/>
        <v/>
      </c>
      <c r="AX200" s="138" t="str">
        <f t="shared" si="88"/>
        <v/>
      </c>
      <c r="AY200" s="95" t="s">
        <v>56</v>
      </c>
      <c r="AZ200" s="96" t="s">
        <v>56</v>
      </c>
      <c r="BA200" s="96"/>
      <c r="BB200" s="96" t="s">
        <v>56</v>
      </c>
      <c r="BC200" s="96"/>
      <c r="BD200" s="97">
        <v>80</v>
      </c>
      <c r="BE200" s="142">
        <f t="shared" si="89"/>
        <v>1268</v>
      </c>
      <c r="BF200" s="98">
        <v>0</v>
      </c>
      <c r="BG200" s="98">
        <v>0</v>
      </c>
      <c r="BH200" s="98">
        <v>2</v>
      </c>
      <c r="BI200" s="98">
        <v>1266</v>
      </c>
      <c r="BJ200" s="98"/>
      <c r="BK200" s="98"/>
      <c r="BL200" s="98"/>
    </row>
    <row r="201" spans="1:64" outlineLevel="5" x14ac:dyDescent="0.3">
      <c r="A201" s="152">
        <f t="shared" si="75"/>
        <v>6</v>
      </c>
      <c r="B201" s="153">
        <f t="shared" si="74"/>
        <v>44725</v>
      </c>
      <c r="C201" s="138">
        <f t="shared" si="80"/>
        <v>35</v>
      </c>
      <c r="D201" s="84">
        <v>35</v>
      </c>
      <c r="E201" s="84">
        <v>35</v>
      </c>
      <c r="F201" s="84"/>
      <c r="G201" s="84"/>
      <c r="H201" s="84"/>
      <c r="I201" s="84"/>
      <c r="J201" s="84"/>
      <c r="K201" s="84"/>
      <c r="L201" s="140">
        <f t="shared" si="81"/>
        <v>7.9</v>
      </c>
      <c r="M201" s="86">
        <v>7.97</v>
      </c>
      <c r="N201" s="86">
        <v>7.82</v>
      </c>
      <c r="O201" s="86"/>
      <c r="P201" s="86"/>
      <c r="Q201" s="86"/>
      <c r="R201" s="86"/>
      <c r="S201" s="86"/>
      <c r="T201" s="86"/>
      <c r="U201" s="142">
        <f t="shared" si="82"/>
        <v>1637.5</v>
      </c>
      <c r="V201" s="88">
        <v>1745</v>
      </c>
      <c r="W201" s="88">
        <v>1530</v>
      </c>
      <c r="X201" s="88"/>
      <c r="Y201" s="88"/>
      <c r="Z201" s="88"/>
      <c r="AA201" s="88"/>
      <c r="AB201" s="88"/>
      <c r="AC201" s="88"/>
      <c r="AD201" s="142" t="str">
        <f t="shared" si="83"/>
        <v/>
      </c>
      <c r="AE201" s="88"/>
      <c r="AF201" s="88"/>
      <c r="AG201" s="88"/>
      <c r="AH201" s="88"/>
      <c r="AI201" s="88"/>
      <c r="AJ201" s="88"/>
      <c r="AK201" s="88"/>
      <c r="AL201" s="88"/>
      <c r="AM201" s="88">
        <v>48.88152444076222</v>
      </c>
      <c r="AN201" s="88">
        <v>96.56</v>
      </c>
      <c r="AO201" s="89">
        <v>33.700000000000003</v>
      </c>
      <c r="AP201" s="90">
        <v>29.015700000000002</v>
      </c>
      <c r="AQ201" s="146">
        <f t="shared" si="84"/>
        <v>86.1</v>
      </c>
      <c r="AR201" s="146">
        <f t="shared" si="85"/>
        <v>13.900000000000006</v>
      </c>
      <c r="AS201" s="147">
        <v>0</v>
      </c>
      <c r="AT201" s="148">
        <v>14.35</v>
      </c>
      <c r="AU201" s="149">
        <v>8.7450499999999991</v>
      </c>
      <c r="AV201" s="146">
        <f t="shared" si="86"/>
        <v>60.941114982578391</v>
      </c>
      <c r="AW201" s="146">
        <f t="shared" si="87"/>
        <v>39.058885017421609</v>
      </c>
      <c r="AX201" s="138">
        <f t="shared" si="88"/>
        <v>74.811505952838118</v>
      </c>
      <c r="AY201" s="95">
        <v>76.150000000000006</v>
      </c>
      <c r="AZ201" s="96">
        <v>66.155000000000001</v>
      </c>
      <c r="BA201" s="96"/>
      <c r="BB201" s="96">
        <v>31</v>
      </c>
      <c r="BC201" s="96"/>
      <c r="BD201" s="97">
        <v>96.56</v>
      </c>
      <c r="BE201" s="142">
        <f t="shared" si="89"/>
        <v>3694</v>
      </c>
      <c r="BF201" s="98">
        <v>0</v>
      </c>
      <c r="BG201" s="98">
        <v>0</v>
      </c>
      <c r="BH201" s="98">
        <v>1</v>
      </c>
      <c r="BI201" s="98">
        <v>3693</v>
      </c>
      <c r="BJ201" s="98"/>
      <c r="BK201" s="98"/>
      <c r="BL201" s="98"/>
    </row>
    <row r="202" spans="1:64" outlineLevel="5" x14ac:dyDescent="0.3">
      <c r="A202" s="152">
        <f t="shared" si="75"/>
        <v>6</v>
      </c>
      <c r="B202" s="153">
        <f t="shared" si="74"/>
        <v>44726</v>
      </c>
      <c r="C202" s="138">
        <f t="shared" si="80"/>
        <v>35</v>
      </c>
      <c r="D202" s="84">
        <v>35</v>
      </c>
      <c r="E202" s="84">
        <v>35</v>
      </c>
      <c r="F202" s="84"/>
      <c r="G202" s="84"/>
      <c r="H202" s="84"/>
      <c r="I202" s="84"/>
      <c r="J202" s="84"/>
      <c r="K202" s="84"/>
      <c r="L202" s="140">
        <f t="shared" si="81"/>
        <v>7.9</v>
      </c>
      <c r="M202" s="86">
        <v>7.92</v>
      </c>
      <c r="N202" s="86">
        <v>7.86</v>
      </c>
      <c r="O202" s="86"/>
      <c r="P202" s="86"/>
      <c r="Q202" s="86"/>
      <c r="R202" s="86"/>
      <c r="S202" s="86"/>
      <c r="T202" s="86"/>
      <c r="U202" s="142">
        <f t="shared" si="82"/>
        <v>1653.5</v>
      </c>
      <c r="V202" s="88">
        <v>1715</v>
      </c>
      <c r="W202" s="88">
        <v>1592</v>
      </c>
      <c r="X202" s="88"/>
      <c r="Y202" s="88"/>
      <c r="Z202" s="88"/>
      <c r="AA202" s="88"/>
      <c r="AB202" s="88"/>
      <c r="AC202" s="88"/>
      <c r="AD202" s="142" t="str">
        <f t="shared" si="83"/>
        <v/>
      </c>
      <c r="AE202" s="88"/>
      <c r="AF202" s="88"/>
      <c r="AG202" s="88"/>
      <c r="AH202" s="88"/>
      <c r="AI202" s="88"/>
      <c r="AJ202" s="88"/>
      <c r="AK202" s="88"/>
      <c r="AL202" s="88"/>
      <c r="AM202" s="88">
        <v>47.27090635953931</v>
      </c>
      <c r="AN202" s="88">
        <v>99.85</v>
      </c>
      <c r="AO202" s="89"/>
      <c r="AP202" s="90"/>
      <c r="AQ202" s="146" t="str">
        <f t="shared" si="84"/>
        <v/>
      </c>
      <c r="AR202" s="146" t="str">
        <f t="shared" si="85"/>
        <v/>
      </c>
      <c r="AS202" s="147">
        <v>0</v>
      </c>
      <c r="AT202" s="148" t="s">
        <v>106</v>
      </c>
      <c r="AU202" s="149" t="s">
        <v>56</v>
      </c>
      <c r="AV202" s="146" t="str">
        <f t="shared" si="86"/>
        <v/>
      </c>
      <c r="AW202" s="146" t="str">
        <f t="shared" si="87"/>
        <v/>
      </c>
      <c r="AX202" s="138" t="str">
        <f t="shared" si="88"/>
        <v/>
      </c>
      <c r="AY202" s="95" t="s">
        <v>56</v>
      </c>
      <c r="AZ202" s="96">
        <v>66.09</v>
      </c>
      <c r="BA202" s="96"/>
      <c r="BB202" s="96">
        <v>37.5</v>
      </c>
      <c r="BC202" s="96"/>
      <c r="BD202" s="97">
        <v>99.85</v>
      </c>
      <c r="BE202" s="142">
        <f t="shared" si="89"/>
        <v>5732</v>
      </c>
      <c r="BF202" s="98">
        <v>0</v>
      </c>
      <c r="BG202" s="98">
        <v>0</v>
      </c>
      <c r="BH202" s="98">
        <v>0</v>
      </c>
      <c r="BI202" s="98">
        <v>5732</v>
      </c>
      <c r="BJ202" s="98"/>
      <c r="BK202" s="98"/>
      <c r="BL202" s="98"/>
    </row>
    <row r="203" spans="1:64" outlineLevel="5" x14ac:dyDescent="0.3">
      <c r="A203" s="152">
        <f t="shared" si="75"/>
        <v>6</v>
      </c>
      <c r="B203" s="153">
        <f t="shared" si="74"/>
        <v>44727</v>
      </c>
      <c r="C203" s="138">
        <f t="shared" si="80"/>
        <v>34.5</v>
      </c>
      <c r="D203" s="84">
        <v>35</v>
      </c>
      <c r="E203" s="84">
        <v>34</v>
      </c>
      <c r="F203" s="84"/>
      <c r="G203" s="84"/>
      <c r="H203" s="84"/>
      <c r="I203" s="84"/>
      <c r="J203" s="84"/>
      <c r="K203" s="84"/>
      <c r="L203" s="140">
        <f t="shared" si="81"/>
        <v>7.9</v>
      </c>
      <c r="M203" s="86">
        <v>7.93</v>
      </c>
      <c r="N203" s="86">
        <v>7.81</v>
      </c>
      <c r="O203" s="86"/>
      <c r="P203" s="86"/>
      <c r="Q203" s="86"/>
      <c r="R203" s="86"/>
      <c r="S203" s="86"/>
      <c r="T203" s="86"/>
      <c r="U203" s="142">
        <f t="shared" si="82"/>
        <v>1659</v>
      </c>
      <c r="V203" s="88">
        <v>1715</v>
      </c>
      <c r="W203" s="88">
        <v>1603</v>
      </c>
      <c r="X203" s="88"/>
      <c r="Y203" s="88"/>
      <c r="Z203" s="88"/>
      <c r="AA203" s="88"/>
      <c r="AB203" s="88"/>
      <c r="AC203" s="88"/>
      <c r="AD203" s="142">
        <f t="shared" si="83"/>
        <v>7905</v>
      </c>
      <c r="AE203" s="88">
        <v>7950</v>
      </c>
      <c r="AF203" s="88">
        <v>7860</v>
      </c>
      <c r="AG203" s="88"/>
      <c r="AH203" s="88"/>
      <c r="AI203" s="88"/>
      <c r="AJ203" s="88"/>
      <c r="AK203" s="88"/>
      <c r="AL203" s="88"/>
      <c r="AM203" s="88">
        <v>57.032382793620101</v>
      </c>
      <c r="AN203" s="88">
        <v>82.76</v>
      </c>
      <c r="AO203" s="89"/>
      <c r="AP203" s="90"/>
      <c r="AQ203" s="146" t="str">
        <f t="shared" si="84"/>
        <v/>
      </c>
      <c r="AR203" s="146" t="str">
        <f t="shared" si="85"/>
        <v/>
      </c>
      <c r="AS203" s="147">
        <v>0</v>
      </c>
      <c r="AT203" s="148">
        <v>14.4</v>
      </c>
      <c r="AU203" s="149">
        <v>8.2523499999999999</v>
      </c>
      <c r="AV203" s="146">
        <f t="shared" si="86"/>
        <v>57.307986111111106</v>
      </c>
      <c r="AW203" s="146">
        <f t="shared" si="87"/>
        <v>42.692013888888894</v>
      </c>
      <c r="AX203" s="138" t="str">
        <f t="shared" si="88"/>
        <v/>
      </c>
      <c r="AY203" s="95">
        <v>76.150000000000006</v>
      </c>
      <c r="AZ203" s="96">
        <v>60.01</v>
      </c>
      <c r="BA203" s="96"/>
      <c r="BB203" s="96">
        <v>50.5</v>
      </c>
      <c r="BC203" s="96"/>
      <c r="BD203" s="97">
        <v>82.76</v>
      </c>
      <c r="BE203" s="142">
        <f t="shared" si="89"/>
        <v>6078</v>
      </c>
      <c r="BF203" s="98">
        <v>0</v>
      </c>
      <c r="BG203" s="98">
        <v>0</v>
      </c>
      <c r="BH203" s="98">
        <v>0</v>
      </c>
      <c r="BI203" s="98">
        <v>6078</v>
      </c>
      <c r="BJ203" s="98"/>
      <c r="BK203" s="98"/>
      <c r="BL203" s="98"/>
    </row>
    <row r="204" spans="1:64" outlineLevel="5" x14ac:dyDescent="0.3">
      <c r="A204" s="152">
        <f t="shared" si="75"/>
        <v>6</v>
      </c>
      <c r="B204" s="153">
        <f t="shared" si="74"/>
        <v>44728</v>
      </c>
      <c r="C204" s="138">
        <f t="shared" si="80"/>
        <v>35.5</v>
      </c>
      <c r="D204" s="84">
        <v>36</v>
      </c>
      <c r="E204" s="84">
        <v>35</v>
      </c>
      <c r="F204" s="84"/>
      <c r="G204" s="84"/>
      <c r="H204" s="84"/>
      <c r="I204" s="84"/>
      <c r="J204" s="84"/>
      <c r="K204" s="84"/>
      <c r="L204" s="140">
        <f t="shared" si="81"/>
        <v>7.9</v>
      </c>
      <c r="M204" s="86">
        <v>7.9</v>
      </c>
      <c r="N204" s="86">
        <v>7.83</v>
      </c>
      <c r="O204" s="86"/>
      <c r="P204" s="86"/>
      <c r="Q204" s="86"/>
      <c r="R204" s="86"/>
      <c r="S204" s="86"/>
      <c r="T204" s="86"/>
      <c r="U204" s="142">
        <f t="shared" si="82"/>
        <v>2195</v>
      </c>
      <c r="V204" s="88">
        <v>2300</v>
      </c>
      <c r="W204" s="88">
        <v>2090</v>
      </c>
      <c r="X204" s="88"/>
      <c r="Y204" s="88"/>
      <c r="Z204" s="88"/>
      <c r="AA204" s="88"/>
      <c r="AB204" s="88"/>
      <c r="AC204" s="88"/>
      <c r="AD204" s="142" t="str">
        <f t="shared" si="83"/>
        <v/>
      </c>
      <c r="AE204" s="88"/>
      <c r="AF204" s="88"/>
      <c r="AG204" s="88"/>
      <c r="AH204" s="88"/>
      <c r="AI204" s="88"/>
      <c r="AJ204" s="88"/>
      <c r="AK204" s="88"/>
      <c r="AL204" s="88"/>
      <c r="AM204" s="88">
        <v>52.068394925537781</v>
      </c>
      <c r="AN204" s="88">
        <v>90.65</v>
      </c>
      <c r="AO204" s="89"/>
      <c r="AP204" s="90"/>
      <c r="AQ204" s="146" t="str">
        <f t="shared" si="84"/>
        <v/>
      </c>
      <c r="AR204" s="146" t="str">
        <f t="shared" si="85"/>
        <v/>
      </c>
      <c r="AS204" s="147">
        <v>0</v>
      </c>
      <c r="AT204" s="148">
        <v>15.8</v>
      </c>
      <c r="AU204" s="149">
        <v>10.0304</v>
      </c>
      <c r="AV204" s="146">
        <f t="shared" si="86"/>
        <v>63.483544303797466</v>
      </c>
      <c r="AW204" s="146">
        <f t="shared" si="87"/>
        <v>36.516455696202534</v>
      </c>
      <c r="AX204" s="138" t="str">
        <f t="shared" si="88"/>
        <v/>
      </c>
      <c r="AY204" s="95">
        <v>74.55</v>
      </c>
      <c r="AZ204" s="96">
        <v>61.924999999999997</v>
      </c>
      <c r="BA204" s="96"/>
      <c r="BB204" s="96">
        <v>45</v>
      </c>
      <c r="BC204" s="96"/>
      <c r="BD204" s="97">
        <v>90.65</v>
      </c>
      <c r="BE204" s="142">
        <f t="shared" si="89"/>
        <v>6352</v>
      </c>
      <c r="BF204" s="98">
        <v>42</v>
      </c>
      <c r="BG204" s="98">
        <v>0</v>
      </c>
      <c r="BH204" s="98">
        <v>0</v>
      </c>
      <c r="BI204" s="98">
        <v>6310</v>
      </c>
      <c r="BJ204" s="98"/>
      <c r="BK204" s="98"/>
      <c r="BL204" s="98"/>
    </row>
    <row r="205" spans="1:64" outlineLevel="5" x14ac:dyDescent="0.3">
      <c r="A205" s="152">
        <f t="shared" si="75"/>
        <v>6</v>
      </c>
      <c r="B205" s="153">
        <f t="shared" si="74"/>
        <v>44729</v>
      </c>
      <c r="C205" s="138">
        <f t="shared" si="80"/>
        <v>36</v>
      </c>
      <c r="D205" s="84">
        <v>36</v>
      </c>
      <c r="E205" s="84">
        <v>36</v>
      </c>
      <c r="F205" s="84"/>
      <c r="G205" s="84"/>
      <c r="H205" s="84"/>
      <c r="I205" s="84"/>
      <c r="J205" s="84"/>
      <c r="K205" s="84"/>
      <c r="L205" s="140" t="str">
        <f t="shared" si="81"/>
        <v/>
      </c>
      <c r="M205" s="86"/>
      <c r="N205" s="86"/>
      <c r="O205" s="86"/>
      <c r="P205" s="86"/>
      <c r="Q205" s="86"/>
      <c r="R205" s="86"/>
      <c r="S205" s="86"/>
      <c r="T205" s="86"/>
      <c r="U205" s="142" t="str">
        <f t="shared" si="82"/>
        <v/>
      </c>
      <c r="V205" s="88"/>
      <c r="W205" s="88"/>
      <c r="X205" s="88"/>
      <c r="Y205" s="88"/>
      <c r="Z205" s="88"/>
      <c r="AA205" s="88"/>
      <c r="AB205" s="88"/>
      <c r="AC205" s="88"/>
      <c r="AD205" s="142" t="str">
        <f t="shared" si="83"/>
        <v/>
      </c>
      <c r="AE205" s="88"/>
      <c r="AF205" s="88"/>
      <c r="AG205" s="88"/>
      <c r="AH205" s="88"/>
      <c r="AI205" s="88"/>
      <c r="AJ205" s="88"/>
      <c r="AK205" s="88"/>
      <c r="AL205" s="88"/>
      <c r="AM205" s="88">
        <v>37.684630738522955</v>
      </c>
      <c r="AN205" s="88">
        <v>125.25</v>
      </c>
      <c r="AO205" s="89"/>
      <c r="AP205" s="90"/>
      <c r="AQ205" s="146" t="str">
        <f t="shared" si="84"/>
        <v/>
      </c>
      <c r="AR205" s="146" t="str">
        <f t="shared" si="85"/>
        <v/>
      </c>
      <c r="AS205" s="147">
        <v>0</v>
      </c>
      <c r="AT205" s="148" t="s">
        <v>106</v>
      </c>
      <c r="AU205" s="149" t="s">
        <v>56</v>
      </c>
      <c r="AV205" s="146" t="str">
        <f t="shared" si="86"/>
        <v/>
      </c>
      <c r="AW205" s="146" t="str">
        <f t="shared" si="87"/>
        <v/>
      </c>
      <c r="AX205" s="138" t="str">
        <f t="shared" si="88"/>
        <v/>
      </c>
      <c r="AY205" s="95" t="s">
        <v>56</v>
      </c>
      <c r="AZ205" s="96">
        <v>60.67</v>
      </c>
      <c r="BA205" s="96"/>
      <c r="BB205" s="96">
        <v>44</v>
      </c>
      <c r="BC205" s="96"/>
      <c r="BD205" s="97">
        <v>125.25</v>
      </c>
      <c r="BE205" s="142">
        <f t="shared" si="89"/>
        <v>6556</v>
      </c>
      <c r="BF205" s="98">
        <v>3</v>
      </c>
      <c r="BG205" s="98">
        <v>0</v>
      </c>
      <c r="BH205" s="98">
        <v>0</v>
      </c>
      <c r="BI205" s="98">
        <v>6553</v>
      </c>
      <c r="BJ205" s="98"/>
      <c r="BK205" s="98"/>
      <c r="BL205" s="98"/>
    </row>
    <row r="206" spans="1:64" outlineLevel="5" x14ac:dyDescent="0.3">
      <c r="A206" s="152">
        <f t="shared" si="75"/>
        <v>6</v>
      </c>
      <c r="B206" s="153">
        <f t="shared" si="74"/>
        <v>44730</v>
      </c>
      <c r="C206" s="138">
        <f t="shared" si="80"/>
        <v>36</v>
      </c>
      <c r="D206" s="84">
        <v>36</v>
      </c>
      <c r="E206" s="84">
        <v>36</v>
      </c>
      <c r="F206" s="84"/>
      <c r="G206" s="84"/>
      <c r="H206" s="84"/>
      <c r="I206" s="84"/>
      <c r="J206" s="84"/>
      <c r="K206" s="84"/>
      <c r="L206" s="140" t="str">
        <f t="shared" si="81"/>
        <v/>
      </c>
      <c r="M206" s="86"/>
      <c r="N206" s="86"/>
      <c r="O206" s="86"/>
      <c r="P206" s="86"/>
      <c r="Q206" s="86"/>
      <c r="R206" s="86"/>
      <c r="S206" s="86"/>
      <c r="T206" s="86"/>
      <c r="U206" s="142" t="str">
        <f t="shared" si="82"/>
        <v/>
      </c>
      <c r="V206" s="88"/>
      <c r="W206" s="88"/>
      <c r="X206" s="88"/>
      <c r="Y206" s="88"/>
      <c r="Z206" s="88"/>
      <c r="AA206" s="88"/>
      <c r="AB206" s="88"/>
      <c r="AC206" s="88"/>
      <c r="AD206" s="142" t="str">
        <f t="shared" si="83"/>
        <v/>
      </c>
      <c r="AE206" s="88"/>
      <c r="AF206" s="88"/>
      <c r="AG206" s="88"/>
      <c r="AH206" s="88"/>
      <c r="AI206" s="88"/>
      <c r="AJ206" s="88"/>
      <c r="AK206" s="88"/>
      <c r="AL206" s="88"/>
      <c r="AM206" s="88">
        <v>35.234398327859068</v>
      </c>
      <c r="AN206" s="88">
        <v>133.95999999999998</v>
      </c>
      <c r="AO206" s="89"/>
      <c r="AP206" s="90"/>
      <c r="AQ206" s="146" t="str">
        <f t="shared" si="84"/>
        <v/>
      </c>
      <c r="AR206" s="146" t="str">
        <f t="shared" si="85"/>
        <v/>
      </c>
      <c r="AS206" s="147">
        <v>0</v>
      </c>
      <c r="AT206" s="148" t="s">
        <v>106</v>
      </c>
      <c r="AU206" s="149" t="s">
        <v>56</v>
      </c>
      <c r="AV206" s="146" t="str">
        <f t="shared" si="86"/>
        <v/>
      </c>
      <c r="AW206" s="146" t="str">
        <f t="shared" si="87"/>
        <v/>
      </c>
      <c r="AX206" s="138" t="str">
        <f t="shared" si="88"/>
        <v/>
      </c>
      <c r="AY206" s="95" t="s">
        <v>56</v>
      </c>
      <c r="AZ206" s="96" t="s">
        <v>56</v>
      </c>
      <c r="BA206" s="96"/>
      <c r="BB206" s="96" t="s">
        <v>56</v>
      </c>
      <c r="BC206" s="96"/>
      <c r="BD206" s="97">
        <v>133.95999999999998</v>
      </c>
      <c r="BE206" s="142">
        <f t="shared" si="89"/>
        <v>6333</v>
      </c>
      <c r="BF206" s="98">
        <v>3</v>
      </c>
      <c r="BG206" s="98">
        <v>0</v>
      </c>
      <c r="BH206" s="98">
        <v>0</v>
      </c>
      <c r="BI206" s="98">
        <v>6330</v>
      </c>
      <c r="BJ206" s="98"/>
      <c r="BK206" s="98"/>
      <c r="BL206" s="98"/>
    </row>
    <row r="207" spans="1:64" outlineLevel="5" x14ac:dyDescent="0.3">
      <c r="A207" s="152">
        <f t="shared" si="75"/>
        <v>6</v>
      </c>
      <c r="B207" s="153">
        <f t="shared" si="74"/>
        <v>44731</v>
      </c>
      <c r="C207" s="138">
        <f t="shared" si="80"/>
        <v>36</v>
      </c>
      <c r="D207" s="84">
        <v>36</v>
      </c>
      <c r="E207" s="84">
        <v>36</v>
      </c>
      <c r="F207" s="84"/>
      <c r="G207" s="84"/>
      <c r="H207" s="84"/>
      <c r="I207" s="84"/>
      <c r="J207" s="84"/>
      <c r="K207" s="84"/>
      <c r="L207" s="140" t="str">
        <f t="shared" si="81"/>
        <v/>
      </c>
      <c r="M207" s="86"/>
      <c r="N207" s="86"/>
      <c r="O207" s="86"/>
      <c r="P207" s="86"/>
      <c r="Q207" s="86"/>
      <c r="R207" s="86"/>
      <c r="S207" s="86"/>
      <c r="T207" s="86"/>
      <c r="U207" s="142" t="str">
        <f t="shared" si="82"/>
        <v/>
      </c>
      <c r="V207" s="88"/>
      <c r="W207" s="88"/>
      <c r="X207" s="88"/>
      <c r="Y207" s="88"/>
      <c r="Z207" s="88"/>
      <c r="AA207" s="88"/>
      <c r="AB207" s="88"/>
      <c r="AC207" s="88"/>
      <c r="AD207" s="142" t="str">
        <f t="shared" si="83"/>
        <v/>
      </c>
      <c r="AE207" s="88"/>
      <c r="AF207" s="88"/>
      <c r="AG207" s="88"/>
      <c r="AH207" s="88"/>
      <c r="AI207" s="88"/>
      <c r="AJ207" s="88"/>
      <c r="AK207" s="88"/>
      <c r="AL207" s="88"/>
      <c r="AM207" s="88">
        <v>36.307692307692307</v>
      </c>
      <c r="AN207" s="88">
        <v>130</v>
      </c>
      <c r="AO207" s="89"/>
      <c r="AP207" s="90"/>
      <c r="AQ207" s="146" t="str">
        <f t="shared" si="84"/>
        <v/>
      </c>
      <c r="AR207" s="146" t="str">
        <f t="shared" si="85"/>
        <v/>
      </c>
      <c r="AS207" s="147">
        <v>0</v>
      </c>
      <c r="AT207" s="148" t="s">
        <v>106</v>
      </c>
      <c r="AU207" s="149" t="s">
        <v>56</v>
      </c>
      <c r="AV207" s="146" t="str">
        <f t="shared" si="86"/>
        <v/>
      </c>
      <c r="AW207" s="146" t="str">
        <f t="shared" si="87"/>
        <v/>
      </c>
      <c r="AX207" s="138" t="str">
        <f t="shared" si="88"/>
        <v/>
      </c>
      <c r="AY207" s="95" t="s">
        <v>56</v>
      </c>
      <c r="AZ207" s="96" t="s">
        <v>56</v>
      </c>
      <c r="BA207" s="96"/>
      <c r="BB207" s="96" t="s">
        <v>56</v>
      </c>
      <c r="BC207" s="96"/>
      <c r="BD207" s="97">
        <v>130</v>
      </c>
      <c r="BE207" s="142">
        <f t="shared" si="89"/>
        <v>6123</v>
      </c>
      <c r="BF207" s="98">
        <v>0</v>
      </c>
      <c r="BG207" s="98">
        <v>0</v>
      </c>
      <c r="BH207" s="98">
        <v>0</v>
      </c>
      <c r="BI207" s="98">
        <v>6123</v>
      </c>
      <c r="BJ207" s="98"/>
      <c r="BK207" s="98"/>
      <c r="BL207" s="98"/>
    </row>
    <row r="208" spans="1:64" outlineLevel="5" x14ac:dyDescent="0.3">
      <c r="A208" s="152">
        <f t="shared" si="75"/>
        <v>6</v>
      </c>
      <c r="B208" s="153">
        <f t="shared" si="74"/>
        <v>44732</v>
      </c>
      <c r="C208" s="138">
        <f t="shared" si="80"/>
        <v>36</v>
      </c>
      <c r="D208" s="84">
        <v>36</v>
      </c>
      <c r="E208" s="84">
        <v>36</v>
      </c>
      <c r="F208" s="84"/>
      <c r="G208" s="84"/>
      <c r="H208" s="84"/>
      <c r="I208" s="84"/>
      <c r="J208" s="84"/>
      <c r="K208" s="84"/>
      <c r="L208" s="140">
        <f t="shared" si="81"/>
        <v>7.9</v>
      </c>
      <c r="M208" s="86">
        <v>7.93</v>
      </c>
      <c r="N208" s="86">
        <v>7.83</v>
      </c>
      <c r="O208" s="86"/>
      <c r="P208" s="86"/>
      <c r="Q208" s="86"/>
      <c r="R208" s="86"/>
      <c r="S208" s="86"/>
      <c r="T208" s="86"/>
      <c r="U208" s="142">
        <f t="shared" si="82"/>
        <v>2270</v>
      </c>
      <c r="V208" s="88">
        <v>2390</v>
      </c>
      <c r="W208" s="88">
        <v>2150</v>
      </c>
      <c r="X208" s="88"/>
      <c r="Y208" s="88"/>
      <c r="Z208" s="88"/>
      <c r="AA208" s="88"/>
      <c r="AB208" s="88"/>
      <c r="AC208" s="88"/>
      <c r="AD208" s="142" t="str">
        <f t="shared" si="83"/>
        <v/>
      </c>
      <c r="AE208" s="88"/>
      <c r="AF208" s="88"/>
      <c r="AG208" s="88"/>
      <c r="AH208" s="88"/>
      <c r="AI208" s="88"/>
      <c r="AJ208" s="88"/>
      <c r="AK208" s="88"/>
      <c r="AL208" s="88"/>
      <c r="AM208" s="88">
        <v>43.144424131627055</v>
      </c>
      <c r="AN208" s="88">
        <v>109.4</v>
      </c>
      <c r="AO208" s="89">
        <v>17.399999999999999</v>
      </c>
      <c r="AP208" s="90">
        <v>14.598599999999999</v>
      </c>
      <c r="AQ208" s="146">
        <f t="shared" si="84"/>
        <v>83.9</v>
      </c>
      <c r="AR208" s="146">
        <f t="shared" si="85"/>
        <v>16.099999999999994</v>
      </c>
      <c r="AS208" s="147">
        <v>0</v>
      </c>
      <c r="AT208" s="148">
        <v>14.65</v>
      </c>
      <c r="AU208" s="149">
        <v>8.3731000000000009</v>
      </c>
      <c r="AV208" s="146">
        <f t="shared" si="86"/>
        <v>57.154266211604096</v>
      </c>
      <c r="AW208" s="146">
        <f t="shared" si="87"/>
        <v>42.845733788395904</v>
      </c>
      <c r="AX208" s="138">
        <f t="shared" si="88"/>
        <v>74.40206196392468</v>
      </c>
      <c r="AY208" s="95">
        <v>70.75</v>
      </c>
      <c r="AZ208" s="96">
        <v>63.644999999999996</v>
      </c>
      <c r="BA208" s="96"/>
      <c r="BB208" s="96">
        <v>41.5</v>
      </c>
      <c r="BC208" s="96"/>
      <c r="BD208" s="97">
        <v>109.4</v>
      </c>
      <c r="BE208" s="142">
        <f t="shared" si="89"/>
        <v>6331</v>
      </c>
      <c r="BF208" s="98">
        <v>0</v>
      </c>
      <c r="BG208" s="98">
        <v>0</v>
      </c>
      <c r="BH208" s="98">
        <v>1</v>
      </c>
      <c r="BI208" s="98">
        <v>6330</v>
      </c>
      <c r="BJ208" s="98"/>
      <c r="BK208" s="98"/>
      <c r="BL208" s="98"/>
    </row>
    <row r="209" spans="1:64" outlineLevel="5" x14ac:dyDescent="0.3">
      <c r="A209" s="152">
        <f t="shared" si="75"/>
        <v>6</v>
      </c>
      <c r="B209" s="153">
        <f t="shared" si="74"/>
        <v>44733</v>
      </c>
      <c r="C209" s="138">
        <f t="shared" si="80"/>
        <v>36</v>
      </c>
      <c r="D209" s="84">
        <v>36</v>
      </c>
      <c r="E209" s="84">
        <v>36</v>
      </c>
      <c r="F209" s="84"/>
      <c r="G209" s="84"/>
      <c r="H209" s="84"/>
      <c r="I209" s="84"/>
      <c r="J209" s="84"/>
      <c r="K209" s="84"/>
      <c r="L209" s="140">
        <f t="shared" si="81"/>
        <v>7.9</v>
      </c>
      <c r="M209" s="86">
        <v>7.99</v>
      </c>
      <c r="N209" s="86">
        <v>7.83</v>
      </c>
      <c r="O209" s="86"/>
      <c r="P209" s="86"/>
      <c r="Q209" s="86"/>
      <c r="R209" s="86"/>
      <c r="S209" s="86"/>
      <c r="T209" s="86"/>
      <c r="U209" s="142">
        <f t="shared" si="82"/>
        <v>2149.5</v>
      </c>
      <c r="V209" s="88">
        <v>2239</v>
      </c>
      <c r="W209" s="88">
        <v>2060</v>
      </c>
      <c r="X209" s="88"/>
      <c r="Y209" s="88"/>
      <c r="Z209" s="88"/>
      <c r="AA209" s="88"/>
      <c r="AB209" s="88"/>
      <c r="AC209" s="88"/>
      <c r="AD209" s="142" t="str">
        <f t="shared" si="83"/>
        <v/>
      </c>
      <c r="AE209" s="88"/>
      <c r="AF209" s="88"/>
      <c r="AG209" s="88"/>
      <c r="AH209" s="88"/>
      <c r="AI209" s="88"/>
      <c r="AJ209" s="88"/>
      <c r="AK209" s="88"/>
      <c r="AL209" s="88"/>
      <c r="AM209" s="88">
        <v>39.607283712343708</v>
      </c>
      <c r="AN209" s="88">
        <v>119.17</v>
      </c>
      <c r="AO209" s="89"/>
      <c r="AP209" s="90"/>
      <c r="AQ209" s="146" t="str">
        <f t="shared" si="84"/>
        <v/>
      </c>
      <c r="AR209" s="146" t="str">
        <f t="shared" si="85"/>
        <v/>
      </c>
      <c r="AS209" s="147">
        <v>0</v>
      </c>
      <c r="AT209" s="148" t="s">
        <v>106</v>
      </c>
      <c r="AU209" s="149" t="s">
        <v>56</v>
      </c>
      <c r="AV209" s="146" t="str">
        <f t="shared" si="86"/>
        <v/>
      </c>
      <c r="AW209" s="146" t="str">
        <f t="shared" si="87"/>
        <v/>
      </c>
      <c r="AX209" s="138" t="str">
        <f t="shared" si="88"/>
        <v/>
      </c>
      <c r="AY209" s="95" t="s">
        <v>56</v>
      </c>
      <c r="AZ209" s="96" t="s">
        <v>56</v>
      </c>
      <c r="BA209" s="96"/>
      <c r="BB209" s="96" t="s">
        <v>56</v>
      </c>
      <c r="BC209" s="96"/>
      <c r="BD209" s="97">
        <v>119.17</v>
      </c>
      <c r="BE209" s="142">
        <f t="shared" si="89"/>
        <v>6479</v>
      </c>
      <c r="BF209" s="98">
        <v>0</v>
      </c>
      <c r="BG209" s="98">
        <v>0</v>
      </c>
      <c r="BH209" s="98">
        <v>0</v>
      </c>
      <c r="BI209" s="98">
        <v>6479</v>
      </c>
      <c r="BJ209" s="98"/>
      <c r="BK209" s="98"/>
      <c r="BL209" s="98"/>
    </row>
    <row r="210" spans="1:64" outlineLevel="5" x14ac:dyDescent="0.3">
      <c r="A210" s="152">
        <f t="shared" si="75"/>
        <v>6</v>
      </c>
      <c r="B210" s="153">
        <f t="shared" si="74"/>
        <v>44734</v>
      </c>
      <c r="C210" s="138">
        <f t="shared" si="80"/>
        <v>36.5</v>
      </c>
      <c r="D210" s="84">
        <v>37</v>
      </c>
      <c r="E210" s="84">
        <v>36</v>
      </c>
      <c r="F210" s="84"/>
      <c r="G210" s="84"/>
      <c r="H210" s="84"/>
      <c r="I210" s="84"/>
      <c r="J210" s="84"/>
      <c r="K210" s="84"/>
      <c r="L210" s="140">
        <f t="shared" si="81"/>
        <v>8</v>
      </c>
      <c r="M210" s="86">
        <v>8.01</v>
      </c>
      <c r="N210" s="86">
        <v>7.92</v>
      </c>
      <c r="O210" s="86"/>
      <c r="P210" s="86"/>
      <c r="Q210" s="86"/>
      <c r="R210" s="86"/>
      <c r="S210" s="86"/>
      <c r="T210" s="86"/>
      <c r="U210" s="142">
        <f t="shared" si="82"/>
        <v>2139</v>
      </c>
      <c r="V210" s="88">
        <v>2215</v>
      </c>
      <c r="W210" s="88">
        <v>2063</v>
      </c>
      <c r="X210" s="88"/>
      <c r="Y210" s="88"/>
      <c r="Z210" s="88"/>
      <c r="AA210" s="88"/>
      <c r="AB210" s="88"/>
      <c r="AC210" s="88"/>
      <c r="AD210" s="142">
        <f t="shared" si="83"/>
        <v>9750</v>
      </c>
      <c r="AE210" s="88">
        <v>9800</v>
      </c>
      <c r="AF210" s="88">
        <v>9700</v>
      </c>
      <c r="AG210" s="88"/>
      <c r="AH210" s="88"/>
      <c r="AI210" s="88"/>
      <c r="AJ210" s="88"/>
      <c r="AK210" s="88"/>
      <c r="AL210" s="88"/>
      <c r="AM210" s="88">
        <v>39.507826232526995</v>
      </c>
      <c r="AN210" s="88">
        <v>119.47</v>
      </c>
      <c r="AO210" s="89"/>
      <c r="AP210" s="90"/>
      <c r="AQ210" s="146" t="str">
        <f t="shared" si="84"/>
        <v/>
      </c>
      <c r="AR210" s="146" t="str">
        <f t="shared" si="85"/>
        <v/>
      </c>
      <c r="AS210" s="147">
        <v>0</v>
      </c>
      <c r="AT210" s="148">
        <v>13.8</v>
      </c>
      <c r="AU210" s="149">
        <v>7.8155999999999999</v>
      </c>
      <c r="AV210" s="146">
        <f t="shared" si="86"/>
        <v>56.634782608695645</v>
      </c>
      <c r="AW210" s="146">
        <f t="shared" si="87"/>
        <v>43.365217391304355</v>
      </c>
      <c r="AX210" s="138" t="str">
        <f t="shared" si="88"/>
        <v/>
      </c>
      <c r="AY210" s="95">
        <v>75.150000000000006</v>
      </c>
      <c r="AZ210" s="96" t="s">
        <v>56</v>
      </c>
      <c r="BA210" s="96"/>
      <c r="BB210" s="96" t="s">
        <v>56</v>
      </c>
      <c r="BC210" s="96"/>
      <c r="BD210" s="97">
        <v>119.47</v>
      </c>
      <c r="BE210" s="142">
        <f t="shared" si="89"/>
        <v>6764</v>
      </c>
      <c r="BF210" s="98">
        <v>0</v>
      </c>
      <c r="BG210" s="98">
        <v>0</v>
      </c>
      <c r="BH210" s="98">
        <v>0</v>
      </c>
      <c r="BI210" s="98">
        <v>6764</v>
      </c>
      <c r="BJ210" s="98"/>
      <c r="BK210" s="98"/>
      <c r="BL210" s="98"/>
    </row>
    <row r="211" spans="1:64" outlineLevel="5" x14ac:dyDescent="0.3">
      <c r="A211" s="152">
        <f t="shared" si="75"/>
        <v>6</v>
      </c>
      <c r="B211" s="153">
        <f t="shared" si="74"/>
        <v>44735</v>
      </c>
      <c r="C211" s="138">
        <f t="shared" si="80"/>
        <v>36.799999999999997</v>
      </c>
      <c r="D211" s="84">
        <v>37</v>
      </c>
      <c r="E211" s="84">
        <v>36.5</v>
      </c>
      <c r="F211" s="84"/>
      <c r="G211" s="84"/>
      <c r="H211" s="84"/>
      <c r="I211" s="84"/>
      <c r="J211" s="84"/>
      <c r="K211" s="84"/>
      <c r="L211" s="140">
        <f t="shared" si="81"/>
        <v>7.9</v>
      </c>
      <c r="M211" s="86">
        <v>7.96</v>
      </c>
      <c r="N211" s="86">
        <v>7.9</v>
      </c>
      <c r="O211" s="86"/>
      <c r="P211" s="86"/>
      <c r="Q211" s="86"/>
      <c r="R211" s="86"/>
      <c r="S211" s="86"/>
      <c r="T211" s="86"/>
      <c r="U211" s="142">
        <f t="shared" si="82"/>
        <v>1727.5</v>
      </c>
      <c r="V211" s="88">
        <v>1765</v>
      </c>
      <c r="W211" s="88">
        <v>1690</v>
      </c>
      <c r="X211" s="88"/>
      <c r="Y211" s="88"/>
      <c r="Z211" s="88"/>
      <c r="AA211" s="88"/>
      <c r="AB211" s="88"/>
      <c r="AC211" s="88"/>
      <c r="AD211" s="142" t="str">
        <f t="shared" si="83"/>
        <v/>
      </c>
      <c r="AE211" s="88"/>
      <c r="AF211" s="88"/>
      <c r="AG211" s="88"/>
      <c r="AH211" s="88"/>
      <c r="AI211" s="88"/>
      <c r="AJ211" s="88"/>
      <c r="AK211" s="88"/>
      <c r="AL211" s="88"/>
      <c r="AM211" s="88">
        <v>34.705882352941174</v>
      </c>
      <c r="AN211" s="88">
        <v>136</v>
      </c>
      <c r="AO211" s="89"/>
      <c r="AP211" s="90"/>
      <c r="AQ211" s="146" t="str">
        <f t="shared" si="84"/>
        <v/>
      </c>
      <c r="AR211" s="146" t="str">
        <f t="shared" si="85"/>
        <v/>
      </c>
      <c r="AS211" s="147">
        <v>0</v>
      </c>
      <c r="AT211" s="148">
        <v>13.8</v>
      </c>
      <c r="AU211" s="149">
        <v>7.8155999999999999</v>
      </c>
      <c r="AV211" s="146">
        <f t="shared" si="86"/>
        <v>56.634782608695645</v>
      </c>
      <c r="AW211" s="146">
        <f t="shared" si="87"/>
        <v>43.365217391304355</v>
      </c>
      <c r="AX211" s="138" t="str">
        <f t="shared" si="88"/>
        <v/>
      </c>
      <c r="AY211" s="95">
        <v>75.150000000000006</v>
      </c>
      <c r="AZ211" s="96" t="s">
        <v>56</v>
      </c>
      <c r="BA211" s="96"/>
      <c r="BB211" s="96" t="s">
        <v>56</v>
      </c>
      <c r="BC211" s="96"/>
      <c r="BD211" s="97">
        <v>136</v>
      </c>
      <c r="BE211" s="142">
        <f t="shared" si="89"/>
        <v>6314</v>
      </c>
      <c r="BF211" s="98">
        <v>0</v>
      </c>
      <c r="BG211" s="98">
        <v>0</v>
      </c>
      <c r="BH211" s="98">
        <v>0</v>
      </c>
      <c r="BI211" s="98">
        <v>6314</v>
      </c>
      <c r="BJ211" s="98"/>
      <c r="BK211" s="98"/>
      <c r="BL211" s="98"/>
    </row>
    <row r="212" spans="1:64" outlineLevel="5" x14ac:dyDescent="0.3">
      <c r="A212" s="152">
        <f t="shared" si="75"/>
        <v>6</v>
      </c>
      <c r="B212" s="153">
        <f t="shared" si="74"/>
        <v>44736</v>
      </c>
      <c r="C212" s="138">
        <f t="shared" si="80"/>
        <v>36.5</v>
      </c>
      <c r="D212" s="84">
        <v>37</v>
      </c>
      <c r="E212" s="84">
        <v>36</v>
      </c>
      <c r="F212" s="84"/>
      <c r="G212" s="84"/>
      <c r="H212" s="84"/>
      <c r="I212" s="84"/>
      <c r="J212" s="84"/>
      <c r="K212" s="84"/>
      <c r="L212" s="140">
        <f t="shared" si="81"/>
        <v>8</v>
      </c>
      <c r="M212" s="86">
        <v>8.02</v>
      </c>
      <c r="N212" s="86">
        <v>7.93</v>
      </c>
      <c r="O212" s="86"/>
      <c r="P212" s="86"/>
      <c r="Q212" s="86"/>
      <c r="R212" s="86"/>
      <c r="S212" s="86"/>
      <c r="T212" s="86"/>
      <c r="U212" s="142">
        <f t="shared" si="82"/>
        <v>1720</v>
      </c>
      <c r="V212" s="88">
        <v>1760</v>
      </c>
      <c r="W212" s="88">
        <v>1680</v>
      </c>
      <c r="X212" s="88"/>
      <c r="Y212" s="88"/>
      <c r="Z212" s="88"/>
      <c r="AA212" s="88"/>
      <c r="AB212" s="88"/>
      <c r="AC212" s="88"/>
      <c r="AD212" s="142" t="str">
        <f t="shared" si="83"/>
        <v/>
      </c>
      <c r="AE212" s="88"/>
      <c r="AF212" s="88"/>
      <c r="AG212" s="88"/>
      <c r="AH212" s="88"/>
      <c r="AI212" s="88"/>
      <c r="AJ212" s="88"/>
      <c r="AK212" s="88"/>
      <c r="AL212" s="88"/>
      <c r="AM212" s="88">
        <v>31.885428629331891</v>
      </c>
      <c r="AN212" s="88">
        <v>148.03</v>
      </c>
      <c r="AO212" s="89"/>
      <c r="AP212" s="90"/>
      <c r="AQ212" s="146" t="str">
        <f t="shared" si="84"/>
        <v/>
      </c>
      <c r="AR212" s="146" t="str">
        <f t="shared" si="85"/>
        <v/>
      </c>
      <c r="AS212" s="147">
        <v>0</v>
      </c>
      <c r="AT212" s="148" t="s">
        <v>106</v>
      </c>
      <c r="AU212" s="149" t="s">
        <v>56</v>
      </c>
      <c r="AV212" s="146" t="str">
        <f t="shared" si="86"/>
        <v/>
      </c>
      <c r="AW212" s="146" t="str">
        <f t="shared" si="87"/>
        <v/>
      </c>
      <c r="AX212" s="138" t="str">
        <f t="shared" si="88"/>
        <v/>
      </c>
      <c r="AY212" s="95" t="s">
        <v>56</v>
      </c>
      <c r="AZ212" s="96" t="s">
        <v>56</v>
      </c>
      <c r="BA212" s="96"/>
      <c r="BB212" s="96" t="s">
        <v>56</v>
      </c>
      <c r="BC212" s="96"/>
      <c r="BD212" s="97">
        <v>148.03</v>
      </c>
      <c r="BE212" s="142">
        <f t="shared" si="89"/>
        <v>6221</v>
      </c>
      <c r="BF212" s="98">
        <v>0</v>
      </c>
      <c r="BG212" s="98">
        <v>0</v>
      </c>
      <c r="BH212" s="98">
        <v>0</v>
      </c>
      <c r="BI212" s="98">
        <v>6221</v>
      </c>
      <c r="BJ212" s="98"/>
      <c r="BK212" s="98"/>
      <c r="BL212" s="98"/>
    </row>
    <row r="213" spans="1:64" outlineLevel="5" x14ac:dyDescent="0.3">
      <c r="A213" s="152">
        <f t="shared" si="75"/>
        <v>6</v>
      </c>
      <c r="B213" s="153">
        <f t="shared" si="74"/>
        <v>44737</v>
      </c>
      <c r="C213" s="138">
        <f t="shared" si="80"/>
        <v>36.5</v>
      </c>
      <c r="D213" s="84">
        <v>37</v>
      </c>
      <c r="E213" s="84">
        <v>36</v>
      </c>
      <c r="F213" s="84"/>
      <c r="G213" s="84"/>
      <c r="H213" s="84"/>
      <c r="I213" s="84"/>
      <c r="J213" s="84"/>
      <c r="K213" s="84"/>
      <c r="L213" s="140" t="str">
        <f t="shared" si="81"/>
        <v/>
      </c>
      <c r="M213" s="86"/>
      <c r="N213" s="86"/>
      <c r="O213" s="86"/>
      <c r="P213" s="86"/>
      <c r="Q213" s="86"/>
      <c r="R213" s="86"/>
      <c r="S213" s="86"/>
      <c r="T213" s="86"/>
      <c r="U213" s="142" t="str">
        <f t="shared" si="82"/>
        <v/>
      </c>
      <c r="V213" s="88"/>
      <c r="W213" s="88"/>
      <c r="X213" s="88"/>
      <c r="Y213" s="88"/>
      <c r="Z213" s="88"/>
      <c r="AA213" s="88"/>
      <c r="AB213" s="88"/>
      <c r="AC213" s="88"/>
      <c r="AD213" s="142" t="str">
        <f t="shared" si="83"/>
        <v/>
      </c>
      <c r="AE213" s="88"/>
      <c r="AF213" s="88"/>
      <c r="AG213" s="88"/>
      <c r="AH213" s="88"/>
      <c r="AI213" s="88"/>
      <c r="AJ213" s="88"/>
      <c r="AK213" s="88"/>
      <c r="AL213" s="88"/>
      <c r="AM213" s="88">
        <v>31.707644766895065</v>
      </c>
      <c r="AN213" s="88">
        <v>148.86000000000001</v>
      </c>
      <c r="AO213" s="89"/>
      <c r="AP213" s="90"/>
      <c r="AQ213" s="146" t="str">
        <f t="shared" si="84"/>
        <v/>
      </c>
      <c r="AR213" s="146" t="str">
        <f t="shared" si="85"/>
        <v/>
      </c>
      <c r="AS213" s="147">
        <v>0</v>
      </c>
      <c r="AT213" s="148" t="s">
        <v>106</v>
      </c>
      <c r="AU213" s="149" t="s">
        <v>56</v>
      </c>
      <c r="AV213" s="146" t="str">
        <f t="shared" si="86"/>
        <v/>
      </c>
      <c r="AW213" s="146" t="str">
        <f t="shared" si="87"/>
        <v/>
      </c>
      <c r="AX213" s="138" t="str">
        <f t="shared" si="88"/>
        <v/>
      </c>
      <c r="AY213" s="95" t="s">
        <v>56</v>
      </c>
      <c r="AZ213" s="96" t="s">
        <v>56</v>
      </c>
      <c r="BA213" s="96"/>
      <c r="BB213" s="96" t="s">
        <v>56</v>
      </c>
      <c r="BC213" s="96"/>
      <c r="BD213" s="97">
        <v>148.86000000000001</v>
      </c>
      <c r="BE213" s="142">
        <f t="shared" si="89"/>
        <v>6363</v>
      </c>
      <c r="BF213" s="98">
        <v>0</v>
      </c>
      <c r="BG213" s="98">
        <v>0</v>
      </c>
      <c r="BH213" s="98">
        <v>0</v>
      </c>
      <c r="BI213" s="98">
        <v>6363</v>
      </c>
      <c r="BJ213" s="98"/>
      <c r="BK213" s="98"/>
      <c r="BL213" s="98"/>
    </row>
    <row r="214" spans="1:64" outlineLevel="5" x14ac:dyDescent="0.3">
      <c r="A214" s="152">
        <f t="shared" si="75"/>
        <v>6</v>
      </c>
      <c r="B214" s="153">
        <f t="shared" si="74"/>
        <v>44738</v>
      </c>
      <c r="C214" s="138">
        <f t="shared" si="80"/>
        <v>36.5</v>
      </c>
      <c r="D214" s="84">
        <v>37</v>
      </c>
      <c r="E214" s="84">
        <v>36</v>
      </c>
      <c r="F214" s="84"/>
      <c r="G214" s="84"/>
      <c r="H214" s="84"/>
      <c r="I214" s="84"/>
      <c r="J214" s="84"/>
      <c r="K214" s="84"/>
      <c r="L214" s="140" t="str">
        <f t="shared" si="81"/>
        <v/>
      </c>
      <c r="M214" s="86"/>
      <c r="N214" s="86"/>
      <c r="O214" s="86"/>
      <c r="P214" s="86"/>
      <c r="Q214" s="86"/>
      <c r="R214" s="86"/>
      <c r="S214" s="86"/>
      <c r="T214" s="86"/>
      <c r="U214" s="142" t="str">
        <f t="shared" si="82"/>
        <v/>
      </c>
      <c r="V214" s="88"/>
      <c r="W214" s="88"/>
      <c r="X214" s="88"/>
      <c r="Y214" s="88"/>
      <c r="Z214" s="88"/>
      <c r="AA214" s="88"/>
      <c r="AB214" s="88"/>
      <c r="AC214" s="88"/>
      <c r="AD214" s="142" t="str">
        <f t="shared" si="83"/>
        <v/>
      </c>
      <c r="AE214" s="88"/>
      <c r="AF214" s="88"/>
      <c r="AG214" s="88"/>
      <c r="AH214" s="88"/>
      <c r="AI214" s="88"/>
      <c r="AJ214" s="88"/>
      <c r="AK214" s="88"/>
      <c r="AL214" s="88"/>
      <c r="AM214" s="88">
        <v>33.714285714285715</v>
      </c>
      <c r="AN214" s="88">
        <v>140</v>
      </c>
      <c r="AO214" s="89"/>
      <c r="AP214" s="90"/>
      <c r="AQ214" s="146" t="str">
        <f t="shared" si="84"/>
        <v/>
      </c>
      <c r="AR214" s="146" t="str">
        <f t="shared" si="85"/>
        <v/>
      </c>
      <c r="AS214" s="147">
        <v>0</v>
      </c>
      <c r="AT214" s="148" t="s">
        <v>106</v>
      </c>
      <c r="AU214" s="149" t="s">
        <v>56</v>
      </c>
      <c r="AV214" s="146" t="str">
        <f t="shared" si="86"/>
        <v/>
      </c>
      <c r="AW214" s="146" t="str">
        <f t="shared" si="87"/>
        <v/>
      </c>
      <c r="AX214" s="138" t="str">
        <f t="shared" si="88"/>
        <v/>
      </c>
      <c r="AY214" s="95" t="s">
        <v>56</v>
      </c>
      <c r="AZ214" s="96" t="s">
        <v>56</v>
      </c>
      <c r="BA214" s="96"/>
      <c r="BB214" s="96" t="s">
        <v>56</v>
      </c>
      <c r="BC214" s="96"/>
      <c r="BD214" s="97">
        <v>140</v>
      </c>
      <c r="BE214" s="142">
        <f t="shared" si="89"/>
        <v>5738</v>
      </c>
      <c r="BF214" s="98">
        <v>0</v>
      </c>
      <c r="BG214" s="98">
        <v>0</v>
      </c>
      <c r="BH214" s="98">
        <v>0</v>
      </c>
      <c r="BI214" s="98">
        <v>5738</v>
      </c>
      <c r="BJ214" s="98"/>
      <c r="BK214" s="98"/>
      <c r="BL214" s="98"/>
    </row>
    <row r="215" spans="1:64" outlineLevel="5" x14ac:dyDescent="0.3">
      <c r="A215" s="152">
        <f t="shared" si="75"/>
        <v>6</v>
      </c>
      <c r="B215" s="153">
        <f t="shared" si="74"/>
        <v>44739</v>
      </c>
      <c r="C215" s="138">
        <f t="shared" si="80"/>
        <v>36.5</v>
      </c>
      <c r="D215" s="84">
        <v>37</v>
      </c>
      <c r="E215" s="84">
        <v>36</v>
      </c>
      <c r="F215" s="84"/>
      <c r="G215" s="84"/>
      <c r="H215" s="84"/>
      <c r="I215" s="84"/>
      <c r="J215" s="84"/>
      <c r="K215" s="84"/>
      <c r="L215" s="140">
        <f t="shared" si="81"/>
        <v>7.9</v>
      </c>
      <c r="M215" s="86">
        <v>7.96</v>
      </c>
      <c r="N215" s="86">
        <v>7.85</v>
      </c>
      <c r="O215" s="86"/>
      <c r="P215" s="86"/>
      <c r="Q215" s="86"/>
      <c r="R215" s="86"/>
      <c r="S215" s="86"/>
      <c r="T215" s="86"/>
      <c r="U215" s="142">
        <f t="shared" si="82"/>
        <v>2310</v>
      </c>
      <c r="V215" s="88">
        <v>2440</v>
      </c>
      <c r="W215" s="88">
        <v>2180</v>
      </c>
      <c r="X215" s="88"/>
      <c r="Y215" s="88"/>
      <c r="Z215" s="88"/>
      <c r="AA215" s="88"/>
      <c r="AB215" s="88"/>
      <c r="AC215" s="88"/>
      <c r="AD215" s="142" t="str">
        <f t="shared" si="83"/>
        <v/>
      </c>
      <c r="AE215" s="88"/>
      <c r="AF215" s="88"/>
      <c r="AG215" s="88"/>
      <c r="AH215" s="88"/>
      <c r="AI215" s="88"/>
      <c r="AJ215" s="88"/>
      <c r="AK215" s="88"/>
      <c r="AL215" s="88"/>
      <c r="AM215" s="88">
        <v>51.410521729659074</v>
      </c>
      <c r="AN215" s="88">
        <v>91.81</v>
      </c>
      <c r="AO215" s="89">
        <v>17.5</v>
      </c>
      <c r="AP215" s="90">
        <v>14.734999999999999</v>
      </c>
      <c r="AQ215" s="146">
        <f t="shared" si="84"/>
        <v>84.2</v>
      </c>
      <c r="AR215" s="146">
        <f t="shared" si="85"/>
        <v>15.799999999999997</v>
      </c>
      <c r="AS215" s="147">
        <v>0</v>
      </c>
      <c r="AT215" s="148">
        <v>14.25</v>
      </c>
      <c r="AU215" s="149">
        <v>8.0375999999999994</v>
      </c>
      <c r="AV215" s="146">
        <f t="shared" si="86"/>
        <v>56.404210526315794</v>
      </c>
      <c r="AW215" s="146">
        <f t="shared" si="87"/>
        <v>43.595789473684206</v>
      </c>
      <c r="AX215" s="138">
        <f t="shared" si="88"/>
        <v>75.72205217945077</v>
      </c>
      <c r="AY215" s="95">
        <v>71.099999999999994</v>
      </c>
      <c r="AZ215" s="96">
        <v>64.53</v>
      </c>
      <c r="BA215" s="96"/>
      <c r="BB215" s="96">
        <v>43</v>
      </c>
      <c r="BC215" s="96"/>
      <c r="BD215" s="97">
        <v>91.81</v>
      </c>
      <c r="BE215" s="142">
        <f t="shared" si="89"/>
        <v>6403</v>
      </c>
      <c r="BF215" s="98">
        <v>0</v>
      </c>
      <c r="BG215" s="98">
        <v>0</v>
      </c>
      <c r="BH215" s="98">
        <v>0</v>
      </c>
      <c r="BI215" s="98">
        <v>6403</v>
      </c>
      <c r="BJ215" s="98"/>
      <c r="BK215" s="98"/>
      <c r="BL215" s="98"/>
    </row>
    <row r="216" spans="1:64" outlineLevel="5" x14ac:dyDescent="0.3">
      <c r="A216" s="152">
        <f t="shared" si="75"/>
        <v>6</v>
      </c>
      <c r="B216" s="153">
        <f t="shared" si="74"/>
        <v>44740</v>
      </c>
      <c r="C216" s="138">
        <f t="shared" si="80"/>
        <v>36.5</v>
      </c>
      <c r="D216" s="84">
        <v>37</v>
      </c>
      <c r="E216" s="84">
        <v>36</v>
      </c>
      <c r="F216" s="84"/>
      <c r="G216" s="84"/>
      <c r="H216" s="84"/>
      <c r="I216" s="84"/>
      <c r="J216" s="84"/>
      <c r="K216" s="84"/>
      <c r="L216" s="140">
        <f t="shared" si="81"/>
        <v>7.9</v>
      </c>
      <c r="M216" s="86">
        <v>7.96</v>
      </c>
      <c r="N216" s="86">
        <v>7.84</v>
      </c>
      <c r="O216" s="86"/>
      <c r="P216" s="86"/>
      <c r="Q216" s="86"/>
      <c r="R216" s="86"/>
      <c r="S216" s="86"/>
      <c r="T216" s="86"/>
      <c r="U216" s="142">
        <f t="shared" si="82"/>
        <v>2189</v>
      </c>
      <c r="V216" s="88">
        <v>2288</v>
      </c>
      <c r="W216" s="88">
        <v>2090</v>
      </c>
      <c r="X216" s="88"/>
      <c r="Y216" s="88"/>
      <c r="Z216" s="88"/>
      <c r="AA216" s="88"/>
      <c r="AB216" s="88"/>
      <c r="AC216" s="88"/>
      <c r="AD216" s="142" t="str">
        <f t="shared" si="83"/>
        <v/>
      </c>
      <c r="AE216" s="88"/>
      <c r="AF216" s="88"/>
      <c r="AG216" s="88"/>
      <c r="AH216" s="88"/>
      <c r="AI216" s="88"/>
      <c r="AJ216" s="88"/>
      <c r="AK216" s="88"/>
      <c r="AL216" s="88"/>
      <c r="AM216" s="88">
        <v>32.480044040737681</v>
      </c>
      <c r="AN216" s="88">
        <v>145.32</v>
      </c>
      <c r="AO216" s="89"/>
      <c r="AP216" s="90"/>
      <c r="AQ216" s="146" t="str">
        <f t="shared" si="84"/>
        <v/>
      </c>
      <c r="AR216" s="146" t="str">
        <f t="shared" si="85"/>
        <v/>
      </c>
      <c r="AS216" s="147">
        <v>10</v>
      </c>
      <c r="AT216" s="148" t="s">
        <v>106</v>
      </c>
      <c r="AU216" s="149" t="s">
        <v>56</v>
      </c>
      <c r="AV216" s="146" t="str">
        <f t="shared" si="86"/>
        <v/>
      </c>
      <c r="AW216" s="146" t="str">
        <f t="shared" si="87"/>
        <v/>
      </c>
      <c r="AX216" s="138" t="str">
        <f t="shared" si="88"/>
        <v/>
      </c>
      <c r="AY216" s="95" t="s">
        <v>56</v>
      </c>
      <c r="AZ216" s="96">
        <v>63.894999999999996</v>
      </c>
      <c r="BA216" s="96"/>
      <c r="BB216" s="96">
        <v>44</v>
      </c>
      <c r="BC216" s="96"/>
      <c r="BD216" s="97">
        <v>145.32</v>
      </c>
      <c r="BE216" s="142">
        <f t="shared" si="89"/>
        <v>7327</v>
      </c>
      <c r="BF216" s="98">
        <v>0</v>
      </c>
      <c r="BG216" s="98">
        <v>0</v>
      </c>
      <c r="BH216" s="98">
        <v>0</v>
      </c>
      <c r="BI216" s="98">
        <v>7327</v>
      </c>
      <c r="BJ216" s="98"/>
      <c r="BK216" s="98"/>
      <c r="BL216" s="98"/>
    </row>
    <row r="217" spans="1:64" outlineLevel="5" x14ac:dyDescent="0.3">
      <c r="A217" s="152">
        <f t="shared" si="75"/>
        <v>6</v>
      </c>
      <c r="B217" s="153">
        <f t="shared" si="74"/>
        <v>44741</v>
      </c>
      <c r="C217" s="138">
        <f t="shared" si="80"/>
        <v>36.5</v>
      </c>
      <c r="D217" s="84">
        <v>37</v>
      </c>
      <c r="E217" s="84">
        <v>36</v>
      </c>
      <c r="F217" s="84"/>
      <c r="G217" s="84"/>
      <c r="H217" s="84"/>
      <c r="I217" s="84"/>
      <c r="J217" s="84"/>
      <c r="K217" s="84"/>
      <c r="L217" s="140">
        <f t="shared" si="81"/>
        <v>7.9</v>
      </c>
      <c r="M217" s="86">
        <v>7.95</v>
      </c>
      <c r="N217" s="86">
        <v>7.92</v>
      </c>
      <c r="O217" s="86"/>
      <c r="P217" s="86"/>
      <c r="Q217" s="86"/>
      <c r="R217" s="86"/>
      <c r="S217" s="86"/>
      <c r="T217" s="86"/>
      <c r="U217" s="142">
        <f t="shared" si="82"/>
        <v>2240</v>
      </c>
      <c r="V217" s="88">
        <v>2320</v>
      </c>
      <c r="W217" s="88">
        <v>2160</v>
      </c>
      <c r="X217" s="88"/>
      <c r="Y217" s="88"/>
      <c r="Z217" s="88"/>
      <c r="AA217" s="88"/>
      <c r="AB217" s="88"/>
      <c r="AC217" s="88"/>
      <c r="AD217" s="142">
        <f t="shared" si="83"/>
        <v>9450</v>
      </c>
      <c r="AE217" s="88">
        <v>9400</v>
      </c>
      <c r="AF217" s="88">
        <v>9500</v>
      </c>
      <c r="AG217" s="88"/>
      <c r="AH217" s="88"/>
      <c r="AI217" s="88"/>
      <c r="AJ217" s="88"/>
      <c r="AK217" s="88"/>
      <c r="AL217" s="88"/>
      <c r="AM217" s="88">
        <v>34.067123782028148</v>
      </c>
      <c r="AN217" s="88">
        <v>138.55000000000001</v>
      </c>
      <c r="AO217" s="89"/>
      <c r="AP217" s="90"/>
      <c r="AQ217" s="146" t="str">
        <f t="shared" si="84"/>
        <v/>
      </c>
      <c r="AR217" s="146" t="str">
        <f t="shared" si="85"/>
        <v/>
      </c>
      <c r="AS217" s="147">
        <v>10</v>
      </c>
      <c r="AT217" s="148">
        <v>13.7</v>
      </c>
      <c r="AU217" s="149">
        <v>8.0854999999999997</v>
      </c>
      <c r="AV217" s="146">
        <f t="shared" si="86"/>
        <v>59.018248175182485</v>
      </c>
      <c r="AW217" s="146">
        <f t="shared" si="87"/>
        <v>40.981751824817515</v>
      </c>
      <c r="AX217" s="138" t="str">
        <f t="shared" si="88"/>
        <v/>
      </c>
      <c r="AY217" s="95">
        <v>75.099999999999994</v>
      </c>
      <c r="AZ217" s="96">
        <v>61.534999999999997</v>
      </c>
      <c r="BA217" s="96"/>
      <c r="BB217" s="96">
        <v>62.5</v>
      </c>
      <c r="BC217" s="96"/>
      <c r="BD217" s="97">
        <v>138.55000000000001</v>
      </c>
      <c r="BE217" s="142">
        <f t="shared" si="89"/>
        <v>7079</v>
      </c>
      <c r="BF217" s="98">
        <v>0</v>
      </c>
      <c r="BG217" s="98">
        <v>0</v>
      </c>
      <c r="BH217" s="98">
        <v>0</v>
      </c>
      <c r="BI217" s="98">
        <v>7079</v>
      </c>
      <c r="BJ217" s="98"/>
      <c r="BK217" s="98"/>
      <c r="BL217" s="98"/>
    </row>
    <row r="218" spans="1:64" ht="17.25" outlineLevel="5" thickBot="1" x14ac:dyDescent="0.35">
      <c r="A218" s="154">
        <f t="shared" si="75"/>
        <v>6</v>
      </c>
      <c r="B218" s="155">
        <f t="shared" si="74"/>
        <v>44742</v>
      </c>
      <c r="C218" s="138">
        <f t="shared" si="80"/>
        <v>36.5</v>
      </c>
      <c r="D218" s="84">
        <v>37</v>
      </c>
      <c r="E218" s="84">
        <v>36</v>
      </c>
      <c r="F218" s="84"/>
      <c r="G218" s="84"/>
      <c r="H218" s="84"/>
      <c r="I218" s="84"/>
      <c r="J218" s="84"/>
      <c r="K218" s="84"/>
      <c r="L218" s="140">
        <f t="shared" si="81"/>
        <v>7.9</v>
      </c>
      <c r="M218" s="86">
        <v>7.96</v>
      </c>
      <c r="N218" s="86">
        <v>7.91</v>
      </c>
      <c r="O218" s="86"/>
      <c r="P218" s="86"/>
      <c r="Q218" s="86"/>
      <c r="R218" s="86"/>
      <c r="S218" s="86"/>
      <c r="T218" s="86"/>
      <c r="U218" s="142">
        <f t="shared" si="82"/>
        <v>1985</v>
      </c>
      <c r="V218" s="88">
        <v>1960</v>
      </c>
      <c r="W218" s="88">
        <v>2010</v>
      </c>
      <c r="X218" s="88"/>
      <c r="Y218" s="88"/>
      <c r="Z218" s="88"/>
      <c r="AA218" s="88"/>
      <c r="AB218" s="88"/>
      <c r="AC218" s="88"/>
      <c r="AD218" s="142" t="str">
        <f t="shared" si="83"/>
        <v/>
      </c>
      <c r="AE218" s="88"/>
      <c r="AF218" s="88"/>
      <c r="AG218" s="88"/>
      <c r="AH218" s="88"/>
      <c r="AI218" s="88"/>
      <c r="AJ218" s="88"/>
      <c r="AK218" s="88"/>
      <c r="AL218" s="88"/>
      <c r="AM218" s="88">
        <v>30.038821358111118</v>
      </c>
      <c r="AN218" s="88">
        <v>157.13</v>
      </c>
      <c r="AO218" s="89"/>
      <c r="AP218" s="90"/>
      <c r="AQ218" s="146" t="str">
        <f t="shared" si="84"/>
        <v/>
      </c>
      <c r="AR218" s="146" t="str">
        <f t="shared" si="85"/>
        <v/>
      </c>
      <c r="AS218" s="147">
        <v>10</v>
      </c>
      <c r="AT218" s="148">
        <v>13.45</v>
      </c>
      <c r="AU218" s="149">
        <v>7.5190999999999999</v>
      </c>
      <c r="AV218" s="146">
        <f t="shared" si="86"/>
        <v>55.904089219330857</v>
      </c>
      <c r="AW218" s="146">
        <f t="shared" si="87"/>
        <v>44.095910780669143</v>
      </c>
      <c r="AX218" s="138" t="str">
        <f t="shared" si="88"/>
        <v/>
      </c>
      <c r="AY218" s="95">
        <v>75.25</v>
      </c>
      <c r="AZ218" s="96">
        <v>61.594999999999999</v>
      </c>
      <c r="BA218" s="96"/>
      <c r="BB218" s="96">
        <v>55.5</v>
      </c>
      <c r="BC218" s="96"/>
      <c r="BD218" s="97">
        <v>157.13</v>
      </c>
      <c r="BE218" s="142">
        <f t="shared" si="89"/>
        <v>7294</v>
      </c>
      <c r="BF218" s="98">
        <v>0</v>
      </c>
      <c r="BG218" s="98">
        <v>0</v>
      </c>
      <c r="BH218" s="98">
        <v>0</v>
      </c>
      <c r="BI218" s="98">
        <v>7294</v>
      </c>
      <c r="BJ218" s="98"/>
      <c r="BK218" s="98"/>
      <c r="BL218" s="98"/>
    </row>
    <row r="219" spans="1:64" outlineLevel="4" x14ac:dyDescent="0.3">
      <c r="A219" s="63" t="s">
        <v>77</v>
      </c>
      <c r="B219" s="64"/>
      <c r="C219" s="65">
        <f t="shared" ref="C219:BL219" si="90">SUBTOTAL(4,C189:C218)</f>
        <v>37</v>
      </c>
      <c r="D219" s="66">
        <f t="shared" si="90"/>
        <v>37</v>
      </c>
      <c r="E219" s="66">
        <f t="shared" si="90"/>
        <v>37</v>
      </c>
      <c r="F219" s="66">
        <f t="shared" si="90"/>
        <v>0</v>
      </c>
      <c r="G219" s="66">
        <f t="shared" si="90"/>
        <v>0</v>
      </c>
      <c r="H219" s="66">
        <f t="shared" si="90"/>
        <v>0</v>
      </c>
      <c r="I219" s="66">
        <f t="shared" si="90"/>
        <v>0</v>
      </c>
      <c r="J219" s="66">
        <f t="shared" si="90"/>
        <v>0</v>
      </c>
      <c r="K219" s="66">
        <f t="shared" si="90"/>
        <v>0</v>
      </c>
      <c r="L219" s="67">
        <f t="shared" si="90"/>
        <v>8</v>
      </c>
      <c r="M219" s="68">
        <f t="shared" si="90"/>
        <v>8.02</v>
      </c>
      <c r="N219" s="68">
        <f t="shared" si="90"/>
        <v>7.93</v>
      </c>
      <c r="O219" s="68">
        <f t="shared" si="90"/>
        <v>0</v>
      </c>
      <c r="P219" s="68">
        <f t="shared" si="90"/>
        <v>0</v>
      </c>
      <c r="Q219" s="68">
        <f t="shared" si="90"/>
        <v>0</v>
      </c>
      <c r="R219" s="68">
        <f t="shared" si="90"/>
        <v>0</v>
      </c>
      <c r="S219" s="68">
        <f t="shared" si="90"/>
        <v>0</v>
      </c>
      <c r="T219" s="68">
        <f t="shared" si="90"/>
        <v>0</v>
      </c>
      <c r="U219" s="69">
        <f t="shared" si="90"/>
        <v>2310</v>
      </c>
      <c r="V219" s="70">
        <f t="shared" si="90"/>
        <v>2440</v>
      </c>
      <c r="W219" s="70">
        <f t="shared" si="90"/>
        <v>2180</v>
      </c>
      <c r="X219" s="70">
        <f t="shared" si="90"/>
        <v>0</v>
      </c>
      <c r="Y219" s="70">
        <f t="shared" si="90"/>
        <v>0</v>
      </c>
      <c r="Z219" s="70">
        <f t="shared" si="90"/>
        <v>0</v>
      </c>
      <c r="AA219" s="70">
        <f t="shared" si="90"/>
        <v>0</v>
      </c>
      <c r="AB219" s="70">
        <f t="shared" si="90"/>
        <v>0</v>
      </c>
      <c r="AC219" s="70">
        <f t="shared" si="90"/>
        <v>0</v>
      </c>
      <c r="AD219" s="69">
        <f t="shared" si="90"/>
        <v>9750</v>
      </c>
      <c r="AE219" s="70">
        <f t="shared" si="90"/>
        <v>9800</v>
      </c>
      <c r="AF219" s="70">
        <f t="shared" si="90"/>
        <v>9700</v>
      </c>
      <c r="AG219" s="70">
        <f t="shared" si="90"/>
        <v>0</v>
      </c>
      <c r="AH219" s="70">
        <f t="shared" si="90"/>
        <v>0</v>
      </c>
      <c r="AI219" s="70">
        <f t="shared" si="90"/>
        <v>0</v>
      </c>
      <c r="AJ219" s="70">
        <f t="shared" si="90"/>
        <v>0</v>
      </c>
      <c r="AK219" s="70">
        <f t="shared" si="90"/>
        <v>0</v>
      </c>
      <c r="AL219" s="70">
        <f t="shared" si="90"/>
        <v>0</v>
      </c>
      <c r="AM219" s="70">
        <f t="shared" si="90"/>
        <v>59</v>
      </c>
      <c r="AN219" s="70">
        <f t="shared" si="90"/>
        <v>157.13</v>
      </c>
      <c r="AO219" s="71">
        <f t="shared" si="90"/>
        <v>33.700000000000003</v>
      </c>
      <c r="AP219" s="72">
        <f t="shared" si="90"/>
        <v>29.015700000000002</v>
      </c>
      <c r="AQ219" s="73">
        <f t="shared" si="90"/>
        <v>86.1</v>
      </c>
      <c r="AR219" s="73">
        <f t="shared" si="90"/>
        <v>16.099999999999994</v>
      </c>
      <c r="AS219" s="74">
        <f t="shared" si="90"/>
        <v>10</v>
      </c>
      <c r="AT219" s="75">
        <f t="shared" si="90"/>
        <v>15.850000000000001</v>
      </c>
      <c r="AU219" s="76">
        <f t="shared" si="90"/>
        <v>10.0304</v>
      </c>
      <c r="AV219" s="73">
        <f t="shared" si="90"/>
        <v>63.483544303797466</v>
      </c>
      <c r="AW219" s="73">
        <f t="shared" si="90"/>
        <v>68.062776025236602</v>
      </c>
      <c r="AX219" s="65">
        <f t="shared" si="90"/>
        <v>75.72205217945077</v>
      </c>
      <c r="AY219" s="77">
        <f t="shared" si="90"/>
        <v>76.150000000000006</v>
      </c>
      <c r="AZ219" s="78">
        <f t="shared" si="90"/>
        <v>66.155000000000001</v>
      </c>
      <c r="BA219" s="78">
        <f t="shared" si="90"/>
        <v>0</v>
      </c>
      <c r="BB219" s="78">
        <f t="shared" si="90"/>
        <v>62.5</v>
      </c>
      <c r="BC219" s="78">
        <f t="shared" si="90"/>
        <v>0</v>
      </c>
      <c r="BD219" s="79">
        <f t="shared" si="90"/>
        <v>157.13</v>
      </c>
      <c r="BE219" s="69">
        <f t="shared" si="90"/>
        <v>7327</v>
      </c>
      <c r="BF219" s="70">
        <f t="shared" si="90"/>
        <v>42</v>
      </c>
      <c r="BG219" s="80">
        <f t="shared" si="90"/>
        <v>0</v>
      </c>
      <c r="BH219" s="80">
        <f t="shared" si="90"/>
        <v>7</v>
      </c>
      <c r="BI219" s="80">
        <f t="shared" si="90"/>
        <v>7327</v>
      </c>
      <c r="BJ219" s="80">
        <f t="shared" si="90"/>
        <v>0</v>
      </c>
      <c r="BK219" s="80">
        <f t="shared" si="90"/>
        <v>0</v>
      </c>
      <c r="BL219" s="79">
        <f t="shared" si="90"/>
        <v>0</v>
      </c>
    </row>
    <row r="220" spans="1:64" outlineLevel="3" x14ac:dyDescent="0.3">
      <c r="A220" s="81" t="s">
        <v>78</v>
      </c>
      <c r="B220" s="82"/>
      <c r="C220" s="83">
        <f t="shared" ref="C220:BL220" si="91">SUBTOTAL(5,C189:C218)</f>
        <v>34.5</v>
      </c>
      <c r="D220" s="84">
        <f t="shared" si="91"/>
        <v>35</v>
      </c>
      <c r="E220" s="84">
        <f t="shared" si="91"/>
        <v>34</v>
      </c>
      <c r="F220" s="84">
        <f t="shared" si="91"/>
        <v>0</v>
      </c>
      <c r="G220" s="84">
        <f t="shared" si="91"/>
        <v>0</v>
      </c>
      <c r="H220" s="84">
        <f t="shared" si="91"/>
        <v>0</v>
      </c>
      <c r="I220" s="84">
        <f t="shared" si="91"/>
        <v>0</v>
      </c>
      <c r="J220" s="84">
        <f t="shared" si="91"/>
        <v>0</v>
      </c>
      <c r="K220" s="84">
        <f t="shared" si="91"/>
        <v>0</v>
      </c>
      <c r="L220" s="85">
        <f t="shared" si="91"/>
        <v>7.8</v>
      </c>
      <c r="M220" s="86">
        <f t="shared" si="91"/>
        <v>7.89</v>
      </c>
      <c r="N220" s="86">
        <f t="shared" si="91"/>
        <v>7.8</v>
      </c>
      <c r="O220" s="86">
        <f t="shared" si="91"/>
        <v>0</v>
      </c>
      <c r="P220" s="86">
        <f t="shared" si="91"/>
        <v>0</v>
      </c>
      <c r="Q220" s="86">
        <f t="shared" si="91"/>
        <v>0</v>
      </c>
      <c r="R220" s="86">
        <f t="shared" si="91"/>
        <v>0</v>
      </c>
      <c r="S220" s="86">
        <f t="shared" si="91"/>
        <v>0</v>
      </c>
      <c r="T220" s="86">
        <f t="shared" si="91"/>
        <v>0</v>
      </c>
      <c r="U220" s="87">
        <f t="shared" si="91"/>
        <v>1609</v>
      </c>
      <c r="V220" s="88">
        <f t="shared" si="91"/>
        <v>1698</v>
      </c>
      <c r="W220" s="88">
        <f t="shared" si="91"/>
        <v>1520</v>
      </c>
      <c r="X220" s="88">
        <f t="shared" si="91"/>
        <v>0</v>
      </c>
      <c r="Y220" s="88">
        <f t="shared" si="91"/>
        <v>0</v>
      </c>
      <c r="Z220" s="88">
        <f t="shared" si="91"/>
        <v>0</v>
      </c>
      <c r="AA220" s="88">
        <f t="shared" si="91"/>
        <v>0</v>
      </c>
      <c r="AB220" s="88">
        <f t="shared" si="91"/>
        <v>0</v>
      </c>
      <c r="AC220" s="88">
        <f t="shared" si="91"/>
        <v>0</v>
      </c>
      <c r="AD220" s="87">
        <f t="shared" si="91"/>
        <v>7905</v>
      </c>
      <c r="AE220" s="88">
        <f t="shared" si="91"/>
        <v>7950</v>
      </c>
      <c r="AF220" s="88">
        <f t="shared" si="91"/>
        <v>7850</v>
      </c>
      <c r="AG220" s="88">
        <f t="shared" si="91"/>
        <v>0</v>
      </c>
      <c r="AH220" s="88">
        <f t="shared" si="91"/>
        <v>0</v>
      </c>
      <c r="AI220" s="88">
        <f t="shared" si="91"/>
        <v>0</v>
      </c>
      <c r="AJ220" s="88">
        <f t="shared" si="91"/>
        <v>0</v>
      </c>
      <c r="AK220" s="88">
        <f t="shared" si="91"/>
        <v>0</v>
      </c>
      <c r="AL220" s="88">
        <f t="shared" si="91"/>
        <v>0</v>
      </c>
      <c r="AM220" s="88">
        <f t="shared" si="91"/>
        <v>30.038821358111118</v>
      </c>
      <c r="AN220" s="88">
        <f t="shared" si="91"/>
        <v>80</v>
      </c>
      <c r="AO220" s="89">
        <f t="shared" si="91"/>
        <v>17.399999999999999</v>
      </c>
      <c r="AP220" s="90">
        <f t="shared" si="91"/>
        <v>14.598599999999999</v>
      </c>
      <c r="AQ220" s="91">
        <f t="shared" si="91"/>
        <v>83.9</v>
      </c>
      <c r="AR220" s="91">
        <f t="shared" si="91"/>
        <v>13.900000000000006</v>
      </c>
      <c r="AS220" s="92">
        <f t="shared" si="91"/>
        <v>0</v>
      </c>
      <c r="AT220" s="93">
        <f t="shared" si="91"/>
        <v>13.45</v>
      </c>
      <c r="AU220" s="94">
        <f t="shared" si="91"/>
        <v>5.0620499999999993</v>
      </c>
      <c r="AV220" s="91">
        <f t="shared" si="91"/>
        <v>31.937223974763402</v>
      </c>
      <c r="AW220" s="91">
        <f t="shared" si="91"/>
        <v>36.516455696202534</v>
      </c>
      <c r="AX220" s="83">
        <f t="shared" si="91"/>
        <v>74.40206196392468</v>
      </c>
      <c r="AY220" s="95">
        <f t="shared" si="91"/>
        <v>70.75</v>
      </c>
      <c r="AZ220" s="96">
        <f t="shared" si="91"/>
        <v>60.01</v>
      </c>
      <c r="BA220" s="96">
        <f t="shared" si="91"/>
        <v>0</v>
      </c>
      <c r="BB220" s="96">
        <f t="shared" si="91"/>
        <v>30</v>
      </c>
      <c r="BC220" s="96">
        <f t="shared" si="91"/>
        <v>0</v>
      </c>
      <c r="BD220" s="97">
        <f t="shared" si="91"/>
        <v>80</v>
      </c>
      <c r="BE220" s="87">
        <f t="shared" si="91"/>
        <v>1268</v>
      </c>
      <c r="BF220" s="88">
        <f t="shared" si="91"/>
        <v>0</v>
      </c>
      <c r="BG220" s="98">
        <f t="shared" si="91"/>
        <v>0</v>
      </c>
      <c r="BH220" s="98">
        <f t="shared" si="91"/>
        <v>0</v>
      </c>
      <c r="BI220" s="98">
        <f t="shared" si="91"/>
        <v>1266</v>
      </c>
      <c r="BJ220" s="98">
        <f t="shared" si="91"/>
        <v>0</v>
      </c>
      <c r="BK220" s="98">
        <f t="shared" si="91"/>
        <v>0</v>
      </c>
      <c r="BL220" s="97">
        <f t="shared" si="91"/>
        <v>0</v>
      </c>
    </row>
    <row r="221" spans="1:64" outlineLevel="2" x14ac:dyDescent="0.3">
      <c r="A221" s="81" t="s">
        <v>79</v>
      </c>
      <c r="B221" s="82"/>
      <c r="C221" s="83">
        <f t="shared" ref="C221:BL221" si="92">IFERROR(SUBTOTAL(1,C189:C218),"")</f>
        <v>36.176666666666662</v>
      </c>
      <c r="D221" s="84">
        <f t="shared" si="92"/>
        <v>36.43333333333333</v>
      </c>
      <c r="E221" s="84">
        <f t="shared" si="92"/>
        <v>35.916666666666664</v>
      </c>
      <c r="F221" s="84" t="str">
        <f t="shared" si="92"/>
        <v/>
      </c>
      <c r="G221" s="84" t="str">
        <f t="shared" si="92"/>
        <v/>
      </c>
      <c r="H221" s="84" t="str">
        <f t="shared" si="92"/>
        <v/>
      </c>
      <c r="I221" s="84" t="str">
        <f t="shared" si="92"/>
        <v/>
      </c>
      <c r="J221" s="84" t="str">
        <f t="shared" si="92"/>
        <v/>
      </c>
      <c r="K221" s="84" t="str">
        <f t="shared" si="92"/>
        <v/>
      </c>
      <c r="L221" s="85">
        <f t="shared" si="92"/>
        <v>7.9058823529411786</v>
      </c>
      <c r="M221" s="86">
        <f t="shared" si="92"/>
        <v>7.9529411764705875</v>
      </c>
      <c r="N221" s="86">
        <f t="shared" si="92"/>
        <v>7.8588235294117661</v>
      </c>
      <c r="O221" s="86" t="str">
        <f t="shared" si="92"/>
        <v/>
      </c>
      <c r="P221" s="86" t="str">
        <f t="shared" si="92"/>
        <v/>
      </c>
      <c r="Q221" s="86" t="str">
        <f t="shared" si="92"/>
        <v/>
      </c>
      <c r="R221" s="86" t="str">
        <f t="shared" si="92"/>
        <v/>
      </c>
      <c r="S221" s="86" t="str">
        <f t="shared" si="92"/>
        <v/>
      </c>
      <c r="T221" s="86" t="str">
        <f t="shared" si="92"/>
        <v/>
      </c>
      <c r="U221" s="87">
        <f t="shared" si="92"/>
        <v>1912.8823529411766</v>
      </c>
      <c r="V221" s="88">
        <f t="shared" si="92"/>
        <v>1988.4117647058824</v>
      </c>
      <c r="W221" s="88">
        <f t="shared" si="92"/>
        <v>1837.3529411764705</v>
      </c>
      <c r="X221" s="88" t="str">
        <f t="shared" si="92"/>
        <v/>
      </c>
      <c r="Y221" s="88" t="str">
        <f t="shared" si="92"/>
        <v/>
      </c>
      <c r="Z221" s="88" t="str">
        <f t="shared" si="92"/>
        <v/>
      </c>
      <c r="AA221" s="88" t="str">
        <f t="shared" si="92"/>
        <v/>
      </c>
      <c r="AB221" s="88" t="str">
        <f t="shared" si="92"/>
        <v/>
      </c>
      <c r="AC221" s="88" t="str">
        <f t="shared" si="92"/>
        <v/>
      </c>
      <c r="AD221" s="87">
        <f t="shared" si="92"/>
        <v>8757.5</v>
      </c>
      <c r="AE221" s="88">
        <f t="shared" si="92"/>
        <v>8787.5</v>
      </c>
      <c r="AF221" s="88">
        <f t="shared" si="92"/>
        <v>8727.5</v>
      </c>
      <c r="AG221" s="88" t="str">
        <f t="shared" si="92"/>
        <v/>
      </c>
      <c r="AH221" s="88" t="str">
        <f t="shared" si="92"/>
        <v/>
      </c>
      <c r="AI221" s="88" t="str">
        <f t="shared" si="92"/>
        <v/>
      </c>
      <c r="AJ221" s="88" t="str">
        <f t="shared" si="92"/>
        <v/>
      </c>
      <c r="AK221" s="88" t="str">
        <f t="shared" si="92"/>
        <v/>
      </c>
      <c r="AL221" s="88" t="str">
        <f t="shared" si="92"/>
        <v/>
      </c>
      <c r="AM221" s="88">
        <f t="shared" si="92"/>
        <v>40.985356327112363</v>
      </c>
      <c r="AN221" s="88">
        <f t="shared" si="92"/>
        <v>118.87633333333335</v>
      </c>
      <c r="AO221" s="89">
        <f t="shared" si="92"/>
        <v>22.866666666666664</v>
      </c>
      <c r="AP221" s="90">
        <f t="shared" si="92"/>
        <v>19.449766666666665</v>
      </c>
      <c r="AQ221" s="91">
        <f t="shared" si="92"/>
        <v>84.733333333333334</v>
      </c>
      <c r="AR221" s="91">
        <f t="shared" si="92"/>
        <v>15.266666666666666</v>
      </c>
      <c r="AS221" s="92">
        <f t="shared" si="92"/>
        <v>1</v>
      </c>
      <c r="AT221" s="93">
        <f t="shared" si="92"/>
        <v>14.429166666666665</v>
      </c>
      <c r="AU221" s="94">
        <f t="shared" si="92"/>
        <v>8.0147208333333335</v>
      </c>
      <c r="AV221" s="91">
        <f t="shared" si="92"/>
        <v>55.696484487250707</v>
      </c>
      <c r="AW221" s="91">
        <f t="shared" si="92"/>
        <v>44.303515512749293</v>
      </c>
      <c r="AX221" s="83">
        <f t="shared" si="92"/>
        <v>74.978540032071194</v>
      </c>
      <c r="AY221" s="95">
        <f t="shared" si="92"/>
        <v>74.262500000000003</v>
      </c>
      <c r="AZ221" s="96">
        <f t="shared" si="92"/>
        <v>63.29968749999999</v>
      </c>
      <c r="BA221" s="96" t="str">
        <f t="shared" si="92"/>
        <v/>
      </c>
      <c r="BB221" s="96">
        <f t="shared" si="92"/>
        <v>42.71875</v>
      </c>
      <c r="BC221" s="96" t="str">
        <f t="shared" si="92"/>
        <v/>
      </c>
      <c r="BD221" s="97">
        <f>IFERROR(SUBTOTAL(1,BD189:BD218),"")</f>
        <v>118.87633333333335</v>
      </c>
      <c r="BE221" s="87">
        <f t="shared" si="92"/>
        <v>5677.7</v>
      </c>
      <c r="BF221" s="88">
        <f t="shared" si="92"/>
        <v>1.6</v>
      </c>
      <c r="BG221" s="98">
        <f t="shared" si="92"/>
        <v>0</v>
      </c>
      <c r="BH221" s="98">
        <f t="shared" si="92"/>
        <v>0.4</v>
      </c>
      <c r="BI221" s="98">
        <f t="shared" si="92"/>
        <v>5675.7</v>
      </c>
      <c r="BJ221" s="98" t="str">
        <f t="shared" si="92"/>
        <v/>
      </c>
      <c r="BK221" s="98" t="str">
        <f t="shared" si="92"/>
        <v/>
      </c>
      <c r="BL221" s="97" t="str">
        <f t="shared" si="92"/>
        <v/>
      </c>
    </row>
    <row r="222" spans="1:64" ht="17.25" outlineLevel="1" thickBot="1" x14ac:dyDescent="0.35">
      <c r="A222" s="99" t="s">
        <v>80</v>
      </c>
      <c r="B222" s="100"/>
      <c r="C222" s="101"/>
      <c r="D222" s="102"/>
      <c r="E222" s="102"/>
      <c r="F222" s="102"/>
      <c r="G222" s="102"/>
      <c r="H222" s="102"/>
      <c r="I222" s="102"/>
      <c r="J222" s="102"/>
      <c r="K222" s="102"/>
      <c r="L222" s="103"/>
      <c r="M222" s="104"/>
      <c r="N222" s="104"/>
      <c r="O222" s="104"/>
      <c r="P222" s="104"/>
      <c r="Q222" s="104"/>
      <c r="R222" s="104"/>
      <c r="S222" s="104"/>
      <c r="T222" s="104"/>
      <c r="U222" s="105"/>
      <c r="V222" s="106"/>
      <c r="W222" s="106"/>
      <c r="X222" s="106"/>
      <c r="Y222" s="106"/>
      <c r="Z222" s="106"/>
      <c r="AA222" s="106"/>
      <c r="AB222" s="106"/>
      <c r="AC222" s="106"/>
      <c r="AD222" s="105"/>
      <c r="AE222" s="106"/>
      <c r="AF222" s="106"/>
      <c r="AG222" s="106"/>
      <c r="AH222" s="106"/>
      <c r="AI222" s="106"/>
      <c r="AJ222" s="106"/>
      <c r="AK222" s="106"/>
      <c r="AL222" s="106"/>
      <c r="AM222" s="106"/>
      <c r="AN222" s="107">
        <f>SUBTOTAL(9,AN189:AN218)</f>
        <v>3566.2900000000004</v>
      </c>
      <c r="AO222" s="108"/>
      <c r="AP222" s="109"/>
      <c r="AQ222" s="110"/>
      <c r="AR222" s="110"/>
      <c r="AS222" s="111">
        <f>SUBTOTAL(9,AS189:AS218)</f>
        <v>30</v>
      </c>
      <c r="AT222" s="112"/>
      <c r="AU222" s="113"/>
      <c r="AV222" s="110"/>
      <c r="AW222" s="110"/>
      <c r="AX222" s="101"/>
      <c r="AY222" s="114"/>
      <c r="AZ222" s="115"/>
      <c r="BA222" s="115"/>
      <c r="BB222" s="115"/>
      <c r="BC222" s="115"/>
      <c r="BD222" s="116">
        <f>SUBTOTAL(9,BD189:BD218)</f>
        <v>3566.2900000000004</v>
      </c>
      <c r="BE222" s="117">
        <f t="shared" ref="BE222:BL222" si="93">SUBTOTAL(9,BE189:BE218)</f>
        <v>170331</v>
      </c>
      <c r="BF222" s="107">
        <f t="shared" si="93"/>
        <v>48</v>
      </c>
      <c r="BG222" s="118">
        <f t="shared" si="93"/>
        <v>0</v>
      </c>
      <c r="BH222" s="118">
        <f t="shared" si="93"/>
        <v>12</v>
      </c>
      <c r="BI222" s="118">
        <f t="shared" si="93"/>
        <v>170271</v>
      </c>
      <c r="BJ222" s="118">
        <f t="shared" si="93"/>
        <v>0</v>
      </c>
      <c r="BK222" s="118">
        <f t="shared" si="93"/>
        <v>0</v>
      </c>
      <c r="BL222" s="116">
        <f t="shared" si="93"/>
        <v>0</v>
      </c>
    </row>
    <row r="223" spans="1:64" outlineLevel="5" x14ac:dyDescent="0.3">
      <c r="A223" s="136">
        <f t="shared" si="75"/>
        <v>7</v>
      </c>
      <c r="B223" s="165">
        <f>B218+1</f>
        <v>44743</v>
      </c>
      <c r="C223" s="138">
        <f t="shared" ref="C223:C253" si="94">IFERROR(ROUND(AVERAGE(D223:K223),1),"")</f>
        <v>36.5</v>
      </c>
      <c r="D223" s="84">
        <v>37</v>
      </c>
      <c r="E223" s="84">
        <v>36</v>
      </c>
      <c r="F223" s="84"/>
      <c r="G223" s="84"/>
      <c r="H223" s="84"/>
      <c r="I223" s="84"/>
      <c r="J223" s="84"/>
      <c r="K223" s="84"/>
      <c r="L223" s="140">
        <f t="shared" ref="L223:L253" si="95">IFERROR(ROUND(AVERAGE(M223:T223),1),"")</f>
        <v>8</v>
      </c>
      <c r="M223" s="86">
        <v>7.99</v>
      </c>
      <c r="N223" s="86">
        <v>7.95</v>
      </c>
      <c r="O223" s="86"/>
      <c r="P223" s="86"/>
      <c r="Q223" s="86"/>
      <c r="R223" s="86"/>
      <c r="S223" s="86"/>
      <c r="T223" s="86"/>
      <c r="U223" s="142">
        <f t="shared" ref="U223:U253" si="96">IFERROR(ROUND(AVERAGE(V223:AC223),1),"")</f>
        <v>1885</v>
      </c>
      <c r="V223" s="88">
        <v>1850</v>
      </c>
      <c r="W223" s="88">
        <v>1920</v>
      </c>
      <c r="X223" s="88"/>
      <c r="Y223" s="88"/>
      <c r="Z223" s="88"/>
      <c r="AA223" s="88"/>
      <c r="AB223" s="88"/>
      <c r="AC223" s="88"/>
      <c r="AD223" s="142" t="str">
        <f t="shared" ref="AD223:AD253" si="97">IFERROR(ROUND(AVERAGE(AE223:AL223),1),"")</f>
        <v/>
      </c>
      <c r="AE223" s="88"/>
      <c r="AF223" s="88"/>
      <c r="AG223" s="88"/>
      <c r="AH223" s="88"/>
      <c r="AI223" s="88"/>
      <c r="AJ223" s="88"/>
      <c r="AK223" s="88"/>
      <c r="AL223" s="88"/>
      <c r="AM223" s="88">
        <v>35.014836795252222</v>
      </c>
      <c r="AN223" s="88">
        <v>134.80000000000001</v>
      </c>
      <c r="AO223" s="89"/>
      <c r="AP223" s="90"/>
      <c r="AQ223" s="146" t="str">
        <f t="shared" ref="AQ223:AQ253" si="98">IFERROR(AP223/AO223*100,"")</f>
        <v/>
      </c>
      <c r="AR223" s="146" t="str">
        <f t="shared" ref="AR223:AR253" si="99">IFERROR(100-AQ223,"")</f>
        <v/>
      </c>
      <c r="AS223" s="147">
        <v>10</v>
      </c>
      <c r="AT223" s="148" t="s">
        <v>106</v>
      </c>
      <c r="AU223" s="149" t="s">
        <v>56</v>
      </c>
      <c r="AV223" s="146" t="str">
        <f t="shared" ref="AV223:AV253" si="100">IFERROR(AU223/AT223*100,"")</f>
        <v/>
      </c>
      <c r="AW223" s="146" t="str">
        <f t="shared" ref="AW223:AW253" si="101">IFERROR(100-AV223,"")</f>
        <v/>
      </c>
      <c r="AX223" s="168" t="str">
        <f t="shared" ref="AX223:AX253" si="102">IFERROR((1-((AV223*AR223)/(AW223*AQ223)))*100,"")</f>
        <v/>
      </c>
      <c r="AY223" s="95" t="s">
        <v>56</v>
      </c>
      <c r="AZ223" s="96">
        <v>61.594999999999999</v>
      </c>
      <c r="BA223" s="96"/>
      <c r="BB223" s="96">
        <v>49</v>
      </c>
      <c r="BC223" s="96"/>
      <c r="BD223" s="97">
        <v>134.80000000000001</v>
      </c>
      <c r="BE223" s="142">
        <f t="shared" ref="BE223:BE253" si="103">IF(SUM(BF223:BL223)=0,"",SUM(BF223:BL223))</f>
        <v>7632</v>
      </c>
      <c r="BF223" s="98">
        <v>0</v>
      </c>
      <c r="BG223" s="98">
        <v>0</v>
      </c>
      <c r="BH223" s="98">
        <v>0</v>
      </c>
      <c r="BI223" s="98">
        <v>7632</v>
      </c>
      <c r="BJ223" s="98"/>
      <c r="BK223" s="98"/>
      <c r="BL223" s="97"/>
    </row>
    <row r="224" spans="1:64" outlineLevel="5" x14ac:dyDescent="0.3">
      <c r="A224" s="152">
        <f t="shared" si="75"/>
        <v>7</v>
      </c>
      <c r="B224" s="153">
        <f t="shared" ref="B224:B287" si="104">B223+1</f>
        <v>44744</v>
      </c>
      <c r="C224" s="138">
        <f t="shared" si="94"/>
        <v>36.5</v>
      </c>
      <c r="D224" s="84">
        <v>37</v>
      </c>
      <c r="E224" s="84">
        <v>36</v>
      </c>
      <c r="F224" s="84"/>
      <c r="G224" s="84"/>
      <c r="H224" s="84"/>
      <c r="I224" s="84"/>
      <c r="J224" s="84"/>
      <c r="K224" s="84"/>
      <c r="L224" s="140" t="str">
        <f t="shared" si="95"/>
        <v/>
      </c>
      <c r="M224" s="86"/>
      <c r="N224" s="86"/>
      <c r="O224" s="86"/>
      <c r="P224" s="86"/>
      <c r="Q224" s="86"/>
      <c r="R224" s="86"/>
      <c r="S224" s="86"/>
      <c r="T224" s="86"/>
      <c r="U224" s="142" t="str">
        <f t="shared" si="96"/>
        <v/>
      </c>
      <c r="V224" s="88"/>
      <c r="W224" s="88"/>
      <c r="X224" s="88"/>
      <c r="Y224" s="88"/>
      <c r="Z224" s="88"/>
      <c r="AA224" s="88"/>
      <c r="AB224" s="88"/>
      <c r="AC224" s="88"/>
      <c r="AD224" s="142" t="str">
        <f t="shared" si="97"/>
        <v/>
      </c>
      <c r="AE224" s="88"/>
      <c r="AF224" s="88"/>
      <c r="AG224" s="88"/>
      <c r="AH224" s="88"/>
      <c r="AI224" s="88"/>
      <c r="AJ224" s="88"/>
      <c r="AK224" s="88"/>
      <c r="AL224" s="88"/>
      <c r="AM224" s="88">
        <v>35.139964264443122</v>
      </c>
      <c r="AN224" s="88">
        <v>134.32</v>
      </c>
      <c r="AO224" s="89"/>
      <c r="AP224" s="90"/>
      <c r="AQ224" s="146" t="str">
        <f t="shared" si="98"/>
        <v/>
      </c>
      <c r="AR224" s="146" t="str">
        <f t="shared" si="99"/>
        <v/>
      </c>
      <c r="AS224" s="147">
        <v>10</v>
      </c>
      <c r="AT224" s="148" t="s">
        <v>106</v>
      </c>
      <c r="AU224" s="149" t="s">
        <v>56</v>
      </c>
      <c r="AV224" s="146" t="str">
        <f t="shared" si="100"/>
        <v/>
      </c>
      <c r="AW224" s="146" t="str">
        <f t="shared" si="101"/>
        <v/>
      </c>
      <c r="AX224" s="168" t="str">
        <f t="shared" si="102"/>
        <v/>
      </c>
      <c r="AY224" s="95" t="s">
        <v>56</v>
      </c>
      <c r="AZ224" s="96" t="s">
        <v>56</v>
      </c>
      <c r="BA224" s="96"/>
      <c r="BB224" s="96" t="s">
        <v>56</v>
      </c>
      <c r="BC224" s="96"/>
      <c r="BD224" s="97">
        <v>134.32</v>
      </c>
      <c r="BE224" s="142">
        <f t="shared" si="103"/>
        <v>6978</v>
      </c>
      <c r="BF224" s="98">
        <v>0</v>
      </c>
      <c r="BG224" s="98">
        <v>0</v>
      </c>
      <c r="BH224" s="98">
        <v>0</v>
      </c>
      <c r="BI224" s="98">
        <v>6978</v>
      </c>
      <c r="BJ224" s="98"/>
      <c r="BK224" s="98"/>
      <c r="BL224" s="97"/>
    </row>
    <row r="225" spans="1:64" outlineLevel="5" x14ac:dyDescent="0.3">
      <c r="A225" s="152">
        <f t="shared" si="75"/>
        <v>7</v>
      </c>
      <c r="B225" s="153">
        <f t="shared" si="104"/>
        <v>44745</v>
      </c>
      <c r="C225" s="138">
        <f t="shared" si="94"/>
        <v>36.5</v>
      </c>
      <c r="D225" s="84">
        <v>37</v>
      </c>
      <c r="E225" s="84">
        <v>36</v>
      </c>
      <c r="F225" s="84"/>
      <c r="G225" s="84"/>
      <c r="H225" s="84"/>
      <c r="I225" s="84"/>
      <c r="J225" s="84"/>
      <c r="K225" s="84"/>
      <c r="L225" s="140" t="str">
        <f t="shared" si="95"/>
        <v/>
      </c>
      <c r="M225" s="86"/>
      <c r="N225" s="86"/>
      <c r="O225" s="86"/>
      <c r="P225" s="86"/>
      <c r="Q225" s="86"/>
      <c r="R225" s="86"/>
      <c r="S225" s="86"/>
      <c r="T225" s="86"/>
      <c r="U225" s="142" t="str">
        <f t="shared" si="96"/>
        <v/>
      </c>
      <c r="V225" s="88"/>
      <c r="W225" s="88"/>
      <c r="X225" s="88"/>
      <c r="Y225" s="88"/>
      <c r="Z225" s="88"/>
      <c r="AA225" s="88"/>
      <c r="AB225" s="88"/>
      <c r="AC225" s="88"/>
      <c r="AD225" s="142" t="str">
        <f t="shared" si="97"/>
        <v/>
      </c>
      <c r="AE225" s="88"/>
      <c r="AF225" s="88"/>
      <c r="AG225" s="88"/>
      <c r="AH225" s="88"/>
      <c r="AI225" s="88"/>
      <c r="AJ225" s="88"/>
      <c r="AK225" s="88"/>
      <c r="AL225" s="88"/>
      <c r="AM225" s="88">
        <v>37.76</v>
      </c>
      <c r="AN225" s="88">
        <v>125</v>
      </c>
      <c r="AO225" s="89"/>
      <c r="AP225" s="90"/>
      <c r="AQ225" s="146" t="str">
        <f t="shared" si="98"/>
        <v/>
      </c>
      <c r="AR225" s="146" t="str">
        <f t="shared" si="99"/>
        <v/>
      </c>
      <c r="AS225" s="147">
        <v>0</v>
      </c>
      <c r="AT225" s="148" t="s">
        <v>106</v>
      </c>
      <c r="AU225" s="149" t="s">
        <v>56</v>
      </c>
      <c r="AV225" s="146" t="str">
        <f t="shared" si="100"/>
        <v/>
      </c>
      <c r="AW225" s="146" t="str">
        <f t="shared" si="101"/>
        <v/>
      </c>
      <c r="AX225" s="168" t="str">
        <f t="shared" si="102"/>
        <v/>
      </c>
      <c r="AY225" s="95" t="s">
        <v>56</v>
      </c>
      <c r="AZ225" s="96" t="s">
        <v>56</v>
      </c>
      <c r="BA225" s="96"/>
      <c r="BB225" s="96" t="s">
        <v>56</v>
      </c>
      <c r="BC225" s="96"/>
      <c r="BD225" s="97">
        <v>125</v>
      </c>
      <c r="BE225" s="142">
        <f t="shared" si="103"/>
        <v>6647</v>
      </c>
      <c r="BF225" s="98">
        <v>0</v>
      </c>
      <c r="BG225" s="98">
        <v>0</v>
      </c>
      <c r="BH225" s="98">
        <v>0</v>
      </c>
      <c r="BI225" s="98">
        <v>6647</v>
      </c>
      <c r="BJ225" s="98"/>
      <c r="BK225" s="98"/>
      <c r="BL225" s="97"/>
    </row>
    <row r="226" spans="1:64" outlineLevel="5" x14ac:dyDescent="0.3">
      <c r="A226" s="152">
        <f t="shared" si="75"/>
        <v>7</v>
      </c>
      <c r="B226" s="153">
        <f t="shared" si="104"/>
        <v>44746</v>
      </c>
      <c r="C226" s="138">
        <f t="shared" si="94"/>
        <v>36.5</v>
      </c>
      <c r="D226" s="84">
        <v>37</v>
      </c>
      <c r="E226" s="84">
        <v>36</v>
      </c>
      <c r="F226" s="84"/>
      <c r="G226" s="84"/>
      <c r="H226" s="84"/>
      <c r="I226" s="84"/>
      <c r="J226" s="84"/>
      <c r="K226" s="84"/>
      <c r="L226" s="140">
        <f t="shared" si="95"/>
        <v>7.9</v>
      </c>
      <c r="M226" s="86">
        <v>7.96</v>
      </c>
      <c r="N226" s="86">
        <v>7.88</v>
      </c>
      <c r="O226" s="86"/>
      <c r="P226" s="86"/>
      <c r="Q226" s="86"/>
      <c r="R226" s="86"/>
      <c r="S226" s="86"/>
      <c r="T226" s="86"/>
      <c r="U226" s="142">
        <f t="shared" si="96"/>
        <v>2121</v>
      </c>
      <c r="V226" s="88">
        <v>2162</v>
      </c>
      <c r="W226" s="88">
        <v>2080</v>
      </c>
      <c r="X226" s="88"/>
      <c r="Y226" s="88"/>
      <c r="Z226" s="88"/>
      <c r="AA226" s="88"/>
      <c r="AB226" s="88"/>
      <c r="AC226" s="88"/>
      <c r="AD226" s="142" t="str">
        <f t="shared" si="97"/>
        <v/>
      </c>
      <c r="AE226" s="88"/>
      <c r="AF226" s="88"/>
      <c r="AG226" s="88"/>
      <c r="AH226" s="88"/>
      <c r="AI226" s="88"/>
      <c r="AJ226" s="88"/>
      <c r="AK226" s="88"/>
      <c r="AL226" s="88"/>
      <c r="AM226" s="88">
        <v>34.141048824593128</v>
      </c>
      <c r="AN226" s="88">
        <v>138.25</v>
      </c>
      <c r="AO226" s="89">
        <v>17.8</v>
      </c>
      <c r="AP226" s="90">
        <v>14.631600000000001</v>
      </c>
      <c r="AQ226" s="146">
        <f t="shared" si="98"/>
        <v>82.199999999999989</v>
      </c>
      <c r="AR226" s="146">
        <f t="shared" si="99"/>
        <v>17.800000000000011</v>
      </c>
      <c r="AS226" s="147">
        <v>0</v>
      </c>
      <c r="AT226" s="148">
        <v>14.5</v>
      </c>
      <c r="AU226" s="149">
        <v>8.1706500000000002</v>
      </c>
      <c r="AV226" s="146">
        <f t="shared" si="100"/>
        <v>56.349310344827586</v>
      </c>
      <c r="AW226" s="146">
        <f t="shared" si="101"/>
        <v>43.650689655172414</v>
      </c>
      <c r="AX226" s="168">
        <f t="shared" si="102"/>
        <v>72.045889330663712</v>
      </c>
      <c r="AY226" s="95">
        <v>70.95</v>
      </c>
      <c r="AZ226" s="96">
        <v>60.854999999999997</v>
      </c>
      <c r="BA226" s="96"/>
      <c r="BB226" s="96">
        <v>49</v>
      </c>
      <c r="BC226" s="96"/>
      <c r="BD226" s="97">
        <v>138.25</v>
      </c>
      <c r="BE226" s="142">
        <f t="shared" si="103"/>
        <v>7119</v>
      </c>
      <c r="BF226" s="98">
        <v>0</v>
      </c>
      <c r="BG226" s="98">
        <v>0</v>
      </c>
      <c r="BH226" s="98">
        <v>0</v>
      </c>
      <c r="BI226" s="98">
        <v>7119</v>
      </c>
      <c r="BJ226" s="98"/>
      <c r="BK226" s="98"/>
      <c r="BL226" s="97"/>
    </row>
    <row r="227" spans="1:64" outlineLevel="5" x14ac:dyDescent="0.3">
      <c r="A227" s="152">
        <f t="shared" si="75"/>
        <v>7</v>
      </c>
      <c r="B227" s="153">
        <f t="shared" si="104"/>
        <v>44747</v>
      </c>
      <c r="C227" s="138">
        <f t="shared" si="94"/>
        <v>37</v>
      </c>
      <c r="D227" s="84">
        <v>37</v>
      </c>
      <c r="E227" s="84">
        <v>37</v>
      </c>
      <c r="F227" s="84"/>
      <c r="G227" s="84"/>
      <c r="H227" s="84"/>
      <c r="I227" s="84"/>
      <c r="J227" s="84"/>
      <c r="K227" s="84"/>
      <c r="L227" s="140">
        <f t="shared" si="95"/>
        <v>7.9</v>
      </c>
      <c r="M227" s="86">
        <v>7.95</v>
      </c>
      <c r="N227" s="86">
        <v>7.86</v>
      </c>
      <c r="O227" s="86"/>
      <c r="P227" s="86"/>
      <c r="Q227" s="86"/>
      <c r="R227" s="86"/>
      <c r="S227" s="86"/>
      <c r="T227" s="86"/>
      <c r="U227" s="142">
        <f t="shared" si="96"/>
        <v>2225</v>
      </c>
      <c r="V227" s="88">
        <v>2310</v>
      </c>
      <c r="W227" s="88">
        <v>2140</v>
      </c>
      <c r="X227" s="88"/>
      <c r="Y227" s="88"/>
      <c r="Z227" s="88"/>
      <c r="AA227" s="88"/>
      <c r="AB227" s="88"/>
      <c r="AC227" s="88"/>
      <c r="AD227" s="142" t="str">
        <f t="shared" si="97"/>
        <v/>
      </c>
      <c r="AE227" s="88"/>
      <c r="AF227" s="88"/>
      <c r="AG227" s="88"/>
      <c r="AH227" s="88"/>
      <c r="AI227" s="88"/>
      <c r="AJ227" s="88"/>
      <c r="AK227" s="88"/>
      <c r="AL227" s="88"/>
      <c r="AM227" s="88">
        <v>31.451989071766512</v>
      </c>
      <c r="AN227" s="88">
        <v>150.07</v>
      </c>
      <c r="AO227" s="89"/>
      <c r="AP227" s="90"/>
      <c r="AQ227" s="146" t="str">
        <f t="shared" si="98"/>
        <v/>
      </c>
      <c r="AR227" s="146" t="str">
        <f t="shared" si="99"/>
        <v/>
      </c>
      <c r="AS227" s="147">
        <v>10</v>
      </c>
      <c r="AT227" s="148" t="s">
        <v>106</v>
      </c>
      <c r="AU227" s="149" t="s">
        <v>56</v>
      </c>
      <c r="AV227" s="146" t="str">
        <f t="shared" si="100"/>
        <v/>
      </c>
      <c r="AW227" s="146" t="str">
        <f t="shared" si="101"/>
        <v/>
      </c>
      <c r="AX227" s="168" t="str">
        <f t="shared" si="102"/>
        <v/>
      </c>
      <c r="AY227" s="95" t="s">
        <v>56</v>
      </c>
      <c r="AZ227" s="96">
        <v>61.644999999999996</v>
      </c>
      <c r="BA227" s="96"/>
      <c r="BB227" s="96">
        <v>46</v>
      </c>
      <c r="BC227" s="96"/>
      <c r="BD227" s="97">
        <v>150.07</v>
      </c>
      <c r="BE227" s="142">
        <f t="shared" si="103"/>
        <v>7338</v>
      </c>
      <c r="BF227" s="98">
        <v>0</v>
      </c>
      <c r="BG227" s="98">
        <v>0</v>
      </c>
      <c r="BH227" s="98">
        <v>0</v>
      </c>
      <c r="BI227" s="98">
        <v>7338</v>
      </c>
      <c r="BJ227" s="98"/>
      <c r="BK227" s="98"/>
      <c r="BL227" s="97"/>
    </row>
    <row r="228" spans="1:64" outlineLevel="5" x14ac:dyDescent="0.3">
      <c r="A228" s="152">
        <f t="shared" si="75"/>
        <v>7</v>
      </c>
      <c r="B228" s="153">
        <f t="shared" si="104"/>
        <v>44748</v>
      </c>
      <c r="C228" s="138">
        <f t="shared" si="94"/>
        <v>37</v>
      </c>
      <c r="D228" s="84">
        <v>37</v>
      </c>
      <c r="E228" s="84">
        <v>37</v>
      </c>
      <c r="F228" s="84"/>
      <c r="G228" s="84"/>
      <c r="H228" s="84"/>
      <c r="I228" s="84"/>
      <c r="J228" s="84"/>
      <c r="K228" s="84"/>
      <c r="L228" s="140">
        <f t="shared" si="95"/>
        <v>8</v>
      </c>
      <c r="M228" s="86">
        <v>7.92</v>
      </c>
      <c r="N228" s="86">
        <v>7.98</v>
      </c>
      <c r="O228" s="86"/>
      <c r="P228" s="86"/>
      <c r="Q228" s="86"/>
      <c r="R228" s="86"/>
      <c r="S228" s="86"/>
      <c r="T228" s="86"/>
      <c r="U228" s="142">
        <f t="shared" si="96"/>
        <v>2189</v>
      </c>
      <c r="V228" s="88">
        <v>2245</v>
      </c>
      <c r="W228" s="88">
        <v>2133</v>
      </c>
      <c r="X228" s="88"/>
      <c r="Y228" s="88"/>
      <c r="Z228" s="88"/>
      <c r="AA228" s="88"/>
      <c r="AB228" s="88"/>
      <c r="AC228" s="88"/>
      <c r="AD228" s="142" t="str">
        <f t="shared" si="97"/>
        <v/>
      </c>
      <c r="AE228" s="88"/>
      <c r="AF228" s="88"/>
      <c r="AG228" s="88"/>
      <c r="AH228" s="88"/>
      <c r="AI228" s="88"/>
      <c r="AJ228" s="88"/>
      <c r="AK228" s="88"/>
      <c r="AL228" s="88"/>
      <c r="AM228" s="88">
        <v>33.394651195698316</v>
      </c>
      <c r="AN228" s="88">
        <v>141.34</v>
      </c>
      <c r="AO228" s="89"/>
      <c r="AP228" s="90"/>
      <c r="AQ228" s="146" t="str">
        <f t="shared" si="98"/>
        <v/>
      </c>
      <c r="AR228" s="146" t="str">
        <f t="shared" si="99"/>
        <v/>
      </c>
      <c r="AS228" s="147">
        <v>10</v>
      </c>
      <c r="AT228" s="148">
        <v>13.6</v>
      </c>
      <c r="AU228" s="149">
        <v>7.6204000000000001</v>
      </c>
      <c r="AV228" s="146">
        <f t="shared" si="100"/>
        <v>56.032352941176477</v>
      </c>
      <c r="AW228" s="146">
        <f t="shared" si="101"/>
        <v>43.967647058823523</v>
      </c>
      <c r="AX228" s="168" t="str">
        <f t="shared" si="102"/>
        <v/>
      </c>
      <c r="AY228" s="95">
        <v>75.099999999999994</v>
      </c>
      <c r="AZ228" s="96">
        <v>61.05</v>
      </c>
      <c r="BA228" s="96"/>
      <c r="BB228" s="96">
        <v>46</v>
      </c>
      <c r="BC228" s="96"/>
      <c r="BD228" s="97">
        <v>141.34</v>
      </c>
      <c r="BE228" s="142">
        <f t="shared" si="103"/>
        <v>1702</v>
      </c>
      <c r="BF228" s="98">
        <v>0</v>
      </c>
      <c r="BG228" s="98">
        <v>0</v>
      </c>
      <c r="BH228" s="98">
        <v>0</v>
      </c>
      <c r="BI228" s="98">
        <v>1702</v>
      </c>
      <c r="BJ228" s="98"/>
      <c r="BK228" s="98"/>
      <c r="BL228" s="97"/>
    </row>
    <row r="229" spans="1:64" outlineLevel="5" x14ac:dyDescent="0.3">
      <c r="A229" s="152">
        <f t="shared" si="75"/>
        <v>7</v>
      </c>
      <c r="B229" s="153">
        <f t="shared" si="104"/>
        <v>44749</v>
      </c>
      <c r="C229" s="138">
        <f t="shared" si="94"/>
        <v>36.5</v>
      </c>
      <c r="D229" s="84">
        <v>37</v>
      </c>
      <c r="E229" s="84">
        <v>36</v>
      </c>
      <c r="F229" s="84"/>
      <c r="G229" s="84"/>
      <c r="H229" s="84"/>
      <c r="I229" s="84"/>
      <c r="J229" s="84"/>
      <c r="K229" s="84"/>
      <c r="L229" s="140">
        <f t="shared" si="95"/>
        <v>7.9</v>
      </c>
      <c r="M229" s="86">
        <v>7.92</v>
      </c>
      <c r="N229" s="86">
        <v>7.95</v>
      </c>
      <c r="O229" s="86"/>
      <c r="P229" s="86"/>
      <c r="Q229" s="86"/>
      <c r="R229" s="86"/>
      <c r="S229" s="86"/>
      <c r="T229" s="86"/>
      <c r="U229" s="142">
        <f t="shared" si="96"/>
        <v>2127.5</v>
      </c>
      <c r="V229" s="88">
        <v>2155</v>
      </c>
      <c r="W229" s="88">
        <v>2100</v>
      </c>
      <c r="X229" s="88"/>
      <c r="Y229" s="88"/>
      <c r="Z229" s="88"/>
      <c r="AA229" s="88"/>
      <c r="AB229" s="88"/>
      <c r="AC229" s="88"/>
      <c r="AD229" s="142" t="str">
        <f t="shared" si="97"/>
        <v/>
      </c>
      <c r="AE229" s="88"/>
      <c r="AF229" s="88"/>
      <c r="AG229" s="88"/>
      <c r="AH229" s="88"/>
      <c r="AI229" s="88"/>
      <c r="AJ229" s="88"/>
      <c r="AK229" s="88"/>
      <c r="AL229" s="88"/>
      <c r="AM229" s="88">
        <v>32.89198606271777</v>
      </c>
      <c r="AN229" s="88">
        <v>143.5</v>
      </c>
      <c r="AO229" s="89"/>
      <c r="AP229" s="90"/>
      <c r="AQ229" s="146" t="str">
        <f t="shared" si="98"/>
        <v/>
      </c>
      <c r="AR229" s="146" t="str">
        <f t="shared" si="99"/>
        <v/>
      </c>
      <c r="AS229" s="147">
        <v>10</v>
      </c>
      <c r="AT229" s="148">
        <v>13.600000000000001</v>
      </c>
      <c r="AU229" s="149">
        <v>7.6846500000000004</v>
      </c>
      <c r="AV229" s="146">
        <f t="shared" si="100"/>
        <v>56.504779411764702</v>
      </c>
      <c r="AW229" s="146">
        <f t="shared" si="101"/>
        <v>43.495220588235298</v>
      </c>
      <c r="AX229" s="168" t="str">
        <f t="shared" si="102"/>
        <v/>
      </c>
      <c r="AY229" s="95">
        <v>75.3</v>
      </c>
      <c r="AZ229" s="96">
        <v>60.525000000000006</v>
      </c>
      <c r="BA229" s="96"/>
      <c r="BB229" s="96">
        <v>51</v>
      </c>
      <c r="BC229" s="96"/>
      <c r="BD229" s="97">
        <v>143.5</v>
      </c>
      <c r="BE229" s="142">
        <f t="shared" si="103"/>
        <v>1866</v>
      </c>
      <c r="BF229" s="98">
        <v>0</v>
      </c>
      <c r="BG229" s="98">
        <v>0</v>
      </c>
      <c r="BH229" s="98">
        <v>0</v>
      </c>
      <c r="BI229" s="98">
        <v>1866</v>
      </c>
      <c r="BJ229" s="98"/>
      <c r="BK229" s="98"/>
      <c r="BL229" s="97"/>
    </row>
    <row r="230" spans="1:64" outlineLevel="5" x14ac:dyDescent="0.3">
      <c r="A230" s="152">
        <f t="shared" si="75"/>
        <v>7</v>
      </c>
      <c r="B230" s="153">
        <f t="shared" si="104"/>
        <v>44750</v>
      </c>
      <c r="C230" s="138">
        <f t="shared" si="94"/>
        <v>36.5</v>
      </c>
      <c r="D230" s="84">
        <v>37</v>
      </c>
      <c r="E230" s="84">
        <v>36</v>
      </c>
      <c r="F230" s="84"/>
      <c r="G230" s="84"/>
      <c r="H230" s="84"/>
      <c r="I230" s="84"/>
      <c r="J230" s="84"/>
      <c r="K230" s="84"/>
      <c r="L230" s="140">
        <f t="shared" si="95"/>
        <v>8</v>
      </c>
      <c r="M230" s="86">
        <v>7.98</v>
      </c>
      <c r="N230" s="86">
        <v>7.96</v>
      </c>
      <c r="O230" s="86"/>
      <c r="P230" s="86"/>
      <c r="Q230" s="86"/>
      <c r="R230" s="86"/>
      <c r="S230" s="86"/>
      <c r="T230" s="86"/>
      <c r="U230" s="142">
        <f t="shared" si="96"/>
        <v>2075</v>
      </c>
      <c r="V230" s="88">
        <v>2100</v>
      </c>
      <c r="W230" s="88">
        <v>2050</v>
      </c>
      <c r="X230" s="88"/>
      <c r="Y230" s="88"/>
      <c r="Z230" s="88"/>
      <c r="AA230" s="88"/>
      <c r="AB230" s="88"/>
      <c r="AC230" s="88"/>
      <c r="AD230" s="142" t="str">
        <f t="shared" si="97"/>
        <v/>
      </c>
      <c r="AE230" s="88"/>
      <c r="AF230" s="88"/>
      <c r="AG230" s="88"/>
      <c r="AH230" s="88"/>
      <c r="AI230" s="88"/>
      <c r="AJ230" s="88"/>
      <c r="AK230" s="88"/>
      <c r="AL230" s="88"/>
      <c r="AM230" s="88">
        <v>37.633551267740394</v>
      </c>
      <c r="AN230" s="88">
        <v>125.41999999999999</v>
      </c>
      <c r="AO230" s="89"/>
      <c r="AP230" s="90"/>
      <c r="AQ230" s="146" t="str">
        <f t="shared" si="98"/>
        <v/>
      </c>
      <c r="AR230" s="146" t="str">
        <f t="shared" si="99"/>
        <v/>
      </c>
      <c r="AS230" s="147">
        <v>10</v>
      </c>
      <c r="AT230" s="148" t="s">
        <v>106</v>
      </c>
      <c r="AU230" s="149" t="s">
        <v>56</v>
      </c>
      <c r="AV230" s="146" t="str">
        <f t="shared" si="100"/>
        <v/>
      </c>
      <c r="AW230" s="146" t="str">
        <f t="shared" si="101"/>
        <v/>
      </c>
      <c r="AX230" s="168" t="str">
        <f t="shared" si="102"/>
        <v/>
      </c>
      <c r="AY230" s="95" t="s">
        <v>56</v>
      </c>
      <c r="AZ230" s="96">
        <v>60.635000000000005</v>
      </c>
      <c r="BA230" s="96"/>
      <c r="BB230" s="96">
        <v>49.5</v>
      </c>
      <c r="BC230" s="96"/>
      <c r="BD230" s="97">
        <v>125.41999999999999</v>
      </c>
      <c r="BE230" s="142">
        <f t="shared" si="103"/>
        <v>6466</v>
      </c>
      <c r="BF230" s="98">
        <v>0</v>
      </c>
      <c r="BG230" s="98">
        <v>0</v>
      </c>
      <c r="BH230" s="98">
        <v>0</v>
      </c>
      <c r="BI230" s="98">
        <v>6466</v>
      </c>
      <c r="BJ230" s="98"/>
      <c r="BK230" s="98"/>
      <c r="BL230" s="97"/>
    </row>
    <row r="231" spans="1:64" outlineLevel="5" x14ac:dyDescent="0.3">
      <c r="A231" s="152">
        <f t="shared" si="75"/>
        <v>7</v>
      </c>
      <c r="B231" s="153">
        <f t="shared" si="104"/>
        <v>44751</v>
      </c>
      <c r="C231" s="138">
        <f t="shared" si="94"/>
        <v>36.5</v>
      </c>
      <c r="D231" s="84">
        <v>37</v>
      </c>
      <c r="E231" s="84">
        <v>36</v>
      </c>
      <c r="F231" s="84"/>
      <c r="G231" s="84"/>
      <c r="H231" s="84"/>
      <c r="I231" s="84"/>
      <c r="J231" s="84"/>
      <c r="K231" s="84"/>
      <c r="L231" s="140" t="str">
        <f t="shared" si="95"/>
        <v/>
      </c>
      <c r="M231" s="86"/>
      <c r="N231" s="86"/>
      <c r="O231" s="86"/>
      <c r="P231" s="86"/>
      <c r="Q231" s="86"/>
      <c r="R231" s="86"/>
      <c r="S231" s="86"/>
      <c r="T231" s="86"/>
      <c r="U231" s="142" t="str">
        <f t="shared" si="96"/>
        <v/>
      </c>
      <c r="V231" s="88"/>
      <c r="W231" s="88"/>
      <c r="X231" s="88"/>
      <c r="Y231" s="88"/>
      <c r="Z231" s="88"/>
      <c r="AA231" s="88"/>
      <c r="AB231" s="88"/>
      <c r="AC231" s="88"/>
      <c r="AD231" s="142" t="str">
        <f t="shared" si="97"/>
        <v/>
      </c>
      <c r="AE231" s="88"/>
      <c r="AF231" s="88"/>
      <c r="AG231" s="88"/>
      <c r="AH231" s="88"/>
      <c r="AI231" s="88"/>
      <c r="AJ231" s="88"/>
      <c r="AK231" s="88"/>
      <c r="AL231" s="88"/>
      <c r="AM231" s="88">
        <v>38.574697613599213</v>
      </c>
      <c r="AN231" s="88">
        <v>122.36</v>
      </c>
      <c r="AO231" s="89"/>
      <c r="AP231" s="90"/>
      <c r="AQ231" s="146" t="str">
        <f t="shared" si="98"/>
        <v/>
      </c>
      <c r="AR231" s="146" t="str">
        <f t="shared" si="99"/>
        <v/>
      </c>
      <c r="AS231" s="147">
        <v>0</v>
      </c>
      <c r="AT231" s="148" t="s">
        <v>106</v>
      </c>
      <c r="AU231" s="149" t="s">
        <v>56</v>
      </c>
      <c r="AV231" s="146" t="str">
        <f t="shared" si="100"/>
        <v/>
      </c>
      <c r="AW231" s="146" t="str">
        <f t="shared" si="101"/>
        <v/>
      </c>
      <c r="AX231" s="168" t="str">
        <f t="shared" si="102"/>
        <v/>
      </c>
      <c r="AY231" s="95" t="s">
        <v>56</v>
      </c>
      <c r="AZ231" s="96" t="s">
        <v>56</v>
      </c>
      <c r="BA231" s="96"/>
      <c r="BB231" s="96" t="s">
        <v>56</v>
      </c>
      <c r="BC231" s="96"/>
      <c r="BD231" s="97">
        <v>122.36</v>
      </c>
      <c r="BE231" s="142">
        <f t="shared" si="103"/>
        <v>6583</v>
      </c>
      <c r="BF231" s="98">
        <v>0</v>
      </c>
      <c r="BG231" s="98">
        <v>0</v>
      </c>
      <c r="BH231" s="98">
        <v>0</v>
      </c>
      <c r="BI231" s="98">
        <v>6583</v>
      </c>
      <c r="BJ231" s="98"/>
      <c r="BK231" s="98"/>
      <c r="BL231" s="97"/>
    </row>
    <row r="232" spans="1:64" outlineLevel="5" x14ac:dyDescent="0.3">
      <c r="A232" s="152">
        <f t="shared" si="75"/>
        <v>7</v>
      </c>
      <c r="B232" s="153">
        <f t="shared" si="104"/>
        <v>44752</v>
      </c>
      <c r="C232" s="138">
        <f t="shared" si="94"/>
        <v>37</v>
      </c>
      <c r="D232" s="84">
        <v>37</v>
      </c>
      <c r="E232" s="84">
        <v>37</v>
      </c>
      <c r="F232" s="84"/>
      <c r="G232" s="84"/>
      <c r="H232" s="84"/>
      <c r="I232" s="84"/>
      <c r="J232" s="84"/>
      <c r="K232" s="84"/>
      <c r="L232" s="140" t="str">
        <f t="shared" si="95"/>
        <v/>
      </c>
      <c r="M232" s="86"/>
      <c r="N232" s="86"/>
      <c r="O232" s="86"/>
      <c r="P232" s="86"/>
      <c r="Q232" s="86"/>
      <c r="R232" s="86"/>
      <c r="S232" s="86"/>
      <c r="T232" s="86"/>
      <c r="U232" s="142" t="str">
        <f t="shared" si="96"/>
        <v/>
      </c>
      <c r="V232" s="88"/>
      <c r="W232" s="88"/>
      <c r="X232" s="88"/>
      <c r="Y232" s="88"/>
      <c r="Z232" s="88"/>
      <c r="AA232" s="88"/>
      <c r="AB232" s="88"/>
      <c r="AC232" s="88"/>
      <c r="AD232" s="142" t="str">
        <f t="shared" si="97"/>
        <v/>
      </c>
      <c r="AE232" s="88"/>
      <c r="AF232" s="88"/>
      <c r="AG232" s="88"/>
      <c r="AH232" s="88"/>
      <c r="AI232" s="88"/>
      <c r="AJ232" s="88"/>
      <c r="AK232" s="88"/>
      <c r="AL232" s="88"/>
      <c r="AM232" s="88">
        <v>37.76</v>
      </c>
      <c r="AN232" s="88">
        <v>125</v>
      </c>
      <c r="AO232" s="89"/>
      <c r="AP232" s="90"/>
      <c r="AQ232" s="146" t="str">
        <f t="shared" si="98"/>
        <v/>
      </c>
      <c r="AR232" s="146" t="str">
        <f t="shared" si="99"/>
        <v/>
      </c>
      <c r="AS232" s="147">
        <v>10</v>
      </c>
      <c r="AT232" s="148" t="s">
        <v>106</v>
      </c>
      <c r="AU232" s="149" t="s">
        <v>56</v>
      </c>
      <c r="AV232" s="146" t="str">
        <f t="shared" si="100"/>
        <v/>
      </c>
      <c r="AW232" s="146" t="str">
        <f t="shared" si="101"/>
        <v/>
      </c>
      <c r="AX232" s="168" t="str">
        <f t="shared" si="102"/>
        <v/>
      </c>
      <c r="AY232" s="95" t="s">
        <v>56</v>
      </c>
      <c r="AZ232" s="96" t="s">
        <v>56</v>
      </c>
      <c r="BA232" s="96"/>
      <c r="BB232" s="96" t="s">
        <v>56</v>
      </c>
      <c r="BC232" s="96"/>
      <c r="BD232" s="97">
        <v>125</v>
      </c>
      <c r="BE232" s="142">
        <f t="shared" si="103"/>
        <v>6651</v>
      </c>
      <c r="BF232" s="98">
        <v>0</v>
      </c>
      <c r="BG232" s="98">
        <v>0</v>
      </c>
      <c r="BH232" s="98">
        <v>0</v>
      </c>
      <c r="BI232" s="98">
        <v>6651</v>
      </c>
      <c r="BJ232" s="98"/>
      <c r="BK232" s="98"/>
      <c r="BL232" s="97"/>
    </row>
    <row r="233" spans="1:64" outlineLevel="5" x14ac:dyDescent="0.3">
      <c r="A233" s="152">
        <f t="shared" si="75"/>
        <v>7</v>
      </c>
      <c r="B233" s="153">
        <f t="shared" si="104"/>
        <v>44753</v>
      </c>
      <c r="C233" s="138">
        <f t="shared" si="94"/>
        <v>36</v>
      </c>
      <c r="D233" s="84">
        <v>36</v>
      </c>
      <c r="E233" s="84">
        <v>36</v>
      </c>
      <c r="F233" s="84"/>
      <c r="G233" s="84"/>
      <c r="H233" s="84"/>
      <c r="I233" s="84"/>
      <c r="J233" s="84"/>
      <c r="K233" s="84"/>
      <c r="L233" s="140">
        <f t="shared" si="95"/>
        <v>7.9</v>
      </c>
      <c r="M233" s="86">
        <v>7.91</v>
      </c>
      <c r="N233" s="86">
        <v>7.9</v>
      </c>
      <c r="O233" s="86"/>
      <c r="P233" s="86"/>
      <c r="Q233" s="86"/>
      <c r="R233" s="86"/>
      <c r="S233" s="86"/>
      <c r="T233" s="86"/>
      <c r="U233" s="142">
        <f t="shared" si="96"/>
        <v>2187</v>
      </c>
      <c r="V233" s="88">
        <v>2124</v>
      </c>
      <c r="W233" s="88">
        <v>2250</v>
      </c>
      <c r="X233" s="88"/>
      <c r="Y233" s="88"/>
      <c r="Z233" s="88"/>
      <c r="AA233" s="88"/>
      <c r="AB233" s="88"/>
      <c r="AC233" s="88"/>
      <c r="AD233" s="142" t="str">
        <f t="shared" si="97"/>
        <v/>
      </c>
      <c r="AE233" s="88"/>
      <c r="AF233" s="88"/>
      <c r="AG233" s="88"/>
      <c r="AH233" s="88"/>
      <c r="AI233" s="88"/>
      <c r="AJ233" s="88"/>
      <c r="AK233" s="88"/>
      <c r="AL233" s="88"/>
      <c r="AM233" s="88">
        <v>37.327006722024521</v>
      </c>
      <c r="AN233" s="88">
        <v>126.44999999999999</v>
      </c>
      <c r="AO233" s="89">
        <v>18.100000000000001</v>
      </c>
      <c r="AP233" s="90">
        <v>15.185900000000002</v>
      </c>
      <c r="AQ233" s="146">
        <f t="shared" si="98"/>
        <v>83.9</v>
      </c>
      <c r="AR233" s="146">
        <f t="shared" si="99"/>
        <v>16.099999999999994</v>
      </c>
      <c r="AS233" s="147">
        <v>10</v>
      </c>
      <c r="AT233" s="148">
        <v>14.25</v>
      </c>
      <c r="AU233" s="149">
        <v>7.97525</v>
      </c>
      <c r="AV233" s="146">
        <f t="shared" si="100"/>
        <v>55.966666666666661</v>
      </c>
      <c r="AW233" s="146">
        <f t="shared" si="101"/>
        <v>44.033333333333339</v>
      </c>
      <c r="AX233" s="168">
        <f t="shared" si="102"/>
        <v>75.610000369929608</v>
      </c>
      <c r="AY233" s="95">
        <v>70.8</v>
      </c>
      <c r="AZ233" s="96">
        <v>62.445</v>
      </c>
      <c r="BA233" s="96"/>
      <c r="BB233" s="96">
        <v>41</v>
      </c>
      <c r="BC233" s="96"/>
      <c r="BD233" s="97">
        <v>126.44999999999999</v>
      </c>
      <c r="BE233" s="142">
        <f t="shared" si="103"/>
        <v>4661</v>
      </c>
      <c r="BF233" s="98">
        <v>0</v>
      </c>
      <c r="BG233" s="98">
        <v>27</v>
      </c>
      <c r="BH233" s="98">
        <v>0</v>
      </c>
      <c r="BI233" s="98">
        <v>4634</v>
      </c>
      <c r="BJ233" s="98"/>
      <c r="BK233" s="98"/>
      <c r="BL233" s="97"/>
    </row>
    <row r="234" spans="1:64" outlineLevel="5" x14ac:dyDescent="0.3">
      <c r="A234" s="152">
        <f t="shared" si="75"/>
        <v>7</v>
      </c>
      <c r="B234" s="153">
        <f t="shared" si="104"/>
        <v>44754</v>
      </c>
      <c r="C234" s="138">
        <f t="shared" si="94"/>
        <v>36</v>
      </c>
      <c r="D234" s="84">
        <v>36</v>
      </c>
      <c r="E234" s="84">
        <v>36</v>
      </c>
      <c r="F234" s="84"/>
      <c r="G234" s="84"/>
      <c r="H234" s="84"/>
      <c r="I234" s="84"/>
      <c r="J234" s="84"/>
      <c r="K234" s="84"/>
      <c r="L234" s="140">
        <f t="shared" si="95"/>
        <v>7.9</v>
      </c>
      <c r="M234" s="86">
        <v>7.97</v>
      </c>
      <c r="N234" s="86">
        <v>7.89</v>
      </c>
      <c r="O234" s="86"/>
      <c r="P234" s="86"/>
      <c r="Q234" s="86"/>
      <c r="R234" s="86"/>
      <c r="S234" s="86"/>
      <c r="T234" s="86"/>
      <c r="U234" s="142">
        <f t="shared" si="96"/>
        <v>2430</v>
      </c>
      <c r="V234" s="88">
        <v>2520</v>
      </c>
      <c r="W234" s="88">
        <v>2340</v>
      </c>
      <c r="X234" s="88"/>
      <c r="Y234" s="88"/>
      <c r="Z234" s="88"/>
      <c r="AA234" s="88"/>
      <c r="AB234" s="88"/>
      <c r="AC234" s="88"/>
      <c r="AD234" s="142" t="str">
        <f t="shared" si="97"/>
        <v/>
      </c>
      <c r="AE234" s="88"/>
      <c r="AF234" s="88"/>
      <c r="AG234" s="88"/>
      <c r="AH234" s="88"/>
      <c r="AI234" s="88"/>
      <c r="AJ234" s="88"/>
      <c r="AK234" s="88"/>
      <c r="AL234" s="88"/>
      <c r="AM234" s="88">
        <v>33.456195066628865</v>
      </c>
      <c r="AN234" s="88">
        <v>141.07999999999998</v>
      </c>
      <c r="AO234" s="89"/>
      <c r="AP234" s="90"/>
      <c r="AQ234" s="146" t="str">
        <f t="shared" si="98"/>
        <v/>
      </c>
      <c r="AR234" s="146" t="str">
        <f t="shared" si="99"/>
        <v/>
      </c>
      <c r="AS234" s="147">
        <v>10</v>
      </c>
      <c r="AT234" s="148" t="s">
        <v>106</v>
      </c>
      <c r="AU234" s="149" t="s">
        <v>56</v>
      </c>
      <c r="AV234" s="146" t="str">
        <f t="shared" si="100"/>
        <v/>
      </c>
      <c r="AW234" s="146" t="str">
        <f t="shared" si="101"/>
        <v/>
      </c>
      <c r="AX234" s="168" t="str">
        <f t="shared" si="102"/>
        <v/>
      </c>
      <c r="AY234" s="95" t="s">
        <v>56</v>
      </c>
      <c r="AZ234" s="96" t="s">
        <v>56</v>
      </c>
      <c r="BA234" s="96"/>
      <c r="BB234" s="96" t="s">
        <v>56</v>
      </c>
      <c r="BC234" s="96"/>
      <c r="BD234" s="97">
        <v>141.07999999999998</v>
      </c>
      <c r="BE234" s="142">
        <f t="shared" si="103"/>
        <v>1430</v>
      </c>
      <c r="BF234" s="98">
        <v>0</v>
      </c>
      <c r="BG234" s="98">
        <v>0</v>
      </c>
      <c r="BH234" s="98">
        <v>721</v>
      </c>
      <c r="BI234" s="98">
        <v>709</v>
      </c>
      <c r="BJ234" s="98"/>
      <c r="BK234" s="98"/>
      <c r="BL234" s="97"/>
    </row>
    <row r="235" spans="1:64" outlineLevel="5" x14ac:dyDescent="0.3">
      <c r="A235" s="152">
        <f t="shared" ref="A235:A306" si="105">MONTH(B235)</f>
        <v>7</v>
      </c>
      <c r="B235" s="153">
        <f t="shared" si="104"/>
        <v>44755</v>
      </c>
      <c r="C235" s="138">
        <f t="shared" si="94"/>
        <v>36</v>
      </c>
      <c r="D235" s="84">
        <v>36</v>
      </c>
      <c r="E235" s="84">
        <v>36</v>
      </c>
      <c r="F235" s="84"/>
      <c r="G235" s="84"/>
      <c r="H235" s="84"/>
      <c r="I235" s="84"/>
      <c r="J235" s="84"/>
      <c r="K235" s="84"/>
      <c r="L235" s="140">
        <f t="shared" si="95"/>
        <v>8</v>
      </c>
      <c r="M235" s="86">
        <v>8.0500000000000007</v>
      </c>
      <c r="N235" s="86">
        <v>7.96</v>
      </c>
      <c r="O235" s="86"/>
      <c r="P235" s="86"/>
      <c r="Q235" s="86"/>
      <c r="R235" s="86"/>
      <c r="S235" s="86"/>
      <c r="T235" s="86"/>
      <c r="U235" s="142">
        <f t="shared" si="96"/>
        <v>2190</v>
      </c>
      <c r="V235" s="88">
        <v>2270</v>
      </c>
      <c r="W235" s="88">
        <v>2110</v>
      </c>
      <c r="X235" s="88"/>
      <c r="Y235" s="88"/>
      <c r="Z235" s="88"/>
      <c r="AA235" s="88"/>
      <c r="AB235" s="88"/>
      <c r="AC235" s="88"/>
      <c r="AD235" s="142" t="str">
        <f t="shared" si="97"/>
        <v/>
      </c>
      <c r="AE235" s="88"/>
      <c r="AF235" s="88"/>
      <c r="AG235" s="88"/>
      <c r="AH235" s="88"/>
      <c r="AI235" s="88"/>
      <c r="AJ235" s="88"/>
      <c r="AK235" s="88"/>
      <c r="AL235" s="88"/>
      <c r="AM235" s="88">
        <v>31.637509216435419</v>
      </c>
      <c r="AN235" s="88">
        <v>149.19</v>
      </c>
      <c r="AO235" s="89"/>
      <c r="AP235" s="90"/>
      <c r="AQ235" s="146" t="str">
        <f t="shared" si="98"/>
        <v/>
      </c>
      <c r="AR235" s="146" t="str">
        <f t="shared" si="99"/>
        <v/>
      </c>
      <c r="AS235" s="147">
        <v>10</v>
      </c>
      <c r="AT235" s="148">
        <v>13.5</v>
      </c>
      <c r="AU235" s="149">
        <v>7.5130500000000007</v>
      </c>
      <c r="AV235" s="146">
        <f t="shared" si="100"/>
        <v>55.652222222222228</v>
      </c>
      <c r="AW235" s="146">
        <f t="shared" si="101"/>
        <v>44.347777777777772</v>
      </c>
      <c r="AX235" s="168" t="str">
        <f t="shared" si="102"/>
        <v/>
      </c>
      <c r="AY235" s="95">
        <v>75.150000000000006</v>
      </c>
      <c r="AZ235" s="96">
        <v>61.435000000000002</v>
      </c>
      <c r="BA235" s="96"/>
      <c r="BB235" s="96">
        <v>48.5</v>
      </c>
      <c r="BC235" s="96"/>
      <c r="BD235" s="97">
        <v>149.19</v>
      </c>
      <c r="BE235" s="142">
        <f t="shared" si="103"/>
        <v>6718</v>
      </c>
      <c r="BF235" s="98">
        <v>0</v>
      </c>
      <c r="BG235" s="98">
        <v>0</v>
      </c>
      <c r="BH235" s="98">
        <v>4468</v>
      </c>
      <c r="BI235" s="98">
        <v>2250</v>
      </c>
      <c r="BJ235" s="98"/>
      <c r="BK235" s="98"/>
      <c r="BL235" s="97"/>
    </row>
    <row r="236" spans="1:64" outlineLevel="5" x14ac:dyDescent="0.3">
      <c r="A236" s="152">
        <f t="shared" si="105"/>
        <v>7</v>
      </c>
      <c r="B236" s="153">
        <f t="shared" si="104"/>
        <v>44756</v>
      </c>
      <c r="C236" s="138">
        <f t="shared" si="94"/>
        <v>36</v>
      </c>
      <c r="D236" s="84">
        <v>36</v>
      </c>
      <c r="E236" s="84">
        <v>36</v>
      </c>
      <c r="F236" s="84"/>
      <c r="G236" s="84"/>
      <c r="H236" s="84"/>
      <c r="I236" s="84"/>
      <c r="J236" s="84"/>
      <c r="K236" s="84"/>
      <c r="L236" s="140">
        <f t="shared" si="95"/>
        <v>7.9</v>
      </c>
      <c r="M236" s="86">
        <v>7.94</v>
      </c>
      <c r="N236" s="86">
        <v>7.9</v>
      </c>
      <c r="O236" s="86"/>
      <c r="P236" s="86"/>
      <c r="Q236" s="86"/>
      <c r="R236" s="86"/>
      <c r="S236" s="86"/>
      <c r="T236" s="86"/>
      <c r="U236" s="142">
        <f t="shared" si="96"/>
        <v>2090</v>
      </c>
      <c r="V236" s="88">
        <v>2050</v>
      </c>
      <c r="W236" s="88">
        <v>2130</v>
      </c>
      <c r="X236" s="88"/>
      <c r="Y236" s="88"/>
      <c r="Z236" s="88"/>
      <c r="AA236" s="88"/>
      <c r="AB236" s="88"/>
      <c r="AC236" s="88"/>
      <c r="AD236" s="142" t="str">
        <f t="shared" si="97"/>
        <v/>
      </c>
      <c r="AE236" s="88"/>
      <c r="AF236" s="88"/>
      <c r="AG236" s="88"/>
      <c r="AH236" s="88"/>
      <c r="AI236" s="88"/>
      <c r="AJ236" s="88"/>
      <c r="AK236" s="88"/>
      <c r="AL236" s="88"/>
      <c r="AM236" s="88">
        <v>33.774597495527729</v>
      </c>
      <c r="AN236" s="88">
        <v>139.75</v>
      </c>
      <c r="AO236" s="89"/>
      <c r="AP236" s="90"/>
      <c r="AQ236" s="146" t="str">
        <f t="shared" si="98"/>
        <v/>
      </c>
      <c r="AR236" s="146" t="str">
        <f t="shared" si="99"/>
        <v/>
      </c>
      <c r="AS236" s="147">
        <v>10</v>
      </c>
      <c r="AT236" s="148">
        <v>13.7</v>
      </c>
      <c r="AU236" s="149">
        <v>7.7301999999999991</v>
      </c>
      <c r="AV236" s="146">
        <f t="shared" si="100"/>
        <v>56.424817518248169</v>
      </c>
      <c r="AW236" s="146">
        <f t="shared" si="101"/>
        <v>43.575182481751831</v>
      </c>
      <c r="AX236" s="168" t="str">
        <f t="shared" si="102"/>
        <v/>
      </c>
      <c r="AY236" s="95">
        <v>74.75</v>
      </c>
      <c r="AZ236" s="96">
        <v>61.875</v>
      </c>
      <c r="BA236" s="96"/>
      <c r="BB236" s="96">
        <v>50</v>
      </c>
      <c r="BC236" s="96"/>
      <c r="BD236" s="97">
        <v>139.75</v>
      </c>
      <c r="BE236" s="142">
        <f t="shared" si="103"/>
        <v>6305</v>
      </c>
      <c r="BF236" s="98">
        <v>0</v>
      </c>
      <c r="BG236" s="98">
        <v>0</v>
      </c>
      <c r="BH236" s="98">
        <v>3481</v>
      </c>
      <c r="BI236" s="98">
        <v>2824</v>
      </c>
      <c r="BJ236" s="98"/>
      <c r="BK236" s="98"/>
      <c r="BL236" s="97"/>
    </row>
    <row r="237" spans="1:64" outlineLevel="5" x14ac:dyDescent="0.3">
      <c r="A237" s="152">
        <f t="shared" si="105"/>
        <v>7</v>
      </c>
      <c r="B237" s="153">
        <f t="shared" si="104"/>
        <v>44757</v>
      </c>
      <c r="C237" s="138">
        <f t="shared" si="94"/>
        <v>36.5</v>
      </c>
      <c r="D237" s="84">
        <v>37</v>
      </c>
      <c r="E237" s="84">
        <v>36</v>
      </c>
      <c r="F237" s="84"/>
      <c r="G237" s="84"/>
      <c r="H237" s="84"/>
      <c r="I237" s="84"/>
      <c r="J237" s="84"/>
      <c r="K237" s="84"/>
      <c r="L237" s="140">
        <f t="shared" si="95"/>
        <v>8</v>
      </c>
      <c r="M237" s="86">
        <v>8.01</v>
      </c>
      <c r="N237" s="86">
        <v>7.95</v>
      </c>
      <c r="O237" s="86"/>
      <c r="P237" s="86"/>
      <c r="Q237" s="86"/>
      <c r="R237" s="86"/>
      <c r="S237" s="86"/>
      <c r="T237" s="86"/>
      <c r="U237" s="142">
        <f t="shared" si="96"/>
        <v>2172.5</v>
      </c>
      <c r="V237" s="88">
        <v>2165</v>
      </c>
      <c r="W237" s="88">
        <v>2180</v>
      </c>
      <c r="X237" s="88"/>
      <c r="Y237" s="88"/>
      <c r="Z237" s="88"/>
      <c r="AA237" s="88"/>
      <c r="AB237" s="88"/>
      <c r="AC237" s="88"/>
      <c r="AD237" s="142" t="str">
        <f t="shared" si="97"/>
        <v/>
      </c>
      <c r="AE237" s="88"/>
      <c r="AF237" s="88"/>
      <c r="AG237" s="88"/>
      <c r="AH237" s="88"/>
      <c r="AI237" s="88"/>
      <c r="AJ237" s="88"/>
      <c r="AK237" s="88"/>
      <c r="AL237" s="88"/>
      <c r="AM237" s="88">
        <v>34.96037330568106</v>
      </c>
      <c r="AN237" s="88">
        <v>135.01</v>
      </c>
      <c r="AO237" s="89"/>
      <c r="AP237" s="90"/>
      <c r="AQ237" s="146" t="str">
        <f t="shared" si="98"/>
        <v/>
      </c>
      <c r="AR237" s="146" t="str">
        <f t="shared" si="99"/>
        <v/>
      </c>
      <c r="AS237" s="147">
        <v>20</v>
      </c>
      <c r="AT237" s="148" t="s">
        <v>106</v>
      </c>
      <c r="AU237" s="149" t="s">
        <v>56</v>
      </c>
      <c r="AV237" s="146" t="str">
        <f t="shared" si="100"/>
        <v/>
      </c>
      <c r="AW237" s="146" t="str">
        <f t="shared" si="101"/>
        <v/>
      </c>
      <c r="AX237" s="168" t="str">
        <f t="shared" si="102"/>
        <v/>
      </c>
      <c r="AY237" s="95" t="s">
        <v>56</v>
      </c>
      <c r="AZ237" s="96">
        <v>62.394999999999996</v>
      </c>
      <c r="BA237" s="96"/>
      <c r="BB237" s="96">
        <v>50.5</v>
      </c>
      <c r="BC237" s="96"/>
      <c r="BD237" s="97">
        <v>135.01</v>
      </c>
      <c r="BE237" s="142">
        <f t="shared" si="103"/>
        <v>5519</v>
      </c>
      <c r="BF237" s="98">
        <v>0</v>
      </c>
      <c r="BG237" s="98">
        <v>0</v>
      </c>
      <c r="BH237" s="98">
        <v>3468</v>
      </c>
      <c r="BI237" s="98">
        <v>2051</v>
      </c>
      <c r="BJ237" s="98"/>
      <c r="BK237" s="98"/>
      <c r="BL237" s="97"/>
    </row>
    <row r="238" spans="1:64" outlineLevel="5" x14ac:dyDescent="0.3">
      <c r="A238" s="152">
        <f t="shared" si="105"/>
        <v>7</v>
      </c>
      <c r="B238" s="153">
        <f t="shared" si="104"/>
        <v>44758</v>
      </c>
      <c r="C238" s="138">
        <f t="shared" si="94"/>
        <v>36.5</v>
      </c>
      <c r="D238" s="84">
        <v>37</v>
      </c>
      <c r="E238" s="84">
        <v>36</v>
      </c>
      <c r="F238" s="84"/>
      <c r="G238" s="84"/>
      <c r="H238" s="84"/>
      <c r="I238" s="84"/>
      <c r="J238" s="84"/>
      <c r="K238" s="84"/>
      <c r="L238" s="140" t="str">
        <f t="shared" si="95"/>
        <v/>
      </c>
      <c r="M238" s="86"/>
      <c r="N238" s="86"/>
      <c r="O238" s="86"/>
      <c r="P238" s="86"/>
      <c r="Q238" s="86"/>
      <c r="R238" s="86"/>
      <c r="S238" s="86"/>
      <c r="T238" s="86"/>
      <c r="U238" s="142" t="str">
        <f t="shared" si="96"/>
        <v/>
      </c>
      <c r="V238" s="88"/>
      <c r="W238" s="88"/>
      <c r="X238" s="88"/>
      <c r="Y238" s="88"/>
      <c r="Z238" s="88"/>
      <c r="AA238" s="88"/>
      <c r="AB238" s="88"/>
      <c r="AC238" s="88"/>
      <c r="AD238" s="142" t="str">
        <f t="shared" si="97"/>
        <v/>
      </c>
      <c r="AE238" s="88"/>
      <c r="AF238" s="88"/>
      <c r="AG238" s="88"/>
      <c r="AH238" s="88"/>
      <c r="AI238" s="88"/>
      <c r="AJ238" s="88"/>
      <c r="AK238" s="88"/>
      <c r="AL238" s="88"/>
      <c r="AM238" s="88">
        <v>38.593622240392477</v>
      </c>
      <c r="AN238" s="88">
        <v>122.3</v>
      </c>
      <c r="AO238" s="89"/>
      <c r="AP238" s="90"/>
      <c r="AQ238" s="146" t="str">
        <f t="shared" si="98"/>
        <v/>
      </c>
      <c r="AR238" s="146" t="str">
        <f t="shared" si="99"/>
        <v/>
      </c>
      <c r="AS238" s="147">
        <v>0</v>
      </c>
      <c r="AT238" s="148" t="s">
        <v>106</v>
      </c>
      <c r="AU238" s="149" t="s">
        <v>56</v>
      </c>
      <c r="AV238" s="146" t="str">
        <f t="shared" si="100"/>
        <v/>
      </c>
      <c r="AW238" s="146" t="str">
        <f t="shared" si="101"/>
        <v/>
      </c>
      <c r="AX238" s="168" t="str">
        <f t="shared" si="102"/>
        <v/>
      </c>
      <c r="AY238" s="95" t="s">
        <v>56</v>
      </c>
      <c r="AZ238" s="96" t="s">
        <v>56</v>
      </c>
      <c r="BA238" s="96"/>
      <c r="BB238" s="96" t="s">
        <v>56</v>
      </c>
      <c r="BC238" s="96"/>
      <c r="BD238" s="97">
        <v>122.3</v>
      </c>
      <c r="BE238" s="142">
        <f t="shared" si="103"/>
        <v>3569</v>
      </c>
      <c r="BF238" s="98">
        <v>0</v>
      </c>
      <c r="BG238" s="98">
        <v>0</v>
      </c>
      <c r="BH238" s="98">
        <v>3086</v>
      </c>
      <c r="BI238" s="98">
        <v>483</v>
      </c>
      <c r="BJ238" s="98"/>
      <c r="BK238" s="98"/>
      <c r="BL238" s="97"/>
    </row>
    <row r="239" spans="1:64" outlineLevel="5" x14ac:dyDescent="0.3">
      <c r="A239" s="152">
        <f t="shared" si="105"/>
        <v>7</v>
      </c>
      <c r="B239" s="153">
        <f t="shared" si="104"/>
        <v>44759</v>
      </c>
      <c r="C239" s="138">
        <f t="shared" si="94"/>
        <v>37</v>
      </c>
      <c r="D239" s="84">
        <v>37</v>
      </c>
      <c r="E239" s="84">
        <v>37</v>
      </c>
      <c r="F239" s="84"/>
      <c r="G239" s="84"/>
      <c r="H239" s="84"/>
      <c r="I239" s="84"/>
      <c r="J239" s="84"/>
      <c r="K239" s="84"/>
      <c r="L239" s="140" t="str">
        <f t="shared" si="95"/>
        <v/>
      </c>
      <c r="M239" s="86"/>
      <c r="N239" s="86"/>
      <c r="O239" s="86"/>
      <c r="P239" s="86"/>
      <c r="Q239" s="86"/>
      <c r="R239" s="86"/>
      <c r="S239" s="86"/>
      <c r="T239" s="86"/>
      <c r="U239" s="142" t="str">
        <f t="shared" si="96"/>
        <v/>
      </c>
      <c r="V239" s="88"/>
      <c r="W239" s="88"/>
      <c r="X239" s="88"/>
      <c r="Y239" s="88"/>
      <c r="Z239" s="88"/>
      <c r="AA239" s="88"/>
      <c r="AB239" s="88"/>
      <c r="AC239" s="88"/>
      <c r="AD239" s="142" t="str">
        <f t="shared" si="97"/>
        <v/>
      </c>
      <c r="AE239" s="88"/>
      <c r="AF239" s="88"/>
      <c r="AG239" s="88"/>
      <c r="AH239" s="88"/>
      <c r="AI239" s="88"/>
      <c r="AJ239" s="88"/>
      <c r="AK239" s="88"/>
      <c r="AL239" s="88"/>
      <c r="AM239" s="88">
        <v>41.043478260869563</v>
      </c>
      <c r="AN239" s="88">
        <v>115</v>
      </c>
      <c r="AO239" s="89"/>
      <c r="AP239" s="90"/>
      <c r="AQ239" s="146" t="str">
        <f t="shared" si="98"/>
        <v/>
      </c>
      <c r="AR239" s="146" t="str">
        <f t="shared" si="99"/>
        <v/>
      </c>
      <c r="AS239" s="147">
        <v>0</v>
      </c>
      <c r="AT239" s="148" t="s">
        <v>106</v>
      </c>
      <c r="AU239" s="149" t="s">
        <v>56</v>
      </c>
      <c r="AV239" s="146" t="str">
        <f t="shared" si="100"/>
        <v/>
      </c>
      <c r="AW239" s="146" t="str">
        <f t="shared" si="101"/>
        <v/>
      </c>
      <c r="AX239" s="168" t="str">
        <f t="shared" si="102"/>
        <v/>
      </c>
      <c r="AY239" s="95" t="s">
        <v>56</v>
      </c>
      <c r="AZ239" s="96" t="s">
        <v>56</v>
      </c>
      <c r="BA239" s="96"/>
      <c r="BB239" s="96" t="s">
        <v>56</v>
      </c>
      <c r="BC239" s="96"/>
      <c r="BD239" s="97">
        <v>115</v>
      </c>
      <c r="BE239" s="142">
        <f t="shared" si="103"/>
        <v>3024</v>
      </c>
      <c r="BF239" s="98">
        <v>0</v>
      </c>
      <c r="BG239" s="98">
        <v>0</v>
      </c>
      <c r="BH239" s="98">
        <v>3024</v>
      </c>
      <c r="BI239" s="98">
        <v>0</v>
      </c>
      <c r="BJ239" s="98"/>
      <c r="BK239" s="98"/>
      <c r="BL239" s="97"/>
    </row>
    <row r="240" spans="1:64" outlineLevel="5" x14ac:dyDescent="0.3">
      <c r="A240" s="152">
        <f t="shared" si="105"/>
        <v>7</v>
      </c>
      <c r="B240" s="153">
        <f t="shared" si="104"/>
        <v>44760</v>
      </c>
      <c r="C240" s="138">
        <f t="shared" si="94"/>
        <v>37</v>
      </c>
      <c r="D240" s="84">
        <v>37</v>
      </c>
      <c r="E240" s="84">
        <v>37</v>
      </c>
      <c r="F240" s="84"/>
      <c r="G240" s="84"/>
      <c r="H240" s="84"/>
      <c r="I240" s="84"/>
      <c r="J240" s="84"/>
      <c r="K240" s="84"/>
      <c r="L240" s="140">
        <f t="shared" si="95"/>
        <v>8</v>
      </c>
      <c r="M240" s="86">
        <v>8.01</v>
      </c>
      <c r="N240" s="86">
        <v>7.94</v>
      </c>
      <c r="O240" s="86"/>
      <c r="P240" s="86"/>
      <c r="Q240" s="86"/>
      <c r="R240" s="86"/>
      <c r="S240" s="86"/>
      <c r="T240" s="86"/>
      <c r="U240" s="142">
        <f t="shared" si="96"/>
        <v>2300</v>
      </c>
      <c r="V240" s="88">
        <v>2210</v>
      </c>
      <c r="W240" s="88">
        <v>2390</v>
      </c>
      <c r="X240" s="88"/>
      <c r="Y240" s="88"/>
      <c r="Z240" s="88"/>
      <c r="AA240" s="88"/>
      <c r="AB240" s="88"/>
      <c r="AC240" s="88"/>
      <c r="AD240" s="142" t="str">
        <f t="shared" si="97"/>
        <v/>
      </c>
      <c r="AE240" s="88"/>
      <c r="AF240" s="88"/>
      <c r="AG240" s="88"/>
      <c r="AH240" s="88"/>
      <c r="AI240" s="88"/>
      <c r="AJ240" s="88"/>
      <c r="AK240" s="88"/>
      <c r="AL240" s="88"/>
      <c r="AM240" s="88">
        <v>36.981900807020295</v>
      </c>
      <c r="AN240" s="88">
        <v>127.63</v>
      </c>
      <c r="AO240" s="89">
        <v>17.100000000000001</v>
      </c>
      <c r="AP240" s="90">
        <v>14.432400000000003</v>
      </c>
      <c r="AQ240" s="146">
        <f t="shared" si="98"/>
        <v>84.4</v>
      </c>
      <c r="AR240" s="146">
        <f t="shared" si="99"/>
        <v>15.599999999999994</v>
      </c>
      <c r="AS240" s="147">
        <v>10</v>
      </c>
      <c r="AT240" s="148">
        <v>14.8</v>
      </c>
      <c r="AU240" s="149">
        <v>8.8355999999999995</v>
      </c>
      <c r="AV240" s="146">
        <f t="shared" si="100"/>
        <v>59.699999999999996</v>
      </c>
      <c r="AW240" s="146">
        <f t="shared" si="101"/>
        <v>40.300000000000004</v>
      </c>
      <c r="AX240" s="168">
        <f t="shared" si="102"/>
        <v>72.618865616878168</v>
      </c>
      <c r="AY240" s="95">
        <v>71.25</v>
      </c>
      <c r="AZ240" s="96">
        <v>63.744999999999997</v>
      </c>
      <c r="BA240" s="96"/>
      <c r="BB240" s="96">
        <v>45</v>
      </c>
      <c r="BC240" s="96"/>
      <c r="BD240" s="97">
        <v>127.63</v>
      </c>
      <c r="BE240" s="142">
        <f t="shared" si="103"/>
        <v>1273</v>
      </c>
      <c r="BF240" s="98">
        <v>0</v>
      </c>
      <c r="BG240" s="98">
        <v>0</v>
      </c>
      <c r="BH240" s="98">
        <v>1228</v>
      </c>
      <c r="BI240" s="98">
        <v>45</v>
      </c>
      <c r="BJ240" s="98"/>
      <c r="BK240" s="98"/>
      <c r="BL240" s="97"/>
    </row>
    <row r="241" spans="1:64" outlineLevel="5" x14ac:dyDescent="0.3">
      <c r="A241" s="152">
        <f t="shared" si="105"/>
        <v>7</v>
      </c>
      <c r="B241" s="153">
        <f t="shared" si="104"/>
        <v>44761</v>
      </c>
      <c r="C241" s="138">
        <f t="shared" si="94"/>
        <v>37</v>
      </c>
      <c r="D241" s="84">
        <v>37</v>
      </c>
      <c r="E241" s="84">
        <v>37</v>
      </c>
      <c r="F241" s="84"/>
      <c r="G241" s="84"/>
      <c r="H241" s="84"/>
      <c r="I241" s="84"/>
      <c r="J241" s="84"/>
      <c r="K241" s="84"/>
      <c r="L241" s="140">
        <f t="shared" si="95"/>
        <v>8</v>
      </c>
      <c r="M241" s="86">
        <v>8.0500000000000007</v>
      </c>
      <c r="N241" s="86">
        <v>7.97</v>
      </c>
      <c r="O241" s="86"/>
      <c r="P241" s="86"/>
      <c r="Q241" s="86"/>
      <c r="R241" s="86"/>
      <c r="S241" s="86"/>
      <c r="T241" s="86"/>
      <c r="U241" s="142">
        <f t="shared" si="96"/>
        <v>1910</v>
      </c>
      <c r="V241" s="88">
        <v>1970</v>
      </c>
      <c r="W241" s="88">
        <v>1850</v>
      </c>
      <c r="X241" s="88"/>
      <c r="Y241" s="88"/>
      <c r="Z241" s="88"/>
      <c r="AA241" s="88"/>
      <c r="AB241" s="88"/>
      <c r="AC241" s="88"/>
      <c r="AD241" s="142" t="str">
        <f t="shared" si="97"/>
        <v/>
      </c>
      <c r="AE241" s="88"/>
      <c r="AF241" s="88"/>
      <c r="AG241" s="88"/>
      <c r="AH241" s="88"/>
      <c r="AI241" s="88"/>
      <c r="AJ241" s="88"/>
      <c r="AK241" s="88"/>
      <c r="AL241" s="88"/>
      <c r="AM241" s="88">
        <v>34.528163862472567</v>
      </c>
      <c r="AN241" s="88">
        <v>136.69999999999999</v>
      </c>
      <c r="AO241" s="89"/>
      <c r="AP241" s="90"/>
      <c r="AQ241" s="146" t="str">
        <f t="shared" si="98"/>
        <v/>
      </c>
      <c r="AR241" s="146" t="str">
        <f t="shared" si="99"/>
        <v/>
      </c>
      <c r="AS241" s="147">
        <v>10</v>
      </c>
      <c r="AT241" s="148" t="s">
        <v>106</v>
      </c>
      <c r="AU241" s="149" t="s">
        <v>56</v>
      </c>
      <c r="AV241" s="146" t="str">
        <f t="shared" si="100"/>
        <v/>
      </c>
      <c r="AW241" s="146" t="str">
        <f t="shared" si="101"/>
        <v/>
      </c>
      <c r="AX241" s="168" t="str">
        <f t="shared" si="102"/>
        <v/>
      </c>
      <c r="AY241" s="95" t="s">
        <v>56</v>
      </c>
      <c r="AZ241" s="96">
        <v>63.28</v>
      </c>
      <c r="BA241" s="96"/>
      <c r="BB241" s="96">
        <v>47.5</v>
      </c>
      <c r="BC241" s="96"/>
      <c r="BD241" s="97">
        <v>136.69999999999999</v>
      </c>
      <c r="BE241" s="142">
        <f t="shared" si="103"/>
        <v>4238</v>
      </c>
      <c r="BF241" s="98">
        <v>0</v>
      </c>
      <c r="BG241" s="98">
        <v>0</v>
      </c>
      <c r="BH241" s="98">
        <v>4238</v>
      </c>
      <c r="BI241" s="98">
        <v>0</v>
      </c>
      <c r="BJ241" s="98"/>
      <c r="BK241" s="98"/>
      <c r="BL241" s="97"/>
    </row>
    <row r="242" spans="1:64" outlineLevel="5" x14ac:dyDescent="0.3">
      <c r="A242" s="152">
        <f t="shared" si="105"/>
        <v>7</v>
      </c>
      <c r="B242" s="153">
        <f t="shared" si="104"/>
        <v>44762</v>
      </c>
      <c r="C242" s="138">
        <f t="shared" si="94"/>
        <v>36.5</v>
      </c>
      <c r="D242" s="84">
        <v>37</v>
      </c>
      <c r="E242" s="84">
        <v>36</v>
      </c>
      <c r="F242" s="84"/>
      <c r="G242" s="84"/>
      <c r="H242" s="84"/>
      <c r="I242" s="84"/>
      <c r="J242" s="84"/>
      <c r="K242" s="84"/>
      <c r="L242" s="140">
        <f t="shared" si="95"/>
        <v>8</v>
      </c>
      <c r="M242" s="86">
        <v>8</v>
      </c>
      <c r="N242" s="86">
        <v>7.94</v>
      </c>
      <c r="O242" s="86"/>
      <c r="P242" s="86"/>
      <c r="Q242" s="86"/>
      <c r="R242" s="86"/>
      <c r="S242" s="86"/>
      <c r="T242" s="86"/>
      <c r="U242" s="142">
        <f t="shared" si="96"/>
        <v>1985</v>
      </c>
      <c r="V242" s="88">
        <v>2030</v>
      </c>
      <c r="W242" s="88">
        <v>1940</v>
      </c>
      <c r="X242" s="88"/>
      <c r="Y242" s="88"/>
      <c r="Z242" s="88"/>
      <c r="AA242" s="88"/>
      <c r="AB242" s="88"/>
      <c r="AC242" s="88"/>
      <c r="AD242" s="142" t="str">
        <f t="shared" si="97"/>
        <v/>
      </c>
      <c r="AE242" s="88"/>
      <c r="AF242" s="88"/>
      <c r="AG242" s="88"/>
      <c r="AH242" s="88"/>
      <c r="AI242" s="88"/>
      <c r="AJ242" s="88"/>
      <c r="AK242" s="88"/>
      <c r="AL242" s="88"/>
      <c r="AM242" s="88">
        <v>31.278992710404246</v>
      </c>
      <c r="AN242" s="88">
        <v>150.89999999999998</v>
      </c>
      <c r="AO242" s="89"/>
      <c r="AP242" s="90"/>
      <c r="AQ242" s="146" t="str">
        <f t="shared" si="98"/>
        <v/>
      </c>
      <c r="AR242" s="146" t="str">
        <f t="shared" si="99"/>
        <v/>
      </c>
      <c r="AS242" s="147">
        <v>10</v>
      </c>
      <c r="AT242" s="148">
        <v>14.05</v>
      </c>
      <c r="AU242" s="149">
        <v>7.9437999999999995</v>
      </c>
      <c r="AV242" s="146">
        <f t="shared" si="100"/>
        <v>56.539501779359426</v>
      </c>
      <c r="AW242" s="146">
        <f t="shared" si="101"/>
        <v>43.460498220640574</v>
      </c>
      <c r="AX242" s="168" t="str">
        <f t="shared" si="102"/>
        <v/>
      </c>
      <c r="AY242" s="95">
        <v>74.95</v>
      </c>
      <c r="AZ242" s="96">
        <v>62.605000000000004</v>
      </c>
      <c r="BA242" s="96"/>
      <c r="BB242" s="96">
        <v>51</v>
      </c>
      <c r="BC242" s="96"/>
      <c r="BD242" s="97">
        <v>150.89999999999998</v>
      </c>
      <c r="BE242" s="142">
        <f t="shared" si="103"/>
        <v>5627</v>
      </c>
      <c r="BF242" s="98">
        <v>0</v>
      </c>
      <c r="BG242" s="98">
        <v>0</v>
      </c>
      <c r="BH242" s="98">
        <v>3973</v>
      </c>
      <c r="BI242" s="98">
        <v>1654</v>
      </c>
      <c r="BJ242" s="98"/>
      <c r="BK242" s="98"/>
      <c r="BL242" s="97"/>
    </row>
    <row r="243" spans="1:64" outlineLevel="5" x14ac:dyDescent="0.3">
      <c r="A243" s="152">
        <f t="shared" si="105"/>
        <v>7</v>
      </c>
      <c r="B243" s="153">
        <f t="shared" si="104"/>
        <v>44763</v>
      </c>
      <c r="C243" s="138">
        <f t="shared" si="94"/>
        <v>37.5</v>
      </c>
      <c r="D243" s="84">
        <v>38</v>
      </c>
      <c r="E243" s="84">
        <v>37</v>
      </c>
      <c r="F243" s="84"/>
      <c r="G243" s="84"/>
      <c r="H243" s="84"/>
      <c r="I243" s="84"/>
      <c r="J243" s="84"/>
      <c r="K243" s="84"/>
      <c r="L243" s="140">
        <f t="shared" si="95"/>
        <v>7.9</v>
      </c>
      <c r="M243" s="86">
        <v>7.96</v>
      </c>
      <c r="N243" s="86">
        <v>7.92</v>
      </c>
      <c r="O243" s="86"/>
      <c r="P243" s="86"/>
      <c r="Q243" s="86"/>
      <c r="R243" s="86"/>
      <c r="S243" s="86"/>
      <c r="T243" s="86"/>
      <c r="U243" s="142">
        <f t="shared" si="96"/>
        <v>1820</v>
      </c>
      <c r="V243" s="88">
        <v>1860</v>
      </c>
      <c r="W243" s="88">
        <v>1780</v>
      </c>
      <c r="X243" s="88"/>
      <c r="Y243" s="88"/>
      <c r="Z243" s="88"/>
      <c r="AA243" s="88"/>
      <c r="AB243" s="88"/>
      <c r="AC243" s="88"/>
      <c r="AD243" s="142" t="str">
        <f t="shared" si="97"/>
        <v/>
      </c>
      <c r="AE243" s="88"/>
      <c r="AF243" s="88"/>
      <c r="AG243" s="88"/>
      <c r="AH243" s="88"/>
      <c r="AI243" s="88"/>
      <c r="AJ243" s="88"/>
      <c r="AK243" s="88"/>
      <c r="AL243" s="88"/>
      <c r="AM243" s="88">
        <v>31.780231618637217</v>
      </c>
      <c r="AN243" s="88">
        <v>148.52000000000001</v>
      </c>
      <c r="AO243" s="89"/>
      <c r="AP243" s="90"/>
      <c r="AQ243" s="146" t="str">
        <f t="shared" si="98"/>
        <v/>
      </c>
      <c r="AR243" s="146" t="str">
        <f t="shared" si="99"/>
        <v/>
      </c>
      <c r="AS243" s="147">
        <v>10</v>
      </c>
      <c r="AT243" s="148">
        <v>13.9</v>
      </c>
      <c r="AU243" s="149">
        <v>8.1452500000000008</v>
      </c>
      <c r="AV243" s="146">
        <f t="shared" si="100"/>
        <v>58.59892086330936</v>
      </c>
      <c r="AW243" s="146">
        <f t="shared" si="101"/>
        <v>41.40107913669064</v>
      </c>
      <c r="AX243" s="168" t="str">
        <f t="shared" si="102"/>
        <v/>
      </c>
      <c r="AY243" s="95">
        <v>75.05</v>
      </c>
      <c r="AZ243" s="96">
        <v>62.26</v>
      </c>
      <c r="BA243" s="96"/>
      <c r="BB243" s="96">
        <v>37.5</v>
      </c>
      <c r="BC243" s="96"/>
      <c r="BD243" s="97">
        <v>148.52000000000001</v>
      </c>
      <c r="BE243" s="142">
        <f t="shared" si="103"/>
        <v>6343</v>
      </c>
      <c r="BF243" s="98">
        <v>0</v>
      </c>
      <c r="BG243" s="98">
        <v>0</v>
      </c>
      <c r="BH243" s="98">
        <v>2641</v>
      </c>
      <c r="BI243" s="98">
        <v>3702</v>
      </c>
      <c r="BJ243" s="98"/>
      <c r="BK243" s="98"/>
      <c r="BL243" s="97"/>
    </row>
    <row r="244" spans="1:64" outlineLevel="5" x14ac:dyDescent="0.3">
      <c r="A244" s="152">
        <f t="shared" si="105"/>
        <v>7</v>
      </c>
      <c r="B244" s="153">
        <f t="shared" si="104"/>
        <v>44764</v>
      </c>
      <c r="C244" s="138">
        <f t="shared" si="94"/>
        <v>36.5</v>
      </c>
      <c r="D244" s="84">
        <v>37</v>
      </c>
      <c r="E244" s="84">
        <v>36</v>
      </c>
      <c r="F244" s="84"/>
      <c r="G244" s="84"/>
      <c r="H244" s="84"/>
      <c r="I244" s="84"/>
      <c r="J244" s="84"/>
      <c r="K244" s="84"/>
      <c r="L244" s="140">
        <f t="shared" si="95"/>
        <v>8</v>
      </c>
      <c r="M244" s="86">
        <v>8.0299999999999994</v>
      </c>
      <c r="N244" s="86">
        <v>7.89</v>
      </c>
      <c r="O244" s="86"/>
      <c r="P244" s="86"/>
      <c r="Q244" s="86"/>
      <c r="R244" s="86"/>
      <c r="S244" s="86"/>
      <c r="T244" s="86"/>
      <c r="U244" s="142">
        <f t="shared" si="96"/>
        <v>1685</v>
      </c>
      <c r="V244" s="88">
        <v>1780</v>
      </c>
      <c r="W244" s="88">
        <v>1590</v>
      </c>
      <c r="X244" s="88"/>
      <c r="Y244" s="88"/>
      <c r="Z244" s="88"/>
      <c r="AA244" s="88"/>
      <c r="AB244" s="88"/>
      <c r="AC244" s="88"/>
      <c r="AD244" s="142" t="str">
        <f t="shared" si="97"/>
        <v/>
      </c>
      <c r="AE244" s="88"/>
      <c r="AF244" s="88"/>
      <c r="AG244" s="88"/>
      <c r="AH244" s="88"/>
      <c r="AI244" s="88"/>
      <c r="AJ244" s="88"/>
      <c r="AK244" s="88"/>
      <c r="AL244" s="88"/>
      <c r="AM244" s="88">
        <v>36.288152533251328</v>
      </c>
      <c r="AN244" s="88">
        <v>130.07</v>
      </c>
      <c r="AO244" s="89"/>
      <c r="AP244" s="90"/>
      <c r="AQ244" s="146" t="str">
        <f t="shared" si="98"/>
        <v/>
      </c>
      <c r="AR244" s="146" t="str">
        <f t="shared" si="99"/>
        <v/>
      </c>
      <c r="AS244" s="147">
        <v>10</v>
      </c>
      <c r="AT244" s="148" t="s">
        <v>106</v>
      </c>
      <c r="AU244" s="149" t="s">
        <v>56</v>
      </c>
      <c r="AV244" s="146" t="str">
        <f t="shared" si="100"/>
        <v/>
      </c>
      <c r="AW244" s="146" t="str">
        <f t="shared" si="101"/>
        <v/>
      </c>
      <c r="AX244" s="168" t="str">
        <f t="shared" si="102"/>
        <v/>
      </c>
      <c r="AY244" s="95" t="s">
        <v>56</v>
      </c>
      <c r="AZ244" s="96">
        <v>62.6</v>
      </c>
      <c r="BA244" s="96"/>
      <c r="BB244" s="96">
        <v>42.5</v>
      </c>
      <c r="BC244" s="96"/>
      <c r="BD244" s="97">
        <v>130.07</v>
      </c>
      <c r="BE244" s="142">
        <f t="shared" si="103"/>
        <v>3760</v>
      </c>
      <c r="BF244" s="98">
        <v>0</v>
      </c>
      <c r="BG244" s="98">
        <v>0</v>
      </c>
      <c r="BH244" s="98">
        <v>230</v>
      </c>
      <c r="BI244" s="98">
        <v>3530</v>
      </c>
      <c r="BJ244" s="98"/>
      <c r="BK244" s="98"/>
      <c r="BL244" s="97"/>
    </row>
    <row r="245" spans="1:64" outlineLevel="5" x14ac:dyDescent="0.3">
      <c r="A245" s="152">
        <f t="shared" si="105"/>
        <v>7</v>
      </c>
      <c r="B245" s="153">
        <f t="shared" si="104"/>
        <v>44765</v>
      </c>
      <c r="C245" s="138">
        <f t="shared" si="94"/>
        <v>36.5</v>
      </c>
      <c r="D245" s="84">
        <v>37</v>
      </c>
      <c r="E245" s="84">
        <v>36</v>
      </c>
      <c r="F245" s="84"/>
      <c r="G245" s="84"/>
      <c r="H245" s="84"/>
      <c r="I245" s="84"/>
      <c r="J245" s="84"/>
      <c r="K245" s="84"/>
      <c r="L245" s="140" t="str">
        <f t="shared" si="95"/>
        <v/>
      </c>
      <c r="M245" s="86"/>
      <c r="N245" s="86"/>
      <c r="O245" s="86"/>
      <c r="P245" s="86"/>
      <c r="Q245" s="86"/>
      <c r="R245" s="86"/>
      <c r="S245" s="86"/>
      <c r="T245" s="86"/>
      <c r="U245" s="142" t="str">
        <f t="shared" si="96"/>
        <v/>
      </c>
      <c r="V245" s="88"/>
      <c r="W245" s="88"/>
      <c r="X245" s="88"/>
      <c r="Y245" s="88"/>
      <c r="Z245" s="88"/>
      <c r="AA245" s="88"/>
      <c r="AB245" s="88"/>
      <c r="AC245" s="88"/>
      <c r="AD245" s="142" t="str">
        <f t="shared" si="97"/>
        <v/>
      </c>
      <c r="AE245" s="88"/>
      <c r="AF245" s="88"/>
      <c r="AG245" s="88"/>
      <c r="AH245" s="88"/>
      <c r="AI245" s="88"/>
      <c r="AJ245" s="88"/>
      <c r="AK245" s="88"/>
      <c r="AL245" s="88"/>
      <c r="AM245" s="88">
        <v>36.57213699054703</v>
      </c>
      <c r="AN245" s="88">
        <v>129.06</v>
      </c>
      <c r="AO245" s="89"/>
      <c r="AP245" s="90"/>
      <c r="AQ245" s="146" t="str">
        <f t="shared" si="98"/>
        <v/>
      </c>
      <c r="AR245" s="146" t="str">
        <f t="shared" si="99"/>
        <v/>
      </c>
      <c r="AS245" s="147">
        <v>20</v>
      </c>
      <c r="AT245" s="148" t="s">
        <v>106</v>
      </c>
      <c r="AU245" s="149" t="s">
        <v>56</v>
      </c>
      <c r="AV245" s="146" t="str">
        <f t="shared" si="100"/>
        <v/>
      </c>
      <c r="AW245" s="146" t="str">
        <f t="shared" si="101"/>
        <v/>
      </c>
      <c r="AX245" s="168" t="str">
        <f t="shared" si="102"/>
        <v/>
      </c>
      <c r="AY245" s="95" t="s">
        <v>56</v>
      </c>
      <c r="AZ245" s="96" t="s">
        <v>56</v>
      </c>
      <c r="BA245" s="96"/>
      <c r="BB245" s="96" t="s">
        <v>56</v>
      </c>
      <c r="BC245" s="96"/>
      <c r="BD245" s="97">
        <v>129.06</v>
      </c>
      <c r="BE245" s="142">
        <f t="shared" si="103"/>
        <v>5639</v>
      </c>
      <c r="BF245" s="98">
        <v>0</v>
      </c>
      <c r="BG245" s="98">
        <v>0</v>
      </c>
      <c r="BH245" s="98">
        <v>2160</v>
      </c>
      <c r="BI245" s="98">
        <v>3479</v>
      </c>
      <c r="BJ245" s="98"/>
      <c r="BK245" s="98"/>
      <c r="BL245" s="97"/>
    </row>
    <row r="246" spans="1:64" outlineLevel="5" x14ac:dyDescent="0.3">
      <c r="A246" s="152">
        <f t="shared" si="105"/>
        <v>7</v>
      </c>
      <c r="B246" s="153">
        <f t="shared" si="104"/>
        <v>44766</v>
      </c>
      <c r="C246" s="138">
        <f t="shared" si="94"/>
        <v>36.5</v>
      </c>
      <c r="D246" s="84">
        <v>37</v>
      </c>
      <c r="E246" s="84">
        <v>36</v>
      </c>
      <c r="F246" s="84"/>
      <c r="G246" s="84"/>
      <c r="H246" s="84"/>
      <c r="I246" s="84"/>
      <c r="J246" s="84"/>
      <c r="K246" s="84"/>
      <c r="L246" s="140" t="str">
        <f t="shared" si="95"/>
        <v/>
      </c>
      <c r="M246" s="86"/>
      <c r="N246" s="86"/>
      <c r="O246" s="86"/>
      <c r="P246" s="86"/>
      <c r="Q246" s="86"/>
      <c r="R246" s="86"/>
      <c r="S246" s="86"/>
      <c r="T246" s="86"/>
      <c r="U246" s="142" t="str">
        <f t="shared" si="96"/>
        <v/>
      </c>
      <c r="V246" s="88"/>
      <c r="W246" s="88"/>
      <c r="X246" s="88"/>
      <c r="Y246" s="88"/>
      <c r="Z246" s="88"/>
      <c r="AA246" s="88"/>
      <c r="AB246" s="88"/>
      <c r="AC246" s="88"/>
      <c r="AD246" s="142" t="str">
        <f t="shared" si="97"/>
        <v/>
      </c>
      <c r="AE246" s="88"/>
      <c r="AF246" s="88"/>
      <c r="AG246" s="88"/>
      <c r="AH246" s="88"/>
      <c r="AI246" s="88"/>
      <c r="AJ246" s="88"/>
      <c r="AK246" s="88"/>
      <c r="AL246" s="88"/>
      <c r="AM246" s="88">
        <v>37.76</v>
      </c>
      <c r="AN246" s="88">
        <v>125</v>
      </c>
      <c r="AO246" s="89"/>
      <c r="AP246" s="90"/>
      <c r="AQ246" s="146" t="str">
        <f t="shared" si="98"/>
        <v/>
      </c>
      <c r="AR246" s="146" t="str">
        <f t="shared" si="99"/>
        <v/>
      </c>
      <c r="AS246" s="147">
        <v>0</v>
      </c>
      <c r="AT246" s="148" t="s">
        <v>106</v>
      </c>
      <c r="AU246" s="149" t="s">
        <v>56</v>
      </c>
      <c r="AV246" s="146" t="str">
        <f t="shared" si="100"/>
        <v/>
      </c>
      <c r="AW246" s="146" t="str">
        <f t="shared" si="101"/>
        <v/>
      </c>
      <c r="AX246" s="168" t="str">
        <f t="shared" si="102"/>
        <v/>
      </c>
      <c r="AY246" s="95" t="s">
        <v>56</v>
      </c>
      <c r="AZ246" s="96" t="s">
        <v>56</v>
      </c>
      <c r="BA246" s="96"/>
      <c r="BB246" s="96" t="s">
        <v>56</v>
      </c>
      <c r="BC246" s="96"/>
      <c r="BD246" s="97">
        <v>125</v>
      </c>
      <c r="BE246" s="142">
        <f t="shared" si="103"/>
        <v>1371</v>
      </c>
      <c r="BF246" s="98">
        <v>0</v>
      </c>
      <c r="BG246" s="98">
        <v>0</v>
      </c>
      <c r="BH246" s="98">
        <v>1</v>
      </c>
      <c r="BI246" s="98">
        <v>1370</v>
      </c>
      <c r="BJ246" s="98"/>
      <c r="BK246" s="98"/>
      <c r="BL246" s="97"/>
    </row>
    <row r="247" spans="1:64" outlineLevel="5" x14ac:dyDescent="0.3">
      <c r="A247" s="152">
        <f t="shared" si="105"/>
        <v>7</v>
      </c>
      <c r="B247" s="153">
        <f t="shared" si="104"/>
        <v>44767</v>
      </c>
      <c r="C247" s="138">
        <f t="shared" si="94"/>
        <v>37</v>
      </c>
      <c r="D247" s="84">
        <v>37</v>
      </c>
      <c r="E247" s="84">
        <v>37</v>
      </c>
      <c r="F247" s="84"/>
      <c r="G247" s="84"/>
      <c r="H247" s="84"/>
      <c r="I247" s="84"/>
      <c r="J247" s="84"/>
      <c r="K247" s="84"/>
      <c r="L247" s="140">
        <f t="shared" si="95"/>
        <v>8</v>
      </c>
      <c r="M247" s="86">
        <v>8.01</v>
      </c>
      <c r="N247" s="86">
        <v>7.99</v>
      </c>
      <c r="O247" s="86"/>
      <c r="P247" s="86"/>
      <c r="Q247" s="86"/>
      <c r="R247" s="86"/>
      <c r="S247" s="86"/>
      <c r="T247" s="86"/>
      <c r="U247" s="142">
        <f t="shared" si="96"/>
        <v>1415</v>
      </c>
      <c r="V247" s="88">
        <v>1520</v>
      </c>
      <c r="W247" s="88">
        <v>1310</v>
      </c>
      <c r="X247" s="88"/>
      <c r="Y247" s="88"/>
      <c r="Z247" s="88"/>
      <c r="AA247" s="88"/>
      <c r="AB247" s="88"/>
      <c r="AC247" s="88"/>
      <c r="AD247" s="142" t="str">
        <f t="shared" si="97"/>
        <v/>
      </c>
      <c r="AE247" s="88"/>
      <c r="AF247" s="88"/>
      <c r="AG247" s="88"/>
      <c r="AH247" s="88"/>
      <c r="AI247" s="88"/>
      <c r="AJ247" s="88"/>
      <c r="AK247" s="88"/>
      <c r="AL247" s="88"/>
      <c r="AM247" s="88">
        <v>49.151306883265647</v>
      </c>
      <c r="AN247" s="88">
        <v>96.03</v>
      </c>
      <c r="AO247" s="89">
        <v>8.8000000000000007</v>
      </c>
      <c r="AP247" s="90">
        <v>6.6616000000000009</v>
      </c>
      <c r="AQ247" s="146">
        <f t="shared" si="98"/>
        <v>75.7</v>
      </c>
      <c r="AR247" s="146">
        <f t="shared" si="99"/>
        <v>24.299999999999997</v>
      </c>
      <c r="AS247" s="147">
        <v>10</v>
      </c>
      <c r="AT247" s="148">
        <v>14.8</v>
      </c>
      <c r="AU247" s="149">
        <v>8.0365500000000001</v>
      </c>
      <c r="AV247" s="146">
        <f t="shared" si="100"/>
        <v>54.30101351351351</v>
      </c>
      <c r="AW247" s="146">
        <f t="shared" si="101"/>
        <v>45.69898648648649</v>
      </c>
      <c r="AX247" s="168">
        <f t="shared" si="102"/>
        <v>61.857271082905974</v>
      </c>
      <c r="AY247" s="95">
        <v>75.650000000000006</v>
      </c>
      <c r="AZ247" s="96">
        <v>64.875</v>
      </c>
      <c r="BA247" s="96"/>
      <c r="BB247" s="96">
        <v>40</v>
      </c>
      <c r="BC247" s="96"/>
      <c r="BD247" s="97">
        <v>96.03</v>
      </c>
      <c r="BE247" s="142">
        <f t="shared" si="103"/>
        <v>16</v>
      </c>
      <c r="BF247" s="98">
        <v>0</v>
      </c>
      <c r="BG247" s="98">
        <v>0</v>
      </c>
      <c r="BH247" s="98">
        <v>0</v>
      </c>
      <c r="BI247" s="98">
        <v>16</v>
      </c>
      <c r="BJ247" s="98"/>
      <c r="BK247" s="98"/>
      <c r="BL247" s="97"/>
    </row>
    <row r="248" spans="1:64" outlineLevel="5" x14ac:dyDescent="0.3">
      <c r="A248" s="152">
        <f t="shared" si="105"/>
        <v>7</v>
      </c>
      <c r="B248" s="153">
        <f t="shared" si="104"/>
        <v>44768</v>
      </c>
      <c r="C248" s="138">
        <f t="shared" si="94"/>
        <v>37</v>
      </c>
      <c r="D248" s="84">
        <v>37</v>
      </c>
      <c r="E248" s="84">
        <v>37</v>
      </c>
      <c r="F248" s="84"/>
      <c r="G248" s="84"/>
      <c r="H248" s="84"/>
      <c r="I248" s="84"/>
      <c r="J248" s="84"/>
      <c r="K248" s="84"/>
      <c r="L248" s="140">
        <f t="shared" si="95"/>
        <v>7.9</v>
      </c>
      <c r="M248" s="86">
        <v>7.98</v>
      </c>
      <c r="N248" s="86">
        <v>7.88</v>
      </c>
      <c r="O248" s="86"/>
      <c r="P248" s="86"/>
      <c r="Q248" s="86"/>
      <c r="R248" s="86"/>
      <c r="S248" s="86"/>
      <c r="T248" s="86"/>
      <c r="U248" s="142">
        <f t="shared" si="96"/>
        <v>1365</v>
      </c>
      <c r="V248" s="88">
        <v>1470</v>
      </c>
      <c r="W248" s="88">
        <v>1260</v>
      </c>
      <c r="X248" s="88"/>
      <c r="Y248" s="88"/>
      <c r="Z248" s="88"/>
      <c r="AA248" s="88"/>
      <c r="AB248" s="88"/>
      <c r="AC248" s="88"/>
      <c r="AD248" s="142" t="str">
        <f t="shared" si="97"/>
        <v/>
      </c>
      <c r="AE248" s="88"/>
      <c r="AF248" s="88"/>
      <c r="AG248" s="88"/>
      <c r="AH248" s="88"/>
      <c r="AI248" s="88"/>
      <c r="AJ248" s="88"/>
      <c r="AK248" s="88"/>
      <c r="AL248" s="88"/>
      <c r="AM248" s="88">
        <v>35.403540354035407</v>
      </c>
      <c r="AN248" s="88">
        <v>133.32</v>
      </c>
      <c r="AO248" s="89"/>
      <c r="AP248" s="90"/>
      <c r="AQ248" s="146" t="str">
        <f t="shared" si="98"/>
        <v/>
      </c>
      <c r="AR248" s="146" t="str">
        <f t="shared" si="99"/>
        <v/>
      </c>
      <c r="AS248" s="147">
        <v>10</v>
      </c>
      <c r="AT248" s="148" t="s">
        <v>106</v>
      </c>
      <c r="AU248" s="149" t="s">
        <v>56</v>
      </c>
      <c r="AV248" s="146" t="str">
        <f t="shared" si="100"/>
        <v/>
      </c>
      <c r="AW248" s="146" t="str">
        <f t="shared" si="101"/>
        <v/>
      </c>
      <c r="AX248" s="168" t="str">
        <f t="shared" si="102"/>
        <v/>
      </c>
      <c r="AY248" s="95" t="s">
        <v>56</v>
      </c>
      <c r="AZ248" s="96">
        <v>63.480000000000004</v>
      </c>
      <c r="BA248" s="96"/>
      <c r="BB248" s="96">
        <v>40.5</v>
      </c>
      <c r="BC248" s="96"/>
      <c r="BD248" s="97">
        <v>133.32</v>
      </c>
      <c r="BE248" s="142">
        <f t="shared" si="103"/>
        <v>4</v>
      </c>
      <c r="BF248" s="98">
        <v>0</v>
      </c>
      <c r="BG248" s="98">
        <v>0</v>
      </c>
      <c r="BH248" s="98">
        <v>0</v>
      </c>
      <c r="BI248" s="98">
        <v>4</v>
      </c>
      <c r="BJ248" s="98"/>
      <c r="BK248" s="98"/>
      <c r="BL248" s="97"/>
    </row>
    <row r="249" spans="1:64" outlineLevel="5" x14ac:dyDescent="0.3">
      <c r="A249" s="152">
        <f t="shared" si="105"/>
        <v>7</v>
      </c>
      <c r="B249" s="153">
        <f t="shared" si="104"/>
        <v>44769</v>
      </c>
      <c r="C249" s="138">
        <f t="shared" si="94"/>
        <v>37</v>
      </c>
      <c r="D249" s="84">
        <v>37</v>
      </c>
      <c r="E249" s="84">
        <v>37</v>
      </c>
      <c r="F249" s="84"/>
      <c r="G249" s="84"/>
      <c r="H249" s="84"/>
      <c r="I249" s="84"/>
      <c r="J249" s="84"/>
      <c r="K249" s="84"/>
      <c r="L249" s="140">
        <f t="shared" si="95"/>
        <v>8</v>
      </c>
      <c r="M249" s="86">
        <v>8.0399999999999991</v>
      </c>
      <c r="N249" s="86">
        <v>7.99</v>
      </c>
      <c r="O249" s="86"/>
      <c r="P249" s="86"/>
      <c r="Q249" s="86"/>
      <c r="R249" s="86"/>
      <c r="S249" s="86"/>
      <c r="T249" s="86"/>
      <c r="U249" s="142">
        <f t="shared" si="96"/>
        <v>1265</v>
      </c>
      <c r="V249" s="88">
        <v>1360</v>
      </c>
      <c r="W249" s="88">
        <v>1170</v>
      </c>
      <c r="X249" s="88"/>
      <c r="Y249" s="88"/>
      <c r="Z249" s="88"/>
      <c r="AA249" s="88"/>
      <c r="AB249" s="88"/>
      <c r="AC249" s="88"/>
      <c r="AD249" s="142" t="str">
        <f t="shared" si="97"/>
        <v/>
      </c>
      <c r="AE249" s="88"/>
      <c r="AF249" s="88"/>
      <c r="AG249" s="88"/>
      <c r="AH249" s="88"/>
      <c r="AI249" s="88"/>
      <c r="AJ249" s="88"/>
      <c r="AK249" s="88"/>
      <c r="AL249" s="88"/>
      <c r="AM249" s="88">
        <v>33.272240236853236</v>
      </c>
      <c r="AN249" s="88">
        <v>141.85999999999999</v>
      </c>
      <c r="AO249" s="89"/>
      <c r="AP249" s="90"/>
      <c r="AQ249" s="146" t="str">
        <f t="shared" si="98"/>
        <v/>
      </c>
      <c r="AR249" s="146" t="str">
        <f t="shared" si="99"/>
        <v/>
      </c>
      <c r="AS249" s="147">
        <v>11</v>
      </c>
      <c r="AT249" s="148">
        <v>14.899999999999999</v>
      </c>
      <c r="AU249" s="149">
        <v>7.7714999999999996</v>
      </c>
      <c r="AV249" s="146">
        <f t="shared" si="100"/>
        <v>52.157718120805377</v>
      </c>
      <c r="AW249" s="146">
        <f t="shared" si="101"/>
        <v>47.842281879194623</v>
      </c>
      <c r="AX249" s="168" t="str">
        <f t="shared" si="102"/>
        <v/>
      </c>
      <c r="AY249" s="95">
        <v>75.55</v>
      </c>
      <c r="AZ249" s="96">
        <v>62.115000000000002</v>
      </c>
      <c r="BA249" s="96"/>
      <c r="BB249" s="96">
        <v>46.5</v>
      </c>
      <c r="BC249" s="96"/>
      <c r="BD249" s="97">
        <v>141.85999999999999</v>
      </c>
      <c r="BE249" s="142">
        <f t="shared" si="103"/>
        <v>6</v>
      </c>
      <c r="BF249" s="98">
        <v>0</v>
      </c>
      <c r="BG249" s="98">
        <v>4</v>
      </c>
      <c r="BH249" s="98">
        <v>0</v>
      </c>
      <c r="BI249" s="98">
        <v>2</v>
      </c>
      <c r="BJ249" s="98"/>
      <c r="BK249" s="98"/>
      <c r="BL249" s="97"/>
    </row>
    <row r="250" spans="1:64" outlineLevel="5" x14ac:dyDescent="0.3">
      <c r="A250" s="152">
        <f t="shared" si="105"/>
        <v>7</v>
      </c>
      <c r="B250" s="153">
        <f t="shared" si="104"/>
        <v>44770</v>
      </c>
      <c r="C250" s="138">
        <f t="shared" si="94"/>
        <v>37</v>
      </c>
      <c r="D250" s="84">
        <v>37</v>
      </c>
      <c r="E250" s="84">
        <v>37</v>
      </c>
      <c r="F250" s="84"/>
      <c r="G250" s="84"/>
      <c r="H250" s="84"/>
      <c r="I250" s="84"/>
      <c r="J250" s="84"/>
      <c r="K250" s="84"/>
      <c r="L250" s="140">
        <f t="shared" si="95"/>
        <v>8</v>
      </c>
      <c r="M250" s="86">
        <v>8.0399999999999991</v>
      </c>
      <c r="N250" s="86">
        <v>7.88</v>
      </c>
      <c r="O250" s="86"/>
      <c r="P250" s="86"/>
      <c r="Q250" s="86"/>
      <c r="R250" s="86"/>
      <c r="S250" s="86"/>
      <c r="T250" s="86"/>
      <c r="U250" s="142">
        <f t="shared" si="96"/>
        <v>1215</v>
      </c>
      <c r="V250" s="88">
        <v>1310</v>
      </c>
      <c r="W250" s="88">
        <v>1120</v>
      </c>
      <c r="X250" s="88"/>
      <c r="Y250" s="88"/>
      <c r="Z250" s="88"/>
      <c r="AA250" s="88"/>
      <c r="AB250" s="88"/>
      <c r="AC250" s="88"/>
      <c r="AD250" s="142" t="str">
        <f t="shared" si="97"/>
        <v/>
      </c>
      <c r="AE250" s="88"/>
      <c r="AF250" s="88"/>
      <c r="AG250" s="88"/>
      <c r="AH250" s="88"/>
      <c r="AI250" s="88"/>
      <c r="AJ250" s="88"/>
      <c r="AK250" s="88"/>
      <c r="AL250" s="88"/>
      <c r="AM250" s="88">
        <v>32.574189095928233</v>
      </c>
      <c r="AN250" s="88">
        <v>144.89999999999998</v>
      </c>
      <c r="AO250" s="89"/>
      <c r="AP250" s="90"/>
      <c r="AQ250" s="146" t="str">
        <f t="shared" si="98"/>
        <v/>
      </c>
      <c r="AR250" s="146" t="str">
        <f t="shared" si="99"/>
        <v/>
      </c>
      <c r="AS250" s="147">
        <v>10</v>
      </c>
      <c r="AT250" s="148">
        <v>14.9</v>
      </c>
      <c r="AU250" s="149">
        <v>8.3375000000000004</v>
      </c>
      <c r="AV250" s="146">
        <f t="shared" si="100"/>
        <v>55.956375838926178</v>
      </c>
      <c r="AW250" s="146">
        <f t="shared" si="101"/>
        <v>44.043624161073822</v>
      </c>
      <c r="AX250" s="168" t="str">
        <f t="shared" si="102"/>
        <v/>
      </c>
      <c r="AY250" s="95">
        <v>75.75</v>
      </c>
      <c r="AZ250" s="96">
        <v>61.459999999999994</v>
      </c>
      <c r="BA250" s="96"/>
      <c r="BB250" s="96">
        <v>43.5</v>
      </c>
      <c r="BC250" s="96"/>
      <c r="BD250" s="97">
        <v>144.89999999999998</v>
      </c>
      <c r="BE250" s="142" t="str">
        <f t="shared" si="103"/>
        <v/>
      </c>
      <c r="BF250" s="98">
        <v>0</v>
      </c>
      <c r="BG250" s="98">
        <v>0</v>
      </c>
      <c r="BH250" s="98">
        <v>0</v>
      </c>
      <c r="BI250" s="98">
        <v>0</v>
      </c>
      <c r="BJ250" s="98"/>
      <c r="BK250" s="98"/>
      <c r="BL250" s="97"/>
    </row>
    <row r="251" spans="1:64" outlineLevel="5" x14ac:dyDescent="0.3">
      <c r="A251" s="152">
        <f t="shared" si="105"/>
        <v>7</v>
      </c>
      <c r="B251" s="153">
        <f t="shared" si="104"/>
        <v>44771</v>
      </c>
      <c r="C251" s="138">
        <f t="shared" si="94"/>
        <v>37</v>
      </c>
      <c r="D251" s="84">
        <v>37</v>
      </c>
      <c r="E251" s="84">
        <v>37</v>
      </c>
      <c r="F251" s="84"/>
      <c r="G251" s="84"/>
      <c r="H251" s="84"/>
      <c r="I251" s="84"/>
      <c r="J251" s="84"/>
      <c r="K251" s="84"/>
      <c r="L251" s="140">
        <f t="shared" si="95"/>
        <v>8</v>
      </c>
      <c r="M251" s="86">
        <v>8</v>
      </c>
      <c r="N251" s="86">
        <v>7.94</v>
      </c>
      <c r="O251" s="86"/>
      <c r="P251" s="86"/>
      <c r="Q251" s="86"/>
      <c r="R251" s="86"/>
      <c r="S251" s="86"/>
      <c r="T251" s="86"/>
      <c r="U251" s="142">
        <f t="shared" si="96"/>
        <v>1175</v>
      </c>
      <c r="V251" s="88">
        <v>1280</v>
      </c>
      <c r="W251" s="88">
        <v>1070</v>
      </c>
      <c r="X251" s="88"/>
      <c r="Y251" s="88"/>
      <c r="Z251" s="88"/>
      <c r="AA251" s="88"/>
      <c r="AB251" s="88"/>
      <c r="AC251" s="88"/>
      <c r="AD251" s="142" t="str">
        <f t="shared" si="97"/>
        <v/>
      </c>
      <c r="AE251" s="88"/>
      <c r="AF251" s="88"/>
      <c r="AG251" s="88"/>
      <c r="AH251" s="88"/>
      <c r="AI251" s="88"/>
      <c r="AJ251" s="88"/>
      <c r="AK251" s="88"/>
      <c r="AL251" s="88"/>
      <c r="AM251" s="88">
        <v>32.384219554030878</v>
      </c>
      <c r="AN251" s="88">
        <v>145.75</v>
      </c>
      <c r="AO251" s="89"/>
      <c r="AP251" s="90"/>
      <c r="AQ251" s="146" t="str">
        <f t="shared" si="98"/>
        <v/>
      </c>
      <c r="AR251" s="146" t="str">
        <f t="shared" si="99"/>
        <v/>
      </c>
      <c r="AS251" s="147">
        <v>10</v>
      </c>
      <c r="AT251" s="148" t="s">
        <v>106</v>
      </c>
      <c r="AU251" s="149" t="s">
        <v>56</v>
      </c>
      <c r="AV251" s="146" t="str">
        <f t="shared" si="100"/>
        <v/>
      </c>
      <c r="AW251" s="146" t="str">
        <f t="shared" si="101"/>
        <v/>
      </c>
      <c r="AX251" s="168" t="str">
        <f t="shared" si="102"/>
        <v/>
      </c>
      <c r="AY251" s="95" t="s">
        <v>56</v>
      </c>
      <c r="AZ251" s="96">
        <v>60.155000000000001</v>
      </c>
      <c r="BA251" s="96"/>
      <c r="BB251" s="96">
        <v>74</v>
      </c>
      <c r="BC251" s="96"/>
      <c r="BD251" s="97">
        <v>145.75</v>
      </c>
      <c r="BE251" s="142" t="str">
        <f t="shared" si="103"/>
        <v/>
      </c>
      <c r="BF251" s="98">
        <v>0</v>
      </c>
      <c r="BG251" s="98">
        <v>0</v>
      </c>
      <c r="BH251" s="98">
        <v>0</v>
      </c>
      <c r="BI251" s="98">
        <v>0</v>
      </c>
      <c r="BJ251" s="98"/>
      <c r="BK251" s="98"/>
      <c r="BL251" s="97"/>
    </row>
    <row r="252" spans="1:64" outlineLevel="5" x14ac:dyDescent="0.3">
      <c r="A252" s="152">
        <f t="shared" si="105"/>
        <v>7</v>
      </c>
      <c r="B252" s="153">
        <f t="shared" si="104"/>
        <v>44772</v>
      </c>
      <c r="C252" s="138">
        <f t="shared" si="94"/>
        <v>37</v>
      </c>
      <c r="D252" s="84">
        <v>37</v>
      </c>
      <c r="E252" s="84">
        <v>37</v>
      </c>
      <c r="F252" s="84"/>
      <c r="G252" s="84"/>
      <c r="H252" s="84"/>
      <c r="I252" s="84"/>
      <c r="J252" s="84"/>
      <c r="K252" s="84"/>
      <c r="L252" s="140" t="str">
        <f t="shared" si="95"/>
        <v/>
      </c>
      <c r="M252" s="86"/>
      <c r="N252" s="86"/>
      <c r="O252" s="86"/>
      <c r="P252" s="86"/>
      <c r="Q252" s="86"/>
      <c r="R252" s="86"/>
      <c r="S252" s="86"/>
      <c r="T252" s="86"/>
      <c r="U252" s="142" t="str">
        <f t="shared" si="96"/>
        <v/>
      </c>
      <c r="V252" s="88"/>
      <c r="W252" s="88"/>
      <c r="X252" s="88"/>
      <c r="Y252" s="88"/>
      <c r="Z252" s="88"/>
      <c r="AA252" s="88"/>
      <c r="AB252" s="88"/>
      <c r="AC252" s="88"/>
      <c r="AD252" s="142" t="str">
        <f t="shared" si="97"/>
        <v/>
      </c>
      <c r="AE252" s="88"/>
      <c r="AF252" s="88"/>
      <c r="AG252" s="88"/>
      <c r="AH252" s="88"/>
      <c r="AI252" s="88"/>
      <c r="AJ252" s="88"/>
      <c r="AK252" s="88"/>
      <c r="AL252" s="88"/>
      <c r="AM252" s="88">
        <v>38.590466846537488</v>
      </c>
      <c r="AN252" s="88">
        <v>122.31</v>
      </c>
      <c r="AO252" s="89"/>
      <c r="AP252" s="90"/>
      <c r="AQ252" s="146" t="str">
        <f t="shared" si="98"/>
        <v/>
      </c>
      <c r="AR252" s="146" t="str">
        <f t="shared" si="99"/>
        <v/>
      </c>
      <c r="AS252" s="147">
        <v>10</v>
      </c>
      <c r="AT252" s="148" t="s">
        <v>106</v>
      </c>
      <c r="AU252" s="149" t="s">
        <v>56</v>
      </c>
      <c r="AV252" s="146" t="str">
        <f t="shared" si="100"/>
        <v/>
      </c>
      <c r="AW252" s="146" t="str">
        <f t="shared" si="101"/>
        <v/>
      </c>
      <c r="AX252" s="168" t="str">
        <f t="shared" si="102"/>
        <v/>
      </c>
      <c r="AY252" s="95" t="s">
        <v>56</v>
      </c>
      <c r="AZ252" s="96" t="s">
        <v>56</v>
      </c>
      <c r="BA252" s="96"/>
      <c r="BB252" s="96" t="s">
        <v>56</v>
      </c>
      <c r="BC252" s="96"/>
      <c r="BD252" s="97">
        <v>122.31</v>
      </c>
      <c r="BE252" s="142" t="str">
        <f t="shared" si="103"/>
        <v/>
      </c>
      <c r="BF252" s="98">
        <v>0</v>
      </c>
      <c r="BG252" s="98">
        <v>0</v>
      </c>
      <c r="BH252" s="98">
        <v>0</v>
      </c>
      <c r="BI252" s="98">
        <v>0</v>
      </c>
      <c r="BJ252" s="98"/>
      <c r="BK252" s="98"/>
      <c r="BL252" s="97"/>
    </row>
    <row r="253" spans="1:64" ht="17.25" outlineLevel="5" thickBot="1" x14ac:dyDescent="0.35">
      <c r="A253" s="154">
        <f t="shared" si="105"/>
        <v>7</v>
      </c>
      <c r="B253" s="155">
        <f t="shared" si="104"/>
        <v>44773</v>
      </c>
      <c r="C253" s="138">
        <f t="shared" si="94"/>
        <v>36.5</v>
      </c>
      <c r="D253" s="84">
        <v>37</v>
      </c>
      <c r="E253" s="84">
        <v>36</v>
      </c>
      <c r="F253" s="84"/>
      <c r="G253" s="84"/>
      <c r="H253" s="84"/>
      <c r="I253" s="84"/>
      <c r="J253" s="84"/>
      <c r="K253" s="84"/>
      <c r="L253" s="140" t="str">
        <f t="shared" si="95"/>
        <v/>
      </c>
      <c r="M253" s="86"/>
      <c r="N253" s="86"/>
      <c r="O253" s="86"/>
      <c r="P253" s="86"/>
      <c r="Q253" s="86"/>
      <c r="R253" s="86"/>
      <c r="S253" s="86"/>
      <c r="T253" s="86"/>
      <c r="U253" s="142" t="str">
        <f t="shared" si="96"/>
        <v/>
      </c>
      <c r="V253" s="88"/>
      <c r="W253" s="88"/>
      <c r="X253" s="88"/>
      <c r="Y253" s="88"/>
      <c r="Z253" s="88"/>
      <c r="AA253" s="88"/>
      <c r="AB253" s="88"/>
      <c r="AC253" s="88"/>
      <c r="AD253" s="142" t="str">
        <f t="shared" si="97"/>
        <v/>
      </c>
      <c r="AE253" s="88"/>
      <c r="AF253" s="88"/>
      <c r="AG253" s="88"/>
      <c r="AH253" s="88"/>
      <c r="AI253" s="88"/>
      <c r="AJ253" s="88"/>
      <c r="AK253" s="88"/>
      <c r="AL253" s="88"/>
      <c r="AM253" s="88">
        <v>39.333333333333336</v>
      </c>
      <c r="AN253" s="88">
        <v>120</v>
      </c>
      <c r="AO253" s="89"/>
      <c r="AP253" s="90"/>
      <c r="AQ253" s="146" t="str">
        <f t="shared" si="98"/>
        <v/>
      </c>
      <c r="AR253" s="146" t="str">
        <f t="shared" si="99"/>
        <v/>
      </c>
      <c r="AS253" s="147">
        <v>5</v>
      </c>
      <c r="AT253" s="148" t="s">
        <v>106</v>
      </c>
      <c r="AU253" s="149" t="s">
        <v>56</v>
      </c>
      <c r="AV253" s="146" t="str">
        <f t="shared" si="100"/>
        <v/>
      </c>
      <c r="AW253" s="146" t="str">
        <f t="shared" si="101"/>
        <v/>
      </c>
      <c r="AX253" s="168" t="str">
        <f t="shared" si="102"/>
        <v/>
      </c>
      <c r="AY253" s="95" t="s">
        <v>56</v>
      </c>
      <c r="AZ253" s="96" t="s">
        <v>56</v>
      </c>
      <c r="BA253" s="96"/>
      <c r="BB253" s="96" t="s">
        <v>56</v>
      </c>
      <c r="BC253" s="96"/>
      <c r="BD253" s="97">
        <v>120</v>
      </c>
      <c r="BE253" s="142" t="str">
        <f t="shared" si="103"/>
        <v/>
      </c>
      <c r="BF253" s="98">
        <v>0</v>
      </c>
      <c r="BG253" s="98">
        <v>0</v>
      </c>
      <c r="BH253" s="98">
        <v>0</v>
      </c>
      <c r="BI253" s="98">
        <v>0</v>
      </c>
      <c r="BJ253" s="98"/>
      <c r="BK253" s="98"/>
      <c r="BL253" s="97"/>
    </row>
    <row r="254" spans="1:64" outlineLevel="4" x14ac:dyDescent="0.3">
      <c r="A254" s="63" t="s">
        <v>81</v>
      </c>
      <c r="B254" s="64"/>
      <c r="C254" s="65">
        <f t="shared" ref="C254:BL254" si="106">SUBTOTAL(4,C223:C253)</f>
        <v>37.5</v>
      </c>
      <c r="D254" s="66">
        <f t="shared" si="106"/>
        <v>38</v>
      </c>
      <c r="E254" s="66">
        <f t="shared" si="106"/>
        <v>37</v>
      </c>
      <c r="F254" s="66">
        <f t="shared" si="106"/>
        <v>0</v>
      </c>
      <c r="G254" s="66">
        <f t="shared" si="106"/>
        <v>0</v>
      </c>
      <c r="H254" s="66">
        <f t="shared" si="106"/>
        <v>0</v>
      </c>
      <c r="I254" s="66">
        <f t="shared" si="106"/>
        <v>0</v>
      </c>
      <c r="J254" s="66">
        <f t="shared" si="106"/>
        <v>0</v>
      </c>
      <c r="K254" s="66">
        <f t="shared" si="106"/>
        <v>0</v>
      </c>
      <c r="L254" s="67">
        <f t="shared" si="106"/>
        <v>8</v>
      </c>
      <c r="M254" s="68">
        <f t="shared" si="106"/>
        <v>8.0500000000000007</v>
      </c>
      <c r="N254" s="68">
        <f t="shared" si="106"/>
        <v>7.99</v>
      </c>
      <c r="O254" s="68">
        <f t="shared" si="106"/>
        <v>0</v>
      </c>
      <c r="P254" s="68">
        <f t="shared" si="106"/>
        <v>0</v>
      </c>
      <c r="Q254" s="68">
        <f t="shared" si="106"/>
        <v>0</v>
      </c>
      <c r="R254" s="68">
        <f t="shared" si="106"/>
        <v>0</v>
      </c>
      <c r="S254" s="68">
        <f t="shared" si="106"/>
        <v>0</v>
      </c>
      <c r="T254" s="68">
        <f t="shared" si="106"/>
        <v>0</v>
      </c>
      <c r="U254" s="69">
        <f t="shared" si="106"/>
        <v>2430</v>
      </c>
      <c r="V254" s="70">
        <f t="shared" si="106"/>
        <v>2520</v>
      </c>
      <c r="W254" s="70">
        <f t="shared" si="106"/>
        <v>2390</v>
      </c>
      <c r="X254" s="70">
        <f t="shared" si="106"/>
        <v>0</v>
      </c>
      <c r="Y254" s="70">
        <f t="shared" si="106"/>
        <v>0</v>
      </c>
      <c r="Z254" s="70">
        <f t="shared" si="106"/>
        <v>0</v>
      </c>
      <c r="AA254" s="70">
        <f t="shared" si="106"/>
        <v>0</v>
      </c>
      <c r="AB254" s="70">
        <f t="shared" si="106"/>
        <v>0</v>
      </c>
      <c r="AC254" s="70">
        <f t="shared" si="106"/>
        <v>0</v>
      </c>
      <c r="AD254" s="69">
        <f t="shared" si="106"/>
        <v>0</v>
      </c>
      <c r="AE254" s="70">
        <f t="shared" si="106"/>
        <v>0</v>
      </c>
      <c r="AF254" s="70">
        <f t="shared" si="106"/>
        <v>0</v>
      </c>
      <c r="AG254" s="70">
        <f t="shared" si="106"/>
        <v>0</v>
      </c>
      <c r="AH254" s="70">
        <f t="shared" si="106"/>
        <v>0</v>
      </c>
      <c r="AI254" s="70">
        <f t="shared" si="106"/>
        <v>0</v>
      </c>
      <c r="AJ254" s="70">
        <f t="shared" si="106"/>
        <v>0</v>
      </c>
      <c r="AK254" s="70">
        <f t="shared" si="106"/>
        <v>0</v>
      </c>
      <c r="AL254" s="70">
        <f t="shared" si="106"/>
        <v>0</v>
      </c>
      <c r="AM254" s="70">
        <f t="shared" si="106"/>
        <v>49.151306883265647</v>
      </c>
      <c r="AN254" s="70">
        <f t="shared" si="106"/>
        <v>150.89999999999998</v>
      </c>
      <c r="AO254" s="71">
        <f t="shared" si="106"/>
        <v>18.100000000000001</v>
      </c>
      <c r="AP254" s="72">
        <f t="shared" si="106"/>
        <v>15.185900000000002</v>
      </c>
      <c r="AQ254" s="73">
        <f t="shared" si="106"/>
        <v>84.4</v>
      </c>
      <c r="AR254" s="73">
        <f t="shared" si="106"/>
        <v>24.299999999999997</v>
      </c>
      <c r="AS254" s="74">
        <f t="shared" si="106"/>
        <v>20</v>
      </c>
      <c r="AT254" s="75">
        <f t="shared" si="106"/>
        <v>14.9</v>
      </c>
      <c r="AU254" s="76">
        <f t="shared" si="106"/>
        <v>8.8355999999999995</v>
      </c>
      <c r="AV254" s="73">
        <f t="shared" si="106"/>
        <v>59.699999999999996</v>
      </c>
      <c r="AW254" s="73">
        <f t="shared" si="106"/>
        <v>47.842281879194623</v>
      </c>
      <c r="AX254" s="65">
        <f t="shared" si="106"/>
        <v>75.610000369929608</v>
      </c>
      <c r="AY254" s="77">
        <f t="shared" si="106"/>
        <v>75.75</v>
      </c>
      <c r="AZ254" s="78">
        <f t="shared" si="106"/>
        <v>64.875</v>
      </c>
      <c r="BA254" s="78">
        <f t="shared" si="106"/>
        <v>0</v>
      </c>
      <c r="BB254" s="78">
        <f t="shared" si="106"/>
        <v>74</v>
      </c>
      <c r="BC254" s="78">
        <f t="shared" si="106"/>
        <v>0</v>
      </c>
      <c r="BD254" s="79">
        <f t="shared" si="106"/>
        <v>150.89999999999998</v>
      </c>
      <c r="BE254" s="69">
        <f t="shared" si="106"/>
        <v>7632</v>
      </c>
      <c r="BF254" s="70">
        <f t="shared" si="106"/>
        <v>0</v>
      </c>
      <c r="BG254" s="80">
        <f t="shared" si="106"/>
        <v>27</v>
      </c>
      <c r="BH254" s="80">
        <f t="shared" si="106"/>
        <v>4468</v>
      </c>
      <c r="BI254" s="80">
        <f t="shared" si="106"/>
        <v>7632</v>
      </c>
      <c r="BJ254" s="80">
        <f t="shared" si="106"/>
        <v>0</v>
      </c>
      <c r="BK254" s="80">
        <f t="shared" si="106"/>
        <v>0</v>
      </c>
      <c r="BL254" s="79">
        <f t="shared" si="106"/>
        <v>0</v>
      </c>
    </row>
    <row r="255" spans="1:64" outlineLevel="3" x14ac:dyDescent="0.3">
      <c r="A255" s="81" t="s">
        <v>82</v>
      </c>
      <c r="B255" s="82"/>
      <c r="C255" s="83">
        <f t="shared" ref="C255:BL255" si="107">SUBTOTAL(5,C223:C253)</f>
        <v>36</v>
      </c>
      <c r="D255" s="84">
        <f t="shared" si="107"/>
        <v>36</v>
      </c>
      <c r="E255" s="84">
        <f t="shared" si="107"/>
        <v>36</v>
      </c>
      <c r="F255" s="84">
        <f t="shared" si="107"/>
        <v>0</v>
      </c>
      <c r="G255" s="84">
        <f t="shared" si="107"/>
        <v>0</v>
      </c>
      <c r="H255" s="84">
        <f t="shared" si="107"/>
        <v>0</v>
      </c>
      <c r="I255" s="84">
        <f t="shared" si="107"/>
        <v>0</v>
      </c>
      <c r="J255" s="84">
        <f t="shared" si="107"/>
        <v>0</v>
      </c>
      <c r="K255" s="84">
        <f t="shared" si="107"/>
        <v>0</v>
      </c>
      <c r="L255" s="85">
        <f t="shared" si="107"/>
        <v>7.9</v>
      </c>
      <c r="M255" s="86">
        <f t="shared" si="107"/>
        <v>7.91</v>
      </c>
      <c r="N255" s="86">
        <f t="shared" si="107"/>
        <v>7.86</v>
      </c>
      <c r="O255" s="86">
        <f t="shared" si="107"/>
        <v>0</v>
      </c>
      <c r="P255" s="86">
        <f t="shared" si="107"/>
        <v>0</v>
      </c>
      <c r="Q255" s="86">
        <f t="shared" si="107"/>
        <v>0</v>
      </c>
      <c r="R255" s="86">
        <f t="shared" si="107"/>
        <v>0</v>
      </c>
      <c r="S255" s="86">
        <f t="shared" si="107"/>
        <v>0</v>
      </c>
      <c r="T255" s="86">
        <f t="shared" si="107"/>
        <v>0</v>
      </c>
      <c r="U255" s="87">
        <f t="shared" si="107"/>
        <v>1175</v>
      </c>
      <c r="V255" s="88">
        <f t="shared" si="107"/>
        <v>1280</v>
      </c>
      <c r="W255" s="88">
        <f t="shared" si="107"/>
        <v>1070</v>
      </c>
      <c r="X255" s="88">
        <f t="shared" si="107"/>
        <v>0</v>
      </c>
      <c r="Y255" s="88">
        <f t="shared" si="107"/>
        <v>0</v>
      </c>
      <c r="Z255" s="88">
        <f t="shared" si="107"/>
        <v>0</v>
      </c>
      <c r="AA255" s="88">
        <f t="shared" si="107"/>
        <v>0</v>
      </c>
      <c r="AB255" s="88">
        <f t="shared" si="107"/>
        <v>0</v>
      </c>
      <c r="AC255" s="88">
        <f t="shared" si="107"/>
        <v>0</v>
      </c>
      <c r="AD255" s="87">
        <f t="shared" si="107"/>
        <v>0</v>
      </c>
      <c r="AE255" s="88">
        <f t="shared" si="107"/>
        <v>0</v>
      </c>
      <c r="AF255" s="88">
        <f t="shared" si="107"/>
        <v>0</v>
      </c>
      <c r="AG255" s="88">
        <f t="shared" si="107"/>
        <v>0</v>
      </c>
      <c r="AH255" s="88">
        <f t="shared" si="107"/>
        <v>0</v>
      </c>
      <c r="AI255" s="88">
        <f t="shared" si="107"/>
        <v>0</v>
      </c>
      <c r="AJ255" s="88">
        <f t="shared" si="107"/>
        <v>0</v>
      </c>
      <c r="AK255" s="88">
        <f t="shared" si="107"/>
        <v>0</v>
      </c>
      <c r="AL255" s="88">
        <f t="shared" si="107"/>
        <v>0</v>
      </c>
      <c r="AM255" s="88">
        <f t="shared" si="107"/>
        <v>31.278992710404246</v>
      </c>
      <c r="AN255" s="88">
        <f t="shared" si="107"/>
        <v>96.03</v>
      </c>
      <c r="AO255" s="89">
        <f t="shared" si="107"/>
        <v>8.8000000000000007</v>
      </c>
      <c r="AP255" s="90">
        <f t="shared" si="107"/>
        <v>6.6616000000000009</v>
      </c>
      <c r="AQ255" s="91">
        <f t="shared" si="107"/>
        <v>75.7</v>
      </c>
      <c r="AR255" s="91">
        <f t="shared" si="107"/>
        <v>15.599999999999994</v>
      </c>
      <c r="AS255" s="92">
        <f t="shared" si="107"/>
        <v>0</v>
      </c>
      <c r="AT255" s="93">
        <f t="shared" si="107"/>
        <v>13.5</v>
      </c>
      <c r="AU255" s="94">
        <f t="shared" si="107"/>
        <v>7.5130500000000007</v>
      </c>
      <c r="AV255" s="91">
        <f t="shared" si="107"/>
        <v>52.157718120805377</v>
      </c>
      <c r="AW255" s="91">
        <f t="shared" si="107"/>
        <v>40.300000000000004</v>
      </c>
      <c r="AX255" s="83">
        <f t="shared" si="107"/>
        <v>61.857271082905974</v>
      </c>
      <c r="AY255" s="95">
        <f t="shared" si="107"/>
        <v>70.8</v>
      </c>
      <c r="AZ255" s="96">
        <f t="shared" si="107"/>
        <v>60.155000000000001</v>
      </c>
      <c r="BA255" s="96">
        <f t="shared" si="107"/>
        <v>0</v>
      </c>
      <c r="BB255" s="96">
        <f t="shared" si="107"/>
        <v>37.5</v>
      </c>
      <c r="BC255" s="96">
        <f t="shared" si="107"/>
        <v>0</v>
      </c>
      <c r="BD255" s="97">
        <f t="shared" si="107"/>
        <v>96.03</v>
      </c>
      <c r="BE255" s="87">
        <f t="shared" si="107"/>
        <v>4</v>
      </c>
      <c r="BF255" s="88">
        <f t="shared" si="107"/>
        <v>0</v>
      </c>
      <c r="BG255" s="98">
        <f t="shared" si="107"/>
        <v>0</v>
      </c>
      <c r="BH255" s="98">
        <f t="shared" si="107"/>
        <v>0</v>
      </c>
      <c r="BI255" s="98">
        <f t="shared" si="107"/>
        <v>0</v>
      </c>
      <c r="BJ255" s="98">
        <f t="shared" si="107"/>
        <v>0</v>
      </c>
      <c r="BK255" s="98">
        <f t="shared" si="107"/>
        <v>0</v>
      </c>
      <c r="BL255" s="97">
        <f t="shared" si="107"/>
        <v>0</v>
      </c>
    </row>
    <row r="256" spans="1:64" outlineLevel="2" x14ac:dyDescent="0.3">
      <c r="A256" s="81" t="s">
        <v>83</v>
      </c>
      <c r="B256" s="82"/>
      <c r="C256" s="83">
        <f t="shared" ref="C256:BL256" si="108">IFERROR(SUBTOTAL(1,C223:C253),"")</f>
        <v>36.661290322580648</v>
      </c>
      <c r="D256" s="84">
        <f t="shared" si="108"/>
        <v>36.903225806451616</v>
      </c>
      <c r="E256" s="84">
        <f t="shared" si="108"/>
        <v>36.41935483870968</v>
      </c>
      <c r="F256" s="84" t="str">
        <f t="shared" si="108"/>
        <v/>
      </c>
      <c r="G256" s="84" t="str">
        <f t="shared" si="108"/>
        <v/>
      </c>
      <c r="H256" s="84" t="str">
        <f t="shared" si="108"/>
        <v/>
      </c>
      <c r="I256" s="84" t="str">
        <f t="shared" si="108"/>
        <v/>
      </c>
      <c r="J256" s="84" t="str">
        <f t="shared" si="108"/>
        <v/>
      </c>
      <c r="K256" s="84" t="str">
        <f t="shared" si="108"/>
        <v/>
      </c>
      <c r="L256" s="85">
        <f t="shared" si="108"/>
        <v>7.9619047619047629</v>
      </c>
      <c r="M256" s="86">
        <f t="shared" si="108"/>
        <v>7.9866666666666655</v>
      </c>
      <c r="N256" s="86">
        <f t="shared" si="108"/>
        <v>7.9295238095238103</v>
      </c>
      <c r="O256" s="86" t="str">
        <f t="shared" si="108"/>
        <v/>
      </c>
      <c r="P256" s="86" t="str">
        <f t="shared" si="108"/>
        <v/>
      </c>
      <c r="Q256" s="86" t="str">
        <f t="shared" si="108"/>
        <v/>
      </c>
      <c r="R256" s="86" t="str">
        <f t="shared" si="108"/>
        <v/>
      </c>
      <c r="S256" s="86" t="str">
        <f t="shared" si="108"/>
        <v/>
      </c>
      <c r="T256" s="86" t="str">
        <f t="shared" si="108"/>
        <v/>
      </c>
      <c r="U256" s="87">
        <f t="shared" si="108"/>
        <v>1896.5238095238096</v>
      </c>
      <c r="V256" s="88">
        <f t="shared" si="108"/>
        <v>1940.047619047619</v>
      </c>
      <c r="W256" s="88">
        <f t="shared" si="108"/>
        <v>1853</v>
      </c>
      <c r="X256" s="88" t="str">
        <f t="shared" si="108"/>
        <v/>
      </c>
      <c r="Y256" s="88" t="str">
        <f t="shared" si="108"/>
        <v/>
      </c>
      <c r="Z256" s="88" t="str">
        <f t="shared" si="108"/>
        <v/>
      </c>
      <c r="AA256" s="88" t="str">
        <f t="shared" si="108"/>
        <v/>
      </c>
      <c r="AB256" s="88" t="str">
        <f t="shared" si="108"/>
        <v/>
      </c>
      <c r="AC256" s="88" t="str">
        <f t="shared" si="108"/>
        <v/>
      </c>
      <c r="AD256" s="87" t="str">
        <f t="shared" si="108"/>
        <v/>
      </c>
      <c r="AE256" s="88" t="str">
        <f t="shared" si="108"/>
        <v/>
      </c>
      <c r="AF256" s="88" t="str">
        <f t="shared" si="108"/>
        <v/>
      </c>
      <c r="AG256" s="88" t="str">
        <f t="shared" si="108"/>
        <v/>
      </c>
      <c r="AH256" s="88" t="str">
        <f t="shared" si="108"/>
        <v/>
      </c>
      <c r="AI256" s="88" t="str">
        <f t="shared" si="108"/>
        <v/>
      </c>
      <c r="AJ256" s="88" t="str">
        <f t="shared" si="108"/>
        <v/>
      </c>
      <c r="AK256" s="88" t="str">
        <f t="shared" si="108"/>
        <v/>
      </c>
      <c r="AL256" s="88" t="str">
        <f t="shared" si="108"/>
        <v/>
      </c>
      <c r="AM256" s="88">
        <f t="shared" si="108"/>
        <v>35.821109104183456</v>
      </c>
      <c r="AN256" s="88">
        <f t="shared" si="108"/>
        <v>132.931935483871</v>
      </c>
      <c r="AO256" s="89">
        <f t="shared" si="108"/>
        <v>15.450000000000003</v>
      </c>
      <c r="AP256" s="90">
        <f t="shared" si="108"/>
        <v>12.727875000000001</v>
      </c>
      <c r="AQ256" s="91">
        <f t="shared" si="108"/>
        <v>81.55</v>
      </c>
      <c r="AR256" s="91">
        <f t="shared" si="108"/>
        <v>18.45</v>
      </c>
      <c r="AS256" s="92">
        <f t="shared" si="108"/>
        <v>8.5806451612903221</v>
      </c>
      <c r="AT256" s="93">
        <f t="shared" si="108"/>
        <v>14.208333333333336</v>
      </c>
      <c r="AU256" s="94">
        <f t="shared" si="108"/>
        <v>7.9803666666666677</v>
      </c>
      <c r="AV256" s="91">
        <f t="shared" si="108"/>
        <v>56.181973268401642</v>
      </c>
      <c r="AW256" s="91">
        <f t="shared" si="108"/>
        <v>43.818026731598366</v>
      </c>
      <c r="AX256" s="83">
        <f t="shared" si="108"/>
        <v>70.533006600094367</v>
      </c>
      <c r="AY256" s="95">
        <f t="shared" si="108"/>
        <v>74.1875</v>
      </c>
      <c r="AZ256" s="96">
        <f t="shared" si="108"/>
        <v>62.051499999999997</v>
      </c>
      <c r="BA256" s="96" t="str">
        <f t="shared" si="108"/>
        <v/>
      </c>
      <c r="BB256" s="96">
        <f t="shared" si="108"/>
        <v>47.424999999999997</v>
      </c>
      <c r="BC256" s="96" t="str">
        <f t="shared" si="108"/>
        <v/>
      </c>
      <c r="BD256" s="97">
        <f>IFERROR(SUBTOTAL(1,BD223:BD253),"")</f>
        <v>132.931935483871</v>
      </c>
      <c r="BE256" s="87">
        <f t="shared" si="108"/>
        <v>4388.333333333333</v>
      </c>
      <c r="BF256" s="88">
        <f t="shared" si="108"/>
        <v>0</v>
      </c>
      <c r="BG256" s="98">
        <f t="shared" si="108"/>
        <v>1</v>
      </c>
      <c r="BH256" s="98">
        <f t="shared" si="108"/>
        <v>1055.4516129032259</v>
      </c>
      <c r="BI256" s="98">
        <f t="shared" si="108"/>
        <v>2765.6451612903224</v>
      </c>
      <c r="BJ256" s="98" t="str">
        <f t="shared" si="108"/>
        <v/>
      </c>
      <c r="BK256" s="98" t="str">
        <f t="shared" si="108"/>
        <v/>
      </c>
      <c r="BL256" s="97" t="str">
        <f t="shared" si="108"/>
        <v/>
      </c>
    </row>
    <row r="257" spans="1:64" ht="17.25" outlineLevel="1" thickBot="1" x14ac:dyDescent="0.35">
      <c r="A257" s="99" t="s">
        <v>84</v>
      </c>
      <c r="B257" s="100"/>
      <c r="C257" s="101"/>
      <c r="D257" s="102"/>
      <c r="E257" s="102"/>
      <c r="F257" s="102"/>
      <c r="G257" s="102"/>
      <c r="H257" s="102"/>
      <c r="I257" s="102"/>
      <c r="J257" s="102"/>
      <c r="K257" s="102"/>
      <c r="L257" s="103"/>
      <c r="M257" s="104"/>
      <c r="N257" s="104"/>
      <c r="O257" s="104"/>
      <c r="P257" s="104"/>
      <c r="Q257" s="104"/>
      <c r="R257" s="104"/>
      <c r="S257" s="104"/>
      <c r="T257" s="104"/>
      <c r="U257" s="105"/>
      <c r="V257" s="106"/>
      <c r="W257" s="106"/>
      <c r="X257" s="106"/>
      <c r="Y257" s="106"/>
      <c r="Z257" s="106"/>
      <c r="AA257" s="106"/>
      <c r="AB257" s="106"/>
      <c r="AC257" s="106"/>
      <c r="AD257" s="105"/>
      <c r="AE257" s="106"/>
      <c r="AF257" s="106"/>
      <c r="AG257" s="106"/>
      <c r="AH257" s="106"/>
      <c r="AI257" s="106"/>
      <c r="AJ257" s="106"/>
      <c r="AK257" s="106"/>
      <c r="AL257" s="106"/>
      <c r="AM257" s="106"/>
      <c r="AN257" s="107">
        <f>SUBTOTAL(9,AN223:AN253)</f>
        <v>4120.8900000000012</v>
      </c>
      <c r="AO257" s="108"/>
      <c r="AP257" s="109"/>
      <c r="AQ257" s="110"/>
      <c r="AR257" s="110"/>
      <c r="AS257" s="111">
        <f>SUBTOTAL(9,AS223:AS253)</f>
        <v>266</v>
      </c>
      <c r="AT257" s="112"/>
      <c r="AU257" s="113"/>
      <c r="AV257" s="110"/>
      <c r="AW257" s="110"/>
      <c r="AX257" s="101"/>
      <c r="AY257" s="114"/>
      <c r="AZ257" s="115"/>
      <c r="BA257" s="115"/>
      <c r="BB257" s="115"/>
      <c r="BC257" s="115"/>
      <c r="BD257" s="116">
        <f>SUBTOTAL(9,BD223:BD253)</f>
        <v>4120.8900000000012</v>
      </c>
      <c r="BE257" s="117">
        <f t="shared" ref="BE257:BL257" si="109">SUBTOTAL(9,BE223:BE253)</f>
        <v>118485</v>
      </c>
      <c r="BF257" s="107">
        <f t="shared" si="109"/>
        <v>0</v>
      </c>
      <c r="BG257" s="118">
        <f t="shared" si="109"/>
        <v>31</v>
      </c>
      <c r="BH257" s="118">
        <f t="shared" si="109"/>
        <v>32719</v>
      </c>
      <c r="BI257" s="118">
        <f t="shared" si="109"/>
        <v>85735</v>
      </c>
      <c r="BJ257" s="118">
        <f t="shared" si="109"/>
        <v>0</v>
      </c>
      <c r="BK257" s="118">
        <f t="shared" si="109"/>
        <v>0</v>
      </c>
      <c r="BL257" s="116">
        <f t="shared" si="109"/>
        <v>0</v>
      </c>
    </row>
    <row r="258" spans="1:64" outlineLevel="5" x14ac:dyDescent="0.3">
      <c r="A258" s="136">
        <f t="shared" si="105"/>
        <v>8</v>
      </c>
      <c r="B258" s="165">
        <f>B253+1</f>
        <v>44774</v>
      </c>
      <c r="C258" s="138">
        <f t="shared" ref="C258:C288" si="110">IFERROR(ROUND(AVERAGE(D258:K258),1),"")</f>
        <v>37</v>
      </c>
      <c r="D258" s="84">
        <v>37</v>
      </c>
      <c r="E258" s="84">
        <v>37</v>
      </c>
      <c r="F258" s="84"/>
      <c r="G258" s="84"/>
      <c r="H258" s="84"/>
      <c r="I258" s="84"/>
      <c r="J258" s="84"/>
      <c r="K258" s="84"/>
      <c r="L258" s="140">
        <f t="shared" ref="L258:L288" si="111">IFERROR(ROUND(AVERAGE(M258:T258),1),"")</f>
        <v>8</v>
      </c>
      <c r="M258" s="86">
        <v>8.08</v>
      </c>
      <c r="N258" s="86">
        <v>7.98</v>
      </c>
      <c r="O258" s="86"/>
      <c r="P258" s="86"/>
      <c r="Q258" s="86"/>
      <c r="R258" s="86"/>
      <c r="S258" s="86"/>
      <c r="T258" s="86"/>
      <c r="U258" s="142">
        <f t="shared" ref="U258:U288" si="112">IFERROR(ROUND(AVERAGE(V258:AC258),1),"")</f>
        <v>1160</v>
      </c>
      <c r="V258" s="88">
        <v>1240</v>
      </c>
      <c r="W258" s="88">
        <v>1080</v>
      </c>
      <c r="X258" s="88"/>
      <c r="Y258" s="88"/>
      <c r="Z258" s="88"/>
      <c r="AA258" s="88"/>
      <c r="AB258" s="88"/>
      <c r="AC258" s="88"/>
      <c r="AD258" s="142" t="str">
        <f t="shared" ref="AD258:AD288" si="113">IFERROR(ROUND(AVERAGE(AE258:AL258),1),"")</f>
        <v/>
      </c>
      <c r="AE258" s="88"/>
      <c r="AF258" s="88"/>
      <c r="AG258" s="88"/>
      <c r="AH258" s="88"/>
      <c r="AI258" s="88"/>
      <c r="AJ258" s="88"/>
      <c r="AK258" s="88"/>
      <c r="AL258" s="88"/>
      <c r="AM258" s="88">
        <v>35.231768306337237</v>
      </c>
      <c r="AN258" s="88">
        <v>133.97</v>
      </c>
      <c r="AO258" s="89">
        <v>8.6999999999999993</v>
      </c>
      <c r="AP258" s="90">
        <v>6.3422999999999998</v>
      </c>
      <c r="AQ258" s="146">
        <f t="shared" ref="AQ258:AQ288" si="114">IFERROR(AP258/AO258*100,"")</f>
        <v>72.900000000000006</v>
      </c>
      <c r="AR258" s="146">
        <f t="shared" ref="AR258:AR288" si="115">IFERROR(100-AQ258,"")</f>
        <v>27.099999999999994</v>
      </c>
      <c r="AS258" s="147">
        <v>10</v>
      </c>
      <c r="AT258" s="148">
        <v>14.5</v>
      </c>
      <c r="AU258" s="149">
        <v>7.6172999999999993</v>
      </c>
      <c r="AV258" s="146">
        <f t="shared" ref="AV258:AV288" si="116">IFERROR(AU258/AT258*100,"")</f>
        <v>52.533103448275853</v>
      </c>
      <c r="AW258" s="146">
        <f t="shared" ref="AW258:AW288" si="117">IFERROR(100-AV258,"")</f>
        <v>47.466896551724147</v>
      </c>
      <c r="AX258" s="138">
        <f t="shared" ref="AX258:AX288" si="118">IFERROR((1-((AV258*AR258)/(AW258*AQ258)))*100,"")</f>
        <v>58.858134258130733</v>
      </c>
      <c r="AY258" s="95">
        <v>75.55</v>
      </c>
      <c r="AZ258" s="96" t="s">
        <v>56</v>
      </c>
      <c r="BA258" s="96"/>
      <c r="BB258" s="96" t="s">
        <v>56</v>
      </c>
      <c r="BC258" s="96"/>
      <c r="BD258" s="97">
        <v>133.97</v>
      </c>
      <c r="BE258" s="142" t="str">
        <f t="shared" ref="BE258:BE288" si="119">IF(SUM(BF258:BL258)=0,"",SUM(BF258:BL258))</f>
        <v/>
      </c>
      <c r="BF258" s="98">
        <v>0</v>
      </c>
      <c r="BG258" s="98">
        <v>0</v>
      </c>
      <c r="BH258" s="98">
        <v>0</v>
      </c>
      <c r="BI258" s="98">
        <v>0</v>
      </c>
      <c r="BJ258" s="98"/>
      <c r="BK258" s="98"/>
      <c r="BL258" s="97"/>
    </row>
    <row r="259" spans="1:64" outlineLevel="5" x14ac:dyDescent="0.3">
      <c r="A259" s="152">
        <f t="shared" si="105"/>
        <v>8</v>
      </c>
      <c r="B259" s="153">
        <f t="shared" si="104"/>
        <v>44775</v>
      </c>
      <c r="C259" s="138">
        <f t="shared" si="110"/>
        <v>37</v>
      </c>
      <c r="D259" s="84">
        <v>37</v>
      </c>
      <c r="E259" s="84">
        <v>37</v>
      </c>
      <c r="F259" s="84"/>
      <c r="G259" s="84"/>
      <c r="H259" s="84"/>
      <c r="I259" s="84"/>
      <c r="J259" s="84"/>
      <c r="K259" s="84"/>
      <c r="L259" s="140">
        <f t="shared" si="111"/>
        <v>8</v>
      </c>
      <c r="M259" s="86">
        <v>8.0500000000000007</v>
      </c>
      <c r="N259" s="86">
        <v>7.92</v>
      </c>
      <c r="O259" s="86"/>
      <c r="P259" s="86"/>
      <c r="Q259" s="86"/>
      <c r="R259" s="86"/>
      <c r="S259" s="86"/>
      <c r="T259" s="86"/>
      <c r="U259" s="142">
        <f t="shared" si="112"/>
        <v>1190</v>
      </c>
      <c r="V259" s="88">
        <v>1270</v>
      </c>
      <c r="W259" s="88">
        <v>1110</v>
      </c>
      <c r="X259" s="88"/>
      <c r="Y259" s="88"/>
      <c r="Z259" s="88"/>
      <c r="AA259" s="88"/>
      <c r="AB259" s="88"/>
      <c r="AC259" s="88"/>
      <c r="AD259" s="142" t="str">
        <f t="shared" si="113"/>
        <v/>
      </c>
      <c r="AE259" s="88"/>
      <c r="AF259" s="88"/>
      <c r="AG259" s="88"/>
      <c r="AH259" s="88"/>
      <c r="AI259" s="88"/>
      <c r="AJ259" s="88"/>
      <c r="AK259" s="88"/>
      <c r="AL259" s="88"/>
      <c r="AM259" s="88">
        <v>34.329769437777294</v>
      </c>
      <c r="AN259" s="88">
        <v>137.49</v>
      </c>
      <c r="AO259" s="89"/>
      <c r="AP259" s="90"/>
      <c r="AQ259" s="146" t="str">
        <f t="shared" si="114"/>
        <v/>
      </c>
      <c r="AR259" s="146" t="str">
        <f t="shared" si="115"/>
        <v/>
      </c>
      <c r="AS259" s="147">
        <v>10</v>
      </c>
      <c r="AT259" s="148" t="s">
        <v>106</v>
      </c>
      <c r="AU259" s="149" t="s">
        <v>56</v>
      </c>
      <c r="AV259" s="146" t="str">
        <f t="shared" si="116"/>
        <v/>
      </c>
      <c r="AW259" s="146" t="str">
        <f t="shared" si="117"/>
        <v/>
      </c>
      <c r="AX259" s="138" t="str">
        <f t="shared" si="118"/>
        <v/>
      </c>
      <c r="AY259" s="95" t="s">
        <v>56</v>
      </c>
      <c r="AZ259" s="96">
        <v>62.664999999999999</v>
      </c>
      <c r="BA259" s="96"/>
      <c r="BB259" s="96">
        <v>63.5</v>
      </c>
      <c r="BC259" s="96"/>
      <c r="BD259" s="97">
        <v>137.49</v>
      </c>
      <c r="BE259" s="142" t="str">
        <f t="shared" si="119"/>
        <v/>
      </c>
      <c r="BF259" s="98">
        <v>0</v>
      </c>
      <c r="BG259" s="98">
        <v>0</v>
      </c>
      <c r="BH259" s="98">
        <v>0</v>
      </c>
      <c r="BI259" s="98">
        <v>0</v>
      </c>
      <c r="BJ259" s="98"/>
      <c r="BK259" s="98"/>
      <c r="BL259" s="97"/>
    </row>
    <row r="260" spans="1:64" outlineLevel="5" x14ac:dyDescent="0.3">
      <c r="A260" s="152">
        <f t="shared" si="105"/>
        <v>8</v>
      </c>
      <c r="B260" s="153">
        <f t="shared" si="104"/>
        <v>44776</v>
      </c>
      <c r="C260" s="138">
        <f t="shared" si="110"/>
        <v>37</v>
      </c>
      <c r="D260" s="84">
        <v>37</v>
      </c>
      <c r="E260" s="84">
        <v>37</v>
      </c>
      <c r="F260" s="84"/>
      <c r="G260" s="84"/>
      <c r="H260" s="84"/>
      <c r="I260" s="84"/>
      <c r="J260" s="84"/>
      <c r="K260" s="84"/>
      <c r="L260" s="140">
        <f t="shared" si="111"/>
        <v>8</v>
      </c>
      <c r="M260" s="86">
        <v>8.02</v>
      </c>
      <c r="N260" s="86">
        <v>7.94</v>
      </c>
      <c r="O260" s="86"/>
      <c r="P260" s="86"/>
      <c r="Q260" s="86"/>
      <c r="R260" s="86"/>
      <c r="S260" s="86"/>
      <c r="T260" s="86"/>
      <c r="U260" s="142">
        <f t="shared" si="112"/>
        <v>1210</v>
      </c>
      <c r="V260" s="88">
        <v>1240</v>
      </c>
      <c r="W260" s="88">
        <v>1180</v>
      </c>
      <c r="X260" s="88"/>
      <c r="Y260" s="88"/>
      <c r="Z260" s="88"/>
      <c r="AA260" s="88"/>
      <c r="AB260" s="88"/>
      <c r="AC260" s="88"/>
      <c r="AD260" s="142">
        <f t="shared" si="113"/>
        <v>9150</v>
      </c>
      <c r="AE260" s="88">
        <v>9200</v>
      </c>
      <c r="AF260" s="88">
        <v>9100</v>
      </c>
      <c r="AG260" s="88"/>
      <c r="AH260" s="88"/>
      <c r="AI260" s="88"/>
      <c r="AJ260" s="88"/>
      <c r="AK260" s="88"/>
      <c r="AL260" s="88"/>
      <c r="AM260" s="88">
        <v>33.883704235463028</v>
      </c>
      <c r="AN260" s="88">
        <v>139.30000000000001</v>
      </c>
      <c r="AO260" s="89"/>
      <c r="AP260" s="90"/>
      <c r="AQ260" s="146" t="str">
        <f t="shared" si="114"/>
        <v/>
      </c>
      <c r="AR260" s="146" t="str">
        <f t="shared" si="115"/>
        <v/>
      </c>
      <c r="AS260" s="147">
        <v>10</v>
      </c>
      <c r="AT260" s="148">
        <v>14.5</v>
      </c>
      <c r="AU260" s="149">
        <v>7.9361999999999995</v>
      </c>
      <c r="AV260" s="146">
        <f t="shared" si="116"/>
        <v>54.73241379310344</v>
      </c>
      <c r="AW260" s="146">
        <f t="shared" si="117"/>
        <v>45.26758620689656</v>
      </c>
      <c r="AX260" s="138" t="str">
        <f t="shared" si="118"/>
        <v/>
      </c>
      <c r="AY260" s="95">
        <v>75.650000000000006</v>
      </c>
      <c r="AZ260" s="96">
        <v>60.665000000000006</v>
      </c>
      <c r="BA260" s="96"/>
      <c r="BB260" s="96">
        <v>80.5</v>
      </c>
      <c r="BC260" s="96"/>
      <c r="BD260" s="97">
        <v>139.30000000000001</v>
      </c>
      <c r="BE260" s="142" t="str">
        <f t="shared" si="119"/>
        <v/>
      </c>
      <c r="BF260" s="98">
        <v>0</v>
      </c>
      <c r="BG260" s="98">
        <v>0</v>
      </c>
      <c r="BH260" s="98">
        <v>0</v>
      </c>
      <c r="BI260" s="98">
        <v>0</v>
      </c>
      <c r="BJ260" s="98"/>
      <c r="BK260" s="98"/>
      <c r="BL260" s="97"/>
    </row>
    <row r="261" spans="1:64" outlineLevel="5" x14ac:dyDescent="0.3">
      <c r="A261" s="152">
        <f t="shared" si="105"/>
        <v>8</v>
      </c>
      <c r="B261" s="153">
        <f t="shared" si="104"/>
        <v>44777</v>
      </c>
      <c r="C261" s="138">
        <f t="shared" si="110"/>
        <v>37.5</v>
      </c>
      <c r="D261" s="84">
        <v>38</v>
      </c>
      <c r="E261" s="84">
        <v>37</v>
      </c>
      <c r="F261" s="84"/>
      <c r="G261" s="84"/>
      <c r="H261" s="84"/>
      <c r="I261" s="84"/>
      <c r="J261" s="84"/>
      <c r="K261" s="84"/>
      <c r="L261" s="140">
        <f t="shared" si="111"/>
        <v>8</v>
      </c>
      <c r="M261" s="86">
        <v>8</v>
      </c>
      <c r="N261" s="86">
        <v>7.96</v>
      </c>
      <c r="O261" s="86"/>
      <c r="P261" s="86"/>
      <c r="Q261" s="86"/>
      <c r="R261" s="86"/>
      <c r="S261" s="86"/>
      <c r="T261" s="86"/>
      <c r="U261" s="142">
        <f t="shared" si="112"/>
        <v>1215</v>
      </c>
      <c r="V261" s="88">
        <v>1270</v>
      </c>
      <c r="W261" s="88">
        <v>1160</v>
      </c>
      <c r="X261" s="88"/>
      <c r="Y261" s="88"/>
      <c r="Z261" s="88"/>
      <c r="AA261" s="88"/>
      <c r="AB261" s="88"/>
      <c r="AC261" s="88"/>
      <c r="AD261" s="142" t="str">
        <f t="shared" si="113"/>
        <v/>
      </c>
      <c r="AE261" s="88"/>
      <c r="AF261" s="88"/>
      <c r="AG261" s="88"/>
      <c r="AH261" s="88"/>
      <c r="AI261" s="88"/>
      <c r="AJ261" s="88"/>
      <c r="AK261" s="88"/>
      <c r="AL261" s="88"/>
      <c r="AM261" s="88">
        <v>33.260517229229791</v>
      </c>
      <c r="AN261" s="88">
        <v>141.91</v>
      </c>
      <c r="AO261" s="89"/>
      <c r="AP261" s="90"/>
      <c r="AQ261" s="146" t="str">
        <f t="shared" si="114"/>
        <v/>
      </c>
      <c r="AR261" s="146" t="str">
        <f t="shared" si="115"/>
        <v/>
      </c>
      <c r="AS261" s="147">
        <v>10</v>
      </c>
      <c r="AT261" s="148">
        <v>14.600000000000001</v>
      </c>
      <c r="AU261" s="149">
        <v>8.0905000000000005</v>
      </c>
      <c r="AV261" s="146">
        <f t="shared" si="116"/>
        <v>55.414383561643831</v>
      </c>
      <c r="AW261" s="146">
        <f t="shared" si="117"/>
        <v>44.585616438356169</v>
      </c>
      <c r="AX261" s="138" t="str">
        <f t="shared" si="118"/>
        <v/>
      </c>
      <c r="AY261" s="95">
        <v>76.45</v>
      </c>
      <c r="AZ261" s="96">
        <v>62.019999999999996</v>
      </c>
      <c r="BA261" s="96"/>
      <c r="BB261" s="96">
        <v>69.5</v>
      </c>
      <c r="BC261" s="96"/>
      <c r="BD261" s="97">
        <v>141.91</v>
      </c>
      <c r="BE261" s="142">
        <f t="shared" si="119"/>
        <v>4</v>
      </c>
      <c r="BF261" s="98">
        <v>0</v>
      </c>
      <c r="BG261" s="98">
        <v>4</v>
      </c>
      <c r="BH261" s="98">
        <v>0</v>
      </c>
      <c r="BI261" s="98">
        <v>0</v>
      </c>
      <c r="BJ261" s="98"/>
      <c r="BK261" s="98"/>
      <c r="BL261" s="97"/>
    </row>
    <row r="262" spans="1:64" outlineLevel="5" x14ac:dyDescent="0.3">
      <c r="A262" s="152">
        <f t="shared" si="105"/>
        <v>8</v>
      </c>
      <c r="B262" s="153">
        <f t="shared" si="104"/>
        <v>44778</v>
      </c>
      <c r="C262" s="138">
        <f t="shared" si="110"/>
        <v>37.5</v>
      </c>
      <c r="D262" s="84">
        <v>38</v>
      </c>
      <c r="E262" s="84">
        <v>37</v>
      </c>
      <c r="F262" s="84"/>
      <c r="G262" s="84"/>
      <c r="H262" s="84"/>
      <c r="I262" s="84"/>
      <c r="J262" s="84"/>
      <c r="K262" s="84"/>
      <c r="L262" s="140">
        <f t="shared" si="111"/>
        <v>8</v>
      </c>
      <c r="M262" s="86">
        <v>8.06</v>
      </c>
      <c r="N262" s="86">
        <v>8.01</v>
      </c>
      <c r="O262" s="86"/>
      <c r="P262" s="86"/>
      <c r="Q262" s="86"/>
      <c r="R262" s="86"/>
      <c r="S262" s="86"/>
      <c r="T262" s="86"/>
      <c r="U262" s="142">
        <f t="shared" si="112"/>
        <v>1170</v>
      </c>
      <c r="V262" s="88">
        <v>1230</v>
      </c>
      <c r="W262" s="88">
        <v>1110</v>
      </c>
      <c r="X262" s="88"/>
      <c r="Y262" s="88"/>
      <c r="Z262" s="88"/>
      <c r="AA262" s="88"/>
      <c r="AB262" s="88"/>
      <c r="AC262" s="88"/>
      <c r="AD262" s="142" t="str">
        <f t="shared" si="113"/>
        <v/>
      </c>
      <c r="AE262" s="88"/>
      <c r="AF262" s="88"/>
      <c r="AG262" s="88"/>
      <c r="AH262" s="88"/>
      <c r="AI262" s="88"/>
      <c r="AJ262" s="88"/>
      <c r="AK262" s="88"/>
      <c r="AL262" s="88"/>
      <c r="AM262" s="88">
        <v>33.668592624295599</v>
      </c>
      <c r="AN262" s="88">
        <v>140.19</v>
      </c>
      <c r="AO262" s="89"/>
      <c r="AP262" s="90"/>
      <c r="AQ262" s="146" t="str">
        <f t="shared" si="114"/>
        <v/>
      </c>
      <c r="AR262" s="146" t="str">
        <f t="shared" si="115"/>
        <v/>
      </c>
      <c r="AS262" s="147">
        <v>6</v>
      </c>
      <c r="AT262" s="148" t="s">
        <v>106</v>
      </c>
      <c r="AU262" s="149" t="s">
        <v>56</v>
      </c>
      <c r="AV262" s="146" t="str">
        <f t="shared" si="116"/>
        <v/>
      </c>
      <c r="AW262" s="146" t="str">
        <f t="shared" si="117"/>
        <v/>
      </c>
      <c r="AX262" s="138" t="str">
        <f t="shared" si="118"/>
        <v/>
      </c>
      <c r="AY262" s="95" t="s">
        <v>56</v>
      </c>
      <c r="AZ262" s="96">
        <v>61.32</v>
      </c>
      <c r="BA262" s="96"/>
      <c r="BB262" s="96">
        <v>59.5</v>
      </c>
      <c r="BC262" s="96"/>
      <c r="BD262" s="97">
        <v>140.19</v>
      </c>
      <c r="BE262" s="142">
        <f t="shared" si="119"/>
        <v>229</v>
      </c>
      <c r="BF262" s="98">
        <v>0</v>
      </c>
      <c r="BG262" s="98">
        <v>229</v>
      </c>
      <c r="BH262" s="98">
        <v>0</v>
      </c>
      <c r="BI262" s="98">
        <v>0</v>
      </c>
      <c r="BJ262" s="98"/>
      <c r="BK262" s="98"/>
      <c r="BL262" s="97"/>
    </row>
    <row r="263" spans="1:64" outlineLevel="5" x14ac:dyDescent="0.3">
      <c r="A263" s="152">
        <f t="shared" si="105"/>
        <v>8</v>
      </c>
      <c r="B263" s="153">
        <f t="shared" si="104"/>
        <v>44779</v>
      </c>
      <c r="C263" s="138">
        <f t="shared" si="110"/>
        <v>37.5</v>
      </c>
      <c r="D263" s="84">
        <v>38</v>
      </c>
      <c r="E263" s="84">
        <v>37</v>
      </c>
      <c r="F263" s="84"/>
      <c r="G263" s="84"/>
      <c r="H263" s="84"/>
      <c r="I263" s="84"/>
      <c r="J263" s="84"/>
      <c r="K263" s="84"/>
      <c r="L263" s="140" t="str">
        <f t="shared" si="111"/>
        <v/>
      </c>
      <c r="M263" s="86"/>
      <c r="N263" s="86"/>
      <c r="O263" s="86"/>
      <c r="P263" s="86"/>
      <c r="Q263" s="86"/>
      <c r="R263" s="86"/>
      <c r="S263" s="86"/>
      <c r="T263" s="86"/>
      <c r="U263" s="142" t="str">
        <f t="shared" si="112"/>
        <v/>
      </c>
      <c r="V263" s="88"/>
      <c r="W263" s="88"/>
      <c r="X263" s="88"/>
      <c r="Y263" s="88"/>
      <c r="Z263" s="88"/>
      <c r="AA263" s="88"/>
      <c r="AB263" s="88"/>
      <c r="AC263" s="88"/>
      <c r="AD263" s="142" t="str">
        <f t="shared" si="113"/>
        <v/>
      </c>
      <c r="AE263" s="88"/>
      <c r="AF263" s="88"/>
      <c r="AG263" s="88"/>
      <c r="AH263" s="88"/>
      <c r="AI263" s="88"/>
      <c r="AJ263" s="88"/>
      <c r="AK263" s="88"/>
      <c r="AL263" s="88"/>
      <c r="AM263" s="88">
        <v>38.53690398432397</v>
      </c>
      <c r="AN263" s="88">
        <v>122.48</v>
      </c>
      <c r="AO263" s="89"/>
      <c r="AP263" s="90"/>
      <c r="AQ263" s="146" t="str">
        <f t="shared" si="114"/>
        <v/>
      </c>
      <c r="AR263" s="146" t="str">
        <f t="shared" si="115"/>
        <v/>
      </c>
      <c r="AS263" s="147">
        <v>15</v>
      </c>
      <c r="AT263" s="148" t="s">
        <v>106</v>
      </c>
      <c r="AU263" s="149" t="s">
        <v>56</v>
      </c>
      <c r="AV263" s="146" t="str">
        <f t="shared" si="116"/>
        <v/>
      </c>
      <c r="AW263" s="146" t="str">
        <f t="shared" si="117"/>
        <v/>
      </c>
      <c r="AX263" s="138" t="str">
        <f t="shared" si="118"/>
        <v/>
      </c>
      <c r="AY263" s="95" t="s">
        <v>56</v>
      </c>
      <c r="AZ263" s="96" t="s">
        <v>56</v>
      </c>
      <c r="BA263" s="96"/>
      <c r="BB263" s="96" t="s">
        <v>56</v>
      </c>
      <c r="BC263" s="96"/>
      <c r="BD263" s="97">
        <v>122.48</v>
      </c>
      <c r="BE263" s="142">
        <f t="shared" si="119"/>
        <v>512</v>
      </c>
      <c r="BF263" s="98">
        <v>0</v>
      </c>
      <c r="BG263" s="98">
        <v>512</v>
      </c>
      <c r="BH263" s="98">
        <v>0</v>
      </c>
      <c r="BI263" s="98">
        <v>0</v>
      </c>
      <c r="BJ263" s="98"/>
      <c r="BK263" s="98"/>
      <c r="BL263" s="97"/>
    </row>
    <row r="264" spans="1:64" outlineLevel="5" x14ac:dyDescent="0.3">
      <c r="A264" s="152">
        <f t="shared" si="105"/>
        <v>8</v>
      </c>
      <c r="B264" s="153">
        <f t="shared" si="104"/>
        <v>44780</v>
      </c>
      <c r="C264" s="138">
        <f t="shared" si="110"/>
        <v>37</v>
      </c>
      <c r="D264" s="84">
        <v>37</v>
      </c>
      <c r="E264" s="84">
        <v>37</v>
      </c>
      <c r="F264" s="84"/>
      <c r="G264" s="84"/>
      <c r="H264" s="84"/>
      <c r="I264" s="84"/>
      <c r="J264" s="84"/>
      <c r="K264" s="84"/>
      <c r="L264" s="140" t="str">
        <f t="shared" si="111"/>
        <v/>
      </c>
      <c r="M264" s="86"/>
      <c r="N264" s="86"/>
      <c r="O264" s="86"/>
      <c r="P264" s="86"/>
      <c r="Q264" s="86"/>
      <c r="R264" s="86"/>
      <c r="S264" s="86"/>
      <c r="T264" s="86"/>
      <c r="U264" s="142" t="str">
        <f t="shared" si="112"/>
        <v/>
      </c>
      <c r="V264" s="88"/>
      <c r="W264" s="88"/>
      <c r="X264" s="88"/>
      <c r="Y264" s="88"/>
      <c r="Z264" s="88"/>
      <c r="AA264" s="88"/>
      <c r="AB264" s="88"/>
      <c r="AC264" s="88"/>
      <c r="AD264" s="142" t="str">
        <f t="shared" si="113"/>
        <v/>
      </c>
      <c r="AE264" s="88"/>
      <c r="AF264" s="88"/>
      <c r="AG264" s="88"/>
      <c r="AH264" s="88"/>
      <c r="AI264" s="88"/>
      <c r="AJ264" s="88"/>
      <c r="AK264" s="88"/>
      <c r="AL264" s="88"/>
      <c r="AM264" s="88">
        <v>42.909090909090907</v>
      </c>
      <c r="AN264" s="88">
        <v>110</v>
      </c>
      <c r="AO264" s="89"/>
      <c r="AP264" s="90"/>
      <c r="AQ264" s="146" t="str">
        <f t="shared" si="114"/>
        <v/>
      </c>
      <c r="AR264" s="146" t="str">
        <f t="shared" si="115"/>
        <v/>
      </c>
      <c r="AS264" s="147">
        <v>0</v>
      </c>
      <c r="AT264" s="148" t="s">
        <v>106</v>
      </c>
      <c r="AU264" s="149" t="s">
        <v>56</v>
      </c>
      <c r="AV264" s="146" t="str">
        <f t="shared" si="116"/>
        <v/>
      </c>
      <c r="AW264" s="146" t="str">
        <f t="shared" si="117"/>
        <v/>
      </c>
      <c r="AX264" s="138" t="str">
        <f t="shared" si="118"/>
        <v/>
      </c>
      <c r="AY264" s="95" t="s">
        <v>56</v>
      </c>
      <c r="AZ264" s="96" t="s">
        <v>56</v>
      </c>
      <c r="BA264" s="96"/>
      <c r="BB264" s="96" t="s">
        <v>56</v>
      </c>
      <c r="BC264" s="96"/>
      <c r="BD264" s="97">
        <v>110</v>
      </c>
      <c r="BE264" s="142" t="str">
        <f t="shared" si="119"/>
        <v/>
      </c>
      <c r="BF264" s="98">
        <v>0</v>
      </c>
      <c r="BG264" s="98">
        <v>0</v>
      </c>
      <c r="BH264" s="98">
        <v>0</v>
      </c>
      <c r="BI264" s="98">
        <v>0</v>
      </c>
      <c r="BJ264" s="98"/>
      <c r="BK264" s="98"/>
      <c r="BL264" s="97"/>
    </row>
    <row r="265" spans="1:64" outlineLevel="5" x14ac:dyDescent="0.3">
      <c r="A265" s="152">
        <f t="shared" si="105"/>
        <v>8</v>
      </c>
      <c r="B265" s="153">
        <f t="shared" si="104"/>
        <v>44781</v>
      </c>
      <c r="C265" s="138">
        <f t="shared" si="110"/>
        <v>37</v>
      </c>
      <c r="D265" s="84">
        <v>37</v>
      </c>
      <c r="E265" s="84">
        <v>37</v>
      </c>
      <c r="F265" s="84"/>
      <c r="G265" s="84"/>
      <c r="H265" s="84"/>
      <c r="I265" s="84"/>
      <c r="J265" s="84"/>
      <c r="K265" s="84"/>
      <c r="L265" s="140">
        <f t="shared" si="111"/>
        <v>8.1</v>
      </c>
      <c r="M265" s="86">
        <v>8.14</v>
      </c>
      <c r="N265" s="86">
        <v>8.0299999999999994</v>
      </c>
      <c r="O265" s="86"/>
      <c r="P265" s="86"/>
      <c r="Q265" s="86"/>
      <c r="R265" s="86"/>
      <c r="S265" s="86"/>
      <c r="T265" s="86"/>
      <c r="U265" s="142">
        <f t="shared" si="112"/>
        <v>1200</v>
      </c>
      <c r="V265" s="88">
        <v>1290</v>
      </c>
      <c r="W265" s="88">
        <v>1110</v>
      </c>
      <c r="X265" s="88"/>
      <c r="Y265" s="88"/>
      <c r="Z265" s="88"/>
      <c r="AA265" s="88"/>
      <c r="AB265" s="88"/>
      <c r="AC265" s="88"/>
      <c r="AD265" s="142" t="str">
        <f t="shared" si="113"/>
        <v/>
      </c>
      <c r="AE265" s="88"/>
      <c r="AF265" s="88"/>
      <c r="AG265" s="88"/>
      <c r="AH265" s="88"/>
      <c r="AI265" s="88"/>
      <c r="AJ265" s="88"/>
      <c r="AK265" s="88"/>
      <c r="AL265" s="88"/>
      <c r="AM265" s="88">
        <v>32.269091406303417</v>
      </c>
      <c r="AN265" s="88">
        <v>146.26999999999998</v>
      </c>
      <c r="AO265" s="89">
        <v>8.9</v>
      </c>
      <c r="AP265" s="90">
        <v>6.3546000000000005</v>
      </c>
      <c r="AQ265" s="146">
        <f t="shared" si="114"/>
        <v>71.400000000000006</v>
      </c>
      <c r="AR265" s="146">
        <f t="shared" si="115"/>
        <v>28.599999999999994</v>
      </c>
      <c r="AS265" s="147">
        <v>10</v>
      </c>
      <c r="AT265" s="148">
        <v>14.7</v>
      </c>
      <c r="AU265" s="149">
        <v>7.7345999999999995</v>
      </c>
      <c r="AV265" s="146">
        <f t="shared" si="116"/>
        <v>52.616326530612248</v>
      </c>
      <c r="AW265" s="146">
        <f t="shared" si="117"/>
        <v>47.383673469387752</v>
      </c>
      <c r="AX265" s="138">
        <f t="shared" si="118"/>
        <v>55.520528480149068</v>
      </c>
      <c r="AY265" s="95">
        <v>75.150000000000006</v>
      </c>
      <c r="AZ265" s="96">
        <v>60.54</v>
      </c>
      <c r="BA265" s="96"/>
      <c r="BB265" s="96">
        <v>76</v>
      </c>
      <c r="BC265" s="96"/>
      <c r="BD265" s="97">
        <v>146.26999999999998</v>
      </c>
      <c r="BE265" s="142" t="str">
        <f t="shared" si="119"/>
        <v/>
      </c>
      <c r="BF265" s="98">
        <v>0</v>
      </c>
      <c r="BG265" s="98">
        <v>0</v>
      </c>
      <c r="BH265" s="98">
        <v>0</v>
      </c>
      <c r="BI265" s="98">
        <v>0</v>
      </c>
      <c r="BJ265" s="98"/>
      <c r="BK265" s="98"/>
      <c r="BL265" s="97"/>
    </row>
    <row r="266" spans="1:64" outlineLevel="5" x14ac:dyDescent="0.3">
      <c r="A266" s="152">
        <f t="shared" si="105"/>
        <v>8</v>
      </c>
      <c r="B266" s="153">
        <f t="shared" si="104"/>
        <v>44782</v>
      </c>
      <c r="C266" s="138">
        <f t="shared" si="110"/>
        <v>37</v>
      </c>
      <c r="D266" s="84">
        <v>37</v>
      </c>
      <c r="E266" s="84">
        <v>37</v>
      </c>
      <c r="F266" s="84"/>
      <c r="G266" s="84"/>
      <c r="H266" s="84"/>
      <c r="I266" s="84"/>
      <c r="J266" s="84"/>
      <c r="K266" s="84"/>
      <c r="L266" s="140">
        <f t="shared" si="111"/>
        <v>8.1</v>
      </c>
      <c r="M266" s="86">
        <v>8.11</v>
      </c>
      <c r="N266" s="86">
        <v>8.02</v>
      </c>
      <c r="O266" s="86"/>
      <c r="P266" s="86"/>
      <c r="Q266" s="86"/>
      <c r="R266" s="86"/>
      <c r="S266" s="86"/>
      <c r="T266" s="86"/>
      <c r="U266" s="142">
        <f t="shared" si="112"/>
        <v>1195</v>
      </c>
      <c r="V266" s="88">
        <v>1240</v>
      </c>
      <c r="W266" s="88">
        <v>1150</v>
      </c>
      <c r="X266" s="88"/>
      <c r="Y266" s="88"/>
      <c r="Z266" s="88"/>
      <c r="AA266" s="88"/>
      <c r="AB266" s="88"/>
      <c r="AC266" s="88"/>
      <c r="AD266" s="142" t="str">
        <f t="shared" si="113"/>
        <v/>
      </c>
      <c r="AE266" s="88"/>
      <c r="AF266" s="88"/>
      <c r="AG266" s="88"/>
      <c r="AH266" s="88"/>
      <c r="AI266" s="88"/>
      <c r="AJ266" s="88"/>
      <c r="AK266" s="88"/>
      <c r="AL266" s="88"/>
      <c r="AM266" s="88">
        <v>31.385065496376093</v>
      </c>
      <c r="AN266" s="88">
        <v>150.38999999999999</v>
      </c>
      <c r="AO266" s="89"/>
      <c r="AP266" s="90"/>
      <c r="AQ266" s="146" t="str">
        <f t="shared" si="114"/>
        <v/>
      </c>
      <c r="AR266" s="146" t="str">
        <f t="shared" si="115"/>
        <v/>
      </c>
      <c r="AS266" s="147">
        <v>10</v>
      </c>
      <c r="AT266" s="148" t="s">
        <v>106</v>
      </c>
      <c r="AU266" s="149" t="s">
        <v>56</v>
      </c>
      <c r="AV266" s="146" t="str">
        <f t="shared" si="116"/>
        <v/>
      </c>
      <c r="AW266" s="146" t="str">
        <f t="shared" si="117"/>
        <v/>
      </c>
      <c r="AX266" s="138" t="str">
        <f t="shared" si="118"/>
        <v/>
      </c>
      <c r="AY266" s="95" t="s">
        <v>56</v>
      </c>
      <c r="AZ266" s="96">
        <v>58.69</v>
      </c>
      <c r="BA266" s="96"/>
      <c r="BB266" s="96">
        <v>78</v>
      </c>
      <c r="BC266" s="96"/>
      <c r="BD266" s="97">
        <v>150.38999999999999</v>
      </c>
      <c r="BE266" s="142" t="str">
        <f t="shared" si="119"/>
        <v/>
      </c>
      <c r="BF266" s="98">
        <v>0</v>
      </c>
      <c r="BG266" s="98">
        <v>0</v>
      </c>
      <c r="BH266" s="98">
        <v>0</v>
      </c>
      <c r="BI266" s="98">
        <v>0</v>
      </c>
      <c r="BJ266" s="98"/>
      <c r="BK266" s="98"/>
      <c r="BL266" s="97"/>
    </row>
    <row r="267" spans="1:64" outlineLevel="5" x14ac:dyDescent="0.3">
      <c r="A267" s="152">
        <f t="shared" si="105"/>
        <v>8</v>
      </c>
      <c r="B267" s="153">
        <f t="shared" si="104"/>
        <v>44783</v>
      </c>
      <c r="C267" s="138">
        <f t="shared" si="110"/>
        <v>37</v>
      </c>
      <c r="D267" s="84">
        <v>37</v>
      </c>
      <c r="E267" s="84">
        <v>37</v>
      </c>
      <c r="F267" s="84"/>
      <c r="G267" s="84"/>
      <c r="H267" s="84"/>
      <c r="I267" s="84"/>
      <c r="J267" s="84"/>
      <c r="K267" s="84"/>
      <c r="L267" s="140">
        <f t="shared" si="111"/>
        <v>8.1</v>
      </c>
      <c r="M267" s="86">
        <v>8.11</v>
      </c>
      <c r="N267" s="86">
        <v>8.02</v>
      </c>
      <c r="O267" s="86"/>
      <c r="P267" s="86"/>
      <c r="Q267" s="86"/>
      <c r="R267" s="86"/>
      <c r="S267" s="86"/>
      <c r="T267" s="86"/>
      <c r="U267" s="142">
        <f t="shared" si="112"/>
        <v>1195</v>
      </c>
      <c r="V267" s="88">
        <v>1240</v>
      </c>
      <c r="W267" s="88">
        <v>1150</v>
      </c>
      <c r="X267" s="88"/>
      <c r="Y267" s="88"/>
      <c r="Z267" s="88"/>
      <c r="AA267" s="88"/>
      <c r="AB267" s="88"/>
      <c r="AC267" s="88"/>
      <c r="AD267" s="142" t="str">
        <f t="shared" si="113"/>
        <v/>
      </c>
      <c r="AE267" s="88"/>
      <c r="AF267" s="88"/>
      <c r="AG267" s="88"/>
      <c r="AH267" s="88"/>
      <c r="AI267" s="88"/>
      <c r="AJ267" s="88"/>
      <c r="AK267" s="88"/>
      <c r="AL267" s="88"/>
      <c r="AM267" s="88">
        <v>35.020032645793144</v>
      </c>
      <c r="AN267" s="88">
        <v>134.78</v>
      </c>
      <c r="AO267" s="89"/>
      <c r="AP267" s="90"/>
      <c r="AQ267" s="146" t="str">
        <f t="shared" si="114"/>
        <v/>
      </c>
      <c r="AR267" s="146" t="str">
        <f t="shared" si="115"/>
        <v/>
      </c>
      <c r="AS267" s="147">
        <v>10</v>
      </c>
      <c r="AT267" s="148">
        <v>14.5</v>
      </c>
      <c r="AU267" s="149">
        <v>7.8671500000000005</v>
      </c>
      <c r="AV267" s="146">
        <f t="shared" si="116"/>
        <v>54.256206896551731</v>
      </c>
      <c r="AW267" s="146">
        <f t="shared" si="117"/>
        <v>45.743793103448269</v>
      </c>
      <c r="AX267" s="138" t="str">
        <f t="shared" si="118"/>
        <v/>
      </c>
      <c r="AY267" s="95">
        <v>76.8</v>
      </c>
      <c r="AZ267" s="96">
        <v>61.155000000000001</v>
      </c>
      <c r="BA267" s="96"/>
      <c r="BB267" s="96">
        <v>66</v>
      </c>
      <c r="BC267" s="96"/>
      <c r="BD267" s="97">
        <v>134.78</v>
      </c>
      <c r="BE267" s="142">
        <f t="shared" si="119"/>
        <v>130</v>
      </c>
      <c r="BF267" s="98">
        <v>0</v>
      </c>
      <c r="BG267" s="98">
        <v>130</v>
      </c>
      <c r="BH267" s="98">
        <v>0</v>
      </c>
      <c r="BI267" s="98">
        <v>0</v>
      </c>
      <c r="BJ267" s="98"/>
      <c r="BK267" s="98"/>
      <c r="BL267" s="97"/>
    </row>
    <row r="268" spans="1:64" outlineLevel="5" x14ac:dyDescent="0.3">
      <c r="A268" s="152">
        <f t="shared" si="105"/>
        <v>8</v>
      </c>
      <c r="B268" s="153">
        <f t="shared" si="104"/>
        <v>44784</v>
      </c>
      <c r="C268" s="138">
        <f t="shared" si="110"/>
        <v>38</v>
      </c>
      <c r="D268" s="84">
        <v>38</v>
      </c>
      <c r="E268" s="84">
        <v>38</v>
      </c>
      <c r="F268" s="84"/>
      <c r="G268" s="84"/>
      <c r="H268" s="84"/>
      <c r="I268" s="84"/>
      <c r="J268" s="84"/>
      <c r="K268" s="84"/>
      <c r="L268" s="140">
        <f t="shared" si="111"/>
        <v>8.1</v>
      </c>
      <c r="M268" s="86">
        <v>8.14</v>
      </c>
      <c r="N268" s="86">
        <v>8.0500000000000007</v>
      </c>
      <c r="O268" s="86"/>
      <c r="P268" s="86"/>
      <c r="Q268" s="86"/>
      <c r="R268" s="86"/>
      <c r="S268" s="86"/>
      <c r="T268" s="86"/>
      <c r="U268" s="142">
        <f t="shared" si="112"/>
        <v>1308</v>
      </c>
      <c r="V268" s="88">
        <v>1321</v>
      </c>
      <c r="W268" s="88">
        <v>1295</v>
      </c>
      <c r="X268" s="88"/>
      <c r="Y268" s="88"/>
      <c r="Z268" s="88"/>
      <c r="AA268" s="88"/>
      <c r="AB268" s="88"/>
      <c r="AC268" s="88"/>
      <c r="AD268" s="142" t="str">
        <f t="shared" si="113"/>
        <v/>
      </c>
      <c r="AE268" s="88"/>
      <c r="AF268" s="88"/>
      <c r="AG268" s="88"/>
      <c r="AH268" s="88"/>
      <c r="AI268" s="88"/>
      <c r="AJ268" s="88"/>
      <c r="AK268" s="88"/>
      <c r="AL268" s="88"/>
      <c r="AM268" s="88">
        <v>35.904457629697255</v>
      </c>
      <c r="AN268" s="88">
        <v>131.45999999999998</v>
      </c>
      <c r="AO268" s="89"/>
      <c r="AP268" s="90"/>
      <c r="AQ268" s="146" t="str">
        <f t="shared" si="114"/>
        <v/>
      </c>
      <c r="AR268" s="146" t="str">
        <f t="shared" si="115"/>
        <v/>
      </c>
      <c r="AS268" s="147">
        <v>10</v>
      </c>
      <c r="AT268" s="148">
        <v>14.5</v>
      </c>
      <c r="AU268" s="149">
        <v>7.8436000000000003</v>
      </c>
      <c r="AV268" s="146">
        <f t="shared" si="116"/>
        <v>54.09379310344827</v>
      </c>
      <c r="AW268" s="146">
        <f t="shared" si="117"/>
        <v>45.90620689655173</v>
      </c>
      <c r="AX268" s="138" t="str">
        <f t="shared" si="118"/>
        <v/>
      </c>
      <c r="AY268" s="95">
        <v>77.150000000000006</v>
      </c>
      <c r="AZ268" s="96">
        <v>61.230000000000004</v>
      </c>
      <c r="BA268" s="96"/>
      <c r="BB268" s="96">
        <v>68</v>
      </c>
      <c r="BC268" s="96"/>
      <c r="BD268" s="97">
        <v>131.45999999999998</v>
      </c>
      <c r="BE268" s="142">
        <f t="shared" si="119"/>
        <v>407</v>
      </c>
      <c r="BF268" s="98">
        <v>0</v>
      </c>
      <c r="BG268" s="98">
        <v>407</v>
      </c>
      <c r="BH268" s="98">
        <v>0</v>
      </c>
      <c r="BI268" s="98">
        <v>0</v>
      </c>
      <c r="BJ268" s="98"/>
      <c r="BK268" s="98"/>
      <c r="BL268" s="97"/>
    </row>
    <row r="269" spans="1:64" outlineLevel="5" x14ac:dyDescent="0.3">
      <c r="A269" s="152">
        <f t="shared" si="105"/>
        <v>8</v>
      </c>
      <c r="B269" s="153">
        <f t="shared" si="104"/>
        <v>44785</v>
      </c>
      <c r="C269" s="138">
        <f t="shared" si="110"/>
        <v>38</v>
      </c>
      <c r="D269" s="84">
        <v>38</v>
      </c>
      <c r="E269" s="84">
        <v>38</v>
      </c>
      <c r="F269" s="84"/>
      <c r="G269" s="84"/>
      <c r="H269" s="84"/>
      <c r="I269" s="84"/>
      <c r="J269" s="84"/>
      <c r="K269" s="84"/>
      <c r="L269" s="140">
        <f t="shared" si="111"/>
        <v>8.1</v>
      </c>
      <c r="M269" s="86">
        <v>8.09</v>
      </c>
      <c r="N269" s="86">
        <v>8.06</v>
      </c>
      <c r="O269" s="86"/>
      <c r="P269" s="86"/>
      <c r="Q269" s="86"/>
      <c r="R269" s="86"/>
      <c r="S269" s="86"/>
      <c r="T269" s="86"/>
      <c r="U269" s="142">
        <f t="shared" si="112"/>
        <v>1330</v>
      </c>
      <c r="V269" s="88">
        <v>1350</v>
      </c>
      <c r="W269" s="88">
        <v>1310</v>
      </c>
      <c r="X269" s="88"/>
      <c r="Y269" s="88"/>
      <c r="Z269" s="88"/>
      <c r="AA269" s="88"/>
      <c r="AB269" s="88"/>
      <c r="AC269" s="88"/>
      <c r="AD269" s="142" t="str">
        <f t="shared" si="113"/>
        <v/>
      </c>
      <c r="AE269" s="88"/>
      <c r="AF269" s="88"/>
      <c r="AG269" s="88"/>
      <c r="AH269" s="88"/>
      <c r="AI269" s="88"/>
      <c r="AJ269" s="88"/>
      <c r="AK269" s="88"/>
      <c r="AL269" s="88"/>
      <c r="AM269" s="88">
        <v>36.093905329968642</v>
      </c>
      <c r="AN269" s="88">
        <v>130.77000000000001</v>
      </c>
      <c r="AO269" s="89"/>
      <c r="AP269" s="90"/>
      <c r="AQ269" s="146" t="str">
        <f t="shared" si="114"/>
        <v/>
      </c>
      <c r="AR269" s="146" t="str">
        <f t="shared" si="115"/>
        <v/>
      </c>
      <c r="AS269" s="147">
        <v>10</v>
      </c>
      <c r="AT269" s="148" t="s">
        <v>106</v>
      </c>
      <c r="AU269" s="149" t="s">
        <v>56</v>
      </c>
      <c r="AV269" s="146" t="str">
        <f t="shared" si="116"/>
        <v/>
      </c>
      <c r="AW269" s="146" t="str">
        <f t="shared" si="117"/>
        <v/>
      </c>
      <c r="AX269" s="138" t="str">
        <f t="shared" si="118"/>
        <v/>
      </c>
      <c r="AY269" s="95" t="s">
        <v>56</v>
      </c>
      <c r="AZ269" s="96">
        <v>59.870000000000005</v>
      </c>
      <c r="BA269" s="96"/>
      <c r="BB269" s="96">
        <v>75</v>
      </c>
      <c r="BC269" s="96"/>
      <c r="BD269" s="97">
        <v>130.77000000000001</v>
      </c>
      <c r="BE269" s="142">
        <f t="shared" si="119"/>
        <v>205</v>
      </c>
      <c r="BF269" s="98">
        <v>0</v>
      </c>
      <c r="BG269" s="98">
        <v>0</v>
      </c>
      <c r="BH269" s="98">
        <v>205</v>
      </c>
      <c r="BI269" s="98">
        <v>0</v>
      </c>
      <c r="BJ269" s="98"/>
      <c r="BK269" s="98"/>
      <c r="BL269" s="97"/>
    </row>
    <row r="270" spans="1:64" outlineLevel="5" x14ac:dyDescent="0.3">
      <c r="A270" s="152">
        <f t="shared" si="105"/>
        <v>8</v>
      </c>
      <c r="B270" s="153">
        <f t="shared" si="104"/>
        <v>44786</v>
      </c>
      <c r="C270" s="138">
        <f t="shared" si="110"/>
        <v>38</v>
      </c>
      <c r="D270" s="84">
        <v>38</v>
      </c>
      <c r="E270" s="84">
        <v>38</v>
      </c>
      <c r="F270" s="84"/>
      <c r="G270" s="84"/>
      <c r="H270" s="84"/>
      <c r="I270" s="84"/>
      <c r="J270" s="84"/>
      <c r="K270" s="84"/>
      <c r="L270" s="140" t="str">
        <f t="shared" si="111"/>
        <v/>
      </c>
      <c r="M270" s="86"/>
      <c r="N270" s="86"/>
      <c r="O270" s="86"/>
      <c r="P270" s="86"/>
      <c r="Q270" s="86"/>
      <c r="R270" s="86"/>
      <c r="S270" s="86"/>
      <c r="T270" s="86"/>
      <c r="U270" s="142" t="str">
        <f t="shared" si="112"/>
        <v/>
      </c>
      <c r="V270" s="88"/>
      <c r="W270" s="88"/>
      <c r="X270" s="88"/>
      <c r="Y270" s="88"/>
      <c r="Z270" s="88"/>
      <c r="AA270" s="88"/>
      <c r="AB270" s="88"/>
      <c r="AC270" s="88"/>
      <c r="AD270" s="142" t="str">
        <f t="shared" si="113"/>
        <v/>
      </c>
      <c r="AE270" s="88"/>
      <c r="AF270" s="88"/>
      <c r="AG270" s="88"/>
      <c r="AH270" s="88"/>
      <c r="AI270" s="88"/>
      <c r="AJ270" s="88"/>
      <c r="AK270" s="88"/>
      <c r="AL270" s="88"/>
      <c r="AM270" s="88">
        <v>40.501115496825129</v>
      </c>
      <c r="AN270" s="88">
        <v>116.53999999999999</v>
      </c>
      <c r="AO270" s="89"/>
      <c r="AP270" s="90"/>
      <c r="AQ270" s="146" t="str">
        <f t="shared" si="114"/>
        <v/>
      </c>
      <c r="AR270" s="146" t="str">
        <f t="shared" si="115"/>
        <v/>
      </c>
      <c r="AS270" s="147">
        <v>10</v>
      </c>
      <c r="AT270" s="148" t="s">
        <v>106</v>
      </c>
      <c r="AU270" s="149" t="s">
        <v>56</v>
      </c>
      <c r="AV270" s="146" t="str">
        <f t="shared" si="116"/>
        <v/>
      </c>
      <c r="AW270" s="146" t="str">
        <f t="shared" si="117"/>
        <v/>
      </c>
      <c r="AX270" s="138" t="str">
        <f t="shared" si="118"/>
        <v/>
      </c>
      <c r="AY270" s="95" t="s">
        <v>56</v>
      </c>
      <c r="AZ270" s="96" t="s">
        <v>56</v>
      </c>
      <c r="BA270" s="96"/>
      <c r="BB270" s="96" t="s">
        <v>56</v>
      </c>
      <c r="BC270" s="96"/>
      <c r="BD270" s="97">
        <v>116.53999999999999</v>
      </c>
      <c r="BE270" s="142">
        <f t="shared" si="119"/>
        <v>1079</v>
      </c>
      <c r="BF270" s="98">
        <v>0</v>
      </c>
      <c r="BG270" s="98">
        <v>0</v>
      </c>
      <c r="BH270" s="98">
        <v>1079</v>
      </c>
      <c r="BI270" s="98">
        <v>0</v>
      </c>
      <c r="BJ270" s="98"/>
      <c r="BK270" s="98"/>
      <c r="BL270" s="97"/>
    </row>
    <row r="271" spans="1:64" outlineLevel="5" x14ac:dyDescent="0.3">
      <c r="A271" s="152">
        <f t="shared" si="105"/>
        <v>8</v>
      </c>
      <c r="B271" s="153">
        <f t="shared" si="104"/>
        <v>44787</v>
      </c>
      <c r="C271" s="138">
        <f t="shared" si="110"/>
        <v>38</v>
      </c>
      <c r="D271" s="84">
        <v>38</v>
      </c>
      <c r="E271" s="84">
        <v>38</v>
      </c>
      <c r="F271" s="84"/>
      <c r="G271" s="84"/>
      <c r="H271" s="84"/>
      <c r="I271" s="84"/>
      <c r="J271" s="84"/>
      <c r="K271" s="84"/>
      <c r="L271" s="140" t="str">
        <f t="shared" si="111"/>
        <v/>
      </c>
      <c r="M271" s="86"/>
      <c r="N271" s="86"/>
      <c r="O271" s="86"/>
      <c r="P271" s="86"/>
      <c r="Q271" s="86"/>
      <c r="R271" s="86"/>
      <c r="S271" s="86"/>
      <c r="T271" s="86"/>
      <c r="U271" s="142" t="str">
        <f t="shared" si="112"/>
        <v/>
      </c>
      <c r="V271" s="88"/>
      <c r="W271" s="88"/>
      <c r="X271" s="88"/>
      <c r="Y271" s="88"/>
      <c r="Z271" s="88"/>
      <c r="AA271" s="88"/>
      <c r="AB271" s="88"/>
      <c r="AC271" s="88"/>
      <c r="AD271" s="142" t="str">
        <f t="shared" si="113"/>
        <v/>
      </c>
      <c r="AE271" s="88"/>
      <c r="AF271" s="88"/>
      <c r="AG271" s="88"/>
      <c r="AH271" s="88"/>
      <c r="AI271" s="88"/>
      <c r="AJ271" s="88"/>
      <c r="AK271" s="88"/>
      <c r="AL271" s="88"/>
      <c r="AM271" s="88">
        <v>47.2</v>
      </c>
      <c r="AN271" s="88">
        <v>100</v>
      </c>
      <c r="AO271" s="89"/>
      <c r="AP271" s="90"/>
      <c r="AQ271" s="146" t="str">
        <f t="shared" si="114"/>
        <v/>
      </c>
      <c r="AR271" s="146" t="str">
        <f t="shared" si="115"/>
        <v/>
      </c>
      <c r="AS271" s="147">
        <v>15</v>
      </c>
      <c r="AT271" s="148" t="s">
        <v>106</v>
      </c>
      <c r="AU271" s="149" t="s">
        <v>56</v>
      </c>
      <c r="AV271" s="146" t="str">
        <f t="shared" si="116"/>
        <v/>
      </c>
      <c r="AW271" s="146" t="str">
        <f t="shared" si="117"/>
        <v/>
      </c>
      <c r="AX271" s="138" t="str">
        <f t="shared" si="118"/>
        <v/>
      </c>
      <c r="AY271" s="95" t="s">
        <v>56</v>
      </c>
      <c r="AZ271" s="96" t="s">
        <v>56</v>
      </c>
      <c r="BA271" s="96"/>
      <c r="BB271" s="96" t="s">
        <v>56</v>
      </c>
      <c r="BC271" s="96"/>
      <c r="BD271" s="97">
        <v>100</v>
      </c>
      <c r="BE271" s="142">
        <f t="shared" si="119"/>
        <v>285</v>
      </c>
      <c r="BF271" s="98">
        <v>0</v>
      </c>
      <c r="BG271" s="98">
        <v>0</v>
      </c>
      <c r="BH271" s="98">
        <v>285</v>
      </c>
      <c r="BI271" s="98">
        <v>0</v>
      </c>
      <c r="BJ271" s="98"/>
      <c r="BK271" s="98"/>
      <c r="BL271" s="97"/>
    </row>
    <row r="272" spans="1:64" outlineLevel="5" x14ac:dyDescent="0.3">
      <c r="A272" s="152">
        <f t="shared" si="105"/>
        <v>8</v>
      </c>
      <c r="B272" s="153">
        <f t="shared" si="104"/>
        <v>44788</v>
      </c>
      <c r="C272" s="138">
        <f t="shared" si="110"/>
        <v>38</v>
      </c>
      <c r="D272" s="84">
        <v>38</v>
      </c>
      <c r="E272" s="84">
        <v>38</v>
      </c>
      <c r="F272" s="84"/>
      <c r="G272" s="84"/>
      <c r="H272" s="84"/>
      <c r="I272" s="84"/>
      <c r="J272" s="84"/>
      <c r="K272" s="84"/>
      <c r="L272" s="140" t="str">
        <f t="shared" si="111"/>
        <v/>
      </c>
      <c r="M272" s="86"/>
      <c r="N272" s="86"/>
      <c r="O272" s="86"/>
      <c r="P272" s="86"/>
      <c r="Q272" s="86"/>
      <c r="R272" s="86"/>
      <c r="S272" s="86"/>
      <c r="T272" s="86"/>
      <c r="U272" s="142" t="str">
        <f t="shared" si="112"/>
        <v/>
      </c>
      <c r="V272" s="88"/>
      <c r="W272" s="88"/>
      <c r="X272" s="88"/>
      <c r="Y272" s="88"/>
      <c r="Z272" s="88"/>
      <c r="AA272" s="88"/>
      <c r="AB272" s="88"/>
      <c r="AC272" s="88"/>
      <c r="AD272" s="142" t="str">
        <f t="shared" si="113"/>
        <v/>
      </c>
      <c r="AE272" s="88"/>
      <c r="AF272" s="88"/>
      <c r="AG272" s="88"/>
      <c r="AH272" s="88"/>
      <c r="AI272" s="88"/>
      <c r="AJ272" s="88"/>
      <c r="AK272" s="88"/>
      <c r="AL272" s="88"/>
      <c r="AM272" s="88">
        <v>33.947065592635212</v>
      </c>
      <c r="AN272" s="88">
        <v>139.04</v>
      </c>
      <c r="AO272" s="89"/>
      <c r="AP272" s="90"/>
      <c r="AQ272" s="146" t="str">
        <f t="shared" si="114"/>
        <v/>
      </c>
      <c r="AR272" s="146" t="str">
        <f t="shared" si="115"/>
        <v/>
      </c>
      <c r="AS272" s="147">
        <v>10</v>
      </c>
      <c r="AT272" s="148" t="s">
        <v>106</v>
      </c>
      <c r="AU272" s="149" t="s">
        <v>56</v>
      </c>
      <c r="AV272" s="146" t="str">
        <f t="shared" si="116"/>
        <v/>
      </c>
      <c r="AW272" s="146" t="str">
        <f t="shared" si="117"/>
        <v/>
      </c>
      <c r="AX272" s="138" t="str">
        <f t="shared" si="118"/>
        <v/>
      </c>
      <c r="AY272" s="95" t="s">
        <v>56</v>
      </c>
      <c r="AZ272" s="96" t="s">
        <v>56</v>
      </c>
      <c r="BA272" s="96"/>
      <c r="BB272" s="96" t="s">
        <v>56</v>
      </c>
      <c r="BC272" s="96"/>
      <c r="BD272" s="97">
        <v>139.04</v>
      </c>
      <c r="BE272" s="142">
        <f t="shared" si="119"/>
        <v>1377</v>
      </c>
      <c r="BF272" s="98">
        <v>0</v>
      </c>
      <c r="BG272" s="98">
        <v>0</v>
      </c>
      <c r="BH272" s="98">
        <v>1377</v>
      </c>
      <c r="BI272" s="98">
        <v>0</v>
      </c>
      <c r="BJ272" s="98"/>
      <c r="BK272" s="98"/>
      <c r="BL272" s="97"/>
    </row>
    <row r="273" spans="1:64" outlineLevel="5" x14ac:dyDescent="0.3">
      <c r="A273" s="152">
        <f t="shared" si="105"/>
        <v>8</v>
      </c>
      <c r="B273" s="153">
        <f t="shared" si="104"/>
        <v>44789</v>
      </c>
      <c r="C273" s="138">
        <f t="shared" si="110"/>
        <v>37</v>
      </c>
      <c r="D273" s="84">
        <v>37</v>
      </c>
      <c r="E273" s="84">
        <v>37</v>
      </c>
      <c r="F273" s="84"/>
      <c r="G273" s="84"/>
      <c r="H273" s="84"/>
      <c r="I273" s="84"/>
      <c r="J273" s="84"/>
      <c r="K273" s="84"/>
      <c r="L273" s="140">
        <f t="shared" si="111"/>
        <v>8.1999999999999993</v>
      </c>
      <c r="M273" s="86">
        <v>8.24</v>
      </c>
      <c r="N273" s="86">
        <v>8.19</v>
      </c>
      <c r="O273" s="86"/>
      <c r="P273" s="86"/>
      <c r="Q273" s="86"/>
      <c r="R273" s="86"/>
      <c r="S273" s="86"/>
      <c r="T273" s="86"/>
      <c r="U273" s="142">
        <f t="shared" si="112"/>
        <v>1345.5</v>
      </c>
      <c r="V273" s="88">
        <v>1385</v>
      </c>
      <c r="W273" s="88">
        <v>1306</v>
      </c>
      <c r="X273" s="88"/>
      <c r="Y273" s="88"/>
      <c r="Z273" s="88"/>
      <c r="AA273" s="88"/>
      <c r="AB273" s="88"/>
      <c r="AC273" s="88"/>
      <c r="AD273" s="142" t="str">
        <f t="shared" si="113"/>
        <v/>
      </c>
      <c r="AE273" s="88"/>
      <c r="AF273" s="88"/>
      <c r="AG273" s="88"/>
      <c r="AH273" s="88"/>
      <c r="AI273" s="88"/>
      <c r="AJ273" s="88"/>
      <c r="AK273" s="88"/>
      <c r="AL273" s="88"/>
      <c r="AM273" s="88">
        <v>35.22650944100306</v>
      </c>
      <c r="AN273" s="88">
        <v>133.99</v>
      </c>
      <c r="AO273" s="89"/>
      <c r="AP273" s="90"/>
      <c r="AQ273" s="146" t="str">
        <f t="shared" si="114"/>
        <v/>
      </c>
      <c r="AR273" s="146" t="str">
        <f t="shared" si="115"/>
        <v/>
      </c>
      <c r="AS273" s="147">
        <v>10</v>
      </c>
      <c r="AT273" s="148" t="s">
        <v>106</v>
      </c>
      <c r="AU273" s="149" t="s">
        <v>56</v>
      </c>
      <c r="AV273" s="146" t="str">
        <f t="shared" si="116"/>
        <v/>
      </c>
      <c r="AW273" s="146" t="str">
        <f t="shared" si="117"/>
        <v/>
      </c>
      <c r="AX273" s="138" t="str">
        <f t="shared" si="118"/>
        <v/>
      </c>
      <c r="AY273" s="95" t="s">
        <v>56</v>
      </c>
      <c r="AZ273" s="96">
        <v>62.935000000000002</v>
      </c>
      <c r="BA273" s="96"/>
      <c r="BB273" s="96">
        <v>61</v>
      </c>
      <c r="BC273" s="96"/>
      <c r="BD273" s="97">
        <v>133.99</v>
      </c>
      <c r="BE273" s="142">
        <f t="shared" si="119"/>
        <v>3466</v>
      </c>
      <c r="BF273" s="98">
        <v>0</v>
      </c>
      <c r="BG273" s="98">
        <v>0</v>
      </c>
      <c r="BH273" s="98">
        <v>3466</v>
      </c>
      <c r="BI273" s="98">
        <v>0</v>
      </c>
      <c r="BJ273" s="98"/>
      <c r="BK273" s="98"/>
      <c r="BL273" s="97"/>
    </row>
    <row r="274" spans="1:64" outlineLevel="5" x14ac:dyDescent="0.3">
      <c r="A274" s="152">
        <f t="shared" si="105"/>
        <v>8</v>
      </c>
      <c r="B274" s="153">
        <f t="shared" si="104"/>
        <v>44790</v>
      </c>
      <c r="C274" s="138">
        <f t="shared" si="110"/>
        <v>37</v>
      </c>
      <c r="D274" s="84">
        <v>37</v>
      </c>
      <c r="E274" s="84">
        <v>37</v>
      </c>
      <c r="F274" s="84"/>
      <c r="G274" s="84"/>
      <c r="H274" s="84"/>
      <c r="I274" s="84"/>
      <c r="J274" s="84"/>
      <c r="K274" s="84"/>
      <c r="L274" s="140">
        <f t="shared" si="111"/>
        <v>8.1999999999999993</v>
      </c>
      <c r="M274" s="86">
        <v>8.18</v>
      </c>
      <c r="N274" s="86">
        <v>8.1199999999999992</v>
      </c>
      <c r="O274" s="86"/>
      <c r="P274" s="86"/>
      <c r="Q274" s="86"/>
      <c r="R274" s="86"/>
      <c r="S274" s="86"/>
      <c r="T274" s="86"/>
      <c r="U274" s="142">
        <f t="shared" si="112"/>
        <v>1329.5</v>
      </c>
      <c r="V274" s="88">
        <v>1375</v>
      </c>
      <c r="W274" s="88">
        <v>1284</v>
      </c>
      <c r="X274" s="88"/>
      <c r="Y274" s="88"/>
      <c r="Z274" s="88"/>
      <c r="AA274" s="88"/>
      <c r="AB274" s="88"/>
      <c r="AC274" s="88"/>
      <c r="AD274" s="142" t="str">
        <f t="shared" si="113"/>
        <v/>
      </c>
      <c r="AE274" s="88"/>
      <c r="AF274" s="88"/>
      <c r="AG274" s="88"/>
      <c r="AH274" s="88"/>
      <c r="AI274" s="88"/>
      <c r="AJ274" s="88"/>
      <c r="AK274" s="88"/>
      <c r="AL274" s="88"/>
      <c r="AM274" s="88">
        <v>35.595776772247362</v>
      </c>
      <c r="AN274" s="88">
        <v>132.6</v>
      </c>
      <c r="AO274" s="89"/>
      <c r="AP274" s="90"/>
      <c r="AQ274" s="146" t="str">
        <f t="shared" si="114"/>
        <v/>
      </c>
      <c r="AR274" s="146" t="str">
        <f t="shared" si="115"/>
        <v/>
      </c>
      <c r="AS274" s="147">
        <v>10</v>
      </c>
      <c r="AT274" s="148">
        <v>15</v>
      </c>
      <c r="AU274" s="149">
        <v>8.5386000000000006</v>
      </c>
      <c r="AV274" s="146">
        <f t="shared" si="116"/>
        <v>56.924000000000007</v>
      </c>
      <c r="AW274" s="146">
        <f t="shared" si="117"/>
        <v>43.075999999999993</v>
      </c>
      <c r="AX274" s="138" t="str">
        <f t="shared" si="118"/>
        <v/>
      </c>
      <c r="AY274" s="95">
        <v>77.3</v>
      </c>
      <c r="AZ274" s="96">
        <v>62.43</v>
      </c>
      <c r="BA274" s="96"/>
      <c r="BB274" s="96">
        <v>60</v>
      </c>
      <c r="BC274" s="96"/>
      <c r="BD274" s="97">
        <v>132.6</v>
      </c>
      <c r="BE274" s="142">
        <f t="shared" si="119"/>
        <v>3165</v>
      </c>
      <c r="BF274" s="98">
        <v>0</v>
      </c>
      <c r="BG274" s="98">
        <v>0</v>
      </c>
      <c r="BH274" s="98">
        <v>3165</v>
      </c>
      <c r="BI274" s="98">
        <v>0</v>
      </c>
      <c r="BJ274" s="98"/>
      <c r="BK274" s="98"/>
      <c r="BL274" s="97"/>
    </row>
    <row r="275" spans="1:64" outlineLevel="5" x14ac:dyDescent="0.3">
      <c r="A275" s="152">
        <f t="shared" si="105"/>
        <v>8</v>
      </c>
      <c r="B275" s="153">
        <f t="shared" si="104"/>
        <v>44791</v>
      </c>
      <c r="C275" s="138">
        <f t="shared" si="110"/>
        <v>37</v>
      </c>
      <c r="D275" s="84">
        <v>37</v>
      </c>
      <c r="E275" s="84">
        <v>37</v>
      </c>
      <c r="F275" s="84"/>
      <c r="G275" s="84"/>
      <c r="H275" s="84"/>
      <c r="I275" s="84"/>
      <c r="J275" s="84"/>
      <c r="K275" s="84"/>
      <c r="L275" s="140">
        <f t="shared" si="111"/>
        <v>8.1999999999999993</v>
      </c>
      <c r="M275" s="86">
        <v>8.1999999999999993</v>
      </c>
      <c r="N275" s="86">
        <v>8.11</v>
      </c>
      <c r="O275" s="86"/>
      <c r="P275" s="86"/>
      <c r="Q275" s="86"/>
      <c r="R275" s="86"/>
      <c r="S275" s="86"/>
      <c r="T275" s="86"/>
      <c r="U275" s="142">
        <f t="shared" si="112"/>
        <v>1363</v>
      </c>
      <c r="V275" s="88">
        <v>1402</v>
      </c>
      <c r="W275" s="88">
        <v>1324</v>
      </c>
      <c r="X275" s="88"/>
      <c r="Y275" s="88"/>
      <c r="Z275" s="88"/>
      <c r="AA275" s="88"/>
      <c r="AB275" s="88"/>
      <c r="AC275" s="88"/>
      <c r="AD275" s="142" t="str">
        <f t="shared" si="113"/>
        <v/>
      </c>
      <c r="AE275" s="88"/>
      <c r="AF275" s="88"/>
      <c r="AG275" s="88"/>
      <c r="AH275" s="88"/>
      <c r="AI275" s="88"/>
      <c r="AJ275" s="88"/>
      <c r="AK275" s="88"/>
      <c r="AL275" s="88"/>
      <c r="AM275" s="88">
        <v>39.478086316493808</v>
      </c>
      <c r="AN275" s="88">
        <v>119.56</v>
      </c>
      <c r="AO275" s="89"/>
      <c r="AP275" s="90"/>
      <c r="AQ275" s="146" t="str">
        <f t="shared" si="114"/>
        <v/>
      </c>
      <c r="AR275" s="146" t="str">
        <f t="shared" si="115"/>
        <v/>
      </c>
      <c r="AS275" s="147">
        <v>10</v>
      </c>
      <c r="AT275" s="148">
        <v>14.5</v>
      </c>
      <c r="AU275" s="149">
        <v>8.1237999999999992</v>
      </c>
      <c r="AV275" s="146">
        <f t="shared" si="116"/>
        <v>56.02620689655172</v>
      </c>
      <c r="AW275" s="146">
        <f t="shared" si="117"/>
        <v>43.97379310344828</v>
      </c>
      <c r="AX275" s="138" t="str">
        <f t="shared" si="118"/>
        <v/>
      </c>
      <c r="AY275" s="95">
        <v>77.099999999999994</v>
      </c>
      <c r="AZ275" s="96">
        <v>60.355000000000004</v>
      </c>
      <c r="BA275" s="96"/>
      <c r="BB275" s="96">
        <v>91</v>
      </c>
      <c r="BC275" s="96"/>
      <c r="BD275" s="97">
        <v>119.56</v>
      </c>
      <c r="BE275" s="142">
        <f t="shared" si="119"/>
        <v>1788</v>
      </c>
      <c r="BF275" s="98">
        <v>0</v>
      </c>
      <c r="BG275" s="98">
        <v>0</v>
      </c>
      <c r="BH275" s="98">
        <v>1788</v>
      </c>
      <c r="BI275" s="98">
        <v>0</v>
      </c>
      <c r="BJ275" s="98"/>
      <c r="BK275" s="98"/>
      <c r="BL275" s="97"/>
    </row>
    <row r="276" spans="1:64" outlineLevel="5" x14ac:dyDescent="0.3">
      <c r="A276" s="152">
        <f t="shared" si="105"/>
        <v>8</v>
      </c>
      <c r="B276" s="153">
        <f t="shared" si="104"/>
        <v>44792</v>
      </c>
      <c r="C276" s="138">
        <f t="shared" si="110"/>
        <v>37</v>
      </c>
      <c r="D276" s="84">
        <v>37</v>
      </c>
      <c r="E276" s="84">
        <v>37</v>
      </c>
      <c r="F276" s="84"/>
      <c r="G276" s="84"/>
      <c r="H276" s="84"/>
      <c r="I276" s="84"/>
      <c r="J276" s="84"/>
      <c r="K276" s="84"/>
      <c r="L276" s="140">
        <f t="shared" si="111"/>
        <v>8.1999999999999993</v>
      </c>
      <c r="M276" s="86">
        <v>8.2100000000000009</v>
      </c>
      <c r="N276" s="86">
        <v>8.1300000000000008</v>
      </c>
      <c r="O276" s="86"/>
      <c r="P276" s="86"/>
      <c r="Q276" s="86"/>
      <c r="R276" s="86"/>
      <c r="S276" s="86"/>
      <c r="T276" s="86"/>
      <c r="U276" s="142">
        <f t="shared" si="112"/>
        <v>1387.5</v>
      </c>
      <c r="V276" s="88">
        <v>1420</v>
      </c>
      <c r="W276" s="88">
        <v>1355</v>
      </c>
      <c r="X276" s="88"/>
      <c r="Y276" s="88"/>
      <c r="Z276" s="88"/>
      <c r="AA276" s="88"/>
      <c r="AB276" s="88"/>
      <c r="AC276" s="88"/>
      <c r="AD276" s="142" t="str">
        <f t="shared" si="113"/>
        <v/>
      </c>
      <c r="AE276" s="88"/>
      <c r="AF276" s="88"/>
      <c r="AG276" s="88"/>
      <c r="AH276" s="88"/>
      <c r="AI276" s="88"/>
      <c r="AJ276" s="88"/>
      <c r="AK276" s="88"/>
      <c r="AL276" s="88"/>
      <c r="AM276" s="88">
        <v>36.685838644489351</v>
      </c>
      <c r="AN276" s="88">
        <v>128.66</v>
      </c>
      <c r="AO276" s="89"/>
      <c r="AP276" s="90"/>
      <c r="AQ276" s="146" t="str">
        <f t="shared" si="114"/>
        <v/>
      </c>
      <c r="AR276" s="146" t="str">
        <f t="shared" si="115"/>
        <v/>
      </c>
      <c r="AS276" s="147">
        <v>0</v>
      </c>
      <c r="AT276" s="148" t="s">
        <v>106</v>
      </c>
      <c r="AU276" s="149" t="s">
        <v>56</v>
      </c>
      <c r="AV276" s="146" t="str">
        <f t="shared" si="116"/>
        <v/>
      </c>
      <c r="AW276" s="146" t="str">
        <f t="shared" si="117"/>
        <v/>
      </c>
      <c r="AX276" s="138" t="str">
        <f t="shared" si="118"/>
        <v/>
      </c>
      <c r="AY276" s="95" t="s">
        <v>56</v>
      </c>
      <c r="AZ276" s="96">
        <v>61.38</v>
      </c>
      <c r="BA276" s="96"/>
      <c r="BB276" s="96">
        <v>78</v>
      </c>
      <c r="BC276" s="96"/>
      <c r="BD276" s="97">
        <v>128.66</v>
      </c>
      <c r="BE276" s="142">
        <f t="shared" si="119"/>
        <v>1382</v>
      </c>
      <c r="BF276" s="98">
        <v>0</v>
      </c>
      <c r="BG276" s="98">
        <v>0</v>
      </c>
      <c r="BH276" s="98">
        <v>1382</v>
      </c>
      <c r="BI276" s="98">
        <v>0</v>
      </c>
      <c r="BJ276" s="98"/>
      <c r="BK276" s="98"/>
      <c r="BL276" s="97"/>
    </row>
    <row r="277" spans="1:64" outlineLevel="5" x14ac:dyDescent="0.3">
      <c r="A277" s="152">
        <f t="shared" si="105"/>
        <v>8</v>
      </c>
      <c r="B277" s="153">
        <f t="shared" si="104"/>
        <v>44793</v>
      </c>
      <c r="C277" s="138">
        <f t="shared" si="110"/>
        <v>37</v>
      </c>
      <c r="D277" s="84">
        <v>37</v>
      </c>
      <c r="E277" s="84">
        <v>37</v>
      </c>
      <c r="F277" s="84"/>
      <c r="G277" s="84"/>
      <c r="H277" s="84"/>
      <c r="I277" s="84"/>
      <c r="J277" s="84"/>
      <c r="K277" s="84"/>
      <c r="L277" s="140" t="str">
        <f t="shared" si="111"/>
        <v/>
      </c>
      <c r="M277" s="86"/>
      <c r="N277" s="86"/>
      <c r="O277" s="86"/>
      <c r="P277" s="86"/>
      <c r="Q277" s="86"/>
      <c r="R277" s="86"/>
      <c r="S277" s="86"/>
      <c r="T277" s="86"/>
      <c r="U277" s="142" t="str">
        <f t="shared" si="112"/>
        <v/>
      </c>
      <c r="V277" s="88"/>
      <c r="W277" s="88"/>
      <c r="X277" s="88"/>
      <c r="Y277" s="88"/>
      <c r="Z277" s="88"/>
      <c r="AA277" s="88"/>
      <c r="AB277" s="88"/>
      <c r="AC277" s="88"/>
      <c r="AD277" s="142" t="str">
        <f t="shared" si="113"/>
        <v/>
      </c>
      <c r="AE277" s="88"/>
      <c r="AF277" s="88"/>
      <c r="AG277" s="88"/>
      <c r="AH277" s="88"/>
      <c r="AI277" s="88"/>
      <c r="AJ277" s="88"/>
      <c r="AK277" s="88"/>
      <c r="AL277" s="88"/>
      <c r="AM277" s="88">
        <v>39.693886132369016</v>
      </c>
      <c r="AN277" s="88">
        <v>118.91</v>
      </c>
      <c r="AO277" s="89"/>
      <c r="AP277" s="90"/>
      <c r="AQ277" s="146" t="str">
        <f t="shared" si="114"/>
        <v/>
      </c>
      <c r="AR277" s="146" t="str">
        <f t="shared" si="115"/>
        <v/>
      </c>
      <c r="AS277" s="147">
        <v>10</v>
      </c>
      <c r="AT277" s="148" t="s">
        <v>106</v>
      </c>
      <c r="AU277" s="149" t="s">
        <v>56</v>
      </c>
      <c r="AV277" s="146" t="str">
        <f t="shared" si="116"/>
        <v/>
      </c>
      <c r="AW277" s="146" t="str">
        <f t="shared" si="117"/>
        <v/>
      </c>
      <c r="AX277" s="138" t="str">
        <f t="shared" si="118"/>
        <v/>
      </c>
      <c r="AY277" s="95" t="s">
        <v>56</v>
      </c>
      <c r="AZ277" s="96" t="s">
        <v>56</v>
      </c>
      <c r="BA277" s="96"/>
      <c r="BB277" s="96" t="s">
        <v>56</v>
      </c>
      <c r="BC277" s="96"/>
      <c r="BD277" s="97">
        <v>118.91</v>
      </c>
      <c r="BE277" s="142">
        <f t="shared" si="119"/>
        <v>1040</v>
      </c>
      <c r="BF277" s="98">
        <v>0</v>
      </c>
      <c r="BG277" s="98">
        <v>0</v>
      </c>
      <c r="BH277" s="98">
        <v>1040</v>
      </c>
      <c r="BI277" s="98">
        <v>0</v>
      </c>
      <c r="BJ277" s="98"/>
      <c r="BK277" s="98"/>
      <c r="BL277" s="97"/>
    </row>
    <row r="278" spans="1:64" outlineLevel="5" x14ac:dyDescent="0.3">
      <c r="A278" s="152">
        <f t="shared" si="105"/>
        <v>8</v>
      </c>
      <c r="B278" s="153">
        <f t="shared" si="104"/>
        <v>44794</v>
      </c>
      <c r="C278" s="138">
        <f t="shared" si="110"/>
        <v>37</v>
      </c>
      <c r="D278" s="84">
        <v>37</v>
      </c>
      <c r="E278" s="84">
        <v>37</v>
      </c>
      <c r="F278" s="84"/>
      <c r="G278" s="84"/>
      <c r="H278" s="84"/>
      <c r="I278" s="84"/>
      <c r="J278" s="84"/>
      <c r="K278" s="84"/>
      <c r="L278" s="140" t="str">
        <f t="shared" si="111"/>
        <v/>
      </c>
      <c r="M278" s="86"/>
      <c r="N278" s="86"/>
      <c r="O278" s="86"/>
      <c r="P278" s="86"/>
      <c r="Q278" s="86"/>
      <c r="R278" s="86"/>
      <c r="S278" s="86"/>
      <c r="T278" s="86"/>
      <c r="U278" s="142" t="str">
        <f t="shared" si="112"/>
        <v/>
      </c>
      <c r="V278" s="88"/>
      <c r="W278" s="88"/>
      <c r="X278" s="88"/>
      <c r="Y278" s="88"/>
      <c r="Z278" s="88"/>
      <c r="AA278" s="88"/>
      <c r="AB278" s="88"/>
      <c r="AC278" s="88"/>
      <c r="AD278" s="142" t="str">
        <f t="shared" si="113"/>
        <v/>
      </c>
      <c r="AE278" s="88"/>
      <c r="AF278" s="88"/>
      <c r="AG278" s="88"/>
      <c r="AH278" s="88"/>
      <c r="AI278" s="88"/>
      <c r="AJ278" s="88"/>
      <c r="AK278" s="88"/>
      <c r="AL278" s="88"/>
      <c r="AM278" s="88">
        <v>42.909090909090907</v>
      </c>
      <c r="AN278" s="88">
        <v>110</v>
      </c>
      <c r="AO278" s="89"/>
      <c r="AP278" s="90"/>
      <c r="AQ278" s="146" t="str">
        <f t="shared" si="114"/>
        <v/>
      </c>
      <c r="AR278" s="146" t="str">
        <f t="shared" si="115"/>
        <v/>
      </c>
      <c r="AS278" s="147">
        <v>15</v>
      </c>
      <c r="AT278" s="148" t="s">
        <v>106</v>
      </c>
      <c r="AU278" s="149" t="s">
        <v>56</v>
      </c>
      <c r="AV278" s="146" t="str">
        <f t="shared" si="116"/>
        <v/>
      </c>
      <c r="AW278" s="146" t="str">
        <f t="shared" si="117"/>
        <v/>
      </c>
      <c r="AX278" s="138" t="str">
        <f t="shared" si="118"/>
        <v/>
      </c>
      <c r="AY278" s="95" t="s">
        <v>56</v>
      </c>
      <c r="AZ278" s="96" t="s">
        <v>56</v>
      </c>
      <c r="BA278" s="96"/>
      <c r="BB278" s="96" t="s">
        <v>56</v>
      </c>
      <c r="BC278" s="96"/>
      <c r="BD278" s="97">
        <v>110</v>
      </c>
      <c r="BE278" s="142">
        <f t="shared" si="119"/>
        <v>517</v>
      </c>
      <c r="BF278" s="98">
        <v>0</v>
      </c>
      <c r="BG278" s="98">
        <v>0</v>
      </c>
      <c r="BH278" s="98">
        <v>517</v>
      </c>
      <c r="BI278" s="98">
        <v>0</v>
      </c>
      <c r="BJ278" s="98"/>
      <c r="BK278" s="98"/>
      <c r="BL278" s="97"/>
    </row>
    <row r="279" spans="1:64" outlineLevel="5" x14ac:dyDescent="0.3">
      <c r="A279" s="152">
        <f t="shared" si="105"/>
        <v>8</v>
      </c>
      <c r="B279" s="153">
        <f t="shared" si="104"/>
        <v>44795</v>
      </c>
      <c r="C279" s="138">
        <f t="shared" si="110"/>
        <v>38</v>
      </c>
      <c r="D279" s="84">
        <v>38</v>
      </c>
      <c r="E279" s="84">
        <v>38</v>
      </c>
      <c r="F279" s="84"/>
      <c r="G279" s="84"/>
      <c r="H279" s="84"/>
      <c r="I279" s="84"/>
      <c r="J279" s="84"/>
      <c r="K279" s="84"/>
      <c r="L279" s="140">
        <f t="shared" si="111"/>
        <v>8.1</v>
      </c>
      <c r="M279" s="86">
        <v>8.11</v>
      </c>
      <c r="N279" s="86">
        <v>8.07</v>
      </c>
      <c r="O279" s="86"/>
      <c r="P279" s="86"/>
      <c r="Q279" s="86"/>
      <c r="R279" s="86"/>
      <c r="S279" s="86"/>
      <c r="T279" s="86"/>
      <c r="U279" s="142">
        <f t="shared" si="112"/>
        <v>1259.5</v>
      </c>
      <c r="V279" s="88">
        <v>1311</v>
      </c>
      <c r="W279" s="88">
        <v>1208</v>
      </c>
      <c r="X279" s="88"/>
      <c r="Y279" s="88"/>
      <c r="Z279" s="88"/>
      <c r="AA279" s="88"/>
      <c r="AB279" s="88"/>
      <c r="AC279" s="88"/>
      <c r="AD279" s="142" t="str">
        <f t="shared" si="113"/>
        <v/>
      </c>
      <c r="AE279" s="88"/>
      <c r="AF279" s="88"/>
      <c r="AG279" s="88"/>
      <c r="AH279" s="88"/>
      <c r="AI279" s="88"/>
      <c r="AJ279" s="88"/>
      <c r="AK279" s="88"/>
      <c r="AL279" s="88"/>
      <c r="AM279" s="88">
        <v>41.172365666434061</v>
      </c>
      <c r="AN279" s="88">
        <v>114.63999999999999</v>
      </c>
      <c r="AO279" s="89">
        <v>8.6</v>
      </c>
      <c r="AP279" s="90">
        <v>6.4241999999999999</v>
      </c>
      <c r="AQ279" s="146">
        <f t="shared" si="114"/>
        <v>74.7</v>
      </c>
      <c r="AR279" s="146">
        <f t="shared" si="115"/>
        <v>25.299999999999997</v>
      </c>
      <c r="AS279" s="147">
        <v>10</v>
      </c>
      <c r="AT279" s="148">
        <v>14.899999999999999</v>
      </c>
      <c r="AU279" s="149">
        <v>8.4306000000000001</v>
      </c>
      <c r="AV279" s="146">
        <f t="shared" si="116"/>
        <v>56.581208053691277</v>
      </c>
      <c r="AW279" s="146">
        <f t="shared" si="117"/>
        <v>43.418791946308723</v>
      </c>
      <c r="AX279" s="138">
        <f t="shared" si="118"/>
        <v>55.863854838154992</v>
      </c>
      <c r="AY279" s="95">
        <v>77.400000000000006</v>
      </c>
      <c r="AZ279" s="96">
        <v>61.825000000000003</v>
      </c>
      <c r="BA279" s="96"/>
      <c r="BB279" s="96">
        <v>56</v>
      </c>
      <c r="BC279" s="96"/>
      <c r="BD279" s="97">
        <v>114.63999999999999</v>
      </c>
      <c r="BE279" s="142">
        <f t="shared" si="119"/>
        <v>25</v>
      </c>
      <c r="BF279" s="98">
        <v>0</v>
      </c>
      <c r="BG279" s="98">
        <v>0</v>
      </c>
      <c r="BH279" s="98">
        <v>25</v>
      </c>
      <c r="BI279" s="98">
        <v>0</v>
      </c>
      <c r="BJ279" s="98"/>
      <c r="BK279" s="98"/>
      <c r="BL279" s="97"/>
    </row>
    <row r="280" spans="1:64" outlineLevel="5" x14ac:dyDescent="0.3">
      <c r="A280" s="152">
        <f t="shared" si="105"/>
        <v>8</v>
      </c>
      <c r="B280" s="153">
        <f t="shared" si="104"/>
        <v>44796</v>
      </c>
      <c r="C280" s="138">
        <f t="shared" si="110"/>
        <v>38</v>
      </c>
      <c r="D280" s="84">
        <v>38</v>
      </c>
      <c r="E280" s="84">
        <v>38</v>
      </c>
      <c r="F280" s="84"/>
      <c r="G280" s="84"/>
      <c r="H280" s="84"/>
      <c r="I280" s="84"/>
      <c r="J280" s="84"/>
      <c r="K280" s="84"/>
      <c r="L280" s="140">
        <f t="shared" si="111"/>
        <v>8.1</v>
      </c>
      <c r="M280" s="86">
        <v>8.16</v>
      </c>
      <c r="N280" s="86">
        <v>8.1199999999999992</v>
      </c>
      <c r="O280" s="86"/>
      <c r="P280" s="86"/>
      <c r="Q280" s="86"/>
      <c r="R280" s="86"/>
      <c r="S280" s="86"/>
      <c r="T280" s="86"/>
      <c r="U280" s="142">
        <f t="shared" si="112"/>
        <v>1313.5</v>
      </c>
      <c r="V280" s="88">
        <v>1337</v>
      </c>
      <c r="W280" s="88">
        <v>1290</v>
      </c>
      <c r="X280" s="88"/>
      <c r="Y280" s="88"/>
      <c r="Z280" s="88"/>
      <c r="AA280" s="88"/>
      <c r="AB280" s="88"/>
      <c r="AC280" s="88"/>
      <c r="AD280" s="142" t="str">
        <f t="shared" si="113"/>
        <v/>
      </c>
      <c r="AE280" s="88"/>
      <c r="AF280" s="88"/>
      <c r="AG280" s="88"/>
      <c r="AH280" s="88"/>
      <c r="AI280" s="88"/>
      <c r="AJ280" s="88"/>
      <c r="AK280" s="88"/>
      <c r="AL280" s="88"/>
      <c r="AM280" s="88">
        <v>38.190792135286024</v>
      </c>
      <c r="AN280" s="88">
        <v>123.59</v>
      </c>
      <c r="AO280" s="89"/>
      <c r="AP280" s="90"/>
      <c r="AQ280" s="146" t="str">
        <f t="shared" si="114"/>
        <v/>
      </c>
      <c r="AR280" s="146" t="str">
        <f t="shared" si="115"/>
        <v/>
      </c>
      <c r="AS280" s="147">
        <v>10</v>
      </c>
      <c r="AT280" s="148" t="s">
        <v>106</v>
      </c>
      <c r="AU280" s="149" t="s">
        <v>56</v>
      </c>
      <c r="AV280" s="146" t="str">
        <f t="shared" si="116"/>
        <v/>
      </c>
      <c r="AW280" s="146" t="str">
        <f t="shared" si="117"/>
        <v/>
      </c>
      <c r="AX280" s="138" t="str">
        <f t="shared" si="118"/>
        <v/>
      </c>
      <c r="AY280" s="95" t="s">
        <v>56</v>
      </c>
      <c r="AZ280" s="96">
        <v>61.704999999999998</v>
      </c>
      <c r="BA280" s="96"/>
      <c r="BB280" s="96">
        <v>61.5</v>
      </c>
      <c r="BC280" s="96"/>
      <c r="BD280" s="97">
        <v>123.59</v>
      </c>
      <c r="BE280" s="142">
        <f t="shared" si="119"/>
        <v>928</v>
      </c>
      <c r="BF280" s="98">
        <v>0</v>
      </c>
      <c r="BG280" s="98">
        <v>0</v>
      </c>
      <c r="BH280" s="98">
        <v>928</v>
      </c>
      <c r="BI280" s="98">
        <v>0</v>
      </c>
      <c r="BJ280" s="98"/>
      <c r="BK280" s="98"/>
      <c r="BL280" s="97"/>
    </row>
    <row r="281" spans="1:64" outlineLevel="5" x14ac:dyDescent="0.3">
      <c r="A281" s="152">
        <f t="shared" si="105"/>
        <v>8</v>
      </c>
      <c r="B281" s="153">
        <f t="shared" si="104"/>
        <v>44797</v>
      </c>
      <c r="C281" s="138">
        <f t="shared" si="110"/>
        <v>37</v>
      </c>
      <c r="D281" s="84">
        <v>37</v>
      </c>
      <c r="E281" s="84">
        <v>37</v>
      </c>
      <c r="F281" s="84"/>
      <c r="G281" s="84"/>
      <c r="H281" s="84"/>
      <c r="I281" s="84"/>
      <c r="J281" s="84"/>
      <c r="K281" s="84"/>
      <c r="L281" s="140">
        <f t="shared" si="111"/>
        <v>8.1</v>
      </c>
      <c r="M281" s="86">
        <v>8.07</v>
      </c>
      <c r="N281" s="86">
        <v>8.0500000000000007</v>
      </c>
      <c r="O281" s="86"/>
      <c r="P281" s="86"/>
      <c r="Q281" s="86"/>
      <c r="R281" s="86"/>
      <c r="S281" s="86"/>
      <c r="T281" s="86"/>
      <c r="U281" s="142">
        <f t="shared" si="112"/>
        <v>1395</v>
      </c>
      <c r="V281" s="88">
        <v>1420</v>
      </c>
      <c r="W281" s="88">
        <v>1370</v>
      </c>
      <c r="X281" s="88"/>
      <c r="Y281" s="88"/>
      <c r="Z281" s="88"/>
      <c r="AA281" s="88"/>
      <c r="AB281" s="88"/>
      <c r="AC281" s="88"/>
      <c r="AD281" s="142">
        <f t="shared" si="113"/>
        <v>8840</v>
      </c>
      <c r="AE281" s="88">
        <v>8870</v>
      </c>
      <c r="AF281" s="88">
        <v>8810</v>
      </c>
      <c r="AG281" s="88"/>
      <c r="AH281" s="88"/>
      <c r="AI281" s="88"/>
      <c r="AJ281" s="88"/>
      <c r="AK281" s="88"/>
      <c r="AL281" s="88"/>
      <c r="AM281" s="88">
        <v>32.675666320526133</v>
      </c>
      <c r="AN281" s="88">
        <v>144.45000000000002</v>
      </c>
      <c r="AO281" s="89"/>
      <c r="AP281" s="90"/>
      <c r="AQ281" s="146" t="str">
        <f t="shared" si="114"/>
        <v/>
      </c>
      <c r="AR281" s="146" t="str">
        <f t="shared" si="115"/>
        <v/>
      </c>
      <c r="AS281" s="147">
        <v>10</v>
      </c>
      <c r="AT281" s="148">
        <v>15.1</v>
      </c>
      <c r="AU281" s="149">
        <v>8.5770999999999997</v>
      </c>
      <c r="AV281" s="146">
        <f t="shared" si="116"/>
        <v>56.801986754966883</v>
      </c>
      <c r="AW281" s="146">
        <f t="shared" si="117"/>
        <v>43.198013245033117</v>
      </c>
      <c r="AX281" s="138" t="str">
        <f t="shared" si="118"/>
        <v/>
      </c>
      <c r="AY281" s="95">
        <v>77</v>
      </c>
      <c r="AZ281" s="96">
        <v>61.325000000000003</v>
      </c>
      <c r="BA281" s="96"/>
      <c r="BB281" s="96">
        <v>49</v>
      </c>
      <c r="BC281" s="96"/>
      <c r="BD281" s="97">
        <v>144.45000000000002</v>
      </c>
      <c r="BE281" s="142">
        <f t="shared" si="119"/>
        <v>1935</v>
      </c>
      <c r="BF281" s="98">
        <v>0</v>
      </c>
      <c r="BG281" s="98">
        <v>0</v>
      </c>
      <c r="BH281" s="98">
        <v>1935</v>
      </c>
      <c r="BI281" s="98">
        <v>0</v>
      </c>
      <c r="BJ281" s="98"/>
      <c r="BK281" s="98"/>
      <c r="BL281" s="97"/>
    </row>
    <row r="282" spans="1:64" outlineLevel="5" x14ac:dyDescent="0.3">
      <c r="A282" s="152">
        <f t="shared" si="105"/>
        <v>8</v>
      </c>
      <c r="B282" s="153">
        <f t="shared" si="104"/>
        <v>44798</v>
      </c>
      <c r="C282" s="138">
        <f t="shared" si="110"/>
        <v>36</v>
      </c>
      <c r="D282" s="84">
        <v>36</v>
      </c>
      <c r="E282" s="84">
        <v>36</v>
      </c>
      <c r="F282" s="84"/>
      <c r="G282" s="84"/>
      <c r="H282" s="84"/>
      <c r="I282" s="84"/>
      <c r="J282" s="84"/>
      <c r="K282" s="84"/>
      <c r="L282" s="140">
        <f t="shared" si="111"/>
        <v>8</v>
      </c>
      <c r="M282" s="86">
        <v>8.0500000000000007</v>
      </c>
      <c r="N282" s="86">
        <v>8.01</v>
      </c>
      <c r="O282" s="86"/>
      <c r="P282" s="86"/>
      <c r="Q282" s="86"/>
      <c r="R282" s="86"/>
      <c r="S282" s="86"/>
      <c r="T282" s="86"/>
      <c r="U282" s="142">
        <f t="shared" si="112"/>
        <v>1280</v>
      </c>
      <c r="V282" s="88">
        <v>1350</v>
      </c>
      <c r="W282" s="88">
        <v>1210</v>
      </c>
      <c r="X282" s="88"/>
      <c r="Y282" s="88"/>
      <c r="Z282" s="88"/>
      <c r="AA282" s="88"/>
      <c r="AB282" s="88"/>
      <c r="AC282" s="88"/>
      <c r="AD282" s="142" t="str">
        <f t="shared" si="113"/>
        <v/>
      </c>
      <c r="AE282" s="88"/>
      <c r="AF282" s="88"/>
      <c r="AG282" s="88"/>
      <c r="AH282" s="88"/>
      <c r="AI282" s="88"/>
      <c r="AJ282" s="88"/>
      <c r="AK282" s="88"/>
      <c r="AL282" s="88"/>
      <c r="AM282" s="88">
        <v>30.38691817420975</v>
      </c>
      <c r="AN282" s="88">
        <v>155.32999999999998</v>
      </c>
      <c r="AO282" s="89"/>
      <c r="AP282" s="90"/>
      <c r="AQ282" s="146" t="str">
        <f t="shared" si="114"/>
        <v/>
      </c>
      <c r="AR282" s="146" t="str">
        <f t="shared" si="115"/>
        <v/>
      </c>
      <c r="AS282" s="147">
        <v>10</v>
      </c>
      <c r="AT282" s="148">
        <v>15.05</v>
      </c>
      <c r="AU282" s="149">
        <v>8.6229000000000013</v>
      </c>
      <c r="AV282" s="146">
        <f t="shared" si="116"/>
        <v>57.295016611295694</v>
      </c>
      <c r="AW282" s="146">
        <f t="shared" si="117"/>
        <v>42.704983388704306</v>
      </c>
      <c r="AX282" s="138" t="str">
        <f t="shared" si="118"/>
        <v/>
      </c>
      <c r="AY282" s="95">
        <v>77.150000000000006</v>
      </c>
      <c r="AZ282" s="96">
        <v>61.164999999999999</v>
      </c>
      <c r="BA282" s="96"/>
      <c r="BB282" s="96">
        <v>55.5</v>
      </c>
      <c r="BC282" s="96"/>
      <c r="BD282" s="97">
        <v>155.32999999999998</v>
      </c>
      <c r="BE282" s="142">
        <f t="shared" si="119"/>
        <v>3400</v>
      </c>
      <c r="BF282" s="98">
        <v>0</v>
      </c>
      <c r="BG282" s="98">
        <v>0</v>
      </c>
      <c r="BH282" s="98">
        <v>1619</v>
      </c>
      <c r="BI282" s="98">
        <v>1781</v>
      </c>
      <c r="BJ282" s="98"/>
      <c r="BK282" s="98"/>
      <c r="BL282" s="97"/>
    </row>
    <row r="283" spans="1:64" outlineLevel="5" x14ac:dyDescent="0.3">
      <c r="A283" s="152">
        <f t="shared" si="105"/>
        <v>8</v>
      </c>
      <c r="B283" s="153">
        <f t="shared" si="104"/>
        <v>44799</v>
      </c>
      <c r="C283" s="138">
        <f t="shared" si="110"/>
        <v>36</v>
      </c>
      <c r="D283" s="84">
        <v>36</v>
      </c>
      <c r="E283" s="84">
        <v>36</v>
      </c>
      <c r="F283" s="84"/>
      <c r="G283" s="84"/>
      <c r="H283" s="84"/>
      <c r="I283" s="84"/>
      <c r="J283" s="84"/>
      <c r="K283" s="84"/>
      <c r="L283" s="140" t="str">
        <f t="shared" si="111"/>
        <v/>
      </c>
      <c r="M283" s="86"/>
      <c r="N283" s="86"/>
      <c r="O283" s="86"/>
      <c r="P283" s="86"/>
      <c r="Q283" s="86"/>
      <c r="R283" s="86"/>
      <c r="S283" s="86"/>
      <c r="T283" s="86"/>
      <c r="U283" s="142" t="str">
        <f t="shared" si="112"/>
        <v/>
      </c>
      <c r="V283" s="88"/>
      <c r="W283" s="88"/>
      <c r="X283" s="88"/>
      <c r="Y283" s="88"/>
      <c r="Z283" s="88"/>
      <c r="AA283" s="88"/>
      <c r="AB283" s="88"/>
      <c r="AC283" s="88"/>
      <c r="AD283" s="142" t="str">
        <f t="shared" si="113"/>
        <v/>
      </c>
      <c r="AE283" s="88"/>
      <c r="AF283" s="88"/>
      <c r="AG283" s="88"/>
      <c r="AH283" s="88"/>
      <c r="AI283" s="88"/>
      <c r="AJ283" s="88"/>
      <c r="AK283" s="88"/>
      <c r="AL283" s="88"/>
      <c r="AM283" s="88">
        <v>42.576222262312832</v>
      </c>
      <c r="AN283" s="88">
        <v>110.85999999999999</v>
      </c>
      <c r="AO283" s="89"/>
      <c r="AP283" s="90"/>
      <c r="AQ283" s="146" t="str">
        <f t="shared" si="114"/>
        <v/>
      </c>
      <c r="AR283" s="146" t="str">
        <f t="shared" si="115"/>
        <v/>
      </c>
      <c r="AS283" s="147">
        <v>10</v>
      </c>
      <c r="AT283" s="148" t="s">
        <v>106</v>
      </c>
      <c r="AU283" s="149" t="s">
        <v>56</v>
      </c>
      <c r="AV283" s="146" t="str">
        <f t="shared" si="116"/>
        <v/>
      </c>
      <c r="AW283" s="146" t="str">
        <f t="shared" si="117"/>
        <v/>
      </c>
      <c r="AX283" s="138" t="str">
        <f t="shared" si="118"/>
        <v/>
      </c>
      <c r="AY283" s="95" t="s">
        <v>56</v>
      </c>
      <c r="AZ283" s="96">
        <v>62.844999999999999</v>
      </c>
      <c r="BA283" s="96"/>
      <c r="BB283" s="96">
        <v>60</v>
      </c>
      <c r="BC283" s="96"/>
      <c r="BD283" s="97">
        <v>110.85999999999999</v>
      </c>
      <c r="BE283" s="142">
        <f t="shared" si="119"/>
        <v>6166</v>
      </c>
      <c r="BF283" s="98">
        <v>0</v>
      </c>
      <c r="BG283" s="98">
        <v>0</v>
      </c>
      <c r="BH283" s="98">
        <v>157</v>
      </c>
      <c r="BI283" s="98">
        <v>6009</v>
      </c>
      <c r="BJ283" s="98"/>
      <c r="BK283" s="98"/>
      <c r="BL283" s="97"/>
    </row>
    <row r="284" spans="1:64" outlineLevel="5" x14ac:dyDescent="0.3">
      <c r="A284" s="152">
        <f t="shared" si="105"/>
        <v>8</v>
      </c>
      <c r="B284" s="153">
        <f t="shared" si="104"/>
        <v>44800</v>
      </c>
      <c r="C284" s="138">
        <f t="shared" si="110"/>
        <v>36</v>
      </c>
      <c r="D284" s="84">
        <v>36</v>
      </c>
      <c r="E284" s="84">
        <v>36</v>
      </c>
      <c r="F284" s="84"/>
      <c r="G284" s="84"/>
      <c r="H284" s="84"/>
      <c r="I284" s="84"/>
      <c r="J284" s="84"/>
      <c r="K284" s="84"/>
      <c r="L284" s="140" t="str">
        <f t="shared" si="111"/>
        <v/>
      </c>
      <c r="M284" s="86"/>
      <c r="N284" s="86"/>
      <c r="O284" s="86"/>
      <c r="P284" s="86"/>
      <c r="Q284" s="86"/>
      <c r="R284" s="86"/>
      <c r="S284" s="86"/>
      <c r="T284" s="86"/>
      <c r="U284" s="142" t="str">
        <f t="shared" si="112"/>
        <v/>
      </c>
      <c r="V284" s="88"/>
      <c r="W284" s="88"/>
      <c r="X284" s="88"/>
      <c r="Y284" s="88"/>
      <c r="Z284" s="88"/>
      <c r="AA284" s="88"/>
      <c r="AB284" s="88"/>
      <c r="AC284" s="88"/>
      <c r="AD284" s="142" t="str">
        <f t="shared" si="113"/>
        <v/>
      </c>
      <c r="AE284" s="88"/>
      <c r="AF284" s="88"/>
      <c r="AG284" s="88"/>
      <c r="AH284" s="88"/>
      <c r="AI284" s="88"/>
      <c r="AJ284" s="88"/>
      <c r="AK284" s="88"/>
      <c r="AL284" s="88"/>
      <c r="AM284" s="88">
        <v>43.199707120629689</v>
      </c>
      <c r="AN284" s="88">
        <v>109.26</v>
      </c>
      <c r="AO284" s="89"/>
      <c r="AP284" s="90"/>
      <c r="AQ284" s="146" t="str">
        <f t="shared" si="114"/>
        <v/>
      </c>
      <c r="AR284" s="146" t="str">
        <f t="shared" si="115"/>
        <v/>
      </c>
      <c r="AS284" s="147">
        <v>0</v>
      </c>
      <c r="AT284" s="148" t="s">
        <v>106</v>
      </c>
      <c r="AU284" s="149" t="s">
        <v>56</v>
      </c>
      <c r="AV284" s="146" t="str">
        <f t="shared" si="116"/>
        <v/>
      </c>
      <c r="AW284" s="146" t="str">
        <f t="shared" si="117"/>
        <v/>
      </c>
      <c r="AX284" s="138" t="str">
        <f t="shared" si="118"/>
        <v/>
      </c>
      <c r="AY284" s="95" t="s">
        <v>56</v>
      </c>
      <c r="AZ284" s="96" t="s">
        <v>56</v>
      </c>
      <c r="BA284" s="96"/>
      <c r="BB284" s="96" t="s">
        <v>56</v>
      </c>
      <c r="BC284" s="96"/>
      <c r="BD284" s="97">
        <v>109.26</v>
      </c>
      <c r="BE284" s="142">
        <f t="shared" si="119"/>
        <v>6096</v>
      </c>
      <c r="BF284" s="98">
        <v>0</v>
      </c>
      <c r="BG284" s="98">
        <v>0</v>
      </c>
      <c r="BH284" s="98">
        <v>0</v>
      </c>
      <c r="BI284" s="98">
        <v>6096</v>
      </c>
      <c r="BJ284" s="98"/>
      <c r="BK284" s="98"/>
      <c r="BL284" s="97"/>
    </row>
    <row r="285" spans="1:64" outlineLevel="5" x14ac:dyDescent="0.3">
      <c r="A285" s="152">
        <f t="shared" si="105"/>
        <v>8</v>
      </c>
      <c r="B285" s="153">
        <f t="shared" si="104"/>
        <v>44801</v>
      </c>
      <c r="C285" s="138">
        <f t="shared" si="110"/>
        <v>37</v>
      </c>
      <c r="D285" s="84">
        <v>37</v>
      </c>
      <c r="E285" s="84">
        <v>37</v>
      </c>
      <c r="F285" s="84"/>
      <c r="G285" s="84"/>
      <c r="H285" s="84"/>
      <c r="I285" s="84"/>
      <c r="J285" s="84"/>
      <c r="K285" s="84"/>
      <c r="L285" s="140" t="str">
        <f t="shared" si="111"/>
        <v/>
      </c>
      <c r="M285" s="86"/>
      <c r="N285" s="86"/>
      <c r="O285" s="86"/>
      <c r="P285" s="86"/>
      <c r="Q285" s="86"/>
      <c r="R285" s="86"/>
      <c r="S285" s="86"/>
      <c r="T285" s="86"/>
      <c r="U285" s="142" t="str">
        <f t="shared" si="112"/>
        <v/>
      </c>
      <c r="V285" s="88"/>
      <c r="W285" s="88"/>
      <c r="X285" s="88"/>
      <c r="Y285" s="88"/>
      <c r="Z285" s="88"/>
      <c r="AA285" s="88"/>
      <c r="AB285" s="88"/>
      <c r="AC285" s="88"/>
      <c r="AD285" s="142" t="str">
        <f t="shared" si="113"/>
        <v/>
      </c>
      <c r="AE285" s="88"/>
      <c r="AF285" s="88"/>
      <c r="AG285" s="88"/>
      <c r="AH285" s="88"/>
      <c r="AI285" s="88"/>
      <c r="AJ285" s="88"/>
      <c r="AK285" s="88"/>
      <c r="AL285" s="88"/>
      <c r="AM285" s="88">
        <v>52.444444444444443</v>
      </c>
      <c r="AN285" s="88">
        <v>90</v>
      </c>
      <c r="AO285" s="89"/>
      <c r="AP285" s="90"/>
      <c r="AQ285" s="146" t="str">
        <f t="shared" si="114"/>
        <v/>
      </c>
      <c r="AR285" s="146" t="str">
        <f t="shared" si="115"/>
        <v/>
      </c>
      <c r="AS285" s="147">
        <v>20</v>
      </c>
      <c r="AT285" s="148" t="s">
        <v>106</v>
      </c>
      <c r="AU285" s="149" t="s">
        <v>56</v>
      </c>
      <c r="AV285" s="146" t="str">
        <f t="shared" si="116"/>
        <v/>
      </c>
      <c r="AW285" s="146" t="str">
        <f t="shared" si="117"/>
        <v/>
      </c>
      <c r="AX285" s="138" t="str">
        <f t="shared" si="118"/>
        <v/>
      </c>
      <c r="AY285" s="95" t="s">
        <v>56</v>
      </c>
      <c r="AZ285" s="96" t="s">
        <v>56</v>
      </c>
      <c r="BA285" s="96"/>
      <c r="BB285" s="96" t="s">
        <v>56</v>
      </c>
      <c r="BC285" s="96"/>
      <c r="BD285" s="97">
        <v>90</v>
      </c>
      <c r="BE285" s="142">
        <f t="shared" si="119"/>
        <v>5835</v>
      </c>
      <c r="BF285" s="98">
        <v>0</v>
      </c>
      <c r="BG285" s="98">
        <v>0</v>
      </c>
      <c r="BH285" s="98">
        <v>0</v>
      </c>
      <c r="BI285" s="98">
        <v>5835</v>
      </c>
      <c r="BJ285" s="98"/>
      <c r="BK285" s="98"/>
      <c r="BL285" s="97"/>
    </row>
    <row r="286" spans="1:64" outlineLevel="5" x14ac:dyDescent="0.3">
      <c r="A286" s="152">
        <f t="shared" si="105"/>
        <v>8</v>
      </c>
      <c r="B286" s="153">
        <f t="shared" si="104"/>
        <v>44802</v>
      </c>
      <c r="C286" s="138">
        <f t="shared" si="110"/>
        <v>37</v>
      </c>
      <c r="D286" s="84">
        <v>37</v>
      </c>
      <c r="E286" s="84">
        <v>37</v>
      </c>
      <c r="F286" s="84"/>
      <c r="G286" s="84"/>
      <c r="H286" s="84"/>
      <c r="I286" s="84"/>
      <c r="J286" s="84"/>
      <c r="K286" s="84"/>
      <c r="L286" s="140">
        <f t="shared" si="111"/>
        <v>8.1</v>
      </c>
      <c r="M286" s="86">
        <v>8.16</v>
      </c>
      <c r="N286" s="86">
        <v>8.1300000000000008</v>
      </c>
      <c r="O286" s="86"/>
      <c r="P286" s="86"/>
      <c r="Q286" s="86"/>
      <c r="R286" s="86"/>
      <c r="S286" s="86"/>
      <c r="T286" s="86"/>
      <c r="U286" s="142">
        <f t="shared" si="112"/>
        <v>1350.5</v>
      </c>
      <c r="V286" s="88">
        <v>1396</v>
      </c>
      <c r="W286" s="88">
        <v>1305</v>
      </c>
      <c r="X286" s="88"/>
      <c r="Y286" s="88"/>
      <c r="Z286" s="88"/>
      <c r="AA286" s="88"/>
      <c r="AB286" s="88"/>
      <c r="AC286" s="88"/>
      <c r="AD286" s="142" t="str">
        <f t="shared" si="113"/>
        <v/>
      </c>
      <c r="AE286" s="88"/>
      <c r="AF286" s="88"/>
      <c r="AG286" s="88"/>
      <c r="AH286" s="88"/>
      <c r="AI286" s="88"/>
      <c r="AJ286" s="88"/>
      <c r="AK286" s="88"/>
      <c r="AL286" s="88"/>
      <c r="AM286" s="88">
        <v>41.67034519290192</v>
      </c>
      <c r="AN286" s="88">
        <v>113.27</v>
      </c>
      <c r="AO286" s="89"/>
      <c r="AP286" s="90"/>
      <c r="AQ286" s="146" t="str">
        <f t="shared" si="114"/>
        <v/>
      </c>
      <c r="AR286" s="146" t="str">
        <f t="shared" si="115"/>
        <v/>
      </c>
      <c r="AS286" s="147">
        <v>10</v>
      </c>
      <c r="AT286" s="148">
        <v>14.95</v>
      </c>
      <c r="AU286" s="149">
        <v>8.4161999999999999</v>
      </c>
      <c r="AV286" s="146">
        <f t="shared" si="116"/>
        <v>56.295652173913048</v>
      </c>
      <c r="AW286" s="146">
        <f t="shared" si="117"/>
        <v>43.704347826086952</v>
      </c>
      <c r="AX286" s="138" t="str">
        <f t="shared" si="118"/>
        <v/>
      </c>
      <c r="AY286" s="95">
        <v>77.3</v>
      </c>
      <c r="AZ286" s="96">
        <v>61.234999999999999</v>
      </c>
      <c r="BA286" s="96"/>
      <c r="BB286" s="96">
        <v>72</v>
      </c>
      <c r="BC286" s="96"/>
      <c r="BD286" s="97">
        <v>113.27</v>
      </c>
      <c r="BE286" s="142">
        <f t="shared" si="119"/>
        <v>5913</v>
      </c>
      <c r="BF286" s="98">
        <v>0</v>
      </c>
      <c r="BG286" s="98">
        <v>0</v>
      </c>
      <c r="BH286" s="98">
        <v>0</v>
      </c>
      <c r="BI286" s="98">
        <v>5913</v>
      </c>
      <c r="BJ286" s="98"/>
      <c r="BK286" s="98"/>
      <c r="BL286" s="97"/>
    </row>
    <row r="287" spans="1:64" outlineLevel="5" x14ac:dyDescent="0.3">
      <c r="A287" s="152">
        <f t="shared" si="105"/>
        <v>8</v>
      </c>
      <c r="B287" s="153">
        <f t="shared" si="104"/>
        <v>44803</v>
      </c>
      <c r="C287" s="138">
        <f t="shared" si="110"/>
        <v>37</v>
      </c>
      <c r="D287" s="84">
        <v>37</v>
      </c>
      <c r="E287" s="84">
        <v>37</v>
      </c>
      <c r="F287" s="84"/>
      <c r="G287" s="84"/>
      <c r="H287" s="84"/>
      <c r="I287" s="84"/>
      <c r="J287" s="84"/>
      <c r="K287" s="84"/>
      <c r="L287" s="140">
        <f t="shared" si="111"/>
        <v>8.1</v>
      </c>
      <c r="M287" s="86">
        <v>8.09</v>
      </c>
      <c r="N287" s="86">
        <v>8.02</v>
      </c>
      <c r="O287" s="86"/>
      <c r="P287" s="86"/>
      <c r="Q287" s="86"/>
      <c r="R287" s="86"/>
      <c r="S287" s="86"/>
      <c r="T287" s="86"/>
      <c r="U287" s="142">
        <f t="shared" si="112"/>
        <v>1328.5</v>
      </c>
      <c r="V287" s="88">
        <v>1356</v>
      </c>
      <c r="W287" s="88">
        <v>1301</v>
      </c>
      <c r="X287" s="88"/>
      <c r="Y287" s="88"/>
      <c r="Z287" s="88"/>
      <c r="AA287" s="88"/>
      <c r="AB287" s="88"/>
      <c r="AC287" s="88"/>
      <c r="AD287" s="142" t="str">
        <f t="shared" si="113"/>
        <v/>
      </c>
      <c r="AE287" s="88"/>
      <c r="AF287" s="88"/>
      <c r="AG287" s="88"/>
      <c r="AH287" s="88"/>
      <c r="AI287" s="88"/>
      <c r="AJ287" s="88"/>
      <c r="AK287" s="88"/>
      <c r="AL287" s="88"/>
      <c r="AM287" s="88">
        <v>31.401769676002928</v>
      </c>
      <c r="AN287" s="88">
        <v>150.31</v>
      </c>
      <c r="AO287" s="89"/>
      <c r="AP287" s="90"/>
      <c r="AQ287" s="146" t="str">
        <f t="shared" si="114"/>
        <v/>
      </c>
      <c r="AR287" s="146" t="str">
        <f t="shared" si="115"/>
        <v/>
      </c>
      <c r="AS287" s="147">
        <v>10</v>
      </c>
      <c r="AT287" s="148" t="s">
        <v>106</v>
      </c>
      <c r="AU287" s="149" t="s">
        <v>56</v>
      </c>
      <c r="AV287" s="146" t="str">
        <f t="shared" si="116"/>
        <v/>
      </c>
      <c r="AW287" s="146" t="str">
        <f t="shared" si="117"/>
        <v/>
      </c>
      <c r="AX287" s="138" t="str">
        <f t="shared" si="118"/>
        <v/>
      </c>
      <c r="AY287" s="95" t="s">
        <v>56</v>
      </c>
      <c r="AZ287" s="96">
        <v>61.08</v>
      </c>
      <c r="BA287" s="96"/>
      <c r="BB287" s="96">
        <v>67</v>
      </c>
      <c r="BC287" s="96"/>
      <c r="BD287" s="97">
        <v>150.31</v>
      </c>
      <c r="BE287" s="142">
        <f t="shared" si="119"/>
        <v>7722</v>
      </c>
      <c r="BF287" s="98">
        <v>0</v>
      </c>
      <c r="BG287" s="98">
        <v>0</v>
      </c>
      <c r="BH287" s="98">
        <v>1262</v>
      </c>
      <c r="BI287" s="98">
        <v>6460</v>
      </c>
      <c r="BJ287" s="98"/>
      <c r="BK287" s="98"/>
      <c r="BL287" s="97"/>
    </row>
    <row r="288" spans="1:64" ht="17.25" outlineLevel="5" thickBot="1" x14ac:dyDescent="0.35">
      <c r="A288" s="154">
        <f t="shared" si="105"/>
        <v>8</v>
      </c>
      <c r="B288" s="155">
        <f t="shared" ref="B288:B351" si="120">B287+1</f>
        <v>44804</v>
      </c>
      <c r="C288" s="138">
        <f t="shared" si="110"/>
        <v>37</v>
      </c>
      <c r="D288" s="84">
        <v>37</v>
      </c>
      <c r="E288" s="84">
        <v>37</v>
      </c>
      <c r="F288" s="84"/>
      <c r="G288" s="84"/>
      <c r="H288" s="84"/>
      <c r="I288" s="84"/>
      <c r="J288" s="84"/>
      <c r="K288" s="84"/>
      <c r="L288" s="140" t="str">
        <f t="shared" si="111"/>
        <v/>
      </c>
      <c r="M288" s="86"/>
      <c r="N288" s="86"/>
      <c r="O288" s="86"/>
      <c r="P288" s="86"/>
      <c r="Q288" s="86"/>
      <c r="R288" s="86"/>
      <c r="S288" s="86"/>
      <c r="T288" s="86"/>
      <c r="U288" s="142" t="str">
        <f t="shared" si="112"/>
        <v/>
      </c>
      <c r="V288" s="88"/>
      <c r="W288" s="88"/>
      <c r="X288" s="88"/>
      <c r="Y288" s="88"/>
      <c r="Z288" s="88"/>
      <c r="AA288" s="88"/>
      <c r="AB288" s="88"/>
      <c r="AC288" s="88"/>
      <c r="AD288" s="142" t="str">
        <f t="shared" si="113"/>
        <v/>
      </c>
      <c r="AE288" s="88"/>
      <c r="AF288" s="88"/>
      <c r="AG288" s="88"/>
      <c r="AH288" s="88"/>
      <c r="AI288" s="88"/>
      <c r="AJ288" s="88"/>
      <c r="AK288" s="88"/>
      <c r="AL288" s="88"/>
      <c r="AM288" s="88">
        <v>33.603872988751242</v>
      </c>
      <c r="AN288" s="88">
        <v>140.46</v>
      </c>
      <c r="AO288" s="89"/>
      <c r="AP288" s="90"/>
      <c r="AQ288" s="146" t="str">
        <f t="shared" si="114"/>
        <v/>
      </c>
      <c r="AR288" s="146" t="str">
        <f t="shared" si="115"/>
        <v/>
      </c>
      <c r="AS288" s="147">
        <v>10</v>
      </c>
      <c r="AT288" s="148">
        <v>14.75</v>
      </c>
      <c r="AU288" s="149">
        <v>8.5236999999999998</v>
      </c>
      <c r="AV288" s="146">
        <f t="shared" si="116"/>
        <v>57.787796610169494</v>
      </c>
      <c r="AW288" s="146">
        <f t="shared" si="117"/>
        <v>42.212203389830506</v>
      </c>
      <c r="AX288" s="138" t="str">
        <f t="shared" si="118"/>
        <v/>
      </c>
      <c r="AY288" s="95">
        <v>76.5</v>
      </c>
      <c r="AZ288" s="96">
        <v>60.974999999999994</v>
      </c>
      <c r="BA288" s="96"/>
      <c r="BB288" s="96">
        <v>56.5</v>
      </c>
      <c r="BC288" s="96"/>
      <c r="BD288" s="97">
        <v>140.46</v>
      </c>
      <c r="BE288" s="142">
        <f t="shared" si="119"/>
        <v>9914</v>
      </c>
      <c r="BF288" s="98">
        <v>0</v>
      </c>
      <c r="BG288" s="98">
        <v>2</v>
      </c>
      <c r="BH288" s="98">
        <v>3555</v>
      </c>
      <c r="BI288" s="98">
        <v>6357</v>
      </c>
      <c r="BJ288" s="98"/>
      <c r="BK288" s="98"/>
      <c r="BL288" s="97"/>
    </row>
    <row r="289" spans="1:64" outlineLevel="4" x14ac:dyDescent="0.3">
      <c r="A289" s="63" t="s">
        <v>85</v>
      </c>
      <c r="B289" s="64"/>
      <c r="C289" s="65">
        <f t="shared" ref="C289:BL289" si="121">SUBTOTAL(4,C258:C288)</f>
        <v>38</v>
      </c>
      <c r="D289" s="66">
        <f t="shared" si="121"/>
        <v>38</v>
      </c>
      <c r="E289" s="66">
        <f t="shared" si="121"/>
        <v>38</v>
      </c>
      <c r="F289" s="66">
        <f t="shared" si="121"/>
        <v>0</v>
      </c>
      <c r="G289" s="66">
        <f t="shared" si="121"/>
        <v>0</v>
      </c>
      <c r="H289" s="66">
        <f t="shared" si="121"/>
        <v>0</v>
      </c>
      <c r="I289" s="66">
        <f t="shared" si="121"/>
        <v>0</v>
      </c>
      <c r="J289" s="66">
        <f t="shared" si="121"/>
        <v>0</v>
      </c>
      <c r="K289" s="66">
        <f t="shared" si="121"/>
        <v>0</v>
      </c>
      <c r="L289" s="67">
        <f t="shared" si="121"/>
        <v>8.1999999999999993</v>
      </c>
      <c r="M289" s="68">
        <f t="shared" si="121"/>
        <v>8.24</v>
      </c>
      <c r="N289" s="68">
        <f t="shared" si="121"/>
        <v>8.19</v>
      </c>
      <c r="O289" s="68">
        <f t="shared" si="121"/>
        <v>0</v>
      </c>
      <c r="P289" s="68">
        <f t="shared" si="121"/>
        <v>0</v>
      </c>
      <c r="Q289" s="68">
        <f t="shared" si="121"/>
        <v>0</v>
      </c>
      <c r="R289" s="68">
        <f t="shared" si="121"/>
        <v>0</v>
      </c>
      <c r="S289" s="68">
        <f t="shared" si="121"/>
        <v>0</v>
      </c>
      <c r="T289" s="68">
        <f t="shared" si="121"/>
        <v>0</v>
      </c>
      <c r="U289" s="69">
        <f t="shared" si="121"/>
        <v>1395</v>
      </c>
      <c r="V289" s="70">
        <f t="shared" si="121"/>
        <v>1420</v>
      </c>
      <c r="W289" s="70">
        <f t="shared" si="121"/>
        <v>1370</v>
      </c>
      <c r="X289" s="70">
        <f t="shared" si="121"/>
        <v>0</v>
      </c>
      <c r="Y289" s="70">
        <f t="shared" si="121"/>
        <v>0</v>
      </c>
      <c r="Z289" s="70">
        <f t="shared" si="121"/>
        <v>0</v>
      </c>
      <c r="AA289" s="70">
        <f t="shared" si="121"/>
        <v>0</v>
      </c>
      <c r="AB289" s="70">
        <f t="shared" si="121"/>
        <v>0</v>
      </c>
      <c r="AC289" s="70">
        <f t="shared" si="121"/>
        <v>0</v>
      </c>
      <c r="AD289" s="69">
        <f t="shared" si="121"/>
        <v>9150</v>
      </c>
      <c r="AE289" s="70">
        <f t="shared" si="121"/>
        <v>9200</v>
      </c>
      <c r="AF289" s="70">
        <f t="shared" si="121"/>
        <v>9100</v>
      </c>
      <c r="AG289" s="70">
        <f t="shared" si="121"/>
        <v>0</v>
      </c>
      <c r="AH289" s="70">
        <f t="shared" si="121"/>
        <v>0</v>
      </c>
      <c r="AI289" s="70">
        <f t="shared" si="121"/>
        <v>0</v>
      </c>
      <c r="AJ289" s="70">
        <f t="shared" si="121"/>
        <v>0</v>
      </c>
      <c r="AK289" s="70">
        <f t="shared" si="121"/>
        <v>0</v>
      </c>
      <c r="AL289" s="70">
        <f t="shared" si="121"/>
        <v>0</v>
      </c>
      <c r="AM289" s="70">
        <f t="shared" si="121"/>
        <v>52.444444444444443</v>
      </c>
      <c r="AN289" s="70">
        <f t="shared" si="121"/>
        <v>155.32999999999998</v>
      </c>
      <c r="AO289" s="71">
        <f t="shared" si="121"/>
        <v>8.9</v>
      </c>
      <c r="AP289" s="72">
        <f t="shared" si="121"/>
        <v>6.4241999999999999</v>
      </c>
      <c r="AQ289" s="73">
        <f t="shared" si="121"/>
        <v>74.7</v>
      </c>
      <c r="AR289" s="73">
        <f t="shared" si="121"/>
        <v>28.599999999999994</v>
      </c>
      <c r="AS289" s="74">
        <f t="shared" si="121"/>
        <v>20</v>
      </c>
      <c r="AT289" s="75">
        <f t="shared" si="121"/>
        <v>15.1</v>
      </c>
      <c r="AU289" s="76">
        <f t="shared" si="121"/>
        <v>8.6229000000000013</v>
      </c>
      <c r="AV289" s="73">
        <f t="shared" si="121"/>
        <v>57.787796610169494</v>
      </c>
      <c r="AW289" s="73">
        <f t="shared" si="121"/>
        <v>47.466896551724147</v>
      </c>
      <c r="AX289" s="65">
        <f t="shared" si="121"/>
        <v>58.858134258130733</v>
      </c>
      <c r="AY289" s="77">
        <f t="shared" si="121"/>
        <v>77.400000000000006</v>
      </c>
      <c r="AZ289" s="78">
        <f t="shared" si="121"/>
        <v>62.935000000000002</v>
      </c>
      <c r="BA289" s="78">
        <f t="shared" si="121"/>
        <v>0</v>
      </c>
      <c r="BB289" s="78">
        <f t="shared" si="121"/>
        <v>91</v>
      </c>
      <c r="BC289" s="78">
        <f t="shared" si="121"/>
        <v>0</v>
      </c>
      <c r="BD289" s="79">
        <f t="shared" si="121"/>
        <v>155.32999999999998</v>
      </c>
      <c r="BE289" s="69">
        <f t="shared" si="121"/>
        <v>9914</v>
      </c>
      <c r="BF289" s="70">
        <f t="shared" si="121"/>
        <v>0</v>
      </c>
      <c r="BG289" s="80">
        <f t="shared" si="121"/>
        <v>512</v>
      </c>
      <c r="BH289" s="80">
        <f t="shared" si="121"/>
        <v>3555</v>
      </c>
      <c r="BI289" s="80">
        <f t="shared" si="121"/>
        <v>6460</v>
      </c>
      <c r="BJ289" s="80">
        <f t="shared" si="121"/>
        <v>0</v>
      </c>
      <c r="BK289" s="80">
        <f t="shared" si="121"/>
        <v>0</v>
      </c>
      <c r="BL289" s="79">
        <f t="shared" si="121"/>
        <v>0</v>
      </c>
    </row>
    <row r="290" spans="1:64" outlineLevel="3" x14ac:dyDescent="0.3">
      <c r="A290" s="81" t="s">
        <v>86</v>
      </c>
      <c r="B290" s="82"/>
      <c r="C290" s="83">
        <f t="shared" ref="C290:BL290" si="122">SUBTOTAL(5,C258:C288)</f>
        <v>36</v>
      </c>
      <c r="D290" s="84">
        <f t="shared" si="122"/>
        <v>36</v>
      </c>
      <c r="E290" s="84">
        <f t="shared" si="122"/>
        <v>36</v>
      </c>
      <c r="F290" s="84">
        <f t="shared" si="122"/>
        <v>0</v>
      </c>
      <c r="G290" s="84">
        <f t="shared" si="122"/>
        <v>0</v>
      </c>
      <c r="H290" s="84">
        <f t="shared" si="122"/>
        <v>0</v>
      </c>
      <c r="I290" s="84">
        <f t="shared" si="122"/>
        <v>0</v>
      </c>
      <c r="J290" s="84">
        <f t="shared" si="122"/>
        <v>0</v>
      </c>
      <c r="K290" s="84">
        <f t="shared" si="122"/>
        <v>0</v>
      </c>
      <c r="L290" s="85">
        <f t="shared" si="122"/>
        <v>8</v>
      </c>
      <c r="M290" s="86">
        <f t="shared" si="122"/>
        <v>8</v>
      </c>
      <c r="N290" s="86">
        <f t="shared" si="122"/>
        <v>7.92</v>
      </c>
      <c r="O290" s="86">
        <f t="shared" si="122"/>
        <v>0</v>
      </c>
      <c r="P290" s="86">
        <f t="shared" si="122"/>
        <v>0</v>
      </c>
      <c r="Q290" s="86">
        <f t="shared" si="122"/>
        <v>0</v>
      </c>
      <c r="R290" s="86">
        <f t="shared" si="122"/>
        <v>0</v>
      </c>
      <c r="S290" s="86">
        <f t="shared" si="122"/>
        <v>0</v>
      </c>
      <c r="T290" s="86">
        <f t="shared" si="122"/>
        <v>0</v>
      </c>
      <c r="U290" s="87">
        <f t="shared" si="122"/>
        <v>1160</v>
      </c>
      <c r="V290" s="88">
        <f t="shared" si="122"/>
        <v>1230</v>
      </c>
      <c r="W290" s="88">
        <f t="shared" si="122"/>
        <v>1080</v>
      </c>
      <c r="X290" s="88">
        <f t="shared" si="122"/>
        <v>0</v>
      </c>
      <c r="Y290" s="88">
        <f t="shared" si="122"/>
        <v>0</v>
      </c>
      <c r="Z290" s="88">
        <f t="shared" si="122"/>
        <v>0</v>
      </c>
      <c r="AA290" s="88">
        <f t="shared" si="122"/>
        <v>0</v>
      </c>
      <c r="AB290" s="88">
        <f t="shared" si="122"/>
        <v>0</v>
      </c>
      <c r="AC290" s="88">
        <f t="shared" si="122"/>
        <v>0</v>
      </c>
      <c r="AD290" s="87">
        <f t="shared" si="122"/>
        <v>8840</v>
      </c>
      <c r="AE290" s="88">
        <f t="shared" si="122"/>
        <v>8870</v>
      </c>
      <c r="AF290" s="88">
        <f t="shared" si="122"/>
        <v>8810</v>
      </c>
      <c r="AG290" s="88">
        <f t="shared" si="122"/>
        <v>0</v>
      </c>
      <c r="AH290" s="88">
        <f t="shared" si="122"/>
        <v>0</v>
      </c>
      <c r="AI290" s="88">
        <f t="shared" si="122"/>
        <v>0</v>
      </c>
      <c r="AJ290" s="88">
        <f t="shared" si="122"/>
        <v>0</v>
      </c>
      <c r="AK290" s="88">
        <f t="shared" si="122"/>
        <v>0</v>
      </c>
      <c r="AL290" s="88">
        <f t="shared" si="122"/>
        <v>0</v>
      </c>
      <c r="AM290" s="88">
        <f t="shared" si="122"/>
        <v>30.38691817420975</v>
      </c>
      <c r="AN290" s="88">
        <f t="shared" si="122"/>
        <v>90</v>
      </c>
      <c r="AO290" s="89">
        <f t="shared" si="122"/>
        <v>8.6</v>
      </c>
      <c r="AP290" s="90">
        <f t="shared" si="122"/>
        <v>6.3422999999999998</v>
      </c>
      <c r="AQ290" s="91">
        <f t="shared" si="122"/>
        <v>71.400000000000006</v>
      </c>
      <c r="AR290" s="91">
        <f t="shared" si="122"/>
        <v>25.299999999999997</v>
      </c>
      <c r="AS290" s="92">
        <f t="shared" si="122"/>
        <v>0</v>
      </c>
      <c r="AT290" s="93">
        <f t="shared" si="122"/>
        <v>14.5</v>
      </c>
      <c r="AU290" s="94">
        <f t="shared" si="122"/>
        <v>7.6172999999999993</v>
      </c>
      <c r="AV290" s="91">
        <f t="shared" si="122"/>
        <v>52.533103448275853</v>
      </c>
      <c r="AW290" s="91">
        <f t="shared" si="122"/>
        <v>42.212203389830506</v>
      </c>
      <c r="AX290" s="83">
        <f t="shared" si="122"/>
        <v>55.520528480149068</v>
      </c>
      <c r="AY290" s="95">
        <f t="shared" si="122"/>
        <v>75.150000000000006</v>
      </c>
      <c r="AZ290" s="96">
        <f t="shared" si="122"/>
        <v>58.69</v>
      </c>
      <c r="BA290" s="96">
        <f t="shared" si="122"/>
        <v>0</v>
      </c>
      <c r="BB290" s="96">
        <f t="shared" si="122"/>
        <v>49</v>
      </c>
      <c r="BC290" s="96">
        <f t="shared" si="122"/>
        <v>0</v>
      </c>
      <c r="BD290" s="97">
        <f t="shared" si="122"/>
        <v>90</v>
      </c>
      <c r="BE290" s="87">
        <f t="shared" si="122"/>
        <v>4</v>
      </c>
      <c r="BF290" s="88">
        <f t="shared" si="122"/>
        <v>0</v>
      </c>
      <c r="BG290" s="98">
        <f t="shared" si="122"/>
        <v>0</v>
      </c>
      <c r="BH290" s="98">
        <f t="shared" si="122"/>
        <v>0</v>
      </c>
      <c r="BI290" s="98">
        <f t="shared" si="122"/>
        <v>0</v>
      </c>
      <c r="BJ290" s="98">
        <f t="shared" si="122"/>
        <v>0</v>
      </c>
      <c r="BK290" s="98">
        <f t="shared" si="122"/>
        <v>0</v>
      </c>
      <c r="BL290" s="97">
        <f t="shared" si="122"/>
        <v>0</v>
      </c>
    </row>
    <row r="291" spans="1:64" outlineLevel="2" x14ac:dyDescent="0.3">
      <c r="A291" s="81" t="s">
        <v>87</v>
      </c>
      <c r="B291" s="82"/>
      <c r="C291" s="83">
        <f t="shared" ref="C291:BL291" si="123">IFERROR(SUBTOTAL(1,C258:C288),"")</f>
        <v>37.177419354838712</v>
      </c>
      <c r="D291" s="84">
        <f t="shared" si="123"/>
        <v>37.225806451612904</v>
      </c>
      <c r="E291" s="84">
        <f t="shared" si="123"/>
        <v>37.12903225806452</v>
      </c>
      <c r="F291" s="84" t="str">
        <f t="shared" si="123"/>
        <v/>
      </c>
      <c r="G291" s="84" t="str">
        <f t="shared" si="123"/>
        <v/>
      </c>
      <c r="H291" s="84" t="str">
        <f t="shared" si="123"/>
        <v/>
      </c>
      <c r="I291" s="84" t="str">
        <f t="shared" si="123"/>
        <v/>
      </c>
      <c r="J291" s="84" t="str">
        <f t="shared" si="123"/>
        <v/>
      </c>
      <c r="K291" s="84" t="str">
        <f t="shared" si="123"/>
        <v/>
      </c>
      <c r="L291" s="85">
        <f t="shared" si="123"/>
        <v>8.09</v>
      </c>
      <c r="M291" s="86">
        <f t="shared" si="123"/>
        <v>8.1135000000000002</v>
      </c>
      <c r="N291" s="86">
        <f t="shared" si="123"/>
        <v>8.0470000000000006</v>
      </c>
      <c r="O291" s="86" t="str">
        <f t="shared" si="123"/>
        <v/>
      </c>
      <c r="P291" s="86" t="str">
        <f t="shared" si="123"/>
        <v/>
      </c>
      <c r="Q291" s="86" t="str">
        <f t="shared" si="123"/>
        <v/>
      </c>
      <c r="R291" s="86" t="str">
        <f t="shared" si="123"/>
        <v/>
      </c>
      <c r="S291" s="86" t="str">
        <f t="shared" si="123"/>
        <v/>
      </c>
      <c r="T291" s="86" t="str">
        <f t="shared" si="123"/>
        <v/>
      </c>
      <c r="U291" s="87">
        <f t="shared" si="123"/>
        <v>1276.2750000000001</v>
      </c>
      <c r="V291" s="88">
        <f t="shared" si="123"/>
        <v>1322.15</v>
      </c>
      <c r="W291" s="88">
        <f t="shared" si="123"/>
        <v>1230.4000000000001</v>
      </c>
      <c r="X291" s="88" t="str">
        <f t="shared" si="123"/>
        <v/>
      </c>
      <c r="Y291" s="88" t="str">
        <f t="shared" si="123"/>
        <v/>
      </c>
      <c r="Z291" s="88" t="str">
        <f t="shared" si="123"/>
        <v/>
      </c>
      <c r="AA291" s="88" t="str">
        <f t="shared" si="123"/>
        <v/>
      </c>
      <c r="AB291" s="88" t="str">
        <f t="shared" si="123"/>
        <v/>
      </c>
      <c r="AC291" s="88" t="str">
        <f t="shared" si="123"/>
        <v/>
      </c>
      <c r="AD291" s="87">
        <f t="shared" si="123"/>
        <v>8995</v>
      </c>
      <c r="AE291" s="88">
        <f t="shared" si="123"/>
        <v>9035</v>
      </c>
      <c r="AF291" s="88">
        <f t="shared" si="123"/>
        <v>8955</v>
      </c>
      <c r="AG291" s="88" t="str">
        <f t="shared" si="123"/>
        <v/>
      </c>
      <c r="AH291" s="88" t="str">
        <f t="shared" si="123"/>
        <v/>
      </c>
      <c r="AI291" s="88" t="str">
        <f t="shared" si="123"/>
        <v/>
      </c>
      <c r="AJ291" s="88" t="str">
        <f t="shared" si="123"/>
        <v/>
      </c>
      <c r="AK291" s="88" t="str">
        <f t="shared" si="123"/>
        <v/>
      </c>
      <c r="AL291" s="88" t="str">
        <f t="shared" si="123"/>
        <v/>
      </c>
      <c r="AM291" s="88">
        <f t="shared" si="123"/>
        <v>37.453302339397077</v>
      </c>
      <c r="AN291" s="88">
        <f t="shared" si="123"/>
        <v>128.07999999999998</v>
      </c>
      <c r="AO291" s="89">
        <f t="shared" si="123"/>
        <v>8.7333333333333343</v>
      </c>
      <c r="AP291" s="90">
        <f t="shared" si="123"/>
        <v>6.3736999999999995</v>
      </c>
      <c r="AQ291" s="91">
        <f t="shared" si="123"/>
        <v>73</v>
      </c>
      <c r="AR291" s="91">
        <f t="shared" si="123"/>
        <v>26.999999999999996</v>
      </c>
      <c r="AS291" s="92">
        <f t="shared" si="123"/>
        <v>9.7096774193548381</v>
      </c>
      <c r="AT291" s="93">
        <f t="shared" si="123"/>
        <v>14.734615384615383</v>
      </c>
      <c r="AU291" s="94">
        <f t="shared" si="123"/>
        <v>8.1786346153846168</v>
      </c>
      <c r="AV291" s="91">
        <f t="shared" si="123"/>
        <v>55.489084187247954</v>
      </c>
      <c r="AW291" s="91">
        <f t="shared" si="123"/>
        <v>44.510915812752039</v>
      </c>
      <c r="AX291" s="83">
        <f t="shared" si="123"/>
        <v>56.7475058588116</v>
      </c>
      <c r="AY291" s="95">
        <f t="shared" si="123"/>
        <v>76.653846153846146</v>
      </c>
      <c r="AZ291" s="96">
        <f t="shared" si="123"/>
        <v>61.305238095238096</v>
      </c>
      <c r="BA291" s="96" t="str">
        <f t="shared" si="123"/>
        <v/>
      </c>
      <c r="BB291" s="96">
        <f t="shared" si="123"/>
        <v>66.833333333333329</v>
      </c>
      <c r="BC291" s="96" t="str">
        <f t="shared" si="123"/>
        <v/>
      </c>
      <c r="BD291" s="97">
        <f>IFERROR(SUBTOTAL(1,BD258:BD288),"")</f>
        <v>128.07999999999998</v>
      </c>
      <c r="BE291" s="87">
        <f t="shared" si="123"/>
        <v>2540.8000000000002</v>
      </c>
      <c r="BF291" s="88">
        <f t="shared" si="123"/>
        <v>0</v>
      </c>
      <c r="BG291" s="98">
        <f t="shared" si="123"/>
        <v>41.41935483870968</v>
      </c>
      <c r="BH291" s="98">
        <f t="shared" si="123"/>
        <v>767.25806451612902</v>
      </c>
      <c r="BI291" s="98">
        <f t="shared" si="123"/>
        <v>1240.3548387096773</v>
      </c>
      <c r="BJ291" s="98" t="str">
        <f t="shared" si="123"/>
        <v/>
      </c>
      <c r="BK291" s="98" t="str">
        <f t="shared" si="123"/>
        <v/>
      </c>
      <c r="BL291" s="97" t="str">
        <f t="shared" si="123"/>
        <v/>
      </c>
    </row>
    <row r="292" spans="1:64" ht="17.25" outlineLevel="1" thickBot="1" x14ac:dyDescent="0.35">
      <c r="A292" s="99" t="s">
        <v>88</v>
      </c>
      <c r="B292" s="100"/>
      <c r="C292" s="101"/>
      <c r="D292" s="102"/>
      <c r="E292" s="102"/>
      <c r="F292" s="102"/>
      <c r="G292" s="102"/>
      <c r="H292" s="102"/>
      <c r="I292" s="102"/>
      <c r="J292" s="102"/>
      <c r="K292" s="102"/>
      <c r="L292" s="103"/>
      <c r="M292" s="104"/>
      <c r="N292" s="104"/>
      <c r="O292" s="104"/>
      <c r="P292" s="104"/>
      <c r="Q292" s="104"/>
      <c r="R292" s="104"/>
      <c r="S292" s="104"/>
      <c r="T292" s="104"/>
      <c r="U292" s="105"/>
      <c r="V292" s="106"/>
      <c r="W292" s="106"/>
      <c r="X292" s="106"/>
      <c r="Y292" s="106"/>
      <c r="Z292" s="106"/>
      <c r="AA292" s="106"/>
      <c r="AB292" s="106"/>
      <c r="AC292" s="106"/>
      <c r="AD292" s="105"/>
      <c r="AE292" s="106"/>
      <c r="AF292" s="106"/>
      <c r="AG292" s="106"/>
      <c r="AH292" s="106"/>
      <c r="AI292" s="106"/>
      <c r="AJ292" s="106"/>
      <c r="AK292" s="106"/>
      <c r="AL292" s="106"/>
      <c r="AM292" s="106"/>
      <c r="AN292" s="107">
        <f>SUBTOTAL(9,AN258:AN288)</f>
        <v>3970.4799999999996</v>
      </c>
      <c r="AO292" s="108"/>
      <c r="AP292" s="109"/>
      <c r="AQ292" s="110"/>
      <c r="AR292" s="110"/>
      <c r="AS292" s="111">
        <f>SUBTOTAL(9,AS258:AS288)</f>
        <v>301</v>
      </c>
      <c r="AT292" s="112"/>
      <c r="AU292" s="113"/>
      <c r="AV292" s="110"/>
      <c r="AW292" s="110"/>
      <c r="AX292" s="101"/>
      <c r="AY292" s="114"/>
      <c r="AZ292" s="115"/>
      <c r="BA292" s="115"/>
      <c r="BB292" s="115"/>
      <c r="BC292" s="115"/>
      <c r="BD292" s="116">
        <f>SUBTOTAL(9,BD258:BD288)</f>
        <v>3970.4799999999996</v>
      </c>
      <c r="BE292" s="117">
        <f t="shared" ref="BE292:BL292" si="124">SUBTOTAL(9,BE258:BE288)</f>
        <v>63520</v>
      </c>
      <c r="BF292" s="107">
        <f t="shared" si="124"/>
        <v>0</v>
      </c>
      <c r="BG292" s="118">
        <f t="shared" si="124"/>
        <v>1284</v>
      </c>
      <c r="BH292" s="118">
        <f t="shared" si="124"/>
        <v>23785</v>
      </c>
      <c r="BI292" s="118">
        <f t="shared" si="124"/>
        <v>38451</v>
      </c>
      <c r="BJ292" s="118">
        <f t="shared" si="124"/>
        <v>0</v>
      </c>
      <c r="BK292" s="118">
        <f t="shared" si="124"/>
        <v>0</v>
      </c>
      <c r="BL292" s="116">
        <f t="shared" si="124"/>
        <v>0</v>
      </c>
    </row>
    <row r="293" spans="1:64" outlineLevel="5" x14ac:dyDescent="0.3">
      <c r="A293" s="136">
        <f t="shared" si="105"/>
        <v>9</v>
      </c>
      <c r="B293" s="165">
        <f>B288+1</f>
        <v>44805</v>
      </c>
      <c r="C293" s="138">
        <f t="shared" ref="C293:C322" si="125">IFERROR(ROUND(AVERAGE(D293:K293),1),"")</f>
        <v>36.5</v>
      </c>
      <c r="D293" s="84">
        <v>37</v>
      </c>
      <c r="E293" s="84">
        <v>36</v>
      </c>
      <c r="F293" s="84"/>
      <c r="G293" s="84"/>
      <c r="H293" s="84"/>
      <c r="I293" s="84"/>
      <c r="J293" s="84"/>
      <c r="K293" s="84"/>
      <c r="L293" s="140">
        <f t="shared" ref="L293:L322" si="126">IFERROR(ROUND(AVERAGE(M293:T293),1),"")</f>
        <v>8.1999999999999993</v>
      </c>
      <c r="M293" s="86">
        <v>8.1999999999999993</v>
      </c>
      <c r="N293" s="86">
        <v>8.11</v>
      </c>
      <c r="O293" s="86"/>
      <c r="P293" s="86"/>
      <c r="Q293" s="86"/>
      <c r="R293" s="86"/>
      <c r="S293" s="86"/>
      <c r="T293" s="86"/>
      <c r="U293" s="142">
        <f t="shared" ref="U293:U322" si="127">IFERROR(ROUND(AVERAGE(V293:AC293),1),"")</f>
        <v>1419</v>
      </c>
      <c r="V293" s="88">
        <v>1436</v>
      </c>
      <c r="W293" s="88">
        <v>1402</v>
      </c>
      <c r="X293" s="88"/>
      <c r="Y293" s="88"/>
      <c r="Z293" s="88"/>
      <c r="AA293" s="88"/>
      <c r="AB293" s="88"/>
      <c r="AC293" s="88"/>
      <c r="AD293" s="142" t="str">
        <f t="shared" ref="AD293:AD322" si="128">IFERROR(ROUND(AVERAGE(AE293:AL293),1),"")</f>
        <v/>
      </c>
      <c r="AE293" s="88"/>
      <c r="AF293" s="88"/>
      <c r="AG293" s="88"/>
      <c r="AH293" s="88"/>
      <c r="AI293" s="88"/>
      <c r="AJ293" s="88"/>
      <c r="AK293" s="88"/>
      <c r="AL293" s="88"/>
      <c r="AM293" s="88">
        <v>29.318591216845764</v>
      </c>
      <c r="AN293" s="88">
        <v>160.99</v>
      </c>
      <c r="AO293" s="89"/>
      <c r="AP293" s="90"/>
      <c r="AQ293" s="146" t="str">
        <f t="shared" ref="AQ293:AQ322" si="129">IFERROR(AP293/AO293*100,"")</f>
        <v/>
      </c>
      <c r="AR293" s="146" t="str">
        <f t="shared" ref="AR293:AR322" si="130">IFERROR(100-AQ293,"")</f>
        <v/>
      </c>
      <c r="AS293" s="147">
        <v>10</v>
      </c>
      <c r="AT293" s="148">
        <v>14.5</v>
      </c>
      <c r="AU293" s="149">
        <v>8.0470500000000005</v>
      </c>
      <c r="AV293" s="146">
        <f t="shared" ref="AV293:AV322" si="131">IFERROR(AU293/AT293*100,"")</f>
        <v>55.496896551724141</v>
      </c>
      <c r="AW293" s="146">
        <f t="shared" ref="AW293:AW322" si="132">IFERROR(100-AV293,"")</f>
        <v>44.503103448275859</v>
      </c>
      <c r="AX293" s="138" t="str">
        <f t="shared" ref="AX293:AX322" si="133">IFERROR((1-((AV293*AR293)/(AW293*AQ293)))*100,"")</f>
        <v/>
      </c>
      <c r="AY293" s="95">
        <v>77.150000000000006</v>
      </c>
      <c r="AZ293" s="96">
        <v>59.269999999999996</v>
      </c>
      <c r="BA293" s="96"/>
      <c r="BB293" s="96">
        <v>57</v>
      </c>
      <c r="BC293" s="96"/>
      <c r="BD293" s="97">
        <v>160.99</v>
      </c>
      <c r="BE293" s="142">
        <f t="shared" ref="BE293:BE322" si="134">IF(SUM(BF293:BL293)=0,"",SUM(BF293:BL293))</f>
        <v>9337</v>
      </c>
      <c r="BF293" s="98">
        <v>0</v>
      </c>
      <c r="BG293" s="98">
        <v>0</v>
      </c>
      <c r="BH293" s="98">
        <v>3024</v>
      </c>
      <c r="BI293" s="98">
        <v>6313</v>
      </c>
      <c r="BJ293" s="98"/>
      <c r="BK293" s="98"/>
      <c r="BL293" s="97"/>
    </row>
    <row r="294" spans="1:64" outlineLevel="5" x14ac:dyDescent="0.3">
      <c r="A294" s="152">
        <f t="shared" si="105"/>
        <v>9</v>
      </c>
      <c r="B294" s="153">
        <f t="shared" si="120"/>
        <v>44806</v>
      </c>
      <c r="C294" s="138">
        <f t="shared" si="125"/>
        <v>36.5</v>
      </c>
      <c r="D294" s="84">
        <v>37</v>
      </c>
      <c r="E294" s="84">
        <v>36</v>
      </c>
      <c r="F294" s="84"/>
      <c r="G294" s="84"/>
      <c r="H294" s="84"/>
      <c r="I294" s="84"/>
      <c r="J294" s="84"/>
      <c r="K294" s="84"/>
      <c r="L294" s="140">
        <f t="shared" si="126"/>
        <v>8.1999999999999993</v>
      </c>
      <c r="M294" s="86">
        <v>8.24</v>
      </c>
      <c r="N294" s="86">
        <v>8.18</v>
      </c>
      <c r="O294" s="86"/>
      <c r="P294" s="86"/>
      <c r="Q294" s="86"/>
      <c r="R294" s="86"/>
      <c r="S294" s="86"/>
      <c r="T294" s="86"/>
      <c r="U294" s="142">
        <f t="shared" si="127"/>
        <v>1371.5</v>
      </c>
      <c r="V294" s="88">
        <v>1403</v>
      </c>
      <c r="W294" s="88">
        <v>1340</v>
      </c>
      <c r="X294" s="88"/>
      <c r="Y294" s="88"/>
      <c r="Z294" s="88"/>
      <c r="AA294" s="88"/>
      <c r="AB294" s="88"/>
      <c r="AC294" s="88"/>
      <c r="AD294" s="142" t="str">
        <f t="shared" si="128"/>
        <v/>
      </c>
      <c r="AE294" s="88"/>
      <c r="AF294" s="88"/>
      <c r="AG294" s="88"/>
      <c r="AH294" s="88"/>
      <c r="AI294" s="88"/>
      <c r="AJ294" s="88"/>
      <c r="AK294" s="88"/>
      <c r="AL294" s="88"/>
      <c r="AM294" s="88">
        <v>55.680075498407447</v>
      </c>
      <c r="AN294" s="88">
        <v>84.77000000000001</v>
      </c>
      <c r="AO294" s="89"/>
      <c r="AP294" s="90"/>
      <c r="AQ294" s="146" t="str">
        <f t="shared" si="129"/>
        <v/>
      </c>
      <c r="AR294" s="146" t="str">
        <f t="shared" si="130"/>
        <v/>
      </c>
      <c r="AS294" s="147">
        <v>10</v>
      </c>
      <c r="AT294" s="148" t="s">
        <v>106</v>
      </c>
      <c r="AU294" s="149" t="s">
        <v>56</v>
      </c>
      <c r="AV294" s="146" t="str">
        <f t="shared" si="131"/>
        <v/>
      </c>
      <c r="AW294" s="146" t="str">
        <f t="shared" si="132"/>
        <v/>
      </c>
      <c r="AX294" s="138" t="str">
        <f t="shared" si="133"/>
        <v/>
      </c>
      <c r="AY294" s="95" t="s">
        <v>56</v>
      </c>
      <c r="AZ294" s="96">
        <v>62.010000000000005</v>
      </c>
      <c r="BA294" s="96"/>
      <c r="BB294" s="96">
        <v>54</v>
      </c>
      <c r="BC294" s="96"/>
      <c r="BD294" s="97">
        <v>84.77000000000001</v>
      </c>
      <c r="BE294" s="142">
        <f t="shared" si="134"/>
        <v>7628</v>
      </c>
      <c r="BF294" s="98">
        <v>0</v>
      </c>
      <c r="BG294" s="98">
        <v>0</v>
      </c>
      <c r="BH294" s="98">
        <v>1645</v>
      </c>
      <c r="BI294" s="98">
        <v>5983</v>
      </c>
      <c r="BJ294" s="98"/>
      <c r="BK294" s="98"/>
      <c r="BL294" s="97"/>
    </row>
    <row r="295" spans="1:64" outlineLevel="5" x14ac:dyDescent="0.3">
      <c r="A295" s="152">
        <f t="shared" si="105"/>
        <v>9</v>
      </c>
      <c r="B295" s="153">
        <f t="shared" si="120"/>
        <v>44807</v>
      </c>
      <c r="C295" s="138">
        <f t="shared" si="125"/>
        <v>36.5</v>
      </c>
      <c r="D295" s="84">
        <v>37</v>
      </c>
      <c r="E295" s="84">
        <v>36</v>
      </c>
      <c r="F295" s="84"/>
      <c r="G295" s="84"/>
      <c r="H295" s="84"/>
      <c r="I295" s="84"/>
      <c r="J295" s="84"/>
      <c r="K295" s="84"/>
      <c r="L295" s="140" t="str">
        <f t="shared" si="126"/>
        <v/>
      </c>
      <c r="M295" s="86"/>
      <c r="N295" s="86"/>
      <c r="O295" s="86"/>
      <c r="P295" s="86"/>
      <c r="Q295" s="86"/>
      <c r="R295" s="86"/>
      <c r="S295" s="86"/>
      <c r="T295" s="86"/>
      <c r="U295" s="142" t="str">
        <f t="shared" si="127"/>
        <v/>
      </c>
      <c r="V295" s="88"/>
      <c r="W295" s="88"/>
      <c r="X295" s="88"/>
      <c r="Y295" s="88"/>
      <c r="Z295" s="88"/>
      <c r="AA295" s="88"/>
      <c r="AB295" s="88"/>
      <c r="AC295" s="88"/>
      <c r="AD295" s="142" t="str">
        <f t="shared" si="128"/>
        <v/>
      </c>
      <c r="AE295" s="88"/>
      <c r="AF295" s="88"/>
      <c r="AG295" s="88"/>
      <c r="AH295" s="88"/>
      <c r="AI295" s="88"/>
      <c r="AJ295" s="88"/>
      <c r="AK295" s="88"/>
      <c r="AL295" s="88"/>
      <c r="AM295" s="88">
        <v>59.505799293998997</v>
      </c>
      <c r="AN295" s="88">
        <v>79.319999999999993</v>
      </c>
      <c r="AO295" s="89"/>
      <c r="AP295" s="90"/>
      <c r="AQ295" s="146" t="str">
        <f t="shared" si="129"/>
        <v/>
      </c>
      <c r="AR295" s="146" t="str">
        <f t="shared" si="130"/>
        <v/>
      </c>
      <c r="AS295" s="147">
        <v>10</v>
      </c>
      <c r="AT295" s="148" t="s">
        <v>106</v>
      </c>
      <c r="AU295" s="149" t="s">
        <v>56</v>
      </c>
      <c r="AV295" s="146" t="str">
        <f t="shared" si="131"/>
        <v/>
      </c>
      <c r="AW295" s="146" t="str">
        <f t="shared" si="132"/>
        <v/>
      </c>
      <c r="AX295" s="138" t="str">
        <f t="shared" si="133"/>
        <v/>
      </c>
      <c r="AY295" s="95" t="s">
        <v>56</v>
      </c>
      <c r="AZ295" s="96" t="s">
        <v>56</v>
      </c>
      <c r="BA295" s="96"/>
      <c r="BB295" s="96" t="s">
        <v>56</v>
      </c>
      <c r="BC295" s="96"/>
      <c r="BD295" s="97">
        <v>79.319999999999993</v>
      </c>
      <c r="BE295" s="142">
        <f t="shared" si="134"/>
        <v>5833</v>
      </c>
      <c r="BF295" s="98">
        <v>0</v>
      </c>
      <c r="BG295" s="98">
        <v>0</v>
      </c>
      <c r="BH295" s="98">
        <v>0</v>
      </c>
      <c r="BI295" s="98">
        <v>5833</v>
      </c>
      <c r="BJ295" s="98"/>
      <c r="BK295" s="98"/>
      <c r="BL295" s="97"/>
    </row>
    <row r="296" spans="1:64" outlineLevel="5" x14ac:dyDescent="0.3">
      <c r="A296" s="152">
        <f t="shared" si="105"/>
        <v>9</v>
      </c>
      <c r="B296" s="153">
        <f t="shared" si="120"/>
        <v>44808</v>
      </c>
      <c r="C296" s="138">
        <f t="shared" si="125"/>
        <v>36.5</v>
      </c>
      <c r="D296" s="84">
        <v>37</v>
      </c>
      <c r="E296" s="84">
        <v>36</v>
      </c>
      <c r="F296" s="84"/>
      <c r="G296" s="84"/>
      <c r="H296" s="84"/>
      <c r="I296" s="84"/>
      <c r="J296" s="84"/>
      <c r="K296" s="84"/>
      <c r="L296" s="140" t="str">
        <f t="shared" si="126"/>
        <v/>
      </c>
      <c r="M296" s="86"/>
      <c r="N296" s="86"/>
      <c r="O296" s="86"/>
      <c r="P296" s="86"/>
      <c r="Q296" s="86"/>
      <c r="R296" s="86"/>
      <c r="S296" s="86"/>
      <c r="T296" s="86"/>
      <c r="U296" s="142" t="str">
        <f t="shared" si="127"/>
        <v/>
      </c>
      <c r="V296" s="88"/>
      <c r="W296" s="88"/>
      <c r="X296" s="88"/>
      <c r="Y296" s="88"/>
      <c r="Z296" s="88"/>
      <c r="AA296" s="88"/>
      <c r="AB296" s="88"/>
      <c r="AC296" s="88"/>
      <c r="AD296" s="142" t="str">
        <f t="shared" si="128"/>
        <v/>
      </c>
      <c r="AE296" s="88"/>
      <c r="AF296" s="88"/>
      <c r="AG296" s="88"/>
      <c r="AH296" s="88"/>
      <c r="AI296" s="88"/>
      <c r="AJ296" s="88"/>
      <c r="AK296" s="88"/>
      <c r="AL296" s="88"/>
      <c r="AM296" s="88">
        <v>59</v>
      </c>
      <c r="AN296" s="88">
        <v>80</v>
      </c>
      <c r="AO296" s="89"/>
      <c r="AP296" s="90"/>
      <c r="AQ296" s="146" t="str">
        <f t="shared" si="129"/>
        <v/>
      </c>
      <c r="AR296" s="146" t="str">
        <f t="shared" si="130"/>
        <v/>
      </c>
      <c r="AS296" s="147">
        <v>0</v>
      </c>
      <c r="AT296" s="148" t="s">
        <v>106</v>
      </c>
      <c r="AU296" s="149" t="s">
        <v>56</v>
      </c>
      <c r="AV296" s="146" t="str">
        <f t="shared" si="131"/>
        <v/>
      </c>
      <c r="AW296" s="146" t="str">
        <f t="shared" si="132"/>
        <v/>
      </c>
      <c r="AX296" s="138" t="str">
        <f t="shared" si="133"/>
        <v/>
      </c>
      <c r="AY296" s="95" t="s">
        <v>56</v>
      </c>
      <c r="AZ296" s="96" t="s">
        <v>56</v>
      </c>
      <c r="BA296" s="96"/>
      <c r="BB296" s="96" t="s">
        <v>56</v>
      </c>
      <c r="BC296" s="96"/>
      <c r="BD296" s="97">
        <v>80</v>
      </c>
      <c r="BE296" s="142">
        <f t="shared" si="134"/>
        <v>6096</v>
      </c>
      <c r="BF296" s="98">
        <v>0</v>
      </c>
      <c r="BG296" s="98">
        <v>0</v>
      </c>
      <c r="BH296" s="98">
        <v>0</v>
      </c>
      <c r="BI296" s="98">
        <v>6096</v>
      </c>
      <c r="BJ296" s="98"/>
      <c r="BK296" s="98"/>
      <c r="BL296" s="97"/>
    </row>
    <row r="297" spans="1:64" outlineLevel="5" x14ac:dyDescent="0.3">
      <c r="A297" s="152">
        <f t="shared" si="105"/>
        <v>9</v>
      </c>
      <c r="B297" s="153">
        <f t="shared" si="120"/>
        <v>44809</v>
      </c>
      <c r="C297" s="138">
        <f t="shared" si="125"/>
        <v>36.5</v>
      </c>
      <c r="D297" s="84">
        <v>37</v>
      </c>
      <c r="E297" s="84">
        <v>36</v>
      </c>
      <c r="F297" s="84"/>
      <c r="G297" s="84"/>
      <c r="H297" s="84"/>
      <c r="I297" s="84"/>
      <c r="J297" s="84"/>
      <c r="K297" s="84"/>
      <c r="L297" s="140">
        <f t="shared" si="126"/>
        <v>8.1999999999999993</v>
      </c>
      <c r="M297" s="86">
        <v>8.2200000000000006</v>
      </c>
      <c r="N297" s="86">
        <v>8.15</v>
      </c>
      <c r="O297" s="86"/>
      <c r="P297" s="86"/>
      <c r="Q297" s="86"/>
      <c r="R297" s="86"/>
      <c r="S297" s="86"/>
      <c r="T297" s="86"/>
      <c r="U297" s="142">
        <f t="shared" si="127"/>
        <v>1426.5</v>
      </c>
      <c r="V297" s="88">
        <v>1463</v>
      </c>
      <c r="W297" s="88">
        <v>1390</v>
      </c>
      <c r="X297" s="88"/>
      <c r="Y297" s="88"/>
      <c r="Z297" s="88"/>
      <c r="AA297" s="88"/>
      <c r="AB297" s="88"/>
      <c r="AC297" s="88"/>
      <c r="AD297" s="142" t="str">
        <f t="shared" si="128"/>
        <v/>
      </c>
      <c r="AE297" s="88"/>
      <c r="AF297" s="88"/>
      <c r="AG297" s="88"/>
      <c r="AH297" s="88"/>
      <c r="AI297" s="88"/>
      <c r="AJ297" s="88"/>
      <c r="AK297" s="88"/>
      <c r="AL297" s="88"/>
      <c r="AM297" s="88">
        <v>66.134230068656294</v>
      </c>
      <c r="AN297" s="88">
        <v>71.37</v>
      </c>
      <c r="AO297" s="89">
        <v>8.8000000000000007</v>
      </c>
      <c r="AP297" s="90">
        <v>6.3360000000000003</v>
      </c>
      <c r="AQ297" s="146">
        <f t="shared" si="129"/>
        <v>72</v>
      </c>
      <c r="AR297" s="146">
        <f t="shared" si="130"/>
        <v>28</v>
      </c>
      <c r="AS297" s="147">
        <v>10</v>
      </c>
      <c r="AT297" s="148">
        <v>15</v>
      </c>
      <c r="AU297" s="149">
        <v>8.3579499999999989</v>
      </c>
      <c r="AV297" s="146">
        <f t="shared" si="131"/>
        <v>55.719666666666654</v>
      </c>
      <c r="AW297" s="146">
        <f t="shared" si="132"/>
        <v>44.280333333333346</v>
      </c>
      <c r="AX297" s="138">
        <f t="shared" si="133"/>
        <v>51.064597693650491</v>
      </c>
      <c r="AY297" s="95">
        <v>77.349999999999994</v>
      </c>
      <c r="AZ297" s="96">
        <v>60.174999999999997</v>
      </c>
      <c r="BA297" s="96"/>
      <c r="BB297" s="96">
        <v>67</v>
      </c>
      <c r="BC297" s="96"/>
      <c r="BD297" s="97">
        <v>71.37</v>
      </c>
      <c r="BE297" s="142">
        <f t="shared" si="134"/>
        <v>4326</v>
      </c>
      <c r="BF297" s="98">
        <v>0</v>
      </c>
      <c r="BG297" s="98">
        <v>0</v>
      </c>
      <c r="BH297" s="98">
        <v>0</v>
      </c>
      <c r="BI297" s="98">
        <v>4326</v>
      </c>
      <c r="BJ297" s="98"/>
      <c r="BK297" s="98"/>
      <c r="BL297" s="97"/>
    </row>
    <row r="298" spans="1:64" outlineLevel="5" x14ac:dyDescent="0.3">
      <c r="A298" s="152">
        <f t="shared" si="105"/>
        <v>9</v>
      </c>
      <c r="B298" s="153">
        <f t="shared" si="120"/>
        <v>44810</v>
      </c>
      <c r="C298" s="138">
        <f t="shared" si="125"/>
        <v>36.5</v>
      </c>
      <c r="D298" s="84">
        <v>37</v>
      </c>
      <c r="E298" s="84">
        <v>36</v>
      </c>
      <c r="F298" s="84"/>
      <c r="G298" s="84"/>
      <c r="H298" s="84"/>
      <c r="I298" s="84"/>
      <c r="J298" s="84"/>
      <c r="K298" s="84"/>
      <c r="L298" s="140">
        <f t="shared" si="126"/>
        <v>8.1999999999999993</v>
      </c>
      <c r="M298" s="86">
        <v>8.19</v>
      </c>
      <c r="N298" s="86">
        <v>8.1300000000000008</v>
      </c>
      <c r="O298" s="86"/>
      <c r="P298" s="86"/>
      <c r="Q298" s="86"/>
      <c r="R298" s="86"/>
      <c r="S298" s="86"/>
      <c r="T298" s="86"/>
      <c r="U298" s="142">
        <f t="shared" si="127"/>
        <v>1455.5</v>
      </c>
      <c r="V298" s="88">
        <v>1488</v>
      </c>
      <c r="W298" s="88">
        <v>1423</v>
      </c>
      <c r="X298" s="88"/>
      <c r="Y298" s="88"/>
      <c r="Z298" s="88"/>
      <c r="AA298" s="88"/>
      <c r="AB298" s="88"/>
      <c r="AC298" s="88"/>
      <c r="AD298" s="142" t="str">
        <f t="shared" si="128"/>
        <v/>
      </c>
      <c r="AE298" s="88"/>
      <c r="AF298" s="88"/>
      <c r="AG298" s="88"/>
      <c r="AH298" s="88"/>
      <c r="AI298" s="88"/>
      <c r="AJ298" s="88"/>
      <c r="AK298" s="88"/>
      <c r="AL298" s="88"/>
      <c r="AM298" s="88">
        <v>52.444444444444443</v>
      </c>
      <c r="AN298" s="88">
        <v>90</v>
      </c>
      <c r="AO298" s="89"/>
      <c r="AP298" s="90"/>
      <c r="AQ298" s="146" t="str">
        <f t="shared" si="129"/>
        <v/>
      </c>
      <c r="AR298" s="146" t="str">
        <f t="shared" si="130"/>
        <v/>
      </c>
      <c r="AS298" s="147">
        <v>10</v>
      </c>
      <c r="AT298" s="148" t="s">
        <v>106</v>
      </c>
      <c r="AU298" s="149" t="s">
        <v>56</v>
      </c>
      <c r="AV298" s="146" t="str">
        <f t="shared" si="131"/>
        <v/>
      </c>
      <c r="AW298" s="146" t="str">
        <f t="shared" si="132"/>
        <v/>
      </c>
      <c r="AX298" s="138" t="str">
        <f t="shared" si="133"/>
        <v/>
      </c>
      <c r="AY298" s="95" t="s">
        <v>56</v>
      </c>
      <c r="AZ298" s="96">
        <v>63.17</v>
      </c>
      <c r="BA298" s="96"/>
      <c r="BB298" s="96">
        <v>66</v>
      </c>
      <c r="BC298" s="96"/>
      <c r="BD298" s="97">
        <v>90</v>
      </c>
      <c r="BE298" s="142">
        <f t="shared" si="134"/>
        <v>1370</v>
      </c>
      <c r="BF298" s="98">
        <v>0</v>
      </c>
      <c r="BG298" s="98">
        <v>0</v>
      </c>
      <c r="BH298" s="98">
        <v>0</v>
      </c>
      <c r="BI298" s="98">
        <v>1370</v>
      </c>
      <c r="BJ298" s="98"/>
      <c r="BK298" s="98"/>
      <c r="BL298" s="97"/>
    </row>
    <row r="299" spans="1:64" outlineLevel="5" x14ac:dyDescent="0.3">
      <c r="A299" s="152">
        <f t="shared" si="105"/>
        <v>9</v>
      </c>
      <c r="B299" s="153">
        <f t="shared" si="120"/>
        <v>44811</v>
      </c>
      <c r="C299" s="138">
        <f t="shared" si="125"/>
        <v>36</v>
      </c>
      <c r="D299" s="84">
        <v>36</v>
      </c>
      <c r="E299" s="84">
        <v>36</v>
      </c>
      <c r="F299" s="84"/>
      <c r="G299" s="84"/>
      <c r="H299" s="84"/>
      <c r="I299" s="84"/>
      <c r="J299" s="84"/>
      <c r="K299" s="84"/>
      <c r="L299" s="140" t="str">
        <f t="shared" si="126"/>
        <v/>
      </c>
      <c r="M299" s="86"/>
      <c r="N299" s="86"/>
      <c r="O299" s="86"/>
      <c r="P299" s="86"/>
      <c r="Q299" s="86"/>
      <c r="R299" s="86"/>
      <c r="S299" s="86"/>
      <c r="T299" s="86"/>
      <c r="U299" s="142" t="str">
        <f t="shared" si="127"/>
        <v/>
      </c>
      <c r="V299" s="88"/>
      <c r="W299" s="88"/>
      <c r="X299" s="88"/>
      <c r="Y299" s="88"/>
      <c r="Z299" s="88"/>
      <c r="AA299" s="88"/>
      <c r="AB299" s="88"/>
      <c r="AC299" s="88"/>
      <c r="AD299" s="142" t="str">
        <f t="shared" si="128"/>
        <v/>
      </c>
      <c r="AE299" s="88"/>
      <c r="AF299" s="88"/>
      <c r="AG299" s="88"/>
      <c r="AH299" s="88"/>
      <c r="AI299" s="88"/>
      <c r="AJ299" s="88"/>
      <c r="AK299" s="88"/>
      <c r="AL299" s="88"/>
      <c r="AM299" s="88">
        <v>36.436621892851626</v>
      </c>
      <c r="AN299" s="88">
        <v>129.54000000000002</v>
      </c>
      <c r="AO299" s="89"/>
      <c r="AP299" s="90"/>
      <c r="AQ299" s="146" t="str">
        <f t="shared" si="129"/>
        <v/>
      </c>
      <c r="AR299" s="146" t="str">
        <f t="shared" si="130"/>
        <v/>
      </c>
      <c r="AS299" s="147">
        <v>10</v>
      </c>
      <c r="AT299" s="148">
        <v>14.75</v>
      </c>
      <c r="AU299" s="149">
        <v>8.5165499999999987</v>
      </c>
      <c r="AV299" s="146">
        <f t="shared" si="131"/>
        <v>57.739322033898297</v>
      </c>
      <c r="AW299" s="146">
        <f t="shared" si="132"/>
        <v>42.260677966101703</v>
      </c>
      <c r="AX299" s="138" t="str">
        <f t="shared" si="133"/>
        <v/>
      </c>
      <c r="AY299" s="95">
        <v>77.099999999999994</v>
      </c>
      <c r="AZ299" s="96">
        <v>60.21</v>
      </c>
      <c r="BA299" s="96"/>
      <c r="BB299" s="96">
        <v>71</v>
      </c>
      <c r="BC299" s="96"/>
      <c r="BD299" s="97">
        <v>129.54000000000002</v>
      </c>
      <c r="BE299" s="142">
        <f t="shared" si="134"/>
        <v>4034</v>
      </c>
      <c r="BF299" s="98">
        <v>0</v>
      </c>
      <c r="BG299" s="98">
        <v>0</v>
      </c>
      <c r="BH299" s="98">
        <v>0</v>
      </c>
      <c r="BI299" s="98">
        <v>4034</v>
      </c>
      <c r="BJ299" s="98"/>
      <c r="BK299" s="98"/>
      <c r="BL299" s="97"/>
    </row>
    <row r="300" spans="1:64" outlineLevel="5" x14ac:dyDescent="0.3">
      <c r="A300" s="152">
        <f t="shared" si="105"/>
        <v>9</v>
      </c>
      <c r="B300" s="153">
        <f t="shared" si="120"/>
        <v>44812</v>
      </c>
      <c r="C300" s="138">
        <f t="shared" si="125"/>
        <v>35.5</v>
      </c>
      <c r="D300" s="84">
        <v>35</v>
      </c>
      <c r="E300" s="84">
        <v>36</v>
      </c>
      <c r="F300" s="84"/>
      <c r="G300" s="84"/>
      <c r="H300" s="84"/>
      <c r="I300" s="84"/>
      <c r="J300" s="84"/>
      <c r="K300" s="84"/>
      <c r="L300" s="140">
        <f t="shared" si="126"/>
        <v>8.1999999999999993</v>
      </c>
      <c r="M300" s="86">
        <v>8.23</v>
      </c>
      <c r="N300" s="86">
        <v>8.17</v>
      </c>
      <c r="O300" s="86"/>
      <c r="P300" s="86"/>
      <c r="Q300" s="86"/>
      <c r="R300" s="86"/>
      <c r="S300" s="86"/>
      <c r="T300" s="86"/>
      <c r="U300" s="142">
        <f t="shared" si="127"/>
        <v>1438.5</v>
      </c>
      <c r="V300" s="88">
        <v>1479</v>
      </c>
      <c r="W300" s="88">
        <v>1398</v>
      </c>
      <c r="X300" s="88"/>
      <c r="Y300" s="88"/>
      <c r="Z300" s="88"/>
      <c r="AA300" s="88"/>
      <c r="AB300" s="88"/>
      <c r="AC300" s="88"/>
      <c r="AD300" s="142" t="str">
        <f t="shared" si="128"/>
        <v/>
      </c>
      <c r="AE300" s="88"/>
      <c r="AF300" s="88"/>
      <c r="AG300" s="88"/>
      <c r="AH300" s="88"/>
      <c r="AI300" s="88"/>
      <c r="AJ300" s="88"/>
      <c r="AK300" s="88"/>
      <c r="AL300" s="88"/>
      <c r="AM300" s="88">
        <v>39.101979951950959</v>
      </c>
      <c r="AN300" s="88">
        <v>120.71</v>
      </c>
      <c r="AO300" s="89"/>
      <c r="AP300" s="90"/>
      <c r="AQ300" s="146" t="str">
        <f t="shared" si="129"/>
        <v/>
      </c>
      <c r="AR300" s="146" t="str">
        <f t="shared" si="130"/>
        <v/>
      </c>
      <c r="AS300" s="147">
        <v>11</v>
      </c>
      <c r="AT300" s="148">
        <v>14.55</v>
      </c>
      <c r="AU300" s="149">
        <v>8.0533999999999999</v>
      </c>
      <c r="AV300" s="146">
        <f t="shared" si="131"/>
        <v>55.349828178694146</v>
      </c>
      <c r="AW300" s="146">
        <f t="shared" si="132"/>
        <v>44.650171821305854</v>
      </c>
      <c r="AX300" s="138" t="str">
        <f t="shared" si="133"/>
        <v/>
      </c>
      <c r="AY300" s="95" t="s">
        <v>56</v>
      </c>
      <c r="AZ300" s="96">
        <v>61.44</v>
      </c>
      <c r="BA300" s="96"/>
      <c r="BB300" s="96">
        <v>74.5</v>
      </c>
      <c r="BC300" s="96"/>
      <c r="BD300" s="97">
        <v>120.71</v>
      </c>
      <c r="BE300" s="142">
        <f t="shared" si="134"/>
        <v>6035</v>
      </c>
      <c r="BF300" s="98">
        <v>0</v>
      </c>
      <c r="BG300" s="98">
        <v>0</v>
      </c>
      <c r="BH300" s="98">
        <v>0</v>
      </c>
      <c r="BI300" s="98">
        <v>6035</v>
      </c>
      <c r="BJ300" s="98"/>
      <c r="BK300" s="98"/>
      <c r="BL300" s="97"/>
    </row>
    <row r="301" spans="1:64" outlineLevel="5" x14ac:dyDescent="0.3">
      <c r="A301" s="152">
        <f t="shared" si="105"/>
        <v>9</v>
      </c>
      <c r="B301" s="153">
        <f t="shared" si="120"/>
        <v>44813</v>
      </c>
      <c r="C301" s="138">
        <f t="shared" si="125"/>
        <v>35.5</v>
      </c>
      <c r="D301" s="84">
        <v>35</v>
      </c>
      <c r="E301" s="84">
        <v>36</v>
      </c>
      <c r="F301" s="84"/>
      <c r="G301" s="84"/>
      <c r="H301" s="84"/>
      <c r="I301" s="84"/>
      <c r="J301" s="84"/>
      <c r="K301" s="84"/>
      <c r="L301" s="140" t="str">
        <f t="shared" si="126"/>
        <v/>
      </c>
      <c r="M301" s="86"/>
      <c r="N301" s="86"/>
      <c r="O301" s="86"/>
      <c r="P301" s="86"/>
      <c r="Q301" s="86"/>
      <c r="R301" s="86"/>
      <c r="S301" s="86"/>
      <c r="T301" s="86"/>
      <c r="U301" s="142" t="str">
        <f t="shared" si="127"/>
        <v/>
      </c>
      <c r="V301" s="88"/>
      <c r="W301" s="88"/>
      <c r="X301" s="88"/>
      <c r="Y301" s="88"/>
      <c r="Z301" s="88"/>
      <c r="AA301" s="88"/>
      <c r="AB301" s="88"/>
      <c r="AC301" s="88"/>
      <c r="AD301" s="142" t="str">
        <f t="shared" si="128"/>
        <v/>
      </c>
      <c r="AE301" s="88"/>
      <c r="AF301" s="88"/>
      <c r="AG301" s="88"/>
      <c r="AH301" s="88"/>
      <c r="AI301" s="88"/>
      <c r="AJ301" s="88"/>
      <c r="AK301" s="88"/>
      <c r="AL301" s="88"/>
      <c r="AM301" s="88">
        <v>40.207854161342532</v>
      </c>
      <c r="AN301" s="88">
        <v>117.39</v>
      </c>
      <c r="AO301" s="89"/>
      <c r="AP301" s="90"/>
      <c r="AQ301" s="146" t="str">
        <f t="shared" si="129"/>
        <v/>
      </c>
      <c r="AR301" s="146" t="str">
        <f t="shared" si="130"/>
        <v/>
      </c>
      <c r="AS301" s="147">
        <v>0</v>
      </c>
      <c r="AT301" s="148" t="s">
        <v>106</v>
      </c>
      <c r="AU301" s="149" t="s">
        <v>56</v>
      </c>
      <c r="AV301" s="146" t="str">
        <f t="shared" si="131"/>
        <v/>
      </c>
      <c r="AW301" s="146" t="str">
        <f t="shared" si="132"/>
        <v/>
      </c>
      <c r="AX301" s="138" t="str">
        <f t="shared" si="133"/>
        <v/>
      </c>
      <c r="AY301" s="95" t="s">
        <v>56</v>
      </c>
      <c r="AZ301" s="96" t="s">
        <v>56</v>
      </c>
      <c r="BA301" s="96"/>
      <c r="BB301" s="96" t="s">
        <v>56</v>
      </c>
      <c r="BC301" s="96"/>
      <c r="BD301" s="97">
        <v>117.39</v>
      </c>
      <c r="BE301" s="142">
        <f t="shared" si="134"/>
        <v>5983</v>
      </c>
      <c r="BF301" s="98">
        <v>0</v>
      </c>
      <c r="BG301" s="98">
        <v>0</v>
      </c>
      <c r="BH301" s="98">
        <v>0</v>
      </c>
      <c r="BI301" s="98">
        <v>5983</v>
      </c>
      <c r="BJ301" s="98"/>
      <c r="BK301" s="98"/>
      <c r="BL301" s="97"/>
    </row>
    <row r="302" spans="1:64" outlineLevel="5" x14ac:dyDescent="0.3">
      <c r="A302" s="152">
        <f t="shared" si="105"/>
        <v>9</v>
      </c>
      <c r="B302" s="153">
        <f t="shared" si="120"/>
        <v>44814</v>
      </c>
      <c r="C302" s="138">
        <f t="shared" si="125"/>
        <v>35.5</v>
      </c>
      <c r="D302" s="84">
        <v>35</v>
      </c>
      <c r="E302" s="84">
        <v>36</v>
      </c>
      <c r="F302" s="84"/>
      <c r="G302" s="84"/>
      <c r="H302" s="84"/>
      <c r="I302" s="84"/>
      <c r="J302" s="84"/>
      <c r="K302" s="84"/>
      <c r="L302" s="140" t="str">
        <f t="shared" si="126"/>
        <v/>
      </c>
      <c r="M302" s="86"/>
      <c r="N302" s="86"/>
      <c r="O302" s="86"/>
      <c r="P302" s="86"/>
      <c r="Q302" s="86"/>
      <c r="R302" s="86"/>
      <c r="S302" s="86"/>
      <c r="T302" s="86"/>
      <c r="U302" s="142" t="str">
        <f t="shared" si="127"/>
        <v/>
      </c>
      <c r="V302" s="88"/>
      <c r="W302" s="88"/>
      <c r="X302" s="88"/>
      <c r="Y302" s="88"/>
      <c r="Z302" s="88"/>
      <c r="AA302" s="88"/>
      <c r="AB302" s="88"/>
      <c r="AC302" s="88"/>
      <c r="AD302" s="142" t="str">
        <f t="shared" si="128"/>
        <v/>
      </c>
      <c r="AE302" s="88"/>
      <c r="AF302" s="88"/>
      <c r="AG302" s="88"/>
      <c r="AH302" s="88"/>
      <c r="AI302" s="88"/>
      <c r="AJ302" s="88"/>
      <c r="AK302" s="88"/>
      <c r="AL302" s="88"/>
      <c r="AM302" s="88">
        <v>59</v>
      </c>
      <c r="AN302" s="88">
        <v>80</v>
      </c>
      <c r="AO302" s="89"/>
      <c r="AP302" s="90"/>
      <c r="AQ302" s="146" t="str">
        <f t="shared" si="129"/>
        <v/>
      </c>
      <c r="AR302" s="146" t="str">
        <f t="shared" si="130"/>
        <v/>
      </c>
      <c r="AS302" s="147">
        <v>0</v>
      </c>
      <c r="AT302" s="148" t="s">
        <v>106</v>
      </c>
      <c r="AU302" s="149" t="s">
        <v>56</v>
      </c>
      <c r="AV302" s="146" t="str">
        <f t="shared" si="131"/>
        <v/>
      </c>
      <c r="AW302" s="146" t="str">
        <f t="shared" si="132"/>
        <v/>
      </c>
      <c r="AX302" s="138" t="str">
        <f t="shared" si="133"/>
        <v/>
      </c>
      <c r="AY302" s="95" t="s">
        <v>56</v>
      </c>
      <c r="AZ302" s="96" t="s">
        <v>56</v>
      </c>
      <c r="BA302" s="96"/>
      <c r="BB302" s="96" t="s">
        <v>56</v>
      </c>
      <c r="BC302" s="96"/>
      <c r="BD302" s="97">
        <v>80</v>
      </c>
      <c r="BE302" s="142">
        <f t="shared" si="134"/>
        <v>5680</v>
      </c>
      <c r="BF302" s="98">
        <v>0</v>
      </c>
      <c r="BG302" s="98">
        <v>0</v>
      </c>
      <c r="BH302" s="98">
        <v>0</v>
      </c>
      <c r="BI302" s="98">
        <v>5680</v>
      </c>
      <c r="BJ302" s="98"/>
      <c r="BK302" s="98"/>
      <c r="BL302" s="97"/>
    </row>
    <row r="303" spans="1:64" outlineLevel="5" x14ac:dyDescent="0.3">
      <c r="A303" s="152">
        <f t="shared" si="105"/>
        <v>9</v>
      </c>
      <c r="B303" s="153">
        <f t="shared" si="120"/>
        <v>44815</v>
      </c>
      <c r="C303" s="138">
        <f t="shared" si="125"/>
        <v>35.5</v>
      </c>
      <c r="D303" s="84">
        <v>35</v>
      </c>
      <c r="E303" s="84">
        <v>36</v>
      </c>
      <c r="F303" s="84"/>
      <c r="G303" s="84"/>
      <c r="H303" s="84"/>
      <c r="I303" s="84"/>
      <c r="J303" s="84"/>
      <c r="K303" s="84"/>
      <c r="L303" s="140" t="str">
        <f t="shared" si="126"/>
        <v/>
      </c>
      <c r="M303" s="86"/>
      <c r="N303" s="86"/>
      <c r="O303" s="86"/>
      <c r="P303" s="86"/>
      <c r="Q303" s="86"/>
      <c r="R303" s="86"/>
      <c r="S303" s="86"/>
      <c r="T303" s="86"/>
      <c r="U303" s="142" t="str">
        <f t="shared" si="127"/>
        <v/>
      </c>
      <c r="V303" s="88"/>
      <c r="W303" s="88"/>
      <c r="X303" s="88"/>
      <c r="Y303" s="88"/>
      <c r="Z303" s="88"/>
      <c r="AA303" s="88"/>
      <c r="AB303" s="88"/>
      <c r="AC303" s="88"/>
      <c r="AD303" s="142" t="str">
        <f t="shared" si="128"/>
        <v/>
      </c>
      <c r="AE303" s="88"/>
      <c r="AF303" s="88"/>
      <c r="AG303" s="88"/>
      <c r="AH303" s="88"/>
      <c r="AI303" s="88"/>
      <c r="AJ303" s="88"/>
      <c r="AK303" s="88"/>
      <c r="AL303" s="88"/>
      <c r="AM303" s="88">
        <v>47.2</v>
      </c>
      <c r="AN303" s="88">
        <v>100</v>
      </c>
      <c r="AO303" s="89"/>
      <c r="AP303" s="90"/>
      <c r="AQ303" s="146" t="str">
        <f t="shared" si="129"/>
        <v/>
      </c>
      <c r="AR303" s="146" t="str">
        <f t="shared" si="130"/>
        <v/>
      </c>
      <c r="AS303" s="147">
        <v>0</v>
      </c>
      <c r="AT303" s="148" t="s">
        <v>106</v>
      </c>
      <c r="AU303" s="149" t="s">
        <v>56</v>
      </c>
      <c r="AV303" s="146" t="str">
        <f t="shared" si="131"/>
        <v/>
      </c>
      <c r="AW303" s="146" t="str">
        <f t="shared" si="132"/>
        <v/>
      </c>
      <c r="AX303" s="138" t="str">
        <f t="shared" si="133"/>
        <v/>
      </c>
      <c r="AY303" s="95" t="s">
        <v>56</v>
      </c>
      <c r="AZ303" s="96" t="s">
        <v>56</v>
      </c>
      <c r="BA303" s="96"/>
      <c r="BB303" s="96" t="s">
        <v>56</v>
      </c>
      <c r="BC303" s="96"/>
      <c r="BD303" s="97">
        <v>100</v>
      </c>
      <c r="BE303" s="142">
        <f t="shared" si="134"/>
        <v>5871</v>
      </c>
      <c r="BF303" s="98">
        <v>0</v>
      </c>
      <c r="BG303" s="98">
        <v>0</v>
      </c>
      <c r="BH303" s="98">
        <v>0</v>
      </c>
      <c r="BI303" s="98">
        <v>5871</v>
      </c>
      <c r="BJ303" s="98"/>
      <c r="BK303" s="98"/>
      <c r="BL303" s="97"/>
    </row>
    <row r="304" spans="1:64" outlineLevel="5" x14ac:dyDescent="0.3">
      <c r="A304" s="152">
        <f t="shared" si="105"/>
        <v>9</v>
      </c>
      <c r="B304" s="153">
        <f t="shared" si="120"/>
        <v>44816</v>
      </c>
      <c r="C304" s="138">
        <f t="shared" si="125"/>
        <v>35.5</v>
      </c>
      <c r="D304" s="84">
        <v>35</v>
      </c>
      <c r="E304" s="84">
        <v>36</v>
      </c>
      <c r="F304" s="84"/>
      <c r="G304" s="84"/>
      <c r="H304" s="84"/>
      <c r="I304" s="84"/>
      <c r="J304" s="84"/>
      <c r="K304" s="84"/>
      <c r="L304" s="140" t="str">
        <f t="shared" si="126"/>
        <v/>
      </c>
      <c r="M304" s="86"/>
      <c r="N304" s="86"/>
      <c r="O304" s="86"/>
      <c r="P304" s="86"/>
      <c r="Q304" s="86"/>
      <c r="R304" s="86"/>
      <c r="S304" s="86"/>
      <c r="T304" s="86"/>
      <c r="U304" s="142" t="str">
        <f t="shared" si="127"/>
        <v/>
      </c>
      <c r="V304" s="88"/>
      <c r="W304" s="88"/>
      <c r="X304" s="88"/>
      <c r="Y304" s="88"/>
      <c r="Z304" s="88"/>
      <c r="AA304" s="88"/>
      <c r="AB304" s="88"/>
      <c r="AC304" s="88"/>
      <c r="AD304" s="142" t="str">
        <f t="shared" si="128"/>
        <v/>
      </c>
      <c r="AE304" s="88"/>
      <c r="AF304" s="88"/>
      <c r="AG304" s="88"/>
      <c r="AH304" s="88"/>
      <c r="AI304" s="88"/>
      <c r="AJ304" s="88"/>
      <c r="AK304" s="88"/>
      <c r="AL304" s="88"/>
      <c r="AM304" s="88">
        <v>38.959966983078829</v>
      </c>
      <c r="AN304" s="88">
        <v>121.15</v>
      </c>
      <c r="AO304" s="89"/>
      <c r="AP304" s="90"/>
      <c r="AQ304" s="146" t="str">
        <f t="shared" si="129"/>
        <v/>
      </c>
      <c r="AR304" s="146" t="str">
        <f t="shared" si="130"/>
        <v/>
      </c>
      <c r="AS304" s="147">
        <v>0</v>
      </c>
      <c r="AT304" s="148" t="s">
        <v>106</v>
      </c>
      <c r="AU304" s="149" t="s">
        <v>56</v>
      </c>
      <c r="AV304" s="146" t="str">
        <f t="shared" si="131"/>
        <v/>
      </c>
      <c r="AW304" s="146" t="str">
        <f t="shared" si="132"/>
        <v/>
      </c>
      <c r="AX304" s="138" t="str">
        <f t="shared" si="133"/>
        <v/>
      </c>
      <c r="AY304" s="95" t="s">
        <v>56</v>
      </c>
      <c r="AZ304" s="96" t="s">
        <v>56</v>
      </c>
      <c r="BA304" s="96"/>
      <c r="BB304" s="96" t="s">
        <v>56</v>
      </c>
      <c r="BC304" s="96"/>
      <c r="BD304" s="97">
        <v>121.15</v>
      </c>
      <c r="BE304" s="142">
        <f t="shared" si="134"/>
        <v>6132</v>
      </c>
      <c r="BF304" s="98">
        <v>0</v>
      </c>
      <c r="BG304" s="98">
        <v>0</v>
      </c>
      <c r="BH304" s="98">
        <v>0</v>
      </c>
      <c r="BI304" s="98">
        <v>6132</v>
      </c>
      <c r="BJ304" s="98"/>
      <c r="BK304" s="98"/>
      <c r="BL304" s="97"/>
    </row>
    <row r="305" spans="1:64" outlineLevel="5" x14ac:dyDescent="0.3">
      <c r="A305" s="152">
        <f t="shared" si="105"/>
        <v>9</v>
      </c>
      <c r="B305" s="153">
        <f t="shared" si="120"/>
        <v>44817</v>
      </c>
      <c r="C305" s="138">
        <f t="shared" si="125"/>
        <v>36</v>
      </c>
      <c r="D305" s="84">
        <v>36</v>
      </c>
      <c r="E305" s="84">
        <v>36</v>
      </c>
      <c r="F305" s="84"/>
      <c r="G305" s="84"/>
      <c r="H305" s="84"/>
      <c r="I305" s="84"/>
      <c r="J305" s="84"/>
      <c r="K305" s="84"/>
      <c r="L305" s="140">
        <f t="shared" si="126"/>
        <v>8.1999999999999993</v>
      </c>
      <c r="M305" s="86">
        <v>8.27</v>
      </c>
      <c r="N305" s="86">
        <v>8.2200000000000006</v>
      </c>
      <c r="O305" s="86"/>
      <c r="P305" s="86"/>
      <c r="Q305" s="86"/>
      <c r="R305" s="86"/>
      <c r="S305" s="86"/>
      <c r="T305" s="86"/>
      <c r="U305" s="142">
        <f t="shared" si="127"/>
        <v>1519</v>
      </c>
      <c r="V305" s="88">
        <v>1543</v>
      </c>
      <c r="W305" s="88">
        <v>1495</v>
      </c>
      <c r="X305" s="88"/>
      <c r="Y305" s="88"/>
      <c r="Z305" s="88"/>
      <c r="AA305" s="88"/>
      <c r="AB305" s="88"/>
      <c r="AC305" s="88"/>
      <c r="AD305" s="142" t="str">
        <f t="shared" si="128"/>
        <v/>
      </c>
      <c r="AE305" s="88"/>
      <c r="AF305" s="88"/>
      <c r="AG305" s="88"/>
      <c r="AH305" s="88"/>
      <c r="AI305" s="88"/>
      <c r="AJ305" s="88"/>
      <c r="AK305" s="88"/>
      <c r="AL305" s="88"/>
      <c r="AM305" s="88">
        <v>39.683874222296957</v>
      </c>
      <c r="AN305" s="88">
        <v>118.94</v>
      </c>
      <c r="AO305" s="89"/>
      <c r="AP305" s="90"/>
      <c r="AQ305" s="146" t="str">
        <f t="shared" si="129"/>
        <v/>
      </c>
      <c r="AR305" s="146" t="str">
        <f t="shared" si="130"/>
        <v/>
      </c>
      <c r="AS305" s="147">
        <v>0</v>
      </c>
      <c r="AT305" s="148" t="s">
        <v>106</v>
      </c>
      <c r="AU305" s="149" t="s">
        <v>56</v>
      </c>
      <c r="AV305" s="146" t="str">
        <f t="shared" si="131"/>
        <v/>
      </c>
      <c r="AW305" s="146" t="str">
        <f t="shared" si="132"/>
        <v/>
      </c>
      <c r="AX305" s="138" t="str">
        <f t="shared" si="133"/>
        <v/>
      </c>
      <c r="AY305" s="95" t="s">
        <v>56</v>
      </c>
      <c r="AZ305" s="96">
        <v>60.980000000000004</v>
      </c>
      <c r="BA305" s="96"/>
      <c r="BB305" s="96">
        <v>79</v>
      </c>
      <c r="BC305" s="96"/>
      <c r="BD305" s="97">
        <v>118.94</v>
      </c>
      <c r="BE305" s="142">
        <f t="shared" si="134"/>
        <v>6333</v>
      </c>
      <c r="BF305" s="98">
        <v>0</v>
      </c>
      <c r="BG305" s="98">
        <v>0</v>
      </c>
      <c r="BH305" s="98">
        <v>2</v>
      </c>
      <c r="BI305" s="98">
        <v>6331</v>
      </c>
      <c r="BJ305" s="98"/>
      <c r="BK305" s="98"/>
      <c r="BL305" s="97"/>
    </row>
    <row r="306" spans="1:64" outlineLevel="5" x14ac:dyDescent="0.3">
      <c r="A306" s="152">
        <f t="shared" si="105"/>
        <v>9</v>
      </c>
      <c r="B306" s="153">
        <f t="shared" si="120"/>
        <v>44818</v>
      </c>
      <c r="C306" s="138">
        <f t="shared" si="125"/>
        <v>36</v>
      </c>
      <c r="D306" s="84">
        <v>36</v>
      </c>
      <c r="E306" s="84">
        <v>36</v>
      </c>
      <c r="F306" s="84"/>
      <c r="G306" s="84"/>
      <c r="H306" s="84"/>
      <c r="I306" s="84"/>
      <c r="J306" s="84"/>
      <c r="K306" s="84"/>
      <c r="L306" s="140">
        <f t="shared" si="126"/>
        <v>8.1999999999999993</v>
      </c>
      <c r="M306" s="86">
        <v>8.26</v>
      </c>
      <c r="N306" s="86">
        <v>8.19</v>
      </c>
      <c r="O306" s="86"/>
      <c r="P306" s="86"/>
      <c r="Q306" s="86"/>
      <c r="R306" s="86"/>
      <c r="S306" s="86"/>
      <c r="T306" s="86"/>
      <c r="U306" s="142">
        <f t="shared" si="127"/>
        <v>1370.5</v>
      </c>
      <c r="V306" s="88">
        <v>1397</v>
      </c>
      <c r="W306" s="88">
        <v>1344</v>
      </c>
      <c r="X306" s="88"/>
      <c r="Y306" s="88"/>
      <c r="Z306" s="88"/>
      <c r="AA306" s="88"/>
      <c r="AB306" s="88"/>
      <c r="AC306" s="88"/>
      <c r="AD306" s="142">
        <f t="shared" si="128"/>
        <v>8033.5</v>
      </c>
      <c r="AE306" s="88">
        <v>8104</v>
      </c>
      <c r="AF306" s="88">
        <v>7963</v>
      </c>
      <c r="AG306" s="88"/>
      <c r="AH306" s="88"/>
      <c r="AI306" s="88"/>
      <c r="AJ306" s="88"/>
      <c r="AK306" s="88"/>
      <c r="AL306" s="88"/>
      <c r="AM306" s="88">
        <v>36.293733179546322</v>
      </c>
      <c r="AN306" s="88">
        <v>130.05000000000001</v>
      </c>
      <c r="AO306" s="89"/>
      <c r="AP306" s="90"/>
      <c r="AQ306" s="146" t="str">
        <f t="shared" si="129"/>
        <v/>
      </c>
      <c r="AR306" s="146" t="str">
        <f t="shared" si="130"/>
        <v/>
      </c>
      <c r="AS306" s="147">
        <v>10</v>
      </c>
      <c r="AT306" s="148">
        <v>14.6</v>
      </c>
      <c r="AU306" s="149">
        <v>8.1594999999999995</v>
      </c>
      <c r="AV306" s="146">
        <f t="shared" si="131"/>
        <v>55.886986301369859</v>
      </c>
      <c r="AW306" s="146">
        <f t="shared" si="132"/>
        <v>44.113013698630141</v>
      </c>
      <c r="AX306" s="138" t="str">
        <f t="shared" si="133"/>
        <v/>
      </c>
      <c r="AY306" s="95" t="s">
        <v>56</v>
      </c>
      <c r="AZ306" s="96">
        <v>61.125</v>
      </c>
      <c r="BA306" s="96"/>
      <c r="BB306" s="96">
        <v>82.5</v>
      </c>
      <c r="BC306" s="96"/>
      <c r="BD306" s="97">
        <v>130.05000000000001</v>
      </c>
      <c r="BE306" s="142">
        <f t="shared" si="134"/>
        <v>6695</v>
      </c>
      <c r="BF306" s="98">
        <v>0</v>
      </c>
      <c r="BG306" s="98">
        <v>0</v>
      </c>
      <c r="BH306" s="98">
        <v>327</v>
      </c>
      <c r="BI306" s="98">
        <v>6368</v>
      </c>
      <c r="BJ306" s="98"/>
      <c r="BK306" s="98"/>
      <c r="BL306" s="97"/>
    </row>
    <row r="307" spans="1:64" outlineLevel="5" x14ac:dyDescent="0.3">
      <c r="A307" s="152">
        <f t="shared" ref="A307:A378" si="135">MONTH(B307)</f>
        <v>9</v>
      </c>
      <c r="B307" s="153">
        <f t="shared" si="120"/>
        <v>44819</v>
      </c>
      <c r="C307" s="138">
        <f t="shared" si="125"/>
        <v>35.5</v>
      </c>
      <c r="D307" s="84">
        <v>36</v>
      </c>
      <c r="E307" s="84">
        <v>35</v>
      </c>
      <c r="F307" s="84"/>
      <c r="G307" s="84"/>
      <c r="H307" s="84"/>
      <c r="I307" s="84"/>
      <c r="J307" s="84"/>
      <c r="K307" s="84"/>
      <c r="L307" s="140" t="str">
        <f t="shared" si="126"/>
        <v/>
      </c>
      <c r="M307" s="86"/>
      <c r="N307" s="86"/>
      <c r="O307" s="86"/>
      <c r="P307" s="86"/>
      <c r="Q307" s="86"/>
      <c r="R307" s="86"/>
      <c r="S307" s="86"/>
      <c r="T307" s="86"/>
      <c r="U307" s="142">
        <f t="shared" si="127"/>
        <v>1471</v>
      </c>
      <c r="V307" s="88">
        <v>1510</v>
      </c>
      <c r="W307" s="88">
        <v>1432</v>
      </c>
      <c r="X307" s="88"/>
      <c r="Y307" s="88"/>
      <c r="Z307" s="88"/>
      <c r="AA307" s="88"/>
      <c r="AB307" s="88"/>
      <c r="AC307" s="88"/>
      <c r="AD307" s="142" t="str">
        <f t="shared" si="128"/>
        <v/>
      </c>
      <c r="AE307" s="88"/>
      <c r="AF307" s="88"/>
      <c r="AG307" s="88"/>
      <c r="AH307" s="88"/>
      <c r="AI307" s="88"/>
      <c r="AJ307" s="88"/>
      <c r="AK307" s="88"/>
      <c r="AL307" s="88"/>
      <c r="AM307" s="88">
        <v>35.765704326740924</v>
      </c>
      <c r="AN307" s="88">
        <v>131.97</v>
      </c>
      <c r="AO307" s="89"/>
      <c r="AP307" s="90"/>
      <c r="AQ307" s="146" t="str">
        <f t="shared" si="129"/>
        <v/>
      </c>
      <c r="AR307" s="146" t="str">
        <f t="shared" si="130"/>
        <v/>
      </c>
      <c r="AS307" s="147">
        <v>10</v>
      </c>
      <c r="AT307" s="148">
        <v>14.75</v>
      </c>
      <c r="AU307" s="149">
        <v>8.5536500000000011</v>
      </c>
      <c r="AV307" s="146">
        <f t="shared" si="131"/>
        <v>57.990847457627126</v>
      </c>
      <c r="AW307" s="146">
        <f t="shared" si="132"/>
        <v>42.009152542372874</v>
      </c>
      <c r="AX307" s="138" t="str">
        <f t="shared" si="133"/>
        <v/>
      </c>
      <c r="AY307" s="95">
        <v>76.599999999999994</v>
      </c>
      <c r="AZ307" s="96">
        <v>61.04</v>
      </c>
      <c r="BA307" s="96"/>
      <c r="BB307" s="96">
        <v>50</v>
      </c>
      <c r="BC307" s="96"/>
      <c r="BD307" s="97">
        <v>131.97</v>
      </c>
      <c r="BE307" s="142">
        <f t="shared" si="134"/>
        <v>6312</v>
      </c>
      <c r="BF307" s="98">
        <v>0</v>
      </c>
      <c r="BG307" s="98">
        <v>0</v>
      </c>
      <c r="BH307" s="98">
        <v>11</v>
      </c>
      <c r="BI307" s="98">
        <v>6301</v>
      </c>
      <c r="BJ307" s="98"/>
      <c r="BK307" s="98"/>
      <c r="BL307" s="97"/>
    </row>
    <row r="308" spans="1:64" outlineLevel="5" x14ac:dyDescent="0.3">
      <c r="A308" s="152">
        <f t="shared" si="135"/>
        <v>9</v>
      </c>
      <c r="B308" s="153">
        <f t="shared" si="120"/>
        <v>44820</v>
      </c>
      <c r="C308" s="138">
        <f t="shared" si="125"/>
        <v>35.5</v>
      </c>
      <c r="D308" s="84">
        <v>36</v>
      </c>
      <c r="E308" s="84">
        <v>35</v>
      </c>
      <c r="F308" s="84"/>
      <c r="G308" s="84"/>
      <c r="H308" s="84"/>
      <c r="I308" s="84"/>
      <c r="J308" s="84"/>
      <c r="K308" s="84"/>
      <c r="L308" s="140">
        <f t="shared" si="126"/>
        <v>8.1</v>
      </c>
      <c r="M308" s="86">
        <v>8.14</v>
      </c>
      <c r="N308" s="86">
        <v>8.1</v>
      </c>
      <c r="O308" s="86"/>
      <c r="P308" s="86"/>
      <c r="Q308" s="86"/>
      <c r="R308" s="86"/>
      <c r="S308" s="86"/>
      <c r="T308" s="86"/>
      <c r="U308" s="142">
        <f t="shared" si="127"/>
        <v>1339.5</v>
      </c>
      <c r="V308" s="88">
        <v>1370</v>
      </c>
      <c r="W308" s="88">
        <v>1309</v>
      </c>
      <c r="X308" s="88"/>
      <c r="Y308" s="88"/>
      <c r="Z308" s="88"/>
      <c r="AA308" s="88"/>
      <c r="AB308" s="88"/>
      <c r="AC308" s="88"/>
      <c r="AD308" s="142" t="str">
        <f t="shared" si="128"/>
        <v/>
      </c>
      <c r="AE308" s="88"/>
      <c r="AF308" s="88"/>
      <c r="AG308" s="88"/>
      <c r="AH308" s="88"/>
      <c r="AI308" s="88"/>
      <c r="AJ308" s="88"/>
      <c r="AK308" s="88"/>
      <c r="AL308" s="88"/>
      <c r="AM308" s="88">
        <v>35.841749563368516</v>
      </c>
      <c r="AN308" s="88">
        <v>131.69</v>
      </c>
      <c r="AO308" s="89"/>
      <c r="AP308" s="90"/>
      <c r="AQ308" s="146" t="str">
        <f t="shared" si="129"/>
        <v/>
      </c>
      <c r="AR308" s="146" t="str">
        <f t="shared" si="130"/>
        <v/>
      </c>
      <c r="AS308" s="147">
        <v>10</v>
      </c>
      <c r="AT308" s="148" t="s">
        <v>106</v>
      </c>
      <c r="AU308" s="149" t="s">
        <v>56</v>
      </c>
      <c r="AV308" s="146" t="str">
        <f t="shared" si="131"/>
        <v/>
      </c>
      <c r="AW308" s="146" t="str">
        <f t="shared" si="132"/>
        <v/>
      </c>
      <c r="AX308" s="138" t="str">
        <f t="shared" si="133"/>
        <v/>
      </c>
      <c r="AY308" s="95" t="s">
        <v>56</v>
      </c>
      <c r="AZ308" s="96">
        <v>60.72</v>
      </c>
      <c r="BA308" s="96"/>
      <c r="BB308" s="96">
        <v>46.5</v>
      </c>
      <c r="BC308" s="96"/>
      <c r="BD308" s="97">
        <v>131.69</v>
      </c>
      <c r="BE308" s="142">
        <f t="shared" si="134"/>
        <v>5886</v>
      </c>
      <c r="BF308" s="98">
        <v>0</v>
      </c>
      <c r="BG308" s="98">
        <v>0</v>
      </c>
      <c r="BH308" s="98">
        <v>297</v>
      </c>
      <c r="BI308" s="98">
        <v>5589</v>
      </c>
      <c r="BJ308" s="98"/>
      <c r="BK308" s="98"/>
      <c r="BL308" s="97"/>
    </row>
    <row r="309" spans="1:64" outlineLevel="5" x14ac:dyDescent="0.3">
      <c r="A309" s="152">
        <f t="shared" si="135"/>
        <v>9</v>
      </c>
      <c r="B309" s="153">
        <f t="shared" si="120"/>
        <v>44821</v>
      </c>
      <c r="C309" s="138">
        <f t="shared" si="125"/>
        <v>36</v>
      </c>
      <c r="D309" s="84">
        <v>36</v>
      </c>
      <c r="E309" s="84">
        <v>36</v>
      </c>
      <c r="F309" s="84"/>
      <c r="G309" s="84"/>
      <c r="H309" s="84"/>
      <c r="I309" s="84"/>
      <c r="J309" s="84"/>
      <c r="K309" s="84"/>
      <c r="L309" s="140" t="str">
        <f t="shared" si="126"/>
        <v/>
      </c>
      <c r="M309" s="86"/>
      <c r="N309" s="86"/>
      <c r="O309" s="86"/>
      <c r="P309" s="86"/>
      <c r="Q309" s="86"/>
      <c r="R309" s="86"/>
      <c r="S309" s="86"/>
      <c r="T309" s="86"/>
      <c r="U309" s="142" t="str">
        <f t="shared" si="127"/>
        <v/>
      </c>
      <c r="V309" s="88"/>
      <c r="W309" s="88"/>
      <c r="X309" s="88"/>
      <c r="Y309" s="88"/>
      <c r="Z309" s="88"/>
      <c r="AA309" s="88"/>
      <c r="AB309" s="88"/>
      <c r="AC309" s="88"/>
      <c r="AD309" s="142" t="str">
        <f t="shared" si="128"/>
        <v/>
      </c>
      <c r="AE309" s="88"/>
      <c r="AF309" s="88"/>
      <c r="AG309" s="88"/>
      <c r="AH309" s="88"/>
      <c r="AI309" s="88"/>
      <c r="AJ309" s="88"/>
      <c r="AK309" s="88"/>
      <c r="AL309" s="88"/>
      <c r="AM309" s="88">
        <v>31.262418863425616</v>
      </c>
      <c r="AN309" s="88">
        <v>150.98000000000002</v>
      </c>
      <c r="AO309" s="89"/>
      <c r="AP309" s="90"/>
      <c r="AQ309" s="146" t="str">
        <f t="shared" si="129"/>
        <v/>
      </c>
      <c r="AR309" s="146" t="str">
        <f t="shared" si="130"/>
        <v/>
      </c>
      <c r="AS309" s="147">
        <v>10</v>
      </c>
      <c r="AT309" s="148" t="s">
        <v>106</v>
      </c>
      <c r="AU309" s="149" t="s">
        <v>56</v>
      </c>
      <c r="AV309" s="146" t="str">
        <f t="shared" si="131"/>
        <v/>
      </c>
      <c r="AW309" s="146" t="str">
        <f t="shared" si="132"/>
        <v/>
      </c>
      <c r="AX309" s="138" t="str">
        <f t="shared" si="133"/>
        <v/>
      </c>
      <c r="AY309" s="95" t="s">
        <v>56</v>
      </c>
      <c r="AZ309" s="96" t="s">
        <v>56</v>
      </c>
      <c r="BA309" s="96"/>
      <c r="BB309" s="96" t="s">
        <v>56</v>
      </c>
      <c r="BC309" s="96"/>
      <c r="BD309" s="97">
        <v>150.98000000000002</v>
      </c>
      <c r="BE309" s="142">
        <f t="shared" si="134"/>
        <v>5834</v>
      </c>
      <c r="BF309" s="98">
        <v>0</v>
      </c>
      <c r="BG309" s="98">
        <v>0</v>
      </c>
      <c r="BH309" s="98">
        <v>0</v>
      </c>
      <c r="BI309" s="98">
        <v>5834</v>
      </c>
      <c r="BJ309" s="98"/>
      <c r="BK309" s="98"/>
      <c r="BL309" s="97"/>
    </row>
    <row r="310" spans="1:64" outlineLevel="5" x14ac:dyDescent="0.3">
      <c r="A310" s="152">
        <f t="shared" si="135"/>
        <v>9</v>
      </c>
      <c r="B310" s="153">
        <f t="shared" si="120"/>
        <v>44822</v>
      </c>
      <c r="C310" s="138">
        <f t="shared" si="125"/>
        <v>35</v>
      </c>
      <c r="D310" s="84">
        <v>35</v>
      </c>
      <c r="E310" s="84">
        <v>35</v>
      </c>
      <c r="F310" s="84"/>
      <c r="G310" s="84"/>
      <c r="H310" s="84"/>
      <c r="I310" s="84"/>
      <c r="J310" s="84"/>
      <c r="K310" s="84"/>
      <c r="L310" s="140" t="str">
        <f t="shared" si="126"/>
        <v/>
      </c>
      <c r="M310" s="86"/>
      <c r="N310" s="86"/>
      <c r="O310" s="86"/>
      <c r="P310" s="86"/>
      <c r="Q310" s="86"/>
      <c r="R310" s="86"/>
      <c r="S310" s="86"/>
      <c r="T310" s="86"/>
      <c r="U310" s="142" t="str">
        <f t="shared" si="127"/>
        <v/>
      </c>
      <c r="V310" s="88"/>
      <c r="W310" s="88"/>
      <c r="X310" s="88"/>
      <c r="Y310" s="88"/>
      <c r="Z310" s="88"/>
      <c r="AA310" s="88"/>
      <c r="AB310" s="88"/>
      <c r="AC310" s="88"/>
      <c r="AD310" s="142" t="str">
        <f t="shared" si="128"/>
        <v/>
      </c>
      <c r="AE310" s="88"/>
      <c r="AF310" s="88"/>
      <c r="AG310" s="88"/>
      <c r="AH310" s="88"/>
      <c r="AI310" s="88"/>
      <c r="AJ310" s="88"/>
      <c r="AK310" s="88"/>
      <c r="AL310" s="88"/>
      <c r="AM310" s="88">
        <v>52.444444444444443</v>
      </c>
      <c r="AN310" s="88">
        <v>90</v>
      </c>
      <c r="AO310" s="89"/>
      <c r="AP310" s="90"/>
      <c r="AQ310" s="146" t="str">
        <f t="shared" si="129"/>
        <v/>
      </c>
      <c r="AR310" s="146" t="str">
        <f t="shared" si="130"/>
        <v/>
      </c>
      <c r="AS310" s="147">
        <v>0</v>
      </c>
      <c r="AT310" s="148" t="s">
        <v>106</v>
      </c>
      <c r="AU310" s="149" t="s">
        <v>56</v>
      </c>
      <c r="AV310" s="146" t="str">
        <f t="shared" si="131"/>
        <v/>
      </c>
      <c r="AW310" s="146" t="str">
        <f t="shared" si="132"/>
        <v/>
      </c>
      <c r="AX310" s="138" t="str">
        <f t="shared" si="133"/>
        <v/>
      </c>
      <c r="AY310" s="95" t="s">
        <v>56</v>
      </c>
      <c r="AZ310" s="96" t="s">
        <v>56</v>
      </c>
      <c r="BA310" s="96"/>
      <c r="BB310" s="96" t="s">
        <v>56</v>
      </c>
      <c r="BC310" s="96"/>
      <c r="BD310" s="97">
        <v>90</v>
      </c>
      <c r="BE310" s="142">
        <f t="shared" si="134"/>
        <v>5735</v>
      </c>
      <c r="BF310" s="98">
        <v>0</v>
      </c>
      <c r="BG310" s="98">
        <v>0</v>
      </c>
      <c r="BH310" s="98">
        <v>0</v>
      </c>
      <c r="BI310" s="98">
        <v>5735</v>
      </c>
      <c r="BJ310" s="98"/>
      <c r="BK310" s="98"/>
      <c r="BL310" s="97"/>
    </row>
    <row r="311" spans="1:64" outlineLevel="5" x14ac:dyDescent="0.3">
      <c r="A311" s="152">
        <f t="shared" si="135"/>
        <v>9</v>
      </c>
      <c r="B311" s="153">
        <f t="shared" si="120"/>
        <v>44823</v>
      </c>
      <c r="C311" s="138">
        <f t="shared" si="125"/>
        <v>36</v>
      </c>
      <c r="D311" s="84">
        <v>36</v>
      </c>
      <c r="E311" s="84">
        <v>36</v>
      </c>
      <c r="F311" s="84"/>
      <c r="G311" s="84"/>
      <c r="H311" s="84"/>
      <c r="I311" s="84"/>
      <c r="J311" s="84"/>
      <c r="K311" s="84"/>
      <c r="L311" s="140">
        <f t="shared" si="126"/>
        <v>8.3000000000000007</v>
      </c>
      <c r="M311" s="86">
        <v>8.2899999999999991</v>
      </c>
      <c r="N311" s="86">
        <v>8.2100000000000009</v>
      </c>
      <c r="O311" s="86"/>
      <c r="P311" s="86"/>
      <c r="Q311" s="86"/>
      <c r="R311" s="86"/>
      <c r="S311" s="86"/>
      <c r="T311" s="86"/>
      <c r="U311" s="142">
        <f t="shared" si="127"/>
        <v>1338.5</v>
      </c>
      <c r="V311" s="88">
        <v>1379</v>
      </c>
      <c r="W311" s="88">
        <v>1298</v>
      </c>
      <c r="X311" s="88"/>
      <c r="Y311" s="88"/>
      <c r="Z311" s="88"/>
      <c r="AA311" s="88"/>
      <c r="AB311" s="88"/>
      <c r="AC311" s="88"/>
      <c r="AD311" s="142" t="str">
        <f t="shared" si="128"/>
        <v/>
      </c>
      <c r="AE311" s="88"/>
      <c r="AF311" s="88"/>
      <c r="AG311" s="88"/>
      <c r="AH311" s="88"/>
      <c r="AI311" s="88"/>
      <c r="AJ311" s="88"/>
      <c r="AK311" s="88"/>
      <c r="AL311" s="88"/>
      <c r="AM311" s="88">
        <v>34.58889051736773</v>
      </c>
      <c r="AN311" s="88">
        <v>136.45999999999998</v>
      </c>
      <c r="AO311" s="89">
        <v>20.5</v>
      </c>
      <c r="AP311" s="90">
        <v>16.625499999999999</v>
      </c>
      <c r="AQ311" s="146">
        <f t="shared" si="129"/>
        <v>81.099999999999994</v>
      </c>
      <c r="AR311" s="146">
        <f t="shared" si="130"/>
        <v>18.900000000000006</v>
      </c>
      <c r="AS311" s="147">
        <v>10</v>
      </c>
      <c r="AT311" s="148">
        <v>15</v>
      </c>
      <c r="AU311" s="149">
        <v>8.3436500000000002</v>
      </c>
      <c r="AV311" s="146">
        <f t="shared" si="131"/>
        <v>55.624333333333333</v>
      </c>
      <c r="AW311" s="146">
        <f t="shared" si="132"/>
        <v>44.375666666666667</v>
      </c>
      <c r="AX311" s="138">
        <f t="shared" si="133"/>
        <v>70.788027826946291</v>
      </c>
      <c r="AY311" s="95" t="s">
        <v>56</v>
      </c>
      <c r="AZ311" s="96">
        <v>62.144999999999996</v>
      </c>
      <c r="BA311" s="96"/>
      <c r="BB311" s="96">
        <v>48.5</v>
      </c>
      <c r="BC311" s="96"/>
      <c r="BD311" s="97">
        <v>136.45999999999998</v>
      </c>
      <c r="BE311" s="142">
        <f t="shared" si="134"/>
        <v>6731</v>
      </c>
      <c r="BF311" s="98">
        <v>557</v>
      </c>
      <c r="BG311" s="98">
        <v>0</v>
      </c>
      <c r="BH311" s="98">
        <v>0</v>
      </c>
      <c r="BI311" s="98">
        <v>6174</v>
      </c>
      <c r="BJ311" s="98"/>
      <c r="BK311" s="98"/>
      <c r="BL311" s="97"/>
    </row>
    <row r="312" spans="1:64" outlineLevel="5" x14ac:dyDescent="0.3">
      <c r="A312" s="152">
        <f t="shared" si="135"/>
        <v>9</v>
      </c>
      <c r="B312" s="153">
        <f t="shared" si="120"/>
        <v>44824</v>
      </c>
      <c r="C312" s="138">
        <f t="shared" si="125"/>
        <v>36</v>
      </c>
      <c r="D312" s="84">
        <v>36</v>
      </c>
      <c r="E312" s="84">
        <v>36</v>
      </c>
      <c r="F312" s="84"/>
      <c r="G312" s="84"/>
      <c r="H312" s="84"/>
      <c r="I312" s="84"/>
      <c r="J312" s="84"/>
      <c r="K312" s="84"/>
      <c r="L312" s="140">
        <f t="shared" si="126"/>
        <v>8.1999999999999993</v>
      </c>
      <c r="M312" s="86">
        <v>8.23</v>
      </c>
      <c r="N312" s="86">
        <v>8.16</v>
      </c>
      <c r="O312" s="86"/>
      <c r="P312" s="86"/>
      <c r="Q312" s="86"/>
      <c r="R312" s="86"/>
      <c r="S312" s="86"/>
      <c r="T312" s="86"/>
      <c r="U312" s="142">
        <f t="shared" si="127"/>
        <v>1414.5</v>
      </c>
      <c r="V312" s="88">
        <v>1438</v>
      </c>
      <c r="W312" s="88">
        <v>1391</v>
      </c>
      <c r="X312" s="88"/>
      <c r="Y312" s="88"/>
      <c r="Z312" s="88"/>
      <c r="AA312" s="88"/>
      <c r="AB312" s="88"/>
      <c r="AC312" s="88"/>
      <c r="AD312" s="142" t="str">
        <f t="shared" si="128"/>
        <v/>
      </c>
      <c r="AE312" s="88"/>
      <c r="AF312" s="88"/>
      <c r="AG312" s="88"/>
      <c r="AH312" s="88"/>
      <c r="AI312" s="88"/>
      <c r="AJ312" s="88"/>
      <c r="AK312" s="88"/>
      <c r="AL312" s="88"/>
      <c r="AM312" s="88">
        <v>31.724694179325176</v>
      </c>
      <c r="AN312" s="88">
        <v>148.78</v>
      </c>
      <c r="AO312" s="89"/>
      <c r="AP312" s="90"/>
      <c r="AQ312" s="146" t="str">
        <f t="shared" si="129"/>
        <v/>
      </c>
      <c r="AR312" s="146" t="str">
        <f t="shared" si="130"/>
        <v/>
      </c>
      <c r="AS312" s="147">
        <v>10</v>
      </c>
      <c r="AT312" s="148" t="s">
        <v>106</v>
      </c>
      <c r="AU312" s="149" t="s">
        <v>56</v>
      </c>
      <c r="AV312" s="146" t="str">
        <f t="shared" si="131"/>
        <v/>
      </c>
      <c r="AW312" s="146" t="str">
        <f t="shared" si="132"/>
        <v/>
      </c>
      <c r="AX312" s="138" t="str">
        <f t="shared" si="133"/>
        <v/>
      </c>
      <c r="AY312" s="95" t="s">
        <v>56</v>
      </c>
      <c r="AZ312" s="96">
        <v>61.93</v>
      </c>
      <c r="BA312" s="96"/>
      <c r="BB312" s="96">
        <v>49</v>
      </c>
      <c r="BC312" s="96"/>
      <c r="BD312" s="97">
        <v>148.78</v>
      </c>
      <c r="BE312" s="142">
        <f t="shared" si="134"/>
        <v>6123</v>
      </c>
      <c r="BF312" s="98">
        <v>112</v>
      </c>
      <c r="BG312" s="98">
        <v>0</v>
      </c>
      <c r="BH312" s="98">
        <v>0</v>
      </c>
      <c r="BI312" s="98">
        <v>6011</v>
      </c>
      <c r="BJ312" s="98"/>
      <c r="BK312" s="98"/>
      <c r="BL312" s="97"/>
    </row>
    <row r="313" spans="1:64" outlineLevel="5" x14ac:dyDescent="0.3">
      <c r="A313" s="152">
        <f t="shared" si="135"/>
        <v>9</v>
      </c>
      <c r="B313" s="153">
        <f t="shared" si="120"/>
        <v>44825</v>
      </c>
      <c r="C313" s="138">
        <f t="shared" si="125"/>
        <v>36</v>
      </c>
      <c r="D313" s="84">
        <v>36</v>
      </c>
      <c r="E313" s="84">
        <v>36</v>
      </c>
      <c r="F313" s="84"/>
      <c r="G313" s="84"/>
      <c r="H313" s="84"/>
      <c r="I313" s="84"/>
      <c r="J313" s="84"/>
      <c r="K313" s="84"/>
      <c r="L313" s="140">
        <f t="shared" si="126"/>
        <v>8.1999999999999993</v>
      </c>
      <c r="M313" s="86">
        <v>8.23</v>
      </c>
      <c r="N313" s="86">
        <v>8.16</v>
      </c>
      <c r="O313" s="86"/>
      <c r="P313" s="86"/>
      <c r="Q313" s="86"/>
      <c r="R313" s="86"/>
      <c r="S313" s="86"/>
      <c r="T313" s="86"/>
      <c r="U313" s="142">
        <f t="shared" si="127"/>
        <v>1442.5</v>
      </c>
      <c r="V313" s="88">
        <v>1463</v>
      </c>
      <c r="W313" s="88">
        <v>1422</v>
      </c>
      <c r="X313" s="88"/>
      <c r="Y313" s="88"/>
      <c r="Z313" s="88"/>
      <c r="AA313" s="88"/>
      <c r="AB313" s="88"/>
      <c r="AC313" s="88"/>
      <c r="AD313" s="142" t="str">
        <f t="shared" si="128"/>
        <v/>
      </c>
      <c r="AE313" s="88"/>
      <c r="AF313" s="88"/>
      <c r="AG313" s="88"/>
      <c r="AH313" s="88"/>
      <c r="AI313" s="88"/>
      <c r="AJ313" s="88"/>
      <c r="AK313" s="88"/>
      <c r="AL313" s="88"/>
      <c r="AM313" s="88">
        <v>35.440756870400961</v>
      </c>
      <c r="AN313" s="88">
        <v>133.18</v>
      </c>
      <c r="AO313" s="89"/>
      <c r="AP313" s="90"/>
      <c r="AQ313" s="146" t="str">
        <f t="shared" si="129"/>
        <v/>
      </c>
      <c r="AR313" s="146" t="str">
        <f t="shared" si="130"/>
        <v/>
      </c>
      <c r="AS313" s="147">
        <v>10</v>
      </c>
      <c r="AT313" s="148">
        <v>14.600000000000001</v>
      </c>
      <c r="AU313" s="149">
        <v>8.1768999999999998</v>
      </c>
      <c r="AV313" s="146">
        <f t="shared" si="131"/>
        <v>56.006164383561639</v>
      </c>
      <c r="AW313" s="146">
        <f t="shared" si="132"/>
        <v>43.993835616438361</v>
      </c>
      <c r="AX313" s="138" t="str">
        <f t="shared" si="133"/>
        <v/>
      </c>
      <c r="AY313" s="95">
        <v>76.650000000000006</v>
      </c>
      <c r="AZ313" s="96">
        <v>61.510000000000005</v>
      </c>
      <c r="BA313" s="96"/>
      <c r="BB313" s="96">
        <v>49</v>
      </c>
      <c r="BC313" s="96"/>
      <c r="BD313" s="97">
        <v>133.18</v>
      </c>
      <c r="BE313" s="142">
        <f t="shared" si="134"/>
        <v>7569</v>
      </c>
      <c r="BF313" s="98">
        <v>240</v>
      </c>
      <c r="BG313" s="98">
        <v>0</v>
      </c>
      <c r="BH313" s="98">
        <v>1016</v>
      </c>
      <c r="BI313" s="98">
        <v>6313</v>
      </c>
      <c r="BJ313" s="98"/>
      <c r="BK313" s="98"/>
      <c r="BL313" s="97"/>
    </row>
    <row r="314" spans="1:64" outlineLevel="5" x14ac:dyDescent="0.3">
      <c r="A314" s="152">
        <f t="shared" si="135"/>
        <v>9</v>
      </c>
      <c r="B314" s="153">
        <f t="shared" si="120"/>
        <v>44826</v>
      </c>
      <c r="C314" s="138">
        <f t="shared" si="125"/>
        <v>35.5</v>
      </c>
      <c r="D314" s="84">
        <v>36</v>
      </c>
      <c r="E314" s="84">
        <v>35</v>
      </c>
      <c r="F314" s="84"/>
      <c r="G314" s="84"/>
      <c r="H314" s="84"/>
      <c r="I314" s="84"/>
      <c r="J314" s="84"/>
      <c r="K314" s="84"/>
      <c r="L314" s="140">
        <f t="shared" si="126"/>
        <v>8.1999999999999993</v>
      </c>
      <c r="M314" s="86">
        <v>8.1999999999999993</v>
      </c>
      <c r="N314" s="86">
        <v>8.14</v>
      </c>
      <c r="O314" s="86"/>
      <c r="P314" s="86"/>
      <c r="Q314" s="86"/>
      <c r="R314" s="86"/>
      <c r="S314" s="86"/>
      <c r="T314" s="86"/>
      <c r="U314" s="142">
        <f t="shared" si="127"/>
        <v>1380.5</v>
      </c>
      <c r="V314" s="88">
        <v>1415</v>
      </c>
      <c r="W314" s="88">
        <v>1346</v>
      </c>
      <c r="X314" s="88"/>
      <c r="Y314" s="88"/>
      <c r="Z314" s="88"/>
      <c r="AA314" s="88"/>
      <c r="AB314" s="88"/>
      <c r="AC314" s="88"/>
      <c r="AD314" s="142" t="str">
        <f t="shared" si="128"/>
        <v/>
      </c>
      <c r="AE314" s="88"/>
      <c r="AF314" s="88"/>
      <c r="AG314" s="88"/>
      <c r="AH314" s="88"/>
      <c r="AI314" s="88"/>
      <c r="AJ314" s="88"/>
      <c r="AK314" s="88"/>
      <c r="AL314" s="88"/>
      <c r="AM314" s="88">
        <v>36.504253673627225</v>
      </c>
      <c r="AN314" s="88">
        <v>129.29999999999998</v>
      </c>
      <c r="AO314" s="89"/>
      <c r="AP314" s="90"/>
      <c r="AQ314" s="146" t="str">
        <f t="shared" si="129"/>
        <v/>
      </c>
      <c r="AR314" s="146" t="str">
        <f t="shared" si="130"/>
        <v/>
      </c>
      <c r="AS314" s="147">
        <v>10</v>
      </c>
      <c r="AT314" s="148">
        <v>14.5</v>
      </c>
      <c r="AU314" s="149">
        <v>8.2152999999999992</v>
      </c>
      <c r="AV314" s="146">
        <f t="shared" si="131"/>
        <v>56.657241379310342</v>
      </c>
      <c r="AW314" s="146">
        <f t="shared" si="132"/>
        <v>43.342758620689658</v>
      </c>
      <c r="AX314" s="138" t="str">
        <f t="shared" si="133"/>
        <v/>
      </c>
      <c r="AY314" s="95">
        <v>76.45</v>
      </c>
      <c r="AZ314" s="96">
        <v>61.39</v>
      </c>
      <c r="BA314" s="96"/>
      <c r="BB314" s="96">
        <v>51.5</v>
      </c>
      <c r="BC314" s="96"/>
      <c r="BD314" s="97">
        <v>129.29999999999998</v>
      </c>
      <c r="BE314" s="142">
        <f t="shared" si="134"/>
        <v>9588</v>
      </c>
      <c r="BF314" s="98">
        <v>0</v>
      </c>
      <c r="BG314" s="98">
        <v>0</v>
      </c>
      <c r="BH314" s="98">
        <v>3400</v>
      </c>
      <c r="BI314" s="98">
        <v>6188</v>
      </c>
      <c r="BJ314" s="98"/>
      <c r="BK314" s="98"/>
      <c r="BL314" s="97"/>
    </row>
    <row r="315" spans="1:64" outlineLevel="5" x14ac:dyDescent="0.3">
      <c r="A315" s="152">
        <f t="shared" si="135"/>
        <v>9</v>
      </c>
      <c r="B315" s="153">
        <f t="shared" si="120"/>
        <v>44827</v>
      </c>
      <c r="C315" s="138">
        <f t="shared" si="125"/>
        <v>35.5</v>
      </c>
      <c r="D315" s="84">
        <v>36</v>
      </c>
      <c r="E315" s="84">
        <v>35</v>
      </c>
      <c r="F315" s="84"/>
      <c r="G315" s="84"/>
      <c r="H315" s="84"/>
      <c r="I315" s="84"/>
      <c r="J315" s="84"/>
      <c r="K315" s="84"/>
      <c r="L315" s="140">
        <f t="shared" si="126"/>
        <v>8.1</v>
      </c>
      <c r="M315" s="86">
        <v>8.16</v>
      </c>
      <c r="N315" s="86">
        <v>8.1199999999999992</v>
      </c>
      <c r="O315" s="86"/>
      <c r="P315" s="86"/>
      <c r="Q315" s="86"/>
      <c r="R315" s="86"/>
      <c r="S315" s="86"/>
      <c r="T315" s="86"/>
      <c r="U315" s="142">
        <f t="shared" si="127"/>
        <v>1404</v>
      </c>
      <c r="V315" s="88">
        <v>1420</v>
      </c>
      <c r="W315" s="88">
        <v>1388</v>
      </c>
      <c r="X315" s="88"/>
      <c r="Y315" s="88"/>
      <c r="Z315" s="88"/>
      <c r="AA315" s="88"/>
      <c r="AB315" s="88"/>
      <c r="AC315" s="88"/>
      <c r="AD315" s="142" t="str">
        <f t="shared" si="128"/>
        <v/>
      </c>
      <c r="AE315" s="88"/>
      <c r="AF315" s="88"/>
      <c r="AG315" s="88"/>
      <c r="AH315" s="88"/>
      <c r="AI315" s="88"/>
      <c r="AJ315" s="88"/>
      <c r="AK315" s="88"/>
      <c r="AL315" s="88"/>
      <c r="AM315" s="88">
        <v>46.351762741824601</v>
      </c>
      <c r="AN315" s="88">
        <v>101.83000000000001</v>
      </c>
      <c r="AO315" s="89"/>
      <c r="AP315" s="90"/>
      <c r="AQ315" s="146" t="str">
        <f t="shared" si="129"/>
        <v/>
      </c>
      <c r="AR315" s="146" t="str">
        <f t="shared" si="130"/>
        <v/>
      </c>
      <c r="AS315" s="147">
        <v>20</v>
      </c>
      <c r="AT315" s="148" t="s">
        <v>106</v>
      </c>
      <c r="AU315" s="149" t="s">
        <v>56</v>
      </c>
      <c r="AV315" s="146" t="str">
        <f t="shared" si="131"/>
        <v/>
      </c>
      <c r="AW315" s="146" t="str">
        <f t="shared" si="132"/>
        <v/>
      </c>
      <c r="AX315" s="138" t="str">
        <f t="shared" si="133"/>
        <v/>
      </c>
      <c r="AY315" s="95" t="s">
        <v>56</v>
      </c>
      <c r="AZ315" s="96">
        <v>62.004999999999995</v>
      </c>
      <c r="BA315" s="96"/>
      <c r="BB315" s="96">
        <v>51.5</v>
      </c>
      <c r="BC315" s="96"/>
      <c r="BD315" s="97">
        <v>101.83000000000001</v>
      </c>
      <c r="BE315" s="142">
        <f t="shared" si="134"/>
        <v>8895</v>
      </c>
      <c r="BF315" s="98">
        <v>268</v>
      </c>
      <c r="BG315" s="98">
        <v>0</v>
      </c>
      <c r="BH315" s="98">
        <v>3886</v>
      </c>
      <c r="BI315" s="98">
        <v>4741</v>
      </c>
      <c r="BJ315" s="98"/>
      <c r="BK315" s="98"/>
      <c r="BL315" s="97"/>
    </row>
    <row r="316" spans="1:64" outlineLevel="5" x14ac:dyDescent="0.3">
      <c r="A316" s="152">
        <f t="shared" si="135"/>
        <v>9</v>
      </c>
      <c r="B316" s="153">
        <f t="shared" si="120"/>
        <v>44828</v>
      </c>
      <c r="C316" s="138">
        <f t="shared" si="125"/>
        <v>35.5</v>
      </c>
      <c r="D316" s="84">
        <v>36</v>
      </c>
      <c r="E316" s="84">
        <v>35</v>
      </c>
      <c r="F316" s="84"/>
      <c r="G316" s="84"/>
      <c r="H316" s="84"/>
      <c r="I316" s="84"/>
      <c r="J316" s="84"/>
      <c r="K316" s="84"/>
      <c r="L316" s="140" t="str">
        <f t="shared" si="126"/>
        <v/>
      </c>
      <c r="M316" s="86"/>
      <c r="N316" s="86"/>
      <c r="O316" s="86"/>
      <c r="P316" s="86"/>
      <c r="Q316" s="86"/>
      <c r="R316" s="86"/>
      <c r="S316" s="86"/>
      <c r="T316" s="86"/>
      <c r="U316" s="142" t="str">
        <f t="shared" si="127"/>
        <v/>
      </c>
      <c r="V316" s="88"/>
      <c r="W316" s="88"/>
      <c r="X316" s="88"/>
      <c r="Y316" s="88"/>
      <c r="Z316" s="88"/>
      <c r="AA316" s="88"/>
      <c r="AB316" s="88"/>
      <c r="AC316" s="88"/>
      <c r="AD316" s="142" t="str">
        <f t="shared" si="128"/>
        <v/>
      </c>
      <c r="AE316" s="88"/>
      <c r="AF316" s="88"/>
      <c r="AG316" s="88"/>
      <c r="AH316" s="88"/>
      <c r="AI316" s="88"/>
      <c r="AJ316" s="88"/>
      <c r="AK316" s="88"/>
      <c r="AL316" s="88"/>
      <c r="AM316" s="88">
        <v>40.30398770386816</v>
      </c>
      <c r="AN316" s="88">
        <v>117.11</v>
      </c>
      <c r="AO316" s="89"/>
      <c r="AP316" s="90"/>
      <c r="AQ316" s="146" t="str">
        <f t="shared" si="129"/>
        <v/>
      </c>
      <c r="AR316" s="146" t="str">
        <f t="shared" si="130"/>
        <v/>
      </c>
      <c r="AS316" s="147">
        <v>10</v>
      </c>
      <c r="AT316" s="148" t="s">
        <v>106</v>
      </c>
      <c r="AU316" s="149" t="s">
        <v>56</v>
      </c>
      <c r="AV316" s="146" t="str">
        <f t="shared" si="131"/>
        <v/>
      </c>
      <c r="AW316" s="146" t="str">
        <f t="shared" si="132"/>
        <v/>
      </c>
      <c r="AX316" s="138" t="str">
        <f t="shared" si="133"/>
        <v/>
      </c>
      <c r="AY316" s="95" t="s">
        <v>56</v>
      </c>
      <c r="AZ316" s="96" t="s">
        <v>56</v>
      </c>
      <c r="BA316" s="96"/>
      <c r="BB316" s="96" t="s">
        <v>56</v>
      </c>
      <c r="BC316" s="96"/>
      <c r="BD316" s="97">
        <v>117.11</v>
      </c>
      <c r="BE316" s="142">
        <f t="shared" si="134"/>
        <v>5845</v>
      </c>
      <c r="BF316" s="98">
        <v>233</v>
      </c>
      <c r="BG316" s="98">
        <v>0</v>
      </c>
      <c r="BH316" s="98">
        <v>0</v>
      </c>
      <c r="BI316" s="98">
        <v>5612</v>
      </c>
      <c r="BJ316" s="98"/>
      <c r="BK316" s="98"/>
      <c r="BL316" s="97"/>
    </row>
    <row r="317" spans="1:64" outlineLevel="5" x14ac:dyDescent="0.3">
      <c r="A317" s="152">
        <f t="shared" si="135"/>
        <v>9</v>
      </c>
      <c r="B317" s="153">
        <f t="shared" si="120"/>
        <v>44829</v>
      </c>
      <c r="C317" s="138">
        <f t="shared" si="125"/>
        <v>35</v>
      </c>
      <c r="D317" s="84">
        <v>35</v>
      </c>
      <c r="E317" s="84">
        <v>35</v>
      </c>
      <c r="F317" s="84"/>
      <c r="G317" s="84"/>
      <c r="H317" s="84"/>
      <c r="I317" s="84"/>
      <c r="J317" s="84"/>
      <c r="K317" s="84"/>
      <c r="L317" s="140" t="str">
        <f t="shared" si="126"/>
        <v/>
      </c>
      <c r="M317" s="86"/>
      <c r="N317" s="86"/>
      <c r="O317" s="86"/>
      <c r="P317" s="86"/>
      <c r="Q317" s="86"/>
      <c r="R317" s="86"/>
      <c r="S317" s="86"/>
      <c r="T317" s="86"/>
      <c r="U317" s="142" t="str">
        <f t="shared" si="127"/>
        <v/>
      </c>
      <c r="V317" s="88"/>
      <c r="W317" s="88"/>
      <c r="X317" s="88"/>
      <c r="Y317" s="88"/>
      <c r="Z317" s="88"/>
      <c r="AA317" s="88"/>
      <c r="AB317" s="88"/>
      <c r="AC317" s="88"/>
      <c r="AD317" s="142" t="str">
        <f t="shared" si="128"/>
        <v/>
      </c>
      <c r="AE317" s="88"/>
      <c r="AF317" s="88"/>
      <c r="AG317" s="88"/>
      <c r="AH317" s="88"/>
      <c r="AI317" s="88"/>
      <c r="AJ317" s="88"/>
      <c r="AK317" s="88"/>
      <c r="AL317" s="88"/>
      <c r="AM317" s="88">
        <v>52.444444444444443</v>
      </c>
      <c r="AN317" s="88">
        <v>90</v>
      </c>
      <c r="AO317" s="89"/>
      <c r="AP317" s="90"/>
      <c r="AQ317" s="146" t="str">
        <f t="shared" si="129"/>
        <v/>
      </c>
      <c r="AR317" s="146" t="str">
        <f t="shared" si="130"/>
        <v/>
      </c>
      <c r="AS317" s="147">
        <v>10</v>
      </c>
      <c r="AT317" s="148" t="s">
        <v>106</v>
      </c>
      <c r="AU317" s="149" t="s">
        <v>56</v>
      </c>
      <c r="AV317" s="146" t="str">
        <f t="shared" si="131"/>
        <v/>
      </c>
      <c r="AW317" s="146" t="str">
        <f t="shared" si="132"/>
        <v/>
      </c>
      <c r="AX317" s="138" t="str">
        <f t="shared" si="133"/>
        <v/>
      </c>
      <c r="AY317" s="95" t="s">
        <v>56</v>
      </c>
      <c r="AZ317" s="96" t="s">
        <v>56</v>
      </c>
      <c r="BA317" s="96"/>
      <c r="BB317" s="96" t="s">
        <v>56</v>
      </c>
      <c r="BC317" s="96"/>
      <c r="BD317" s="97">
        <v>90</v>
      </c>
      <c r="BE317" s="142">
        <f t="shared" si="134"/>
        <v>5768</v>
      </c>
      <c r="BF317" s="98">
        <v>139</v>
      </c>
      <c r="BG317" s="98">
        <v>0</v>
      </c>
      <c r="BH317" s="98">
        <v>0</v>
      </c>
      <c r="BI317" s="98">
        <v>5629</v>
      </c>
      <c r="BJ317" s="98"/>
      <c r="BK317" s="98"/>
      <c r="BL317" s="97"/>
    </row>
    <row r="318" spans="1:64" outlineLevel="5" x14ac:dyDescent="0.3">
      <c r="A318" s="152">
        <f t="shared" si="135"/>
        <v>9</v>
      </c>
      <c r="B318" s="153">
        <f t="shared" si="120"/>
        <v>44830</v>
      </c>
      <c r="C318" s="138">
        <f t="shared" si="125"/>
        <v>36</v>
      </c>
      <c r="D318" s="84">
        <v>36</v>
      </c>
      <c r="E318" s="84">
        <v>36</v>
      </c>
      <c r="F318" s="84"/>
      <c r="G318" s="84"/>
      <c r="H318" s="84"/>
      <c r="I318" s="84"/>
      <c r="J318" s="84"/>
      <c r="K318" s="84"/>
      <c r="L318" s="140">
        <f t="shared" si="126"/>
        <v>8.3000000000000007</v>
      </c>
      <c r="M318" s="86">
        <v>8.33</v>
      </c>
      <c r="N318" s="86">
        <v>8.2899999999999991</v>
      </c>
      <c r="O318" s="86"/>
      <c r="P318" s="86"/>
      <c r="Q318" s="86"/>
      <c r="R318" s="86"/>
      <c r="S318" s="86"/>
      <c r="T318" s="86"/>
      <c r="U318" s="142">
        <f t="shared" si="127"/>
        <v>1472.5</v>
      </c>
      <c r="V318" s="88">
        <v>1530</v>
      </c>
      <c r="W318" s="88">
        <v>1415</v>
      </c>
      <c r="X318" s="88"/>
      <c r="Y318" s="88"/>
      <c r="Z318" s="88"/>
      <c r="AA318" s="88"/>
      <c r="AB318" s="88"/>
      <c r="AC318" s="88"/>
      <c r="AD318" s="142" t="str">
        <f t="shared" si="128"/>
        <v/>
      </c>
      <c r="AE318" s="88"/>
      <c r="AF318" s="88"/>
      <c r="AG318" s="88"/>
      <c r="AH318" s="88"/>
      <c r="AI318" s="88"/>
      <c r="AJ318" s="88"/>
      <c r="AK318" s="88"/>
      <c r="AL318" s="88"/>
      <c r="AM318" s="88">
        <v>35.025230038587118</v>
      </c>
      <c r="AN318" s="88">
        <v>134.76</v>
      </c>
      <c r="AO318" s="89">
        <v>20.5</v>
      </c>
      <c r="AP318" s="90">
        <v>16.523</v>
      </c>
      <c r="AQ318" s="146">
        <f t="shared" si="129"/>
        <v>80.599999999999994</v>
      </c>
      <c r="AR318" s="146">
        <f t="shared" si="130"/>
        <v>19.400000000000006</v>
      </c>
      <c r="AS318" s="147">
        <v>14</v>
      </c>
      <c r="AT318" s="148">
        <v>15</v>
      </c>
      <c r="AU318" s="149">
        <v>8.335799999999999</v>
      </c>
      <c r="AV318" s="146">
        <f t="shared" si="131"/>
        <v>55.571999999999989</v>
      </c>
      <c r="AW318" s="146">
        <f t="shared" si="132"/>
        <v>44.428000000000011</v>
      </c>
      <c r="AX318" s="138">
        <f t="shared" si="133"/>
        <v>69.893106106827773</v>
      </c>
      <c r="AY318" s="95">
        <v>76.45</v>
      </c>
      <c r="AZ318" s="96">
        <v>63.61</v>
      </c>
      <c r="BA318" s="96"/>
      <c r="BB318" s="96">
        <v>52.5</v>
      </c>
      <c r="BC318" s="96"/>
      <c r="BD318" s="97">
        <v>134.76</v>
      </c>
      <c r="BE318" s="142">
        <f t="shared" si="134"/>
        <v>6204</v>
      </c>
      <c r="BF318" s="98">
        <v>139</v>
      </c>
      <c r="BG318" s="98">
        <v>0</v>
      </c>
      <c r="BH318" s="98">
        <v>0</v>
      </c>
      <c r="BI318" s="98">
        <v>6065</v>
      </c>
      <c r="BJ318" s="98"/>
      <c r="BK318" s="98"/>
      <c r="BL318" s="97"/>
    </row>
    <row r="319" spans="1:64" outlineLevel="5" x14ac:dyDescent="0.3">
      <c r="A319" s="152">
        <f t="shared" si="135"/>
        <v>9</v>
      </c>
      <c r="B319" s="153">
        <f t="shared" si="120"/>
        <v>44831</v>
      </c>
      <c r="C319" s="138">
        <f t="shared" si="125"/>
        <v>36</v>
      </c>
      <c r="D319" s="84">
        <v>36</v>
      </c>
      <c r="E319" s="84">
        <v>36</v>
      </c>
      <c r="F319" s="84"/>
      <c r="G319" s="84"/>
      <c r="H319" s="84"/>
      <c r="I319" s="84"/>
      <c r="J319" s="84"/>
      <c r="K319" s="84"/>
      <c r="L319" s="140">
        <f t="shared" si="126"/>
        <v>8.1999999999999993</v>
      </c>
      <c r="M319" s="86">
        <v>8.27</v>
      </c>
      <c r="N319" s="86">
        <v>8.2200000000000006</v>
      </c>
      <c r="O319" s="86"/>
      <c r="P319" s="86"/>
      <c r="Q319" s="86"/>
      <c r="R319" s="86"/>
      <c r="S319" s="86"/>
      <c r="T319" s="86"/>
      <c r="U319" s="142">
        <f t="shared" si="127"/>
        <v>1456.5</v>
      </c>
      <c r="V319" s="88">
        <v>1480</v>
      </c>
      <c r="W319" s="88">
        <v>1433</v>
      </c>
      <c r="X319" s="88"/>
      <c r="Y319" s="88"/>
      <c r="Z319" s="88"/>
      <c r="AA319" s="88"/>
      <c r="AB319" s="88"/>
      <c r="AC319" s="88"/>
      <c r="AD319" s="142" t="str">
        <f t="shared" si="128"/>
        <v/>
      </c>
      <c r="AE319" s="88"/>
      <c r="AF319" s="88"/>
      <c r="AG319" s="88"/>
      <c r="AH319" s="88"/>
      <c r="AI319" s="88"/>
      <c r="AJ319" s="88"/>
      <c r="AK319" s="88"/>
      <c r="AL319" s="88"/>
      <c r="AM319" s="88">
        <v>32.428718653383712</v>
      </c>
      <c r="AN319" s="88">
        <v>145.55000000000001</v>
      </c>
      <c r="AO319" s="89"/>
      <c r="AP319" s="90"/>
      <c r="AQ319" s="146" t="str">
        <f t="shared" si="129"/>
        <v/>
      </c>
      <c r="AR319" s="146" t="str">
        <f t="shared" si="130"/>
        <v/>
      </c>
      <c r="AS319" s="147">
        <v>10</v>
      </c>
      <c r="AT319" s="148" t="s">
        <v>106</v>
      </c>
      <c r="AU319" s="149" t="s">
        <v>56</v>
      </c>
      <c r="AV319" s="146" t="str">
        <f t="shared" si="131"/>
        <v/>
      </c>
      <c r="AW319" s="146" t="str">
        <f t="shared" si="132"/>
        <v/>
      </c>
      <c r="AX319" s="138" t="str">
        <f t="shared" si="133"/>
        <v/>
      </c>
      <c r="AY319" s="95" t="s">
        <v>56</v>
      </c>
      <c r="AZ319" s="96">
        <v>60.730000000000004</v>
      </c>
      <c r="BA319" s="96"/>
      <c r="BB319" s="96">
        <v>50</v>
      </c>
      <c r="BC319" s="96"/>
      <c r="BD319" s="97">
        <v>145.55000000000001</v>
      </c>
      <c r="BE319" s="142">
        <f t="shared" si="134"/>
        <v>6451</v>
      </c>
      <c r="BF319" s="98">
        <v>139</v>
      </c>
      <c r="BG319" s="98">
        <v>0</v>
      </c>
      <c r="BH319" s="98">
        <v>0</v>
      </c>
      <c r="BI319" s="98">
        <v>6312</v>
      </c>
      <c r="BJ319" s="98"/>
      <c r="BK319" s="98"/>
      <c r="BL319" s="97"/>
    </row>
    <row r="320" spans="1:64" outlineLevel="5" x14ac:dyDescent="0.3">
      <c r="A320" s="152">
        <f t="shared" si="135"/>
        <v>9</v>
      </c>
      <c r="B320" s="153">
        <f t="shared" si="120"/>
        <v>44832</v>
      </c>
      <c r="C320" s="138">
        <f t="shared" si="125"/>
        <v>35</v>
      </c>
      <c r="D320" s="84">
        <v>35</v>
      </c>
      <c r="E320" s="84">
        <v>35</v>
      </c>
      <c r="F320" s="84"/>
      <c r="G320" s="84"/>
      <c r="H320" s="84"/>
      <c r="I320" s="84"/>
      <c r="J320" s="84"/>
      <c r="K320" s="84"/>
      <c r="L320" s="140">
        <f t="shared" si="126"/>
        <v>8.3000000000000007</v>
      </c>
      <c r="M320" s="86">
        <v>8.33</v>
      </c>
      <c r="N320" s="86">
        <v>8.26</v>
      </c>
      <c r="O320" s="86"/>
      <c r="P320" s="86"/>
      <c r="Q320" s="86"/>
      <c r="R320" s="86"/>
      <c r="S320" s="86"/>
      <c r="T320" s="86"/>
      <c r="U320" s="142">
        <f t="shared" si="127"/>
        <v>1544</v>
      </c>
      <c r="V320" s="88">
        <v>1572</v>
      </c>
      <c r="W320" s="88">
        <v>1516</v>
      </c>
      <c r="X320" s="88"/>
      <c r="Y320" s="88"/>
      <c r="Z320" s="88"/>
      <c r="AA320" s="88"/>
      <c r="AB320" s="88"/>
      <c r="AC320" s="88"/>
      <c r="AD320" s="142" t="str">
        <f t="shared" si="128"/>
        <v/>
      </c>
      <c r="AE320" s="88"/>
      <c r="AF320" s="88"/>
      <c r="AG320" s="88"/>
      <c r="AH320" s="88"/>
      <c r="AI320" s="88"/>
      <c r="AJ320" s="88"/>
      <c r="AK320" s="88"/>
      <c r="AL320" s="88"/>
      <c r="AM320" s="88">
        <v>31.833816685775954</v>
      </c>
      <c r="AN320" s="88">
        <v>148.26999999999998</v>
      </c>
      <c r="AO320" s="89"/>
      <c r="AP320" s="90"/>
      <c r="AQ320" s="146" t="str">
        <f t="shared" si="129"/>
        <v/>
      </c>
      <c r="AR320" s="146" t="str">
        <f t="shared" si="130"/>
        <v/>
      </c>
      <c r="AS320" s="147">
        <v>10</v>
      </c>
      <c r="AT320" s="148">
        <v>14.55</v>
      </c>
      <c r="AU320" s="149">
        <v>7.979849999999999</v>
      </c>
      <c r="AV320" s="146">
        <f t="shared" si="131"/>
        <v>54.844329896907205</v>
      </c>
      <c r="AW320" s="146">
        <f t="shared" si="132"/>
        <v>45.155670103092795</v>
      </c>
      <c r="AX320" s="138" t="str">
        <f t="shared" si="133"/>
        <v/>
      </c>
      <c r="AY320" s="95">
        <v>76.349999999999994</v>
      </c>
      <c r="AZ320" s="96" t="s">
        <v>56</v>
      </c>
      <c r="BA320" s="96"/>
      <c r="BB320" s="96" t="s">
        <v>56</v>
      </c>
      <c r="BC320" s="96"/>
      <c r="BD320" s="97">
        <v>148.26999999999998</v>
      </c>
      <c r="BE320" s="142">
        <f t="shared" si="134"/>
        <v>6578</v>
      </c>
      <c r="BF320" s="98">
        <v>126</v>
      </c>
      <c r="BG320" s="98">
        <v>0</v>
      </c>
      <c r="BH320" s="98">
        <v>244</v>
      </c>
      <c r="BI320" s="98">
        <v>6208</v>
      </c>
      <c r="BJ320" s="98"/>
      <c r="BK320" s="98"/>
      <c r="BL320" s="97"/>
    </row>
    <row r="321" spans="1:64" outlineLevel="5" x14ac:dyDescent="0.3">
      <c r="A321" s="152">
        <f t="shared" si="135"/>
        <v>9</v>
      </c>
      <c r="B321" s="153">
        <f t="shared" si="120"/>
        <v>44833</v>
      </c>
      <c r="C321" s="138">
        <f t="shared" si="125"/>
        <v>35</v>
      </c>
      <c r="D321" s="84">
        <v>35</v>
      </c>
      <c r="E321" s="84">
        <v>35</v>
      </c>
      <c r="F321" s="84"/>
      <c r="G321" s="84"/>
      <c r="H321" s="84"/>
      <c r="I321" s="84"/>
      <c r="J321" s="84"/>
      <c r="K321" s="84"/>
      <c r="L321" s="140">
        <f t="shared" si="126"/>
        <v>8.1999999999999993</v>
      </c>
      <c r="M321" s="86">
        <v>8.23</v>
      </c>
      <c r="N321" s="86">
        <v>8.14</v>
      </c>
      <c r="O321" s="86"/>
      <c r="P321" s="86"/>
      <c r="Q321" s="86"/>
      <c r="R321" s="86"/>
      <c r="S321" s="86"/>
      <c r="T321" s="86"/>
      <c r="U321" s="142">
        <f t="shared" si="127"/>
        <v>1334.5</v>
      </c>
      <c r="V321" s="88">
        <v>1375</v>
      </c>
      <c r="W321" s="88">
        <v>1294</v>
      </c>
      <c r="X321" s="88"/>
      <c r="Y321" s="88"/>
      <c r="Z321" s="88"/>
      <c r="AA321" s="88"/>
      <c r="AB321" s="88"/>
      <c r="AC321" s="88"/>
      <c r="AD321" s="142" t="str">
        <f t="shared" si="128"/>
        <v/>
      </c>
      <c r="AE321" s="88"/>
      <c r="AF321" s="88"/>
      <c r="AG321" s="88"/>
      <c r="AH321" s="88"/>
      <c r="AI321" s="88"/>
      <c r="AJ321" s="88"/>
      <c r="AK321" s="88"/>
      <c r="AL321" s="88"/>
      <c r="AM321" s="88">
        <v>37.862987325525431</v>
      </c>
      <c r="AN321" s="88">
        <v>124.66</v>
      </c>
      <c r="AO321" s="89"/>
      <c r="AP321" s="90"/>
      <c r="AQ321" s="146" t="str">
        <f t="shared" si="129"/>
        <v/>
      </c>
      <c r="AR321" s="146" t="str">
        <f t="shared" si="130"/>
        <v/>
      </c>
      <c r="AS321" s="147">
        <v>13</v>
      </c>
      <c r="AT321" s="148">
        <v>14.15</v>
      </c>
      <c r="AU321" s="149">
        <v>7.8338999999999999</v>
      </c>
      <c r="AV321" s="146">
        <f t="shared" si="131"/>
        <v>55.363250883392226</v>
      </c>
      <c r="AW321" s="146">
        <f t="shared" si="132"/>
        <v>44.636749116607774</v>
      </c>
      <c r="AX321" s="138" t="str">
        <f t="shared" si="133"/>
        <v/>
      </c>
      <c r="AY321" s="95">
        <v>76.150000000000006</v>
      </c>
      <c r="AZ321" s="96" t="s">
        <v>56</v>
      </c>
      <c r="BA321" s="96"/>
      <c r="BB321" s="96" t="s">
        <v>56</v>
      </c>
      <c r="BC321" s="96"/>
      <c r="BD321" s="97">
        <v>124.66</v>
      </c>
      <c r="BE321" s="142">
        <f t="shared" si="134"/>
        <v>6200</v>
      </c>
      <c r="BF321" s="98">
        <v>148</v>
      </c>
      <c r="BG321" s="98">
        <v>0</v>
      </c>
      <c r="BH321" s="98">
        <v>0</v>
      </c>
      <c r="BI321" s="98">
        <v>6052</v>
      </c>
      <c r="BJ321" s="98"/>
      <c r="BK321" s="98"/>
      <c r="BL321" s="97"/>
    </row>
    <row r="322" spans="1:64" ht="17.25" outlineLevel="5" thickBot="1" x14ac:dyDescent="0.35">
      <c r="A322" s="154">
        <f t="shared" si="135"/>
        <v>9</v>
      </c>
      <c r="B322" s="155">
        <f t="shared" si="120"/>
        <v>44834</v>
      </c>
      <c r="C322" s="138">
        <f t="shared" si="125"/>
        <v>36</v>
      </c>
      <c r="D322" s="84">
        <v>36</v>
      </c>
      <c r="E322" s="84">
        <v>36</v>
      </c>
      <c r="F322" s="84"/>
      <c r="G322" s="84"/>
      <c r="H322" s="84"/>
      <c r="I322" s="84"/>
      <c r="J322" s="84"/>
      <c r="K322" s="84"/>
      <c r="L322" s="140" t="str">
        <f t="shared" si="126"/>
        <v/>
      </c>
      <c r="M322" s="86"/>
      <c r="N322" s="86"/>
      <c r="O322" s="86"/>
      <c r="P322" s="86"/>
      <c r="Q322" s="86"/>
      <c r="R322" s="86"/>
      <c r="S322" s="86"/>
      <c r="T322" s="86"/>
      <c r="U322" s="142" t="str">
        <f t="shared" si="127"/>
        <v/>
      </c>
      <c r="V322" s="88"/>
      <c r="W322" s="88"/>
      <c r="X322" s="88"/>
      <c r="Y322" s="88"/>
      <c r="Z322" s="88"/>
      <c r="AA322" s="88"/>
      <c r="AB322" s="88"/>
      <c r="AC322" s="88"/>
      <c r="AD322" s="142" t="str">
        <f t="shared" si="128"/>
        <v/>
      </c>
      <c r="AE322" s="88"/>
      <c r="AF322" s="88"/>
      <c r="AG322" s="88"/>
      <c r="AH322" s="88"/>
      <c r="AI322" s="88"/>
      <c r="AJ322" s="88"/>
      <c r="AK322" s="88"/>
      <c r="AL322" s="88"/>
      <c r="AM322" s="158">
        <v>43.882484194867978</v>
      </c>
      <c r="AN322" s="88">
        <v>107.56</v>
      </c>
      <c r="AO322" s="89"/>
      <c r="AP322" s="90"/>
      <c r="AQ322" s="146" t="str">
        <f t="shared" si="129"/>
        <v/>
      </c>
      <c r="AR322" s="146" t="str">
        <f t="shared" si="130"/>
        <v/>
      </c>
      <c r="AS322" s="147">
        <v>10</v>
      </c>
      <c r="AT322" s="148" t="s">
        <v>106</v>
      </c>
      <c r="AU322" s="149" t="s">
        <v>56</v>
      </c>
      <c r="AV322" s="146" t="str">
        <f t="shared" si="131"/>
        <v/>
      </c>
      <c r="AW322" s="146" t="str">
        <f t="shared" si="132"/>
        <v/>
      </c>
      <c r="AX322" s="138" t="str">
        <f t="shared" si="133"/>
        <v/>
      </c>
      <c r="AY322" s="95" t="s">
        <v>56</v>
      </c>
      <c r="AZ322" s="96" t="s">
        <v>56</v>
      </c>
      <c r="BA322" s="96"/>
      <c r="BB322" s="96" t="s">
        <v>56</v>
      </c>
      <c r="BC322" s="96"/>
      <c r="BD322" s="97">
        <v>107.56</v>
      </c>
      <c r="BE322" s="142">
        <f t="shared" si="134"/>
        <v>6006</v>
      </c>
      <c r="BF322" s="98">
        <v>143</v>
      </c>
      <c r="BG322" s="98">
        <v>0</v>
      </c>
      <c r="BH322" s="98">
        <v>5</v>
      </c>
      <c r="BI322" s="98">
        <v>5858</v>
      </c>
      <c r="BJ322" s="98"/>
      <c r="BK322" s="98"/>
      <c r="BL322" s="97"/>
    </row>
    <row r="323" spans="1:64" outlineLevel="4" x14ac:dyDescent="0.3">
      <c r="A323" s="63" t="s">
        <v>89</v>
      </c>
      <c r="B323" s="64"/>
      <c r="C323" s="65">
        <f t="shared" ref="C323:BL323" si="136">SUBTOTAL(4,C293:C322)</f>
        <v>36.5</v>
      </c>
      <c r="D323" s="66">
        <f t="shared" si="136"/>
        <v>37</v>
      </c>
      <c r="E323" s="66">
        <f t="shared" si="136"/>
        <v>36</v>
      </c>
      <c r="F323" s="66">
        <f t="shared" si="136"/>
        <v>0</v>
      </c>
      <c r="G323" s="66">
        <f t="shared" si="136"/>
        <v>0</v>
      </c>
      <c r="H323" s="66">
        <f t="shared" si="136"/>
        <v>0</v>
      </c>
      <c r="I323" s="66">
        <f t="shared" si="136"/>
        <v>0</v>
      </c>
      <c r="J323" s="66">
        <f t="shared" si="136"/>
        <v>0</v>
      </c>
      <c r="K323" s="66">
        <f t="shared" si="136"/>
        <v>0</v>
      </c>
      <c r="L323" s="67">
        <f t="shared" si="136"/>
        <v>8.3000000000000007</v>
      </c>
      <c r="M323" s="68">
        <f t="shared" si="136"/>
        <v>8.33</v>
      </c>
      <c r="N323" s="68">
        <f t="shared" si="136"/>
        <v>8.2899999999999991</v>
      </c>
      <c r="O323" s="68">
        <f t="shared" si="136"/>
        <v>0</v>
      </c>
      <c r="P323" s="68">
        <f t="shared" si="136"/>
        <v>0</v>
      </c>
      <c r="Q323" s="68">
        <f t="shared" si="136"/>
        <v>0</v>
      </c>
      <c r="R323" s="68">
        <f t="shared" si="136"/>
        <v>0</v>
      </c>
      <c r="S323" s="68">
        <f t="shared" si="136"/>
        <v>0</v>
      </c>
      <c r="T323" s="68">
        <f t="shared" si="136"/>
        <v>0</v>
      </c>
      <c r="U323" s="69">
        <f t="shared" si="136"/>
        <v>1544</v>
      </c>
      <c r="V323" s="70">
        <f t="shared" si="136"/>
        <v>1572</v>
      </c>
      <c r="W323" s="70">
        <f t="shared" si="136"/>
        <v>1516</v>
      </c>
      <c r="X323" s="70">
        <f t="shared" si="136"/>
        <v>0</v>
      </c>
      <c r="Y323" s="70">
        <f t="shared" si="136"/>
        <v>0</v>
      </c>
      <c r="Z323" s="70">
        <f t="shared" si="136"/>
        <v>0</v>
      </c>
      <c r="AA323" s="70">
        <f t="shared" si="136"/>
        <v>0</v>
      </c>
      <c r="AB323" s="70">
        <f t="shared" si="136"/>
        <v>0</v>
      </c>
      <c r="AC323" s="70">
        <f t="shared" si="136"/>
        <v>0</v>
      </c>
      <c r="AD323" s="69">
        <f t="shared" si="136"/>
        <v>8033.5</v>
      </c>
      <c r="AE323" s="70">
        <f t="shared" si="136"/>
        <v>8104</v>
      </c>
      <c r="AF323" s="70">
        <f t="shared" si="136"/>
        <v>7963</v>
      </c>
      <c r="AG323" s="70">
        <f t="shared" si="136"/>
        <v>0</v>
      </c>
      <c r="AH323" s="70">
        <f t="shared" si="136"/>
        <v>0</v>
      </c>
      <c r="AI323" s="70">
        <f t="shared" si="136"/>
        <v>0</v>
      </c>
      <c r="AJ323" s="70">
        <f t="shared" si="136"/>
        <v>0</v>
      </c>
      <c r="AK323" s="70">
        <f t="shared" si="136"/>
        <v>0</v>
      </c>
      <c r="AL323" s="70">
        <f t="shared" si="136"/>
        <v>0</v>
      </c>
      <c r="AM323" s="70">
        <f>SUBTOTAL(4,AM293:AM322)</f>
        <v>66.134230068656294</v>
      </c>
      <c r="AN323" s="70">
        <f t="shared" ref="AN323:AW323" si="137">SUBTOTAL(4,AN293:AN322)</f>
        <v>160.99</v>
      </c>
      <c r="AO323" s="71">
        <f t="shared" si="137"/>
        <v>20.5</v>
      </c>
      <c r="AP323" s="72">
        <f t="shared" si="137"/>
        <v>16.625499999999999</v>
      </c>
      <c r="AQ323" s="73">
        <f t="shared" si="137"/>
        <v>81.099999999999994</v>
      </c>
      <c r="AR323" s="73">
        <f t="shared" si="137"/>
        <v>28</v>
      </c>
      <c r="AS323" s="74">
        <f t="shared" si="137"/>
        <v>20</v>
      </c>
      <c r="AT323" s="75">
        <f t="shared" si="137"/>
        <v>15</v>
      </c>
      <c r="AU323" s="76">
        <f t="shared" si="137"/>
        <v>8.5536500000000011</v>
      </c>
      <c r="AV323" s="73">
        <f t="shared" si="137"/>
        <v>57.990847457627126</v>
      </c>
      <c r="AW323" s="73">
        <f t="shared" si="137"/>
        <v>45.155670103092795</v>
      </c>
      <c r="AX323" s="65">
        <f t="shared" si="136"/>
        <v>70.788027826946291</v>
      </c>
      <c r="AY323" s="77">
        <f t="shared" si="136"/>
        <v>77.349999999999994</v>
      </c>
      <c r="AZ323" s="78">
        <f t="shared" si="136"/>
        <v>63.61</v>
      </c>
      <c r="BA323" s="78">
        <f t="shared" si="136"/>
        <v>0</v>
      </c>
      <c r="BB323" s="78">
        <f t="shared" si="136"/>
        <v>82.5</v>
      </c>
      <c r="BC323" s="78">
        <f t="shared" si="136"/>
        <v>0</v>
      </c>
      <c r="BD323" s="79">
        <f t="shared" si="136"/>
        <v>160.99</v>
      </c>
      <c r="BE323" s="69">
        <f t="shared" si="136"/>
        <v>9588</v>
      </c>
      <c r="BF323" s="70">
        <f t="shared" si="136"/>
        <v>557</v>
      </c>
      <c r="BG323" s="80">
        <f t="shared" si="136"/>
        <v>0</v>
      </c>
      <c r="BH323" s="80">
        <f t="shared" si="136"/>
        <v>3886</v>
      </c>
      <c r="BI323" s="80">
        <f t="shared" si="136"/>
        <v>6368</v>
      </c>
      <c r="BJ323" s="80">
        <f t="shared" si="136"/>
        <v>0</v>
      </c>
      <c r="BK323" s="80">
        <f t="shared" si="136"/>
        <v>0</v>
      </c>
      <c r="BL323" s="79">
        <f t="shared" si="136"/>
        <v>0</v>
      </c>
    </row>
    <row r="324" spans="1:64" outlineLevel="3" x14ac:dyDescent="0.3">
      <c r="A324" s="81" t="s">
        <v>90</v>
      </c>
      <c r="B324" s="82"/>
      <c r="C324" s="83">
        <f t="shared" ref="C324:BL324" si="138">SUBTOTAL(5,C293:C322)</f>
        <v>35</v>
      </c>
      <c r="D324" s="84">
        <f t="shared" si="138"/>
        <v>35</v>
      </c>
      <c r="E324" s="84">
        <f t="shared" si="138"/>
        <v>35</v>
      </c>
      <c r="F324" s="84">
        <f t="shared" si="138"/>
        <v>0</v>
      </c>
      <c r="G324" s="84">
        <f t="shared" si="138"/>
        <v>0</v>
      </c>
      <c r="H324" s="84">
        <f t="shared" si="138"/>
        <v>0</v>
      </c>
      <c r="I324" s="84">
        <f t="shared" si="138"/>
        <v>0</v>
      </c>
      <c r="J324" s="84">
        <f t="shared" si="138"/>
        <v>0</v>
      </c>
      <c r="K324" s="84">
        <f t="shared" si="138"/>
        <v>0</v>
      </c>
      <c r="L324" s="85">
        <f t="shared" si="138"/>
        <v>8.1</v>
      </c>
      <c r="M324" s="86">
        <f t="shared" si="138"/>
        <v>8.14</v>
      </c>
      <c r="N324" s="86">
        <f t="shared" si="138"/>
        <v>8.1</v>
      </c>
      <c r="O324" s="86">
        <f t="shared" si="138"/>
        <v>0</v>
      </c>
      <c r="P324" s="86">
        <f t="shared" si="138"/>
        <v>0</v>
      </c>
      <c r="Q324" s="86">
        <f t="shared" si="138"/>
        <v>0</v>
      </c>
      <c r="R324" s="86">
        <f t="shared" si="138"/>
        <v>0</v>
      </c>
      <c r="S324" s="86">
        <f t="shared" si="138"/>
        <v>0</v>
      </c>
      <c r="T324" s="86">
        <f t="shared" si="138"/>
        <v>0</v>
      </c>
      <c r="U324" s="87">
        <f t="shared" si="138"/>
        <v>1334.5</v>
      </c>
      <c r="V324" s="88">
        <f t="shared" si="138"/>
        <v>1370</v>
      </c>
      <c r="W324" s="88">
        <f t="shared" si="138"/>
        <v>1294</v>
      </c>
      <c r="X324" s="88">
        <f t="shared" si="138"/>
        <v>0</v>
      </c>
      <c r="Y324" s="88">
        <f t="shared" si="138"/>
        <v>0</v>
      </c>
      <c r="Z324" s="88">
        <f t="shared" si="138"/>
        <v>0</v>
      </c>
      <c r="AA324" s="88">
        <f t="shared" si="138"/>
        <v>0</v>
      </c>
      <c r="AB324" s="88">
        <f t="shared" si="138"/>
        <v>0</v>
      </c>
      <c r="AC324" s="88">
        <f t="shared" si="138"/>
        <v>0</v>
      </c>
      <c r="AD324" s="87">
        <f t="shared" si="138"/>
        <v>8033.5</v>
      </c>
      <c r="AE324" s="88">
        <f t="shared" si="138"/>
        <v>8104</v>
      </c>
      <c r="AF324" s="88">
        <f t="shared" si="138"/>
        <v>7963</v>
      </c>
      <c r="AG324" s="88">
        <f t="shared" si="138"/>
        <v>0</v>
      </c>
      <c r="AH324" s="88">
        <f t="shared" si="138"/>
        <v>0</v>
      </c>
      <c r="AI324" s="88">
        <f t="shared" si="138"/>
        <v>0</v>
      </c>
      <c r="AJ324" s="88">
        <f t="shared" si="138"/>
        <v>0</v>
      </c>
      <c r="AK324" s="88">
        <f t="shared" si="138"/>
        <v>0</v>
      </c>
      <c r="AL324" s="88">
        <f t="shared" si="138"/>
        <v>0</v>
      </c>
      <c r="AM324" s="88">
        <f>SUBTOTAL(5,AM293:AM322)</f>
        <v>29.318591216845764</v>
      </c>
      <c r="AN324" s="88">
        <f t="shared" ref="AN324:AW324" si="139">SUBTOTAL(5,AN293:AN322)</f>
        <v>71.37</v>
      </c>
      <c r="AO324" s="89">
        <f t="shared" si="139"/>
        <v>8.8000000000000007</v>
      </c>
      <c r="AP324" s="90">
        <f t="shared" si="139"/>
        <v>6.3360000000000003</v>
      </c>
      <c r="AQ324" s="91">
        <f t="shared" si="139"/>
        <v>72</v>
      </c>
      <c r="AR324" s="91">
        <f t="shared" si="139"/>
        <v>18.900000000000006</v>
      </c>
      <c r="AS324" s="92">
        <f t="shared" si="139"/>
        <v>0</v>
      </c>
      <c r="AT324" s="93">
        <f t="shared" si="139"/>
        <v>14.15</v>
      </c>
      <c r="AU324" s="94">
        <f t="shared" si="139"/>
        <v>7.8338999999999999</v>
      </c>
      <c r="AV324" s="91">
        <f t="shared" si="139"/>
        <v>54.844329896907205</v>
      </c>
      <c r="AW324" s="91">
        <f t="shared" si="139"/>
        <v>42.009152542372874</v>
      </c>
      <c r="AX324" s="83">
        <f t="shared" si="138"/>
        <v>51.064597693650491</v>
      </c>
      <c r="AY324" s="95">
        <f t="shared" si="138"/>
        <v>76.150000000000006</v>
      </c>
      <c r="AZ324" s="96">
        <f t="shared" si="138"/>
        <v>59.269999999999996</v>
      </c>
      <c r="BA324" s="96">
        <f t="shared" si="138"/>
        <v>0</v>
      </c>
      <c r="BB324" s="96">
        <f t="shared" si="138"/>
        <v>46.5</v>
      </c>
      <c r="BC324" s="96">
        <f t="shared" si="138"/>
        <v>0</v>
      </c>
      <c r="BD324" s="97">
        <f t="shared" si="138"/>
        <v>71.37</v>
      </c>
      <c r="BE324" s="87">
        <f t="shared" si="138"/>
        <v>1370</v>
      </c>
      <c r="BF324" s="88">
        <f t="shared" si="138"/>
        <v>0</v>
      </c>
      <c r="BG324" s="98">
        <f t="shared" si="138"/>
        <v>0</v>
      </c>
      <c r="BH324" s="98">
        <f t="shared" si="138"/>
        <v>0</v>
      </c>
      <c r="BI324" s="98">
        <f t="shared" si="138"/>
        <v>1370</v>
      </c>
      <c r="BJ324" s="98">
        <f t="shared" si="138"/>
        <v>0</v>
      </c>
      <c r="BK324" s="98">
        <f t="shared" si="138"/>
        <v>0</v>
      </c>
      <c r="BL324" s="97">
        <f t="shared" si="138"/>
        <v>0</v>
      </c>
    </row>
    <row r="325" spans="1:64" outlineLevel="2" x14ac:dyDescent="0.3">
      <c r="A325" s="81" t="s">
        <v>91</v>
      </c>
      <c r="B325" s="82"/>
      <c r="C325" s="83">
        <f t="shared" ref="C325:BL325" si="140">IFERROR(SUBTOTAL(1,C293:C322),"")</f>
        <v>35.799999999999997</v>
      </c>
      <c r="D325" s="84">
        <f t="shared" si="140"/>
        <v>35.9</v>
      </c>
      <c r="E325" s="84">
        <f t="shared" si="140"/>
        <v>35.700000000000003</v>
      </c>
      <c r="F325" s="84" t="str">
        <f t="shared" si="140"/>
        <v/>
      </c>
      <c r="G325" s="84" t="str">
        <f t="shared" si="140"/>
        <v/>
      </c>
      <c r="H325" s="84" t="str">
        <f t="shared" si="140"/>
        <v/>
      </c>
      <c r="I325" s="84" t="str">
        <f t="shared" si="140"/>
        <v/>
      </c>
      <c r="J325" s="84" t="str">
        <f t="shared" si="140"/>
        <v/>
      </c>
      <c r="K325" s="84" t="str">
        <f t="shared" si="140"/>
        <v/>
      </c>
      <c r="L325" s="85">
        <f t="shared" si="140"/>
        <v>8.2058823529411757</v>
      </c>
      <c r="M325" s="86">
        <f t="shared" si="140"/>
        <v>8.2364705882352922</v>
      </c>
      <c r="N325" s="86">
        <f t="shared" si="140"/>
        <v>8.1735294117647044</v>
      </c>
      <c r="O325" s="86" t="str">
        <f t="shared" si="140"/>
        <v/>
      </c>
      <c r="P325" s="86" t="str">
        <f t="shared" si="140"/>
        <v/>
      </c>
      <c r="Q325" s="86" t="str">
        <f t="shared" si="140"/>
        <v/>
      </c>
      <c r="R325" s="86" t="str">
        <f t="shared" si="140"/>
        <v/>
      </c>
      <c r="S325" s="86" t="str">
        <f t="shared" si="140"/>
        <v/>
      </c>
      <c r="T325" s="86" t="str">
        <f t="shared" si="140"/>
        <v/>
      </c>
      <c r="U325" s="87">
        <f t="shared" si="140"/>
        <v>1422.1388888888889</v>
      </c>
      <c r="V325" s="88">
        <f t="shared" si="140"/>
        <v>1453.3888888888889</v>
      </c>
      <c r="W325" s="88">
        <f t="shared" si="140"/>
        <v>1390.8888888888889</v>
      </c>
      <c r="X325" s="88" t="str">
        <f t="shared" si="140"/>
        <v/>
      </c>
      <c r="Y325" s="88" t="str">
        <f t="shared" si="140"/>
        <v/>
      </c>
      <c r="Z325" s="88" t="str">
        <f t="shared" si="140"/>
        <v/>
      </c>
      <c r="AA325" s="88" t="str">
        <f t="shared" si="140"/>
        <v/>
      </c>
      <c r="AB325" s="88" t="str">
        <f t="shared" si="140"/>
        <v/>
      </c>
      <c r="AC325" s="88" t="str">
        <f t="shared" si="140"/>
        <v/>
      </c>
      <c r="AD325" s="87">
        <f t="shared" si="140"/>
        <v>8033.5</v>
      </c>
      <c r="AE325" s="88">
        <f t="shared" si="140"/>
        <v>8104</v>
      </c>
      <c r="AF325" s="88">
        <f t="shared" si="140"/>
        <v>7963</v>
      </c>
      <c r="AG325" s="88" t="str">
        <f t="shared" si="140"/>
        <v/>
      </c>
      <c r="AH325" s="88" t="str">
        <f t="shared" si="140"/>
        <v/>
      </c>
      <c r="AI325" s="88" t="str">
        <f t="shared" si="140"/>
        <v/>
      </c>
      <c r="AJ325" s="88" t="str">
        <f t="shared" si="140"/>
        <v/>
      </c>
      <c r="AK325" s="88" t="str">
        <f t="shared" si="140"/>
        <v/>
      </c>
      <c r="AL325" s="88" t="str">
        <f t="shared" si="140"/>
        <v/>
      </c>
      <c r="AM325" s="88">
        <f>IFERROR(SUBTOTAL(1,AM293:AM322),"")</f>
        <v>42.422450504679929</v>
      </c>
      <c r="AN325" s="88">
        <f t="shared" si="140"/>
        <v>116.8776666666667</v>
      </c>
      <c r="AO325" s="89">
        <f t="shared" si="140"/>
        <v>16.599999999999998</v>
      </c>
      <c r="AP325" s="90">
        <f t="shared" si="140"/>
        <v>13.161499999999998</v>
      </c>
      <c r="AQ325" s="91">
        <f t="shared" si="140"/>
        <v>77.899999999999991</v>
      </c>
      <c r="AR325" s="91">
        <f t="shared" si="140"/>
        <v>22.100000000000005</v>
      </c>
      <c r="AS325" s="92">
        <f t="shared" si="140"/>
        <v>8.2666666666666675</v>
      </c>
      <c r="AT325" s="93">
        <f t="shared" si="140"/>
        <v>14.662500000000001</v>
      </c>
      <c r="AU325" s="94">
        <f t="shared" si="140"/>
        <v>8.214458333333333</v>
      </c>
      <c r="AV325" s="91">
        <f t="shared" si="140"/>
        <v>56.020905588873745</v>
      </c>
      <c r="AW325" s="91">
        <f t="shared" si="140"/>
        <v>43.979094411126255</v>
      </c>
      <c r="AX325" s="83">
        <f t="shared" si="140"/>
        <v>63.915243875808187</v>
      </c>
      <c r="AY325" s="95">
        <f t="shared" si="140"/>
        <v>76.694444444444443</v>
      </c>
      <c r="AZ325" s="96">
        <f t="shared" si="140"/>
        <v>61.379999999999988</v>
      </c>
      <c r="BA325" s="96" t="str">
        <f t="shared" si="140"/>
        <v/>
      </c>
      <c r="BB325" s="96">
        <f t="shared" si="140"/>
        <v>58.794117647058826</v>
      </c>
      <c r="BC325" s="96" t="str">
        <f t="shared" si="140"/>
        <v/>
      </c>
      <c r="BD325" s="97">
        <f>IFERROR(SUBTOTAL(1,BD293:BD322),"")</f>
        <v>116.8776666666667</v>
      </c>
      <c r="BE325" s="87">
        <f t="shared" si="140"/>
        <v>6235.9333333333334</v>
      </c>
      <c r="BF325" s="88">
        <f t="shared" si="140"/>
        <v>74.8</v>
      </c>
      <c r="BG325" s="98">
        <f t="shared" si="140"/>
        <v>0</v>
      </c>
      <c r="BH325" s="98">
        <f t="shared" si="140"/>
        <v>461.9</v>
      </c>
      <c r="BI325" s="98">
        <f t="shared" si="140"/>
        <v>5699.2333333333336</v>
      </c>
      <c r="BJ325" s="98" t="str">
        <f t="shared" si="140"/>
        <v/>
      </c>
      <c r="BK325" s="98" t="str">
        <f t="shared" si="140"/>
        <v/>
      </c>
      <c r="BL325" s="97" t="str">
        <f t="shared" si="140"/>
        <v/>
      </c>
    </row>
    <row r="326" spans="1:64" ht="17.25" outlineLevel="1" thickBot="1" x14ac:dyDescent="0.35">
      <c r="A326" s="99" t="s">
        <v>92</v>
      </c>
      <c r="B326" s="100"/>
      <c r="C326" s="101"/>
      <c r="D326" s="102"/>
      <c r="E326" s="102"/>
      <c r="F326" s="102"/>
      <c r="G326" s="102"/>
      <c r="H326" s="102"/>
      <c r="I326" s="102"/>
      <c r="J326" s="102"/>
      <c r="K326" s="102"/>
      <c r="L326" s="103"/>
      <c r="M326" s="104"/>
      <c r="N326" s="104"/>
      <c r="O326" s="104"/>
      <c r="P326" s="104"/>
      <c r="Q326" s="104"/>
      <c r="R326" s="104"/>
      <c r="S326" s="104"/>
      <c r="T326" s="104"/>
      <c r="U326" s="105"/>
      <c r="V326" s="106"/>
      <c r="W326" s="106"/>
      <c r="X326" s="106"/>
      <c r="Y326" s="106"/>
      <c r="Z326" s="106"/>
      <c r="AA326" s="106"/>
      <c r="AB326" s="106"/>
      <c r="AC326" s="106"/>
      <c r="AD326" s="105"/>
      <c r="AE326" s="106"/>
      <c r="AF326" s="106"/>
      <c r="AG326" s="106"/>
      <c r="AH326" s="106"/>
      <c r="AI326" s="106"/>
      <c r="AJ326" s="106"/>
      <c r="AK326" s="106"/>
      <c r="AL326" s="106"/>
      <c r="AM326" s="106"/>
      <c r="AN326" s="107">
        <f>SUBTOTAL(9,AN293:AN322)</f>
        <v>3506.3300000000008</v>
      </c>
      <c r="AO326" s="108"/>
      <c r="AP326" s="109"/>
      <c r="AQ326" s="110"/>
      <c r="AR326" s="110"/>
      <c r="AS326" s="111">
        <f>SUBTOTAL(9,AS293:AS322)</f>
        <v>248</v>
      </c>
      <c r="AT326" s="112"/>
      <c r="AU326" s="113"/>
      <c r="AV326" s="110"/>
      <c r="AW326" s="110"/>
      <c r="AX326" s="101"/>
      <c r="AY326" s="114"/>
      <c r="AZ326" s="115"/>
      <c r="BA326" s="115"/>
      <c r="BB326" s="115"/>
      <c r="BC326" s="115"/>
      <c r="BD326" s="116">
        <f>SUBTOTAL(9,BD293:BD322)</f>
        <v>3506.3300000000008</v>
      </c>
      <c r="BE326" s="117">
        <f t="shared" ref="BE326:BL326" si="141">SUBTOTAL(9,BE293:BE322)</f>
        <v>187078</v>
      </c>
      <c r="BF326" s="107">
        <f t="shared" si="141"/>
        <v>2244</v>
      </c>
      <c r="BG326" s="118">
        <f t="shared" si="141"/>
        <v>0</v>
      </c>
      <c r="BH326" s="118">
        <f t="shared" si="141"/>
        <v>13857</v>
      </c>
      <c r="BI326" s="118">
        <f t="shared" si="141"/>
        <v>170977</v>
      </c>
      <c r="BJ326" s="118">
        <f t="shared" si="141"/>
        <v>0</v>
      </c>
      <c r="BK326" s="118">
        <f t="shared" si="141"/>
        <v>0</v>
      </c>
      <c r="BL326" s="116">
        <f t="shared" si="141"/>
        <v>0</v>
      </c>
    </row>
    <row r="327" spans="1:64" outlineLevel="5" x14ac:dyDescent="0.3">
      <c r="A327" s="136">
        <f t="shared" si="135"/>
        <v>10</v>
      </c>
      <c r="B327" s="165">
        <f>B322+1</f>
        <v>44835</v>
      </c>
      <c r="C327" s="138">
        <f t="shared" ref="C327:C357" si="142">IFERROR(ROUND(AVERAGE(D327:K327),1),"")</f>
        <v>35.5</v>
      </c>
      <c r="D327" s="84">
        <v>36</v>
      </c>
      <c r="E327" s="84">
        <v>35</v>
      </c>
      <c r="F327" s="84"/>
      <c r="G327" s="84"/>
      <c r="H327" s="84"/>
      <c r="I327" s="84"/>
      <c r="J327" s="84"/>
      <c r="K327" s="84"/>
      <c r="L327" s="140" t="str">
        <f t="shared" ref="L327:L357" si="143">IFERROR(ROUND(AVERAGE(M327:T327),1),"")</f>
        <v/>
      </c>
      <c r="M327" s="86"/>
      <c r="N327" s="86"/>
      <c r="O327" s="86"/>
      <c r="P327" s="86"/>
      <c r="Q327" s="86"/>
      <c r="R327" s="86"/>
      <c r="S327" s="86"/>
      <c r="T327" s="86"/>
      <c r="U327" s="142" t="str">
        <f t="shared" ref="U327:U357" si="144">IFERROR(ROUND(AVERAGE(V327:AC327),1),"")</f>
        <v/>
      </c>
      <c r="V327" s="88"/>
      <c r="W327" s="88"/>
      <c r="X327" s="88"/>
      <c r="Y327" s="88"/>
      <c r="Z327" s="88"/>
      <c r="AA327" s="88"/>
      <c r="AB327" s="88"/>
      <c r="AC327" s="88"/>
      <c r="AD327" s="142" t="str">
        <f t="shared" ref="AD327:AD357" si="145">IFERROR(ROUND(AVERAGE(AE327:AL327),1),"")</f>
        <v/>
      </c>
      <c r="AE327" s="88"/>
      <c r="AF327" s="88"/>
      <c r="AG327" s="88"/>
      <c r="AH327" s="88"/>
      <c r="AI327" s="88"/>
      <c r="AJ327" s="88"/>
      <c r="AK327" s="88"/>
      <c r="AL327" s="88"/>
      <c r="AM327" s="88">
        <v>43.510324483775811</v>
      </c>
      <c r="AN327" s="88">
        <v>108.48</v>
      </c>
      <c r="AO327" s="89"/>
      <c r="AP327" s="90"/>
      <c r="AQ327" s="146" t="str">
        <f t="shared" ref="AQ327:AQ357" si="146">IFERROR(AP327/AO327*100,"")</f>
        <v/>
      </c>
      <c r="AR327" s="146" t="str">
        <f t="shared" ref="AR327:AR357" si="147">IFERROR(100-AQ327,"")</f>
        <v/>
      </c>
      <c r="AS327" s="147">
        <v>10</v>
      </c>
      <c r="AT327" s="148" t="s">
        <v>106</v>
      </c>
      <c r="AU327" s="149" t="s">
        <v>56</v>
      </c>
      <c r="AV327" s="146" t="str">
        <f t="shared" ref="AV327:AV357" si="148">IFERROR(AU327/AT327*100,"")</f>
        <v/>
      </c>
      <c r="AW327" s="146" t="str">
        <f t="shared" ref="AW327:AW357" si="149">IFERROR(100-AV327,"")</f>
        <v/>
      </c>
      <c r="AX327" s="138" t="str">
        <f t="shared" ref="AX327:AX357" si="150">IFERROR((1-((AV327*AR327)/(AW327*AQ327)))*100,"")</f>
        <v/>
      </c>
      <c r="AY327" s="95" t="s">
        <v>56</v>
      </c>
      <c r="AZ327" s="96" t="s">
        <v>56</v>
      </c>
      <c r="BA327" s="96"/>
      <c r="BB327" s="96" t="s">
        <v>56</v>
      </c>
      <c r="BC327" s="96"/>
      <c r="BD327" s="97">
        <v>108.48</v>
      </c>
      <c r="BE327" s="142">
        <f t="shared" ref="BE327:BE357" si="151">IF(SUM(BF327:BL327)=0,"",SUM(BF327:BL327))</f>
        <v>5988</v>
      </c>
      <c r="BF327" s="88">
        <v>210</v>
      </c>
      <c r="BG327" s="98">
        <v>0</v>
      </c>
      <c r="BH327" s="98">
        <v>0</v>
      </c>
      <c r="BI327" s="98">
        <v>5778</v>
      </c>
      <c r="BJ327" s="98"/>
      <c r="BK327" s="98"/>
      <c r="BL327" s="97"/>
    </row>
    <row r="328" spans="1:64" outlineLevel="5" x14ac:dyDescent="0.3">
      <c r="A328" s="152">
        <f t="shared" si="135"/>
        <v>10</v>
      </c>
      <c r="B328" s="153">
        <f t="shared" si="120"/>
        <v>44836</v>
      </c>
      <c r="C328" s="138">
        <f t="shared" si="142"/>
        <v>35.5</v>
      </c>
      <c r="D328" s="84">
        <v>36</v>
      </c>
      <c r="E328" s="84">
        <v>35</v>
      </c>
      <c r="F328" s="84"/>
      <c r="G328" s="84"/>
      <c r="H328" s="84"/>
      <c r="I328" s="84"/>
      <c r="J328" s="84"/>
      <c r="K328" s="84"/>
      <c r="L328" s="140" t="str">
        <f t="shared" si="143"/>
        <v/>
      </c>
      <c r="M328" s="86"/>
      <c r="N328" s="86"/>
      <c r="O328" s="86"/>
      <c r="P328" s="86"/>
      <c r="Q328" s="86"/>
      <c r="R328" s="86"/>
      <c r="S328" s="86"/>
      <c r="T328" s="86"/>
      <c r="U328" s="142" t="str">
        <f t="shared" si="144"/>
        <v/>
      </c>
      <c r="V328" s="88"/>
      <c r="W328" s="88"/>
      <c r="X328" s="88"/>
      <c r="Y328" s="88"/>
      <c r="Z328" s="88"/>
      <c r="AA328" s="88"/>
      <c r="AB328" s="88"/>
      <c r="AC328" s="88"/>
      <c r="AD328" s="142" t="str">
        <f t="shared" si="145"/>
        <v/>
      </c>
      <c r="AE328" s="88"/>
      <c r="AF328" s="88"/>
      <c r="AG328" s="88"/>
      <c r="AH328" s="88"/>
      <c r="AI328" s="88"/>
      <c r="AJ328" s="88"/>
      <c r="AK328" s="88"/>
      <c r="AL328" s="88"/>
      <c r="AM328" s="88">
        <v>59</v>
      </c>
      <c r="AN328" s="88">
        <v>80</v>
      </c>
      <c r="AO328" s="89"/>
      <c r="AP328" s="90"/>
      <c r="AQ328" s="146" t="str">
        <f t="shared" si="146"/>
        <v/>
      </c>
      <c r="AR328" s="146" t="str">
        <f t="shared" si="147"/>
        <v/>
      </c>
      <c r="AS328" s="147">
        <v>0</v>
      </c>
      <c r="AT328" s="148" t="s">
        <v>106</v>
      </c>
      <c r="AU328" s="149" t="s">
        <v>56</v>
      </c>
      <c r="AV328" s="146" t="str">
        <f t="shared" si="148"/>
        <v/>
      </c>
      <c r="AW328" s="146" t="str">
        <f t="shared" si="149"/>
        <v/>
      </c>
      <c r="AX328" s="138" t="str">
        <f t="shared" si="150"/>
        <v/>
      </c>
      <c r="AY328" s="95" t="s">
        <v>56</v>
      </c>
      <c r="AZ328" s="96" t="s">
        <v>56</v>
      </c>
      <c r="BA328" s="96"/>
      <c r="BB328" s="96" t="s">
        <v>56</v>
      </c>
      <c r="BC328" s="96"/>
      <c r="BD328" s="97">
        <v>80</v>
      </c>
      <c r="BE328" s="142">
        <f t="shared" si="151"/>
        <v>6016</v>
      </c>
      <c r="BF328" s="88">
        <v>135</v>
      </c>
      <c r="BG328" s="98">
        <v>0</v>
      </c>
      <c r="BH328" s="98">
        <v>0</v>
      </c>
      <c r="BI328" s="98">
        <v>5881</v>
      </c>
      <c r="BJ328" s="98"/>
      <c r="BK328" s="98"/>
      <c r="BL328" s="97"/>
    </row>
    <row r="329" spans="1:64" outlineLevel="5" x14ac:dyDescent="0.3">
      <c r="A329" s="152">
        <f t="shared" si="135"/>
        <v>10</v>
      </c>
      <c r="B329" s="153">
        <f t="shared" si="120"/>
        <v>44837</v>
      </c>
      <c r="C329" s="138">
        <f t="shared" si="142"/>
        <v>36</v>
      </c>
      <c r="D329" s="84">
        <v>36</v>
      </c>
      <c r="E329" s="84">
        <v>36</v>
      </c>
      <c r="F329" s="84"/>
      <c r="G329" s="84"/>
      <c r="H329" s="84"/>
      <c r="I329" s="84"/>
      <c r="J329" s="84"/>
      <c r="K329" s="84"/>
      <c r="L329" s="140" t="str">
        <f t="shared" si="143"/>
        <v/>
      </c>
      <c r="M329" s="86"/>
      <c r="N329" s="86"/>
      <c r="O329" s="86"/>
      <c r="P329" s="86"/>
      <c r="Q329" s="86"/>
      <c r="R329" s="86"/>
      <c r="S329" s="86"/>
      <c r="T329" s="86"/>
      <c r="U329" s="142" t="str">
        <f t="shared" si="144"/>
        <v/>
      </c>
      <c r="V329" s="88"/>
      <c r="W329" s="88"/>
      <c r="X329" s="88"/>
      <c r="Y329" s="88"/>
      <c r="Z329" s="88"/>
      <c r="AA329" s="88"/>
      <c r="AB329" s="88"/>
      <c r="AC329" s="88"/>
      <c r="AD329" s="142" t="str">
        <f t="shared" si="145"/>
        <v/>
      </c>
      <c r="AE329" s="88"/>
      <c r="AF329" s="88"/>
      <c r="AG329" s="88"/>
      <c r="AH329" s="88"/>
      <c r="AI329" s="88"/>
      <c r="AJ329" s="88"/>
      <c r="AK329" s="88"/>
      <c r="AL329" s="88"/>
      <c r="AM329" s="88">
        <v>36.606173413991002</v>
      </c>
      <c r="AN329" s="88">
        <v>128.94</v>
      </c>
      <c r="AO329" s="89"/>
      <c r="AP329" s="90"/>
      <c r="AQ329" s="146" t="str">
        <f t="shared" si="146"/>
        <v/>
      </c>
      <c r="AR329" s="146" t="str">
        <f t="shared" si="147"/>
        <v/>
      </c>
      <c r="AS329" s="147">
        <v>0</v>
      </c>
      <c r="AT329" s="148" t="s">
        <v>106</v>
      </c>
      <c r="AU329" s="149" t="s">
        <v>56</v>
      </c>
      <c r="AV329" s="146" t="str">
        <f t="shared" si="148"/>
        <v/>
      </c>
      <c r="AW329" s="146" t="str">
        <f t="shared" si="149"/>
        <v/>
      </c>
      <c r="AX329" s="138" t="str">
        <f t="shared" si="150"/>
        <v/>
      </c>
      <c r="AY329" s="95" t="s">
        <v>56</v>
      </c>
      <c r="AZ329" s="96" t="s">
        <v>56</v>
      </c>
      <c r="BA329" s="96"/>
      <c r="BB329" s="96" t="s">
        <v>56</v>
      </c>
      <c r="BC329" s="96"/>
      <c r="BD329" s="97">
        <v>128.94</v>
      </c>
      <c r="BE329" s="142">
        <f t="shared" si="151"/>
        <v>6441</v>
      </c>
      <c r="BF329" s="88">
        <v>144</v>
      </c>
      <c r="BG329" s="98">
        <v>0</v>
      </c>
      <c r="BH329" s="98">
        <v>0</v>
      </c>
      <c r="BI329" s="98">
        <v>6297</v>
      </c>
      <c r="BJ329" s="98"/>
      <c r="BK329" s="98"/>
      <c r="BL329" s="97"/>
    </row>
    <row r="330" spans="1:64" outlineLevel="5" x14ac:dyDescent="0.3">
      <c r="A330" s="152">
        <f t="shared" si="135"/>
        <v>10</v>
      </c>
      <c r="B330" s="153">
        <f t="shared" si="120"/>
        <v>44838</v>
      </c>
      <c r="C330" s="138">
        <f t="shared" si="142"/>
        <v>36</v>
      </c>
      <c r="D330" s="84">
        <v>36</v>
      </c>
      <c r="E330" s="84">
        <v>36</v>
      </c>
      <c r="F330" s="84"/>
      <c r="G330" s="84"/>
      <c r="H330" s="84"/>
      <c r="I330" s="84"/>
      <c r="J330" s="84"/>
      <c r="K330" s="84"/>
      <c r="L330" s="140">
        <f t="shared" si="143"/>
        <v>8.3000000000000007</v>
      </c>
      <c r="M330" s="86">
        <v>8.35</v>
      </c>
      <c r="N330" s="86">
        <v>8.2799999999999994</v>
      </c>
      <c r="O330" s="86"/>
      <c r="P330" s="86"/>
      <c r="Q330" s="86"/>
      <c r="R330" s="86"/>
      <c r="S330" s="86"/>
      <c r="T330" s="86"/>
      <c r="U330" s="142">
        <f t="shared" si="144"/>
        <v>1210</v>
      </c>
      <c r="V330" s="88">
        <v>1277</v>
      </c>
      <c r="W330" s="88">
        <v>1143</v>
      </c>
      <c r="X330" s="88"/>
      <c r="Y330" s="88"/>
      <c r="Z330" s="88"/>
      <c r="AA330" s="88"/>
      <c r="AB330" s="88"/>
      <c r="AC330" s="88"/>
      <c r="AD330" s="142" t="str">
        <f t="shared" si="145"/>
        <v/>
      </c>
      <c r="AE330" s="88"/>
      <c r="AF330" s="88"/>
      <c r="AG330" s="88"/>
      <c r="AH330" s="88"/>
      <c r="AI330" s="88"/>
      <c r="AJ330" s="88"/>
      <c r="AK330" s="88"/>
      <c r="AL330" s="88"/>
      <c r="AM330" s="88">
        <v>34.69822833198559</v>
      </c>
      <c r="AN330" s="88">
        <v>136.03</v>
      </c>
      <c r="AO330" s="89"/>
      <c r="AP330" s="90"/>
      <c r="AQ330" s="146" t="str">
        <f t="shared" si="146"/>
        <v/>
      </c>
      <c r="AR330" s="146" t="str">
        <f t="shared" si="147"/>
        <v/>
      </c>
      <c r="AS330" s="147">
        <v>10</v>
      </c>
      <c r="AT330" s="148" t="s">
        <v>106</v>
      </c>
      <c r="AU330" s="149" t="s">
        <v>56</v>
      </c>
      <c r="AV330" s="146" t="str">
        <f t="shared" si="148"/>
        <v/>
      </c>
      <c r="AW330" s="146" t="str">
        <f t="shared" si="149"/>
        <v/>
      </c>
      <c r="AX330" s="138" t="str">
        <f t="shared" si="150"/>
        <v/>
      </c>
      <c r="AY330" s="95" t="s">
        <v>56</v>
      </c>
      <c r="AZ330" s="96" t="s">
        <v>56</v>
      </c>
      <c r="BA330" s="96"/>
      <c r="BB330" s="96" t="s">
        <v>56</v>
      </c>
      <c r="BC330" s="96"/>
      <c r="BD330" s="97">
        <v>136.03</v>
      </c>
      <c r="BE330" s="142">
        <f t="shared" si="151"/>
        <v>8152</v>
      </c>
      <c r="BF330" s="88">
        <v>179</v>
      </c>
      <c r="BG330" s="98">
        <v>0</v>
      </c>
      <c r="BH330" s="98">
        <v>1724</v>
      </c>
      <c r="BI330" s="98">
        <v>6249</v>
      </c>
      <c r="BJ330" s="98"/>
      <c r="BK330" s="98"/>
      <c r="BL330" s="97"/>
    </row>
    <row r="331" spans="1:64" outlineLevel="5" x14ac:dyDescent="0.3">
      <c r="A331" s="152">
        <f t="shared" si="135"/>
        <v>10</v>
      </c>
      <c r="B331" s="153">
        <f t="shared" si="120"/>
        <v>44839</v>
      </c>
      <c r="C331" s="138">
        <f t="shared" si="142"/>
        <v>36.5</v>
      </c>
      <c r="D331" s="84">
        <v>37</v>
      </c>
      <c r="E331" s="84">
        <v>36</v>
      </c>
      <c r="F331" s="84"/>
      <c r="G331" s="84"/>
      <c r="H331" s="84"/>
      <c r="I331" s="84"/>
      <c r="J331" s="84"/>
      <c r="K331" s="84"/>
      <c r="L331" s="140">
        <f t="shared" si="143"/>
        <v>8.1</v>
      </c>
      <c r="M331" s="86">
        <v>8.19</v>
      </c>
      <c r="N331" s="86">
        <v>8.1</v>
      </c>
      <c r="O331" s="86"/>
      <c r="P331" s="86"/>
      <c r="Q331" s="86"/>
      <c r="R331" s="86"/>
      <c r="S331" s="86"/>
      <c r="T331" s="86"/>
      <c r="U331" s="142">
        <f t="shared" si="144"/>
        <v>1135.5</v>
      </c>
      <c r="V331" s="88">
        <v>1176</v>
      </c>
      <c r="W331" s="88">
        <v>1095</v>
      </c>
      <c r="X331" s="88"/>
      <c r="Y331" s="88"/>
      <c r="Z331" s="88"/>
      <c r="AA331" s="88"/>
      <c r="AB331" s="88"/>
      <c r="AC331" s="88"/>
      <c r="AD331" s="142">
        <f t="shared" si="145"/>
        <v>7009</v>
      </c>
      <c r="AE331" s="88">
        <v>6978</v>
      </c>
      <c r="AF331" s="88">
        <v>7040</v>
      </c>
      <c r="AG331" s="88"/>
      <c r="AH331" s="88"/>
      <c r="AI331" s="88"/>
      <c r="AJ331" s="88"/>
      <c r="AK331" s="88"/>
      <c r="AL331" s="88"/>
      <c r="AM331" s="88">
        <v>33.083339174318354</v>
      </c>
      <c r="AN331" s="88">
        <v>142.67000000000002</v>
      </c>
      <c r="AO331" s="89"/>
      <c r="AP331" s="90"/>
      <c r="AQ331" s="146" t="str">
        <f t="shared" si="146"/>
        <v/>
      </c>
      <c r="AR331" s="146" t="str">
        <f t="shared" si="147"/>
        <v/>
      </c>
      <c r="AS331" s="147">
        <v>10</v>
      </c>
      <c r="AT331" s="148">
        <v>14.600000000000001</v>
      </c>
      <c r="AU331" s="149">
        <v>8.0051500000000004</v>
      </c>
      <c r="AV331" s="146">
        <f t="shared" si="148"/>
        <v>54.829794520547949</v>
      </c>
      <c r="AW331" s="146">
        <f t="shared" si="149"/>
        <v>45.170205479452051</v>
      </c>
      <c r="AX331" s="138" t="str">
        <f t="shared" si="150"/>
        <v/>
      </c>
      <c r="AY331" s="95">
        <v>75.599999999999994</v>
      </c>
      <c r="AZ331" s="96" t="s">
        <v>56</v>
      </c>
      <c r="BA331" s="96"/>
      <c r="BB331" s="96" t="s">
        <v>56</v>
      </c>
      <c r="BC331" s="96"/>
      <c r="BD331" s="97">
        <v>142.67000000000002</v>
      </c>
      <c r="BE331" s="142">
        <f t="shared" si="151"/>
        <v>6280</v>
      </c>
      <c r="BF331" s="88">
        <v>303</v>
      </c>
      <c r="BG331" s="98">
        <v>0</v>
      </c>
      <c r="BH331" s="98">
        <v>0</v>
      </c>
      <c r="BI331" s="98">
        <v>5977</v>
      </c>
      <c r="BJ331" s="98"/>
      <c r="BK331" s="98"/>
      <c r="BL331" s="97"/>
    </row>
    <row r="332" spans="1:64" outlineLevel="5" x14ac:dyDescent="0.3">
      <c r="A332" s="152">
        <f t="shared" si="135"/>
        <v>10</v>
      </c>
      <c r="B332" s="153">
        <f t="shared" si="120"/>
        <v>44840</v>
      </c>
      <c r="C332" s="138">
        <f t="shared" si="142"/>
        <v>37</v>
      </c>
      <c r="D332" s="84">
        <v>37</v>
      </c>
      <c r="E332" s="84">
        <v>37</v>
      </c>
      <c r="F332" s="84"/>
      <c r="G332" s="84"/>
      <c r="H332" s="84"/>
      <c r="I332" s="84"/>
      <c r="J332" s="84"/>
      <c r="K332" s="84"/>
      <c r="L332" s="140">
        <f t="shared" si="143"/>
        <v>8.3000000000000007</v>
      </c>
      <c r="M332" s="86">
        <v>8.33</v>
      </c>
      <c r="N332" s="86">
        <v>8.3000000000000007</v>
      </c>
      <c r="O332" s="86"/>
      <c r="P332" s="86"/>
      <c r="Q332" s="86"/>
      <c r="R332" s="86"/>
      <c r="S332" s="86"/>
      <c r="T332" s="86"/>
      <c r="U332" s="142">
        <f t="shared" si="144"/>
        <v>1136</v>
      </c>
      <c r="V332" s="88">
        <v>1195</v>
      </c>
      <c r="W332" s="88">
        <v>1077</v>
      </c>
      <c r="X332" s="88"/>
      <c r="Y332" s="88"/>
      <c r="Z332" s="88"/>
      <c r="AA332" s="88"/>
      <c r="AB332" s="88"/>
      <c r="AC332" s="88"/>
      <c r="AD332" s="142" t="str">
        <f t="shared" si="145"/>
        <v/>
      </c>
      <c r="AE332" s="88"/>
      <c r="AF332" s="88"/>
      <c r="AG332" s="88"/>
      <c r="AH332" s="88"/>
      <c r="AI332" s="88"/>
      <c r="AJ332" s="88"/>
      <c r="AK332" s="88"/>
      <c r="AL332" s="88"/>
      <c r="AM332" s="88">
        <v>37.092337917485267</v>
      </c>
      <c r="AN332" s="88">
        <v>127.25</v>
      </c>
      <c r="AO332" s="89"/>
      <c r="AP332" s="90"/>
      <c r="AQ332" s="146" t="str">
        <f t="shared" si="146"/>
        <v/>
      </c>
      <c r="AR332" s="146" t="str">
        <f t="shared" si="147"/>
        <v/>
      </c>
      <c r="AS332" s="147">
        <v>10</v>
      </c>
      <c r="AT332" s="148">
        <v>14.3</v>
      </c>
      <c r="AU332" s="149">
        <v>7.9512499999999999</v>
      </c>
      <c r="AV332" s="146">
        <f t="shared" si="148"/>
        <v>55.603146853146846</v>
      </c>
      <c r="AW332" s="146">
        <f t="shared" si="149"/>
        <v>44.396853146853154</v>
      </c>
      <c r="AX332" s="138" t="str">
        <f t="shared" si="150"/>
        <v/>
      </c>
      <c r="AY332" s="95">
        <v>76</v>
      </c>
      <c r="AZ332" s="96" t="s">
        <v>56</v>
      </c>
      <c r="BA332" s="96"/>
      <c r="BB332" s="96" t="s">
        <v>56</v>
      </c>
      <c r="BC332" s="96"/>
      <c r="BD332" s="97">
        <v>127.25</v>
      </c>
      <c r="BE332" s="142">
        <f t="shared" si="151"/>
        <v>6206</v>
      </c>
      <c r="BF332" s="88">
        <v>189</v>
      </c>
      <c r="BG332" s="98">
        <v>0</v>
      </c>
      <c r="BH332" s="98">
        <v>0</v>
      </c>
      <c r="BI332" s="98">
        <v>6017</v>
      </c>
      <c r="BJ332" s="98"/>
      <c r="BK332" s="98"/>
      <c r="BL332" s="97"/>
    </row>
    <row r="333" spans="1:64" outlineLevel="5" x14ac:dyDescent="0.3">
      <c r="A333" s="152">
        <f t="shared" si="135"/>
        <v>10</v>
      </c>
      <c r="B333" s="153">
        <f t="shared" si="120"/>
        <v>44841</v>
      </c>
      <c r="C333" s="138">
        <f t="shared" si="142"/>
        <v>36</v>
      </c>
      <c r="D333" s="84">
        <v>36</v>
      </c>
      <c r="E333" s="84">
        <v>36</v>
      </c>
      <c r="F333" s="84"/>
      <c r="G333" s="84"/>
      <c r="H333" s="84"/>
      <c r="I333" s="84"/>
      <c r="J333" s="84"/>
      <c r="K333" s="84"/>
      <c r="L333" s="140">
        <f t="shared" si="143"/>
        <v>8.3000000000000007</v>
      </c>
      <c r="M333" s="86">
        <v>8.35</v>
      </c>
      <c r="N333" s="86">
        <v>8.2899999999999991</v>
      </c>
      <c r="O333" s="86"/>
      <c r="P333" s="86"/>
      <c r="Q333" s="86"/>
      <c r="R333" s="86"/>
      <c r="S333" s="86"/>
      <c r="T333" s="86"/>
      <c r="U333" s="142">
        <f t="shared" si="144"/>
        <v>1074.5</v>
      </c>
      <c r="V333" s="88">
        <v>1109</v>
      </c>
      <c r="W333" s="88">
        <v>1040</v>
      </c>
      <c r="X333" s="88"/>
      <c r="Y333" s="88"/>
      <c r="Z333" s="88"/>
      <c r="AA333" s="88"/>
      <c r="AB333" s="88"/>
      <c r="AC333" s="88"/>
      <c r="AD333" s="142" t="str">
        <f t="shared" si="145"/>
        <v/>
      </c>
      <c r="AE333" s="88"/>
      <c r="AF333" s="88"/>
      <c r="AG333" s="88"/>
      <c r="AH333" s="88"/>
      <c r="AI333" s="88"/>
      <c r="AJ333" s="88"/>
      <c r="AK333" s="88"/>
      <c r="AL333" s="88"/>
      <c r="AM333" s="88">
        <v>39.160375010370863</v>
      </c>
      <c r="AN333" s="88">
        <v>120.53</v>
      </c>
      <c r="AO333" s="89"/>
      <c r="AP333" s="90"/>
      <c r="AQ333" s="146" t="str">
        <f t="shared" si="146"/>
        <v/>
      </c>
      <c r="AR333" s="146" t="str">
        <f t="shared" si="147"/>
        <v/>
      </c>
      <c r="AS333" s="147">
        <v>10</v>
      </c>
      <c r="AT333" s="148" t="s">
        <v>106</v>
      </c>
      <c r="AU333" s="149" t="s">
        <v>56</v>
      </c>
      <c r="AV333" s="146" t="str">
        <f t="shared" si="148"/>
        <v/>
      </c>
      <c r="AW333" s="146" t="str">
        <f t="shared" si="149"/>
        <v/>
      </c>
      <c r="AX333" s="138" t="str">
        <f t="shared" si="150"/>
        <v/>
      </c>
      <c r="AY333" s="95" t="s">
        <v>56</v>
      </c>
      <c r="AZ333" s="96" t="s">
        <v>56</v>
      </c>
      <c r="BA333" s="96"/>
      <c r="BB333" s="96" t="s">
        <v>56</v>
      </c>
      <c r="BC333" s="96"/>
      <c r="BD333" s="97">
        <v>120.53</v>
      </c>
      <c r="BE333" s="142">
        <f t="shared" si="151"/>
        <v>6044</v>
      </c>
      <c r="BF333" s="88">
        <v>190</v>
      </c>
      <c r="BG333" s="98">
        <v>0</v>
      </c>
      <c r="BH333" s="98">
        <v>0</v>
      </c>
      <c r="BI333" s="98">
        <v>5854</v>
      </c>
      <c r="BJ333" s="98"/>
      <c r="BK333" s="98"/>
      <c r="BL333" s="97"/>
    </row>
    <row r="334" spans="1:64" outlineLevel="5" x14ac:dyDescent="0.3">
      <c r="A334" s="152">
        <f t="shared" si="135"/>
        <v>10</v>
      </c>
      <c r="B334" s="153">
        <f t="shared" si="120"/>
        <v>44842</v>
      </c>
      <c r="C334" s="138">
        <f t="shared" si="142"/>
        <v>36</v>
      </c>
      <c r="D334" s="84">
        <v>36</v>
      </c>
      <c r="E334" s="84">
        <v>36</v>
      </c>
      <c r="F334" s="84"/>
      <c r="G334" s="84"/>
      <c r="H334" s="84"/>
      <c r="I334" s="84"/>
      <c r="J334" s="84"/>
      <c r="K334" s="84"/>
      <c r="L334" s="140" t="str">
        <f t="shared" si="143"/>
        <v/>
      </c>
      <c r="M334" s="86"/>
      <c r="N334" s="86"/>
      <c r="O334" s="86"/>
      <c r="P334" s="86"/>
      <c r="Q334" s="86"/>
      <c r="R334" s="86"/>
      <c r="S334" s="86"/>
      <c r="T334" s="86"/>
      <c r="U334" s="142" t="str">
        <f t="shared" si="144"/>
        <v/>
      </c>
      <c r="V334" s="88"/>
      <c r="W334" s="88"/>
      <c r="X334" s="88"/>
      <c r="Y334" s="88"/>
      <c r="Z334" s="88"/>
      <c r="AA334" s="88"/>
      <c r="AB334" s="88"/>
      <c r="AC334" s="88"/>
      <c r="AD334" s="142" t="str">
        <f t="shared" si="145"/>
        <v/>
      </c>
      <c r="AE334" s="88"/>
      <c r="AF334" s="88"/>
      <c r="AG334" s="88"/>
      <c r="AH334" s="88"/>
      <c r="AI334" s="88"/>
      <c r="AJ334" s="88"/>
      <c r="AK334" s="88"/>
      <c r="AL334" s="88"/>
      <c r="AM334" s="88">
        <v>57.624221706751314</v>
      </c>
      <c r="AN334" s="88">
        <v>81.91</v>
      </c>
      <c r="AO334" s="89"/>
      <c r="AP334" s="90"/>
      <c r="AQ334" s="146" t="str">
        <f t="shared" si="146"/>
        <v/>
      </c>
      <c r="AR334" s="146" t="str">
        <f t="shared" si="147"/>
        <v/>
      </c>
      <c r="AS334" s="147">
        <v>20</v>
      </c>
      <c r="AT334" s="148" t="s">
        <v>106</v>
      </c>
      <c r="AU334" s="149" t="s">
        <v>56</v>
      </c>
      <c r="AV334" s="146" t="str">
        <f t="shared" si="148"/>
        <v/>
      </c>
      <c r="AW334" s="146" t="str">
        <f t="shared" si="149"/>
        <v/>
      </c>
      <c r="AX334" s="138" t="str">
        <f t="shared" si="150"/>
        <v/>
      </c>
      <c r="AY334" s="95" t="s">
        <v>56</v>
      </c>
      <c r="AZ334" s="96" t="s">
        <v>56</v>
      </c>
      <c r="BA334" s="96"/>
      <c r="BB334" s="96" t="s">
        <v>56</v>
      </c>
      <c r="BC334" s="96"/>
      <c r="BD334" s="97">
        <v>81.91</v>
      </c>
      <c r="BE334" s="142">
        <f t="shared" si="151"/>
        <v>5948</v>
      </c>
      <c r="BF334" s="88">
        <v>191</v>
      </c>
      <c r="BG334" s="98">
        <v>0</v>
      </c>
      <c r="BH334" s="98">
        <v>0</v>
      </c>
      <c r="BI334" s="98">
        <v>5757</v>
      </c>
      <c r="BJ334" s="98"/>
      <c r="BK334" s="98"/>
      <c r="BL334" s="97"/>
    </row>
    <row r="335" spans="1:64" outlineLevel="5" x14ac:dyDescent="0.3">
      <c r="A335" s="152">
        <f t="shared" si="135"/>
        <v>10</v>
      </c>
      <c r="B335" s="153">
        <f t="shared" si="120"/>
        <v>44843</v>
      </c>
      <c r="C335" s="138">
        <f t="shared" si="142"/>
        <v>37</v>
      </c>
      <c r="D335" s="84">
        <v>37</v>
      </c>
      <c r="E335" s="84">
        <v>37</v>
      </c>
      <c r="F335" s="84"/>
      <c r="G335" s="84"/>
      <c r="H335" s="84"/>
      <c r="I335" s="84"/>
      <c r="J335" s="84"/>
      <c r="K335" s="84"/>
      <c r="L335" s="140" t="str">
        <f t="shared" si="143"/>
        <v/>
      </c>
      <c r="M335" s="86"/>
      <c r="N335" s="86"/>
      <c r="O335" s="86"/>
      <c r="P335" s="86"/>
      <c r="Q335" s="86"/>
      <c r="R335" s="86"/>
      <c r="S335" s="86"/>
      <c r="T335" s="86"/>
      <c r="U335" s="142" t="str">
        <f t="shared" si="144"/>
        <v/>
      </c>
      <c r="V335" s="88"/>
      <c r="W335" s="88"/>
      <c r="X335" s="88"/>
      <c r="Y335" s="88"/>
      <c r="Z335" s="88"/>
      <c r="AA335" s="88"/>
      <c r="AB335" s="88"/>
      <c r="AC335" s="88"/>
      <c r="AD335" s="142" t="str">
        <f t="shared" si="145"/>
        <v/>
      </c>
      <c r="AE335" s="88"/>
      <c r="AF335" s="88"/>
      <c r="AG335" s="88"/>
      <c r="AH335" s="88"/>
      <c r="AI335" s="88"/>
      <c r="AJ335" s="88"/>
      <c r="AK335" s="88"/>
      <c r="AL335" s="88"/>
      <c r="AM335" s="88">
        <v>55.529411764705884</v>
      </c>
      <c r="AN335" s="88">
        <v>85</v>
      </c>
      <c r="AO335" s="89"/>
      <c r="AP335" s="90"/>
      <c r="AQ335" s="146" t="str">
        <f t="shared" si="146"/>
        <v/>
      </c>
      <c r="AR335" s="146" t="str">
        <f t="shared" si="147"/>
        <v/>
      </c>
      <c r="AS335" s="147">
        <v>0</v>
      </c>
      <c r="AT335" s="148" t="s">
        <v>106</v>
      </c>
      <c r="AU335" s="149" t="s">
        <v>56</v>
      </c>
      <c r="AV335" s="146" t="str">
        <f t="shared" si="148"/>
        <v/>
      </c>
      <c r="AW335" s="146" t="str">
        <f t="shared" si="149"/>
        <v/>
      </c>
      <c r="AX335" s="138" t="str">
        <f t="shared" si="150"/>
        <v/>
      </c>
      <c r="AY335" s="95" t="s">
        <v>56</v>
      </c>
      <c r="AZ335" s="96" t="s">
        <v>56</v>
      </c>
      <c r="BA335" s="96"/>
      <c r="BB335" s="96" t="s">
        <v>56</v>
      </c>
      <c r="BC335" s="96"/>
      <c r="BD335" s="97">
        <v>85</v>
      </c>
      <c r="BE335" s="142">
        <f t="shared" si="151"/>
        <v>5916</v>
      </c>
      <c r="BF335" s="88">
        <v>200</v>
      </c>
      <c r="BG335" s="98">
        <v>0</v>
      </c>
      <c r="BH335" s="98">
        <v>0</v>
      </c>
      <c r="BI335" s="98">
        <v>5716</v>
      </c>
      <c r="BJ335" s="98"/>
      <c r="BK335" s="98"/>
      <c r="BL335" s="97"/>
    </row>
    <row r="336" spans="1:64" outlineLevel="5" x14ac:dyDescent="0.3">
      <c r="A336" s="152">
        <f t="shared" si="135"/>
        <v>10</v>
      </c>
      <c r="B336" s="153">
        <f t="shared" si="120"/>
        <v>44844</v>
      </c>
      <c r="C336" s="138">
        <f t="shared" si="142"/>
        <v>37</v>
      </c>
      <c r="D336" s="84">
        <v>37</v>
      </c>
      <c r="E336" s="84">
        <v>37</v>
      </c>
      <c r="F336" s="84"/>
      <c r="G336" s="84"/>
      <c r="H336" s="84"/>
      <c r="I336" s="84"/>
      <c r="J336" s="84"/>
      <c r="K336" s="84"/>
      <c r="L336" s="140" t="str">
        <f t="shared" si="143"/>
        <v/>
      </c>
      <c r="M336" s="86"/>
      <c r="N336" s="86"/>
      <c r="O336" s="86"/>
      <c r="P336" s="86"/>
      <c r="Q336" s="86"/>
      <c r="R336" s="86"/>
      <c r="S336" s="86"/>
      <c r="T336" s="86"/>
      <c r="U336" s="142" t="str">
        <f t="shared" si="144"/>
        <v/>
      </c>
      <c r="V336" s="88"/>
      <c r="W336" s="88"/>
      <c r="X336" s="88"/>
      <c r="Y336" s="88"/>
      <c r="Z336" s="88"/>
      <c r="AA336" s="88"/>
      <c r="AB336" s="88"/>
      <c r="AC336" s="88"/>
      <c r="AD336" s="142" t="str">
        <f t="shared" si="145"/>
        <v/>
      </c>
      <c r="AE336" s="88"/>
      <c r="AF336" s="88"/>
      <c r="AG336" s="88"/>
      <c r="AH336" s="88"/>
      <c r="AI336" s="88"/>
      <c r="AJ336" s="88"/>
      <c r="AK336" s="88"/>
      <c r="AL336" s="88"/>
      <c r="AM336" s="88">
        <v>36.080110074912092</v>
      </c>
      <c r="AN336" s="88">
        <v>130.82</v>
      </c>
      <c r="AO336" s="89"/>
      <c r="AP336" s="90"/>
      <c r="AQ336" s="146" t="str">
        <f t="shared" si="146"/>
        <v/>
      </c>
      <c r="AR336" s="146" t="str">
        <f t="shared" si="147"/>
        <v/>
      </c>
      <c r="AS336" s="147">
        <v>10</v>
      </c>
      <c r="AT336" s="148" t="s">
        <v>106</v>
      </c>
      <c r="AU336" s="149" t="s">
        <v>56</v>
      </c>
      <c r="AV336" s="146" t="str">
        <f t="shared" si="148"/>
        <v/>
      </c>
      <c r="AW336" s="146" t="str">
        <f t="shared" si="149"/>
        <v/>
      </c>
      <c r="AX336" s="138" t="str">
        <f t="shared" si="150"/>
        <v/>
      </c>
      <c r="AY336" s="95" t="s">
        <v>56</v>
      </c>
      <c r="AZ336" s="96" t="s">
        <v>56</v>
      </c>
      <c r="BA336" s="96"/>
      <c r="BB336" s="96" t="s">
        <v>56</v>
      </c>
      <c r="BC336" s="96"/>
      <c r="BD336" s="97">
        <v>130.82</v>
      </c>
      <c r="BE336" s="142">
        <f t="shared" si="151"/>
        <v>6150</v>
      </c>
      <c r="BF336" s="88">
        <v>225</v>
      </c>
      <c r="BG336" s="98">
        <v>0</v>
      </c>
      <c r="BH336" s="98">
        <v>0</v>
      </c>
      <c r="BI336" s="98">
        <v>5925</v>
      </c>
      <c r="BJ336" s="98"/>
      <c r="BK336" s="98"/>
      <c r="BL336" s="97"/>
    </row>
    <row r="337" spans="1:64" outlineLevel="5" x14ac:dyDescent="0.3">
      <c r="A337" s="152">
        <f t="shared" si="135"/>
        <v>10</v>
      </c>
      <c r="B337" s="153">
        <f t="shared" si="120"/>
        <v>44845</v>
      </c>
      <c r="C337" s="138">
        <f t="shared" si="142"/>
        <v>37</v>
      </c>
      <c r="D337" s="84">
        <v>37</v>
      </c>
      <c r="E337" s="84">
        <v>37</v>
      </c>
      <c r="F337" s="84"/>
      <c r="G337" s="84"/>
      <c r="H337" s="84"/>
      <c r="I337" s="84"/>
      <c r="J337" s="84"/>
      <c r="K337" s="84"/>
      <c r="L337" s="140">
        <f t="shared" si="143"/>
        <v>8.4</v>
      </c>
      <c r="M337" s="86">
        <v>8.4</v>
      </c>
      <c r="N337" s="86">
        <v>8.31</v>
      </c>
      <c r="O337" s="86"/>
      <c r="P337" s="86"/>
      <c r="Q337" s="86"/>
      <c r="R337" s="86"/>
      <c r="S337" s="86"/>
      <c r="T337" s="86"/>
      <c r="U337" s="142">
        <f t="shared" si="144"/>
        <v>1158</v>
      </c>
      <c r="V337" s="88">
        <v>1201</v>
      </c>
      <c r="W337" s="88">
        <v>1115</v>
      </c>
      <c r="X337" s="88"/>
      <c r="Y337" s="88"/>
      <c r="Z337" s="88"/>
      <c r="AA337" s="88"/>
      <c r="AB337" s="88"/>
      <c r="AC337" s="88"/>
      <c r="AD337" s="142" t="str">
        <f t="shared" si="145"/>
        <v/>
      </c>
      <c r="AE337" s="88"/>
      <c r="AF337" s="88"/>
      <c r="AG337" s="88"/>
      <c r="AH337" s="88"/>
      <c r="AI337" s="88"/>
      <c r="AJ337" s="88"/>
      <c r="AK337" s="88"/>
      <c r="AL337" s="88"/>
      <c r="AM337" s="88">
        <v>34.037643325881582</v>
      </c>
      <c r="AN337" s="88">
        <v>138.67000000000002</v>
      </c>
      <c r="AO337" s="89"/>
      <c r="AP337" s="90"/>
      <c r="AQ337" s="146" t="str">
        <f t="shared" si="146"/>
        <v/>
      </c>
      <c r="AR337" s="146" t="str">
        <f t="shared" si="147"/>
        <v/>
      </c>
      <c r="AS337" s="147">
        <v>10</v>
      </c>
      <c r="AT337" s="148" t="s">
        <v>106</v>
      </c>
      <c r="AU337" s="149" t="s">
        <v>56</v>
      </c>
      <c r="AV337" s="146" t="str">
        <f t="shared" si="148"/>
        <v/>
      </c>
      <c r="AW337" s="146" t="str">
        <f t="shared" si="149"/>
        <v/>
      </c>
      <c r="AX337" s="138" t="str">
        <f t="shared" si="150"/>
        <v/>
      </c>
      <c r="AY337" s="95" t="s">
        <v>56</v>
      </c>
      <c r="AZ337" s="96" t="s">
        <v>56</v>
      </c>
      <c r="BA337" s="96"/>
      <c r="BB337" s="96" t="s">
        <v>56</v>
      </c>
      <c r="BC337" s="96"/>
      <c r="BD337" s="97">
        <v>138.67000000000002</v>
      </c>
      <c r="BE337" s="142">
        <f t="shared" si="151"/>
        <v>6256</v>
      </c>
      <c r="BF337" s="88">
        <v>198</v>
      </c>
      <c r="BG337" s="98">
        <v>0</v>
      </c>
      <c r="BH337" s="98">
        <v>0</v>
      </c>
      <c r="BI337" s="98">
        <v>6058</v>
      </c>
      <c r="BJ337" s="98"/>
      <c r="BK337" s="98"/>
      <c r="BL337" s="97"/>
    </row>
    <row r="338" spans="1:64" outlineLevel="5" x14ac:dyDescent="0.3">
      <c r="A338" s="152">
        <f t="shared" si="135"/>
        <v>10</v>
      </c>
      <c r="B338" s="153">
        <f t="shared" si="120"/>
        <v>44846</v>
      </c>
      <c r="C338" s="138">
        <f t="shared" si="142"/>
        <v>37</v>
      </c>
      <c r="D338" s="84">
        <v>37</v>
      </c>
      <c r="E338" s="84">
        <v>37</v>
      </c>
      <c r="F338" s="84"/>
      <c r="G338" s="84"/>
      <c r="H338" s="84"/>
      <c r="I338" s="84"/>
      <c r="J338" s="84"/>
      <c r="K338" s="84"/>
      <c r="L338" s="140">
        <f t="shared" si="143"/>
        <v>8.3000000000000007</v>
      </c>
      <c r="M338" s="86">
        <v>8.32</v>
      </c>
      <c r="N338" s="86">
        <v>8.3000000000000007</v>
      </c>
      <c r="O338" s="86"/>
      <c r="P338" s="86"/>
      <c r="Q338" s="86"/>
      <c r="R338" s="86"/>
      <c r="S338" s="86"/>
      <c r="T338" s="86"/>
      <c r="U338" s="142">
        <f t="shared" si="144"/>
        <v>1075.5</v>
      </c>
      <c r="V338" s="88">
        <v>1107</v>
      </c>
      <c r="W338" s="88">
        <v>1044</v>
      </c>
      <c r="X338" s="88"/>
      <c r="Y338" s="88"/>
      <c r="Z338" s="88"/>
      <c r="AA338" s="88"/>
      <c r="AB338" s="88"/>
      <c r="AC338" s="88"/>
      <c r="AD338" s="142">
        <f t="shared" si="145"/>
        <v>7308</v>
      </c>
      <c r="AE338" s="88">
        <v>7462</v>
      </c>
      <c r="AF338" s="88">
        <v>7154</v>
      </c>
      <c r="AG338" s="88"/>
      <c r="AH338" s="88"/>
      <c r="AI338" s="88"/>
      <c r="AJ338" s="88"/>
      <c r="AK338" s="88"/>
      <c r="AL338" s="88"/>
      <c r="AM338" s="88">
        <v>34.384789101770238</v>
      </c>
      <c r="AN338" s="88">
        <v>137.26999999999998</v>
      </c>
      <c r="AO338" s="89"/>
      <c r="AP338" s="90"/>
      <c r="AQ338" s="146" t="str">
        <f t="shared" si="146"/>
        <v/>
      </c>
      <c r="AR338" s="146" t="str">
        <f t="shared" si="147"/>
        <v/>
      </c>
      <c r="AS338" s="147">
        <v>10</v>
      </c>
      <c r="AT338" s="148">
        <v>14.65</v>
      </c>
      <c r="AU338" s="149">
        <v>8.1080000000000005</v>
      </c>
      <c r="AV338" s="146">
        <f t="shared" si="148"/>
        <v>55.344709897610919</v>
      </c>
      <c r="AW338" s="146">
        <f t="shared" si="149"/>
        <v>44.655290102389081</v>
      </c>
      <c r="AX338" s="138" t="str">
        <f t="shared" si="150"/>
        <v/>
      </c>
      <c r="AY338" s="95">
        <v>75.45</v>
      </c>
      <c r="AZ338" s="96" t="s">
        <v>56</v>
      </c>
      <c r="BA338" s="96"/>
      <c r="BB338" s="96" t="s">
        <v>56</v>
      </c>
      <c r="BC338" s="96"/>
      <c r="BD338" s="97">
        <v>137.26999999999998</v>
      </c>
      <c r="BE338" s="142">
        <f t="shared" si="151"/>
        <v>6302</v>
      </c>
      <c r="BF338" s="88">
        <v>227</v>
      </c>
      <c r="BG338" s="98">
        <v>0</v>
      </c>
      <c r="BH338" s="98">
        <v>0</v>
      </c>
      <c r="BI338" s="98">
        <v>6075</v>
      </c>
      <c r="BJ338" s="98"/>
      <c r="BK338" s="98"/>
      <c r="BL338" s="97"/>
    </row>
    <row r="339" spans="1:64" outlineLevel="5" x14ac:dyDescent="0.3">
      <c r="A339" s="152">
        <f t="shared" si="135"/>
        <v>10</v>
      </c>
      <c r="B339" s="153">
        <f t="shared" si="120"/>
        <v>44847</v>
      </c>
      <c r="C339" s="138">
        <f t="shared" si="142"/>
        <v>37</v>
      </c>
      <c r="D339" s="84">
        <v>37</v>
      </c>
      <c r="E339" s="84">
        <v>37</v>
      </c>
      <c r="F339" s="84"/>
      <c r="G339" s="84"/>
      <c r="H339" s="84"/>
      <c r="I339" s="84"/>
      <c r="J339" s="84"/>
      <c r="K339" s="84"/>
      <c r="L339" s="140">
        <f t="shared" si="143"/>
        <v>8.4</v>
      </c>
      <c r="M339" s="86">
        <v>8.42</v>
      </c>
      <c r="N339" s="86">
        <v>8.35</v>
      </c>
      <c r="O339" s="86"/>
      <c r="P339" s="86"/>
      <c r="Q339" s="86"/>
      <c r="R339" s="86"/>
      <c r="S339" s="86"/>
      <c r="T339" s="86"/>
      <c r="U339" s="142">
        <f t="shared" si="144"/>
        <v>1081</v>
      </c>
      <c r="V339" s="88">
        <v>1122</v>
      </c>
      <c r="W339" s="88">
        <v>1040</v>
      </c>
      <c r="X339" s="88"/>
      <c r="Y339" s="88"/>
      <c r="Z339" s="88"/>
      <c r="AA339" s="88"/>
      <c r="AB339" s="88"/>
      <c r="AC339" s="88"/>
      <c r="AD339" s="142" t="str">
        <f t="shared" si="145"/>
        <v/>
      </c>
      <c r="AE339" s="88"/>
      <c r="AF339" s="88"/>
      <c r="AG339" s="88"/>
      <c r="AH339" s="88"/>
      <c r="AI339" s="88"/>
      <c r="AJ339" s="88"/>
      <c r="AK339" s="88"/>
      <c r="AL339" s="88"/>
      <c r="AM339" s="88">
        <v>35.768414671112453</v>
      </c>
      <c r="AN339" s="88">
        <v>131.96</v>
      </c>
      <c r="AO339" s="89"/>
      <c r="AP339" s="90"/>
      <c r="AQ339" s="146" t="str">
        <f t="shared" si="146"/>
        <v/>
      </c>
      <c r="AR339" s="146" t="str">
        <f t="shared" si="147"/>
        <v/>
      </c>
      <c r="AS339" s="147">
        <v>10</v>
      </c>
      <c r="AT339" s="148">
        <v>14.35</v>
      </c>
      <c r="AU339" s="149">
        <v>7.9195500000000001</v>
      </c>
      <c r="AV339" s="146">
        <f t="shared" si="148"/>
        <v>55.188501742160277</v>
      </c>
      <c r="AW339" s="146">
        <f t="shared" si="149"/>
        <v>44.811498257839723</v>
      </c>
      <c r="AX339" s="138" t="str">
        <f t="shared" si="150"/>
        <v/>
      </c>
      <c r="AY339" s="95">
        <v>75.5</v>
      </c>
      <c r="AZ339" s="96" t="s">
        <v>56</v>
      </c>
      <c r="BA339" s="96"/>
      <c r="BB339" s="96" t="s">
        <v>56</v>
      </c>
      <c r="BC339" s="96"/>
      <c r="BD339" s="97">
        <v>131.96</v>
      </c>
      <c r="BE339" s="142">
        <f t="shared" si="151"/>
        <v>6212</v>
      </c>
      <c r="BF339" s="88">
        <v>177</v>
      </c>
      <c r="BG339" s="98">
        <v>0</v>
      </c>
      <c r="BH339" s="98">
        <v>0</v>
      </c>
      <c r="BI339" s="98">
        <v>6035</v>
      </c>
      <c r="BJ339" s="98"/>
      <c r="BK339" s="98"/>
      <c r="BL339" s="97"/>
    </row>
    <row r="340" spans="1:64" outlineLevel="5" x14ac:dyDescent="0.3">
      <c r="A340" s="152">
        <f t="shared" si="135"/>
        <v>10</v>
      </c>
      <c r="B340" s="153">
        <f t="shared" si="120"/>
        <v>44848</v>
      </c>
      <c r="C340" s="138">
        <f t="shared" si="142"/>
        <v>37</v>
      </c>
      <c r="D340" s="84">
        <v>37</v>
      </c>
      <c r="E340" s="84">
        <v>37</v>
      </c>
      <c r="F340" s="84"/>
      <c r="G340" s="84"/>
      <c r="H340" s="84"/>
      <c r="I340" s="84"/>
      <c r="J340" s="84"/>
      <c r="K340" s="84"/>
      <c r="L340" s="140">
        <f t="shared" si="143"/>
        <v>8.4</v>
      </c>
      <c r="M340" s="86">
        <v>8.42</v>
      </c>
      <c r="N340" s="86">
        <v>8.4</v>
      </c>
      <c r="O340" s="86"/>
      <c r="P340" s="86"/>
      <c r="Q340" s="86"/>
      <c r="R340" s="86"/>
      <c r="S340" s="86"/>
      <c r="T340" s="86"/>
      <c r="U340" s="142">
        <f t="shared" si="144"/>
        <v>1254</v>
      </c>
      <c r="V340" s="88">
        <v>1311</v>
      </c>
      <c r="W340" s="88">
        <v>1197</v>
      </c>
      <c r="X340" s="88"/>
      <c r="Y340" s="88"/>
      <c r="Z340" s="88"/>
      <c r="AA340" s="88"/>
      <c r="AB340" s="88"/>
      <c r="AC340" s="88"/>
      <c r="AD340" s="142" t="str">
        <f t="shared" si="145"/>
        <v/>
      </c>
      <c r="AE340" s="88"/>
      <c r="AF340" s="88"/>
      <c r="AG340" s="88"/>
      <c r="AH340" s="88"/>
      <c r="AI340" s="88"/>
      <c r="AJ340" s="88"/>
      <c r="AK340" s="88"/>
      <c r="AL340" s="88"/>
      <c r="AM340" s="88">
        <v>48.549681135568811</v>
      </c>
      <c r="AN340" s="88">
        <v>97.22</v>
      </c>
      <c r="AO340" s="89"/>
      <c r="AP340" s="90"/>
      <c r="AQ340" s="146" t="str">
        <f t="shared" si="146"/>
        <v/>
      </c>
      <c r="AR340" s="146" t="str">
        <f t="shared" si="147"/>
        <v/>
      </c>
      <c r="AS340" s="147">
        <v>20</v>
      </c>
      <c r="AT340" s="148" t="s">
        <v>106</v>
      </c>
      <c r="AU340" s="149" t="s">
        <v>56</v>
      </c>
      <c r="AV340" s="146" t="str">
        <f t="shared" si="148"/>
        <v/>
      </c>
      <c r="AW340" s="146" t="str">
        <f t="shared" si="149"/>
        <v/>
      </c>
      <c r="AX340" s="138" t="str">
        <f t="shared" si="150"/>
        <v/>
      </c>
      <c r="AY340" s="95" t="s">
        <v>56</v>
      </c>
      <c r="AZ340" s="96" t="s">
        <v>56</v>
      </c>
      <c r="BA340" s="96"/>
      <c r="BB340" s="96" t="s">
        <v>56</v>
      </c>
      <c r="BC340" s="96"/>
      <c r="BD340" s="97">
        <v>97.22</v>
      </c>
      <c r="BE340" s="142">
        <f t="shared" si="151"/>
        <v>6144</v>
      </c>
      <c r="BF340" s="88">
        <v>193</v>
      </c>
      <c r="BG340" s="98">
        <v>0</v>
      </c>
      <c r="BH340" s="98">
        <v>0</v>
      </c>
      <c r="BI340" s="98">
        <v>5951</v>
      </c>
      <c r="BJ340" s="98"/>
      <c r="BK340" s="98"/>
      <c r="BL340" s="97"/>
    </row>
    <row r="341" spans="1:64" outlineLevel="5" x14ac:dyDescent="0.3">
      <c r="A341" s="152">
        <f t="shared" si="135"/>
        <v>10</v>
      </c>
      <c r="B341" s="153">
        <f t="shared" si="120"/>
        <v>44849</v>
      </c>
      <c r="C341" s="138">
        <f t="shared" si="142"/>
        <v>37</v>
      </c>
      <c r="D341" s="84">
        <v>37</v>
      </c>
      <c r="E341" s="84">
        <v>37</v>
      </c>
      <c r="F341" s="84"/>
      <c r="G341" s="84"/>
      <c r="H341" s="84"/>
      <c r="I341" s="84"/>
      <c r="J341" s="84"/>
      <c r="K341" s="84"/>
      <c r="L341" s="140" t="str">
        <f t="shared" si="143"/>
        <v/>
      </c>
      <c r="M341" s="86"/>
      <c r="N341" s="86"/>
      <c r="O341" s="86"/>
      <c r="P341" s="86"/>
      <c r="Q341" s="86"/>
      <c r="R341" s="86"/>
      <c r="S341" s="86"/>
      <c r="T341" s="86"/>
      <c r="U341" s="142" t="str">
        <f t="shared" si="144"/>
        <v/>
      </c>
      <c r="V341" s="88"/>
      <c r="W341" s="88"/>
      <c r="X341" s="88"/>
      <c r="Y341" s="88"/>
      <c r="Z341" s="88"/>
      <c r="AA341" s="88"/>
      <c r="AB341" s="88"/>
      <c r="AC341" s="88"/>
      <c r="AD341" s="142" t="str">
        <f t="shared" si="145"/>
        <v/>
      </c>
      <c r="AE341" s="88"/>
      <c r="AF341" s="88"/>
      <c r="AG341" s="88"/>
      <c r="AH341" s="88"/>
      <c r="AI341" s="88"/>
      <c r="AJ341" s="88"/>
      <c r="AK341" s="88"/>
      <c r="AL341" s="88"/>
      <c r="AM341" s="88">
        <v>50.18073570061663</v>
      </c>
      <c r="AN341" s="88">
        <v>94.06</v>
      </c>
      <c r="AO341" s="89"/>
      <c r="AP341" s="90"/>
      <c r="AQ341" s="146" t="str">
        <f t="shared" si="146"/>
        <v/>
      </c>
      <c r="AR341" s="146" t="str">
        <f t="shared" si="147"/>
        <v/>
      </c>
      <c r="AS341" s="147">
        <v>10</v>
      </c>
      <c r="AT341" s="148" t="s">
        <v>106</v>
      </c>
      <c r="AU341" s="149" t="s">
        <v>56</v>
      </c>
      <c r="AV341" s="146" t="str">
        <f t="shared" si="148"/>
        <v/>
      </c>
      <c r="AW341" s="146" t="str">
        <f t="shared" si="149"/>
        <v/>
      </c>
      <c r="AX341" s="138" t="str">
        <f t="shared" si="150"/>
        <v/>
      </c>
      <c r="AY341" s="95" t="s">
        <v>56</v>
      </c>
      <c r="AZ341" s="96" t="s">
        <v>56</v>
      </c>
      <c r="BA341" s="96"/>
      <c r="BB341" s="96" t="s">
        <v>56</v>
      </c>
      <c r="BC341" s="96"/>
      <c r="BD341" s="97">
        <v>94.06</v>
      </c>
      <c r="BE341" s="142">
        <f t="shared" si="151"/>
        <v>5975</v>
      </c>
      <c r="BF341" s="88">
        <v>198</v>
      </c>
      <c r="BG341" s="98">
        <v>0</v>
      </c>
      <c r="BH341" s="98">
        <v>0</v>
      </c>
      <c r="BI341" s="98">
        <v>5777</v>
      </c>
      <c r="BJ341" s="98"/>
      <c r="BK341" s="98"/>
      <c r="BL341" s="97"/>
    </row>
    <row r="342" spans="1:64" outlineLevel="5" x14ac:dyDescent="0.3">
      <c r="A342" s="152">
        <f t="shared" si="135"/>
        <v>10</v>
      </c>
      <c r="B342" s="153">
        <f t="shared" si="120"/>
        <v>44850</v>
      </c>
      <c r="C342" s="138">
        <f t="shared" si="142"/>
        <v>37</v>
      </c>
      <c r="D342" s="84">
        <v>37</v>
      </c>
      <c r="E342" s="84">
        <v>37</v>
      </c>
      <c r="F342" s="84"/>
      <c r="G342" s="84"/>
      <c r="H342" s="84"/>
      <c r="I342" s="84"/>
      <c r="J342" s="84"/>
      <c r="K342" s="84"/>
      <c r="L342" s="140" t="str">
        <f t="shared" si="143"/>
        <v/>
      </c>
      <c r="M342" s="86"/>
      <c r="N342" s="86"/>
      <c r="O342" s="86"/>
      <c r="P342" s="86"/>
      <c r="Q342" s="86"/>
      <c r="R342" s="86"/>
      <c r="S342" s="86"/>
      <c r="T342" s="86"/>
      <c r="U342" s="142" t="str">
        <f t="shared" si="144"/>
        <v/>
      </c>
      <c r="V342" s="88"/>
      <c r="W342" s="88"/>
      <c r="X342" s="88"/>
      <c r="Y342" s="88"/>
      <c r="Z342" s="88"/>
      <c r="AA342" s="88"/>
      <c r="AB342" s="88"/>
      <c r="AC342" s="88"/>
      <c r="AD342" s="142" t="str">
        <f t="shared" si="145"/>
        <v/>
      </c>
      <c r="AE342" s="88"/>
      <c r="AF342" s="88"/>
      <c r="AG342" s="88"/>
      <c r="AH342" s="88"/>
      <c r="AI342" s="88"/>
      <c r="AJ342" s="88"/>
      <c r="AK342" s="88"/>
      <c r="AL342" s="88"/>
      <c r="AM342" s="88">
        <v>59</v>
      </c>
      <c r="AN342" s="88">
        <v>80</v>
      </c>
      <c r="AO342" s="89"/>
      <c r="AP342" s="90"/>
      <c r="AQ342" s="146" t="str">
        <f t="shared" si="146"/>
        <v/>
      </c>
      <c r="AR342" s="146" t="str">
        <f t="shared" si="147"/>
        <v/>
      </c>
      <c r="AS342" s="147">
        <v>10</v>
      </c>
      <c r="AT342" s="148" t="s">
        <v>106</v>
      </c>
      <c r="AU342" s="149" t="s">
        <v>56</v>
      </c>
      <c r="AV342" s="146" t="str">
        <f t="shared" si="148"/>
        <v/>
      </c>
      <c r="AW342" s="146" t="str">
        <f t="shared" si="149"/>
        <v/>
      </c>
      <c r="AX342" s="138" t="str">
        <f t="shared" si="150"/>
        <v/>
      </c>
      <c r="AY342" s="95" t="s">
        <v>56</v>
      </c>
      <c r="AZ342" s="96" t="s">
        <v>56</v>
      </c>
      <c r="BA342" s="96"/>
      <c r="BB342" s="96" t="s">
        <v>56</v>
      </c>
      <c r="BC342" s="96"/>
      <c r="BD342" s="97">
        <v>80</v>
      </c>
      <c r="BE342" s="142">
        <f t="shared" si="151"/>
        <v>5914</v>
      </c>
      <c r="BF342" s="88">
        <v>211</v>
      </c>
      <c r="BG342" s="98">
        <v>0</v>
      </c>
      <c r="BH342" s="98">
        <v>0</v>
      </c>
      <c r="BI342" s="98">
        <v>5703</v>
      </c>
      <c r="BJ342" s="98"/>
      <c r="BK342" s="98"/>
      <c r="BL342" s="97"/>
    </row>
    <row r="343" spans="1:64" outlineLevel="5" x14ac:dyDescent="0.3">
      <c r="A343" s="152">
        <f t="shared" si="135"/>
        <v>10</v>
      </c>
      <c r="B343" s="153">
        <f t="shared" si="120"/>
        <v>44851</v>
      </c>
      <c r="C343" s="138">
        <f t="shared" si="142"/>
        <v>38</v>
      </c>
      <c r="D343" s="84">
        <v>38</v>
      </c>
      <c r="E343" s="84">
        <v>38</v>
      </c>
      <c r="F343" s="84"/>
      <c r="G343" s="84"/>
      <c r="H343" s="84"/>
      <c r="I343" s="84"/>
      <c r="J343" s="84"/>
      <c r="K343" s="84"/>
      <c r="L343" s="140">
        <f t="shared" si="143"/>
        <v>8.4</v>
      </c>
      <c r="M343" s="86">
        <v>8.44</v>
      </c>
      <c r="N343" s="86">
        <v>8.41</v>
      </c>
      <c r="O343" s="86"/>
      <c r="P343" s="86"/>
      <c r="Q343" s="86"/>
      <c r="R343" s="86"/>
      <c r="S343" s="86"/>
      <c r="T343" s="86"/>
      <c r="U343" s="142">
        <f t="shared" si="144"/>
        <v>1085.5</v>
      </c>
      <c r="V343" s="88">
        <v>1144</v>
      </c>
      <c r="W343" s="88">
        <v>1027</v>
      </c>
      <c r="X343" s="88"/>
      <c r="Y343" s="88"/>
      <c r="Z343" s="88"/>
      <c r="AA343" s="88"/>
      <c r="AB343" s="88"/>
      <c r="AC343" s="88"/>
      <c r="AD343" s="142" t="str">
        <f t="shared" si="145"/>
        <v/>
      </c>
      <c r="AE343" s="88"/>
      <c r="AF343" s="88"/>
      <c r="AG343" s="88"/>
      <c r="AH343" s="88"/>
      <c r="AI343" s="88"/>
      <c r="AJ343" s="88"/>
      <c r="AK343" s="88"/>
      <c r="AL343" s="88"/>
      <c r="AM343" s="88">
        <v>35.703479576399396</v>
      </c>
      <c r="AN343" s="88">
        <v>132.19999999999999</v>
      </c>
      <c r="AO343" s="89">
        <v>20.6</v>
      </c>
      <c r="AP343" s="90">
        <v>16.500599999999999</v>
      </c>
      <c r="AQ343" s="146">
        <f t="shared" si="146"/>
        <v>80.09999999999998</v>
      </c>
      <c r="AR343" s="146">
        <f t="shared" si="147"/>
        <v>19.90000000000002</v>
      </c>
      <c r="AS343" s="147">
        <v>10</v>
      </c>
      <c r="AT343" s="148">
        <v>15</v>
      </c>
      <c r="AU343" s="149">
        <v>8.3279499999999995</v>
      </c>
      <c r="AV343" s="146">
        <f t="shared" si="148"/>
        <v>55.519666666666666</v>
      </c>
      <c r="AW343" s="146">
        <f t="shared" si="149"/>
        <v>44.480333333333334</v>
      </c>
      <c r="AX343" s="138">
        <f t="shared" si="150"/>
        <v>68.990170587063645</v>
      </c>
      <c r="AY343" s="95">
        <v>76</v>
      </c>
      <c r="AZ343" s="96" t="s">
        <v>56</v>
      </c>
      <c r="BA343" s="96"/>
      <c r="BB343" s="96" t="s">
        <v>56</v>
      </c>
      <c r="BC343" s="96"/>
      <c r="BD343" s="97">
        <v>132.19999999999999</v>
      </c>
      <c r="BE343" s="142">
        <f t="shared" si="151"/>
        <v>942</v>
      </c>
      <c r="BF343" s="88">
        <v>205</v>
      </c>
      <c r="BG343" s="98">
        <v>0</v>
      </c>
      <c r="BH343" s="98">
        <v>0</v>
      </c>
      <c r="BI343" s="98">
        <v>737</v>
      </c>
      <c r="BJ343" s="98"/>
      <c r="BK343" s="98"/>
      <c r="BL343" s="97"/>
    </row>
    <row r="344" spans="1:64" outlineLevel="5" x14ac:dyDescent="0.3">
      <c r="A344" s="152">
        <f t="shared" si="135"/>
        <v>10</v>
      </c>
      <c r="B344" s="153">
        <f t="shared" si="120"/>
        <v>44852</v>
      </c>
      <c r="C344" s="138">
        <f t="shared" si="142"/>
        <v>38</v>
      </c>
      <c r="D344" s="84">
        <v>38</v>
      </c>
      <c r="E344" s="84">
        <v>38</v>
      </c>
      <c r="F344" s="84"/>
      <c r="G344" s="84"/>
      <c r="H344" s="84"/>
      <c r="I344" s="84"/>
      <c r="J344" s="84"/>
      <c r="K344" s="84"/>
      <c r="L344" s="140">
        <f t="shared" si="143"/>
        <v>8.4</v>
      </c>
      <c r="M344" s="86">
        <v>8.48</v>
      </c>
      <c r="N344" s="86">
        <v>8.41</v>
      </c>
      <c r="O344" s="86"/>
      <c r="P344" s="86"/>
      <c r="Q344" s="86"/>
      <c r="R344" s="86"/>
      <c r="S344" s="86"/>
      <c r="T344" s="86"/>
      <c r="U344" s="142">
        <f t="shared" si="144"/>
        <v>1199</v>
      </c>
      <c r="V344" s="88">
        <v>1234</v>
      </c>
      <c r="W344" s="88">
        <v>1164</v>
      </c>
      <c r="X344" s="88"/>
      <c r="Y344" s="88"/>
      <c r="Z344" s="88"/>
      <c r="AA344" s="88"/>
      <c r="AB344" s="88"/>
      <c r="AC344" s="88"/>
      <c r="AD344" s="142" t="str">
        <f t="shared" si="145"/>
        <v/>
      </c>
      <c r="AE344" s="88"/>
      <c r="AF344" s="88"/>
      <c r="AG344" s="88"/>
      <c r="AH344" s="88"/>
      <c r="AI344" s="88"/>
      <c r="AJ344" s="88"/>
      <c r="AK344" s="88"/>
      <c r="AL344" s="88"/>
      <c r="AM344" s="88">
        <v>38.771151634631181</v>
      </c>
      <c r="AN344" s="88">
        <v>121.74000000000001</v>
      </c>
      <c r="AO344" s="89"/>
      <c r="AP344" s="90"/>
      <c r="AQ344" s="146" t="str">
        <f t="shared" si="146"/>
        <v/>
      </c>
      <c r="AR344" s="146" t="str">
        <f t="shared" si="147"/>
        <v/>
      </c>
      <c r="AS344" s="147">
        <v>10</v>
      </c>
      <c r="AT344" s="148" t="s">
        <v>106</v>
      </c>
      <c r="AU344" s="149" t="s">
        <v>56</v>
      </c>
      <c r="AV344" s="146" t="str">
        <f t="shared" si="148"/>
        <v/>
      </c>
      <c r="AW344" s="146" t="str">
        <f t="shared" si="149"/>
        <v/>
      </c>
      <c r="AX344" s="138" t="str">
        <f t="shared" si="150"/>
        <v/>
      </c>
      <c r="AY344" s="95" t="s">
        <v>56</v>
      </c>
      <c r="AZ344" s="96" t="s">
        <v>56</v>
      </c>
      <c r="BA344" s="96"/>
      <c r="BB344" s="96" t="s">
        <v>56</v>
      </c>
      <c r="BC344" s="96"/>
      <c r="BD344" s="97">
        <v>121.74000000000001</v>
      </c>
      <c r="BE344" s="142">
        <f t="shared" si="151"/>
        <v>2428</v>
      </c>
      <c r="BF344" s="88">
        <v>208</v>
      </c>
      <c r="BG344" s="98">
        <v>0</v>
      </c>
      <c r="BH344" s="98">
        <v>0</v>
      </c>
      <c r="BI344" s="98">
        <v>2220</v>
      </c>
      <c r="BJ344" s="98"/>
      <c r="BK344" s="98"/>
      <c r="BL344" s="97"/>
    </row>
    <row r="345" spans="1:64" outlineLevel="5" x14ac:dyDescent="0.3">
      <c r="A345" s="152">
        <f t="shared" si="135"/>
        <v>10</v>
      </c>
      <c r="B345" s="153">
        <f t="shared" si="120"/>
        <v>44853</v>
      </c>
      <c r="C345" s="138">
        <f t="shared" si="142"/>
        <v>37</v>
      </c>
      <c r="D345" s="84">
        <v>37</v>
      </c>
      <c r="E345" s="84">
        <v>37</v>
      </c>
      <c r="F345" s="84"/>
      <c r="G345" s="84"/>
      <c r="H345" s="84"/>
      <c r="I345" s="84"/>
      <c r="J345" s="84"/>
      <c r="K345" s="84"/>
      <c r="L345" s="140">
        <f t="shared" si="143"/>
        <v>8.4</v>
      </c>
      <c r="M345" s="86">
        <v>8.42</v>
      </c>
      <c r="N345" s="86"/>
      <c r="O345" s="86"/>
      <c r="P345" s="86"/>
      <c r="Q345" s="86"/>
      <c r="R345" s="86"/>
      <c r="S345" s="86"/>
      <c r="T345" s="86"/>
      <c r="U345" s="142">
        <f t="shared" si="144"/>
        <v>1217</v>
      </c>
      <c r="V345" s="88">
        <v>1217</v>
      </c>
      <c r="W345" s="88"/>
      <c r="X345" s="88"/>
      <c r="Y345" s="88"/>
      <c r="Z345" s="88"/>
      <c r="AA345" s="88"/>
      <c r="AB345" s="88"/>
      <c r="AC345" s="88"/>
      <c r="AD345" s="142">
        <f t="shared" si="145"/>
        <v>7870</v>
      </c>
      <c r="AE345" s="88">
        <v>7870</v>
      </c>
      <c r="AF345" s="88"/>
      <c r="AG345" s="88"/>
      <c r="AH345" s="88"/>
      <c r="AI345" s="88"/>
      <c r="AJ345" s="88"/>
      <c r="AK345" s="88"/>
      <c r="AL345" s="88"/>
      <c r="AM345" s="88">
        <v>38.634689367275108</v>
      </c>
      <c r="AN345" s="88">
        <v>122.17</v>
      </c>
      <c r="AO345" s="89"/>
      <c r="AP345" s="90"/>
      <c r="AQ345" s="146" t="str">
        <f t="shared" si="146"/>
        <v/>
      </c>
      <c r="AR345" s="146" t="str">
        <f t="shared" si="147"/>
        <v/>
      </c>
      <c r="AS345" s="147">
        <v>10</v>
      </c>
      <c r="AT345" s="148">
        <v>13.3</v>
      </c>
      <c r="AU345" s="149" t="s">
        <v>56</v>
      </c>
      <c r="AV345" s="146" t="str">
        <f t="shared" si="148"/>
        <v/>
      </c>
      <c r="AW345" s="146" t="str">
        <f t="shared" si="149"/>
        <v/>
      </c>
      <c r="AX345" s="138" t="str">
        <f t="shared" si="150"/>
        <v/>
      </c>
      <c r="AY345" s="95">
        <v>75.8</v>
      </c>
      <c r="AZ345" s="96" t="s">
        <v>56</v>
      </c>
      <c r="BA345" s="96"/>
      <c r="BB345" s="96" t="s">
        <v>56</v>
      </c>
      <c r="BC345" s="96"/>
      <c r="BD345" s="97">
        <v>122.17</v>
      </c>
      <c r="BE345" s="142">
        <f t="shared" si="151"/>
        <v>6056</v>
      </c>
      <c r="BF345" s="88">
        <v>213</v>
      </c>
      <c r="BG345" s="98">
        <v>0</v>
      </c>
      <c r="BH345" s="98">
        <v>0</v>
      </c>
      <c r="BI345" s="98">
        <v>5843</v>
      </c>
      <c r="BJ345" s="98"/>
      <c r="BK345" s="98"/>
      <c r="BL345" s="97"/>
    </row>
    <row r="346" spans="1:64" outlineLevel="5" x14ac:dyDescent="0.3">
      <c r="A346" s="152">
        <f t="shared" si="135"/>
        <v>10</v>
      </c>
      <c r="B346" s="153">
        <f t="shared" si="120"/>
        <v>44854</v>
      </c>
      <c r="C346" s="138">
        <f t="shared" si="142"/>
        <v>37</v>
      </c>
      <c r="D346" s="84">
        <v>37</v>
      </c>
      <c r="E346" s="84">
        <v>37</v>
      </c>
      <c r="F346" s="84"/>
      <c r="G346" s="84"/>
      <c r="H346" s="84"/>
      <c r="I346" s="84"/>
      <c r="J346" s="84"/>
      <c r="K346" s="84"/>
      <c r="L346" s="140">
        <f t="shared" si="143"/>
        <v>8.5</v>
      </c>
      <c r="M346" s="86">
        <v>8.4600000000000009</v>
      </c>
      <c r="N346" s="86">
        <v>8.4499999999999993</v>
      </c>
      <c r="O346" s="86"/>
      <c r="P346" s="86"/>
      <c r="Q346" s="86"/>
      <c r="R346" s="86"/>
      <c r="S346" s="86"/>
      <c r="T346" s="86"/>
      <c r="U346" s="142">
        <f t="shared" si="144"/>
        <v>1269</v>
      </c>
      <c r="V346" s="88">
        <v>1301</v>
      </c>
      <c r="W346" s="88">
        <v>1237</v>
      </c>
      <c r="X346" s="88"/>
      <c r="Y346" s="88"/>
      <c r="Z346" s="88"/>
      <c r="AA346" s="88"/>
      <c r="AB346" s="88"/>
      <c r="AC346" s="88"/>
      <c r="AD346" s="142" t="str">
        <f t="shared" si="145"/>
        <v/>
      </c>
      <c r="AE346" s="88"/>
      <c r="AF346" s="88"/>
      <c r="AG346" s="88"/>
      <c r="AH346" s="88"/>
      <c r="AI346" s="88"/>
      <c r="AJ346" s="88"/>
      <c r="AK346" s="88"/>
      <c r="AL346" s="88"/>
      <c r="AM346" s="88">
        <v>41.057759220598463</v>
      </c>
      <c r="AN346" s="88">
        <v>114.96000000000001</v>
      </c>
      <c r="AO346" s="89"/>
      <c r="AP346" s="90"/>
      <c r="AQ346" s="146" t="str">
        <f t="shared" si="146"/>
        <v/>
      </c>
      <c r="AR346" s="146" t="str">
        <f t="shared" si="147"/>
        <v/>
      </c>
      <c r="AS346" s="147">
        <v>10</v>
      </c>
      <c r="AT346" s="148">
        <v>14.399999999999999</v>
      </c>
      <c r="AU346" s="149">
        <v>7.9728500000000002</v>
      </c>
      <c r="AV346" s="146">
        <f t="shared" si="148"/>
        <v>55.367013888888891</v>
      </c>
      <c r="AW346" s="146">
        <f t="shared" si="149"/>
        <v>44.632986111111109</v>
      </c>
      <c r="AX346" s="138" t="str">
        <f t="shared" si="150"/>
        <v/>
      </c>
      <c r="AY346" s="95">
        <v>75.3</v>
      </c>
      <c r="AZ346" s="96" t="s">
        <v>56</v>
      </c>
      <c r="BA346" s="96"/>
      <c r="BB346" s="96" t="s">
        <v>56</v>
      </c>
      <c r="BC346" s="96"/>
      <c r="BD346" s="97">
        <v>114.96000000000001</v>
      </c>
      <c r="BE346" s="142">
        <f t="shared" si="151"/>
        <v>6327</v>
      </c>
      <c r="BF346" s="88">
        <v>305</v>
      </c>
      <c r="BG346" s="98">
        <v>0</v>
      </c>
      <c r="BH346" s="98">
        <v>0</v>
      </c>
      <c r="BI346" s="98">
        <v>6022</v>
      </c>
      <c r="BJ346" s="98"/>
      <c r="BK346" s="98"/>
      <c r="BL346" s="97"/>
    </row>
    <row r="347" spans="1:64" outlineLevel="5" x14ac:dyDescent="0.3">
      <c r="A347" s="152">
        <f t="shared" si="135"/>
        <v>10</v>
      </c>
      <c r="B347" s="153">
        <f t="shared" si="120"/>
        <v>44855</v>
      </c>
      <c r="C347" s="138">
        <f t="shared" si="142"/>
        <v>37</v>
      </c>
      <c r="D347" s="84">
        <v>37</v>
      </c>
      <c r="E347" s="84">
        <v>37</v>
      </c>
      <c r="F347" s="84"/>
      <c r="G347" s="84"/>
      <c r="H347" s="84"/>
      <c r="I347" s="84"/>
      <c r="J347" s="84"/>
      <c r="K347" s="84"/>
      <c r="L347" s="140">
        <f t="shared" si="143"/>
        <v>8.5</v>
      </c>
      <c r="M347" s="86">
        <v>8.5</v>
      </c>
      <c r="N347" s="86">
        <v>8.42</v>
      </c>
      <c r="O347" s="86"/>
      <c r="P347" s="86"/>
      <c r="Q347" s="86"/>
      <c r="R347" s="86"/>
      <c r="S347" s="86"/>
      <c r="T347" s="86"/>
      <c r="U347" s="142">
        <f t="shared" si="144"/>
        <v>1168.5</v>
      </c>
      <c r="V347" s="88">
        <v>1204</v>
      </c>
      <c r="W347" s="88">
        <v>1133</v>
      </c>
      <c r="X347" s="88"/>
      <c r="Y347" s="88"/>
      <c r="Z347" s="88"/>
      <c r="AA347" s="88"/>
      <c r="AB347" s="88"/>
      <c r="AC347" s="88"/>
      <c r="AD347" s="142" t="str">
        <f t="shared" si="145"/>
        <v/>
      </c>
      <c r="AE347" s="88"/>
      <c r="AF347" s="88"/>
      <c r="AG347" s="88"/>
      <c r="AH347" s="88"/>
      <c r="AI347" s="88"/>
      <c r="AJ347" s="88"/>
      <c r="AK347" s="88"/>
      <c r="AL347" s="88"/>
      <c r="AM347" s="88">
        <v>55.640693151007888</v>
      </c>
      <c r="AN347" s="88">
        <v>84.830000000000013</v>
      </c>
      <c r="AO347" s="89"/>
      <c r="AP347" s="90"/>
      <c r="AQ347" s="146" t="str">
        <f t="shared" si="146"/>
        <v/>
      </c>
      <c r="AR347" s="146" t="str">
        <f t="shared" si="147"/>
        <v/>
      </c>
      <c r="AS347" s="147">
        <v>10</v>
      </c>
      <c r="AT347" s="148" t="s">
        <v>106</v>
      </c>
      <c r="AU347" s="149" t="s">
        <v>56</v>
      </c>
      <c r="AV347" s="146" t="str">
        <f t="shared" si="148"/>
        <v/>
      </c>
      <c r="AW347" s="146" t="str">
        <f t="shared" si="149"/>
        <v/>
      </c>
      <c r="AX347" s="138" t="str">
        <f t="shared" si="150"/>
        <v/>
      </c>
      <c r="AY347" s="95" t="s">
        <v>56</v>
      </c>
      <c r="AZ347" s="96">
        <v>61.22</v>
      </c>
      <c r="BA347" s="96"/>
      <c r="BB347" s="96">
        <v>73.5</v>
      </c>
      <c r="BC347" s="96"/>
      <c r="BD347" s="97">
        <v>84.830000000000013</v>
      </c>
      <c r="BE347" s="142">
        <f t="shared" si="151"/>
        <v>6236</v>
      </c>
      <c r="BF347" s="88">
        <v>380</v>
      </c>
      <c r="BG347" s="98">
        <v>0</v>
      </c>
      <c r="BH347" s="98">
        <v>0</v>
      </c>
      <c r="BI347" s="98">
        <v>5856</v>
      </c>
      <c r="BJ347" s="98"/>
      <c r="BK347" s="98"/>
      <c r="BL347" s="97"/>
    </row>
    <row r="348" spans="1:64" outlineLevel="5" x14ac:dyDescent="0.3">
      <c r="A348" s="152">
        <f t="shared" si="135"/>
        <v>10</v>
      </c>
      <c r="B348" s="153">
        <f t="shared" si="120"/>
        <v>44856</v>
      </c>
      <c r="C348" s="138">
        <f t="shared" si="142"/>
        <v>37</v>
      </c>
      <c r="D348" s="84">
        <v>37</v>
      </c>
      <c r="E348" s="84">
        <v>37</v>
      </c>
      <c r="F348" s="84"/>
      <c r="G348" s="84"/>
      <c r="H348" s="84"/>
      <c r="I348" s="84"/>
      <c r="J348" s="84"/>
      <c r="K348" s="84"/>
      <c r="L348" s="140" t="str">
        <f t="shared" si="143"/>
        <v/>
      </c>
      <c r="M348" s="86"/>
      <c r="N348" s="86"/>
      <c r="O348" s="86"/>
      <c r="P348" s="86"/>
      <c r="Q348" s="86"/>
      <c r="R348" s="86"/>
      <c r="S348" s="86"/>
      <c r="T348" s="86"/>
      <c r="U348" s="142" t="str">
        <f t="shared" si="144"/>
        <v/>
      </c>
      <c r="V348" s="88"/>
      <c r="W348" s="88"/>
      <c r="X348" s="88"/>
      <c r="Y348" s="88"/>
      <c r="Z348" s="88"/>
      <c r="AA348" s="88"/>
      <c r="AB348" s="88"/>
      <c r="AC348" s="88"/>
      <c r="AD348" s="142" t="str">
        <f t="shared" si="145"/>
        <v/>
      </c>
      <c r="AE348" s="88"/>
      <c r="AF348" s="88"/>
      <c r="AG348" s="88"/>
      <c r="AH348" s="88"/>
      <c r="AI348" s="88"/>
      <c r="AJ348" s="88"/>
      <c r="AK348" s="88"/>
      <c r="AL348" s="88"/>
      <c r="AM348" s="88">
        <v>49.915397631133672</v>
      </c>
      <c r="AN348" s="88">
        <v>94.56</v>
      </c>
      <c r="AO348" s="89"/>
      <c r="AP348" s="90"/>
      <c r="AQ348" s="146" t="str">
        <f t="shared" si="146"/>
        <v/>
      </c>
      <c r="AR348" s="146" t="str">
        <f t="shared" si="147"/>
        <v/>
      </c>
      <c r="AS348" s="147">
        <v>10</v>
      </c>
      <c r="AT348" s="148" t="s">
        <v>106</v>
      </c>
      <c r="AU348" s="149" t="s">
        <v>56</v>
      </c>
      <c r="AV348" s="146" t="str">
        <f t="shared" si="148"/>
        <v/>
      </c>
      <c r="AW348" s="146" t="str">
        <f t="shared" si="149"/>
        <v/>
      </c>
      <c r="AX348" s="138" t="str">
        <f t="shared" si="150"/>
        <v/>
      </c>
      <c r="AY348" s="95" t="s">
        <v>56</v>
      </c>
      <c r="AZ348" s="96" t="s">
        <v>56</v>
      </c>
      <c r="BA348" s="96"/>
      <c r="BB348" s="96" t="s">
        <v>56</v>
      </c>
      <c r="BC348" s="96"/>
      <c r="BD348" s="97">
        <v>94.56</v>
      </c>
      <c r="BE348" s="142">
        <f t="shared" si="151"/>
        <v>6162</v>
      </c>
      <c r="BF348" s="88">
        <v>331</v>
      </c>
      <c r="BG348" s="98">
        <v>0</v>
      </c>
      <c r="BH348" s="98">
        <v>0</v>
      </c>
      <c r="BI348" s="98">
        <v>5831</v>
      </c>
      <c r="BJ348" s="98"/>
      <c r="BK348" s="98"/>
      <c r="BL348" s="97"/>
    </row>
    <row r="349" spans="1:64" outlineLevel="5" x14ac:dyDescent="0.3">
      <c r="A349" s="152">
        <f t="shared" si="135"/>
        <v>10</v>
      </c>
      <c r="B349" s="153">
        <f t="shared" si="120"/>
        <v>44857</v>
      </c>
      <c r="C349" s="138">
        <f t="shared" si="142"/>
        <v>37</v>
      </c>
      <c r="D349" s="84">
        <v>37</v>
      </c>
      <c r="E349" s="84">
        <v>37</v>
      </c>
      <c r="F349" s="84"/>
      <c r="G349" s="84"/>
      <c r="H349" s="84"/>
      <c r="I349" s="84"/>
      <c r="J349" s="84"/>
      <c r="K349" s="84"/>
      <c r="L349" s="140" t="str">
        <f t="shared" si="143"/>
        <v/>
      </c>
      <c r="M349" s="86"/>
      <c r="N349" s="86"/>
      <c r="O349" s="86"/>
      <c r="P349" s="86"/>
      <c r="Q349" s="86"/>
      <c r="R349" s="86"/>
      <c r="S349" s="86"/>
      <c r="T349" s="86"/>
      <c r="U349" s="142" t="str">
        <f t="shared" si="144"/>
        <v/>
      </c>
      <c r="V349" s="88"/>
      <c r="W349" s="88"/>
      <c r="X349" s="88"/>
      <c r="Y349" s="88"/>
      <c r="Z349" s="88"/>
      <c r="AA349" s="88"/>
      <c r="AB349" s="88"/>
      <c r="AC349" s="88"/>
      <c r="AD349" s="142" t="str">
        <f t="shared" si="145"/>
        <v/>
      </c>
      <c r="AE349" s="88"/>
      <c r="AF349" s="88"/>
      <c r="AG349" s="88"/>
      <c r="AH349" s="88"/>
      <c r="AI349" s="88"/>
      <c r="AJ349" s="88"/>
      <c r="AK349" s="88"/>
      <c r="AL349" s="88"/>
      <c r="AM349" s="88">
        <v>42.909090909090907</v>
      </c>
      <c r="AN349" s="88">
        <v>110</v>
      </c>
      <c r="AO349" s="89"/>
      <c r="AP349" s="90"/>
      <c r="AQ349" s="146" t="str">
        <f t="shared" si="146"/>
        <v/>
      </c>
      <c r="AR349" s="146" t="str">
        <f t="shared" si="147"/>
        <v/>
      </c>
      <c r="AS349" s="147">
        <v>0</v>
      </c>
      <c r="AT349" s="148" t="s">
        <v>106</v>
      </c>
      <c r="AU349" s="149" t="s">
        <v>56</v>
      </c>
      <c r="AV349" s="146" t="str">
        <f t="shared" si="148"/>
        <v/>
      </c>
      <c r="AW349" s="146" t="str">
        <f t="shared" si="149"/>
        <v/>
      </c>
      <c r="AX349" s="138" t="str">
        <f t="shared" si="150"/>
        <v/>
      </c>
      <c r="AY349" s="95" t="s">
        <v>56</v>
      </c>
      <c r="AZ349" s="96" t="s">
        <v>56</v>
      </c>
      <c r="BA349" s="96"/>
      <c r="BB349" s="96" t="s">
        <v>56</v>
      </c>
      <c r="BC349" s="96"/>
      <c r="BD349" s="97">
        <v>110</v>
      </c>
      <c r="BE349" s="142">
        <f t="shared" si="151"/>
        <v>6092</v>
      </c>
      <c r="BF349" s="88">
        <v>339</v>
      </c>
      <c r="BG349" s="98">
        <v>0</v>
      </c>
      <c r="BH349" s="98">
        <v>0</v>
      </c>
      <c r="BI349" s="98">
        <v>5753</v>
      </c>
      <c r="BJ349" s="98"/>
      <c r="BK349" s="98"/>
      <c r="BL349" s="97"/>
    </row>
    <row r="350" spans="1:64" outlineLevel="5" x14ac:dyDescent="0.3">
      <c r="A350" s="152">
        <f t="shared" si="135"/>
        <v>10</v>
      </c>
      <c r="B350" s="153">
        <f t="shared" si="120"/>
        <v>44858</v>
      </c>
      <c r="C350" s="138">
        <f t="shared" si="142"/>
        <v>38</v>
      </c>
      <c r="D350" s="84">
        <v>38</v>
      </c>
      <c r="E350" s="84">
        <v>38</v>
      </c>
      <c r="F350" s="84"/>
      <c r="G350" s="84"/>
      <c r="H350" s="84"/>
      <c r="I350" s="84"/>
      <c r="J350" s="84"/>
      <c r="K350" s="84"/>
      <c r="L350" s="140">
        <f t="shared" si="143"/>
        <v>8.3000000000000007</v>
      </c>
      <c r="M350" s="86">
        <v>8.35</v>
      </c>
      <c r="N350" s="86">
        <v>8.3000000000000007</v>
      </c>
      <c r="O350" s="86"/>
      <c r="P350" s="86"/>
      <c r="Q350" s="86"/>
      <c r="R350" s="86"/>
      <c r="S350" s="86"/>
      <c r="T350" s="86"/>
      <c r="U350" s="142">
        <f t="shared" si="144"/>
        <v>990.5</v>
      </c>
      <c r="V350" s="88">
        <v>1011</v>
      </c>
      <c r="W350" s="88">
        <v>970</v>
      </c>
      <c r="X350" s="88"/>
      <c r="Y350" s="88"/>
      <c r="Z350" s="88"/>
      <c r="AA350" s="88"/>
      <c r="AB350" s="88"/>
      <c r="AC350" s="88"/>
      <c r="AD350" s="142" t="str">
        <f t="shared" si="145"/>
        <v/>
      </c>
      <c r="AE350" s="88"/>
      <c r="AF350" s="88"/>
      <c r="AG350" s="88"/>
      <c r="AH350" s="88"/>
      <c r="AI350" s="88"/>
      <c r="AJ350" s="88"/>
      <c r="AK350" s="88"/>
      <c r="AL350" s="88"/>
      <c r="AM350" s="88">
        <v>41.607898448519045</v>
      </c>
      <c r="AN350" s="88">
        <v>113.44</v>
      </c>
      <c r="AO350" s="89">
        <v>20.6</v>
      </c>
      <c r="AP350" s="90">
        <v>16.418200000000002</v>
      </c>
      <c r="AQ350" s="146">
        <f t="shared" si="146"/>
        <v>79.7</v>
      </c>
      <c r="AR350" s="146">
        <f t="shared" si="147"/>
        <v>20.299999999999997</v>
      </c>
      <c r="AS350" s="147">
        <v>10</v>
      </c>
      <c r="AT350" s="148">
        <v>14.899999999999999</v>
      </c>
      <c r="AU350" s="149">
        <v>8.3415999999999997</v>
      </c>
      <c r="AV350" s="146">
        <f t="shared" si="148"/>
        <v>55.983892617449669</v>
      </c>
      <c r="AW350" s="146">
        <f t="shared" si="149"/>
        <v>44.016107382550331</v>
      </c>
      <c r="AX350" s="138">
        <f t="shared" si="150"/>
        <v>67.604165168050599</v>
      </c>
      <c r="AY350" s="95">
        <v>75.900000000000006</v>
      </c>
      <c r="AZ350" s="96">
        <v>60.79</v>
      </c>
      <c r="BA350" s="96"/>
      <c r="BB350" s="96">
        <v>74.5</v>
      </c>
      <c r="BC350" s="96"/>
      <c r="BD350" s="97">
        <v>113.44</v>
      </c>
      <c r="BE350" s="142">
        <f t="shared" si="151"/>
        <v>6055</v>
      </c>
      <c r="BF350" s="88">
        <v>200</v>
      </c>
      <c r="BG350" s="98">
        <v>0</v>
      </c>
      <c r="BH350" s="98">
        <v>0</v>
      </c>
      <c r="BI350" s="98">
        <v>5855</v>
      </c>
      <c r="BJ350" s="98"/>
      <c r="BK350" s="98"/>
      <c r="BL350" s="97"/>
    </row>
    <row r="351" spans="1:64" outlineLevel="5" x14ac:dyDescent="0.3">
      <c r="A351" s="152">
        <f t="shared" si="135"/>
        <v>10</v>
      </c>
      <c r="B351" s="153">
        <f t="shared" si="120"/>
        <v>44859</v>
      </c>
      <c r="C351" s="138">
        <f t="shared" si="142"/>
        <v>38</v>
      </c>
      <c r="D351" s="84">
        <v>38</v>
      </c>
      <c r="E351" s="84">
        <v>38</v>
      </c>
      <c r="F351" s="84"/>
      <c r="G351" s="84"/>
      <c r="H351" s="84"/>
      <c r="I351" s="84"/>
      <c r="J351" s="84"/>
      <c r="K351" s="84"/>
      <c r="L351" s="140">
        <f t="shared" si="143"/>
        <v>8.3000000000000007</v>
      </c>
      <c r="M351" s="86">
        <v>8.3800000000000008</v>
      </c>
      <c r="N351" s="86">
        <v>8.31</v>
      </c>
      <c r="O351" s="86"/>
      <c r="P351" s="86"/>
      <c r="Q351" s="86"/>
      <c r="R351" s="86"/>
      <c r="S351" s="86"/>
      <c r="T351" s="86"/>
      <c r="U351" s="142">
        <f t="shared" si="144"/>
        <v>1021</v>
      </c>
      <c r="V351" s="88">
        <v>1038</v>
      </c>
      <c r="W351" s="88">
        <v>1004</v>
      </c>
      <c r="X351" s="88"/>
      <c r="Y351" s="88"/>
      <c r="Z351" s="88"/>
      <c r="AA351" s="88"/>
      <c r="AB351" s="88"/>
      <c r="AC351" s="88"/>
      <c r="AD351" s="142" t="str">
        <f t="shared" si="145"/>
        <v/>
      </c>
      <c r="AE351" s="88"/>
      <c r="AF351" s="88"/>
      <c r="AG351" s="88"/>
      <c r="AH351" s="88"/>
      <c r="AI351" s="88"/>
      <c r="AJ351" s="88"/>
      <c r="AK351" s="88"/>
      <c r="AL351" s="88"/>
      <c r="AM351" s="88">
        <v>35.798255593477428</v>
      </c>
      <c r="AN351" s="88">
        <v>131.85000000000002</v>
      </c>
      <c r="AO351" s="89"/>
      <c r="AP351" s="90"/>
      <c r="AQ351" s="146" t="str">
        <f t="shared" si="146"/>
        <v/>
      </c>
      <c r="AR351" s="146" t="str">
        <f t="shared" si="147"/>
        <v/>
      </c>
      <c r="AS351" s="147">
        <v>10</v>
      </c>
      <c r="AT351" s="148" t="s">
        <v>106</v>
      </c>
      <c r="AU351" s="149" t="s">
        <v>56</v>
      </c>
      <c r="AV351" s="146" t="str">
        <f t="shared" si="148"/>
        <v/>
      </c>
      <c r="AW351" s="146" t="str">
        <f t="shared" si="149"/>
        <v/>
      </c>
      <c r="AX351" s="138" t="str">
        <f t="shared" si="150"/>
        <v/>
      </c>
      <c r="AY351" s="95" t="s">
        <v>56</v>
      </c>
      <c r="AZ351" s="96">
        <v>60.045000000000002</v>
      </c>
      <c r="BA351" s="96"/>
      <c r="BB351" s="96">
        <v>73</v>
      </c>
      <c r="BC351" s="96"/>
      <c r="BD351" s="97">
        <v>131.85000000000002</v>
      </c>
      <c r="BE351" s="142">
        <f t="shared" si="151"/>
        <v>6375</v>
      </c>
      <c r="BF351" s="88">
        <v>198</v>
      </c>
      <c r="BG351" s="98">
        <v>0</v>
      </c>
      <c r="BH351" s="98">
        <v>0</v>
      </c>
      <c r="BI351" s="98">
        <v>6177</v>
      </c>
      <c r="BJ351" s="98"/>
      <c r="BK351" s="98"/>
      <c r="BL351" s="97"/>
    </row>
    <row r="352" spans="1:64" outlineLevel="5" x14ac:dyDescent="0.3">
      <c r="A352" s="152">
        <f t="shared" si="135"/>
        <v>10</v>
      </c>
      <c r="B352" s="153">
        <f t="shared" ref="B352:B415" si="152">B351+1</f>
        <v>44860</v>
      </c>
      <c r="C352" s="138">
        <f t="shared" si="142"/>
        <v>37</v>
      </c>
      <c r="D352" s="84">
        <v>37</v>
      </c>
      <c r="E352" s="84">
        <v>37</v>
      </c>
      <c r="F352" s="84"/>
      <c r="G352" s="84"/>
      <c r="H352" s="84"/>
      <c r="I352" s="84"/>
      <c r="J352" s="84"/>
      <c r="K352" s="84"/>
      <c r="L352" s="140">
        <f t="shared" si="143"/>
        <v>8.4</v>
      </c>
      <c r="M352" s="86">
        <v>8.42</v>
      </c>
      <c r="N352" s="86">
        <v>8.35</v>
      </c>
      <c r="O352" s="86"/>
      <c r="P352" s="86"/>
      <c r="Q352" s="86"/>
      <c r="R352" s="86"/>
      <c r="S352" s="86"/>
      <c r="T352" s="86"/>
      <c r="U352" s="142">
        <f t="shared" si="144"/>
        <v>1156.5</v>
      </c>
      <c r="V352" s="88">
        <v>1193</v>
      </c>
      <c r="W352" s="88">
        <v>1120</v>
      </c>
      <c r="X352" s="88"/>
      <c r="Y352" s="88"/>
      <c r="Z352" s="88"/>
      <c r="AA352" s="88"/>
      <c r="AB352" s="88"/>
      <c r="AC352" s="88"/>
      <c r="AD352" s="142" t="str">
        <f t="shared" si="145"/>
        <v/>
      </c>
      <c r="AE352" s="88"/>
      <c r="AF352" s="88"/>
      <c r="AG352" s="88"/>
      <c r="AH352" s="88"/>
      <c r="AI352" s="88"/>
      <c r="AJ352" s="88"/>
      <c r="AK352" s="88"/>
      <c r="AL352" s="88"/>
      <c r="AM352" s="88">
        <v>37.4157748711851</v>
      </c>
      <c r="AN352" s="88">
        <v>126.14999999999999</v>
      </c>
      <c r="AO352" s="89"/>
      <c r="AP352" s="90"/>
      <c r="AQ352" s="146" t="str">
        <f t="shared" si="146"/>
        <v/>
      </c>
      <c r="AR352" s="146" t="str">
        <f t="shared" si="147"/>
        <v/>
      </c>
      <c r="AS352" s="147">
        <v>10</v>
      </c>
      <c r="AT352" s="148">
        <v>14.700000000000001</v>
      </c>
      <c r="AU352" s="149">
        <v>8.0661000000000005</v>
      </c>
      <c r="AV352" s="146">
        <f t="shared" si="148"/>
        <v>54.871428571428574</v>
      </c>
      <c r="AW352" s="146">
        <f t="shared" si="149"/>
        <v>45.128571428571426</v>
      </c>
      <c r="AX352" s="138" t="str">
        <f t="shared" si="150"/>
        <v/>
      </c>
      <c r="AY352" s="95">
        <v>75.349999999999994</v>
      </c>
      <c r="AZ352" s="96" t="s">
        <v>56</v>
      </c>
      <c r="BA352" s="96"/>
      <c r="BB352" s="96" t="s">
        <v>56</v>
      </c>
      <c r="BC352" s="96"/>
      <c r="BD352" s="97">
        <v>126.14999999999999</v>
      </c>
      <c r="BE352" s="142">
        <f t="shared" si="151"/>
        <v>5873</v>
      </c>
      <c r="BF352" s="88">
        <v>492</v>
      </c>
      <c r="BG352" s="98">
        <v>0</v>
      </c>
      <c r="BH352" s="98">
        <v>0</v>
      </c>
      <c r="BI352" s="98">
        <v>5381</v>
      </c>
      <c r="BJ352" s="98"/>
      <c r="BK352" s="98"/>
      <c r="BL352" s="97"/>
    </row>
    <row r="353" spans="1:64" outlineLevel="5" x14ac:dyDescent="0.3">
      <c r="A353" s="152">
        <f t="shared" si="135"/>
        <v>10</v>
      </c>
      <c r="B353" s="153">
        <f t="shared" si="152"/>
        <v>44861</v>
      </c>
      <c r="C353" s="138">
        <f t="shared" si="142"/>
        <v>37</v>
      </c>
      <c r="D353" s="84">
        <v>37</v>
      </c>
      <c r="E353" s="84">
        <v>37</v>
      </c>
      <c r="F353" s="84"/>
      <c r="G353" s="84"/>
      <c r="H353" s="84"/>
      <c r="I353" s="84"/>
      <c r="J353" s="84"/>
      <c r="K353" s="84"/>
      <c r="L353" s="140">
        <f t="shared" si="143"/>
        <v>8.4</v>
      </c>
      <c r="M353" s="86">
        <v>8.4</v>
      </c>
      <c r="N353" s="86">
        <v>8.34</v>
      </c>
      <c r="O353" s="86"/>
      <c r="P353" s="86"/>
      <c r="Q353" s="86"/>
      <c r="R353" s="86"/>
      <c r="S353" s="86"/>
      <c r="T353" s="86"/>
      <c r="U353" s="142">
        <f t="shared" si="144"/>
        <v>1061</v>
      </c>
      <c r="V353" s="88">
        <v>1108</v>
      </c>
      <c r="W353" s="88">
        <v>1014</v>
      </c>
      <c r="X353" s="88"/>
      <c r="Y353" s="88"/>
      <c r="Z353" s="88"/>
      <c r="AA353" s="88"/>
      <c r="AB353" s="88"/>
      <c r="AC353" s="88"/>
      <c r="AD353" s="142" t="str">
        <f t="shared" si="145"/>
        <v/>
      </c>
      <c r="AE353" s="88"/>
      <c r="AF353" s="88"/>
      <c r="AG353" s="88"/>
      <c r="AH353" s="88"/>
      <c r="AI353" s="88"/>
      <c r="AJ353" s="88"/>
      <c r="AK353" s="88"/>
      <c r="AL353" s="88"/>
      <c r="AM353" s="88">
        <v>36.14088820826953</v>
      </c>
      <c r="AN353" s="88">
        <v>130.6</v>
      </c>
      <c r="AO353" s="89"/>
      <c r="AP353" s="90"/>
      <c r="AQ353" s="146" t="str">
        <f t="shared" si="146"/>
        <v/>
      </c>
      <c r="AR353" s="146" t="str">
        <f t="shared" si="147"/>
        <v/>
      </c>
      <c r="AS353" s="147">
        <v>10</v>
      </c>
      <c r="AT353" s="148">
        <v>14.3</v>
      </c>
      <c r="AU353" s="149">
        <v>7.8820999999999994</v>
      </c>
      <c r="AV353" s="146">
        <f t="shared" si="148"/>
        <v>55.119580419580416</v>
      </c>
      <c r="AW353" s="146">
        <f t="shared" si="149"/>
        <v>44.880419580419584</v>
      </c>
      <c r="AX353" s="138" t="str">
        <f t="shared" si="150"/>
        <v/>
      </c>
      <c r="AY353" s="95">
        <v>75.400000000000006</v>
      </c>
      <c r="AZ353" s="96" t="s">
        <v>56</v>
      </c>
      <c r="BA353" s="96"/>
      <c r="BB353" s="96" t="s">
        <v>56</v>
      </c>
      <c r="BC353" s="96"/>
      <c r="BD353" s="97">
        <v>130.6</v>
      </c>
      <c r="BE353" s="142">
        <f t="shared" si="151"/>
        <v>6170</v>
      </c>
      <c r="BF353" s="88">
        <v>204</v>
      </c>
      <c r="BG353" s="98">
        <v>0</v>
      </c>
      <c r="BH353" s="98">
        <v>0</v>
      </c>
      <c r="BI353" s="98">
        <v>5966</v>
      </c>
      <c r="BJ353" s="98"/>
      <c r="BK353" s="98"/>
      <c r="BL353" s="97"/>
    </row>
    <row r="354" spans="1:64" outlineLevel="5" x14ac:dyDescent="0.3">
      <c r="A354" s="152">
        <f t="shared" si="135"/>
        <v>10</v>
      </c>
      <c r="B354" s="153">
        <f t="shared" si="152"/>
        <v>44862</v>
      </c>
      <c r="C354" s="138">
        <f t="shared" si="142"/>
        <v>37</v>
      </c>
      <c r="D354" s="84">
        <v>37</v>
      </c>
      <c r="E354" s="84">
        <v>37</v>
      </c>
      <c r="F354" s="84"/>
      <c r="G354" s="84"/>
      <c r="H354" s="84"/>
      <c r="I354" s="84"/>
      <c r="J354" s="84"/>
      <c r="K354" s="84"/>
      <c r="L354" s="140">
        <f t="shared" si="143"/>
        <v>8.5</v>
      </c>
      <c r="M354" s="86">
        <v>8.52</v>
      </c>
      <c r="N354" s="86">
        <v>8.4700000000000006</v>
      </c>
      <c r="O354" s="86"/>
      <c r="P354" s="86"/>
      <c r="Q354" s="86"/>
      <c r="R354" s="86"/>
      <c r="S354" s="86"/>
      <c r="T354" s="86"/>
      <c r="U354" s="142">
        <f t="shared" si="144"/>
        <v>1040.5</v>
      </c>
      <c r="V354" s="88">
        <v>1075</v>
      </c>
      <c r="W354" s="88">
        <v>1006</v>
      </c>
      <c r="X354" s="88"/>
      <c r="Y354" s="88"/>
      <c r="Z354" s="88"/>
      <c r="AA354" s="88"/>
      <c r="AB354" s="88"/>
      <c r="AC354" s="88"/>
      <c r="AD354" s="142" t="str">
        <f t="shared" si="145"/>
        <v/>
      </c>
      <c r="AE354" s="88"/>
      <c r="AF354" s="88"/>
      <c r="AG354" s="88"/>
      <c r="AH354" s="88"/>
      <c r="AI354" s="88"/>
      <c r="AJ354" s="88"/>
      <c r="AK354" s="88"/>
      <c r="AL354" s="88"/>
      <c r="AM354" s="88">
        <v>43.239281788200806</v>
      </c>
      <c r="AN354" s="88">
        <v>109.16</v>
      </c>
      <c r="AO354" s="89"/>
      <c r="AP354" s="90"/>
      <c r="AQ354" s="146" t="str">
        <f t="shared" si="146"/>
        <v/>
      </c>
      <c r="AR354" s="146" t="str">
        <f t="shared" si="147"/>
        <v/>
      </c>
      <c r="AS354" s="147">
        <v>20</v>
      </c>
      <c r="AT354" s="148" t="s">
        <v>106</v>
      </c>
      <c r="AU354" s="149" t="s">
        <v>56</v>
      </c>
      <c r="AV354" s="146" t="str">
        <f t="shared" si="148"/>
        <v/>
      </c>
      <c r="AW354" s="146" t="str">
        <f t="shared" si="149"/>
        <v/>
      </c>
      <c r="AX354" s="138" t="str">
        <f t="shared" si="150"/>
        <v/>
      </c>
      <c r="AY354" s="95" t="s">
        <v>56</v>
      </c>
      <c r="AZ354" s="96">
        <v>62.41</v>
      </c>
      <c r="BA354" s="96"/>
      <c r="BB354" s="96">
        <v>23.5</v>
      </c>
      <c r="BC354" s="96"/>
      <c r="BD354" s="97">
        <v>109.16</v>
      </c>
      <c r="BE354" s="142">
        <f t="shared" si="151"/>
        <v>6372</v>
      </c>
      <c r="BF354" s="88">
        <v>448</v>
      </c>
      <c r="BG354" s="98">
        <v>0</v>
      </c>
      <c r="BH354" s="98">
        <v>0</v>
      </c>
      <c r="BI354" s="98">
        <v>5924</v>
      </c>
      <c r="BJ354" s="98"/>
      <c r="BK354" s="98"/>
      <c r="BL354" s="97"/>
    </row>
    <row r="355" spans="1:64" outlineLevel="5" x14ac:dyDescent="0.3">
      <c r="A355" s="152">
        <f t="shared" si="135"/>
        <v>10</v>
      </c>
      <c r="B355" s="153">
        <f t="shared" si="152"/>
        <v>44863</v>
      </c>
      <c r="C355" s="138">
        <f t="shared" si="142"/>
        <v>37</v>
      </c>
      <c r="D355" s="84">
        <v>37</v>
      </c>
      <c r="E355" s="84">
        <v>37</v>
      </c>
      <c r="F355" s="84"/>
      <c r="G355" s="84"/>
      <c r="H355" s="84"/>
      <c r="I355" s="84"/>
      <c r="J355" s="84"/>
      <c r="K355" s="84"/>
      <c r="L355" s="140" t="str">
        <f t="shared" si="143"/>
        <v/>
      </c>
      <c r="M355" s="86"/>
      <c r="N355" s="86"/>
      <c r="O355" s="86"/>
      <c r="P355" s="86"/>
      <c r="Q355" s="86"/>
      <c r="R355" s="86"/>
      <c r="S355" s="86"/>
      <c r="T355" s="86"/>
      <c r="U355" s="142" t="str">
        <f t="shared" si="144"/>
        <v/>
      </c>
      <c r="V355" s="88"/>
      <c r="W355" s="88"/>
      <c r="X355" s="88"/>
      <c r="Y355" s="88"/>
      <c r="Z355" s="88"/>
      <c r="AA355" s="88"/>
      <c r="AB355" s="88"/>
      <c r="AC355" s="88"/>
      <c r="AD355" s="142" t="str">
        <f t="shared" si="145"/>
        <v/>
      </c>
      <c r="AE355" s="88"/>
      <c r="AF355" s="88"/>
      <c r="AG355" s="88"/>
      <c r="AH355" s="88"/>
      <c r="AI355" s="88"/>
      <c r="AJ355" s="88"/>
      <c r="AK355" s="88"/>
      <c r="AL355" s="88"/>
      <c r="AM355" s="88">
        <v>47.148137049245832</v>
      </c>
      <c r="AN355" s="88">
        <v>100.11</v>
      </c>
      <c r="AO355" s="89"/>
      <c r="AP355" s="90"/>
      <c r="AQ355" s="146" t="str">
        <f t="shared" si="146"/>
        <v/>
      </c>
      <c r="AR355" s="146" t="str">
        <f t="shared" si="147"/>
        <v/>
      </c>
      <c r="AS355" s="147">
        <v>10</v>
      </c>
      <c r="AT355" s="148" t="s">
        <v>106</v>
      </c>
      <c r="AU355" s="149" t="s">
        <v>56</v>
      </c>
      <c r="AV355" s="146" t="str">
        <f t="shared" si="148"/>
        <v/>
      </c>
      <c r="AW355" s="146" t="str">
        <f t="shared" si="149"/>
        <v/>
      </c>
      <c r="AX355" s="138" t="str">
        <f t="shared" si="150"/>
        <v/>
      </c>
      <c r="AY355" s="95" t="s">
        <v>56</v>
      </c>
      <c r="AZ355" s="96" t="s">
        <v>56</v>
      </c>
      <c r="BA355" s="96"/>
      <c r="BB355" s="96" t="s">
        <v>56</v>
      </c>
      <c r="BC355" s="96"/>
      <c r="BD355" s="97">
        <v>100.11</v>
      </c>
      <c r="BE355" s="142">
        <f t="shared" si="151"/>
        <v>5967</v>
      </c>
      <c r="BF355" s="88">
        <v>232</v>
      </c>
      <c r="BG355" s="98">
        <v>0</v>
      </c>
      <c r="BH355" s="98">
        <v>0</v>
      </c>
      <c r="BI355" s="98">
        <v>5735</v>
      </c>
      <c r="BJ355" s="98"/>
      <c r="BK355" s="98"/>
      <c r="BL355" s="97"/>
    </row>
    <row r="356" spans="1:64" outlineLevel="5" x14ac:dyDescent="0.3">
      <c r="A356" s="152">
        <f t="shared" si="135"/>
        <v>10</v>
      </c>
      <c r="B356" s="153">
        <f t="shared" si="152"/>
        <v>44864</v>
      </c>
      <c r="C356" s="138">
        <f t="shared" si="142"/>
        <v>37</v>
      </c>
      <c r="D356" s="84">
        <v>37</v>
      </c>
      <c r="E356" s="84">
        <v>37</v>
      </c>
      <c r="F356" s="84"/>
      <c r="G356" s="84"/>
      <c r="H356" s="84"/>
      <c r="I356" s="84"/>
      <c r="J356" s="84"/>
      <c r="K356" s="84"/>
      <c r="L356" s="140" t="str">
        <f t="shared" si="143"/>
        <v/>
      </c>
      <c r="M356" s="86"/>
      <c r="N356" s="86"/>
      <c r="O356" s="86"/>
      <c r="P356" s="86"/>
      <c r="Q356" s="86"/>
      <c r="R356" s="86"/>
      <c r="S356" s="86"/>
      <c r="T356" s="86"/>
      <c r="U356" s="142" t="str">
        <f t="shared" si="144"/>
        <v/>
      </c>
      <c r="V356" s="88"/>
      <c r="W356" s="88"/>
      <c r="X356" s="88"/>
      <c r="Y356" s="88"/>
      <c r="Z356" s="88"/>
      <c r="AA356" s="88"/>
      <c r="AB356" s="88"/>
      <c r="AC356" s="88"/>
      <c r="AD356" s="142" t="str">
        <f t="shared" si="145"/>
        <v/>
      </c>
      <c r="AE356" s="88"/>
      <c r="AF356" s="88"/>
      <c r="AG356" s="88"/>
      <c r="AH356" s="88"/>
      <c r="AI356" s="88"/>
      <c r="AJ356" s="88"/>
      <c r="AK356" s="88"/>
      <c r="AL356" s="88"/>
      <c r="AM356" s="88">
        <v>49.684210526315788</v>
      </c>
      <c r="AN356" s="88">
        <v>95</v>
      </c>
      <c r="AO356" s="89"/>
      <c r="AP356" s="90"/>
      <c r="AQ356" s="146" t="str">
        <f t="shared" si="146"/>
        <v/>
      </c>
      <c r="AR356" s="146" t="str">
        <f t="shared" si="147"/>
        <v/>
      </c>
      <c r="AS356" s="147">
        <v>0</v>
      </c>
      <c r="AT356" s="148" t="s">
        <v>106</v>
      </c>
      <c r="AU356" s="149" t="s">
        <v>56</v>
      </c>
      <c r="AV356" s="146" t="str">
        <f t="shared" si="148"/>
        <v/>
      </c>
      <c r="AW356" s="146" t="str">
        <f t="shared" si="149"/>
        <v/>
      </c>
      <c r="AX356" s="138" t="str">
        <f t="shared" si="150"/>
        <v/>
      </c>
      <c r="AY356" s="95" t="s">
        <v>56</v>
      </c>
      <c r="AZ356" s="96" t="s">
        <v>56</v>
      </c>
      <c r="BA356" s="96"/>
      <c r="BB356" s="96" t="s">
        <v>56</v>
      </c>
      <c r="BC356" s="96"/>
      <c r="BD356" s="97">
        <v>95</v>
      </c>
      <c r="BE356" s="142">
        <f t="shared" si="151"/>
        <v>5832</v>
      </c>
      <c r="BF356" s="88">
        <v>270</v>
      </c>
      <c r="BG356" s="98">
        <v>0</v>
      </c>
      <c r="BH356" s="98">
        <v>0</v>
      </c>
      <c r="BI356" s="98">
        <v>5562</v>
      </c>
      <c r="BJ356" s="98"/>
      <c r="BK356" s="98"/>
      <c r="BL356" s="97"/>
    </row>
    <row r="357" spans="1:64" ht="17.25" outlineLevel="5" thickBot="1" x14ac:dyDescent="0.35">
      <c r="A357" s="154">
        <f t="shared" si="135"/>
        <v>10</v>
      </c>
      <c r="B357" s="155">
        <f t="shared" si="152"/>
        <v>44865</v>
      </c>
      <c r="C357" s="138">
        <f t="shared" si="142"/>
        <v>37</v>
      </c>
      <c r="D357" s="84">
        <v>37</v>
      </c>
      <c r="E357" s="84">
        <v>37</v>
      </c>
      <c r="F357" s="84"/>
      <c r="G357" s="84"/>
      <c r="H357" s="84"/>
      <c r="I357" s="84"/>
      <c r="J357" s="84"/>
      <c r="K357" s="84"/>
      <c r="L357" s="140">
        <f t="shared" si="143"/>
        <v>8.4</v>
      </c>
      <c r="M357" s="86">
        <v>8.4600000000000009</v>
      </c>
      <c r="N357" s="86">
        <v>8.39</v>
      </c>
      <c r="O357" s="86"/>
      <c r="P357" s="86"/>
      <c r="Q357" s="86"/>
      <c r="R357" s="86"/>
      <c r="S357" s="86"/>
      <c r="T357" s="86"/>
      <c r="U357" s="142">
        <f t="shared" si="144"/>
        <v>1069.5</v>
      </c>
      <c r="V357" s="88">
        <v>1119</v>
      </c>
      <c r="W357" s="88">
        <v>1020</v>
      </c>
      <c r="X357" s="88"/>
      <c r="Y357" s="88"/>
      <c r="Z357" s="88"/>
      <c r="AA357" s="88"/>
      <c r="AB357" s="88"/>
      <c r="AC357" s="88"/>
      <c r="AD357" s="142" t="str">
        <f t="shared" si="145"/>
        <v/>
      </c>
      <c r="AE357" s="88"/>
      <c r="AF357" s="88"/>
      <c r="AG357" s="88"/>
      <c r="AH357" s="88"/>
      <c r="AI357" s="88"/>
      <c r="AJ357" s="88"/>
      <c r="AK357" s="88"/>
      <c r="AL357" s="88"/>
      <c r="AM357" s="88">
        <v>41.703481180420567</v>
      </c>
      <c r="AN357" s="88">
        <v>113.18</v>
      </c>
      <c r="AO357" s="89">
        <v>20.7</v>
      </c>
      <c r="AP357" s="90">
        <v>16.4358</v>
      </c>
      <c r="AQ357" s="146">
        <f t="shared" si="146"/>
        <v>79.400000000000006</v>
      </c>
      <c r="AR357" s="146">
        <f t="shared" si="147"/>
        <v>20.599999999999994</v>
      </c>
      <c r="AS357" s="147">
        <v>12</v>
      </c>
      <c r="AT357" s="148">
        <v>14.95</v>
      </c>
      <c r="AU357" s="149">
        <v>8.3813499999999994</v>
      </c>
      <c r="AV357" s="146">
        <f t="shared" si="148"/>
        <v>56.062541806020064</v>
      </c>
      <c r="AW357" s="146">
        <f t="shared" si="149"/>
        <v>43.937458193979936</v>
      </c>
      <c r="AX357" s="138">
        <f t="shared" si="150"/>
        <v>66.895687497829798</v>
      </c>
      <c r="AY357" s="95">
        <v>75.8</v>
      </c>
      <c r="AZ357" s="96">
        <v>60.245000000000005</v>
      </c>
      <c r="BA357" s="96"/>
      <c r="BB357" s="96">
        <v>82</v>
      </c>
      <c r="BC357" s="96"/>
      <c r="BD357" s="97">
        <v>113.18</v>
      </c>
      <c r="BE357" s="142">
        <f t="shared" si="151"/>
        <v>6291</v>
      </c>
      <c r="BF357" s="88">
        <v>393</v>
      </c>
      <c r="BG357" s="98">
        <v>0</v>
      </c>
      <c r="BH357" s="98">
        <v>0</v>
      </c>
      <c r="BI357" s="98">
        <v>5898</v>
      </c>
      <c r="BJ357" s="98"/>
      <c r="BK357" s="98"/>
      <c r="BL357" s="97"/>
    </row>
    <row r="358" spans="1:64" outlineLevel="4" x14ac:dyDescent="0.3">
      <c r="A358" s="63" t="s">
        <v>93</v>
      </c>
      <c r="B358" s="64"/>
      <c r="C358" s="65">
        <f t="shared" ref="C358:BL358" si="153">SUBTOTAL(4,C327:C357)</f>
        <v>38</v>
      </c>
      <c r="D358" s="66">
        <f t="shared" si="153"/>
        <v>38</v>
      </c>
      <c r="E358" s="66">
        <f t="shared" si="153"/>
        <v>38</v>
      </c>
      <c r="F358" s="66">
        <f t="shared" si="153"/>
        <v>0</v>
      </c>
      <c r="G358" s="66">
        <f t="shared" si="153"/>
        <v>0</v>
      </c>
      <c r="H358" s="66">
        <f t="shared" si="153"/>
        <v>0</v>
      </c>
      <c r="I358" s="66">
        <f t="shared" si="153"/>
        <v>0</v>
      </c>
      <c r="J358" s="66">
        <f t="shared" si="153"/>
        <v>0</v>
      </c>
      <c r="K358" s="66">
        <f t="shared" si="153"/>
        <v>0</v>
      </c>
      <c r="L358" s="67">
        <f t="shared" si="153"/>
        <v>8.5</v>
      </c>
      <c r="M358" s="68">
        <f t="shared" si="153"/>
        <v>8.52</v>
      </c>
      <c r="N358" s="68">
        <f t="shared" si="153"/>
        <v>8.4700000000000006</v>
      </c>
      <c r="O358" s="68">
        <f t="shared" si="153"/>
        <v>0</v>
      </c>
      <c r="P358" s="68">
        <f t="shared" si="153"/>
        <v>0</v>
      </c>
      <c r="Q358" s="68">
        <f t="shared" si="153"/>
        <v>0</v>
      </c>
      <c r="R358" s="68">
        <f t="shared" si="153"/>
        <v>0</v>
      </c>
      <c r="S358" s="68">
        <f t="shared" si="153"/>
        <v>0</v>
      </c>
      <c r="T358" s="68">
        <f t="shared" si="153"/>
        <v>0</v>
      </c>
      <c r="U358" s="69">
        <f t="shared" si="153"/>
        <v>1269</v>
      </c>
      <c r="V358" s="70">
        <f t="shared" si="153"/>
        <v>1311</v>
      </c>
      <c r="W358" s="70">
        <f t="shared" si="153"/>
        <v>1237</v>
      </c>
      <c r="X358" s="70">
        <f t="shared" si="153"/>
        <v>0</v>
      </c>
      <c r="Y358" s="70">
        <f t="shared" si="153"/>
        <v>0</v>
      </c>
      <c r="Z358" s="70">
        <f t="shared" si="153"/>
        <v>0</v>
      </c>
      <c r="AA358" s="70">
        <f t="shared" si="153"/>
        <v>0</v>
      </c>
      <c r="AB358" s="70">
        <f t="shared" si="153"/>
        <v>0</v>
      </c>
      <c r="AC358" s="70">
        <f t="shared" si="153"/>
        <v>0</v>
      </c>
      <c r="AD358" s="69">
        <f t="shared" si="153"/>
        <v>7870</v>
      </c>
      <c r="AE358" s="70">
        <f t="shared" si="153"/>
        <v>7870</v>
      </c>
      <c r="AF358" s="70">
        <f t="shared" si="153"/>
        <v>7154</v>
      </c>
      <c r="AG358" s="70">
        <f t="shared" si="153"/>
        <v>0</v>
      </c>
      <c r="AH358" s="70">
        <f t="shared" si="153"/>
        <v>0</v>
      </c>
      <c r="AI358" s="70">
        <f t="shared" si="153"/>
        <v>0</v>
      </c>
      <c r="AJ358" s="70">
        <f t="shared" si="153"/>
        <v>0</v>
      </c>
      <c r="AK358" s="70">
        <f t="shared" si="153"/>
        <v>0</v>
      </c>
      <c r="AL358" s="70">
        <f t="shared" si="153"/>
        <v>0</v>
      </c>
      <c r="AM358" s="70">
        <f t="shared" si="153"/>
        <v>59</v>
      </c>
      <c r="AN358" s="70">
        <f t="shared" si="153"/>
        <v>142.67000000000002</v>
      </c>
      <c r="AO358" s="71">
        <f t="shared" si="153"/>
        <v>20.7</v>
      </c>
      <c r="AP358" s="72">
        <f t="shared" si="153"/>
        <v>16.500599999999999</v>
      </c>
      <c r="AQ358" s="73">
        <f t="shared" si="153"/>
        <v>80.09999999999998</v>
      </c>
      <c r="AR358" s="73">
        <f t="shared" si="153"/>
        <v>20.599999999999994</v>
      </c>
      <c r="AS358" s="74">
        <f t="shared" si="153"/>
        <v>20</v>
      </c>
      <c r="AT358" s="75">
        <f t="shared" si="153"/>
        <v>15</v>
      </c>
      <c r="AU358" s="76">
        <f t="shared" si="153"/>
        <v>8.3813499999999994</v>
      </c>
      <c r="AV358" s="73">
        <f t="shared" si="153"/>
        <v>56.062541806020064</v>
      </c>
      <c r="AW358" s="73">
        <f t="shared" si="153"/>
        <v>45.170205479452051</v>
      </c>
      <c r="AX358" s="65">
        <f t="shared" si="153"/>
        <v>68.990170587063645</v>
      </c>
      <c r="AY358" s="77">
        <f t="shared" si="153"/>
        <v>76</v>
      </c>
      <c r="AZ358" s="78">
        <f t="shared" si="153"/>
        <v>62.41</v>
      </c>
      <c r="BA358" s="78">
        <f t="shared" si="153"/>
        <v>0</v>
      </c>
      <c r="BB358" s="78">
        <f t="shared" si="153"/>
        <v>82</v>
      </c>
      <c r="BC358" s="78">
        <f t="shared" si="153"/>
        <v>0</v>
      </c>
      <c r="BD358" s="79">
        <f t="shared" si="153"/>
        <v>142.67000000000002</v>
      </c>
      <c r="BE358" s="69">
        <f t="shared" si="153"/>
        <v>8152</v>
      </c>
      <c r="BF358" s="70">
        <f t="shared" si="153"/>
        <v>492</v>
      </c>
      <c r="BG358" s="80">
        <f t="shared" si="153"/>
        <v>0</v>
      </c>
      <c r="BH358" s="80">
        <f t="shared" si="153"/>
        <v>1724</v>
      </c>
      <c r="BI358" s="80">
        <f t="shared" si="153"/>
        <v>6297</v>
      </c>
      <c r="BJ358" s="80">
        <f t="shared" si="153"/>
        <v>0</v>
      </c>
      <c r="BK358" s="80">
        <f t="shared" si="153"/>
        <v>0</v>
      </c>
      <c r="BL358" s="79">
        <f t="shared" si="153"/>
        <v>0</v>
      </c>
    </row>
    <row r="359" spans="1:64" outlineLevel="3" x14ac:dyDescent="0.3">
      <c r="A359" s="81" t="s">
        <v>94</v>
      </c>
      <c r="B359" s="82"/>
      <c r="C359" s="83">
        <f t="shared" ref="C359:BL359" si="154">SUBTOTAL(5,C327:C357)</f>
        <v>35.5</v>
      </c>
      <c r="D359" s="84">
        <f t="shared" si="154"/>
        <v>36</v>
      </c>
      <c r="E359" s="84">
        <f t="shared" si="154"/>
        <v>35</v>
      </c>
      <c r="F359" s="84">
        <f t="shared" si="154"/>
        <v>0</v>
      </c>
      <c r="G359" s="84">
        <f t="shared" si="154"/>
        <v>0</v>
      </c>
      <c r="H359" s="84">
        <f t="shared" si="154"/>
        <v>0</v>
      </c>
      <c r="I359" s="84">
        <f t="shared" si="154"/>
        <v>0</v>
      </c>
      <c r="J359" s="84">
        <f t="shared" si="154"/>
        <v>0</v>
      </c>
      <c r="K359" s="84">
        <f t="shared" si="154"/>
        <v>0</v>
      </c>
      <c r="L359" s="85">
        <f t="shared" si="154"/>
        <v>8.1</v>
      </c>
      <c r="M359" s="86">
        <f t="shared" si="154"/>
        <v>8.19</v>
      </c>
      <c r="N359" s="86">
        <f t="shared" si="154"/>
        <v>8.1</v>
      </c>
      <c r="O359" s="86">
        <f t="shared" si="154"/>
        <v>0</v>
      </c>
      <c r="P359" s="86">
        <f t="shared" si="154"/>
        <v>0</v>
      </c>
      <c r="Q359" s="86">
        <f t="shared" si="154"/>
        <v>0</v>
      </c>
      <c r="R359" s="86">
        <f t="shared" si="154"/>
        <v>0</v>
      </c>
      <c r="S359" s="86">
        <f t="shared" si="154"/>
        <v>0</v>
      </c>
      <c r="T359" s="86">
        <f t="shared" si="154"/>
        <v>0</v>
      </c>
      <c r="U359" s="87">
        <f t="shared" si="154"/>
        <v>990.5</v>
      </c>
      <c r="V359" s="88">
        <f t="shared" si="154"/>
        <v>1011</v>
      </c>
      <c r="W359" s="88">
        <f t="shared" si="154"/>
        <v>970</v>
      </c>
      <c r="X359" s="88">
        <f t="shared" si="154"/>
        <v>0</v>
      </c>
      <c r="Y359" s="88">
        <f t="shared" si="154"/>
        <v>0</v>
      </c>
      <c r="Z359" s="88">
        <f t="shared" si="154"/>
        <v>0</v>
      </c>
      <c r="AA359" s="88">
        <f t="shared" si="154"/>
        <v>0</v>
      </c>
      <c r="AB359" s="88">
        <f t="shared" si="154"/>
        <v>0</v>
      </c>
      <c r="AC359" s="88">
        <f t="shared" si="154"/>
        <v>0</v>
      </c>
      <c r="AD359" s="87">
        <f t="shared" si="154"/>
        <v>7009</v>
      </c>
      <c r="AE359" s="88">
        <f t="shared" si="154"/>
        <v>6978</v>
      </c>
      <c r="AF359" s="88">
        <f t="shared" si="154"/>
        <v>7040</v>
      </c>
      <c r="AG359" s="88">
        <f t="shared" si="154"/>
        <v>0</v>
      </c>
      <c r="AH359" s="88">
        <f t="shared" si="154"/>
        <v>0</v>
      </c>
      <c r="AI359" s="88">
        <f t="shared" si="154"/>
        <v>0</v>
      </c>
      <c r="AJ359" s="88">
        <f t="shared" si="154"/>
        <v>0</v>
      </c>
      <c r="AK359" s="88">
        <f t="shared" si="154"/>
        <v>0</v>
      </c>
      <c r="AL359" s="88">
        <f t="shared" si="154"/>
        <v>0</v>
      </c>
      <c r="AM359" s="88">
        <f t="shared" si="154"/>
        <v>33.083339174318354</v>
      </c>
      <c r="AN359" s="88">
        <f t="shared" si="154"/>
        <v>80</v>
      </c>
      <c r="AO359" s="89">
        <f t="shared" si="154"/>
        <v>20.6</v>
      </c>
      <c r="AP359" s="90">
        <f t="shared" si="154"/>
        <v>16.418200000000002</v>
      </c>
      <c r="AQ359" s="91">
        <f t="shared" si="154"/>
        <v>79.400000000000006</v>
      </c>
      <c r="AR359" s="91">
        <f t="shared" si="154"/>
        <v>19.90000000000002</v>
      </c>
      <c r="AS359" s="92">
        <f t="shared" si="154"/>
        <v>0</v>
      </c>
      <c r="AT359" s="93">
        <f t="shared" si="154"/>
        <v>13.3</v>
      </c>
      <c r="AU359" s="94">
        <f t="shared" si="154"/>
        <v>7.8820999999999994</v>
      </c>
      <c r="AV359" s="91">
        <f t="shared" si="154"/>
        <v>54.829794520547949</v>
      </c>
      <c r="AW359" s="91">
        <f t="shared" si="154"/>
        <v>43.937458193979936</v>
      </c>
      <c r="AX359" s="83">
        <f t="shared" si="154"/>
        <v>66.895687497829798</v>
      </c>
      <c r="AY359" s="95">
        <f t="shared" si="154"/>
        <v>75.3</v>
      </c>
      <c r="AZ359" s="96">
        <f t="shared" si="154"/>
        <v>60.045000000000002</v>
      </c>
      <c r="BA359" s="96">
        <f t="shared" si="154"/>
        <v>0</v>
      </c>
      <c r="BB359" s="96">
        <f t="shared" si="154"/>
        <v>23.5</v>
      </c>
      <c r="BC359" s="96">
        <f t="shared" si="154"/>
        <v>0</v>
      </c>
      <c r="BD359" s="97">
        <f t="shared" si="154"/>
        <v>80</v>
      </c>
      <c r="BE359" s="87">
        <f t="shared" si="154"/>
        <v>942</v>
      </c>
      <c r="BF359" s="88">
        <f t="shared" si="154"/>
        <v>135</v>
      </c>
      <c r="BG359" s="98">
        <f t="shared" si="154"/>
        <v>0</v>
      </c>
      <c r="BH359" s="98">
        <f t="shared" si="154"/>
        <v>0</v>
      </c>
      <c r="BI359" s="98">
        <f t="shared" si="154"/>
        <v>737</v>
      </c>
      <c r="BJ359" s="98">
        <f t="shared" si="154"/>
        <v>0</v>
      </c>
      <c r="BK359" s="98">
        <f t="shared" si="154"/>
        <v>0</v>
      </c>
      <c r="BL359" s="97">
        <f t="shared" si="154"/>
        <v>0</v>
      </c>
    </row>
    <row r="360" spans="1:64" outlineLevel="2" x14ac:dyDescent="0.3">
      <c r="A360" s="81" t="s">
        <v>95</v>
      </c>
      <c r="B360" s="82"/>
      <c r="C360" s="83">
        <f t="shared" ref="C360:BL360" si="155">IFERROR(SUBTOTAL(1,C327:C357),"")</f>
        <v>36.887096774193552</v>
      </c>
      <c r="D360" s="84">
        <f t="shared" si="155"/>
        <v>36.935483870967744</v>
      </c>
      <c r="E360" s="84">
        <f t="shared" si="155"/>
        <v>36.838709677419352</v>
      </c>
      <c r="F360" s="84" t="str">
        <f t="shared" si="155"/>
        <v/>
      </c>
      <c r="G360" s="84" t="str">
        <f t="shared" si="155"/>
        <v/>
      </c>
      <c r="H360" s="84" t="str">
        <f t="shared" si="155"/>
        <v/>
      </c>
      <c r="I360" s="84" t="str">
        <f t="shared" si="155"/>
        <v/>
      </c>
      <c r="J360" s="84" t="str">
        <f t="shared" si="155"/>
        <v/>
      </c>
      <c r="K360" s="84" t="str">
        <f t="shared" si="155"/>
        <v/>
      </c>
      <c r="L360" s="85">
        <f t="shared" si="155"/>
        <v>8.3684210526315805</v>
      </c>
      <c r="M360" s="86">
        <f t="shared" si="155"/>
        <v>8.4005263157894738</v>
      </c>
      <c r="N360" s="86">
        <f t="shared" si="155"/>
        <v>8.3433333333333337</v>
      </c>
      <c r="O360" s="86" t="str">
        <f t="shared" si="155"/>
        <v/>
      </c>
      <c r="P360" s="86" t="str">
        <f t="shared" si="155"/>
        <v/>
      </c>
      <c r="Q360" s="86" t="str">
        <f t="shared" si="155"/>
        <v/>
      </c>
      <c r="R360" s="86" t="str">
        <f t="shared" si="155"/>
        <v/>
      </c>
      <c r="S360" s="86" t="str">
        <f t="shared" si="155"/>
        <v/>
      </c>
      <c r="T360" s="86" t="str">
        <f t="shared" si="155"/>
        <v/>
      </c>
      <c r="U360" s="87">
        <f t="shared" si="155"/>
        <v>1126.4473684210527</v>
      </c>
      <c r="V360" s="88">
        <f t="shared" si="155"/>
        <v>1165.3684210526317</v>
      </c>
      <c r="W360" s="88">
        <f t="shared" si="155"/>
        <v>1080.3333333333333</v>
      </c>
      <c r="X360" s="88" t="str">
        <f t="shared" si="155"/>
        <v/>
      </c>
      <c r="Y360" s="88" t="str">
        <f t="shared" si="155"/>
        <v/>
      </c>
      <c r="Z360" s="88" t="str">
        <f t="shared" si="155"/>
        <v/>
      </c>
      <c r="AA360" s="88" t="str">
        <f t="shared" si="155"/>
        <v/>
      </c>
      <c r="AB360" s="88" t="str">
        <f t="shared" si="155"/>
        <v/>
      </c>
      <c r="AC360" s="88" t="str">
        <f t="shared" si="155"/>
        <v/>
      </c>
      <c r="AD360" s="87">
        <f t="shared" si="155"/>
        <v>7395.666666666667</v>
      </c>
      <c r="AE360" s="88">
        <f t="shared" si="155"/>
        <v>7436.666666666667</v>
      </c>
      <c r="AF360" s="88">
        <f t="shared" si="155"/>
        <v>7097</v>
      </c>
      <c r="AG360" s="88" t="str">
        <f t="shared" si="155"/>
        <v/>
      </c>
      <c r="AH360" s="88" t="str">
        <f t="shared" si="155"/>
        <v/>
      </c>
      <c r="AI360" s="88" t="str">
        <f t="shared" si="155"/>
        <v/>
      </c>
      <c r="AJ360" s="88" t="str">
        <f t="shared" si="155"/>
        <v/>
      </c>
      <c r="AK360" s="88" t="str">
        <f t="shared" si="155"/>
        <v/>
      </c>
      <c r="AL360" s="88" t="str">
        <f t="shared" si="155"/>
        <v/>
      </c>
      <c r="AM360" s="88">
        <f t="shared" si="155"/>
        <v>42.892773386097318</v>
      </c>
      <c r="AN360" s="88">
        <f t="shared" si="155"/>
        <v>113.57290322580644</v>
      </c>
      <c r="AO360" s="89">
        <f t="shared" si="155"/>
        <v>20.633333333333336</v>
      </c>
      <c r="AP360" s="90">
        <f t="shared" si="155"/>
        <v>16.451533333333334</v>
      </c>
      <c r="AQ360" s="91">
        <f t="shared" si="155"/>
        <v>79.733333333333334</v>
      </c>
      <c r="AR360" s="91">
        <f t="shared" si="155"/>
        <v>20.266666666666669</v>
      </c>
      <c r="AS360" s="92">
        <f t="shared" si="155"/>
        <v>9.4193548387096779</v>
      </c>
      <c r="AT360" s="93">
        <f t="shared" si="155"/>
        <v>14.495454545454544</v>
      </c>
      <c r="AU360" s="94">
        <f t="shared" si="155"/>
        <v>8.0955899999999996</v>
      </c>
      <c r="AV360" s="91">
        <f t="shared" si="155"/>
        <v>55.389027698350027</v>
      </c>
      <c r="AW360" s="91">
        <f t="shared" si="155"/>
        <v>44.610972301649973</v>
      </c>
      <c r="AX360" s="83">
        <f t="shared" si="155"/>
        <v>67.830007750981338</v>
      </c>
      <c r="AY360" s="95">
        <f t="shared" si="155"/>
        <v>75.645454545454541</v>
      </c>
      <c r="AZ360" s="96">
        <f t="shared" si="155"/>
        <v>60.942000000000007</v>
      </c>
      <c r="BA360" s="96" t="str">
        <f t="shared" si="155"/>
        <v/>
      </c>
      <c r="BB360" s="96">
        <f t="shared" si="155"/>
        <v>65.3</v>
      </c>
      <c r="BC360" s="96" t="str">
        <f t="shared" si="155"/>
        <v/>
      </c>
      <c r="BD360" s="97">
        <f>IFERROR(SUBTOTAL(1,BD327:BD357),"")</f>
        <v>113.57290322580644</v>
      </c>
      <c r="BE360" s="87">
        <f t="shared" si="155"/>
        <v>5907.1612903225805</v>
      </c>
      <c r="BF360" s="88">
        <f t="shared" si="155"/>
        <v>244.7741935483871</v>
      </c>
      <c r="BG360" s="98">
        <f t="shared" si="155"/>
        <v>0</v>
      </c>
      <c r="BH360" s="98">
        <f t="shared" si="155"/>
        <v>55.612903225806448</v>
      </c>
      <c r="BI360" s="98">
        <f t="shared" si="155"/>
        <v>5606.7741935483873</v>
      </c>
      <c r="BJ360" s="98" t="str">
        <f t="shared" si="155"/>
        <v/>
      </c>
      <c r="BK360" s="98" t="str">
        <f t="shared" si="155"/>
        <v/>
      </c>
      <c r="BL360" s="97" t="str">
        <f t="shared" si="155"/>
        <v/>
      </c>
    </row>
    <row r="361" spans="1:64" ht="17.25" outlineLevel="1" thickBot="1" x14ac:dyDescent="0.35">
      <c r="A361" s="99" t="s">
        <v>96</v>
      </c>
      <c r="B361" s="100"/>
      <c r="C361" s="101"/>
      <c r="D361" s="102"/>
      <c r="E361" s="102"/>
      <c r="F361" s="102"/>
      <c r="G361" s="102"/>
      <c r="H361" s="102"/>
      <c r="I361" s="102"/>
      <c r="J361" s="102"/>
      <c r="K361" s="102"/>
      <c r="L361" s="103"/>
      <c r="M361" s="104"/>
      <c r="N361" s="104"/>
      <c r="O361" s="104"/>
      <c r="P361" s="104"/>
      <c r="Q361" s="104"/>
      <c r="R361" s="104"/>
      <c r="S361" s="104"/>
      <c r="T361" s="104"/>
      <c r="U361" s="105"/>
      <c r="V361" s="106"/>
      <c r="W361" s="106"/>
      <c r="X361" s="106"/>
      <c r="Y361" s="106"/>
      <c r="Z361" s="106"/>
      <c r="AA361" s="106"/>
      <c r="AB361" s="106"/>
      <c r="AC361" s="106"/>
      <c r="AD361" s="105"/>
      <c r="AE361" s="106"/>
      <c r="AF361" s="106"/>
      <c r="AG361" s="106"/>
      <c r="AH361" s="106"/>
      <c r="AI361" s="106"/>
      <c r="AJ361" s="106"/>
      <c r="AK361" s="106"/>
      <c r="AL361" s="106"/>
      <c r="AM361" s="106"/>
      <c r="AN361" s="107">
        <f>SUBTOTAL(9,AN327:AN357)</f>
        <v>3520.7599999999998</v>
      </c>
      <c r="AO361" s="108"/>
      <c r="AP361" s="109"/>
      <c r="AQ361" s="110"/>
      <c r="AR361" s="110"/>
      <c r="AS361" s="111">
        <f>SUBTOTAL(9,AS327:AS357)</f>
        <v>292</v>
      </c>
      <c r="AT361" s="112"/>
      <c r="AU361" s="113"/>
      <c r="AV361" s="110"/>
      <c r="AW361" s="110"/>
      <c r="AX361" s="101"/>
      <c r="AY361" s="114"/>
      <c r="AZ361" s="115"/>
      <c r="BA361" s="115"/>
      <c r="BB361" s="115"/>
      <c r="BC361" s="115"/>
      <c r="BD361" s="116">
        <f>SUBTOTAL(9,BD327:BD357)</f>
        <v>3520.7599999999998</v>
      </c>
      <c r="BE361" s="117">
        <f t="shared" ref="BE361:BL361" si="156">SUBTOTAL(9,BE327:BE357)</f>
        <v>183122</v>
      </c>
      <c r="BF361" s="107">
        <f t="shared" si="156"/>
        <v>7588</v>
      </c>
      <c r="BG361" s="118">
        <f t="shared" si="156"/>
        <v>0</v>
      </c>
      <c r="BH361" s="118">
        <f t="shared" si="156"/>
        <v>1724</v>
      </c>
      <c r="BI361" s="118">
        <f t="shared" si="156"/>
        <v>173810</v>
      </c>
      <c r="BJ361" s="118">
        <f t="shared" si="156"/>
        <v>0</v>
      </c>
      <c r="BK361" s="118">
        <f t="shared" si="156"/>
        <v>0</v>
      </c>
      <c r="BL361" s="116">
        <f t="shared" si="156"/>
        <v>0</v>
      </c>
    </row>
    <row r="362" spans="1:64" outlineLevel="5" x14ac:dyDescent="0.3">
      <c r="A362" s="136">
        <f t="shared" si="135"/>
        <v>11</v>
      </c>
      <c r="B362" s="165">
        <f>B357+1</f>
        <v>44866</v>
      </c>
      <c r="C362" s="138">
        <f t="shared" ref="C362:C391" si="157">IFERROR(ROUND(AVERAGE(D362:K362),1),"")</f>
        <v>37.5</v>
      </c>
      <c r="D362" s="84">
        <v>38</v>
      </c>
      <c r="E362" s="84">
        <v>37</v>
      </c>
      <c r="F362" s="84"/>
      <c r="G362" s="84"/>
      <c r="H362" s="84"/>
      <c r="I362" s="84"/>
      <c r="J362" s="84"/>
      <c r="K362" s="84"/>
      <c r="L362" s="140">
        <f t="shared" ref="L362:L391" si="158">IFERROR(ROUND(AVERAGE(M362:T362),1),"")</f>
        <v>8.4</v>
      </c>
      <c r="M362" s="86">
        <v>8.48</v>
      </c>
      <c r="N362" s="86">
        <v>8.39</v>
      </c>
      <c r="O362" s="86"/>
      <c r="P362" s="86"/>
      <c r="Q362" s="86"/>
      <c r="R362" s="86"/>
      <c r="S362" s="86"/>
      <c r="T362" s="86"/>
      <c r="U362" s="142">
        <f t="shared" ref="U362:U391" si="159">IFERROR(ROUND(AVERAGE(V362:AC362),1),"")</f>
        <v>994.5</v>
      </c>
      <c r="V362" s="88">
        <v>1015</v>
      </c>
      <c r="W362" s="88">
        <v>974</v>
      </c>
      <c r="X362" s="88"/>
      <c r="Y362" s="88"/>
      <c r="Z362" s="88"/>
      <c r="AA362" s="88"/>
      <c r="AB362" s="88"/>
      <c r="AC362" s="88"/>
      <c r="AD362" s="142" t="str">
        <f t="shared" ref="AD362:AD391" si="160">IFERROR(ROUND(AVERAGE(AE362:AL362),1),"")</f>
        <v/>
      </c>
      <c r="AE362" s="88"/>
      <c r="AF362" s="88"/>
      <c r="AG362" s="88"/>
      <c r="AH362" s="88"/>
      <c r="AI362" s="88"/>
      <c r="AJ362" s="88"/>
      <c r="AK362" s="88"/>
      <c r="AL362" s="88"/>
      <c r="AM362" s="88">
        <v>37.080681907455421</v>
      </c>
      <c r="AN362" s="88">
        <v>127.28999999999999</v>
      </c>
      <c r="AO362" s="89"/>
      <c r="AP362" s="90"/>
      <c r="AQ362" s="146" t="str">
        <f t="shared" ref="AQ362:AQ391" si="161">IFERROR(AP362/AO362*100,"")</f>
        <v/>
      </c>
      <c r="AR362" s="146" t="str">
        <f t="shared" ref="AR362:AR391" si="162">IFERROR(100-AQ362,"")</f>
        <v/>
      </c>
      <c r="AS362" s="147">
        <v>10</v>
      </c>
      <c r="AT362" s="148" t="s">
        <v>106</v>
      </c>
      <c r="AU362" s="149" t="s">
        <v>56</v>
      </c>
      <c r="AV362" s="146" t="str">
        <f t="shared" ref="AV362:AV391" si="163">IFERROR(AU362/AT362*100,"")</f>
        <v/>
      </c>
      <c r="AW362" s="146" t="str">
        <f t="shared" ref="AW362:AW391" si="164">IFERROR(100-AV362,"")</f>
        <v/>
      </c>
      <c r="AX362" s="138" t="str">
        <f t="shared" ref="AX362:AX391" si="165">IFERROR((1-((AV362*AR362)/(AW362*AQ362)))*100,"")</f>
        <v/>
      </c>
      <c r="AY362" s="95" t="s">
        <v>56</v>
      </c>
      <c r="AZ362" s="96">
        <v>58.64</v>
      </c>
      <c r="BA362" s="96"/>
      <c r="BB362" s="96">
        <v>84.5</v>
      </c>
      <c r="BC362" s="96"/>
      <c r="BD362" s="97">
        <v>127.28999999999999</v>
      </c>
      <c r="BE362" s="142">
        <f t="shared" ref="BE362:BE391" si="166">IF(SUM(BF362:BL362)=0,"",SUM(BF362:BL362))</f>
        <v>6403</v>
      </c>
      <c r="BF362" s="88">
        <v>311</v>
      </c>
      <c r="BG362" s="98">
        <v>0</v>
      </c>
      <c r="BH362" s="98">
        <v>0</v>
      </c>
      <c r="BI362" s="98">
        <v>6092</v>
      </c>
      <c r="BJ362" s="98"/>
      <c r="BK362" s="98"/>
      <c r="BL362" s="97"/>
    </row>
    <row r="363" spans="1:64" outlineLevel="5" x14ac:dyDescent="0.3">
      <c r="A363" s="152">
        <f t="shared" si="135"/>
        <v>11</v>
      </c>
      <c r="B363" s="153">
        <f t="shared" si="152"/>
        <v>44867</v>
      </c>
      <c r="C363" s="138">
        <f t="shared" si="157"/>
        <v>38</v>
      </c>
      <c r="D363" s="84">
        <v>38</v>
      </c>
      <c r="E363" s="84">
        <v>38</v>
      </c>
      <c r="F363" s="84"/>
      <c r="G363" s="84"/>
      <c r="H363" s="84"/>
      <c r="I363" s="84"/>
      <c r="J363" s="84"/>
      <c r="K363" s="84"/>
      <c r="L363" s="140">
        <f t="shared" si="158"/>
        <v>8.5</v>
      </c>
      <c r="M363" s="86">
        <v>8.51</v>
      </c>
      <c r="N363" s="86">
        <v>8.4600000000000009</v>
      </c>
      <c r="O363" s="86"/>
      <c r="P363" s="86"/>
      <c r="Q363" s="86"/>
      <c r="R363" s="86"/>
      <c r="S363" s="86"/>
      <c r="T363" s="86"/>
      <c r="U363" s="142">
        <f t="shared" si="159"/>
        <v>1020.5</v>
      </c>
      <c r="V363" s="88">
        <v>1053</v>
      </c>
      <c r="W363" s="88">
        <v>988</v>
      </c>
      <c r="X363" s="88"/>
      <c r="Y363" s="88"/>
      <c r="Z363" s="88"/>
      <c r="AA363" s="88"/>
      <c r="AB363" s="88"/>
      <c r="AC363" s="88"/>
      <c r="AD363" s="142">
        <f t="shared" si="160"/>
        <v>7082.5</v>
      </c>
      <c r="AE363" s="88">
        <v>7194</v>
      </c>
      <c r="AF363" s="88">
        <v>6971</v>
      </c>
      <c r="AG363" s="88"/>
      <c r="AH363" s="88"/>
      <c r="AI363" s="88"/>
      <c r="AJ363" s="88"/>
      <c r="AK363" s="88"/>
      <c r="AL363" s="88"/>
      <c r="AM363" s="88">
        <v>36.892293262466779</v>
      </c>
      <c r="AN363" s="88">
        <v>127.94</v>
      </c>
      <c r="AO363" s="89"/>
      <c r="AP363" s="90"/>
      <c r="AQ363" s="146" t="str">
        <f t="shared" si="161"/>
        <v/>
      </c>
      <c r="AR363" s="146" t="str">
        <f t="shared" si="162"/>
        <v/>
      </c>
      <c r="AS363" s="147">
        <v>10</v>
      </c>
      <c r="AT363" s="148">
        <v>14.700000000000001</v>
      </c>
      <c r="AU363" s="149">
        <v>7.99925</v>
      </c>
      <c r="AV363" s="146">
        <f t="shared" si="163"/>
        <v>54.416666666666657</v>
      </c>
      <c r="AW363" s="146">
        <f t="shared" si="164"/>
        <v>45.583333333333343</v>
      </c>
      <c r="AX363" s="138" t="str">
        <f t="shared" si="165"/>
        <v/>
      </c>
      <c r="AY363" s="95">
        <v>75.2</v>
      </c>
      <c r="AZ363" s="96">
        <v>60.72</v>
      </c>
      <c r="BA363" s="96"/>
      <c r="BB363" s="96">
        <v>71.5</v>
      </c>
      <c r="BC363" s="96"/>
      <c r="BD363" s="97">
        <v>127.94</v>
      </c>
      <c r="BE363" s="142">
        <f t="shared" si="166"/>
        <v>6154</v>
      </c>
      <c r="BF363" s="88">
        <v>376</v>
      </c>
      <c r="BG363" s="98">
        <v>0</v>
      </c>
      <c r="BH363" s="98">
        <v>0</v>
      </c>
      <c r="BI363" s="98">
        <v>5778</v>
      </c>
      <c r="BJ363" s="98"/>
      <c r="BK363" s="98"/>
      <c r="BL363" s="97"/>
    </row>
    <row r="364" spans="1:64" outlineLevel="5" x14ac:dyDescent="0.3">
      <c r="A364" s="152">
        <f t="shared" si="135"/>
        <v>11</v>
      </c>
      <c r="B364" s="153">
        <f t="shared" si="152"/>
        <v>44868</v>
      </c>
      <c r="C364" s="138">
        <f t="shared" si="157"/>
        <v>37</v>
      </c>
      <c r="D364" s="84">
        <v>37</v>
      </c>
      <c r="E364" s="84">
        <v>37</v>
      </c>
      <c r="F364" s="84"/>
      <c r="G364" s="84"/>
      <c r="H364" s="84"/>
      <c r="I364" s="84"/>
      <c r="J364" s="84"/>
      <c r="K364" s="84"/>
      <c r="L364" s="140">
        <f t="shared" si="158"/>
        <v>8.4</v>
      </c>
      <c r="M364" s="86">
        <v>8.4600000000000009</v>
      </c>
      <c r="N364" s="86">
        <v>8.41</v>
      </c>
      <c r="O364" s="86"/>
      <c r="P364" s="86"/>
      <c r="Q364" s="86"/>
      <c r="R364" s="86"/>
      <c r="S364" s="86"/>
      <c r="T364" s="86"/>
      <c r="U364" s="142">
        <f t="shared" si="159"/>
        <v>1107.5</v>
      </c>
      <c r="V364" s="88">
        <v>1188</v>
      </c>
      <c r="W364" s="88">
        <v>1027</v>
      </c>
      <c r="X364" s="88"/>
      <c r="Y364" s="88"/>
      <c r="Z364" s="88"/>
      <c r="AA364" s="88"/>
      <c r="AB364" s="88"/>
      <c r="AC364" s="88"/>
      <c r="AD364" s="142" t="str">
        <f t="shared" si="160"/>
        <v/>
      </c>
      <c r="AE364" s="88"/>
      <c r="AF364" s="88"/>
      <c r="AG364" s="88"/>
      <c r="AH364" s="88"/>
      <c r="AI364" s="88"/>
      <c r="AJ364" s="88"/>
      <c r="AK364" s="88"/>
      <c r="AL364" s="88"/>
      <c r="AM364" s="88">
        <v>38.073727514721305</v>
      </c>
      <c r="AN364" s="88">
        <v>123.97</v>
      </c>
      <c r="AO364" s="89"/>
      <c r="AP364" s="90"/>
      <c r="AQ364" s="146" t="str">
        <f t="shared" si="161"/>
        <v/>
      </c>
      <c r="AR364" s="146" t="str">
        <f t="shared" si="162"/>
        <v/>
      </c>
      <c r="AS364" s="147">
        <v>10</v>
      </c>
      <c r="AT364" s="148">
        <v>14.5</v>
      </c>
      <c r="AU364" s="149">
        <v>8.1693499999999997</v>
      </c>
      <c r="AV364" s="146">
        <f t="shared" si="163"/>
        <v>56.340344827586208</v>
      </c>
      <c r="AW364" s="146">
        <f t="shared" si="164"/>
        <v>43.659655172413792</v>
      </c>
      <c r="AX364" s="138" t="str">
        <f t="shared" si="165"/>
        <v/>
      </c>
      <c r="AY364" s="95">
        <v>75.25</v>
      </c>
      <c r="AZ364" s="96">
        <v>60.28</v>
      </c>
      <c r="BA364" s="96"/>
      <c r="BB364" s="96">
        <v>70.5</v>
      </c>
      <c r="BC364" s="96"/>
      <c r="BD364" s="97">
        <v>123.97</v>
      </c>
      <c r="BE364" s="142">
        <f t="shared" si="166"/>
        <v>6207</v>
      </c>
      <c r="BF364" s="88">
        <v>384</v>
      </c>
      <c r="BG364" s="98">
        <v>0</v>
      </c>
      <c r="BH364" s="98">
        <v>0</v>
      </c>
      <c r="BI364" s="98">
        <v>5823</v>
      </c>
      <c r="BJ364" s="98"/>
      <c r="BK364" s="98"/>
      <c r="BL364" s="97"/>
    </row>
    <row r="365" spans="1:64" outlineLevel="5" x14ac:dyDescent="0.3">
      <c r="A365" s="152">
        <f t="shared" si="135"/>
        <v>11</v>
      </c>
      <c r="B365" s="153">
        <f t="shared" si="152"/>
        <v>44869</v>
      </c>
      <c r="C365" s="138">
        <f t="shared" si="157"/>
        <v>37</v>
      </c>
      <c r="D365" s="84">
        <v>37</v>
      </c>
      <c r="E365" s="84">
        <v>37</v>
      </c>
      <c r="F365" s="84"/>
      <c r="G365" s="84"/>
      <c r="H365" s="84"/>
      <c r="I365" s="84"/>
      <c r="J365" s="84"/>
      <c r="K365" s="84"/>
      <c r="L365" s="140">
        <f t="shared" si="158"/>
        <v>8.4</v>
      </c>
      <c r="M365" s="86">
        <v>8.42</v>
      </c>
      <c r="N365" s="86">
        <v>8.3699999999999992</v>
      </c>
      <c r="O365" s="86"/>
      <c r="P365" s="86"/>
      <c r="Q365" s="86"/>
      <c r="R365" s="86"/>
      <c r="S365" s="86"/>
      <c r="T365" s="86"/>
      <c r="U365" s="142">
        <f t="shared" si="159"/>
        <v>1058.5</v>
      </c>
      <c r="V365" s="88">
        <v>1123</v>
      </c>
      <c r="W365" s="88">
        <v>994</v>
      </c>
      <c r="X365" s="88"/>
      <c r="Y365" s="88"/>
      <c r="Z365" s="88"/>
      <c r="AA365" s="88"/>
      <c r="AB365" s="88"/>
      <c r="AC365" s="88"/>
      <c r="AD365" s="142" t="str">
        <f t="shared" si="160"/>
        <v/>
      </c>
      <c r="AE365" s="88"/>
      <c r="AF365" s="88"/>
      <c r="AG365" s="88"/>
      <c r="AH365" s="88"/>
      <c r="AI365" s="88"/>
      <c r="AJ365" s="88"/>
      <c r="AK365" s="88"/>
      <c r="AL365" s="88"/>
      <c r="AM365" s="88">
        <v>39.737329516753661</v>
      </c>
      <c r="AN365" s="88">
        <v>118.78</v>
      </c>
      <c r="AO365" s="89"/>
      <c r="AP365" s="90"/>
      <c r="AQ365" s="146" t="str">
        <f t="shared" si="161"/>
        <v/>
      </c>
      <c r="AR365" s="146" t="str">
        <f t="shared" si="162"/>
        <v/>
      </c>
      <c r="AS365" s="147">
        <v>20</v>
      </c>
      <c r="AT365" s="148" t="s">
        <v>106</v>
      </c>
      <c r="AU365" s="149" t="s">
        <v>56</v>
      </c>
      <c r="AV365" s="146" t="str">
        <f t="shared" si="163"/>
        <v/>
      </c>
      <c r="AW365" s="146" t="str">
        <f t="shared" si="164"/>
        <v/>
      </c>
      <c r="AX365" s="138" t="str">
        <f t="shared" si="165"/>
        <v/>
      </c>
      <c r="AY365" s="95" t="s">
        <v>56</v>
      </c>
      <c r="AZ365" s="96">
        <v>60.12</v>
      </c>
      <c r="BA365" s="96"/>
      <c r="BB365" s="96">
        <v>69</v>
      </c>
      <c r="BC365" s="96"/>
      <c r="BD365" s="97">
        <v>118.78</v>
      </c>
      <c r="BE365" s="142">
        <f t="shared" si="166"/>
        <v>6183</v>
      </c>
      <c r="BF365" s="88">
        <v>456</v>
      </c>
      <c r="BG365" s="98">
        <v>0</v>
      </c>
      <c r="BH365" s="98">
        <v>0</v>
      </c>
      <c r="BI365" s="98">
        <v>5727</v>
      </c>
      <c r="BJ365" s="98"/>
      <c r="BK365" s="98"/>
      <c r="BL365" s="97"/>
    </row>
    <row r="366" spans="1:64" outlineLevel="5" x14ac:dyDescent="0.3">
      <c r="A366" s="152">
        <f t="shared" si="135"/>
        <v>11</v>
      </c>
      <c r="B366" s="153">
        <f t="shared" si="152"/>
        <v>44870</v>
      </c>
      <c r="C366" s="138">
        <f t="shared" si="157"/>
        <v>37</v>
      </c>
      <c r="D366" s="84">
        <v>37</v>
      </c>
      <c r="E366" s="84">
        <v>37</v>
      </c>
      <c r="F366" s="84"/>
      <c r="G366" s="84"/>
      <c r="H366" s="84"/>
      <c r="I366" s="84"/>
      <c r="J366" s="84"/>
      <c r="K366" s="84"/>
      <c r="L366" s="140" t="str">
        <f t="shared" si="158"/>
        <v/>
      </c>
      <c r="M366" s="86"/>
      <c r="N366" s="86"/>
      <c r="O366" s="86"/>
      <c r="P366" s="86"/>
      <c r="Q366" s="86"/>
      <c r="R366" s="86"/>
      <c r="S366" s="86"/>
      <c r="T366" s="86"/>
      <c r="U366" s="142" t="str">
        <f t="shared" si="159"/>
        <v/>
      </c>
      <c r="V366" s="88"/>
      <c r="W366" s="88"/>
      <c r="X366" s="88"/>
      <c r="Y366" s="88"/>
      <c r="Z366" s="88"/>
      <c r="AA366" s="88"/>
      <c r="AB366" s="88"/>
      <c r="AC366" s="88"/>
      <c r="AD366" s="142" t="str">
        <f t="shared" si="160"/>
        <v/>
      </c>
      <c r="AE366" s="88"/>
      <c r="AF366" s="88"/>
      <c r="AG366" s="88"/>
      <c r="AH366" s="88"/>
      <c r="AI366" s="88"/>
      <c r="AJ366" s="88"/>
      <c r="AK366" s="88"/>
      <c r="AL366" s="88"/>
      <c r="AM366" s="88">
        <v>40.262731382751852</v>
      </c>
      <c r="AN366" s="88">
        <v>117.23</v>
      </c>
      <c r="AO366" s="89"/>
      <c r="AP366" s="90"/>
      <c r="AQ366" s="146" t="str">
        <f t="shared" si="161"/>
        <v/>
      </c>
      <c r="AR366" s="146" t="str">
        <f t="shared" si="162"/>
        <v/>
      </c>
      <c r="AS366" s="147">
        <v>10</v>
      </c>
      <c r="AT366" s="148" t="s">
        <v>106</v>
      </c>
      <c r="AU366" s="149" t="s">
        <v>56</v>
      </c>
      <c r="AV366" s="146" t="str">
        <f t="shared" si="163"/>
        <v/>
      </c>
      <c r="AW366" s="146" t="str">
        <f t="shared" si="164"/>
        <v/>
      </c>
      <c r="AX366" s="138" t="str">
        <f t="shared" si="165"/>
        <v/>
      </c>
      <c r="AY366" s="95" t="s">
        <v>56</v>
      </c>
      <c r="AZ366" s="96" t="s">
        <v>56</v>
      </c>
      <c r="BA366" s="96"/>
      <c r="BB366" s="96" t="s">
        <v>56</v>
      </c>
      <c r="BC366" s="96"/>
      <c r="BD366" s="97">
        <v>117.23</v>
      </c>
      <c r="BE366" s="142">
        <f t="shared" si="166"/>
        <v>5764</v>
      </c>
      <c r="BF366" s="88">
        <v>412</v>
      </c>
      <c r="BG366" s="98">
        <v>0</v>
      </c>
      <c r="BH366" s="98">
        <v>0</v>
      </c>
      <c r="BI366" s="98">
        <v>5352</v>
      </c>
      <c r="BJ366" s="98"/>
      <c r="BK366" s="98"/>
      <c r="BL366" s="97"/>
    </row>
    <row r="367" spans="1:64" outlineLevel="5" x14ac:dyDescent="0.3">
      <c r="A367" s="152">
        <f t="shared" si="135"/>
        <v>11</v>
      </c>
      <c r="B367" s="153">
        <f t="shared" si="152"/>
        <v>44871</v>
      </c>
      <c r="C367" s="138">
        <f t="shared" si="157"/>
        <v>37</v>
      </c>
      <c r="D367" s="84">
        <v>37</v>
      </c>
      <c r="E367" s="84">
        <v>37</v>
      </c>
      <c r="F367" s="84"/>
      <c r="G367" s="84"/>
      <c r="H367" s="84"/>
      <c r="I367" s="84"/>
      <c r="J367" s="84"/>
      <c r="K367" s="84"/>
      <c r="L367" s="140" t="str">
        <f t="shared" si="158"/>
        <v/>
      </c>
      <c r="M367" s="86"/>
      <c r="N367" s="86"/>
      <c r="O367" s="86"/>
      <c r="P367" s="86"/>
      <c r="Q367" s="86"/>
      <c r="R367" s="86"/>
      <c r="S367" s="86"/>
      <c r="T367" s="86"/>
      <c r="U367" s="142" t="str">
        <f t="shared" si="159"/>
        <v/>
      </c>
      <c r="V367" s="88"/>
      <c r="W367" s="88"/>
      <c r="X367" s="88"/>
      <c r="Y367" s="88"/>
      <c r="Z367" s="88"/>
      <c r="AA367" s="88"/>
      <c r="AB367" s="88"/>
      <c r="AC367" s="88"/>
      <c r="AD367" s="142" t="str">
        <f t="shared" si="160"/>
        <v/>
      </c>
      <c r="AE367" s="88"/>
      <c r="AF367" s="88"/>
      <c r="AG367" s="88"/>
      <c r="AH367" s="88"/>
      <c r="AI367" s="88"/>
      <c r="AJ367" s="88"/>
      <c r="AK367" s="88"/>
      <c r="AL367" s="88"/>
      <c r="AM367" s="88">
        <v>52.444444444444443</v>
      </c>
      <c r="AN367" s="88">
        <v>90</v>
      </c>
      <c r="AO367" s="89"/>
      <c r="AP367" s="90"/>
      <c r="AQ367" s="146" t="str">
        <f t="shared" si="161"/>
        <v/>
      </c>
      <c r="AR367" s="146" t="str">
        <f t="shared" si="162"/>
        <v/>
      </c>
      <c r="AS367" s="147">
        <v>0</v>
      </c>
      <c r="AT367" s="148" t="s">
        <v>106</v>
      </c>
      <c r="AU367" s="149" t="s">
        <v>56</v>
      </c>
      <c r="AV367" s="146" t="str">
        <f t="shared" si="163"/>
        <v/>
      </c>
      <c r="AW367" s="146" t="str">
        <f t="shared" si="164"/>
        <v/>
      </c>
      <c r="AX367" s="138" t="str">
        <f t="shared" si="165"/>
        <v/>
      </c>
      <c r="AY367" s="95" t="s">
        <v>56</v>
      </c>
      <c r="AZ367" s="96" t="s">
        <v>56</v>
      </c>
      <c r="BA367" s="96"/>
      <c r="BB367" s="96" t="s">
        <v>56</v>
      </c>
      <c r="BC367" s="96"/>
      <c r="BD367" s="97">
        <v>90</v>
      </c>
      <c r="BE367" s="142">
        <f t="shared" si="166"/>
        <v>5864</v>
      </c>
      <c r="BF367" s="88">
        <v>290</v>
      </c>
      <c r="BG367" s="98">
        <v>0</v>
      </c>
      <c r="BH367" s="98">
        <v>0</v>
      </c>
      <c r="BI367" s="98">
        <v>5574</v>
      </c>
      <c r="BJ367" s="98"/>
      <c r="BK367" s="98"/>
      <c r="BL367" s="97"/>
    </row>
    <row r="368" spans="1:64" outlineLevel="5" x14ac:dyDescent="0.3">
      <c r="A368" s="152">
        <f t="shared" si="135"/>
        <v>11</v>
      </c>
      <c r="B368" s="153">
        <f t="shared" si="152"/>
        <v>44872</v>
      </c>
      <c r="C368" s="138">
        <f t="shared" si="157"/>
        <v>37</v>
      </c>
      <c r="D368" s="84">
        <v>37</v>
      </c>
      <c r="E368" s="84">
        <v>37</v>
      </c>
      <c r="F368" s="84"/>
      <c r="G368" s="84"/>
      <c r="H368" s="84"/>
      <c r="I368" s="84"/>
      <c r="J368" s="84"/>
      <c r="K368" s="84"/>
      <c r="L368" s="140" t="str">
        <f t="shared" si="158"/>
        <v/>
      </c>
      <c r="M368" s="86"/>
      <c r="N368" s="86"/>
      <c r="O368" s="86"/>
      <c r="P368" s="86"/>
      <c r="Q368" s="86"/>
      <c r="R368" s="86"/>
      <c r="S368" s="86"/>
      <c r="T368" s="86"/>
      <c r="U368" s="142" t="str">
        <f t="shared" si="159"/>
        <v/>
      </c>
      <c r="V368" s="88"/>
      <c r="W368" s="88"/>
      <c r="X368" s="88"/>
      <c r="Y368" s="88"/>
      <c r="Z368" s="88"/>
      <c r="AA368" s="88"/>
      <c r="AB368" s="88"/>
      <c r="AC368" s="88"/>
      <c r="AD368" s="142" t="str">
        <f t="shared" si="160"/>
        <v/>
      </c>
      <c r="AE368" s="88"/>
      <c r="AF368" s="88"/>
      <c r="AG368" s="88"/>
      <c r="AH368" s="88"/>
      <c r="AI368" s="88"/>
      <c r="AJ368" s="88"/>
      <c r="AK368" s="88"/>
      <c r="AL368" s="88"/>
      <c r="AM368" s="88"/>
      <c r="AN368" s="88">
        <v>20</v>
      </c>
      <c r="AO368" s="89"/>
      <c r="AP368" s="90"/>
      <c r="AQ368" s="146" t="str">
        <f t="shared" si="161"/>
        <v/>
      </c>
      <c r="AR368" s="146" t="str">
        <f t="shared" si="162"/>
        <v/>
      </c>
      <c r="AS368" s="147">
        <v>0</v>
      </c>
      <c r="AT368" s="148" t="s">
        <v>106</v>
      </c>
      <c r="AU368" s="149" t="s">
        <v>56</v>
      </c>
      <c r="AV368" s="146" t="str">
        <f t="shared" si="163"/>
        <v/>
      </c>
      <c r="AW368" s="146" t="str">
        <f t="shared" si="164"/>
        <v/>
      </c>
      <c r="AX368" s="138" t="str">
        <f t="shared" si="165"/>
        <v/>
      </c>
      <c r="AY368" s="95" t="s">
        <v>56</v>
      </c>
      <c r="AZ368" s="96" t="s">
        <v>56</v>
      </c>
      <c r="BA368" s="96"/>
      <c r="BB368" s="96" t="s">
        <v>56</v>
      </c>
      <c r="BC368" s="96"/>
      <c r="BD368" s="97">
        <v>20</v>
      </c>
      <c r="BE368" s="142">
        <f t="shared" si="166"/>
        <v>2298</v>
      </c>
      <c r="BF368" s="88">
        <v>0</v>
      </c>
      <c r="BG368" s="98">
        <v>0</v>
      </c>
      <c r="BH368" s="98">
        <v>0</v>
      </c>
      <c r="BI368" s="98">
        <v>2298</v>
      </c>
      <c r="BJ368" s="98"/>
      <c r="BK368" s="98"/>
      <c r="BL368" s="97"/>
    </row>
    <row r="369" spans="1:64" outlineLevel="5" x14ac:dyDescent="0.3">
      <c r="A369" s="152">
        <f t="shared" si="135"/>
        <v>11</v>
      </c>
      <c r="B369" s="153">
        <f t="shared" si="152"/>
        <v>44873</v>
      </c>
      <c r="C369" s="138">
        <f t="shared" si="157"/>
        <v>37</v>
      </c>
      <c r="D369" s="84">
        <v>37</v>
      </c>
      <c r="E369" s="84">
        <v>37</v>
      </c>
      <c r="F369" s="84"/>
      <c r="G369" s="84"/>
      <c r="H369" s="84"/>
      <c r="I369" s="84"/>
      <c r="J369" s="84"/>
      <c r="K369" s="84"/>
      <c r="L369" s="140" t="str">
        <f t="shared" si="158"/>
        <v/>
      </c>
      <c r="M369" s="86"/>
      <c r="N369" s="86"/>
      <c r="O369" s="86"/>
      <c r="P369" s="86"/>
      <c r="Q369" s="86"/>
      <c r="R369" s="86"/>
      <c r="S369" s="86"/>
      <c r="T369" s="86"/>
      <c r="U369" s="142" t="str">
        <f t="shared" si="159"/>
        <v/>
      </c>
      <c r="V369" s="88"/>
      <c r="W369" s="88"/>
      <c r="X369" s="88"/>
      <c r="Y369" s="88"/>
      <c r="Z369" s="88"/>
      <c r="AA369" s="88"/>
      <c r="AB369" s="88"/>
      <c r="AC369" s="88"/>
      <c r="AD369" s="142" t="str">
        <f t="shared" si="160"/>
        <v/>
      </c>
      <c r="AE369" s="88"/>
      <c r="AF369" s="88"/>
      <c r="AG369" s="88"/>
      <c r="AH369" s="88"/>
      <c r="AI369" s="88"/>
      <c r="AJ369" s="88"/>
      <c r="AK369" s="88"/>
      <c r="AL369" s="88"/>
      <c r="AM369" s="88"/>
      <c r="AN369" s="88">
        <v>0</v>
      </c>
      <c r="AO369" s="89"/>
      <c r="AP369" s="90"/>
      <c r="AQ369" s="146" t="str">
        <f t="shared" si="161"/>
        <v/>
      </c>
      <c r="AR369" s="146" t="str">
        <f t="shared" si="162"/>
        <v/>
      </c>
      <c r="AS369" s="147">
        <v>0</v>
      </c>
      <c r="AT369" s="148" t="s">
        <v>106</v>
      </c>
      <c r="AU369" s="149" t="s">
        <v>56</v>
      </c>
      <c r="AV369" s="146" t="str">
        <f t="shared" si="163"/>
        <v/>
      </c>
      <c r="AW369" s="146" t="str">
        <f t="shared" si="164"/>
        <v/>
      </c>
      <c r="AX369" s="138" t="str">
        <f t="shared" si="165"/>
        <v/>
      </c>
      <c r="AY369" s="95" t="s">
        <v>56</v>
      </c>
      <c r="AZ369" s="96" t="s">
        <v>56</v>
      </c>
      <c r="BA369" s="96"/>
      <c r="BB369" s="96" t="s">
        <v>56</v>
      </c>
      <c r="BC369" s="96"/>
      <c r="BD369" s="97">
        <v>0</v>
      </c>
      <c r="BE369" s="142" t="str">
        <f t="shared" si="166"/>
        <v/>
      </c>
      <c r="BF369" s="88">
        <v>0</v>
      </c>
      <c r="BG369" s="98">
        <v>0</v>
      </c>
      <c r="BH369" s="98">
        <v>0</v>
      </c>
      <c r="BI369" s="98">
        <v>0</v>
      </c>
      <c r="BJ369" s="98"/>
      <c r="BK369" s="98"/>
      <c r="BL369" s="97"/>
    </row>
    <row r="370" spans="1:64" outlineLevel="5" x14ac:dyDescent="0.3">
      <c r="A370" s="152">
        <f t="shared" si="135"/>
        <v>11</v>
      </c>
      <c r="B370" s="153">
        <f t="shared" si="152"/>
        <v>44874</v>
      </c>
      <c r="C370" s="138">
        <f t="shared" si="157"/>
        <v>37</v>
      </c>
      <c r="D370" s="84">
        <v>37</v>
      </c>
      <c r="E370" s="84">
        <v>37</v>
      </c>
      <c r="F370" s="84"/>
      <c r="G370" s="84"/>
      <c r="H370" s="84"/>
      <c r="I370" s="84"/>
      <c r="J370" s="84"/>
      <c r="K370" s="84"/>
      <c r="L370" s="140" t="str">
        <f t="shared" si="158"/>
        <v/>
      </c>
      <c r="M370" s="86"/>
      <c r="N370" s="86"/>
      <c r="O370" s="86"/>
      <c r="P370" s="86"/>
      <c r="Q370" s="86"/>
      <c r="R370" s="86"/>
      <c r="S370" s="86"/>
      <c r="T370" s="86"/>
      <c r="U370" s="142" t="str">
        <f t="shared" si="159"/>
        <v/>
      </c>
      <c r="V370" s="88"/>
      <c r="W370" s="88"/>
      <c r="X370" s="88"/>
      <c r="Y370" s="88"/>
      <c r="Z370" s="88"/>
      <c r="AA370" s="88"/>
      <c r="AB370" s="88"/>
      <c r="AC370" s="88"/>
      <c r="AD370" s="142" t="str">
        <f t="shared" si="160"/>
        <v/>
      </c>
      <c r="AE370" s="88"/>
      <c r="AF370" s="88"/>
      <c r="AG370" s="88"/>
      <c r="AH370" s="88"/>
      <c r="AI370" s="88"/>
      <c r="AJ370" s="88"/>
      <c r="AK370" s="88"/>
      <c r="AL370" s="88"/>
      <c r="AM370" s="88"/>
      <c r="AN370" s="88">
        <v>0</v>
      </c>
      <c r="AO370" s="89"/>
      <c r="AP370" s="90"/>
      <c r="AQ370" s="146" t="str">
        <f t="shared" si="161"/>
        <v/>
      </c>
      <c r="AR370" s="146" t="str">
        <f t="shared" si="162"/>
        <v/>
      </c>
      <c r="AS370" s="147">
        <v>0</v>
      </c>
      <c r="AT370" s="148" t="s">
        <v>106</v>
      </c>
      <c r="AU370" s="149" t="s">
        <v>56</v>
      </c>
      <c r="AV370" s="146" t="str">
        <f t="shared" si="163"/>
        <v/>
      </c>
      <c r="AW370" s="146" t="str">
        <f t="shared" si="164"/>
        <v/>
      </c>
      <c r="AX370" s="138" t="str">
        <f t="shared" si="165"/>
        <v/>
      </c>
      <c r="AY370" s="95" t="s">
        <v>56</v>
      </c>
      <c r="AZ370" s="96" t="s">
        <v>56</v>
      </c>
      <c r="BA370" s="96"/>
      <c r="BB370" s="96" t="s">
        <v>56</v>
      </c>
      <c r="BC370" s="96"/>
      <c r="BD370" s="97">
        <v>0</v>
      </c>
      <c r="BE370" s="142" t="str">
        <f t="shared" si="166"/>
        <v/>
      </c>
      <c r="BF370" s="88">
        <v>0</v>
      </c>
      <c r="BG370" s="98">
        <v>0</v>
      </c>
      <c r="BH370" s="98">
        <v>0</v>
      </c>
      <c r="BI370" s="98">
        <v>0</v>
      </c>
      <c r="BJ370" s="98"/>
      <c r="BK370" s="98"/>
      <c r="BL370" s="97"/>
    </row>
    <row r="371" spans="1:64" outlineLevel="5" x14ac:dyDescent="0.3">
      <c r="A371" s="152">
        <f t="shared" si="135"/>
        <v>11</v>
      </c>
      <c r="B371" s="153">
        <f t="shared" si="152"/>
        <v>44875</v>
      </c>
      <c r="C371" s="138">
        <f t="shared" si="157"/>
        <v>37</v>
      </c>
      <c r="D371" s="84">
        <v>37</v>
      </c>
      <c r="E371" s="84">
        <v>37</v>
      </c>
      <c r="F371" s="84"/>
      <c r="G371" s="84"/>
      <c r="H371" s="84"/>
      <c r="I371" s="84"/>
      <c r="J371" s="84"/>
      <c r="K371" s="84"/>
      <c r="L371" s="140" t="str">
        <f t="shared" si="158"/>
        <v/>
      </c>
      <c r="M371" s="86"/>
      <c r="N371" s="86"/>
      <c r="O371" s="86"/>
      <c r="P371" s="86"/>
      <c r="Q371" s="86"/>
      <c r="R371" s="86"/>
      <c r="S371" s="86"/>
      <c r="T371" s="86"/>
      <c r="U371" s="142" t="str">
        <f t="shared" si="159"/>
        <v/>
      </c>
      <c r="V371" s="88"/>
      <c r="W371" s="88"/>
      <c r="X371" s="88"/>
      <c r="Y371" s="88"/>
      <c r="Z371" s="88"/>
      <c r="AA371" s="88"/>
      <c r="AB371" s="88"/>
      <c r="AC371" s="88"/>
      <c r="AD371" s="142" t="str">
        <f t="shared" si="160"/>
        <v/>
      </c>
      <c r="AE371" s="88"/>
      <c r="AF371" s="88"/>
      <c r="AG371" s="88"/>
      <c r="AH371" s="88"/>
      <c r="AI371" s="88"/>
      <c r="AJ371" s="88"/>
      <c r="AK371" s="88"/>
      <c r="AL371" s="88"/>
      <c r="AM371" s="88"/>
      <c r="AN371" s="88">
        <v>0</v>
      </c>
      <c r="AO371" s="89"/>
      <c r="AP371" s="90"/>
      <c r="AQ371" s="146" t="str">
        <f t="shared" si="161"/>
        <v/>
      </c>
      <c r="AR371" s="146" t="str">
        <f t="shared" si="162"/>
        <v/>
      </c>
      <c r="AS371" s="147">
        <v>0</v>
      </c>
      <c r="AT371" s="148" t="s">
        <v>106</v>
      </c>
      <c r="AU371" s="149" t="s">
        <v>56</v>
      </c>
      <c r="AV371" s="146" t="str">
        <f t="shared" si="163"/>
        <v/>
      </c>
      <c r="AW371" s="146" t="str">
        <f t="shared" si="164"/>
        <v/>
      </c>
      <c r="AX371" s="138" t="str">
        <f t="shared" si="165"/>
        <v/>
      </c>
      <c r="AY371" s="95" t="s">
        <v>56</v>
      </c>
      <c r="AZ371" s="96" t="s">
        <v>56</v>
      </c>
      <c r="BA371" s="96"/>
      <c r="BB371" s="96" t="s">
        <v>56</v>
      </c>
      <c r="BC371" s="96"/>
      <c r="BD371" s="97">
        <v>0</v>
      </c>
      <c r="BE371" s="142" t="str">
        <f t="shared" si="166"/>
        <v/>
      </c>
      <c r="BF371" s="88">
        <v>0</v>
      </c>
      <c r="BG371" s="98">
        <v>0</v>
      </c>
      <c r="BH371" s="98">
        <v>0</v>
      </c>
      <c r="BI371" s="98">
        <v>0</v>
      </c>
      <c r="BJ371" s="98"/>
      <c r="BK371" s="98"/>
      <c r="BL371" s="97"/>
    </row>
    <row r="372" spans="1:64" outlineLevel="5" x14ac:dyDescent="0.3">
      <c r="A372" s="152">
        <f t="shared" si="135"/>
        <v>11</v>
      </c>
      <c r="B372" s="153">
        <f t="shared" si="152"/>
        <v>44876</v>
      </c>
      <c r="C372" s="138">
        <f t="shared" si="157"/>
        <v>37</v>
      </c>
      <c r="D372" s="84">
        <v>37</v>
      </c>
      <c r="E372" s="84">
        <v>37</v>
      </c>
      <c r="F372" s="84"/>
      <c r="G372" s="84"/>
      <c r="H372" s="84"/>
      <c r="I372" s="84"/>
      <c r="J372" s="84"/>
      <c r="K372" s="84"/>
      <c r="L372" s="140" t="str">
        <f t="shared" si="158"/>
        <v/>
      </c>
      <c r="M372" s="86"/>
      <c r="N372" s="86"/>
      <c r="O372" s="86"/>
      <c r="P372" s="86"/>
      <c r="Q372" s="86"/>
      <c r="R372" s="86"/>
      <c r="S372" s="86"/>
      <c r="T372" s="86"/>
      <c r="U372" s="142" t="str">
        <f t="shared" si="159"/>
        <v/>
      </c>
      <c r="V372" s="88"/>
      <c r="W372" s="88"/>
      <c r="X372" s="88"/>
      <c r="Y372" s="88"/>
      <c r="Z372" s="88"/>
      <c r="AA372" s="88"/>
      <c r="AB372" s="88"/>
      <c r="AC372" s="88"/>
      <c r="AD372" s="142" t="str">
        <f t="shared" si="160"/>
        <v/>
      </c>
      <c r="AE372" s="88"/>
      <c r="AF372" s="88"/>
      <c r="AG372" s="88"/>
      <c r="AH372" s="88"/>
      <c r="AI372" s="88"/>
      <c r="AJ372" s="88"/>
      <c r="AK372" s="88"/>
      <c r="AL372" s="88"/>
      <c r="AM372" s="88"/>
      <c r="AN372" s="88">
        <v>0</v>
      </c>
      <c r="AO372" s="89"/>
      <c r="AP372" s="90"/>
      <c r="AQ372" s="146" t="str">
        <f t="shared" si="161"/>
        <v/>
      </c>
      <c r="AR372" s="146" t="str">
        <f t="shared" si="162"/>
        <v/>
      </c>
      <c r="AS372" s="147">
        <v>0</v>
      </c>
      <c r="AT372" s="148" t="s">
        <v>106</v>
      </c>
      <c r="AU372" s="149" t="s">
        <v>56</v>
      </c>
      <c r="AV372" s="146" t="str">
        <f t="shared" si="163"/>
        <v/>
      </c>
      <c r="AW372" s="146" t="str">
        <f t="shared" si="164"/>
        <v/>
      </c>
      <c r="AX372" s="138" t="str">
        <f t="shared" si="165"/>
        <v/>
      </c>
      <c r="AY372" s="95" t="s">
        <v>56</v>
      </c>
      <c r="AZ372" s="96">
        <v>62.365000000000002</v>
      </c>
      <c r="BA372" s="96"/>
      <c r="BB372" s="96">
        <v>73</v>
      </c>
      <c r="BC372" s="96"/>
      <c r="BD372" s="97">
        <v>0</v>
      </c>
      <c r="BE372" s="142" t="str">
        <f t="shared" si="166"/>
        <v/>
      </c>
      <c r="BF372" s="88">
        <v>0</v>
      </c>
      <c r="BG372" s="98">
        <v>0</v>
      </c>
      <c r="BH372" s="98">
        <v>0</v>
      </c>
      <c r="BI372" s="98">
        <v>0</v>
      </c>
      <c r="BJ372" s="98"/>
      <c r="BK372" s="98"/>
      <c r="BL372" s="97"/>
    </row>
    <row r="373" spans="1:64" outlineLevel="5" x14ac:dyDescent="0.3">
      <c r="A373" s="152">
        <f t="shared" si="135"/>
        <v>11</v>
      </c>
      <c r="B373" s="153">
        <f t="shared" si="152"/>
        <v>44877</v>
      </c>
      <c r="C373" s="138">
        <f t="shared" si="157"/>
        <v>37</v>
      </c>
      <c r="D373" s="84">
        <v>37</v>
      </c>
      <c r="E373" s="84">
        <v>37</v>
      </c>
      <c r="F373" s="84"/>
      <c r="G373" s="84"/>
      <c r="H373" s="84"/>
      <c r="I373" s="84"/>
      <c r="J373" s="84"/>
      <c r="K373" s="84"/>
      <c r="L373" s="140" t="str">
        <f t="shared" si="158"/>
        <v/>
      </c>
      <c r="M373" s="86"/>
      <c r="N373" s="86"/>
      <c r="O373" s="86"/>
      <c r="P373" s="86"/>
      <c r="Q373" s="86"/>
      <c r="R373" s="86"/>
      <c r="S373" s="86"/>
      <c r="T373" s="86"/>
      <c r="U373" s="142" t="str">
        <f t="shared" si="159"/>
        <v/>
      </c>
      <c r="V373" s="88"/>
      <c r="W373" s="88"/>
      <c r="X373" s="88"/>
      <c r="Y373" s="88"/>
      <c r="Z373" s="88"/>
      <c r="AA373" s="88"/>
      <c r="AB373" s="88"/>
      <c r="AC373" s="88"/>
      <c r="AD373" s="142" t="str">
        <f t="shared" si="160"/>
        <v/>
      </c>
      <c r="AE373" s="88"/>
      <c r="AF373" s="88"/>
      <c r="AG373" s="88"/>
      <c r="AH373" s="88"/>
      <c r="AI373" s="88"/>
      <c r="AJ373" s="88"/>
      <c r="AK373" s="88"/>
      <c r="AL373" s="88"/>
      <c r="AM373" s="88"/>
      <c r="AN373" s="88">
        <v>0</v>
      </c>
      <c r="AO373" s="89"/>
      <c r="AP373" s="90"/>
      <c r="AQ373" s="146" t="str">
        <f t="shared" si="161"/>
        <v/>
      </c>
      <c r="AR373" s="146" t="str">
        <f t="shared" si="162"/>
        <v/>
      </c>
      <c r="AS373" s="147">
        <v>0</v>
      </c>
      <c r="AT373" s="148" t="s">
        <v>106</v>
      </c>
      <c r="AU373" s="149" t="s">
        <v>56</v>
      </c>
      <c r="AV373" s="146" t="str">
        <f t="shared" si="163"/>
        <v/>
      </c>
      <c r="AW373" s="146" t="str">
        <f t="shared" si="164"/>
        <v/>
      </c>
      <c r="AX373" s="138" t="str">
        <f t="shared" si="165"/>
        <v/>
      </c>
      <c r="AY373" s="95" t="s">
        <v>56</v>
      </c>
      <c r="AZ373" s="96" t="s">
        <v>56</v>
      </c>
      <c r="BA373" s="96"/>
      <c r="BB373" s="96" t="s">
        <v>56</v>
      </c>
      <c r="BC373" s="96"/>
      <c r="BD373" s="97">
        <v>0</v>
      </c>
      <c r="BE373" s="142" t="str">
        <f t="shared" si="166"/>
        <v/>
      </c>
      <c r="BF373" s="88">
        <v>0</v>
      </c>
      <c r="BG373" s="98">
        <v>0</v>
      </c>
      <c r="BH373" s="98">
        <v>0</v>
      </c>
      <c r="BI373" s="98">
        <v>0</v>
      </c>
      <c r="BJ373" s="98"/>
      <c r="BK373" s="98"/>
      <c r="BL373" s="97"/>
    </row>
    <row r="374" spans="1:64" outlineLevel="5" x14ac:dyDescent="0.3">
      <c r="A374" s="152">
        <f t="shared" si="135"/>
        <v>11</v>
      </c>
      <c r="B374" s="153">
        <f t="shared" si="152"/>
        <v>44878</v>
      </c>
      <c r="C374" s="138">
        <f t="shared" si="157"/>
        <v>37</v>
      </c>
      <c r="D374" s="84">
        <v>37</v>
      </c>
      <c r="E374" s="84">
        <v>37</v>
      </c>
      <c r="F374" s="84"/>
      <c r="G374" s="84"/>
      <c r="H374" s="84"/>
      <c r="I374" s="84"/>
      <c r="J374" s="84"/>
      <c r="K374" s="84"/>
      <c r="L374" s="140" t="str">
        <f t="shared" si="158"/>
        <v/>
      </c>
      <c r="M374" s="86"/>
      <c r="N374" s="86"/>
      <c r="O374" s="86"/>
      <c r="P374" s="86"/>
      <c r="Q374" s="86"/>
      <c r="R374" s="86"/>
      <c r="S374" s="86"/>
      <c r="T374" s="86"/>
      <c r="U374" s="142" t="str">
        <f t="shared" si="159"/>
        <v/>
      </c>
      <c r="V374" s="88"/>
      <c r="W374" s="88"/>
      <c r="X374" s="88"/>
      <c r="Y374" s="88"/>
      <c r="Z374" s="88"/>
      <c r="AA374" s="88"/>
      <c r="AB374" s="88"/>
      <c r="AC374" s="88"/>
      <c r="AD374" s="142" t="str">
        <f t="shared" si="160"/>
        <v/>
      </c>
      <c r="AE374" s="88"/>
      <c r="AF374" s="88"/>
      <c r="AG374" s="88"/>
      <c r="AH374" s="88"/>
      <c r="AI374" s="88"/>
      <c r="AJ374" s="88"/>
      <c r="AK374" s="88"/>
      <c r="AL374" s="88"/>
      <c r="AM374" s="88"/>
      <c r="AN374" s="88">
        <v>0</v>
      </c>
      <c r="AO374" s="89"/>
      <c r="AP374" s="90"/>
      <c r="AQ374" s="146" t="str">
        <f t="shared" si="161"/>
        <v/>
      </c>
      <c r="AR374" s="146" t="str">
        <f t="shared" si="162"/>
        <v/>
      </c>
      <c r="AS374" s="147">
        <v>0</v>
      </c>
      <c r="AT374" s="148" t="s">
        <v>106</v>
      </c>
      <c r="AU374" s="149" t="s">
        <v>56</v>
      </c>
      <c r="AV374" s="146" t="str">
        <f t="shared" si="163"/>
        <v/>
      </c>
      <c r="AW374" s="146" t="str">
        <f t="shared" si="164"/>
        <v/>
      </c>
      <c r="AX374" s="138" t="str">
        <f t="shared" si="165"/>
        <v/>
      </c>
      <c r="AY374" s="95" t="s">
        <v>56</v>
      </c>
      <c r="AZ374" s="96" t="s">
        <v>56</v>
      </c>
      <c r="BA374" s="96"/>
      <c r="BB374" s="96" t="s">
        <v>56</v>
      </c>
      <c r="BC374" s="96"/>
      <c r="BD374" s="97">
        <v>0</v>
      </c>
      <c r="BE374" s="142" t="str">
        <f t="shared" si="166"/>
        <v/>
      </c>
      <c r="BF374" s="88">
        <v>0</v>
      </c>
      <c r="BG374" s="98">
        <v>0</v>
      </c>
      <c r="BH374" s="98">
        <v>0</v>
      </c>
      <c r="BI374" s="98">
        <v>0</v>
      </c>
      <c r="BJ374" s="98"/>
      <c r="BK374" s="98"/>
      <c r="BL374" s="97"/>
    </row>
    <row r="375" spans="1:64" outlineLevel="5" x14ac:dyDescent="0.3">
      <c r="A375" s="152">
        <f t="shared" si="135"/>
        <v>11</v>
      </c>
      <c r="B375" s="153">
        <f t="shared" si="152"/>
        <v>44879</v>
      </c>
      <c r="C375" s="138">
        <f t="shared" si="157"/>
        <v>37</v>
      </c>
      <c r="D375" s="84">
        <v>37</v>
      </c>
      <c r="E375" s="84">
        <v>37</v>
      </c>
      <c r="F375" s="84"/>
      <c r="G375" s="84"/>
      <c r="H375" s="84"/>
      <c r="I375" s="84"/>
      <c r="J375" s="84"/>
      <c r="K375" s="84"/>
      <c r="L375" s="140" t="str">
        <f t="shared" si="158"/>
        <v/>
      </c>
      <c r="M375" s="86"/>
      <c r="N375" s="86"/>
      <c r="O375" s="86"/>
      <c r="P375" s="86"/>
      <c r="Q375" s="86"/>
      <c r="R375" s="86"/>
      <c r="S375" s="86"/>
      <c r="T375" s="86"/>
      <c r="U375" s="142" t="str">
        <f t="shared" si="159"/>
        <v/>
      </c>
      <c r="V375" s="88"/>
      <c r="W375" s="88"/>
      <c r="X375" s="88"/>
      <c r="Y375" s="88"/>
      <c r="Z375" s="88"/>
      <c r="AA375" s="88"/>
      <c r="AB375" s="88"/>
      <c r="AC375" s="88"/>
      <c r="AD375" s="142" t="str">
        <f t="shared" si="160"/>
        <v/>
      </c>
      <c r="AE375" s="88"/>
      <c r="AF375" s="88"/>
      <c r="AG375" s="88"/>
      <c r="AH375" s="88"/>
      <c r="AI375" s="88"/>
      <c r="AJ375" s="88"/>
      <c r="AK375" s="88"/>
      <c r="AL375" s="88"/>
      <c r="AM375" s="88"/>
      <c r="AN375" s="88">
        <v>0</v>
      </c>
      <c r="AO375" s="89"/>
      <c r="AP375" s="90"/>
      <c r="AQ375" s="146" t="str">
        <f t="shared" si="161"/>
        <v/>
      </c>
      <c r="AR375" s="146" t="str">
        <f t="shared" si="162"/>
        <v/>
      </c>
      <c r="AS375" s="147">
        <v>16</v>
      </c>
      <c r="AT375" s="148" t="s">
        <v>106</v>
      </c>
      <c r="AU375" s="149" t="s">
        <v>56</v>
      </c>
      <c r="AV375" s="146" t="str">
        <f t="shared" si="163"/>
        <v/>
      </c>
      <c r="AW375" s="146" t="str">
        <f t="shared" si="164"/>
        <v/>
      </c>
      <c r="AX375" s="138" t="str">
        <f t="shared" si="165"/>
        <v/>
      </c>
      <c r="AY375" s="95" t="s">
        <v>56</v>
      </c>
      <c r="AZ375" s="96" t="s">
        <v>56</v>
      </c>
      <c r="BA375" s="96"/>
      <c r="BB375" s="96" t="s">
        <v>56</v>
      </c>
      <c r="BC375" s="96"/>
      <c r="BD375" s="97">
        <v>0</v>
      </c>
      <c r="BE375" s="142" t="str">
        <f t="shared" si="166"/>
        <v/>
      </c>
      <c r="BF375" s="88">
        <v>0</v>
      </c>
      <c r="BG375" s="98">
        <v>0</v>
      </c>
      <c r="BH375" s="98">
        <v>0</v>
      </c>
      <c r="BI375" s="98">
        <v>0</v>
      </c>
      <c r="BJ375" s="98"/>
      <c r="BK375" s="98"/>
      <c r="BL375" s="97"/>
    </row>
    <row r="376" spans="1:64" outlineLevel="5" x14ac:dyDescent="0.3">
      <c r="A376" s="152">
        <f t="shared" si="135"/>
        <v>11</v>
      </c>
      <c r="B376" s="153">
        <f t="shared" si="152"/>
        <v>44880</v>
      </c>
      <c r="C376" s="138">
        <f t="shared" si="157"/>
        <v>37</v>
      </c>
      <c r="D376" s="84">
        <v>37</v>
      </c>
      <c r="E376" s="84">
        <v>37</v>
      </c>
      <c r="F376" s="84"/>
      <c r="G376" s="84"/>
      <c r="H376" s="84"/>
      <c r="I376" s="84"/>
      <c r="J376" s="84"/>
      <c r="K376" s="84"/>
      <c r="L376" s="140" t="str">
        <f t="shared" si="158"/>
        <v/>
      </c>
      <c r="M376" s="86"/>
      <c r="N376" s="86"/>
      <c r="O376" s="86"/>
      <c r="P376" s="86"/>
      <c r="Q376" s="86"/>
      <c r="R376" s="86"/>
      <c r="S376" s="86"/>
      <c r="T376" s="86"/>
      <c r="U376" s="142" t="str">
        <f t="shared" si="159"/>
        <v/>
      </c>
      <c r="V376" s="88"/>
      <c r="W376" s="88"/>
      <c r="X376" s="88"/>
      <c r="Y376" s="88"/>
      <c r="Z376" s="88"/>
      <c r="AA376" s="88"/>
      <c r="AB376" s="88"/>
      <c r="AC376" s="88"/>
      <c r="AD376" s="142" t="str">
        <f t="shared" si="160"/>
        <v/>
      </c>
      <c r="AE376" s="88"/>
      <c r="AF376" s="88"/>
      <c r="AG376" s="88"/>
      <c r="AH376" s="88"/>
      <c r="AI376" s="88"/>
      <c r="AJ376" s="88"/>
      <c r="AK376" s="88"/>
      <c r="AL376" s="88"/>
      <c r="AM376" s="88"/>
      <c r="AN376" s="88">
        <v>0</v>
      </c>
      <c r="AO376" s="89"/>
      <c r="AP376" s="90"/>
      <c r="AQ376" s="146" t="str">
        <f t="shared" si="161"/>
        <v/>
      </c>
      <c r="AR376" s="146" t="str">
        <f t="shared" si="162"/>
        <v/>
      </c>
      <c r="AS376" s="147">
        <v>15</v>
      </c>
      <c r="AT376" s="148" t="s">
        <v>106</v>
      </c>
      <c r="AU376" s="149" t="s">
        <v>56</v>
      </c>
      <c r="AV376" s="146" t="str">
        <f t="shared" si="163"/>
        <v/>
      </c>
      <c r="AW376" s="146" t="str">
        <f t="shared" si="164"/>
        <v/>
      </c>
      <c r="AX376" s="138" t="str">
        <f t="shared" si="165"/>
        <v/>
      </c>
      <c r="AY376" s="95" t="s">
        <v>56</v>
      </c>
      <c r="AZ376" s="96">
        <v>62.88</v>
      </c>
      <c r="BA376" s="96"/>
      <c r="BB376" s="96">
        <v>89</v>
      </c>
      <c r="BC376" s="96"/>
      <c r="BD376" s="97">
        <v>0</v>
      </c>
      <c r="BE376" s="142" t="str">
        <f t="shared" si="166"/>
        <v/>
      </c>
      <c r="BF376" s="88">
        <v>0</v>
      </c>
      <c r="BG376" s="98">
        <v>0</v>
      </c>
      <c r="BH376" s="98">
        <v>0</v>
      </c>
      <c r="BI376" s="98">
        <v>0</v>
      </c>
      <c r="BJ376" s="98"/>
      <c r="BK376" s="98"/>
      <c r="BL376" s="97"/>
    </row>
    <row r="377" spans="1:64" outlineLevel="5" x14ac:dyDescent="0.3">
      <c r="A377" s="152">
        <f t="shared" si="135"/>
        <v>11</v>
      </c>
      <c r="B377" s="153">
        <f t="shared" si="152"/>
        <v>44881</v>
      </c>
      <c r="C377" s="138">
        <f t="shared" si="157"/>
        <v>37</v>
      </c>
      <c r="D377" s="84">
        <v>37</v>
      </c>
      <c r="E377" s="84">
        <v>37</v>
      </c>
      <c r="F377" s="84"/>
      <c r="G377" s="84"/>
      <c r="H377" s="84"/>
      <c r="I377" s="84"/>
      <c r="J377" s="84"/>
      <c r="K377" s="84"/>
      <c r="L377" s="140" t="str">
        <f t="shared" si="158"/>
        <v/>
      </c>
      <c r="M377" s="86"/>
      <c r="N377" s="86"/>
      <c r="O377" s="86"/>
      <c r="P377" s="86"/>
      <c r="Q377" s="86"/>
      <c r="R377" s="86"/>
      <c r="S377" s="86"/>
      <c r="T377" s="86"/>
      <c r="U377" s="142" t="str">
        <f t="shared" si="159"/>
        <v/>
      </c>
      <c r="V377" s="88"/>
      <c r="W377" s="88"/>
      <c r="X377" s="88"/>
      <c r="Y377" s="88"/>
      <c r="Z377" s="88"/>
      <c r="AA377" s="88"/>
      <c r="AB377" s="88"/>
      <c r="AC377" s="88"/>
      <c r="AD377" s="142" t="str">
        <f t="shared" si="160"/>
        <v/>
      </c>
      <c r="AE377" s="88"/>
      <c r="AF377" s="88"/>
      <c r="AG377" s="88"/>
      <c r="AH377" s="88"/>
      <c r="AI377" s="88"/>
      <c r="AJ377" s="88"/>
      <c r="AK377" s="88"/>
      <c r="AL377" s="88"/>
      <c r="AM377" s="88">
        <v>62.616078535420542</v>
      </c>
      <c r="AN377" s="88">
        <v>75.38</v>
      </c>
      <c r="AO377" s="89"/>
      <c r="AP377" s="90"/>
      <c r="AQ377" s="146" t="str">
        <f t="shared" si="161"/>
        <v/>
      </c>
      <c r="AR377" s="146" t="str">
        <f t="shared" si="162"/>
        <v/>
      </c>
      <c r="AS377" s="147">
        <v>15</v>
      </c>
      <c r="AT377" s="148" t="s">
        <v>106</v>
      </c>
      <c r="AU377" s="149" t="s">
        <v>56</v>
      </c>
      <c r="AV377" s="146" t="str">
        <f t="shared" si="163"/>
        <v/>
      </c>
      <c r="AW377" s="146" t="str">
        <f t="shared" si="164"/>
        <v/>
      </c>
      <c r="AX377" s="138" t="str">
        <f t="shared" si="165"/>
        <v/>
      </c>
      <c r="AY377" s="95" t="s">
        <v>56</v>
      </c>
      <c r="AZ377" s="96">
        <v>62.91</v>
      </c>
      <c r="BA377" s="96"/>
      <c r="BB377" s="96">
        <v>79</v>
      </c>
      <c r="BC377" s="96"/>
      <c r="BD377" s="97">
        <v>75.38</v>
      </c>
      <c r="BE377" s="142" t="str">
        <f t="shared" si="166"/>
        <v/>
      </c>
      <c r="BF377" s="88">
        <v>0</v>
      </c>
      <c r="BG377" s="98">
        <v>0</v>
      </c>
      <c r="BH377" s="98">
        <v>0</v>
      </c>
      <c r="BI377" s="98">
        <v>0</v>
      </c>
      <c r="BJ377" s="98"/>
      <c r="BK377" s="98"/>
      <c r="BL377" s="97"/>
    </row>
    <row r="378" spans="1:64" outlineLevel="5" x14ac:dyDescent="0.3">
      <c r="A378" s="152">
        <f t="shared" si="135"/>
        <v>11</v>
      </c>
      <c r="B378" s="153">
        <f t="shared" si="152"/>
        <v>44882</v>
      </c>
      <c r="C378" s="138">
        <f t="shared" si="157"/>
        <v>36.5</v>
      </c>
      <c r="D378" s="84">
        <v>37</v>
      </c>
      <c r="E378" s="84">
        <v>36</v>
      </c>
      <c r="F378" s="84"/>
      <c r="G378" s="84"/>
      <c r="H378" s="84"/>
      <c r="I378" s="84"/>
      <c r="J378" s="84"/>
      <c r="K378" s="84"/>
      <c r="L378" s="140">
        <f t="shared" si="158"/>
        <v>8.4</v>
      </c>
      <c r="M378" s="86">
        <v>8.44</v>
      </c>
      <c r="N378" s="86">
        <v>8.39</v>
      </c>
      <c r="O378" s="86"/>
      <c r="P378" s="86"/>
      <c r="Q378" s="86"/>
      <c r="R378" s="86"/>
      <c r="S378" s="86"/>
      <c r="T378" s="86"/>
      <c r="U378" s="142">
        <f t="shared" si="159"/>
        <v>1016.5</v>
      </c>
      <c r="V378" s="88">
        <v>1041</v>
      </c>
      <c r="W378" s="88">
        <v>992</v>
      </c>
      <c r="X378" s="88"/>
      <c r="Y378" s="88"/>
      <c r="Z378" s="88"/>
      <c r="AA378" s="88"/>
      <c r="AB378" s="88"/>
      <c r="AC378" s="88"/>
      <c r="AD378" s="142" t="str">
        <f t="shared" si="160"/>
        <v/>
      </c>
      <c r="AE378" s="88"/>
      <c r="AF378" s="88"/>
      <c r="AG378" s="88"/>
      <c r="AH378" s="88"/>
      <c r="AI378" s="88"/>
      <c r="AJ378" s="88"/>
      <c r="AK378" s="88"/>
      <c r="AL378" s="88"/>
      <c r="AM378" s="88">
        <v>51.010483086566516</v>
      </c>
      <c r="AN378" s="88">
        <v>92.53</v>
      </c>
      <c r="AO378" s="89"/>
      <c r="AP378" s="90"/>
      <c r="AQ378" s="146" t="str">
        <f t="shared" si="161"/>
        <v/>
      </c>
      <c r="AR378" s="146" t="str">
        <f t="shared" si="162"/>
        <v/>
      </c>
      <c r="AS378" s="147">
        <v>10</v>
      </c>
      <c r="AT378" s="148">
        <v>14.4</v>
      </c>
      <c r="AU378" s="149">
        <v>8.0850000000000009</v>
      </c>
      <c r="AV378" s="146">
        <f t="shared" si="163"/>
        <v>56.145833333333343</v>
      </c>
      <c r="AW378" s="146">
        <f t="shared" si="164"/>
        <v>43.854166666666657</v>
      </c>
      <c r="AX378" s="138" t="str">
        <f t="shared" si="165"/>
        <v/>
      </c>
      <c r="AY378" s="95">
        <v>75.25</v>
      </c>
      <c r="AZ378" s="96">
        <v>48.194999999999993</v>
      </c>
      <c r="BA378" s="96"/>
      <c r="BB378" s="96">
        <v>226</v>
      </c>
      <c r="BC378" s="96"/>
      <c r="BD378" s="97">
        <v>92.53</v>
      </c>
      <c r="BE378" s="142">
        <f t="shared" si="166"/>
        <v>298</v>
      </c>
      <c r="BF378" s="88">
        <v>298</v>
      </c>
      <c r="BG378" s="98">
        <v>0</v>
      </c>
      <c r="BH378" s="98">
        <v>0</v>
      </c>
      <c r="BI378" s="98">
        <v>0</v>
      </c>
      <c r="BJ378" s="98"/>
      <c r="BK378" s="98"/>
      <c r="BL378" s="97"/>
    </row>
    <row r="379" spans="1:64" outlineLevel="5" x14ac:dyDescent="0.3">
      <c r="A379" s="152">
        <f t="shared" ref="A379:A426" si="167">MONTH(B379)</f>
        <v>11</v>
      </c>
      <c r="B379" s="153">
        <f t="shared" si="152"/>
        <v>44883</v>
      </c>
      <c r="C379" s="138">
        <f t="shared" si="157"/>
        <v>35.5</v>
      </c>
      <c r="D379" s="84">
        <v>35</v>
      </c>
      <c r="E379" s="84">
        <v>36</v>
      </c>
      <c r="F379" s="84"/>
      <c r="G379" s="84"/>
      <c r="H379" s="84"/>
      <c r="I379" s="84"/>
      <c r="J379" s="84"/>
      <c r="K379" s="84"/>
      <c r="L379" s="140">
        <f t="shared" si="158"/>
        <v>8.4</v>
      </c>
      <c r="M379" s="86">
        <v>8.4</v>
      </c>
      <c r="N379" s="86">
        <v>8.32</v>
      </c>
      <c r="O379" s="86"/>
      <c r="P379" s="86"/>
      <c r="Q379" s="86"/>
      <c r="R379" s="86"/>
      <c r="S379" s="86"/>
      <c r="T379" s="86"/>
      <c r="U379" s="142">
        <f t="shared" si="159"/>
        <v>1081.5</v>
      </c>
      <c r="V379" s="88">
        <v>1140</v>
      </c>
      <c r="W379" s="88">
        <v>1023</v>
      </c>
      <c r="X379" s="88"/>
      <c r="Y379" s="88"/>
      <c r="Z379" s="88"/>
      <c r="AA379" s="88"/>
      <c r="AB379" s="88"/>
      <c r="AC379" s="88"/>
      <c r="AD379" s="142" t="str">
        <f t="shared" si="160"/>
        <v/>
      </c>
      <c r="AE379" s="88"/>
      <c r="AF379" s="88"/>
      <c r="AG379" s="88"/>
      <c r="AH379" s="88"/>
      <c r="AI379" s="88"/>
      <c r="AJ379" s="88"/>
      <c r="AK379" s="88"/>
      <c r="AL379" s="88"/>
      <c r="AM379" s="88">
        <v>40.672124084446359</v>
      </c>
      <c r="AN379" s="88">
        <v>116.05</v>
      </c>
      <c r="AO379" s="89"/>
      <c r="AP379" s="90"/>
      <c r="AQ379" s="146" t="str">
        <f t="shared" si="161"/>
        <v/>
      </c>
      <c r="AR379" s="146" t="str">
        <f t="shared" si="162"/>
        <v/>
      </c>
      <c r="AS379" s="147">
        <v>20</v>
      </c>
      <c r="AT379" s="148" t="s">
        <v>106</v>
      </c>
      <c r="AU379" s="149" t="s">
        <v>56</v>
      </c>
      <c r="AV379" s="146" t="str">
        <f t="shared" si="163"/>
        <v/>
      </c>
      <c r="AW379" s="146" t="str">
        <f t="shared" si="164"/>
        <v/>
      </c>
      <c r="AX379" s="138" t="str">
        <f t="shared" si="165"/>
        <v/>
      </c>
      <c r="AY379" s="95" t="s">
        <v>56</v>
      </c>
      <c r="AZ379" s="96" t="s">
        <v>56</v>
      </c>
      <c r="BA379" s="96"/>
      <c r="BB379" s="96" t="s">
        <v>56</v>
      </c>
      <c r="BC379" s="96"/>
      <c r="BD379" s="97">
        <v>116.05</v>
      </c>
      <c r="BE379" s="142">
        <f t="shared" si="166"/>
        <v>2287</v>
      </c>
      <c r="BF379" s="88">
        <v>324</v>
      </c>
      <c r="BG379" s="98">
        <v>0</v>
      </c>
      <c r="BH379" s="98">
        <v>0</v>
      </c>
      <c r="BI379" s="98">
        <v>1963</v>
      </c>
      <c r="BJ379" s="98"/>
      <c r="BK379" s="98"/>
      <c r="BL379" s="97"/>
    </row>
    <row r="380" spans="1:64" outlineLevel="5" x14ac:dyDescent="0.3">
      <c r="A380" s="152">
        <f t="shared" si="167"/>
        <v>11</v>
      </c>
      <c r="B380" s="153">
        <f t="shared" si="152"/>
        <v>44884</v>
      </c>
      <c r="C380" s="138">
        <f t="shared" si="157"/>
        <v>36</v>
      </c>
      <c r="D380" s="84">
        <v>36</v>
      </c>
      <c r="E380" s="84">
        <v>36</v>
      </c>
      <c r="F380" s="84"/>
      <c r="G380" s="84"/>
      <c r="H380" s="84"/>
      <c r="I380" s="84"/>
      <c r="J380" s="84"/>
      <c r="K380" s="84"/>
      <c r="L380" s="140" t="str">
        <f t="shared" si="158"/>
        <v/>
      </c>
      <c r="M380" s="86"/>
      <c r="N380" s="86"/>
      <c r="O380" s="86"/>
      <c r="P380" s="86"/>
      <c r="Q380" s="86"/>
      <c r="R380" s="86"/>
      <c r="S380" s="86"/>
      <c r="T380" s="86"/>
      <c r="U380" s="142" t="str">
        <f t="shared" si="159"/>
        <v/>
      </c>
      <c r="V380" s="88"/>
      <c r="W380" s="88"/>
      <c r="X380" s="88"/>
      <c r="Y380" s="88"/>
      <c r="Z380" s="88"/>
      <c r="AA380" s="88"/>
      <c r="AB380" s="88"/>
      <c r="AC380" s="88"/>
      <c r="AD380" s="142" t="str">
        <f t="shared" si="160"/>
        <v/>
      </c>
      <c r="AE380" s="88"/>
      <c r="AF380" s="88"/>
      <c r="AG380" s="88"/>
      <c r="AH380" s="88"/>
      <c r="AI380" s="88"/>
      <c r="AJ380" s="88"/>
      <c r="AK380" s="88"/>
      <c r="AL380" s="88"/>
      <c r="AM380" s="88">
        <v>36.700101080786879</v>
      </c>
      <c r="AN380" s="88">
        <v>128.60999999999999</v>
      </c>
      <c r="AO380" s="89"/>
      <c r="AP380" s="90"/>
      <c r="AQ380" s="146" t="str">
        <f t="shared" si="161"/>
        <v/>
      </c>
      <c r="AR380" s="146" t="str">
        <f t="shared" si="162"/>
        <v/>
      </c>
      <c r="AS380" s="147">
        <v>10</v>
      </c>
      <c r="AT380" s="148" t="s">
        <v>106</v>
      </c>
      <c r="AU380" s="149" t="s">
        <v>56</v>
      </c>
      <c r="AV380" s="146" t="str">
        <f t="shared" si="163"/>
        <v/>
      </c>
      <c r="AW380" s="146" t="str">
        <f t="shared" si="164"/>
        <v/>
      </c>
      <c r="AX380" s="138" t="str">
        <f t="shared" si="165"/>
        <v/>
      </c>
      <c r="AY380" s="95" t="s">
        <v>56</v>
      </c>
      <c r="AZ380" s="96" t="s">
        <v>56</v>
      </c>
      <c r="BA380" s="96"/>
      <c r="BB380" s="96" t="s">
        <v>56</v>
      </c>
      <c r="BC380" s="96"/>
      <c r="BD380" s="97">
        <v>128.60999999999999</v>
      </c>
      <c r="BE380" s="142">
        <f t="shared" si="166"/>
        <v>7170</v>
      </c>
      <c r="BF380" s="88">
        <v>745</v>
      </c>
      <c r="BG380" s="98">
        <v>0</v>
      </c>
      <c r="BH380" s="98">
        <v>0</v>
      </c>
      <c r="BI380" s="98">
        <v>6425</v>
      </c>
      <c r="BJ380" s="98"/>
      <c r="BK380" s="98"/>
      <c r="BL380" s="97"/>
    </row>
    <row r="381" spans="1:64" outlineLevel="5" x14ac:dyDescent="0.3">
      <c r="A381" s="152">
        <f t="shared" si="167"/>
        <v>11</v>
      </c>
      <c r="B381" s="153">
        <f t="shared" si="152"/>
        <v>44885</v>
      </c>
      <c r="C381" s="138">
        <f t="shared" si="157"/>
        <v>36</v>
      </c>
      <c r="D381" s="84">
        <v>36</v>
      </c>
      <c r="E381" s="84">
        <v>36</v>
      </c>
      <c r="F381" s="84"/>
      <c r="G381" s="84"/>
      <c r="H381" s="84"/>
      <c r="I381" s="84"/>
      <c r="J381" s="84"/>
      <c r="K381" s="84"/>
      <c r="L381" s="140" t="str">
        <f t="shared" si="158"/>
        <v/>
      </c>
      <c r="M381" s="86"/>
      <c r="N381" s="86"/>
      <c r="O381" s="86"/>
      <c r="P381" s="86"/>
      <c r="Q381" s="86"/>
      <c r="R381" s="86"/>
      <c r="S381" s="86"/>
      <c r="T381" s="86"/>
      <c r="U381" s="142" t="str">
        <f t="shared" si="159"/>
        <v/>
      </c>
      <c r="V381" s="88"/>
      <c r="W381" s="88"/>
      <c r="X381" s="88"/>
      <c r="Y381" s="88"/>
      <c r="Z381" s="88"/>
      <c r="AA381" s="88"/>
      <c r="AB381" s="88"/>
      <c r="AC381" s="88"/>
      <c r="AD381" s="142" t="str">
        <f t="shared" si="160"/>
        <v/>
      </c>
      <c r="AE381" s="88"/>
      <c r="AF381" s="88"/>
      <c r="AG381" s="88"/>
      <c r="AH381" s="88"/>
      <c r="AI381" s="88"/>
      <c r="AJ381" s="88"/>
      <c r="AK381" s="88"/>
      <c r="AL381" s="88"/>
      <c r="AM381" s="88">
        <v>41.043478260869563</v>
      </c>
      <c r="AN381" s="88">
        <v>115</v>
      </c>
      <c r="AO381" s="89"/>
      <c r="AP381" s="90"/>
      <c r="AQ381" s="146" t="str">
        <f t="shared" si="161"/>
        <v/>
      </c>
      <c r="AR381" s="146" t="str">
        <f t="shared" si="162"/>
        <v/>
      </c>
      <c r="AS381" s="147">
        <v>0</v>
      </c>
      <c r="AT381" s="148" t="s">
        <v>106</v>
      </c>
      <c r="AU381" s="149" t="s">
        <v>56</v>
      </c>
      <c r="AV381" s="146" t="str">
        <f t="shared" si="163"/>
        <v/>
      </c>
      <c r="AW381" s="146" t="str">
        <f t="shared" si="164"/>
        <v/>
      </c>
      <c r="AX381" s="138" t="str">
        <f t="shared" si="165"/>
        <v/>
      </c>
      <c r="AY381" s="95" t="s">
        <v>56</v>
      </c>
      <c r="AZ381" s="96" t="s">
        <v>56</v>
      </c>
      <c r="BA381" s="96"/>
      <c r="BB381" s="96" t="s">
        <v>56</v>
      </c>
      <c r="BC381" s="96"/>
      <c r="BD381" s="97">
        <v>115</v>
      </c>
      <c r="BE381" s="142">
        <f t="shared" si="166"/>
        <v>6399</v>
      </c>
      <c r="BF381" s="88">
        <v>591</v>
      </c>
      <c r="BG381" s="98">
        <v>0</v>
      </c>
      <c r="BH381" s="98">
        <v>0</v>
      </c>
      <c r="BI381" s="98">
        <v>5808</v>
      </c>
      <c r="BJ381" s="98"/>
      <c r="BK381" s="98"/>
      <c r="BL381" s="97"/>
    </row>
    <row r="382" spans="1:64" outlineLevel="5" x14ac:dyDescent="0.3">
      <c r="A382" s="152">
        <f t="shared" si="167"/>
        <v>11</v>
      </c>
      <c r="B382" s="153">
        <f t="shared" si="152"/>
        <v>44886</v>
      </c>
      <c r="C382" s="138">
        <f t="shared" si="157"/>
        <v>37</v>
      </c>
      <c r="D382" s="84">
        <v>37</v>
      </c>
      <c r="E382" s="84">
        <v>37</v>
      </c>
      <c r="F382" s="84"/>
      <c r="G382" s="84"/>
      <c r="H382" s="84"/>
      <c r="I382" s="84"/>
      <c r="J382" s="84"/>
      <c r="K382" s="84"/>
      <c r="L382" s="140">
        <f t="shared" si="158"/>
        <v>8.3000000000000007</v>
      </c>
      <c r="M382" s="86">
        <v>8.4</v>
      </c>
      <c r="N382" s="86">
        <v>8.2899999999999991</v>
      </c>
      <c r="O382" s="86"/>
      <c r="P382" s="86"/>
      <c r="Q382" s="86"/>
      <c r="R382" s="86"/>
      <c r="S382" s="86"/>
      <c r="T382" s="86"/>
      <c r="U382" s="142">
        <f t="shared" si="159"/>
        <v>1145</v>
      </c>
      <c r="V382" s="88">
        <v>1188</v>
      </c>
      <c r="W382" s="88">
        <v>1102</v>
      </c>
      <c r="X382" s="88"/>
      <c r="Y382" s="88"/>
      <c r="Z382" s="88"/>
      <c r="AA382" s="88"/>
      <c r="AB382" s="88"/>
      <c r="AC382" s="88"/>
      <c r="AD382" s="142" t="str">
        <f t="shared" si="160"/>
        <v/>
      </c>
      <c r="AE382" s="88"/>
      <c r="AF382" s="88"/>
      <c r="AG382" s="88"/>
      <c r="AH382" s="88"/>
      <c r="AI382" s="88"/>
      <c r="AJ382" s="88"/>
      <c r="AK382" s="88"/>
      <c r="AL382" s="88"/>
      <c r="AM382" s="88">
        <v>37.972646822204347</v>
      </c>
      <c r="AN382" s="88">
        <v>124.3</v>
      </c>
      <c r="AO382" s="89">
        <v>20.9</v>
      </c>
      <c r="AP382" s="90">
        <v>16.531899999999997</v>
      </c>
      <c r="AQ382" s="146">
        <f t="shared" si="161"/>
        <v>79.099999999999994</v>
      </c>
      <c r="AR382" s="146">
        <f t="shared" si="162"/>
        <v>20.900000000000006</v>
      </c>
      <c r="AS382" s="147">
        <v>12</v>
      </c>
      <c r="AT382" s="148">
        <v>14.95</v>
      </c>
      <c r="AU382" s="149">
        <v>8.3436000000000003</v>
      </c>
      <c r="AV382" s="146">
        <f t="shared" si="163"/>
        <v>55.810033444816057</v>
      </c>
      <c r="AW382" s="146">
        <f t="shared" si="164"/>
        <v>44.189966555183943</v>
      </c>
      <c r="AX382" s="138">
        <f t="shared" si="165"/>
        <v>66.629830507229087</v>
      </c>
      <c r="AY382" s="95">
        <v>75.45</v>
      </c>
      <c r="AZ382" s="96">
        <v>62.724999999999994</v>
      </c>
      <c r="BA382" s="96"/>
      <c r="BB382" s="96">
        <v>113</v>
      </c>
      <c r="BC382" s="96"/>
      <c r="BD382" s="97">
        <v>124.3</v>
      </c>
      <c r="BE382" s="142">
        <f t="shared" si="166"/>
        <v>5334</v>
      </c>
      <c r="BF382" s="88">
        <v>329</v>
      </c>
      <c r="BG382" s="98">
        <v>0</v>
      </c>
      <c r="BH382" s="98">
        <v>0</v>
      </c>
      <c r="BI382" s="98">
        <v>5005</v>
      </c>
      <c r="BJ382" s="98"/>
      <c r="BK382" s="98"/>
      <c r="BL382" s="97"/>
    </row>
    <row r="383" spans="1:64" outlineLevel="5" x14ac:dyDescent="0.3">
      <c r="A383" s="152">
        <f t="shared" si="167"/>
        <v>11</v>
      </c>
      <c r="B383" s="153">
        <f t="shared" si="152"/>
        <v>44887</v>
      </c>
      <c r="C383" s="138">
        <f t="shared" si="157"/>
        <v>37</v>
      </c>
      <c r="D383" s="84">
        <v>37</v>
      </c>
      <c r="E383" s="84">
        <v>37</v>
      </c>
      <c r="F383" s="84"/>
      <c r="G383" s="84"/>
      <c r="H383" s="84"/>
      <c r="I383" s="84"/>
      <c r="J383" s="84"/>
      <c r="K383" s="84"/>
      <c r="L383" s="140">
        <f t="shared" si="158"/>
        <v>8.5</v>
      </c>
      <c r="M383" s="86">
        <v>8.52</v>
      </c>
      <c r="N383" s="86">
        <v>8.44</v>
      </c>
      <c r="O383" s="86"/>
      <c r="P383" s="86"/>
      <c r="Q383" s="86"/>
      <c r="R383" s="86"/>
      <c r="S383" s="86"/>
      <c r="T383" s="86"/>
      <c r="U383" s="142">
        <f t="shared" si="159"/>
        <v>1034</v>
      </c>
      <c r="V383" s="88">
        <v>1080</v>
      </c>
      <c r="W383" s="88">
        <v>988</v>
      </c>
      <c r="X383" s="88"/>
      <c r="Y383" s="88"/>
      <c r="Z383" s="88"/>
      <c r="AA383" s="88"/>
      <c r="AB383" s="88"/>
      <c r="AC383" s="88"/>
      <c r="AD383" s="142" t="str">
        <f t="shared" si="160"/>
        <v/>
      </c>
      <c r="AE383" s="88"/>
      <c r="AF383" s="88"/>
      <c r="AG383" s="88"/>
      <c r="AH383" s="88"/>
      <c r="AI383" s="88"/>
      <c r="AJ383" s="88"/>
      <c r="AK383" s="88"/>
      <c r="AL383" s="88"/>
      <c r="AM383" s="88">
        <v>35.542168674698793</v>
      </c>
      <c r="AN383" s="88">
        <v>132.80000000000001</v>
      </c>
      <c r="AO383" s="89"/>
      <c r="AP383" s="90"/>
      <c r="AQ383" s="146" t="str">
        <f t="shared" si="161"/>
        <v/>
      </c>
      <c r="AR383" s="146" t="str">
        <f t="shared" si="162"/>
        <v/>
      </c>
      <c r="AS383" s="147">
        <v>10</v>
      </c>
      <c r="AT383" s="148" t="s">
        <v>106</v>
      </c>
      <c r="AU383" s="149" t="s">
        <v>56</v>
      </c>
      <c r="AV383" s="146" t="str">
        <f t="shared" si="163"/>
        <v/>
      </c>
      <c r="AW383" s="146" t="str">
        <f t="shared" si="164"/>
        <v/>
      </c>
      <c r="AX383" s="138" t="str">
        <f t="shared" si="165"/>
        <v/>
      </c>
      <c r="AY383" s="95" t="s">
        <v>56</v>
      </c>
      <c r="AZ383" s="96">
        <v>57.644999999999996</v>
      </c>
      <c r="BA383" s="96"/>
      <c r="BB383" s="96">
        <v>132</v>
      </c>
      <c r="BC383" s="96"/>
      <c r="BD383" s="97">
        <v>132.80000000000001</v>
      </c>
      <c r="BE383" s="142">
        <f t="shared" si="166"/>
        <v>6875</v>
      </c>
      <c r="BF383" s="88">
        <v>314</v>
      </c>
      <c r="BG383" s="98">
        <v>0</v>
      </c>
      <c r="BH383" s="98">
        <v>0</v>
      </c>
      <c r="BI383" s="98">
        <v>6561</v>
      </c>
      <c r="BJ383" s="98"/>
      <c r="BK383" s="98"/>
      <c r="BL383" s="97"/>
    </row>
    <row r="384" spans="1:64" outlineLevel="5" x14ac:dyDescent="0.3">
      <c r="A384" s="152">
        <f t="shared" si="167"/>
        <v>11</v>
      </c>
      <c r="B384" s="153">
        <f t="shared" si="152"/>
        <v>44888</v>
      </c>
      <c r="C384" s="138">
        <f t="shared" si="157"/>
        <v>38</v>
      </c>
      <c r="D384" s="84">
        <v>38</v>
      </c>
      <c r="E384" s="84">
        <v>38</v>
      </c>
      <c r="F384" s="84"/>
      <c r="G384" s="84"/>
      <c r="H384" s="84"/>
      <c r="I384" s="84"/>
      <c r="J384" s="84"/>
      <c r="K384" s="84"/>
      <c r="L384" s="140">
        <f t="shared" si="158"/>
        <v>8.5</v>
      </c>
      <c r="M384" s="86">
        <v>8.56</v>
      </c>
      <c r="N384" s="86">
        <v>8.52</v>
      </c>
      <c r="O384" s="86"/>
      <c r="P384" s="86"/>
      <c r="Q384" s="86"/>
      <c r="R384" s="86"/>
      <c r="S384" s="86"/>
      <c r="T384" s="86"/>
      <c r="U384" s="142">
        <f t="shared" si="159"/>
        <v>1046.5</v>
      </c>
      <c r="V384" s="88">
        <v>1092</v>
      </c>
      <c r="W384" s="88">
        <v>1001</v>
      </c>
      <c r="X384" s="88"/>
      <c r="Y384" s="88"/>
      <c r="Z384" s="88"/>
      <c r="AA384" s="88"/>
      <c r="AB384" s="88"/>
      <c r="AC384" s="88"/>
      <c r="AD384" s="142">
        <f t="shared" si="160"/>
        <v>7365.5</v>
      </c>
      <c r="AE384" s="88">
        <v>7590</v>
      </c>
      <c r="AF384" s="88">
        <v>7141</v>
      </c>
      <c r="AG384" s="88"/>
      <c r="AH384" s="88"/>
      <c r="AI384" s="88"/>
      <c r="AJ384" s="88"/>
      <c r="AK384" s="88"/>
      <c r="AL384" s="88"/>
      <c r="AM384" s="88">
        <v>27.562043795620436</v>
      </c>
      <c r="AN384" s="88">
        <v>171.25</v>
      </c>
      <c r="AO384" s="89"/>
      <c r="AP384" s="90"/>
      <c r="AQ384" s="146" t="str">
        <f t="shared" si="161"/>
        <v/>
      </c>
      <c r="AR384" s="146" t="str">
        <f t="shared" si="162"/>
        <v/>
      </c>
      <c r="AS384" s="147">
        <v>10</v>
      </c>
      <c r="AT384" s="148">
        <v>14.75</v>
      </c>
      <c r="AU384" s="149">
        <v>7.9931000000000001</v>
      </c>
      <c r="AV384" s="146">
        <f t="shared" si="163"/>
        <v>54.190508474576269</v>
      </c>
      <c r="AW384" s="146">
        <f t="shared" si="164"/>
        <v>45.809491525423731</v>
      </c>
      <c r="AX384" s="138" t="str">
        <f t="shared" si="165"/>
        <v/>
      </c>
      <c r="AY384" s="95">
        <v>75.3</v>
      </c>
      <c r="AZ384" s="96">
        <v>59.265000000000001</v>
      </c>
      <c r="BA384" s="96"/>
      <c r="BB384" s="96">
        <v>140</v>
      </c>
      <c r="BC384" s="96"/>
      <c r="BD384" s="97">
        <v>171.25</v>
      </c>
      <c r="BE384" s="142">
        <f t="shared" si="166"/>
        <v>6622</v>
      </c>
      <c r="BF384" s="88">
        <v>357</v>
      </c>
      <c r="BG384" s="98">
        <v>0</v>
      </c>
      <c r="BH384" s="98">
        <v>0</v>
      </c>
      <c r="BI384" s="98">
        <v>6265</v>
      </c>
      <c r="BJ384" s="98"/>
      <c r="BK384" s="98"/>
      <c r="BL384" s="97"/>
    </row>
    <row r="385" spans="1:64" outlineLevel="5" x14ac:dyDescent="0.3">
      <c r="A385" s="152">
        <f t="shared" si="167"/>
        <v>11</v>
      </c>
      <c r="B385" s="153">
        <f t="shared" si="152"/>
        <v>44889</v>
      </c>
      <c r="C385" s="138">
        <f t="shared" si="157"/>
        <v>37.5</v>
      </c>
      <c r="D385" s="84">
        <v>38</v>
      </c>
      <c r="E385" s="84">
        <v>37</v>
      </c>
      <c r="F385" s="84"/>
      <c r="G385" s="84"/>
      <c r="H385" s="84"/>
      <c r="I385" s="84"/>
      <c r="J385" s="84"/>
      <c r="K385" s="84"/>
      <c r="L385" s="140">
        <f t="shared" si="158"/>
        <v>8.4</v>
      </c>
      <c r="M385" s="86">
        <v>8.44</v>
      </c>
      <c r="N385" s="86">
        <v>8.4</v>
      </c>
      <c r="O385" s="86"/>
      <c r="P385" s="86"/>
      <c r="Q385" s="86"/>
      <c r="R385" s="86"/>
      <c r="S385" s="86"/>
      <c r="T385" s="86"/>
      <c r="U385" s="142">
        <f t="shared" si="159"/>
        <v>1151</v>
      </c>
      <c r="V385" s="88">
        <v>1208</v>
      </c>
      <c r="W385" s="88">
        <v>1094</v>
      </c>
      <c r="X385" s="88"/>
      <c r="Y385" s="88"/>
      <c r="Z385" s="88"/>
      <c r="AA385" s="88"/>
      <c r="AB385" s="88"/>
      <c r="AC385" s="88"/>
      <c r="AD385" s="142" t="str">
        <f t="shared" si="160"/>
        <v/>
      </c>
      <c r="AE385" s="88"/>
      <c r="AF385" s="88"/>
      <c r="AG385" s="88"/>
      <c r="AH385" s="88"/>
      <c r="AI385" s="88"/>
      <c r="AJ385" s="88"/>
      <c r="AK385" s="88"/>
      <c r="AL385" s="88"/>
      <c r="AM385" s="88">
        <v>26.856330014224753</v>
      </c>
      <c r="AN385" s="88">
        <v>175.75</v>
      </c>
      <c r="AO385" s="89"/>
      <c r="AP385" s="90"/>
      <c r="AQ385" s="146" t="str">
        <f t="shared" si="161"/>
        <v/>
      </c>
      <c r="AR385" s="146" t="str">
        <f t="shared" si="162"/>
        <v/>
      </c>
      <c r="AS385" s="147">
        <v>10</v>
      </c>
      <c r="AT385" s="148">
        <v>14.55</v>
      </c>
      <c r="AU385" s="149">
        <v>8.1678999999999995</v>
      </c>
      <c r="AV385" s="146">
        <f t="shared" si="163"/>
        <v>56.136769759450168</v>
      </c>
      <c r="AW385" s="146">
        <f t="shared" si="164"/>
        <v>43.863230240549832</v>
      </c>
      <c r="AX385" s="138" t="str">
        <f t="shared" si="165"/>
        <v/>
      </c>
      <c r="AY385" s="95">
        <v>75.349999999999994</v>
      </c>
      <c r="AZ385" s="96">
        <v>58.54</v>
      </c>
      <c r="BA385" s="96"/>
      <c r="BB385" s="96">
        <v>141.5</v>
      </c>
      <c r="BC385" s="96"/>
      <c r="BD385" s="97">
        <v>175.75</v>
      </c>
      <c r="BE385" s="142">
        <f t="shared" si="166"/>
        <v>6265</v>
      </c>
      <c r="BF385" s="88">
        <v>0</v>
      </c>
      <c r="BG385" s="98">
        <v>0</v>
      </c>
      <c r="BH385" s="98">
        <v>0</v>
      </c>
      <c r="BI385" s="98">
        <v>6265</v>
      </c>
      <c r="BJ385" s="98"/>
      <c r="BK385" s="98"/>
      <c r="BL385" s="97"/>
    </row>
    <row r="386" spans="1:64" outlineLevel="5" x14ac:dyDescent="0.3">
      <c r="A386" s="152">
        <f t="shared" si="167"/>
        <v>11</v>
      </c>
      <c r="B386" s="153">
        <f t="shared" si="152"/>
        <v>44890</v>
      </c>
      <c r="C386" s="138">
        <f t="shared" si="157"/>
        <v>37</v>
      </c>
      <c r="D386" s="84">
        <v>37</v>
      </c>
      <c r="E386" s="84">
        <v>37</v>
      </c>
      <c r="F386" s="84"/>
      <c r="G386" s="84"/>
      <c r="H386" s="84"/>
      <c r="I386" s="84"/>
      <c r="J386" s="84"/>
      <c r="K386" s="84"/>
      <c r="L386" s="140">
        <f t="shared" si="158"/>
        <v>8.5</v>
      </c>
      <c r="M386" s="86">
        <v>8.49</v>
      </c>
      <c r="N386" s="86">
        <v>8.4700000000000006</v>
      </c>
      <c r="O386" s="86"/>
      <c r="P386" s="86"/>
      <c r="Q386" s="86"/>
      <c r="R386" s="86"/>
      <c r="S386" s="86"/>
      <c r="T386" s="86"/>
      <c r="U386" s="142">
        <f t="shared" si="159"/>
        <v>1099</v>
      </c>
      <c r="V386" s="88">
        <v>1180</v>
      </c>
      <c r="W386" s="88">
        <v>1018</v>
      </c>
      <c r="X386" s="88"/>
      <c r="Y386" s="88"/>
      <c r="Z386" s="88"/>
      <c r="AA386" s="88"/>
      <c r="AB386" s="88"/>
      <c r="AC386" s="88"/>
      <c r="AD386" s="142" t="str">
        <f t="shared" si="160"/>
        <v/>
      </c>
      <c r="AE386" s="88"/>
      <c r="AF386" s="88"/>
      <c r="AG386" s="88"/>
      <c r="AH386" s="88"/>
      <c r="AI386" s="88"/>
      <c r="AJ386" s="88"/>
      <c r="AK386" s="88"/>
      <c r="AL386" s="88"/>
      <c r="AM386" s="88">
        <v>31.50657499499366</v>
      </c>
      <c r="AN386" s="88">
        <v>149.81</v>
      </c>
      <c r="AO386" s="89"/>
      <c r="AP386" s="90"/>
      <c r="AQ386" s="146" t="str">
        <f t="shared" si="161"/>
        <v/>
      </c>
      <c r="AR386" s="146" t="str">
        <f t="shared" si="162"/>
        <v/>
      </c>
      <c r="AS386" s="147">
        <v>20</v>
      </c>
      <c r="AT386" s="148" t="s">
        <v>106</v>
      </c>
      <c r="AU386" s="149" t="s">
        <v>56</v>
      </c>
      <c r="AV386" s="146" t="str">
        <f t="shared" si="163"/>
        <v/>
      </c>
      <c r="AW386" s="146" t="str">
        <f t="shared" si="164"/>
        <v/>
      </c>
      <c r="AX386" s="138" t="str">
        <f t="shared" si="165"/>
        <v/>
      </c>
      <c r="AY386" s="95" t="s">
        <v>56</v>
      </c>
      <c r="AZ386" s="96">
        <v>58.924999999999997</v>
      </c>
      <c r="BA386" s="96"/>
      <c r="BB386" s="96">
        <v>94</v>
      </c>
      <c r="BC386" s="96"/>
      <c r="BD386" s="97">
        <v>149.81</v>
      </c>
      <c r="BE386" s="142">
        <f t="shared" si="166"/>
        <v>6135</v>
      </c>
      <c r="BF386" s="88">
        <v>0</v>
      </c>
      <c r="BG386" s="98">
        <v>0</v>
      </c>
      <c r="BH386" s="98">
        <v>0</v>
      </c>
      <c r="BI386" s="98">
        <v>6135</v>
      </c>
      <c r="BJ386" s="98"/>
      <c r="BK386" s="98"/>
      <c r="BL386" s="97"/>
    </row>
    <row r="387" spans="1:64" outlineLevel="5" x14ac:dyDescent="0.3">
      <c r="A387" s="152">
        <f t="shared" si="167"/>
        <v>11</v>
      </c>
      <c r="B387" s="153">
        <f t="shared" si="152"/>
        <v>44891</v>
      </c>
      <c r="C387" s="138">
        <f t="shared" si="157"/>
        <v>37</v>
      </c>
      <c r="D387" s="84">
        <v>37</v>
      </c>
      <c r="E387" s="84">
        <v>37</v>
      </c>
      <c r="F387" s="84"/>
      <c r="G387" s="84"/>
      <c r="H387" s="84"/>
      <c r="I387" s="84"/>
      <c r="J387" s="84"/>
      <c r="K387" s="84"/>
      <c r="L387" s="140" t="str">
        <f t="shared" si="158"/>
        <v/>
      </c>
      <c r="M387" s="86"/>
      <c r="N387" s="86"/>
      <c r="O387" s="86"/>
      <c r="P387" s="86"/>
      <c r="Q387" s="86"/>
      <c r="R387" s="86"/>
      <c r="S387" s="86"/>
      <c r="T387" s="86"/>
      <c r="U387" s="142" t="str">
        <f t="shared" si="159"/>
        <v/>
      </c>
      <c r="V387" s="88"/>
      <c r="W387" s="88"/>
      <c r="X387" s="88"/>
      <c r="Y387" s="88"/>
      <c r="Z387" s="88"/>
      <c r="AA387" s="88"/>
      <c r="AB387" s="88"/>
      <c r="AC387" s="88"/>
      <c r="AD387" s="142" t="str">
        <f t="shared" si="160"/>
        <v/>
      </c>
      <c r="AE387" s="88"/>
      <c r="AF387" s="88"/>
      <c r="AG387" s="88"/>
      <c r="AH387" s="88"/>
      <c r="AI387" s="88"/>
      <c r="AJ387" s="88"/>
      <c r="AK387" s="88"/>
      <c r="AL387" s="88"/>
      <c r="AM387" s="88">
        <v>31.25</v>
      </c>
      <c r="AN387" s="88">
        <v>151.04</v>
      </c>
      <c r="AO387" s="89"/>
      <c r="AP387" s="90"/>
      <c r="AQ387" s="146" t="str">
        <f t="shared" si="161"/>
        <v/>
      </c>
      <c r="AR387" s="146" t="str">
        <f t="shared" si="162"/>
        <v/>
      </c>
      <c r="AS387" s="147">
        <v>12</v>
      </c>
      <c r="AT387" s="148" t="s">
        <v>106</v>
      </c>
      <c r="AU387" s="149" t="s">
        <v>56</v>
      </c>
      <c r="AV387" s="146" t="str">
        <f t="shared" si="163"/>
        <v/>
      </c>
      <c r="AW387" s="146" t="str">
        <f t="shared" si="164"/>
        <v/>
      </c>
      <c r="AX387" s="138" t="str">
        <f t="shared" si="165"/>
        <v/>
      </c>
      <c r="AY387" s="95" t="s">
        <v>56</v>
      </c>
      <c r="AZ387" s="96" t="s">
        <v>56</v>
      </c>
      <c r="BA387" s="96"/>
      <c r="BB387" s="96" t="s">
        <v>56</v>
      </c>
      <c r="BC387" s="96"/>
      <c r="BD387" s="97">
        <v>151.04</v>
      </c>
      <c r="BE387" s="142">
        <f t="shared" si="166"/>
        <v>5740</v>
      </c>
      <c r="BF387" s="88">
        <v>192</v>
      </c>
      <c r="BG387" s="98">
        <v>0</v>
      </c>
      <c r="BH387" s="98">
        <v>0</v>
      </c>
      <c r="BI387" s="98">
        <v>5548</v>
      </c>
      <c r="BJ387" s="98"/>
      <c r="BK387" s="98"/>
      <c r="BL387" s="97"/>
    </row>
    <row r="388" spans="1:64" outlineLevel="5" x14ac:dyDescent="0.3">
      <c r="A388" s="152">
        <f t="shared" si="167"/>
        <v>11</v>
      </c>
      <c r="B388" s="153">
        <f t="shared" si="152"/>
        <v>44892</v>
      </c>
      <c r="C388" s="138">
        <f t="shared" si="157"/>
        <v>37</v>
      </c>
      <c r="D388" s="84">
        <v>37</v>
      </c>
      <c r="E388" s="84">
        <v>37</v>
      </c>
      <c r="F388" s="84"/>
      <c r="G388" s="84"/>
      <c r="H388" s="84"/>
      <c r="I388" s="84"/>
      <c r="J388" s="84"/>
      <c r="K388" s="84"/>
      <c r="L388" s="140" t="str">
        <f t="shared" si="158"/>
        <v/>
      </c>
      <c r="M388" s="86"/>
      <c r="N388" s="86"/>
      <c r="O388" s="86"/>
      <c r="P388" s="86"/>
      <c r="Q388" s="86"/>
      <c r="R388" s="86"/>
      <c r="S388" s="86"/>
      <c r="T388" s="86"/>
      <c r="U388" s="142" t="str">
        <f t="shared" si="159"/>
        <v/>
      </c>
      <c r="V388" s="88"/>
      <c r="W388" s="88"/>
      <c r="X388" s="88"/>
      <c r="Y388" s="88"/>
      <c r="Z388" s="88"/>
      <c r="AA388" s="88"/>
      <c r="AB388" s="88"/>
      <c r="AC388" s="88"/>
      <c r="AD388" s="142" t="str">
        <f t="shared" si="160"/>
        <v/>
      </c>
      <c r="AE388" s="88"/>
      <c r="AF388" s="88"/>
      <c r="AG388" s="88"/>
      <c r="AH388" s="88"/>
      <c r="AI388" s="88"/>
      <c r="AJ388" s="88"/>
      <c r="AK388" s="88"/>
      <c r="AL388" s="88"/>
      <c r="AM388" s="88">
        <v>34.962962962962962</v>
      </c>
      <c r="AN388" s="88">
        <v>135</v>
      </c>
      <c r="AO388" s="89"/>
      <c r="AP388" s="90"/>
      <c r="AQ388" s="146" t="str">
        <f t="shared" si="161"/>
        <v/>
      </c>
      <c r="AR388" s="146" t="str">
        <f t="shared" si="162"/>
        <v/>
      </c>
      <c r="AS388" s="147">
        <v>0</v>
      </c>
      <c r="AT388" s="148" t="s">
        <v>106</v>
      </c>
      <c r="AU388" s="149" t="s">
        <v>56</v>
      </c>
      <c r="AV388" s="146" t="str">
        <f t="shared" si="163"/>
        <v/>
      </c>
      <c r="AW388" s="146" t="str">
        <f t="shared" si="164"/>
        <v/>
      </c>
      <c r="AX388" s="138" t="str">
        <f t="shared" si="165"/>
        <v/>
      </c>
      <c r="AY388" s="95" t="s">
        <v>56</v>
      </c>
      <c r="AZ388" s="96" t="s">
        <v>56</v>
      </c>
      <c r="BA388" s="96"/>
      <c r="BB388" s="96" t="s">
        <v>56</v>
      </c>
      <c r="BC388" s="96"/>
      <c r="BD388" s="97">
        <v>135</v>
      </c>
      <c r="BE388" s="142">
        <f t="shared" si="166"/>
        <v>5724</v>
      </c>
      <c r="BF388" s="88">
        <v>496</v>
      </c>
      <c r="BG388" s="98">
        <v>0</v>
      </c>
      <c r="BH388" s="98">
        <v>0</v>
      </c>
      <c r="BI388" s="98">
        <v>5228</v>
      </c>
      <c r="BJ388" s="98"/>
      <c r="BK388" s="98"/>
      <c r="BL388" s="97"/>
    </row>
    <row r="389" spans="1:64" outlineLevel="5" x14ac:dyDescent="0.3">
      <c r="A389" s="152">
        <f t="shared" si="167"/>
        <v>11</v>
      </c>
      <c r="B389" s="153">
        <f t="shared" si="152"/>
        <v>44893</v>
      </c>
      <c r="C389" s="138">
        <f t="shared" si="157"/>
        <v>37</v>
      </c>
      <c r="D389" s="84">
        <v>37</v>
      </c>
      <c r="E389" s="84">
        <v>37</v>
      </c>
      <c r="F389" s="84"/>
      <c r="G389" s="84"/>
      <c r="H389" s="84"/>
      <c r="I389" s="84"/>
      <c r="J389" s="84"/>
      <c r="K389" s="84"/>
      <c r="L389" s="140">
        <f t="shared" si="158"/>
        <v>8.4</v>
      </c>
      <c r="M389" s="86">
        <v>8.48</v>
      </c>
      <c r="N389" s="86">
        <v>8.39</v>
      </c>
      <c r="O389" s="86"/>
      <c r="P389" s="86"/>
      <c r="Q389" s="86"/>
      <c r="R389" s="86"/>
      <c r="S389" s="86"/>
      <c r="T389" s="86"/>
      <c r="U389" s="142">
        <f t="shared" si="159"/>
        <v>1040</v>
      </c>
      <c r="V389" s="88">
        <v>1078</v>
      </c>
      <c r="W389" s="88">
        <v>1002</v>
      </c>
      <c r="X389" s="88"/>
      <c r="Y389" s="88"/>
      <c r="Z389" s="88"/>
      <c r="AA389" s="88"/>
      <c r="AB389" s="88"/>
      <c r="AC389" s="88"/>
      <c r="AD389" s="142" t="str">
        <f t="shared" si="160"/>
        <v/>
      </c>
      <c r="AE389" s="88"/>
      <c r="AF389" s="88"/>
      <c r="AG389" s="88"/>
      <c r="AH389" s="88"/>
      <c r="AI389" s="88"/>
      <c r="AJ389" s="88"/>
      <c r="AK389" s="88"/>
      <c r="AL389" s="88"/>
      <c r="AM389" s="88">
        <v>32.896570950655146</v>
      </c>
      <c r="AN389" s="88">
        <v>143.47999999999999</v>
      </c>
      <c r="AO389" s="89">
        <v>20.8</v>
      </c>
      <c r="AP389" s="90">
        <v>16.494399999999999</v>
      </c>
      <c r="AQ389" s="146">
        <f t="shared" si="161"/>
        <v>79.3</v>
      </c>
      <c r="AR389" s="146">
        <f t="shared" si="162"/>
        <v>20.700000000000003</v>
      </c>
      <c r="AS389" s="147">
        <v>12</v>
      </c>
      <c r="AT389" s="148">
        <v>14.899999999999999</v>
      </c>
      <c r="AU389" s="149">
        <v>8.27895</v>
      </c>
      <c r="AV389" s="146">
        <f t="shared" si="163"/>
        <v>55.563422818791949</v>
      </c>
      <c r="AW389" s="146">
        <f t="shared" si="164"/>
        <v>44.436577181208051</v>
      </c>
      <c r="AX389" s="138">
        <f t="shared" si="165"/>
        <v>67.360345700131589</v>
      </c>
      <c r="AY389" s="95">
        <v>75.400000000000006</v>
      </c>
      <c r="AZ389" s="96">
        <v>59.9</v>
      </c>
      <c r="BA389" s="96"/>
      <c r="BB389" s="96">
        <v>156.5</v>
      </c>
      <c r="BC389" s="96"/>
      <c r="BD389" s="97">
        <v>143.47999999999999</v>
      </c>
      <c r="BE389" s="142">
        <f t="shared" si="166"/>
        <v>6385</v>
      </c>
      <c r="BF389" s="88">
        <v>445</v>
      </c>
      <c r="BG389" s="98">
        <v>0</v>
      </c>
      <c r="BH389" s="98">
        <v>0</v>
      </c>
      <c r="BI389" s="98">
        <v>5940</v>
      </c>
      <c r="BJ389" s="98"/>
      <c r="BK389" s="98"/>
      <c r="BL389" s="97"/>
    </row>
    <row r="390" spans="1:64" outlineLevel="5" x14ac:dyDescent="0.3">
      <c r="A390" s="152">
        <f t="shared" si="167"/>
        <v>11</v>
      </c>
      <c r="B390" s="153">
        <f t="shared" si="152"/>
        <v>44894</v>
      </c>
      <c r="C390" s="138">
        <f t="shared" si="157"/>
        <v>37</v>
      </c>
      <c r="D390" s="84">
        <v>37</v>
      </c>
      <c r="E390" s="84">
        <v>37</v>
      </c>
      <c r="F390" s="84"/>
      <c r="G390" s="84"/>
      <c r="H390" s="84"/>
      <c r="I390" s="84"/>
      <c r="J390" s="84"/>
      <c r="K390" s="84"/>
      <c r="L390" s="140">
        <f t="shared" si="158"/>
        <v>8.4</v>
      </c>
      <c r="M390" s="86">
        <v>8.41</v>
      </c>
      <c r="N390" s="86">
        <v>8.36</v>
      </c>
      <c r="O390" s="86"/>
      <c r="P390" s="86"/>
      <c r="Q390" s="86"/>
      <c r="R390" s="86"/>
      <c r="S390" s="86"/>
      <c r="T390" s="86"/>
      <c r="U390" s="142">
        <f t="shared" si="159"/>
        <v>1158.5</v>
      </c>
      <c r="V390" s="88">
        <v>1204</v>
      </c>
      <c r="W390" s="88">
        <v>1113</v>
      </c>
      <c r="X390" s="88"/>
      <c r="Y390" s="88"/>
      <c r="Z390" s="88"/>
      <c r="AA390" s="88"/>
      <c r="AB390" s="88"/>
      <c r="AC390" s="88"/>
      <c r="AD390" s="142" t="str">
        <f t="shared" si="160"/>
        <v/>
      </c>
      <c r="AE390" s="88"/>
      <c r="AF390" s="88"/>
      <c r="AG390" s="88"/>
      <c r="AH390" s="88"/>
      <c r="AI390" s="88"/>
      <c r="AJ390" s="88"/>
      <c r="AK390" s="88"/>
      <c r="AL390" s="88"/>
      <c r="AM390" s="88">
        <v>28.925113371736732</v>
      </c>
      <c r="AN390" s="88">
        <v>163.18</v>
      </c>
      <c r="AO390" s="89"/>
      <c r="AP390" s="90"/>
      <c r="AQ390" s="146" t="str">
        <f t="shared" si="161"/>
        <v/>
      </c>
      <c r="AR390" s="146" t="str">
        <f t="shared" si="162"/>
        <v/>
      </c>
      <c r="AS390" s="147">
        <v>10</v>
      </c>
      <c r="AT390" s="148" t="s">
        <v>106</v>
      </c>
      <c r="AU390" s="149" t="s">
        <v>56</v>
      </c>
      <c r="AV390" s="146" t="str">
        <f t="shared" si="163"/>
        <v/>
      </c>
      <c r="AW390" s="146" t="str">
        <f t="shared" si="164"/>
        <v/>
      </c>
      <c r="AX390" s="138" t="str">
        <f t="shared" si="165"/>
        <v/>
      </c>
      <c r="AY390" s="95" t="s">
        <v>56</v>
      </c>
      <c r="AZ390" s="96">
        <v>57.825000000000003</v>
      </c>
      <c r="BA390" s="96"/>
      <c r="BB390" s="96">
        <v>80</v>
      </c>
      <c r="BC390" s="96"/>
      <c r="BD390" s="97">
        <v>163.18</v>
      </c>
      <c r="BE390" s="142">
        <f t="shared" si="166"/>
        <v>6439</v>
      </c>
      <c r="BF390" s="88">
        <v>214</v>
      </c>
      <c r="BG390" s="98">
        <v>0</v>
      </c>
      <c r="BH390" s="98">
        <v>0</v>
      </c>
      <c r="BI390" s="98">
        <v>6225</v>
      </c>
      <c r="BJ390" s="98"/>
      <c r="BK390" s="98"/>
      <c r="BL390" s="97"/>
    </row>
    <row r="391" spans="1:64" ht="17.25" outlineLevel="5" thickBot="1" x14ac:dyDescent="0.35">
      <c r="A391" s="154">
        <f t="shared" si="167"/>
        <v>11</v>
      </c>
      <c r="B391" s="155">
        <f t="shared" si="152"/>
        <v>44895</v>
      </c>
      <c r="C391" s="138">
        <f t="shared" si="157"/>
        <v>38</v>
      </c>
      <c r="D391" s="84">
        <v>38</v>
      </c>
      <c r="E391" s="84">
        <v>38</v>
      </c>
      <c r="F391" s="84"/>
      <c r="G391" s="84"/>
      <c r="H391" s="84"/>
      <c r="I391" s="84"/>
      <c r="J391" s="84"/>
      <c r="K391" s="84"/>
      <c r="L391" s="140">
        <f t="shared" si="158"/>
        <v>8.4</v>
      </c>
      <c r="M391" s="86">
        <v>8.42</v>
      </c>
      <c r="N391" s="86">
        <v>8.39</v>
      </c>
      <c r="O391" s="86"/>
      <c r="P391" s="86"/>
      <c r="Q391" s="86"/>
      <c r="R391" s="86"/>
      <c r="S391" s="86"/>
      <c r="T391" s="86"/>
      <c r="U391" s="142">
        <f t="shared" si="159"/>
        <v>1102.5</v>
      </c>
      <c r="V391" s="88">
        <v>1137</v>
      </c>
      <c r="W391" s="88">
        <v>1068</v>
      </c>
      <c r="X391" s="88"/>
      <c r="Y391" s="88"/>
      <c r="Z391" s="88"/>
      <c r="AA391" s="88"/>
      <c r="AB391" s="88"/>
      <c r="AC391" s="88"/>
      <c r="AD391" s="142">
        <f t="shared" si="160"/>
        <v>7145</v>
      </c>
      <c r="AE391" s="88">
        <v>7270</v>
      </c>
      <c r="AF391" s="88">
        <v>7020</v>
      </c>
      <c r="AG391" s="88"/>
      <c r="AH391" s="88"/>
      <c r="AI391" s="88"/>
      <c r="AJ391" s="88"/>
      <c r="AK391" s="88"/>
      <c r="AL391" s="88"/>
      <c r="AM391" s="88">
        <v>31.529726118904478</v>
      </c>
      <c r="AN391" s="88">
        <v>149.69999999999999</v>
      </c>
      <c r="AO391" s="89"/>
      <c r="AP391" s="90"/>
      <c r="AQ391" s="146" t="str">
        <f t="shared" si="161"/>
        <v/>
      </c>
      <c r="AR391" s="146" t="str">
        <f t="shared" si="162"/>
        <v/>
      </c>
      <c r="AS391" s="147">
        <v>10</v>
      </c>
      <c r="AT391" s="148">
        <v>14.8</v>
      </c>
      <c r="AU391" s="149">
        <v>8.0877999999999997</v>
      </c>
      <c r="AV391" s="146">
        <f t="shared" si="163"/>
        <v>54.647297297297293</v>
      </c>
      <c r="AW391" s="146">
        <f t="shared" si="164"/>
        <v>45.352702702702707</v>
      </c>
      <c r="AX391" s="138" t="str">
        <f t="shared" si="165"/>
        <v/>
      </c>
      <c r="AY391" s="95">
        <v>75.099999999999994</v>
      </c>
      <c r="AZ391" s="96">
        <v>63.230000000000004</v>
      </c>
      <c r="BA391" s="96"/>
      <c r="BB391" s="96">
        <v>85</v>
      </c>
      <c r="BC391" s="96"/>
      <c r="BD391" s="97">
        <v>149.69999999999999</v>
      </c>
      <c r="BE391" s="142">
        <f t="shared" si="166"/>
        <v>6091</v>
      </c>
      <c r="BF391" s="88">
        <v>387</v>
      </c>
      <c r="BG391" s="98">
        <v>0</v>
      </c>
      <c r="BH391" s="98">
        <v>0</v>
      </c>
      <c r="BI391" s="98">
        <v>5704</v>
      </c>
      <c r="BJ391" s="98"/>
      <c r="BK391" s="98"/>
      <c r="BL391" s="97"/>
    </row>
    <row r="392" spans="1:64" outlineLevel="4" x14ac:dyDescent="0.3">
      <c r="A392" s="63" t="s">
        <v>97</v>
      </c>
      <c r="B392" s="64"/>
      <c r="C392" s="65">
        <f t="shared" ref="C392:BL392" si="168">SUBTOTAL(4,C362:C391)</f>
        <v>38</v>
      </c>
      <c r="D392" s="66">
        <f t="shared" si="168"/>
        <v>38</v>
      </c>
      <c r="E392" s="66">
        <f t="shared" si="168"/>
        <v>38</v>
      </c>
      <c r="F392" s="66">
        <f t="shared" si="168"/>
        <v>0</v>
      </c>
      <c r="G392" s="66">
        <f t="shared" si="168"/>
        <v>0</v>
      </c>
      <c r="H392" s="66">
        <f t="shared" si="168"/>
        <v>0</v>
      </c>
      <c r="I392" s="66">
        <f t="shared" si="168"/>
        <v>0</v>
      </c>
      <c r="J392" s="66">
        <f t="shared" si="168"/>
        <v>0</v>
      </c>
      <c r="K392" s="66">
        <f t="shared" si="168"/>
        <v>0</v>
      </c>
      <c r="L392" s="67">
        <f t="shared" si="168"/>
        <v>8.5</v>
      </c>
      <c r="M392" s="68">
        <f t="shared" si="168"/>
        <v>8.56</v>
      </c>
      <c r="N392" s="68">
        <f t="shared" si="168"/>
        <v>8.52</v>
      </c>
      <c r="O392" s="68">
        <f t="shared" si="168"/>
        <v>0</v>
      </c>
      <c r="P392" s="68">
        <f t="shared" si="168"/>
        <v>0</v>
      </c>
      <c r="Q392" s="68">
        <f t="shared" si="168"/>
        <v>0</v>
      </c>
      <c r="R392" s="68">
        <f t="shared" si="168"/>
        <v>0</v>
      </c>
      <c r="S392" s="68">
        <f t="shared" si="168"/>
        <v>0</v>
      </c>
      <c r="T392" s="68">
        <f t="shared" si="168"/>
        <v>0</v>
      </c>
      <c r="U392" s="69">
        <f t="shared" si="168"/>
        <v>1158.5</v>
      </c>
      <c r="V392" s="70">
        <f t="shared" si="168"/>
        <v>1208</v>
      </c>
      <c r="W392" s="70">
        <f t="shared" si="168"/>
        <v>1113</v>
      </c>
      <c r="X392" s="70">
        <f t="shared" si="168"/>
        <v>0</v>
      </c>
      <c r="Y392" s="70">
        <f t="shared" si="168"/>
        <v>0</v>
      </c>
      <c r="Z392" s="70">
        <f t="shared" si="168"/>
        <v>0</v>
      </c>
      <c r="AA392" s="70">
        <f t="shared" si="168"/>
        <v>0</v>
      </c>
      <c r="AB392" s="70">
        <f t="shared" si="168"/>
        <v>0</v>
      </c>
      <c r="AC392" s="70">
        <f t="shared" si="168"/>
        <v>0</v>
      </c>
      <c r="AD392" s="69">
        <f t="shared" si="168"/>
        <v>7365.5</v>
      </c>
      <c r="AE392" s="70">
        <f t="shared" si="168"/>
        <v>7590</v>
      </c>
      <c r="AF392" s="70">
        <f t="shared" si="168"/>
        <v>7141</v>
      </c>
      <c r="AG392" s="70">
        <f t="shared" si="168"/>
        <v>0</v>
      </c>
      <c r="AH392" s="70">
        <f t="shared" si="168"/>
        <v>0</v>
      </c>
      <c r="AI392" s="70">
        <f t="shared" si="168"/>
        <v>0</v>
      </c>
      <c r="AJ392" s="70">
        <f t="shared" si="168"/>
        <v>0</v>
      </c>
      <c r="AK392" s="70">
        <f t="shared" si="168"/>
        <v>0</v>
      </c>
      <c r="AL392" s="70">
        <f t="shared" si="168"/>
        <v>0</v>
      </c>
      <c r="AM392" s="70">
        <f t="shared" si="168"/>
        <v>62.616078535420542</v>
      </c>
      <c r="AN392" s="70">
        <f t="shared" si="168"/>
        <v>175.75</v>
      </c>
      <c r="AO392" s="71">
        <f t="shared" si="168"/>
        <v>20.9</v>
      </c>
      <c r="AP392" s="72">
        <f t="shared" si="168"/>
        <v>16.531899999999997</v>
      </c>
      <c r="AQ392" s="73">
        <f t="shared" si="168"/>
        <v>79.3</v>
      </c>
      <c r="AR392" s="73">
        <f t="shared" si="168"/>
        <v>20.900000000000006</v>
      </c>
      <c r="AS392" s="74">
        <f t="shared" si="168"/>
        <v>20</v>
      </c>
      <c r="AT392" s="75">
        <f t="shared" si="168"/>
        <v>14.95</v>
      </c>
      <c r="AU392" s="76">
        <f t="shared" si="168"/>
        <v>8.3436000000000003</v>
      </c>
      <c r="AV392" s="73">
        <f t="shared" si="168"/>
        <v>56.340344827586208</v>
      </c>
      <c r="AW392" s="73">
        <f t="shared" si="168"/>
        <v>45.809491525423731</v>
      </c>
      <c r="AX392" s="65">
        <f t="shared" si="168"/>
        <v>67.360345700131589</v>
      </c>
      <c r="AY392" s="77">
        <f t="shared" si="168"/>
        <v>75.45</v>
      </c>
      <c r="AZ392" s="78">
        <f t="shared" si="168"/>
        <v>63.230000000000004</v>
      </c>
      <c r="BA392" s="78">
        <f t="shared" si="168"/>
        <v>0</v>
      </c>
      <c r="BB392" s="78">
        <f t="shared" si="168"/>
        <v>226</v>
      </c>
      <c r="BC392" s="78">
        <f t="shared" si="168"/>
        <v>0</v>
      </c>
      <c r="BD392" s="79">
        <f t="shared" si="168"/>
        <v>175.75</v>
      </c>
      <c r="BE392" s="69">
        <f t="shared" si="168"/>
        <v>7170</v>
      </c>
      <c r="BF392" s="70">
        <f t="shared" si="168"/>
        <v>745</v>
      </c>
      <c r="BG392" s="80">
        <f t="shared" si="168"/>
        <v>0</v>
      </c>
      <c r="BH392" s="80">
        <f t="shared" si="168"/>
        <v>0</v>
      </c>
      <c r="BI392" s="80">
        <f t="shared" si="168"/>
        <v>6561</v>
      </c>
      <c r="BJ392" s="80">
        <f t="shared" si="168"/>
        <v>0</v>
      </c>
      <c r="BK392" s="80">
        <f t="shared" si="168"/>
        <v>0</v>
      </c>
      <c r="BL392" s="79">
        <f t="shared" si="168"/>
        <v>0</v>
      </c>
    </row>
    <row r="393" spans="1:64" outlineLevel="3" x14ac:dyDescent="0.3">
      <c r="A393" s="81" t="s">
        <v>98</v>
      </c>
      <c r="B393" s="82"/>
      <c r="C393" s="83">
        <f t="shared" ref="C393:BL393" si="169">SUBTOTAL(5,C362:C391)</f>
        <v>35.5</v>
      </c>
      <c r="D393" s="84">
        <f t="shared" si="169"/>
        <v>35</v>
      </c>
      <c r="E393" s="84">
        <f t="shared" si="169"/>
        <v>36</v>
      </c>
      <c r="F393" s="84">
        <f t="shared" si="169"/>
        <v>0</v>
      </c>
      <c r="G393" s="84">
        <f t="shared" si="169"/>
        <v>0</v>
      </c>
      <c r="H393" s="84">
        <f t="shared" si="169"/>
        <v>0</v>
      </c>
      <c r="I393" s="84">
        <f t="shared" si="169"/>
        <v>0</v>
      </c>
      <c r="J393" s="84">
        <f t="shared" si="169"/>
        <v>0</v>
      </c>
      <c r="K393" s="84">
        <f t="shared" si="169"/>
        <v>0</v>
      </c>
      <c r="L393" s="85">
        <f t="shared" si="169"/>
        <v>8.3000000000000007</v>
      </c>
      <c r="M393" s="86">
        <f t="shared" si="169"/>
        <v>8.4</v>
      </c>
      <c r="N393" s="86">
        <f t="shared" si="169"/>
        <v>8.2899999999999991</v>
      </c>
      <c r="O393" s="86">
        <f t="shared" si="169"/>
        <v>0</v>
      </c>
      <c r="P393" s="86">
        <f t="shared" si="169"/>
        <v>0</v>
      </c>
      <c r="Q393" s="86">
        <f t="shared" si="169"/>
        <v>0</v>
      </c>
      <c r="R393" s="86">
        <f t="shared" si="169"/>
        <v>0</v>
      </c>
      <c r="S393" s="86">
        <f t="shared" si="169"/>
        <v>0</v>
      </c>
      <c r="T393" s="86">
        <f t="shared" si="169"/>
        <v>0</v>
      </c>
      <c r="U393" s="87">
        <f t="shared" si="169"/>
        <v>994.5</v>
      </c>
      <c r="V393" s="88">
        <f t="shared" si="169"/>
        <v>1015</v>
      </c>
      <c r="W393" s="88">
        <f t="shared" si="169"/>
        <v>974</v>
      </c>
      <c r="X393" s="88">
        <f t="shared" si="169"/>
        <v>0</v>
      </c>
      <c r="Y393" s="88">
        <f t="shared" si="169"/>
        <v>0</v>
      </c>
      <c r="Z393" s="88">
        <f t="shared" si="169"/>
        <v>0</v>
      </c>
      <c r="AA393" s="88">
        <f t="shared" si="169"/>
        <v>0</v>
      </c>
      <c r="AB393" s="88">
        <f t="shared" si="169"/>
        <v>0</v>
      </c>
      <c r="AC393" s="88">
        <f t="shared" si="169"/>
        <v>0</v>
      </c>
      <c r="AD393" s="87">
        <f t="shared" si="169"/>
        <v>7082.5</v>
      </c>
      <c r="AE393" s="88">
        <f t="shared" si="169"/>
        <v>7194</v>
      </c>
      <c r="AF393" s="88">
        <f t="shared" si="169"/>
        <v>6971</v>
      </c>
      <c r="AG393" s="88">
        <f t="shared" si="169"/>
        <v>0</v>
      </c>
      <c r="AH393" s="88">
        <f t="shared" si="169"/>
        <v>0</v>
      </c>
      <c r="AI393" s="88">
        <f t="shared" si="169"/>
        <v>0</v>
      </c>
      <c r="AJ393" s="88">
        <f t="shared" si="169"/>
        <v>0</v>
      </c>
      <c r="AK393" s="88">
        <f t="shared" si="169"/>
        <v>0</v>
      </c>
      <c r="AL393" s="88">
        <f t="shared" si="169"/>
        <v>0</v>
      </c>
      <c r="AM393" s="88">
        <f t="shared" si="169"/>
        <v>26.856330014224753</v>
      </c>
      <c r="AN393" s="88">
        <f t="shared" si="169"/>
        <v>0</v>
      </c>
      <c r="AO393" s="89">
        <f t="shared" si="169"/>
        <v>20.8</v>
      </c>
      <c r="AP393" s="90">
        <f t="shared" si="169"/>
        <v>16.494399999999999</v>
      </c>
      <c r="AQ393" s="91">
        <f t="shared" si="169"/>
        <v>79.099999999999994</v>
      </c>
      <c r="AR393" s="91">
        <f t="shared" si="169"/>
        <v>20.700000000000003</v>
      </c>
      <c r="AS393" s="92">
        <f t="shared" si="169"/>
        <v>0</v>
      </c>
      <c r="AT393" s="93">
        <f t="shared" si="169"/>
        <v>14.4</v>
      </c>
      <c r="AU393" s="94">
        <f t="shared" si="169"/>
        <v>7.9931000000000001</v>
      </c>
      <c r="AV393" s="91">
        <f t="shared" si="169"/>
        <v>54.190508474576269</v>
      </c>
      <c r="AW393" s="91">
        <f t="shared" si="169"/>
        <v>43.659655172413792</v>
      </c>
      <c r="AX393" s="83">
        <f t="shared" si="169"/>
        <v>66.629830507229087</v>
      </c>
      <c r="AY393" s="95">
        <f t="shared" si="169"/>
        <v>75.099999999999994</v>
      </c>
      <c r="AZ393" s="96">
        <f t="shared" si="169"/>
        <v>48.194999999999993</v>
      </c>
      <c r="BA393" s="96">
        <f t="shared" si="169"/>
        <v>0</v>
      </c>
      <c r="BB393" s="96">
        <f t="shared" si="169"/>
        <v>69</v>
      </c>
      <c r="BC393" s="96">
        <f t="shared" si="169"/>
        <v>0</v>
      </c>
      <c r="BD393" s="97">
        <f t="shared" si="169"/>
        <v>0</v>
      </c>
      <c r="BE393" s="87">
        <f t="shared" si="169"/>
        <v>298</v>
      </c>
      <c r="BF393" s="88">
        <f t="shared" si="169"/>
        <v>0</v>
      </c>
      <c r="BG393" s="98">
        <f t="shared" si="169"/>
        <v>0</v>
      </c>
      <c r="BH393" s="98">
        <f t="shared" si="169"/>
        <v>0</v>
      </c>
      <c r="BI393" s="98">
        <f t="shared" si="169"/>
        <v>0</v>
      </c>
      <c r="BJ393" s="98">
        <f t="shared" si="169"/>
        <v>0</v>
      </c>
      <c r="BK393" s="98">
        <f t="shared" si="169"/>
        <v>0</v>
      </c>
      <c r="BL393" s="97">
        <f t="shared" si="169"/>
        <v>0</v>
      </c>
    </row>
    <row r="394" spans="1:64" outlineLevel="2" x14ac:dyDescent="0.3">
      <c r="A394" s="81" t="s">
        <v>99</v>
      </c>
      <c r="B394" s="82"/>
      <c r="C394" s="83">
        <f t="shared" ref="C394:BL394" si="170">IFERROR(SUBTOTAL(1,C362:C391),"")</f>
        <v>37</v>
      </c>
      <c r="D394" s="84">
        <f t="shared" si="170"/>
        <v>37.033333333333331</v>
      </c>
      <c r="E394" s="84">
        <f t="shared" si="170"/>
        <v>36.966666666666669</v>
      </c>
      <c r="F394" s="84" t="str">
        <f t="shared" si="170"/>
        <v/>
      </c>
      <c r="G394" s="84" t="str">
        <f t="shared" si="170"/>
        <v/>
      </c>
      <c r="H394" s="84" t="str">
        <f t="shared" si="170"/>
        <v/>
      </c>
      <c r="I394" s="84" t="str">
        <f t="shared" si="170"/>
        <v/>
      </c>
      <c r="J394" s="84" t="str">
        <f t="shared" si="170"/>
        <v/>
      </c>
      <c r="K394" s="84" t="str">
        <f t="shared" si="170"/>
        <v/>
      </c>
      <c r="L394" s="85">
        <f t="shared" si="170"/>
        <v>8.4214285714285726</v>
      </c>
      <c r="M394" s="86">
        <f t="shared" si="170"/>
        <v>8.4592857142857145</v>
      </c>
      <c r="N394" s="86">
        <f t="shared" si="170"/>
        <v>8.4</v>
      </c>
      <c r="O394" s="86" t="str">
        <f t="shared" si="170"/>
        <v/>
      </c>
      <c r="P394" s="86" t="str">
        <f t="shared" si="170"/>
        <v/>
      </c>
      <c r="Q394" s="86" t="str">
        <f t="shared" si="170"/>
        <v/>
      </c>
      <c r="R394" s="86" t="str">
        <f t="shared" si="170"/>
        <v/>
      </c>
      <c r="S394" s="86" t="str">
        <f t="shared" si="170"/>
        <v/>
      </c>
      <c r="T394" s="86" t="str">
        <f t="shared" si="170"/>
        <v/>
      </c>
      <c r="U394" s="87">
        <f t="shared" si="170"/>
        <v>1075.3928571428571</v>
      </c>
      <c r="V394" s="88">
        <f t="shared" si="170"/>
        <v>1123.3571428571429</v>
      </c>
      <c r="W394" s="88">
        <f t="shared" si="170"/>
        <v>1027.4285714285713</v>
      </c>
      <c r="X394" s="88" t="str">
        <f t="shared" si="170"/>
        <v/>
      </c>
      <c r="Y394" s="88" t="str">
        <f t="shared" si="170"/>
        <v/>
      </c>
      <c r="Z394" s="88" t="str">
        <f t="shared" si="170"/>
        <v/>
      </c>
      <c r="AA394" s="88" t="str">
        <f t="shared" si="170"/>
        <v/>
      </c>
      <c r="AB394" s="88" t="str">
        <f t="shared" si="170"/>
        <v/>
      </c>
      <c r="AC394" s="88" t="str">
        <f t="shared" si="170"/>
        <v/>
      </c>
      <c r="AD394" s="87">
        <f t="shared" si="170"/>
        <v>7197.666666666667</v>
      </c>
      <c r="AE394" s="88">
        <f t="shared" si="170"/>
        <v>7351.333333333333</v>
      </c>
      <c r="AF394" s="88">
        <f t="shared" si="170"/>
        <v>7044</v>
      </c>
      <c r="AG394" s="88" t="str">
        <f t="shared" si="170"/>
        <v/>
      </c>
      <c r="AH394" s="88" t="str">
        <f t="shared" si="170"/>
        <v/>
      </c>
      <c r="AI394" s="88" t="str">
        <f t="shared" si="170"/>
        <v/>
      </c>
      <c r="AJ394" s="88" t="str">
        <f t="shared" si="170"/>
        <v/>
      </c>
      <c r="AK394" s="88" t="str">
        <f t="shared" si="170"/>
        <v/>
      </c>
      <c r="AL394" s="88" t="str">
        <f t="shared" si="170"/>
        <v/>
      </c>
      <c r="AM394" s="88">
        <f t="shared" si="170"/>
        <v>37.882743370604032</v>
      </c>
      <c r="AN394" s="88">
        <f t="shared" si="170"/>
        <v>91.636333333333326</v>
      </c>
      <c r="AO394" s="89">
        <f t="shared" si="170"/>
        <v>20.85</v>
      </c>
      <c r="AP394" s="90">
        <f t="shared" si="170"/>
        <v>16.513149999999996</v>
      </c>
      <c r="AQ394" s="91">
        <f t="shared" si="170"/>
        <v>79.199999999999989</v>
      </c>
      <c r="AR394" s="91">
        <f t="shared" si="170"/>
        <v>20.800000000000004</v>
      </c>
      <c r="AS394" s="92">
        <f t="shared" si="170"/>
        <v>8.4</v>
      </c>
      <c r="AT394" s="93">
        <f t="shared" si="170"/>
        <v>14.69375</v>
      </c>
      <c r="AU394" s="94">
        <f t="shared" si="170"/>
        <v>8.1406187499999998</v>
      </c>
      <c r="AV394" s="91">
        <f t="shared" si="170"/>
        <v>55.40635957781474</v>
      </c>
      <c r="AW394" s="91">
        <f t="shared" si="170"/>
        <v>44.59364042218526</v>
      </c>
      <c r="AX394" s="83">
        <f t="shared" si="170"/>
        <v>66.995088103680331</v>
      </c>
      <c r="AY394" s="95">
        <f t="shared" si="170"/>
        <v>75.287499999999994</v>
      </c>
      <c r="AZ394" s="96">
        <f t="shared" si="170"/>
        <v>59.635312499999991</v>
      </c>
      <c r="BA394" s="96" t="str">
        <f t="shared" si="170"/>
        <v/>
      </c>
      <c r="BB394" s="96">
        <f t="shared" si="170"/>
        <v>106.53125</v>
      </c>
      <c r="BC394" s="96" t="str">
        <f t="shared" si="170"/>
        <v/>
      </c>
      <c r="BD394" s="97">
        <f>IFERROR(SUBTOTAL(1,BD362:BD391),"")</f>
        <v>91.636333333333326</v>
      </c>
      <c r="BE394" s="87">
        <f t="shared" si="170"/>
        <v>5554.1428571428569</v>
      </c>
      <c r="BF394" s="88">
        <f t="shared" si="170"/>
        <v>230.7</v>
      </c>
      <c r="BG394" s="98">
        <f t="shared" si="170"/>
        <v>0</v>
      </c>
      <c r="BH394" s="98">
        <f t="shared" si="170"/>
        <v>0</v>
      </c>
      <c r="BI394" s="98">
        <f t="shared" si="170"/>
        <v>3657.2</v>
      </c>
      <c r="BJ394" s="98" t="str">
        <f t="shared" si="170"/>
        <v/>
      </c>
      <c r="BK394" s="98" t="str">
        <f t="shared" si="170"/>
        <v/>
      </c>
      <c r="BL394" s="97" t="str">
        <f t="shared" si="170"/>
        <v/>
      </c>
    </row>
    <row r="395" spans="1:64" ht="17.25" outlineLevel="1" thickBot="1" x14ac:dyDescent="0.35">
      <c r="A395" s="99" t="s">
        <v>100</v>
      </c>
      <c r="B395" s="100"/>
      <c r="C395" s="101"/>
      <c r="D395" s="102"/>
      <c r="E395" s="102"/>
      <c r="F395" s="102"/>
      <c r="G395" s="102"/>
      <c r="H395" s="102"/>
      <c r="I395" s="102"/>
      <c r="J395" s="102"/>
      <c r="K395" s="102"/>
      <c r="L395" s="103"/>
      <c r="M395" s="104"/>
      <c r="N395" s="104"/>
      <c r="O395" s="104"/>
      <c r="P395" s="104"/>
      <c r="Q395" s="104"/>
      <c r="R395" s="104"/>
      <c r="S395" s="104"/>
      <c r="T395" s="104"/>
      <c r="U395" s="105"/>
      <c r="V395" s="106"/>
      <c r="W395" s="106"/>
      <c r="X395" s="106"/>
      <c r="Y395" s="106"/>
      <c r="Z395" s="106"/>
      <c r="AA395" s="106"/>
      <c r="AB395" s="106"/>
      <c r="AC395" s="106"/>
      <c r="AD395" s="105"/>
      <c r="AE395" s="106"/>
      <c r="AF395" s="106"/>
      <c r="AG395" s="106"/>
      <c r="AH395" s="106"/>
      <c r="AI395" s="106"/>
      <c r="AJ395" s="106"/>
      <c r="AK395" s="106"/>
      <c r="AL395" s="106"/>
      <c r="AM395" s="106"/>
      <c r="AN395" s="107">
        <f>SUBTOTAL(9,AN362:AN391)</f>
        <v>2749.0899999999997</v>
      </c>
      <c r="AO395" s="108"/>
      <c r="AP395" s="109"/>
      <c r="AQ395" s="110"/>
      <c r="AR395" s="110"/>
      <c r="AS395" s="111">
        <f>SUBTOTAL(9,AS362:AS391)</f>
        <v>252</v>
      </c>
      <c r="AT395" s="112"/>
      <c r="AU395" s="113"/>
      <c r="AV395" s="110"/>
      <c r="AW395" s="110"/>
      <c r="AX395" s="101"/>
      <c r="AY395" s="114"/>
      <c r="AZ395" s="115"/>
      <c r="BA395" s="115"/>
      <c r="BB395" s="115"/>
      <c r="BC395" s="115"/>
      <c r="BD395" s="116">
        <f>SUBTOTAL(9,BD362:BD391)</f>
        <v>2749.0899999999997</v>
      </c>
      <c r="BE395" s="117">
        <f t="shared" ref="BE395:BL395" si="171">SUBTOTAL(9,BE362:BE391)</f>
        <v>116637</v>
      </c>
      <c r="BF395" s="107">
        <f t="shared" si="171"/>
        <v>6921</v>
      </c>
      <c r="BG395" s="118">
        <f t="shared" si="171"/>
        <v>0</v>
      </c>
      <c r="BH395" s="118">
        <f t="shared" si="171"/>
        <v>0</v>
      </c>
      <c r="BI395" s="118">
        <f t="shared" si="171"/>
        <v>109716</v>
      </c>
      <c r="BJ395" s="118">
        <f t="shared" si="171"/>
        <v>0</v>
      </c>
      <c r="BK395" s="118">
        <f t="shared" si="171"/>
        <v>0</v>
      </c>
      <c r="BL395" s="116">
        <f t="shared" si="171"/>
        <v>0</v>
      </c>
    </row>
    <row r="396" spans="1:64" outlineLevel="5" x14ac:dyDescent="0.3">
      <c r="A396" s="136">
        <f t="shared" si="167"/>
        <v>12</v>
      </c>
      <c r="B396" s="165">
        <f>B391+1</f>
        <v>44896</v>
      </c>
      <c r="C396" s="138">
        <f t="shared" ref="C396:C426" si="172">IFERROR(ROUND(AVERAGE(D396:K396),1),"")</f>
        <v>35</v>
      </c>
      <c r="D396" s="84">
        <v>35</v>
      </c>
      <c r="E396" s="84">
        <v>35</v>
      </c>
      <c r="F396" s="84"/>
      <c r="G396" s="84"/>
      <c r="H396" s="84"/>
      <c r="I396" s="84"/>
      <c r="J396" s="84"/>
      <c r="K396" s="84"/>
      <c r="L396" s="140">
        <f t="shared" ref="L396:L426" si="173">IFERROR(ROUND(AVERAGE(M396:T396),1),"")</f>
        <v>8.5</v>
      </c>
      <c r="M396" s="86">
        <v>8.51</v>
      </c>
      <c r="N396" s="86">
        <v>8.43</v>
      </c>
      <c r="O396" s="86"/>
      <c r="P396" s="86"/>
      <c r="Q396" s="86"/>
      <c r="R396" s="86"/>
      <c r="S396" s="86"/>
      <c r="T396" s="86"/>
      <c r="U396" s="142">
        <f t="shared" ref="U396:U426" si="174">IFERROR(ROUND(AVERAGE(V396:AC396),1),"")</f>
        <v>1151</v>
      </c>
      <c r="V396" s="88">
        <v>1208</v>
      </c>
      <c r="W396" s="88">
        <v>1094</v>
      </c>
      <c r="X396" s="88"/>
      <c r="Y396" s="88"/>
      <c r="Z396" s="88"/>
      <c r="AA396" s="88"/>
      <c r="AB396" s="88"/>
      <c r="AC396" s="88"/>
      <c r="AD396" s="142" t="str">
        <f t="shared" ref="AD396:AD426" si="175">IFERROR(ROUND(AVERAGE(AE396:AL396),1),"")</f>
        <v/>
      </c>
      <c r="AE396" s="88"/>
      <c r="AF396" s="88"/>
      <c r="AG396" s="88"/>
      <c r="AH396" s="88"/>
      <c r="AI396" s="88"/>
      <c r="AJ396" s="88"/>
      <c r="AK396" s="88"/>
      <c r="AL396" s="88"/>
      <c r="AM396" s="88">
        <v>37.899470049783204</v>
      </c>
      <c r="AN396" s="88">
        <v>124.53999999999999</v>
      </c>
      <c r="AO396" s="89"/>
      <c r="AP396" s="90"/>
      <c r="AQ396" s="146" t="str">
        <f t="shared" ref="AQ396:AQ426" si="176">IFERROR(AP396/AO396*100,"")</f>
        <v/>
      </c>
      <c r="AR396" s="146" t="str">
        <f t="shared" ref="AR396:AR426" si="177">IFERROR(100-AQ396,"")</f>
        <v/>
      </c>
      <c r="AS396" s="147">
        <v>13</v>
      </c>
      <c r="AT396" s="148">
        <v>14.45</v>
      </c>
      <c r="AU396" s="149">
        <v>8.1406500000000008</v>
      </c>
      <c r="AV396" s="146">
        <f t="shared" ref="AV396:AV426" si="178">IFERROR(AU396/AT396*100,"")</f>
        <v>56.336678200692049</v>
      </c>
      <c r="AW396" s="146">
        <f t="shared" ref="AW396:AW426" si="179">IFERROR(100-AV396,"")</f>
        <v>43.663321799307951</v>
      </c>
      <c r="AX396" s="138" t="str">
        <f t="shared" ref="AX396:AX426" si="180">IFERROR((1-((AV396*AR396)/(AW396*AQ396)))*100,"")</f>
        <v/>
      </c>
      <c r="AY396" s="95">
        <v>75.25</v>
      </c>
      <c r="AZ396" s="96" t="s">
        <v>56</v>
      </c>
      <c r="BA396" s="96"/>
      <c r="BB396" s="96" t="s">
        <v>56</v>
      </c>
      <c r="BC396" s="96"/>
      <c r="BD396" s="97">
        <v>124.53999999999999</v>
      </c>
      <c r="BE396" s="142">
        <f t="shared" ref="BE396:BE426" si="181">IF(SUM(BF396:BL396)=0,"",SUM(BF396:BL396))</f>
        <v>5922</v>
      </c>
      <c r="BF396" s="88">
        <v>391</v>
      </c>
      <c r="BG396" s="98">
        <v>0</v>
      </c>
      <c r="BH396" s="98">
        <v>0</v>
      </c>
      <c r="BI396" s="98">
        <v>5531</v>
      </c>
      <c r="BJ396" s="98"/>
      <c r="BK396" s="98"/>
      <c r="BL396" s="97"/>
    </row>
    <row r="397" spans="1:64" outlineLevel="5" x14ac:dyDescent="0.3">
      <c r="A397" s="152">
        <f t="shared" si="167"/>
        <v>12</v>
      </c>
      <c r="B397" s="153">
        <f t="shared" si="152"/>
        <v>44897</v>
      </c>
      <c r="C397" s="138">
        <f t="shared" si="172"/>
        <v>36</v>
      </c>
      <c r="D397" s="84">
        <v>36</v>
      </c>
      <c r="E397" s="84">
        <v>36</v>
      </c>
      <c r="F397" s="84"/>
      <c r="G397" s="84"/>
      <c r="H397" s="84"/>
      <c r="I397" s="84"/>
      <c r="J397" s="84"/>
      <c r="K397" s="84"/>
      <c r="L397" s="140">
        <f t="shared" si="173"/>
        <v>8.5</v>
      </c>
      <c r="M397" s="86">
        <v>8.52</v>
      </c>
      <c r="N397" s="86">
        <v>8.44</v>
      </c>
      <c r="O397" s="86"/>
      <c r="P397" s="86"/>
      <c r="Q397" s="86"/>
      <c r="R397" s="86"/>
      <c r="S397" s="86"/>
      <c r="T397" s="86"/>
      <c r="U397" s="142">
        <f t="shared" si="174"/>
        <v>1076</v>
      </c>
      <c r="V397" s="88">
        <v>1119</v>
      </c>
      <c r="W397" s="88">
        <v>1033</v>
      </c>
      <c r="X397" s="88"/>
      <c r="Y397" s="88"/>
      <c r="Z397" s="88"/>
      <c r="AA397" s="88"/>
      <c r="AB397" s="88"/>
      <c r="AC397" s="88"/>
      <c r="AD397" s="142" t="str">
        <f t="shared" si="175"/>
        <v/>
      </c>
      <c r="AE397" s="88"/>
      <c r="AF397" s="88"/>
      <c r="AG397" s="88"/>
      <c r="AH397" s="88"/>
      <c r="AI397" s="88"/>
      <c r="AJ397" s="88"/>
      <c r="AK397" s="88"/>
      <c r="AL397" s="88"/>
      <c r="AM397" s="88">
        <v>36.014039371280326</v>
      </c>
      <c r="AN397" s="88">
        <v>131.06</v>
      </c>
      <c r="AO397" s="89"/>
      <c r="AP397" s="90"/>
      <c r="AQ397" s="146" t="str">
        <f t="shared" si="176"/>
        <v/>
      </c>
      <c r="AR397" s="146" t="str">
        <f t="shared" si="177"/>
        <v/>
      </c>
      <c r="AS397" s="147">
        <v>21</v>
      </c>
      <c r="AT397" s="148" t="s">
        <v>106</v>
      </c>
      <c r="AU397" s="149" t="s">
        <v>56</v>
      </c>
      <c r="AV397" s="146" t="str">
        <f t="shared" si="178"/>
        <v/>
      </c>
      <c r="AW397" s="146" t="str">
        <f t="shared" si="179"/>
        <v/>
      </c>
      <c r="AX397" s="138" t="str">
        <f t="shared" si="180"/>
        <v/>
      </c>
      <c r="AY397" s="95" t="s">
        <v>56</v>
      </c>
      <c r="AZ397" s="96" t="s">
        <v>56</v>
      </c>
      <c r="BA397" s="96"/>
      <c r="BB397" s="96" t="s">
        <v>56</v>
      </c>
      <c r="BC397" s="96"/>
      <c r="BD397" s="97">
        <v>131.06</v>
      </c>
      <c r="BE397" s="142">
        <f t="shared" si="181"/>
        <v>6069</v>
      </c>
      <c r="BF397" s="88">
        <v>370</v>
      </c>
      <c r="BG397" s="98">
        <v>0</v>
      </c>
      <c r="BH397" s="98">
        <v>0</v>
      </c>
      <c r="BI397" s="98">
        <v>5699</v>
      </c>
      <c r="BJ397" s="98"/>
      <c r="BK397" s="98"/>
      <c r="BL397" s="97"/>
    </row>
    <row r="398" spans="1:64" outlineLevel="5" x14ac:dyDescent="0.3">
      <c r="A398" s="152">
        <f t="shared" si="167"/>
        <v>12</v>
      </c>
      <c r="B398" s="153">
        <f t="shared" si="152"/>
        <v>44898</v>
      </c>
      <c r="C398" s="138">
        <f t="shared" si="172"/>
        <v>36</v>
      </c>
      <c r="D398" s="84">
        <v>36</v>
      </c>
      <c r="E398" s="84">
        <v>36</v>
      </c>
      <c r="F398" s="84"/>
      <c r="G398" s="84"/>
      <c r="H398" s="84"/>
      <c r="I398" s="84"/>
      <c r="J398" s="84"/>
      <c r="K398" s="84"/>
      <c r="L398" s="140" t="str">
        <f t="shared" si="173"/>
        <v/>
      </c>
      <c r="M398" s="86"/>
      <c r="N398" s="86"/>
      <c r="O398" s="86"/>
      <c r="P398" s="86"/>
      <c r="Q398" s="86"/>
      <c r="R398" s="86"/>
      <c r="S398" s="86"/>
      <c r="T398" s="86"/>
      <c r="U398" s="142" t="str">
        <f t="shared" si="174"/>
        <v/>
      </c>
      <c r="V398" s="88"/>
      <c r="W398" s="88"/>
      <c r="X398" s="88"/>
      <c r="Y398" s="88"/>
      <c r="Z398" s="88"/>
      <c r="AA398" s="88"/>
      <c r="AB398" s="88"/>
      <c r="AC398" s="88"/>
      <c r="AD398" s="142" t="str">
        <f t="shared" si="175"/>
        <v/>
      </c>
      <c r="AE398" s="88"/>
      <c r="AF398" s="88"/>
      <c r="AG398" s="88"/>
      <c r="AH398" s="88"/>
      <c r="AI398" s="88"/>
      <c r="AJ398" s="88"/>
      <c r="AK398" s="88"/>
      <c r="AL398" s="88"/>
      <c r="AM398" s="88">
        <v>35.590408686472628</v>
      </c>
      <c r="AN398" s="88">
        <v>132.62</v>
      </c>
      <c r="AO398" s="89"/>
      <c r="AP398" s="90"/>
      <c r="AQ398" s="146" t="str">
        <f t="shared" si="176"/>
        <v/>
      </c>
      <c r="AR398" s="146" t="str">
        <f t="shared" si="177"/>
        <v/>
      </c>
      <c r="AS398" s="147">
        <v>18</v>
      </c>
      <c r="AT398" s="148" t="s">
        <v>106</v>
      </c>
      <c r="AU398" s="149" t="s">
        <v>56</v>
      </c>
      <c r="AV398" s="146" t="str">
        <f t="shared" si="178"/>
        <v/>
      </c>
      <c r="AW398" s="146" t="str">
        <f t="shared" si="179"/>
        <v/>
      </c>
      <c r="AX398" s="138" t="str">
        <f t="shared" si="180"/>
        <v/>
      </c>
      <c r="AY398" s="95" t="s">
        <v>56</v>
      </c>
      <c r="AZ398" s="96" t="s">
        <v>56</v>
      </c>
      <c r="BA398" s="96"/>
      <c r="BB398" s="96" t="s">
        <v>56</v>
      </c>
      <c r="BC398" s="96"/>
      <c r="BD398" s="97">
        <v>132.62</v>
      </c>
      <c r="BE398" s="142">
        <f t="shared" si="181"/>
        <v>5952</v>
      </c>
      <c r="BF398" s="88">
        <v>351</v>
      </c>
      <c r="BG398" s="98">
        <v>0</v>
      </c>
      <c r="BH398" s="98">
        <v>0</v>
      </c>
      <c r="BI398" s="98">
        <v>5601</v>
      </c>
      <c r="BJ398" s="98"/>
      <c r="BK398" s="98"/>
      <c r="BL398" s="97"/>
    </row>
    <row r="399" spans="1:64" outlineLevel="5" x14ac:dyDescent="0.3">
      <c r="A399" s="152">
        <f t="shared" si="167"/>
        <v>12</v>
      </c>
      <c r="B399" s="153">
        <f t="shared" si="152"/>
        <v>44899</v>
      </c>
      <c r="C399" s="138">
        <f t="shared" si="172"/>
        <v>37</v>
      </c>
      <c r="D399" s="84">
        <v>37</v>
      </c>
      <c r="E399" s="84">
        <v>37</v>
      </c>
      <c r="F399" s="84"/>
      <c r="G399" s="84"/>
      <c r="H399" s="84"/>
      <c r="I399" s="84"/>
      <c r="J399" s="84"/>
      <c r="K399" s="84"/>
      <c r="L399" s="140" t="str">
        <f t="shared" si="173"/>
        <v/>
      </c>
      <c r="M399" s="86"/>
      <c r="N399" s="86"/>
      <c r="O399" s="86"/>
      <c r="P399" s="86"/>
      <c r="Q399" s="86"/>
      <c r="R399" s="86"/>
      <c r="S399" s="86"/>
      <c r="T399" s="86"/>
      <c r="U399" s="142" t="str">
        <f t="shared" si="174"/>
        <v/>
      </c>
      <c r="V399" s="88"/>
      <c r="W399" s="88"/>
      <c r="X399" s="88"/>
      <c r="Y399" s="88"/>
      <c r="Z399" s="88"/>
      <c r="AA399" s="88"/>
      <c r="AB399" s="88"/>
      <c r="AC399" s="88"/>
      <c r="AD399" s="142" t="str">
        <f t="shared" si="175"/>
        <v/>
      </c>
      <c r="AE399" s="88"/>
      <c r="AF399" s="88"/>
      <c r="AG399" s="88"/>
      <c r="AH399" s="88"/>
      <c r="AI399" s="88"/>
      <c r="AJ399" s="88"/>
      <c r="AK399" s="88"/>
      <c r="AL399" s="88"/>
      <c r="AM399" s="88">
        <v>42.909090909090907</v>
      </c>
      <c r="AN399" s="88">
        <v>110</v>
      </c>
      <c r="AO399" s="89"/>
      <c r="AP399" s="90"/>
      <c r="AQ399" s="146" t="str">
        <f t="shared" si="176"/>
        <v/>
      </c>
      <c r="AR399" s="146" t="str">
        <f t="shared" si="177"/>
        <v/>
      </c>
      <c r="AS399" s="147">
        <v>0</v>
      </c>
      <c r="AT399" s="148" t="s">
        <v>106</v>
      </c>
      <c r="AU399" s="149" t="s">
        <v>56</v>
      </c>
      <c r="AV399" s="146" t="str">
        <f t="shared" si="178"/>
        <v/>
      </c>
      <c r="AW399" s="146" t="str">
        <f t="shared" si="179"/>
        <v/>
      </c>
      <c r="AX399" s="138" t="str">
        <f t="shared" si="180"/>
        <v/>
      </c>
      <c r="AY399" s="95" t="s">
        <v>56</v>
      </c>
      <c r="AZ399" s="96" t="s">
        <v>56</v>
      </c>
      <c r="BA399" s="96"/>
      <c r="BB399" s="96" t="s">
        <v>56</v>
      </c>
      <c r="BC399" s="96"/>
      <c r="BD399" s="97">
        <v>110</v>
      </c>
      <c r="BE399" s="142">
        <f t="shared" si="181"/>
        <v>5785</v>
      </c>
      <c r="BF399" s="88">
        <v>241</v>
      </c>
      <c r="BG399" s="98">
        <v>0</v>
      </c>
      <c r="BH399" s="98">
        <v>0</v>
      </c>
      <c r="BI399" s="98">
        <v>5544</v>
      </c>
      <c r="BJ399" s="98"/>
      <c r="BK399" s="98"/>
      <c r="BL399" s="97"/>
    </row>
    <row r="400" spans="1:64" outlineLevel="5" x14ac:dyDescent="0.3">
      <c r="A400" s="152">
        <f t="shared" si="167"/>
        <v>12</v>
      </c>
      <c r="B400" s="153">
        <f t="shared" si="152"/>
        <v>44900</v>
      </c>
      <c r="C400" s="138">
        <f t="shared" si="172"/>
        <v>37</v>
      </c>
      <c r="D400" s="84">
        <v>37</v>
      </c>
      <c r="E400" s="84">
        <v>37</v>
      </c>
      <c r="F400" s="84"/>
      <c r="G400" s="84"/>
      <c r="H400" s="84"/>
      <c r="I400" s="84"/>
      <c r="J400" s="84"/>
      <c r="K400" s="84"/>
      <c r="L400" s="140">
        <f t="shared" si="173"/>
        <v>8.5</v>
      </c>
      <c r="M400" s="86">
        <v>8.58</v>
      </c>
      <c r="N400" s="86">
        <v>8.48</v>
      </c>
      <c r="O400" s="86"/>
      <c r="P400" s="86"/>
      <c r="Q400" s="86"/>
      <c r="R400" s="86"/>
      <c r="S400" s="86"/>
      <c r="T400" s="86"/>
      <c r="U400" s="142">
        <f t="shared" si="174"/>
        <v>1074.5</v>
      </c>
      <c r="V400" s="88">
        <v>1167</v>
      </c>
      <c r="W400" s="88">
        <v>982</v>
      </c>
      <c r="X400" s="88"/>
      <c r="Y400" s="88"/>
      <c r="Z400" s="88"/>
      <c r="AA400" s="88"/>
      <c r="AB400" s="88"/>
      <c r="AC400" s="88"/>
      <c r="AD400" s="142" t="str">
        <f t="shared" si="175"/>
        <v/>
      </c>
      <c r="AE400" s="88"/>
      <c r="AF400" s="88"/>
      <c r="AG400" s="88"/>
      <c r="AH400" s="88"/>
      <c r="AI400" s="88"/>
      <c r="AJ400" s="88"/>
      <c r="AK400" s="88"/>
      <c r="AL400" s="88"/>
      <c r="AM400" s="88">
        <v>37.987927565392354</v>
      </c>
      <c r="AN400" s="88">
        <v>124.25</v>
      </c>
      <c r="AO400" s="89">
        <v>20.8</v>
      </c>
      <c r="AP400" s="90">
        <v>16.515200000000004</v>
      </c>
      <c r="AQ400" s="146">
        <f t="shared" si="176"/>
        <v>79.40000000000002</v>
      </c>
      <c r="AR400" s="146">
        <f t="shared" si="177"/>
        <v>20.59999999999998</v>
      </c>
      <c r="AS400" s="147">
        <v>10</v>
      </c>
      <c r="AT400" s="148">
        <v>15</v>
      </c>
      <c r="AU400" s="149">
        <v>8.3511000000000006</v>
      </c>
      <c r="AV400" s="146">
        <f t="shared" si="178"/>
        <v>55.673999999999999</v>
      </c>
      <c r="AW400" s="146">
        <f t="shared" si="179"/>
        <v>44.326000000000001</v>
      </c>
      <c r="AX400" s="138">
        <f t="shared" si="180"/>
        <v>67.413283604837162</v>
      </c>
      <c r="AY400" s="95">
        <v>75.150000000000006</v>
      </c>
      <c r="AZ400" s="96">
        <v>57.614999999999995</v>
      </c>
      <c r="BA400" s="96"/>
      <c r="BB400" s="96">
        <v>125</v>
      </c>
      <c r="BC400" s="96"/>
      <c r="BD400" s="97">
        <v>124.25</v>
      </c>
      <c r="BE400" s="142">
        <f t="shared" si="181"/>
        <v>6301</v>
      </c>
      <c r="BF400" s="88">
        <v>360</v>
      </c>
      <c r="BG400" s="98">
        <v>0</v>
      </c>
      <c r="BH400" s="98">
        <v>0</v>
      </c>
      <c r="BI400" s="98">
        <v>5941</v>
      </c>
      <c r="BJ400" s="98"/>
      <c r="BK400" s="98"/>
      <c r="BL400" s="97"/>
    </row>
    <row r="401" spans="1:64" outlineLevel="5" x14ac:dyDescent="0.3">
      <c r="A401" s="152">
        <f t="shared" si="167"/>
        <v>12</v>
      </c>
      <c r="B401" s="153">
        <f t="shared" si="152"/>
        <v>44901</v>
      </c>
      <c r="C401" s="138">
        <f t="shared" si="172"/>
        <v>37</v>
      </c>
      <c r="D401" s="84">
        <v>37</v>
      </c>
      <c r="E401" s="84">
        <v>37</v>
      </c>
      <c r="F401" s="84"/>
      <c r="G401" s="84"/>
      <c r="H401" s="84"/>
      <c r="I401" s="84"/>
      <c r="J401" s="84"/>
      <c r="K401" s="84"/>
      <c r="L401" s="140">
        <f t="shared" si="173"/>
        <v>8.4</v>
      </c>
      <c r="M401" s="86">
        <v>8.4600000000000009</v>
      </c>
      <c r="N401" s="86">
        <v>8.41</v>
      </c>
      <c r="O401" s="86"/>
      <c r="P401" s="86"/>
      <c r="Q401" s="86"/>
      <c r="R401" s="86"/>
      <c r="S401" s="86"/>
      <c r="T401" s="86"/>
      <c r="U401" s="142">
        <f t="shared" si="174"/>
        <v>1065.5</v>
      </c>
      <c r="V401" s="88">
        <v>1121</v>
      </c>
      <c r="W401" s="88">
        <v>1010</v>
      </c>
      <c r="X401" s="88"/>
      <c r="Y401" s="88"/>
      <c r="Z401" s="88"/>
      <c r="AA401" s="88"/>
      <c r="AB401" s="88"/>
      <c r="AC401" s="88"/>
      <c r="AD401" s="142" t="str">
        <f t="shared" si="175"/>
        <v/>
      </c>
      <c r="AE401" s="88"/>
      <c r="AF401" s="88"/>
      <c r="AG401" s="88"/>
      <c r="AH401" s="88"/>
      <c r="AI401" s="88"/>
      <c r="AJ401" s="88"/>
      <c r="AK401" s="88"/>
      <c r="AL401" s="88"/>
      <c r="AM401" s="88">
        <v>31.637509216435419</v>
      </c>
      <c r="AN401" s="88">
        <v>149.19</v>
      </c>
      <c r="AO401" s="89"/>
      <c r="AP401" s="90"/>
      <c r="AQ401" s="146" t="str">
        <f t="shared" si="176"/>
        <v/>
      </c>
      <c r="AR401" s="146" t="str">
        <f t="shared" si="177"/>
        <v/>
      </c>
      <c r="AS401" s="147">
        <v>20</v>
      </c>
      <c r="AT401" s="148" t="s">
        <v>106</v>
      </c>
      <c r="AU401" s="149" t="s">
        <v>56</v>
      </c>
      <c r="AV401" s="146" t="str">
        <f t="shared" si="178"/>
        <v/>
      </c>
      <c r="AW401" s="146" t="str">
        <f t="shared" si="179"/>
        <v/>
      </c>
      <c r="AX401" s="138" t="str">
        <f t="shared" si="180"/>
        <v/>
      </c>
      <c r="AY401" s="95" t="s">
        <v>56</v>
      </c>
      <c r="AZ401" s="96">
        <v>57.174999999999997</v>
      </c>
      <c r="BA401" s="96"/>
      <c r="BB401" s="96">
        <v>109</v>
      </c>
      <c r="BC401" s="96"/>
      <c r="BD401" s="97">
        <v>149.19</v>
      </c>
      <c r="BE401" s="142">
        <f t="shared" si="181"/>
        <v>6556</v>
      </c>
      <c r="BF401" s="88">
        <v>349</v>
      </c>
      <c r="BG401" s="98">
        <v>0</v>
      </c>
      <c r="BH401" s="98">
        <v>0</v>
      </c>
      <c r="BI401" s="98">
        <v>6207</v>
      </c>
      <c r="BJ401" s="98"/>
      <c r="BK401" s="98"/>
      <c r="BL401" s="97"/>
    </row>
    <row r="402" spans="1:64" outlineLevel="5" x14ac:dyDescent="0.3">
      <c r="A402" s="152">
        <f t="shared" si="167"/>
        <v>12</v>
      </c>
      <c r="B402" s="153">
        <f t="shared" si="152"/>
        <v>44902</v>
      </c>
      <c r="C402" s="138">
        <f t="shared" si="172"/>
        <v>36.5</v>
      </c>
      <c r="D402" s="84">
        <v>37</v>
      </c>
      <c r="E402" s="84">
        <v>36</v>
      </c>
      <c r="F402" s="84"/>
      <c r="G402" s="84"/>
      <c r="H402" s="84"/>
      <c r="I402" s="84"/>
      <c r="J402" s="84"/>
      <c r="K402" s="84"/>
      <c r="L402" s="140">
        <f t="shared" si="173"/>
        <v>8.4</v>
      </c>
      <c r="M402" s="86">
        <v>8.48</v>
      </c>
      <c r="N402" s="86">
        <v>8.3800000000000008</v>
      </c>
      <c r="O402" s="86"/>
      <c r="P402" s="86"/>
      <c r="Q402" s="86"/>
      <c r="R402" s="86"/>
      <c r="S402" s="86"/>
      <c r="T402" s="86"/>
      <c r="U402" s="142">
        <f t="shared" si="174"/>
        <v>1093</v>
      </c>
      <c r="V402" s="88">
        <v>1166</v>
      </c>
      <c r="W402" s="88">
        <v>1020</v>
      </c>
      <c r="X402" s="88"/>
      <c r="Y402" s="88"/>
      <c r="Z402" s="88"/>
      <c r="AA402" s="88"/>
      <c r="AB402" s="88"/>
      <c r="AC402" s="88"/>
      <c r="AD402" s="142">
        <f t="shared" si="175"/>
        <v>7310</v>
      </c>
      <c r="AE402" s="88">
        <v>7450</v>
      </c>
      <c r="AF402" s="88">
        <v>7170</v>
      </c>
      <c r="AG402" s="88"/>
      <c r="AH402" s="88"/>
      <c r="AI402" s="88"/>
      <c r="AJ402" s="88"/>
      <c r="AK402" s="88"/>
      <c r="AL402" s="88"/>
      <c r="AM402" s="88">
        <v>32.698302736404564</v>
      </c>
      <c r="AN402" s="88">
        <v>144.35000000000002</v>
      </c>
      <c r="AO402" s="89"/>
      <c r="AP402" s="90"/>
      <c r="AQ402" s="146" t="str">
        <f t="shared" si="176"/>
        <v/>
      </c>
      <c r="AR402" s="146" t="str">
        <f t="shared" si="177"/>
        <v/>
      </c>
      <c r="AS402" s="147">
        <v>7</v>
      </c>
      <c r="AT402" s="148">
        <v>14.850000000000001</v>
      </c>
      <c r="AU402" s="149">
        <v>8.1247500000000006</v>
      </c>
      <c r="AV402" s="146">
        <f t="shared" si="178"/>
        <v>54.712121212121211</v>
      </c>
      <c r="AW402" s="146">
        <f t="shared" si="179"/>
        <v>45.287878787878789</v>
      </c>
      <c r="AX402" s="138" t="str">
        <f t="shared" si="180"/>
        <v/>
      </c>
      <c r="AY402" s="95">
        <v>75.05</v>
      </c>
      <c r="AZ402" s="96">
        <v>56.484999999999999</v>
      </c>
      <c r="BA402" s="96"/>
      <c r="BB402" s="96">
        <v>108.5</v>
      </c>
      <c r="BC402" s="96"/>
      <c r="BD402" s="97">
        <v>144.35000000000002</v>
      </c>
      <c r="BE402" s="142">
        <f t="shared" si="181"/>
        <v>6753</v>
      </c>
      <c r="BF402" s="88">
        <v>350</v>
      </c>
      <c r="BG402" s="98">
        <v>0</v>
      </c>
      <c r="BH402" s="98">
        <v>0</v>
      </c>
      <c r="BI402" s="98">
        <v>6403</v>
      </c>
      <c r="BJ402" s="98"/>
      <c r="BK402" s="98"/>
      <c r="BL402" s="97"/>
    </row>
    <row r="403" spans="1:64" outlineLevel="5" x14ac:dyDescent="0.3">
      <c r="A403" s="152">
        <f t="shared" si="167"/>
        <v>12</v>
      </c>
      <c r="B403" s="153">
        <f t="shared" si="152"/>
        <v>44903</v>
      </c>
      <c r="C403" s="138">
        <f t="shared" si="172"/>
        <v>35.5</v>
      </c>
      <c r="D403" s="84">
        <v>36</v>
      </c>
      <c r="E403" s="84">
        <v>35</v>
      </c>
      <c r="F403" s="84"/>
      <c r="G403" s="84"/>
      <c r="H403" s="84"/>
      <c r="I403" s="84"/>
      <c r="J403" s="84"/>
      <c r="K403" s="84"/>
      <c r="L403" s="140">
        <f t="shared" si="173"/>
        <v>8.5</v>
      </c>
      <c r="M403" s="86">
        <v>8.5299999999999994</v>
      </c>
      <c r="N403" s="86">
        <v>8.49</v>
      </c>
      <c r="O403" s="86"/>
      <c r="P403" s="86"/>
      <c r="Q403" s="86"/>
      <c r="R403" s="86"/>
      <c r="S403" s="86"/>
      <c r="T403" s="86"/>
      <c r="U403" s="142">
        <f t="shared" si="174"/>
        <v>1132.5</v>
      </c>
      <c r="V403" s="88">
        <v>1198</v>
      </c>
      <c r="W403" s="88">
        <v>1067</v>
      </c>
      <c r="X403" s="88"/>
      <c r="Y403" s="88"/>
      <c r="Z403" s="88"/>
      <c r="AA403" s="88"/>
      <c r="AB403" s="88"/>
      <c r="AC403" s="88"/>
      <c r="AD403" s="142" t="str">
        <f t="shared" si="175"/>
        <v/>
      </c>
      <c r="AE403" s="88"/>
      <c r="AF403" s="88"/>
      <c r="AG403" s="88"/>
      <c r="AH403" s="88"/>
      <c r="AI403" s="88"/>
      <c r="AJ403" s="88"/>
      <c r="AK403" s="88"/>
      <c r="AL403" s="88"/>
      <c r="AM403" s="88">
        <v>34.027827842260827</v>
      </c>
      <c r="AN403" s="88">
        <v>138.71</v>
      </c>
      <c r="AO403" s="89"/>
      <c r="AP403" s="90"/>
      <c r="AQ403" s="146" t="str">
        <f t="shared" si="176"/>
        <v/>
      </c>
      <c r="AR403" s="146" t="str">
        <f t="shared" si="177"/>
        <v/>
      </c>
      <c r="AS403" s="147">
        <v>0</v>
      </c>
      <c r="AT403" s="148">
        <v>14.45</v>
      </c>
      <c r="AU403" s="149">
        <v>8.100200000000001</v>
      </c>
      <c r="AV403" s="146">
        <f t="shared" si="178"/>
        <v>56.056747404844302</v>
      </c>
      <c r="AW403" s="146">
        <f t="shared" si="179"/>
        <v>43.943252595155698</v>
      </c>
      <c r="AX403" s="138" t="str">
        <f t="shared" si="180"/>
        <v/>
      </c>
      <c r="AY403" s="95">
        <v>74.900000000000006</v>
      </c>
      <c r="AZ403" s="96">
        <v>56.56</v>
      </c>
      <c r="BA403" s="96"/>
      <c r="BB403" s="96">
        <v>125.5</v>
      </c>
      <c r="BC403" s="96"/>
      <c r="BD403" s="97">
        <v>138.71</v>
      </c>
      <c r="BE403" s="142">
        <f t="shared" si="181"/>
        <v>6537</v>
      </c>
      <c r="BF403" s="88">
        <v>326</v>
      </c>
      <c r="BG403" s="98">
        <v>0</v>
      </c>
      <c r="BH403" s="98">
        <v>0</v>
      </c>
      <c r="BI403" s="98">
        <v>6211</v>
      </c>
      <c r="BJ403" s="98"/>
      <c r="BK403" s="98"/>
      <c r="BL403" s="97"/>
    </row>
    <row r="404" spans="1:64" outlineLevel="5" x14ac:dyDescent="0.3">
      <c r="A404" s="152">
        <f t="shared" si="167"/>
        <v>12</v>
      </c>
      <c r="B404" s="153">
        <f t="shared" si="152"/>
        <v>44904</v>
      </c>
      <c r="C404" s="138">
        <f t="shared" si="172"/>
        <v>36</v>
      </c>
      <c r="D404" s="84">
        <v>36</v>
      </c>
      <c r="E404" s="84">
        <v>36</v>
      </c>
      <c r="F404" s="84"/>
      <c r="G404" s="84"/>
      <c r="H404" s="84"/>
      <c r="I404" s="84"/>
      <c r="J404" s="84"/>
      <c r="K404" s="84"/>
      <c r="L404" s="140">
        <f t="shared" si="173"/>
        <v>8.4</v>
      </c>
      <c r="M404" s="86">
        <v>8.44</v>
      </c>
      <c r="N404" s="86">
        <v>8.4</v>
      </c>
      <c r="O404" s="86"/>
      <c r="P404" s="86"/>
      <c r="Q404" s="86"/>
      <c r="R404" s="86"/>
      <c r="S404" s="86"/>
      <c r="T404" s="86"/>
      <c r="U404" s="142">
        <f t="shared" si="174"/>
        <v>1151</v>
      </c>
      <c r="V404" s="88">
        <v>1207</v>
      </c>
      <c r="W404" s="88">
        <v>1095</v>
      </c>
      <c r="X404" s="88"/>
      <c r="Y404" s="88"/>
      <c r="Z404" s="88"/>
      <c r="AA404" s="88"/>
      <c r="AB404" s="88"/>
      <c r="AC404" s="88"/>
      <c r="AD404" s="142" t="str">
        <f t="shared" si="175"/>
        <v/>
      </c>
      <c r="AE404" s="88"/>
      <c r="AF404" s="88"/>
      <c r="AG404" s="88"/>
      <c r="AH404" s="88"/>
      <c r="AI404" s="88"/>
      <c r="AJ404" s="88"/>
      <c r="AK404" s="88"/>
      <c r="AL404" s="88"/>
      <c r="AM404" s="88">
        <v>36.005797543672287</v>
      </c>
      <c r="AN404" s="88">
        <v>131.09</v>
      </c>
      <c r="AO404" s="89"/>
      <c r="AP404" s="90"/>
      <c r="AQ404" s="146" t="str">
        <f t="shared" si="176"/>
        <v/>
      </c>
      <c r="AR404" s="146" t="str">
        <f t="shared" si="177"/>
        <v/>
      </c>
      <c r="AS404" s="147">
        <v>10</v>
      </c>
      <c r="AT404" s="148" t="s">
        <v>106</v>
      </c>
      <c r="AU404" s="149" t="s">
        <v>56</v>
      </c>
      <c r="AV404" s="146" t="str">
        <f t="shared" si="178"/>
        <v/>
      </c>
      <c r="AW404" s="146" t="str">
        <f t="shared" si="179"/>
        <v/>
      </c>
      <c r="AX404" s="138" t="str">
        <f t="shared" si="180"/>
        <v/>
      </c>
      <c r="AY404" s="95" t="s">
        <v>56</v>
      </c>
      <c r="AZ404" s="96">
        <v>56.155000000000001</v>
      </c>
      <c r="BA404" s="96"/>
      <c r="BB404" s="96">
        <v>111</v>
      </c>
      <c r="BC404" s="96"/>
      <c r="BD404" s="97">
        <v>131.09</v>
      </c>
      <c r="BE404" s="142">
        <f t="shared" si="181"/>
        <v>6529</v>
      </c>
      <c r="BF404" s="88">
        <v>478</v>
      </c>
      <c r="BG404" s="98">
        <v>0</v>
      </c>
      <c r="BH404" s="98">
        <v>0</v>
      </c>
      <c r="BI404" s="98">
        <v>6051</v>
      </c>
      <c r="BJ404" s="98"/>
      <c r="BK404" s="98"/>
      <c r="BL404" s="97"/>
    </row>
    <row r="405" spans="1:64" outlineLevel="5" x14ac:dyDescent="0.3">
      <c r="A405" s="152">
        <f t="shared" si="167"/>
        <v>12</v>
      </c>
      <c r="B405" s="153">
        <f t="shared" si="152"/>
        <v>44905</v>
      </c>
      <c r="C405" s="138">
        <f t="shared" si="172"/>
        <v>36</v>
      </c>
      <c r="D405" s="84">
        <v>36</v>
      </c>
      <c r="E405" s="84">
        <v>36</v>
      </c>
      <c r="F405" s="84"/>
      <c r="G405" s="84"/>
      <c r="H405" s="84"/>
      <c r="I405" s="84"/>
      <c r="J405" s="84"/>
      <c r="K405" s="84"/>
      <c r="L405" s="140" t="str">
        <f t="shared" si="173"/>
        <v/>
      </c>
      <c r="M405" s="86"/>
      <c r="N405" s="86"/>
      <c r="O405" s="86"/>
      <c r="P405" s="86"/>
      <c r="Q405" s="86"/>
      <c r="R405" s="86"/>
      <c r="S405" s="86"/>
      <c r="T405" s="86"/>
      <c r="U405" s="142" t="str">
        <f t="shared" si="174"/>
        <v/>
      </c>
      <c r="V405" s="88"/>
      <c r="W405" s="88"/>
      <c r="X405" s="88"/>
      <c r="Y405" s="88"/>
      <c r="Z405" s="88"/>
      <c r="AA405" s="88"/>
      <c r="AB405" s="88"/>
      <c r="AC405" s="88"/>
      <c r="AD405" s="142" t="str">
        <f t="shared" si="175"/>
        <v/>
      </c>
      <c r="AE405" s="88"/>
      <c r="AF405" s="88"/>
      <c r="AG405" s="88"/>
      <c r="AH405" s="88"/>
      <c r="AI405" s="88"/>
      <c r="AJ405" s="88"/>
      <c r="AK405" s="88"/>
      <c r="AL405" s="88"/>
      <c r="AM405" s="88">
        <v>39.134400132658982</v>
      </c>
      <c r="AN405" s="88">
        <v>120.61</v>
      </c>
      <c r="AO405" s="89"/>
      <c r="AP405" s="90"/>
      <c r="AQ405" s="146" t="str">
        <f t="shared" si="176"/>
        <v/>
      </c>
      <c r="AR405" s="146" t="str">
        <f t="shared" si="177"/>
        <v/>
      </c>
      <c r="AS405" s="147">
        <v>21</v>
      </c>
      <c r="AT405" s="148" t="s">
        <v>106</v>
      </c>
      <c r="AU405" s="149" t="s">
        <v>56</v>
      </c>
      <c r="AV405" s="146" t="str">
        <f t="shared" si="178"/>
        <v/>
      </c>
      <c r="AW405" s="146" t="str">
        <f t="shared" si="179"/>
        <v/>
      </c>
      <c r="AX405" s="138" t="str">
        <f t="shared" si="180"/>
        <v/>
      </c>
      <c r="AY405" s="95" t="s">
        <v>56</v>
      </c>
      <c r="AZ405" s="96" t="s">
        <v>56</v>
      </c>
      <c r="BA405" s="96"/>
      <c r="BB405" s="96" t="s">
        <v>56</v>
      </c>
      <c r="BC405" s="96"/>
      <c r="BD405" s="97">
        <v>120.61</v>
      </c>
      <c r="BE405" s="142">
        <f t="shared" si="181"/>
        <v>6244</v>
      </c>
      <c r="BF405" s="88">
        <v>465</v>
      </c>
      <c r="BG405" s="98">
        <v>0</v>
      </c>
      <c r="BH405" s="98">
        <v>0</v>
      </c>
      <c r="BI405" s="98">
        <v>5779</v>
      </c>
      <c r="BJ405" s="98"/>
      <c r="BK405" s="98"/>
      <c r="BL405" s="97"/>
    </row>
    <row r="406" spans="1:64" outlineLevel="5" x14ac:dyDescent="0.3">
      <c r="A406" s="152">
        <f t="shared" si="167"/>
        <v>12</v>
      </c>
      <c r="B406" s="153">
        <f t="shared" si="152"/>
        <v>44906</v>
      </c>
      <c r="C406" s="138">
        <f t="shared" si="172"/>
        <v>36</v>
      </c>
      <c r="D406" s="84">
        <v>36</v>
      </c>
      <c r="E406" s="84">
        <v>36</v>
      </c>
      <c r="F406" s="84"/>
      <c r="G406" s="84"/>
      <c r="H406" s="84"/>
      <c r="I406" s="84"/>
      <c r="J406" s="84"/>
      <c r="K406" s="84"/>
      <c r="L406" s="140" t="str">
        <f t="shared" si="173"/>
        <v/>
      </c>
      <c r="M406" s="86"/>
      <c r="N406" s="86"/>
      <c r="O406" s="86"/>
      <c r="P406" s="86"/>
      <c r="Q406" s="86"/>
      <c r="R406" s="86"/>
      <c r="S406" s="86"/>
      <c r="T406" s="86"/>
      <c r="U406" s="142" t="str">
        <f t="shared" si="174"/>
        <v/>
      </c>
      <c r="V406" s="88"/>
      <c r="W406" s="88"/>
      <c r="X406" s="88"/>
      <c r="Y406" s="88"/>
      <c r="Z406" s="88"/>
      <c r="AA406" s="88"/>
      <c r="AB406" s="88"/>
      <c r="AC406" s="88"/>
      <c r="AD406" s="142" t="str">
        <f t="shared" si="175"/>
        <v/>
      </c>
      <c r="AE406" s="88"/>
      <c r="AF406" s="88"/>
      <c r="AG406" s="88"/>
      <c r="AH406" s="88"/>
      <c r="AI406" s="88"/>
      <c r="AJ406" s="88"/>
      <c r="AK406" s="88"/>
      <c r="AL406" s="88"/>
      <c r="AM406" s="88">
        <v>39.333333333333336</v>
      </c>
      <c r="AN406" s="88">
        <v>120</v>
      </c>
      <c r="AO406" s="89"/>
      <c r="AP406" s="90"/>
      <c r="AQ406" s="146" t="str">
        <f t="shared" si="176"/>
        <v/>
      </c>
      <c r="AR406" s="146" t="str">
        <f t="shared" si="177"/>
        <v/>
      </c>
      <c r="AS406" s="147">
        <v>0</v>
      </c>
      <c r="AT406" s="148" t="s">
        <v>106</v>
      </c>
      <c r="AU406" s="149" t="s">
        <v>56</v>
      </c>
      <c r="AV406" s="146" t="str">
        <f t="shared" si="178"/>
        <v/>
      </c>
      <c r="AW406" s="146" t="str">
        <f t="shared" si="179"/>
        <v/>
      </c>
      <c r="AX406" s="138" t="str">
        <f t="shared" si="180"/>
        <v/>
      </c>
      <c r="AY406" s="95" t="s">
        <v>56</v>
      </c>
      <c r="AZ406" s="96" t="s">
        <v>56</v>
      </c>
      <c r="BA406" s="96"/>
      <c r="BB406" s="96" t="s">
        <v>56</v>
      </c>
      <c r="BC406" s="96"/>
      <c r="BD406" s="97">
        <v>120</v>
      </c>
      <c r="BE406" s="142">
        <f t="shared" si="181"/>
        <v>5928</v>
      </c>
      <c r="BF406" s="88">
        <v>458</v>
      </c>
      <c r="BG406" s="98">
        <v>0</v>
      </c>
      <c r="BH406" s="98">
        <v>0</v>
      </c>
      <c r="BI406" s="98">
        <v>5470</v>
      </c>
      <c r="BJ406" s="98"/>
      <c r="BK406" s="98"/>
      <c r="BL406" s="97"/>
    </row>
    <row r="407" spans="1:64" outlineLevel="5" x14ac:dyDescent="0.3">
      <c r="A407" s="152">
        <f t="shared" si="167"/>
        <v>12</v>
      </c>
      <c r="B407" s="153">
        <f t="shared" si="152"/>
        <v>44907</v>
      </c>
      <c r="C407" s="138">
        <f t="shared" si="172"/>
        <v>36</v>
      </c>
      <c r="D407" s="84">
        <v>36</v>
      </c>
      <c r="E407" s="84">
        <v>36</v>
      </c>
      <c r="F407" s="84"/>
      <c r="G407" s="84"/>
      <c r="H407" s="84"/>
      <c r="I407" s="84"/>
      <c r="J407" s="84"/>
      <c r="K407" s="84"/>
      <c r="L407" s="140">
        <f t="shared" si="173"/>
        <v>8.5</v>
      </c>
      <c r="M407" s="86">
        <v>8.5299999999999994</v>
      </c>
      <c r="N407" s="86">
        <v>8.49</v>
      </c>
      <c r="O407" s="86"/>
      <c r="P407" s="86"/>
      <c r="Q407" s="86"/>
      <c r="R407" s="86"/>
      <c r="S407" s="86"/>
      <c r="T407" s="86"/>
      <c r="U407" s="142">
        <f t="shared" si="174"/>
        <v>1162.5</v>
      </c>
      <c r="V407" s="88">
        <v>1230</v>
      </c>
      <c r="W407" s="88">
        <v>1095</v>
      </c>
      <c r="X407" s="88"/>
      <c r="Y407" s="88"/>
      <c r="Z407" s="88"/>
      <c r="AA407" s="88"/>
      <c r="AB407" s="88"/>
      <c r="AC407" s="88"/>
      <c r="AD407" s="142" t="str">
        <f t="shared" si="175"/>
        <v/>
      </c>
      <c r="AE407" s="88"/>
      <c r="AF407" s="88"/>
      <c r="AG407" s="88"/>
      <c r="AH407" s="88"/>
      <c r="AI407" s="88"/>
      <c r="AJ407" s="88"/>
      <c r="AK407" s="88"/>
      <c r="AL407" s="88"/>
      <c r="AM407" s="88">
        <v>41.86252771618625</v>
      </c>
      <c r="AN407" s="88">
        <v>112.75</v>
      </c>
      <c r="AO407" s="89">
        <v>20.9</v>
      </c>
      <c r="AP407" s="90">
        <v>16.657299999999999</v>
      </c>
      <c r="AQ407" s="146">
        <f t="shared" si="176"/>
        <v>79.7</v>
      </c>
      <c r="AR407" s="146">
        <f t="shared" si="177"/>
        <v>20.299999999999997</v>
      </c>
      <c r="AS407" s="147">
        <v>20</v>
      </c>
      <c r="AT407" s="148">
        <v>14.95</v>
      </c>
      <c r="AU407" s="149">
        <v>8.3215499999999984</v>
      </c>
      <c r="AV407" s="146">
        <f t="shared" si="178"/>
        <v>55.662541806020059</v>
      </c>
      <c r="AW407" s="146">
        <f t="shared" si="179"/>
        <v>44.337458193979941</v>
      </c>
      <c r="AX407" s="138">
        <f t="shared" si="180"/>
        <v>68.023571219885</v>
      </c>
      <c r="AY407" s="95">
        <v>75</v>
      </c>
      <c r="AZ407" s="96">
        <v>60.754999999999995</v>
      </c>
      <c r="BA407" s="96"/>
      <c r="BB407" s="96">
        <v>70</v>
      </c>
      <c r="BC407" s="96"/>
      <c r="BD407" s="97">
        <v>112.75</v>
      </c>
      <c r="BE407" s="142">
        <f t="shared" si="181"/>
        <v>2623</v>
      </c>
      <c r="BF407" s="88">
        <v>538</v>
      </c>
      <c r="BG407" s="98">
        <v>0</v>
      </c>
      <c r="BH407" s="98">
        <v>0</v>
      </c>
      <c r="BI407" s="98">
        <v>2085</v>
      </c>
      <c r="BJ407" s="98"/>
      <c r="BK407" s="98"/>
      <c r="BL407" s="97"/>
    </row>
    <row r="408" spans="1:64" outlineLevel="5" x14ac:dyDescent="0.3">
      <c r="A408" s="152">
        <f t="shared" si="167"/>
        <v>12</v>
      </c>
      <c r="B408" s="153">
        <f t="shared" si="152"/>
        <v>44908</v>
      </c>
      <c r="C408" s="138">
        <f t="shared" si="172"/>
        <v>36</v>
      </c>
      <c r="D408" s="84">
        <v>36</v>
      </c>
      <c r="E408" s="84">
        <v>36</v>
      </c>
      <c r="F408" s="84"/>
      <c r="G408" s="84"/>
      <c r="H408" s="84"/>
      <c r="I408" s="84"/>
      <c r="J408" s="84"/>
      <c r="K408" s="84"/>
      <c r="L408" s="140">
        <f t="shared" si="173"/>
        <v>8.5</v>
      </c>
      <c r="M408" s="86">
        <v>8.5500000000000007</v>
      </c>
      <c r="N408" s="86">
        <v>8.44</v>
      </c>
      <c r="O408" s="86"/>
      <c r="P408" s="86"/>
      <c r="Q408" s="86"/>
      <c r="R408" s="86"/>
      <c r="S408" s="86"/>
      <c r="T408" s="86"/>
      <c r="U408" s="142">
        <f t="shared" si="174"/>
        <v>1186</v>
      </c>
      <c r="V408" s="88">
        <v>1260</v>
      </c>
      <c r="W408" s="88">
        <v>1112</v>
      </c>
      <c r="X408" s="88"/>
      <c r="Y408" s="88"/>
      <c r="Z408" s="88"/>
      <c r="AA408" s="88"/>
      <c r="AB408" s="88"/>
      <c r="AC408" s="88"/>
      <c r="AD408" s="142" t="str">
        <f t="shared" si="175"/>
        <v/>
      </c>
      <c r="AE408" s="88"/>
      <c r="AF408" s="88"/>
      <c r="AG408" s="88"/>
      <c r="AH408" s="88"/>
      <c r="AI408" s="88"/>
      <c r="AJ408" s="88"/>
      <c r="AK408" s="88"/>
      <c r="AL408" s="88"/>
      <c r="AM408" s="88">
        <v>39.723952196599903</v>
      </c>
      <c r="AN408" s="88">
        <v>118.82</v>
      </c>
      <c r="AO408" s="89"/>
      <c r="AP408" s="90"/>
      <c r="AQ408" s="146" t="str">
        <f t="shared" si="176"/>
        <v/>
      </c>
      <c r="AR408" s="146" t="str">
        <f t="shared" si="177"/>
        <v/>
      </c>
      <c r="AS408" s="147">
        <v>20</v>
      </c>
      <c r="AT408" s="148" t="s">
        <v>106</v>
      </c>
      <c r="AU408" s="149" t="s">
        <v>56</v>
      </c>
      <c r="AV408" s="146" t="str">
        <f t="shared" si="178"/>
        <v/>
      </c>
      <c r="AW408" s="146" t="str">
        <f t="shared" si="179"/>
        <v/>
      </c>
      <c r="AX408" s="138" t="str">
        <f t="shared" si="180"/>
        <v/>
      </c>
      <c r="AY408" s="95" t="s">
        <v>56</v>
      </c>
      <c r="AZ408" s="96">
        <v>60.784999999999997</v>
      </c>
      <c r="BA408" s="96"/>
      <c r="BB408" s="96">
        <v>39</v>
      </c>
      <c r="BC408" s="96"/>
      <c r="BD408" s="97">
        <v>118.82</v>
      </c>
      <c r="BE408" s="142">
        <f t="shared" si="181"/>
        <v>3051</v>
      </c>
      <c r="BF408" s="88">
        <v>628</v>
      </c>
      <c r="BG408" s="98">
        <v>0</v>
      </c>
      <c r="BH408" s="98">
        <v>441</v>
      </c>
      <c r="BI408" s="98">
        <v>1982</v>
      </c>
      <c r="BJ408" s="98"/>
      <c r="BK408" s="98"/>
      <c r="BL408" s="97"/>
    </row>
    <row r="409" spans="1:64" outlineLevel="5" x14ac:dyDescent="0.3">
      <c r="A409" s="152">
        <f t="shared" si="167"/>
        <v>12</v>
      </c>
      <c r="B409" s="153">
        <f t="shared" si="152"/>
        <v>44909</v>
      </c>
      <c r="C409" s="138">
        <f t="shared" si="172"/>
        <v>36.5</v>
      </c>
      <c r="D409" s="84">
        <v>37</v>
      </c>
      <c r="E409" s="84">
        <v>36</v>
      </c>
      <c r="F409" s="84"/>
      <c r="G409" s="84"/>
      <c r="H409" s="84"/>
      <c r="I409" s="84"/>
      <c r="J409" s="84"/>
      <c r="K409" s="84"/>
      <c r="L409" s="140">
        <f t="shared" si="173"/>
        <v>8.5</v>
      </c>
      <c r="M409" s="86">
        <v>8.5500000000000007</v>
      </c>
      <c r="N409" s="86">
        <v>8.44</v>
      </c>
      <c r="O409" s="86"/>
      <c r="P409" s="86"/>
      <c r="Q409" s="86"/>
      <c r="R409" s="86"/>
      <c r="S409" s="86"/>
      <c r="T409" s="86"/>
      <c r="U409" s="142">
        <f t="shared" si="174"/>
        <v>1221</v>
      </c>
      <c r="V409" s="88">
        <v>1302</v>
      </c>
      <c r="W409" s="88">
        <v>1140</v>
      </c>
      <c r="X409" s="88"/>
      <c r="Y409" s="88"/>
      <c r="Z409" s="88"/>
      <c r="AA409" s="88"/>
      <c r="AB409" s="88"/>
      <c r="AC409" s="88"/>
      <c r="AD409" s="142">
        <f t="shared" si="175"/>
        <v>7505</v>
      </c>
      <c r="AE409" s="88">
        <v>7720</v>
      </c>
      <c r="AF409" s="88">
        <v>7290</v>
      </c>
      <c r="AG409" s="88"/>
      <c r="AH409" s="88"/>
      <c r="AI409" s="88"/>
      <c r="AJ409" s="88"/>
      <c r="AK409" s="88"/>
      <c r="AL409" s="88"/>
      <c r="AM409" s="88">
        <v>39.48469131671407</v>
      </c>
      <c r="AN409" s="88">
        <v>119.53999999999999</v>
      </c>
      <c r="AO409" s="89"/>
      <c r="AP409" s="90"/>
      <c r="AQ409" s="146" t="str">
        <f t="shared" si="176"/>
        <v/>
      </c>
      <c r="AR409" s="146" t="str">
        <f t="shared" si="177"/>
        <v/>
      </c>
      <c r="AS409" s="147">
        <v>20</v>
      </c>
      <c r="AT409" s="148">
        <v>14.95</v>
      </c>
      <c r="AU409" s="149">
        <v>8.2129999999999992</v>
      </c>
      <c r="AV409" s="146">
        <f t="shared" si="178"/>
        <v>54.936454849498325</v>
      </c>
      <c r="AW409" s="146">
        <f t="shared" si="179"/>
        <v>45.063545150501675</v>
      </c>
      <c r="AX409" s="138" t="str">
        <f t="shared" si="180"/>
        <v/>
      </c>
      <c r="AY409" s="95">
        <v>75.099999999999994</v>
      </c>
      <c r="AZ409" s="96">
        <v>58.14</v>
      </c>
      <c r="BA409" s="96"/>
      <c r="BB409" s="96">
        <v>62</v>
      </c>
      <c r="BC409" s="96"/>
      <c r="BD409" s="97">
        <v>119.53999999999999</v>
      </c>
      <c r="BE409" s="142">
        <f t="shared" si="181"/>
        <v>6265</v>
      </c>
      <c r="BF409" s="88">
        <v>473</v>
      </c>
      <c r="BG409" s="98">
        <v>0</v>
      </c>
      <c r="BH409" s="98">
        <v>0</v>
      </c>
      <c r="BI409" s="98">
        <v>5792</v>
      </c>
      <c r="BJ409" s="98"/>
      <c r="BK409" s="98"/>
      <c r="BL409" s="97"/>
    </row>
    <row r="410" spans="1:64" outlineLevel="5" x14ac:dyDescent="0.3">
      <c r="A410" s="152">
        <f t="shared" si="167"/>
        <v>12</v>
      </c>
      <c r="B410" s="153">
        <f t="shared" si="152"/>
        <v>44910</v>
      </c>
      <c r="C410" s="138">
        <f t="shared" si="172"/>
        <v>35.5</v>
      </c>
      <c r="D410" s="84">
        <v>36</v>
      </c>
      <c r="E410" s="84">
        <v>35</v>
      </c>
      <c r="F410" s="84"/>
      <c r="G410" s="84"/>
      <c r="H410" s="84"/>
      <c r="I410" s="84"/>
      <c r="J410" s="84"/>
      <c r="K410" s="84"/>
      <c r="L410" s="140">
        <f t="shared" si="173"/>
        <v>8.4</v>
      </c>
      <c r="M410" s="86">
        <v>8.4600000000000009</v>
      </c>
      <c r="N410" s="86">
        <v>8.41</v>
      </c>
      <c r="O410" s="86"/>
      <c r="P410" s="86"/>
      <c r="Q410" s="86"/>
      <c r="R410" s="86"/>
      <c r="S410" s="86"/>
      <c r="T410" s="86"/>
      <c r="U410" s="142">
        <f t="shared" si="174"/>
        <v>1110.5</v>
      </c>
      <c r="V410" s="88">
        <v>1140</v>
      </c>
      <c r="W410" s="88">
        <v>1081</v>
      </c>
      <c r="X410" s="88"/>
      <c r="Y410" s="88"/>
      <c r="Z410" s="88"/>
      <c r="AA410" s="88"/>
      <c r="AB410" s="88"/>
      <c r="AC410" s="88"/>
      <c r="AD410" s="142" t="str">
        <f t="shared" si="175"/>
        <v/>
      </c>
      <c r="AE410" s="88"/>
      <c r="AF410" s="88"/>
      <c r="AG410" s="88"/>
      <c r="AH410" s="88"/>
      <c r="AI410" s="88"/>
      <c r="AJ410" s="88"/>
      <c r="AK410" s="88"/>
      <c r="AL410" s="88"/>
      <c r="AM410" s="88">
        <v>50.878516761884221</v>
      </c>
      <c r="AN410" s="88">
        <v>92.77000000000001</v>
      </c>
      <c r="AO410" s="89"/>
      <c r="AP410" s="90"/>
      <c r="AQ410" s="146" t="str">
        <f t="shared" si="176"/>
        <v/>
      </c>
      <c r="AR410" s="146" t="str">
        <f t="shared" si="177"/>
        <v/>
      </c>
      <c r="AS410" s="147">
        <v>30</v>
      </c>
      <c r="AT410" s="148">
        <v>14.4</v>
      </c>
      <c r="AU410" s="149">
        <v>8.0508000000000006</v>
      </c>
      <c r="AV410" s="146">
        <f t="shared" si="178"/>
        <v>55.908333333333339</v>
      </c>
      <c r="AW410" s="146">
        <f t="shared" si="179"/>
        <v>44.091666666666661</v>
      </c>
      <c r="AX410" s="138" t="str">
        <f t="shared" si="180"/>
        <v/>
      </c>
      <c r="AY410" s="95">
        <v>74.900000000000006</v>
      </c>
      <c r="AZ410" s="96">
        <v>59.984999999999999</v>
      </c>
      <c r="BA410" s="96"/>
      <c r="BB410" s="96">
        <v>66</v>
      </c>
      <c r="BC410" s="96"/>
      <c r="BD410" s="97">
        <v>92.77000000000001</v>
      </c>
      <c r="BE410" s="142">
        <f t="shared" si="181"/>
        <v>6412</v>
      </c>
      <c r="BF410" s="88">
        <v>712</v>
      </c>
      <c r="BG410" s="98">
        <v>0</v>
      </c>
      <c r="BH410" s="98">
        <v>0</v>
      </c>
      <c r="BI410" s="98">
        <v>5700</v>
      </c>
      <c r="BJ410" s="98"/>
      <c r="BK410" s="98"/>
      <c r="BL410" s="97"/>
    </row>
    <row r="411" spans="1:64" outlineLevel="5" x14ac:dyDescent="0.3">
      <c r="A411" s="152">
        <f t="shared" si="167"/>
        <v>12</v>
      </c>
      <c r="B411" s="153">
        <f t="shared" si="152"/>
        <v>44911</v>
      </c>
      <c r="C411" s="138">
        <f t="shared" si="172"/>
        <v>38</v>
      </c>
      <c r="D411" s="84">
        <v>38</v>
      </c>
      <c r="E411" s="84">
        <v>38</v>
      </c>
      <c r="F411" s="84"/>
      <c r="G411" s="84"/>
      <c r="H411" s="84"/>
      <c r="I411" s="84"/>
      <c r="J411" s="84"/>
      <c r="K411" s="84"/>
      <c r="L411" s="140">
        <f t="shared" si="173"/>
        <v>8.5</v>
      </c>
      <c r="M411" s="86">
        <v>8.5399999999999991</v>
      </c>
      <c r="N411" s="86">
        <v>8.48</v>
      </c>
      <c r="O411" s="86"/>
      <c r="P411" s="86"/>
      <c r="Q411" s="86"/>
      <c r="R411" s="86"/>
      <c r="S411" s="86"/>
      <c r="T411" s="86"/>
      <c r="U411" s="142">
        <f t="shared" si="174"/>
        <v>1061.5</v>
      </c>
      <c r="V411" s="88">
        <v>1102</v>
      </c>
      <c r="W411" s="88">
        <v>1021</v>
      </c>
      <c r="X411" s="88"/>
      <c r="Y411" s="88"/>
      <c r="Z411" s="88"/>
      <c r="AA411" s="88"/>
      <c r="AB411" s="88"/>
      <c r="AC411" s="88"/>
      <c r="AD411" s="142" t="str">
        <f t="shared" si="175"/>
        <v/>
      </c>
      <c r="AE411" s="88"/>
      <c r="AF411" s="88"/>
      <c r="AG411" s="88"/>
      <c r="AH411" s="88"/>
      <c r="AI411" s="88"/>
      <c r="AJ411" s="88"/>
      <c r="AK411" s="88"/>
      <c r="AL411" s="88"/>
      <c r="AM411" s="88">
        <v>69.626788611889666</v>
      </c>
      <c r="AN411" s="88">
        <v>67.789999999999992</v>
      </c>
      <c r="AO411" s="89"/>
      <c r="AP411" s="90"/>
      <c r="AQ411" s="146" t="str">
        <f t="shared" si="176"/>
        <v/>
      </c>
      <c r="AR411" s="146" t="str">
        <f t="shared" si="177"/>
        <v/>
      </c>
      <c r="AS411" s="147">
        <v>20</v>
      </c>
      <c r="AT411" s="148" t="s">
        <v>106</v>
      </c>
      <c r="AU411" s="149" t="s">
        <v>56</v>
      </c>
      <c r="AV411" s="146" t="str">
        <f t="shared" si="178"/>
        <v/>
      </c>
      <c r="AW411" s="146" t="str">
        <f t="shared" si="179"/>
        <v/>
      </c>
      <c r="AX411" s="138" t="str">
        <f t="shared" si="180"/>
        <v/>
      </c>
      <c r="AY411" s="95" t="s">
        <v>56</v>
      </c>
      <c r="AZ411" s="96">
        <v>59.25</v>
      </c>
      <c r="BA411" s="96"/>
      <c r="BB411" s="96">
        <v>74</v>
      </c>
      <c r="BC411" s="96"/>
      <c r="BD411" s="97">
        <v>67.789999999999992</v>
      </c>
      <c r="BE411" s="142">
        <f t="shared" si="181"/>
        <v>6592</v>
      </c>
      <c r="BF411" s="88">
        <v>834</v>
      </c>
      <c r="BG411" s="98">
        <v>0</v>
      </c>
      <c r="BH411" s="98">
        <v>0</v>
      </c>
      <c r="BI411" s="98">
        <v>5758</v>
      </c>
      <c r="BJ411" s="98"/>
      <c r="BK411" s="98"/>
      <c r="BL411" s="97"/>
    </row>
    <row r="412" spans="1:64" outlineLevel="5" x14ac:dyDescent="0.3">
      <c r="A412" s="152">
        <f t="shared" si="167"/>
        <v>12</v>
      </c>
      <c r="B412" s="153">
        <f t="shared" si="152"/>
        <v>44912</v>
      </c>
      <c r="C412" s="138">
        <f t="shared" si="172"/>
        <v>37</v>
      </c>
      <c r="D412" s="84">
        <v>37</v>
      </c>
      <c r="E412" s="84">
        <v>37</v>
      </c>
      <c r="F412" s="84"/>
      <c r="G412" s="84"/>
      <c r="H412" s="84"/>
      <c r="I412" s="84"/>
      <c r="J412" s="84"/>
      <c r="K412" s="84"/>
      <c r="L412" s="140" t="str">
        <f t="shared" si="173"/>
        <v/>
      </c>
      <c r="M412" s="86"/>
      <c r="N412" s="86"/>
      <c r="O412" s="86"/>
      <c r="P412" s="86"/>
      <c r="Q412" s="86"/>
      <c r="R412" s="86"/>
      <c r="S412" s="86"/>
      <c r="T412" s="86"/>
      <c r="U412" s="142" t="str">
        <f t="shared" si="174"/>
        <v/>
      </c>
      <c r="V412" s="88"/>
      <c r="W412" s="88"/>
      <c r="X412" s="88"/>
      <c r="Y412" s="88"/>
      <c r="Z412" s="88"/>
      <c r="AA412" s="88"/>
      <c r="AB412" s="88"/>
      <c r="AC412" s="88"/>
      <c r="AD412" s="142" t="str">
        <f t="shared" si="175"/>
        <v/>
      </c>
      <c r="AE412" s="88"/>
      <c r="AF412" s="88"/>
      <c r="AG412" s="88"/>
      <c r="AH412" s="88"/>
      <c r="AI412" s="88"/>
      <c r="AJ412" s="88"/>
      <c r="AK412" s="88"/>
      <c r="AL412" s="88"/>
      <c r="AM412" s="88">
        <v>55.673507902807266</v>
      </c>
      <c r="AN412" s="88">
        <v>84.78</v>
      </c>
      <c r="AO412" s="89"/>
      <c r="AP412" s="90"/>
      <c r="AQ412" s="146" t="str">
        <f t="shared" si="176"/>
        <v/>
      </c>
      <c r="AR412" s="146" t="str">
        <f t="shared" si="177"/>
        <v/>
      </c>
      <c r="AS412" s="147">
        <v>10</v>
      </c>
      <c r="AT412" s="148" t="s">
        <v>106</v>
      </c>
      <c r="AU412" s="149" t="s">
        <v>56</v>
      </c>
      <c r="AV412" s="146" t="str">
        <f t="shared" si="178"/>
        <v/>
      </c>
      <c r="AW412" s="146" t="str">
        <f t="shared" si="179"/>
        <v/>
      </c>
      <c r="AX412" s="138" t="str">
        <f t="shared" si="180"/>
        <v/>
      </c>
      <c r="AY412" s="95" t="s">
        <v>56</v>
      </c>
      <c r="AZ412" s="96" t="s">
        <v>56</v>
      </c>
      <c r="BA412" s="96"/>
      <c r="BB412" s="96" t="s">
        <v>56</v>
      </c>
      <c r="BC412" s="96"/>
      <c r="BD412" s="97">
        <v>84.78</v>
      </c>
      <c r="BE412" s="142">
        <f t="shared" si="181"/>
        <v>5755</v>
      </c>
      <c r="BF412" s="88">
        <v>141</v>
      </c>
      <c r="BG412" s="98">
        <v>0</v>
      </c>
      <c r="BH412" s="98">
        <v>0</v>
      </c>
      <c r="BI412" s="98">
        <v>5614</v>
      </c>
      <c r="BJ412" s="98"/>
      <c r="BK412" s="98"/>
      <c r="BL412" s="97"/>
    </row>
    <row r="413" spans="1:64" outlineLevel="5" x14ac:dyDescent="0.3">
      <c r="A413" s="152">
        <f t="shared" si="167"/>
        <v>12</v>
      </c>
      <c r="B413" s="153">
        <f t="shared" si="152"/>
        <v>44913</v>
      </c>
      <c r="C413" s="138">
        <f t="shared" si="172"/>
        <v>36</v>
      </c>
      <c r="D413" s="84">
        <v>36</v>
      </c>
      <c r="E413" s="84">
        <v>36</v>
      </c>
      <c r="F413" s="84"/>
      <c r="G413" s="84"/>
      <c r="H413" s="84"/>
      <c r="I413" s="84"/>
      <c r="J413" s="84"/>
      <c r="K413" s="84"/>
      <c r="L413" s="140" t="str">
        <f t="shared" si="173"/>
        <v/>
      </c>
      <c r="M413" s="86"/>
      <c r="N413" s="86"/>
      <c r="O413" s="86"/>
      <c r="P413" s="86"/>
      <c r="Q413" s="86"/>
      <c r="R413" s="86"/>
      <c r="S413" s="86"/>
      <c r="T413" s="86"/>
      <c r="U413" s="142" t="str">
        <f t="shared" si="174"/>
        <v/>
      </c>
      <c r="V413" s="88"/>
      <c r="W413" s="88"/>
      <c r="X413" s="88"/>
      <c r="Y413" s="88"/>
      <c r="Z413" s="88"/>
      <c r="AA413" s="88"/>
      <c r="AB413" s="88"/>
      <c r="AC413" s="88"/>
      <c r="AD413" s="142" t="str">
        <f t="shared" si="175"/>
        <v/>
      </c>
      <c r="AE413" s="88"/>
      <c r="AF413" s="88"/>
      <c r="AG413" s="88"/>
      <c r="AH413" s="88"/>
      <c r="AI413" s="88"/>
      <c r="AJ413" s="88"/>
      <c r="AK413" s="88"/>
      <c r="AL413" s="88"/>
      <c r="AM413" s="88">
        <v>59</v>
      </c>
      <c r="AN413" s="88">
        <v>80</v>
      </c>
      <c r="AO413" s="89"/>
      <c r="AP413" s="90"/>
      <c r="AQ413" s="146" t="str">
        <f t="shared" si="176"/>
        <v/>
      </c>
      <c r="AR413" s="146" t="str">
        <f t="shared" si="177"/>
        <v/>
      </c>
      <c r="AS413" s="147">
        <v>0</v>
      </c>
      <c r="AT413" s="148" t="s">
        <v>106</v>
      </c>
      <c r="AU413" s="149" t="s">
        <v>56</v>
      </c>
      <c r="AV413" s="146" t="str">
        <f t="shared" si="178"/>
        <v/>
      </c>
      <c r="AW413" s="146" t="str">
        <f t="shared" si="179"/>
        <v/>
      </c>
      <c r="AX413" s="138" t="str">
        <f t="shared" si="180"/>
        <v/>
      </c>
      <c r="AY413" s="95" t="s">
        <v>56</v>
      </c>
      <c r="AZ413" s="96" t="s">
        <v>56</v>
      </c>
      <c r="BA413" s="96"/>
      <c r="BB413" s="96" t="s">
        <v>56</v>
      </c>
      <c r="BC413" s="96"/>
      <c r="BD413" s="97">
        <v>80</v>
      </c>
      <c r="BE413" s="142">
        <f t="shared" si="181"/>
        <v>3971</v>
      </c>
      <c r="BF413" s="88">
        <v>0</v>
      </c>
      <c r="BG413" s="98">
        <v>0</v>
      </c>
      <c r="BH413" s="98">
        <v>0</v>
      </c>
      <c r="BI413" s="98">
        <v>3971</v>
      </c>
      <c r="BJ413" s="98"/>
      <c r="BK413" s="98"/>
      <c r="BL413" s="97"/>
    </row>
    <row r="414" spans="1:64" outlineLevel="5" x14ac:dyDescent="0.3">
      <c r="A414" s="152">
        <f t="shared" si="167"/>
        <v>12</v>
      </c>
      <c r="B414" s="153">
        <f t="shared" si="152"/>
        <v>44914</v>
      </c>
      <c r="C414" s="138">
        <f t="shared" si="172"/>
        <v>37</v>
      </c>
      <c r="D414" s="84">
        <v>37</v>
      </c>
      <c r="E414" s="84">
        <v>37</v>
      </c>
      <c r="F414" s="84"/>
      <c r="G414" s="84"/>
      <c r="H414" s="84"/>
      <c r="I414" s="84"/>
      <c r="J414" s="84"/>
      <c r="K414" s="84"/>
      <c r="L414" s="140">
        <f t="shared" si="173"/>
        <v>8.5</v>
      </c>
      <c r="M414" s="86">
        <v>8.59</v>
      </c>
      <c r="N414" s="86">
        <v>8.4700000000000006</v>
      </c>
      <c r="O414" s="86"/>
      <c r="P414" s="86"/>
      <c r="Q414" s="86"/>
      <c r="R414" s="86"/>
      <c r="S414" s="86"/>
      <c r="T414" s="86"/>
      <c r="U414" s="142">
        <f t="shared" si="174"/>
        <v>1045.5</v>
      </c>
      <c r="V414" s="88">
        <v>1084</v>
      </c>
      <c r="W414" s="88">
        <v>1007</v>
      </c>
      <c r="X414" s="88"/>
      <c r="Y414" s="88"/>
      <c r="Z414" s="88"/>
      <c r="AA414" s="88"/>
      <c r="AB414" s="88"/>
      <c r="AC414" s="88"/>
      <c r="AD414" s="142" t="str">
        <f t="shared" si="175"/>
        <v/>
      </c>
      <c r="AE414" s="88"/>
      <c r="AF414" s="88"/>
      <c r="AG414" s="88"/>
      <c r="AH414" s="88"/>
      <c r="AI414" s="88"/>
      <c r="AJ414" s="88"/>
      <c r="AK414" s="88"/>
      <c r="AL414" s="88"/>
      <c r="AM414" s="88">
        <v>52.956355884662855</v>
      </c>
      <c r="AN414" s="88">
        <v>89.13</v>
      </c>
      <c r="AO414" s="89">
        <v>20.9</v>
      </c>
      <c r="AP414" s="90">
        <v>16.510999999999999</v>
      </c>
      <c r="AQ414" s="146">
        <f t="shared" si="176"/>
        <v>79</v>
      </c>
      <c r="AR414" s="146">
        <f t="shared" si="177"/>
        <v>21</v>
      </c>
      <c r="AS414" s="147">
        <v>22</v>
      </c>
      <c r="AT414" s="148">
        <v>15</v>
      </c>
      <c r="AU414" s="149">
        <v>8.3574000000000002</v>
      </c>
      <c r="AV414" s="146">
        <f t="shared" si="178"/>
        <v>55.716000000000001</v>
      </c>
      <c r="AW414" s="146">
        <f t="shared" si="179"/>
        <v>44.283999999999999</v>
      </c>
      <c r="AX414" s="138">
        <f t="shared" si="180"/>
        <v>66.555455066206719</v>
      </c>
      <c r="AY414" s="95">
        <v>75</v>
      </c>
      <c r="AZ414" s="96">
        <v>59.77</v>
      </c>
      <c r="BA414" s="96"/>
      <c r="BB414" s="96">
        <v>61.5</v>
      </c>
      <c r="BC414" s="96"/>
      <c r="BD414" s="97">
        <v>89.13</v>
      </c>
      <c r="BE414" s="142">
        <f t="shared" si="181"/>
        <v>1905</v>
      </c>
      <c r="BF414" s="88">
        <v>328</v>
      </c>
      <c r="BG414" s="98">
        <v>0</v>
      </c>
      <c r="BH414" s="98">
        <v>0</v>
      </c>
      <c r="BI414" s="98">
        <v>1577</v>
      </c>
      <c r="BJ414" s="98"/>
      <c r="BK414" s="98"/>
      <c r="BL414" s="97"/>
    </row>
    <row r="415" spans="1:64" outlineLevel="5" x14ac:dyDescent="0.3">
      <c r="A415" s="152">
        <f t="shared" si="167"/>
        <v>12</v>
      </c>
      <c r="B415" s="153">
        <f t="shared" si="152"/>
        <v>44915</v>
      </c>
      <c r="C415" s="138">
        <f t="shared" si="172"/>
        <v>37</v>
      </c>
      <c r="D415" s="84">
        <v>37</v>
      </c>
      <c r="E415" s="84">
        <v>37</v>
      </c>
      <c r="F415" s="84"/>
      <c r="G415" s="84"/>
      <c r="H415" s="84"/>
      <c r="I415" s="84"/>
      <c r="J415" s="84"/>
      <c r="K415" s="84"/>
      <c r="L415" s="140">
        <f t="shared" si="173"/>
        <v>8.6</v>
      </c>
      <c r="M415" s="86">
        <v>8.59</v>
      </c>
      <c r="N415" s="86">
        <v>8.52</v>
      </c>
      <c r="O415" s="86"/>
      <c r="P415" s="86"/>
      <c r="Q415" s="86"/>
      <c r="R415" s="86"/>
      <c r="S415" s="86"/>
      <c r="T415" s="86"/>
      <c r="U415" s="142">
        <f t="shared" si="174"/>
        <v>1095</v>
      </c>
      <c r="V415" s="88">
        <v>1144</v>
      </c>
      <c r="W415" s="88">
        <v>1046</v>
      </c>
      <c r="X415" s="88"/>
      <c r="Y415" s="88"/>
      <c r="Z415" s="88"/>
      <c r="AA415" s="88"/>
      <c r="AB415" s="88"/>
      <c r="AC415" s="88"/>
      <c r="AD415" s="142" t="str">
        <f t="shared" si="175"/>
        <v/>
      </c>
      <c r="AE415" s="88"/>
      <c r="AF415" s="88"/>
      <c r="AG415" s="88"/>
      <c r="AH415" s="88"/>
      <c r="AI415" s="88"/>
      <c r="AJ415" s="88"/>
      <c r="AK415" s="88"/>
      <c r="AL415" s="88"/>
      <c r="AM415" s="88">
        <v>54.724637681159422</v>
      </c>
      <c r="AN415" s="88">
        <v>86.25</v>
      </c>
      <c r="AO415" s="89"/>
      <c r="AP415" s="90"/>
      <c r="AQ415" s="146" t="str">
        <f t="shared" si="176"/>
        <v/>
      </c>
      <c r="AR415" s="146" t="str">
        <f t="shared" si="177"/>
        <v/>
      </c>
      <c r="AS415" s="147">
        <v>24</v>
      </c>
      <c r="AT415" s="148" t="s">
        <v>106</v>
      </c>
      <c r="AU415" s="149" t="s">
        <v>56</v>
      </c>
      <c r="AV415" s="146" t="str">
        <f t="shared" si="178"/>
        <v/>
      </c>
      <c r="AW415" s="146" t="str">
        <f t="shared" si="179"/>
        <v/>
      </c>
      <c r="AX415" s="138" t="str">
        <f t="shared" si="180"/>
        <v/>
      </c>
      <c r="AY415" s="95" t="s">
        <v>56</v>
      </c>
      <c r="AZ415" s="96">
        <v>56.594999999999999</v>
      </c>
      <c r="BA415" s="96"/>
      <c r="BB415" s="96">
        <v>60.5</v>
      </c>
      <c r="BC415" s="96"/>
      <c r="BD415" s="97">
        <v>86.25</v>
      </c>
      <c r="BE415" s="142">
        <f t="shared" si="181"/>
        <v>337</v>
      </c>
      <c r="BF415" s="88">
        <v>337</v>
      </c>
      <c r="BG415" s="98">
        <v>0</v>
      </c>
      <c r="BH415" s="98">
        <v>0</v>
      </c>
      <c r="BI415" s="98">
        <v>0</v>
      </c>
      <c r="BJ415" s="98"/>
      <c r="BK415" s="98"/>
      <c r="BL415" s="97"/>
    </row>
    <row r="416" spans="1:64" outlineLevel="5" x14ac:dyDescent="0.3">
      <c r="A416" s="152">
        <f t="shared" si="167"/>
        <v>12</v>
      </c>
      <c r="B416" s="153">
        <f t="shared" ref="B416:B426" si="182">B415+1</f>
        <v>44916</v>
      </c>
      <c r="C416" s="138">
        <f t="shared" si="172"/>
        <v>36</v>
      </c>
      <c r="D416" s="84">
        <v>36</v>
      </c>
      <c r="E416" s="84">
        <v>36</v>
      </c>
      <c r="F416" s="84"/>
      <c r="G416" s="84"/>
      <c r="H416" s="84"/>
      <c r="I416" s="84"/>
      <c r="J416" s="84"/>
      <c r="K416" s="84"/>
      <c r="L416" s="140">
        <f t="shared" si="173"/>
        <v>8.5</v>
      </c>
      <c r="M416" s="86">
        <v>8.52</v>
      </c>
      <c r="N416" s="86">
        <v>8.5399999999999991</v>
      </c>
      <c r="O416" s="86"/>
      <c r="P416" s="86"/>
      <c r="Q416" s="86"/>
      <c r="R416" s="86"/>
      <c r="S416" s="86"/>
      <c r="T416" s="86"/>
      <c r="U416" s="142">
        <f t="shared" si="174"/>
        <v>1376</v>
      </c>
      <c r="V416" s="88">
        <v>1472</v>
      </c>
      <c r="W416" s="88">
        <v>1280</v>
      </c>
      <c r="X416" s="88"/>
      <c r="Y416" s="88"/>
      <c r="Z416" s="88"/>
      <c r="AA416" s="88"/>
      <c r="AB416" s="88"/>
      <c r="AC416" s="88"/>
      <c r="AD416" s="142">
        <f t="shared" si="175"/>
        <v>7060</v>
      </c>
      <c r="AE416" s="88">
        <v>7230</v>
      </c>
      <c r="AF416" s="88">
        <v>6890</v>
      </c>
      <c r="AG416" s="88"/>
      <c r="AH416" s="88"/>
      <c r="AI416" s="88"/>
      <c r="AJ416" s="88"/>
      <c r="AK416" s="88"/>
      <c r="AL416" s="88"/>
      <c r="AM416" s="88">
        <v>40.654608096468564</v>
      </c>
      <c r="AN416" s="88">
        <v>116.1</v>
      </c>
      <c r="AO416" s="89"/>
      <c r="AP416" s="90"/>
      <c r="AQ416" s="146" t="str">
        <f t="shared" si="176"/>
        <v/>
      </c>
      <c r="AR416" s="146" t="str">
        <f t="shared" si="177"/>
        <v/>
      </c>
      <c r="AS416" s="147">
        <v>25</v>
      </c>
      <c r="AT416" s="148">
        <v>14.85</v>
      </c>
      <c r="AU416" s="149">
        <v>8.0838000000000001</v>
      </c>
      <c r="AV416" s="146">
        <f t="shared" si="178"/>
        <v>54.436363636363637</v>
      </c>
      <c r="AW416" s="146">
        <f t="shared" si="179"/>
        <v>45.563636363636363</v>
      </c>
      <c r="AX416" s="138" t="str">
        <f t="shared" si="180"/>
        <v/>
      </c>
      <c r="AY416" s="95">
        <v>75</v>
      </c>
      <c r="AZ416" s="96" t="s">
        <v>56</v>
      </c>
      <c r="BA416" s="96"/>
      <c r="BB416" s="96" t="s">
        <v>56</v>
      </c>
      <c r="BC416" s="96"/>
      <c r="BD416" s="97">
        <v>116.1</v>
      </c>
      <c r="BE416" s="142">
        <f t="shared" si="181"/>
        <v>1511</v>
      </c>
      <c r="BF416" s="88">
        <v>317</v>
      </c>
      <c r="BG416" s="98">
        <v>0</v>
      </c>
      <c r="BH416" s="98">
        <v>0</v>
      </c>
      <c r="BI416" s="98">
        <v>1194</v>
      </c>
      <c r="BJ416" s="98"/>
      <c r="BK416" s="98"/>
      <c r="BL416" s="97"/>
    </row>
    <row r="417" spans="1:64" outlineLevel="5" x14ac:dyDescent="0.3">
      <c r="A417" s="152">
        <f t="shared" si="167"/>
        <v>12</v>
      </c>
      <c r="B417" s="153">
        <f t="shared" si="182"/>
        <v>44917</v>
      </c>
      <c r="C417" s="138">
        <f t="shared" si="172"/>
        <v>35.5</v>
      </c>
      <c r="D417" s="84">
        <v>36</v>
      </c>
      <c r="E417" s="84">
        <v>35</v>
      </c>
      <c r="F417" s="84"/>
      <c r="G417" s="84"/>
      <c r="H417" s="84"/>
      <c r="I417" s="84"/>
      <c r="J417" s="84"/>
      <c r="K417" s="84"/>
      <c r="L417" s="140">
        <f t="shared" si="173"/>
        <v>8.6</v>
      </c>
      <c r="M417" s="86">
        <v>8.6</v>
      </c>
      <c r="N417" s="86">
        <v>8.5299999999999994</v>
      </c>
      <c r="O417" s="86"/>
      <c r="P417" s="86"/>
      <c r="Q417" s="86"/>
      <c r="R417" s="86"/>
      <c r="S417" s="86"/>
      <c r="T417" s="86"/>
      <c r="U417" s="142">
        <f t="shared" si="174"/>
        <v>1079.5</v>
      </c>
      <c r="V417" s="88">
        <v>1172</v>
      </c>
      <c r="W417" s="88">
        <v>987</v>
      </c>
      <c r="X417" s="88"/>
      <c r="Y417" s="88"/>
      <c r="Z417" s="88"/>
      <c r="AA417" s="88"/>
      <c r="AB417" s="88"/>
      <c r="AC417" s="88"/>
      <c r="AD417" s="142" t="str">
        <f t="shared" si="175"/>
        <v/>
      </c>
      <c r="AE417" s="88"/>
      <c r="AF417" s="88"/>
      <c r="AG417" s="88"/>
      <c r="AH417" s="88"/>
      <c r="AI417" s="88"/>
      <c r="AJ417" s="88"/>
      <c r="AK417" s="88"/>
      <c r="AL417" s="88"/>
      <c r="AM417" s="88">
        <v>40.149710785981625</v>
      </c>
      <c r="AN417" s="88">
        <v>117.56</v>
      </c>
      <c r="AO417" s="89"/>
      <c r="AP417" s="90"/>
      <c r="AQ417" s="146" t="str">
        <f t="shared" si="176"/>
        <v/>
      </c>
      <c r="AR417" s="146" t="str">
        <f t="shared" si="177"/>
        <v/>
      </c>
      <c r="AS417" s="147">
        <v>25</v>
      </c>
      <c r="AT417" s="148">
        <v>14.45</v>
      </c>
      <c r="AU417" s="149">
        <v>8.13645</v>
      </c>
      <c r="AV417" s="146">
        <f t="shared" si="178"/>
        <v>56.3076124567474</v>
      </c>
      <c r="AW417" s="146">
        <f t="shared" si="179"/>
        <v>43.6923875432526</v>
      </c>
      <c r="AX417" s="138" t="str">
        <f t="shared" si="180"/>
        <v/>
      </c>
      <c r="AY417" s="95">
        <v>75.3</v>
      </c>
      <c r="AZ417" s="96">
        <v>59.704999999999998</v>
      </c>
      <c r="BA417" s="96"/>
      <c r="BB417" s="96">
        <v>40.5</v>
      </c>
      <c r="BC417" s="96"/>
      <c r="BD417" s="97">
        <v>117.56</v>
      </c>
      <c r="BE417" s="142">
        <f t="shared" si="181"/>
        <v>3786</v>
      </c>
      <c r="BF417" s="88">
        <v>527</v>
      </c>
      <c r="BG417" s="98">
        <v>0</v>
      </c>
      <c r="BH417" s="98">
        <v>0</v>
      </c>
      <c r="BI417" s="98">
        <v>3259</v>
      </c>
      <c r="BJ417" s="98"/>
      <c r="BK417" s="98"/>
      <c r="BL417" s="97"/>
    </row>
    <row r="418" spans="1:64" outlineLevel="5" x14ac:dyDescent="0.3">
      <c r="A418" s="152">
        <f t="shared" si="167"/>
        <v>12</v>
      </c>
      <c r="B418" s="153">
        <f t="shared" si="182"/>
        <v>44918</v>
      </c>
      <c r="C418" s="138">
        <f t="shared" si="172"/>
        <v>36</v>
      </c>
      <c r="D418" s="84">
        <v>36</v>
      </c>
      <c r="E418" s="84">
        <v>36</v>
      </c>
      <c r="F418" s="84"/>
      <c r="G418" s="84"/>
      <c r="H418" s="84"/>
      <c r="I418" s="84"/>
      <c r="J418" s="84"/>
      <c r="K418" s="84"/>
      <c r="L418" s="140">
        <f t="shared" si="173"/>
        <v>8.5</v>
      </c>
      <c r="M418" s="86">
        <v>8.5399999999999991</v>
      </c>
      <c r="N418" s="86">
        <v>8.48</v>
      </c>
      <c r="O418" s="86"/>
      <c r="P418" s="86"/>
      <c r="Q418" s="86"/>
      <c r="R418" s="86"/>
      <c r="S418" s="86"/>
      <c r="T418" s="86"/>
      <c r="U418" s="142">
        <f t="shared" si="174"/>
        <v>939</v>
      </c>
      <c r="V418" s="88">
        <v>988</v>
      </c>
      <c r="W418" s="88">
        <v>890</v>
      </c>
      <c r="X418" s="88"/>
      <c r="Y418" s="88"/>
      <c r="Z418" s="88"/>
      <c r="AA418" s="88"/>
      <c r="AB418" s="88"/>
      <c r="AC418" s="88"/>
      <c r="AD418" s="142" t="str">
        <f t="shared" si="175"/>
        <v/>
      </c>
      <c r="AE418" s="88"/>
      <c r="AF418" s="88"/>
      <c r="AG418" s="88"/>
      <c r="AH418" s="88"/>
      <c r="AI418" s="88"/>
      <c r="AJ418" s="88"/>
      <c r="AK418" s="88"/>
      <c r="AL418" s="88"/>
      <c r="AM418" s="88">
        <v>42.240916413101843</v>
      </c>
      <c r="AN418" s="88">
        <v>111.74000000000001</v>
      </c>
      <c r="AO418" s="89"/>
      <c r="AP418" s="90"/>
      <c r="AQ418" s="146" t="str">
        <f t="shared" si="176"/>
        <v/>
      </c>
      <c r="AR418" s="146" t="str">
        <f t="shared" si="177"/>
        <v/>
      </c>
      <c r="AS418" s="147">
        <v>21</v>
      </c>
      <c r="AT418" s="148" t="s">
        <v>106</v>
      </c>
      <c r="AU418" s="149" t="s">
        <v>56</v>
      </c>
      <c r="AV418" s="146" t="str">
        <f t="shared" si="178"/>
        <v/>
      </c>
      <c r="AW418" s="146" t="str">
        <f t="shared" si="179"/>
        <v/>
      </c>
      <c r="AX418" s="138" t="str">
        <f t="shared" si="180"/>
        <v/>
      </c>
      <c r="AY418" s="95" t="s">
        <v>56</v>
      </c>
      <c r="AZ418" s="96">
        <v>58.14</v>
      </c>
      <c r="BA418" s="96"/>
      <c r="BB418" s="96">
        <v>54</v>
      </c>
      <c r="BC418" s="96"/>
      <c r="BD418" s="97">
        <v>111.74000000000001</v>
      </c>
      <c r="BE418" s="142">
        <f t="shared" si="181"/>
        <v>5474</v>
      </c>
      <c r="BF418" s="88">
        <v>668</v>
      </c>
      <c r="BG418" s="98">
        <v>0</v>
      </c>
      <c r="BH418" s="98">
        <v>0</v>
      </c>
      <c r="BI418" s="98">
        <v>4806</v>
      </c>
      <c r="BJ418" s="98"/>
      <c r="BK418" s="98"/>
      <c r="BL418" s="97"/>
    </row>
    <row r="419" spans="1:64" outlineLevel="5" x14ac:dyDescent="0.3">
      <c r="A419" s="152">
        <f t="shared" si="167"/>
        <v>12</v>
      </c>
      <c r="B419" s="153">
        <f t="shared" si="182"/>
        <v>44919</v>
      </c>
      <c r="C419" s="138">
        <f t="shared" si="172"/>
        <v>37</v>
      </c>
      <c r="D419" s="84">
        <v>37</v>
      </c>
      <c r="E419" s="84">
        <v>37</v>
      </c>
      <c r="F419" s="84"/>
      <c r="G419" s="84"/>
      <c r="H419" s="84"/>
      <c r="I419" s="84"/>
      <c r="J419" s="84"/>
      <c r="K419" s="84"/>
      <c r="L419" s="140" t="str">
        <f t="shared" si="173"/>
        <v/>
      </c>
      <c r="M419" s="86"/>
      <c r="N419" s="86"/>
      <c r="O419" s="86"/>
      <c r="P419" s="86"/>
      <c r="Q419" s="86"/>
      <c r="R419" s="86"/>
      <c r="S419" s="86"/>
      <c r="T419" s="86"/>
      <c r="U419" s="142" t="str">
        <f t="shared" si="174"/>
        <v/>
      </c>
      <c r="V419" s="88"/>
      <c r="W419" s="88"/>
      <c r="X419" s="88"/>
      <c r="Y419" s="88"/>
      <c r="Z419" s="88"/>
      <c r="AA419" s="88"/>
      <c r="AB419" s="88"/>
      <c r="AC419" s="88"/>
      <c r="AD419" s="142" t="str">
        <f t="shared" si="175"/>
        <v/>
      </c>
      <c r="AE419" s="88"/>
      <c r="AF419" s="88"/>
      <c r="AG419" s="88"/>
      <c r="AH419" s="88"/>
      <c r="AI419" s="88"/>
      <c r="AJ419" s="88"/>
      <c r="AK419" s="88"/>
      <c r="AL419" s="88"/>
      <c r="AM419" s="88">
        <v>88.671801615630272</v>
      </c>
      <c r="AN419" s="88">
        <v>53.230000000000004</v>
      </c>
      <c r="AO419" s="89"/>
      <c r="AP419" s="90"/>
      <c r="AQ419" s="146" t="str">
        <f t="shared" si="176"/>
        <v/>
      </c>
      <c r="AR419" s="146" t="str">
        <f t="shared" si="177"/>
        <v/>
      </c>
      <c r="AS419" s="147">
        <v>0</v>
      </c>
      <c r="AT419" s="148" t="s">
        <v>106</v>
      </c>
      <c r="AU419" s="149" t="s">
        <v>56</v>
      </c>
      <c r="AV419" s="146" t="str">
        <f t="shared" si="178"/>
        <v/>
      </c>
      <c r="AW419" s="146" t="str">
        <f t="shared" si="179"/>
        <v/>
      </c>
      <c r="AX419" s="138" t="str">
        <f t="shared" si="180"/>
        <v/>
      </c>
      <c r="AY419" s="95" t="s">
        <v>56</v>
      </c>
      <c r="AZ419" s="96" t="s">
        <v>56</v>
      </c>
      <c r="BA419" s="96"/>
      <c r="BB419" s="96" t="s">
        <v>56</v>
      </c>
      <c r="BC419" s="96"/>
      <c r="BD419" s="97">
        <v>53.230000000000004</v>
      </c>
      <c r="BE419" s="142">
        <f t="shared" si="181"/>
        <v>6221</v>
      </c>
      <c r="BF419" s="88">
        <v>501</v>
      </c>
      <c r="BG419" s="98">
        <v>0</v>
      </c>
      <c r="BH419" s="98">
        <v>0</v>
      </c>
      <c r="BI419" s="98">
        <v>5720</v>
      </c>
      <c r="BJ419" s="98"/>
      <c r="BK419" s="98"/>
      <c r="BL419" s="97"/>
    </row>
    <row r="420" spans="1:64" outlineLevel="5" x14ac:dyDescent="0.3">
      <c r="A420" s="152">
        <f t="shared" si="167"/>
        <v>12</v>
      </c>
      <c r="B420" s="153">
        <f t="shared" si="182"/>
        <v>44920</v>
      </c>
      <c r="C420" s="138">
        <f t="shared" si="172"/>
        <v>37</v>
      </c>
      <c r="D420" s="84">
        <v>37</v>
      </c>
      <c r="E420" s="84">
        <v>37</v>
      </c>
      <c r="F420" s="84"/>
      <c r="G420" s="84"/>
      <c r="H420" s="84"/>
      <c r="I420" s="84"/>
      <c r="J420" s="84"/>
      <c r="K420" s="84"/>
      <c r="L420" s="140" t="str">
        <f t="shared" si="173"/>
        <v/>
      </c>
      <c r="M420" s="86"/>
      <c r="N420" s="86"/>
      <c r="O420" s="86"/>
      <c r="P420" s="86"/>
      <c r="Q420" s="86"/>
      <c r="R420" s="86"/>
      <c r="S420" s="86"/>
      <c r="T420" s="86"/>
      <c r="U420" s="142" t="str">
        <f t="shared" si="174"/>
        <v/>
      </c>
      <c r="V420" s="88"/>
      <c r="W420" s="88"/>
      <c r="X420" s="88"/>
      <c r="Y420" s="88"/>
      <c r="Z420" s="88"/>
      <c r="AA420" s="88"/>
      <c r="AB420" s="88"/>
      <c r="AC420" s="88"/>
      <c r="AD420" s="142" t="str">
        <f t="shared" si="175"/>
        <v/>
      </c>
      <c r="AE420" s="88"/>
      <c r="AF420" s="88"/>
      <c r="AG420" s="88"/>
      <c r="AH420" s="88"/>
      <c r="AI420" s="88"/>
      <c r="AJ420" s="88"/>
      <c r="AK420" s="88"/>
      <c r="AL420" s="88"/>
      <c r="AM420" s="88">
        <v>42.909090909090907</v>
      </c>
      <c r="AN420" s="88">
        <v>110</v>
      </c>
      <c r="AO420" s="89"/>
      <c r="AP420" s="90"/>
      <c r="AQ420" s="146" t="str">
        <f t="shared" si="176"/>
        <v/>
      </c>
      <c r="AR420" s="146" t="str">
        <f t="shared" si="177"/>
        <v/>
      </c>
      <c r="AS420" s="147">
        <v>10</v>
      </c>
      <c r="AT420" s="148" t="s">
        <v>106</v>
      </c>
      <c r="AU420" s="149" t="s">
        <v>56</v>
      </c>
      <c r="AV420" s="146" t="str">
        <f t="shared" si="178"/>
        <v/>
      </c>
      <c r="AW420" s="146" t="str">
        <f t="shared" si="179"/>
        <v/>
      </c>
      <c r="AX420" s="138" t="str">
        <f t="shared" si="180"/>
        <v/>
      </c>
      <c r="AY420" s="95" t="s">
        <v>56</v>
      </c>
      <c r="AZ420" s="96" t="s">
        <v>56</v>
      </c>
      <c r="BA420" s="96"/>
      <c r="BB420" s="96" t="s">
        <v>56</v>
      </c>
      <c r="BC420" s="96"/>
      <c r="BD420" s="97">
        <v>110</v>
      </c>
      <c r="BE420" s="142">
        <f t="shared" si="181"/>
        <v>4034</v>
      </c>
      <c r="BF420" s="88">
        <v>77</v>
      </c>
      <c r="BG420" s="98">
        <v>0</v>
      </c>
      <c r="BH420" s="98">
        <v>0</v>
      </c>
      <c r="BI420" s="98">
        <v>3957</v>
      </c>
      <c r="BJ420" s="98"/>
      <c r="BK420" s="98"/>
      <c r="BL420" s="97"/>
    </row>
    <row r="421" spans="1:64" outlineLevel="5" x14ac:dyDescent="0.3">
      <c r="A421" s="152">
        <f t="shared" si="167"/>
        <v>12</v>
      </c>
      <c r="B421" s="153">
        <f t="shared" si="182"/>
        <v>44921</v>
      </c>
      <c r="C421" s="138">
        <f t="shared" si="172"/>
        <v>37.200000000000003</v>
      </c>
      <c r="D421" s="84">
        <v>37.299999999999997</v>
      </c>
      <c r="E421" s="84">
        <v>37</v>
      </c>
      <c r="F421" s="84"/>
      <c r="G421" s="84"/>
      <c r="H421" s="84"/>
      <c r="I421" s="84"/>
      <c r="J421" s="84"/>
      <c r="K421" s="84"/>
      <c r="L421" s="140">
        <f t="shared" si="173"/>
        <v>8.5</v>
      </c>
      <c r="M421" s="86">
        <v>8.52</v>
      </c>
      <c r="N421" s="86">
        <v>8.51</v>
      </c>
      <c r="O421" s="86"/>
      <c r="P421" s="86"/>
      <c r="Q421" s="86"/>
      <c r="R421" s="86"/>
      <c r="S421" s="86"/>
      <c r="T421" s="86"/>
      <c r="U421" s="142">
        <f t="shared" si="174"/>
        <v>951</v>
      </c>
      <c r="V421" s="88">
        <v>997</v>
      </c>
      <c r="W421" s="88">
        <v>905</v>
      </c>
      <c r="X421" s="88"/>
      <c r="Y421" s="88"/>
      <c r="Z421" s="88"/>
      <c r="AA421" s="88"/>
      <c r="AB421" s="88"/>
      <c r="AC421" s="88"/>
      <c r="AD421" s="142" t="str">
        <f t="shared" si="175"/>
        <v/>
      </c>
      <c r="AE421" s="88"/>
      <c r="AF421" s="88"/>
      <c r="AG421" s="88"/>
      <c r="AH421" s="88"/>
      <c r="AI421" s="88"/>
      <c r="AJ421" s="88"/>
      <c r="AK421" s="88"/>
      <c r="AL421" s="88"/>
      <c r="AM421" s="88">
        <v>55.549017300223611</v>
      </c>
      <c r="AN421" s="88">
        <v>84.97</v>
      </c>
      <c r="AO421" s="89">
        <v>21.1</v>
      </c>
      <c r="AP421" s="90">
        <v>16.669</v>
      </c>
      <c r="AQ421" s="146">
        <f t="shared" si="176"/>
        <v>78.999999999999986</v>
      </c>
      <c r="AR421" s="146">
        <f t="shared" si="177"/>
        <v>21.000000000000014</v>
      </c>
      <c r="AS421" s="147">
        <v>20</v>
      </c>
      <c r="AT421" s="148">
        <v>14.899999999999999</v>
      </c>
      <c r="AU421" s="149">
        <v>8.3196499999999993</v>
      </c>
      <c r="AV421" s="146">
        <f t="shared" si="178"/>
        <v>55.836577181208057</v>
      </c>
      <c r="AW421" s="146">
        <f t="shared" si="179"/>
        <v>44.163422818791943</v>
      </c>
      <c r="AX421" s="138">
        <f t="shared" si="180"/>
        <v>66.39156683693767</v>
      </c>
      <c r="AY421" s="95">
        <v>75.05</v>
      </c>
      <c r="AZ421" s="96">
        <v>58.155000000000001</v>
      </c>
      <c r="BA421" s="96"/>
      <c r="BB421" s="96">
        <v>51</v>
      </c>
      <c r="BC421" s="96"/>
      <c r="BD421" s="97">
        <v>84.97</v>
      </c>
      <c r="BE421" s="142">
        <f t="shared" si="181"/>
        <v>5156</v>
      </c>
      <c r="BF421" s="88">
        <v>308</v>
      </c>
      <c r="BG421" s="98">
        <v>0</v>
      </c>
      <c r="BH421" s="98">
        <v>0</v>
      </c>
      <c r="BI421" s="98">
        <v>4848</v>
      </c>
      <c r="BJ421" s="98"/>
      <c r="BK421" s="98"/>
      <c r="BL421" s="97"/>
    </row>
    <row r="422" spans="1:64" outlineLevel="5" x14ac:dyDescent="0.3">
      <c r="A422" s="152">
        <f t="shared" si="167"/>
        <v>12</v>
      </c>
      <c r="B422" s="153">
        <f t="shared" si="182"/>
        <v>44922</v>
      </c>
      <c r="C422" s="138">
        <f t="shared" si="172"/>
        <v>37.200000000000003</v>
      </c>
      <c r="D422" s="84">
        <v>37.200000000000003</v>
      </c>
      <c r="E422" s="84">
        <v>37.1</v>
      </c>
      <c r="F422" s="84"/>
      <c r="G422" s="84"/>
      <c r="H422" s="84"/>
      <c r="I422" s="84"/>
      <c r="J422" s="84"/>
      <c r="K422" s="84"/>
      <c r="L422" s="140">
        <f t="shared" si="173"/>
        <v>8.6</v>
      </c>
      <c r="M422" s="86">
        <v>8.6</v>
      </c>
      <c r="N422" s="86">
        <v>8.5399999999999991</v>
      </c>
      <c r="O422" s="86"/>
      <c r="P422" s="86"/>
      <c r="Q422" s="86"/>
      <c r="R422" s="86"/>
      <c r="S422" s="86"/>
      <c r="T422" s="86"/>
      <c r="U422" s="142">
        <f t="shared" si="174"/>
        <v>975</v>
      </c>
      <c r="V422" s="88">
        <v>1020</v>
      </c>
      <c r="W422" s="88">
        <v>930</v>
      </c>
      <c r="X422" s="88"/>
      <c r="Y422" s="88"/>
      <c r="Z422" s="88"/>
      <c r="AA422" s="88"/>
      <c r="AB422" s="88"/>
      <c r="AC422" s="88"/>
      <c r="AD422" s="142" t="str">
        <f t="shared" si="175"/>
        <v/>
      </c>
      <c r="AE422" s="88"/>
      <c r="AF422" s="88"/>
      <c r="AG422" s="88"/>
      <c r="AH422" s="88"/>
      <c r="AI422" s="88"/>
      <c r="AJ422" s="88"/>
      <c r="AK422" s="88"/>
      <c r="AL422" s="88"/>
      <c r="AM422" s="88">
        <v>41.240716470074268</v>
      </c>
      <c r="AN422" s="88">
        <v>114.45</v>
      </c>
      <c r="AO422" s="89"/>
      <c r="AP422" s="90"/>
      <c r="AQ422" s="146" t="str">
        <f t="shared" si="176"/>
        <v/>
      </c>
      <c r="AR422" s="146" t="str">
        <f t="shared" si="177"/>
        <v/>
      </c>
      <c r="AS422" s="147">
        <v>20</v>
      </c>
      <c r="AT422" s="148" t="s">
        <v>106</v>
      </c>
      <c r="AU422" s="149" t="s">
        <v>56</v>
      </c>
      <c r="AV422" s="146" t="str">
        <f t="shared" si="178"/>
        <v/>
      </c>
      <c r="AW422" s="146" t="str">
        <f t="shared" si="179"/>
        <v/>
      </c>
      <c r="AX422" s="138" t="str">
        <f t="shared" si="180"/>
        <v/>
      </c>
      <c r="AY422" s="95" t="s">
        <v>56</v>
      </c>
      <c r="AZ422" s="96">
        <v>57.144999999999996</v>
      </c>
      <c r="BA422" s="96"/>
      <c r="BB422" s="96">
        <v>64.5</v>
      </c>
      <c r="BC422" s="96"/>
      <c r="BD422" s="97">
        <v>114.45</v>
      </c>
      <c r="BE422" s="142">
        <f t="shared" si="181"/>
        <v>7196</v>
      </c>
      <c r="BF422" s="88">
        <v>283</v>
      </c>
      <c r="BG422" s="98">
        <v>0</v>
      </c>
      <c r="BH422" s="98">
        <v>0</v>
      </c>
      <c r="BI422" s="98">
        <v>6913</v>
      </c>
      <c r="BJ422" s="98"/>
      <c r="BK422" s="98"/>
      <c r="BL422" s="97"/>
    </row>
    <row r="423" spans="1:64" outlineLevel="5" x14ac:dyDescent="0.3">
      <c r="A423" s="152">
        <f t="shared" si="167"/>
        <v>12</v>
      </c>
      <c r="B423" s="153">
        <f t="shared" si="182"/>
        <v>44923</v>
      </c>
      <c r="C423" s="138">
        <f t="shared" si="172"/>
        <v>37.299999999999997</v>
      </c>
      <c r="D423" s="84">
        <v>37.5</v>
      </c>
      <c r="E423" s="84">
        <v>37</v>
      </c>
      <c r="F423" s="84"/>
      <c r="G423" s="84"/>
      <c r="H423" s="84"/>
      <c r="I423" s="84"/>
      <c r="J423" s="84"/>
      <c r="K423" s="84"/>
      <c r="L423" s="140">
        <f t="shared" si="173"/>
        <v>8.6</v>
      </c>
      <c r="M423" s="86">
        <v>8.6199999999999992</v>
      </c>
      <c r="N423" s="86">
        <v>8.57</v>
      </c>
      <c r="O423" s="86"/>
      <c r="P423" s="86"/>
      <c r="Q423" s="86"/>
      <c r="R423" s="86"/>
      <c r="S423" s="86"/>
      <c r="T423" s="86"/>
      <c r="U423" s="142">
        <f t="shared" si="174"/>
        <v>993</v>
      </c>
      <c r="V423" s="88">
        <v>1026</v>
      </c>
      <c r="W423" s="88">
        <v>960</v>
      </c>
      <c r="X423" s="88"/>
      <c r="Y423" s="88"/>
      <c r="Z423" s="88"/>
      <c r="AA423" s="88"/>
      <c r="AB423" s="88"/>
      <c r="AC423" s="88"/>
      <c r="AD423" s="142">
        <f t="shared" si="175"/>
        <v>6915</v>
      </c>
      <c r="AE423" s="88">
        <v>7150</v>
      </c>
      <c r="AF423" s="88">
        <v>6680</v>
      </c>
      <c r="AG423" s="88"/>
      <c r="AH423" s="88"/>
      <c r="AI423" s="88"/>
      <c r="AJ423" s="88"/>
      <c r="AK423" s="88"/>
      <c r="AL423" s="88"/>
      <c r="AM423" s="88">
        <v>37.981813792548479</v>
      </c>
      <c r="AN423" s="88">
        <v>124.27000000000001</v>
      </c>
      <c r="AO423" s="89"/>
      <c r="AP423" s="90"/>
      <c r="AQ423" s="146" t="str">
        <f t="shared" si="176"/>
        <v/>
      </c>
      <c r="AR423" s="146" t="str">
        <f t="shared" si="177"/>
        <v/>
      </c>
      <c r="AS423" s="147">
        <v>20</v>
      </c>
      <c r="AT423" s="148">
        <v>14.8</v>
      </c>
      <c r="AU423" s="149">
        <v>8.1750500000000006</v>
      </c>
      <c r="AV423" s="146">
        <f t="shared" si="178"/>
        <v>55.236824324324331</v>
      </c>
      <c r="AW423" s="146">
        <f t="shared" si="179"/>
        <v>44.763175675675669</v>
      </c>
      <c r="AX423" s="138" t="str">
        <f t="shared" si="180"/>
        <v/>
      </c>
      <c r="AY423" s="95">
        <v>74.900000000000006</v>
      </c>
      <c r="AZ423" s="96">
        <v>58.14</v>
      </c>
      <c r="BA423" s="96"/>
      <c r="BB423" s="96">
        <v>47.5</v>
      </c>
      <c r="BC423" s="96"/>
      <c r="BD423" s="97">
        <v>124.27000000000001</v>
      </c>
      <c r="BE423" s="142">
        <f t="shared" si="181"/>
        <v>6741</v>
      </c>
      <c r="BF423" s="88">
        <v>536</v>
      </c>
      <c r="BG423" s="98">
        <v>0</v>
      </c>
      <c r="BH423" s="98">
        <v>0</v>
      </c>
      <c r="BI423" s="98">
        <v>6205</v>
      </c>
      <c r="BJ423" s="98"/>
      <c r="BK423" s="98"/>
      <c r="BL423" s="97"/>
    </row>
    <row r="424" spans="1:64" outlineLevel="5" x14ac:dyDescent="0.3">
      <c r="A424" s="152">
        <f t="shared" si="167"/>
        <v>12</v>
      </c>
      <c r="B424" s="153">
        <f t="shared" si="182"/>
        <v>44924</v>
      </c>
      <c r="C424" s="138">
        <f t="shared" si="172"/>
        <v>37</v>
      </c>
      <c r="D424" s="84">
        <v>37</v>
      </c>
      <c r="E424" s="84">
        <v>37</v>
      </c>
      <c r="F424" s="84"/>
      <c r="G424" s="84"/>
      <c r="H424" s="84"/>
      <c r="I424" s="84"/>
      <c r="J424" s="84"/>
      <c r="K424" s="84"/>
      <c r="L424" s="140">
        <f t="shared" si="173"/>
        <v>8.5</v>
      </c>
      <c r="M424" s="86">
        <v>8.56</v>
      </c>
      <c r="N424" s="86">
        <v>8.52</v>
      </c>
      <c r="O424" s="86"/>
      <c r="P424" s="86"/>
      <c r="Q424" s="86"/>
      <c r="R424" s="86"/>
      <c r="S424" s="86"/>
      <c r="T424" s="86"/>
      <c r="U424" s="142">
        <f t="shared" si="174"/>
        <v>953.5</v>
      </c>
      <c r="V424" s="88">
        <v>987</v>
      </c>
      <c r="W424" s="88">
        <v>920</v>
      </c>
      <c r="X424" s="88"/>
      <c r="Y424" s="88"/>
      <c r="Z424" s="88"/>
      <c r="AA424" s="88"/>
      <c r="AB424" s="88"/>
      <c r="AC424" s="88"/>
      <c r="AD424" s="142" t="str">
        <f t="shared" si="175"/>
        <v/>
      </c>
      <c r="AE424" s="88"/>
      <c r="AF424" s="88"/>
      <c r="AG424" s="88"/>
      <c r="AH424" s="88"/>
      <c r="AI424" s="88"/>
      <c r="AJ424" s="88"/>
      <c r="AK424" s="88"/>
      <c r="AL424" s="88"/>
      <c r="AM424" s="88">
        <v>37.229846979018774</v>
      </c>
      <c r="AN424" s="88">
        <v>126.78</v>
      </c>
      <c r="AO424" s="89"/>
      <c r="AP424" s="90"/>
      <c r="AQ424" s="146" t="str">
        <f t="shared" si="176"/>
        <v/>
      </c>
      <c r="AR424" s="146" t="str">
        <f t="shared" si="177"/>
        <v/>
      </c>
      <c r="AS424" s="147">
        <v>20</v>
      </c>
      <c r="AT424" s="148">
        <v>14.55</v>
      </c>
      <c r="AU424" s="149">
        <v>8.1912000000000003</v>
      </c>
      <c r="AV424" s="146">
        <f t="shared" si="178"/>
        <v>56.296907216494837</v>
      </c>
      <c r="AW424" s="146">
        <f t="shared" si="179"/>
        <v>43.703092783505163</v>
      </c>
      <c r="AX424" s="138" t="str">
        <f t="shared" si="180"/>
        <v/>
      </c>
      <c r="AY424" s="95">
        <v>75.25</v>
      </c>
      <c r="AZ424" s="96">
        <v>58.87</v>
      </c>
      <c r="BA424" s="96"/>
      <c r="BB424" s="96">
        <v>55</v>
      </c>
      <c r="BC424" s="96"/>
      <c r="BD424" s="97">
        <v>126.78</v>
      </c>
      <c r="BE424" s="142">
        <f t="shared" si="181"/>
        <v>6440</v>
      </c>
      <c r="BF424" s="88">
        <v>422</v>
      </c>
      <c r="BG424" s="98">
        <v>0</v>
      </c>
      <c r="BH424" s="98">
        <v>0</v>
      </c>
      <c r="BI424" s="98">
        <v>6018</v>
      </c>
      <c r="BJ424" s="98"/>
      <c r="BK424" s="98"/>
      <c r="BL424" s="97"/>
    </row>
    <row r="425" spans="1:64" outlineLevel="5" x14ac:dyDescent="0.3">
      <c r="A425" s="152">
        <f t="shared" si="167"/>
        <v>12</v>
      </c>
      <c r="B425" s="153">
        <f t="shared" si="182"/>
        <v>44925</v>
      </c>
      <c r="C425" s="138">
        <f t="shared" si="172"/>
        <v>37.6</v>
      </c>
      <c r="D425" s="84">
        <v>37.6</v>
      </c>
      <c r="E425" s="84">
        <v>37.6</v>
      </c>
      <c r="F425" s="84"/>
      <c r="G425" s="84"/>
      <c r="H425" s="84"/>
      <c r="I425" s="84"/>
      <c r="J425" s="84"/>
      <c r="K425" s="84"/>
      <c r="L425" s="140">
        <f t="shared" si="173"/>
        <v>8.5</v>
      </c>
      <c r="M425" s="86">
        <v>8.5399999999999991</v>
      </c>
      <c r="N425" s="86">
        <v>8.48</v>
      </c>
      <c r="O425" s="86"/>
      <c r="P425" s="86"/>
      <c r="Q425" s="86"/>
      <c r="R425" s="86"/>
      <c r="S425" s="86"/>
      <c r="T425" s="86"/>
      <c r="U425" s="142">
        <f t="shared" si="174"/>
        <v>981</v>
      </c>
      <c r="V425" s="88">
        <v>1010</v>
      </c>
      <c r="W425" s="88">
        <v>952</v>
      </c>
      <c r="X425" s="88"/>
      <c r="Y425" s="88"/>
      <c r="Z425" s="88"/>
      <c r="AA425" s="88"/>
      <c r="AB425" s="88"/>
      <c r="AC425" s="88"/>
      <c r="AD425" s="142" t="str">
        <f t="shared" si="175"/>
        <v/>
      </c>
      <c r="AE425" s="88"/>
      <c r="AF425" s="88"/>
      <c r="AG425" s="88"/>
      <c r="AH425" s="88"/>
      <c r="AI425" s="88"/>
      <c r="AJ425" s="88"/>
      <c r="AK425" s="88"/>
      <c r="AL425" s="88"/>
      <c r="AM425" s="88">
        <v>42.44986059897473</v>
      </c>
      <c r="AN425" s="88">
        <v>111.19</v>
      </c>
      <c r="AO425" s="89"/>
      <c r="AP425" s="90"/>
      <c r="AQ425" s="146" t="str">
        <f t="shared" si="176"/>
        <v/>
      </c>
      <c r="AR425" s="146" t="str">
        <f t="shared" si="177"/>
        <v/>
      </c>
      <c r="AS425" s="147">
        <v>20</v>
      </c>
      <c r="AT425" s="148" t="s">
        <v>106</v>
      </c>
      <c r="AU425" s="149" t="s">
        <v>56</v>
      </c>
      <c r="AV425" s="146" t="str">
        <f t="shared" si="178"/>
        <v/>
      </c>
      <c r="AW425" s="146" t="str">
        <f t="shared" si="179"/>
        <v/>
      </c>
      <c r="AX425" s="138" t="str">
        <f t="shared" si="180"/>
        <v/>
      </c>
      <c r="AY425" s="95" t="s">
        <v>56</v>
      </c>
      <c r="AZ425" s="96">
        <v>60.664999999999999</v>
      </c>
      <c r="BA425" s="96"/>
      <c r="BB425" s="96">
        <v>35.5</v>
      </c>
      <c r="BC425" s="96"/>
      <c r="BD425" s="97">
        <v>111.19</v>
      </c>
      <c r="BE425" s="142">
        <f t="shared" si="181"/>
        <v>6687</v>
      </c>
      <c r="BF425" s="88">
        <v>664</v>
      </c>
      <c r="BG425" s="98">
        <v>0</v>
      </c>
      <c r="BH425" s="98">
        <v>0</v>
      </c>
      <c r="BI425" s="98">
        <v>6023</v>
      </c>
      <c r="BJ425" s="98"/>
      <c r="BK425" s="98"/>
      <c r="BL425" s="97"/>
    </row>
    <row r="426" spans="1:64" ht="17.25" outlineLevel="5" thickBot="1" x14ac:dyDescent="0.35">
      <c r="A426" s="169">
        <f t="shared" si="167"/>
        <v>12</v>
      </c>
      <c r="B426" s="170">
        <f t="shared" si="182"/>
        <v>44926</v>
      </c>
      <c r="C426" s="138">
        <f t="shared" si="172"/>
        <v>37.5</v>
      </c>
      <c r="D426" s="171">
        <v>37.5</v>
      </c>
      <c r="E426" s="171">
        <v>37.4</v>
      </c>
      <c r="F426" s="171"/>
      <c r="G426" s="171"/>
      <c r="H426" s="171"/>
      <c r="I426" s="171"/>
      <c r="J426" s="171"/>
      <c r="K426" s="171"/>
      <c r="L426" s="140" t="str">
        <f t="shared" si="173"/>
        <v/>
      </c>
      <c r="M426" s="172"/>
      <c r="N426" s="172"/>
      <c r="O426" s="172"/>
      <c r="P426" s="172"/>
      <c r="Q426" s="172"/>
      <c r="R426" s="172"/>
      <c r="S426" s="172"/>
      <c r="T426" s="172"/>
      <c r="U426" s="142" t="str">
        <f t="shared" si="174"/>
        <v/>
      </c>
      <c r="V426" s="107"/>
      <c r="W426" s="107"/>
      <c r="X426" s="107"/>
      <c r="Y426" s="107"/>
      <c r="Z426" s="107"/>
      <c r="AA426" s="107"/>
      <c r="AB426" s="107"/>
      <c r="AC426" s="107"/>
      <c r="AD426" s="142" t="str">
        <f t="shared" si="175"/>
        <v/>
      </c>
      <c r="AE426" s="107"/>
      <c r="AF426" s="107"/>
      <c r="AG426" s="107"/>
      <c r="AH426" s="107"/>
      <c r="AI426" s="107"/>
      <c r="AJ426" s="107"/>
      <c r="AK426" s="107"/>
      <c r="AL426" s="107"/>
      <c r="AM426" s="107">
        <v>41.168774531181853</v>
      </c>
      <c r="AN426" s="107">
        <v>114.65</v>
      </c>
      <c r="AO426" s="173"/>
      <c r="AP426" s="174"/>
      <c r="AQ426" s="146" t="str">
        <f t="shared" si="176"/>
        <v/>
      </c>
      <c r="AR426" s="146" t="str">
        <f t="shared" si="177"/>
        <v/>
      </c>
      <c r="AS426" s="147">
        <v>0</v>
      </c>
      <c r="AT426" s="148" t="s">
        <v>106</v>
      </c>
      <c r="AU426" s="149" t="s">
        <v>56</v>
      </c>
      <c r="AV426" s="146" t="str">
        <f t="shared" si="178"/>
        <v/>
      </c>
      <c r="AW426" s="146" t="str">
        <f t="shared" si="179"/>
        <v/>
      </c>
      <c r="AX426" s="138" t="str">
        <f t="shared" si="180"/>
        <v/>
      </c>
      <c r="AY426" s="175" t="s">
        <v>56</v>
      </c>
      <c r="AZ426" s="176" t="s">
        <v>56</v>
      </c>
      <c r="BA426" s="176"/>
      <c r="BB426" s="176" t="s">
        <v>56</v>
      </c>
      <c r="BC426" s="176"/>
      <c r="BD426" s="116">
        <v>114.65</v>
      </c>
      <c r="BE426" s="142">
        <f t="shared" si="181"/>
        <v>6286</v>
      </c>
      <c r="BF426" s="107">
        <v>475</v>
      </c>
      <c r="BG426" s="118">
        <v>0</v>
      </c>
      <c r="BH426" s="118">
        <v>0</v>
      </c>
      <c r="BI426" s="118">
        <v>5811</v>
      </c>
      <c r="BJ426" s="118"/>
      <c r="BK426" s="118"/>
      <c r="BL426" s="116"/>
    </row>
    <row r="427" spans="1:64" outlineLevel="4" x14ac:dyDescent="0.3">
      <c r="A427" s="63" t="s">
        <v>101</v>
      </c>
      <c r="B427" s="64"/>
      <c r="C427" s="65">
        <f t="shared" ref="C427:BL427" si="183">SUBTOTAL(4,C396:C426)</f>
        <v>38</v>
      </c>
      <c r="D427" s="66">
        <f t="shared" si="183"/>
        <v>38</v>
      </c>
      <c r="E427" s="66">
        <f t="shared" si="183"/>
        <v>38</v>
      </c>
      <c r="F427" s="66">
        <f t="shared" si="183"/>
        <v>0</v>
      </c>
      <c r="G427" s="66">
        <f t="shared" si="183"/>
        <v>0</v>
      </c>
      <c r="H427" s="66">
        <f t="shared" si="183"/>
        <v>0</v>
      </c>
      <c r="I427" s="66">
        <f t="shared" si="183"/>
        <v>0</v>
      </c>
      <c r="J427" s="66">
        <f t="shared" si="183"/>
        <v>0</v>
      </c>
      <c r="K427" s="66">
        <f t="shared" si="183"/>
        <v>0</v>
      </c>
      <c r="L427" s="67">
        <f t="shared" si="183"/>
        <v>8.6</v>
      </c>
      <c r="M427" s="68">
        <f t="shared" si="183"/>
        <v>8.6199999999999992</v>
      </c>
      <c r="N427" s="68">
        <f t="shared" si="183"/>
        <v>8.57</v>
      </c>
      <c r="O427" s="68">
        <f t="shared" si="183"/>
        <v>0</v>
      </c>
      <c r="P427" s="68">
        <f t="shared" si="183"/>
        <v>0</v>
      </c>
      <c r="Q427" s="68">
        <f t="shared" si="183"/>
        <v>0</v>
      </c>
      <c r="R427" s="68">
        <f t="shared" si="183"/>
        <v>0</v>
      </c>
      <c r="S427" s="68">
        <f t="shared" si="183"/>
        <v>0</v>
      </c>
      <c r="T427" s="68">
        <f t="shared" si="183"/>
        <v>0</v>
      </c>
      <c r="U427" s="69">
        <f t="shared" si="183"/>
        <v>1376</v>
      </c>
      <c r="V427" s="70">
        <f t="shared" si="183"/>
        <v>1472</v>
      </c>
      <c r="W427" s="70">
        <f t="shared" si="183"/>
        <v>1280</v>
      </c>
      <c r="X427" s="70">
        <f t="shared" si="183"/>
        <v>0</v>
      </c>
      <c r="Y427" s="70">
        <f t="shared" si="183"/>
        <v>0</v>
      </c>
      <c r="Z427" s="70">
        <f t="shared" si="183"/>
        <v>0</v>
      </c>
      <c r="AA427" s="70">
        <f t="shared" si="183"/>
        <v>0</v>
      </c>
      <c r="AB427" s="70">
        <f t="shared" si="183"/>
        <v>0</v>
      </c>
      <c r="AC427" s="70">
        <f t="shared" si="183"/>
        <v>0</v>
      </c>
      <c r="AD427" s="69">
        <f t="shared" si="183"/>
        <v>7505</v>
      </c>
      <c r="AE427" s="70">
        <f t="shared" si="183"/>
        <v>7720</v>
      </c>
      <c r="AF427" s="70">
        <f t="shared" si="183"/>
        <v>7290</v>
      </c>
      <c r="AG427" s="70">
        <f t="shared" si="183"/>
        <v>0</v>
      </c>
      <c r="AH427" s="70">
        <f t="shared" si="183"/>
        <v>0</v>
      </c>
      <c r="AI427" s="70">
        <f t="shared" si="183"/>
        <v>0</v>
      </c>
      <c r="AJ427" s="70">
        <f t="shared" si="183"/>
        <v>0</v>
      </c>
      <c r="AK427" s="70">
        <f t="shared" si="183"/>
        <v>0</v>
      </c>
      <c r="AL427" s="70">
        <f t="shared" si="183"/>
        <v>0</v>
      </c>
      <c r="AM427" s="70">
        <f t="shared" si="183"/>
        <v>88.671801615630272</v>
      </c>
      <c r="AN427" s="70">
        <f t="shared" si="183"/>
        <v>149.19</v>
      </c>
      <c r="AO427" s="71">
        <f t="shared" si="183"/>
        <v>21.1</v>
      </c>
      <c r="AP427" s="72">
        <f t="shared" si="183"/>
        <v>16.669</v>
      </c>
      <c r="AQ427" s="73">
        <f t="shared" si="183"/>
        <v>79.7</v>
      </c>
      <c r="AR427" s="73">
        <f t="shared" si="183"/>
        <v>21.000000000000014</v>
      </c>
      <c r="AS427" s="74">
        <f t="shared" si="183"/>
        <v>30</v>
      </c>
      <c r="AT427" s="75">
        <f t="shared" si="183"/>
        <v>15</v>
      </c>
      <c r="AU427" s="76">
        <f t="shared" si="183"/>
        <v>8.3574000000000002</v>
      </c>
      <c r="AV427" s="73">
        <f t="shared" si="183"/>
        <v>56.336678200692049</v>
      </c>
      <c r="AW427" s="73">
        <f t="shared" si="183"/>
        <v>45.563636363636363</v>
      </c>
      <c r="AX427" s="65">
        <f t="shared" si="183"/>
        <v>68.023571219885</v>
      </c>
      <c r="AY427" s="77">
        <f t="shared" si="183"/>
        <v>75.3</v>
      </c>
      <c r="AZ427" s="78">
        <f t="shared" si="183"/>
        <v>60.784999999999997</v>
      </c>
      <c r="BA427" s="78">
        <f t="shared" si="183"/>
        <v>0</v>
      </c>
      <c r="BB427" s="78">
        <f t="shared" si="183"/>
        <v>125.5</v>
      </c>
      <c r="BC427" s="78">
        <f t="shared" si="183"/>
        <v>0</v>
      </c>
      <c r="BD427" s="79">
        <f t="shared" si="183"/>
        <v>149.19</v>
      </c>
      <c r="BE427" s="69">
        <f t="shared" si="183"/>
        <v>7196</v>
      </c>
      <c r="BF427" s="70">
        <f t="shared" si="183"/>
        <v>834</v>
      </c>
      <c r="BG427" s="80">
        <f t="shared" si="183"/>
        <v>0</v>
      </c>
      <c r="BH427" s="80">
        <f t="shared" si="183"/>
        <v>441</v>
      </c>
      <c r="BI427" s="80">
        <f t="shared" si="183"/>
        <v>6913</v>
      </c>
      <c r="BJ427" s="80">
        <f t="shared" si="183"/>
        <v>0</v>
      </c>
      <c r="BK427" s="80">
        <f t="shared" si="183"/>
        <v>0</v>
      </c>
      <c r="BL427" s="79">
        <f t="shared" si="183"/>
        <v>0</v>
      </c>
    </row>
    <row r="428" spans="1:64" outlineLevel="3" x14ac:dyDescent="0.3">
      <c r="A428" s="81" t="s">
        <v>102</v>
      </c>
      <c r="B428" s="82"/>
      <c r="C428" s="83">
        <f t="shared" ref="C428:BL428" si="184">SUBTOTAL(5,C396:C426)</f>
        <v>35</v>
      </c>
      <c r="D428" s="84">
        <f t="shared" si="184"/>
        <v>35</v>
      </c>
      <c r="E428" s="84">
        <f t="shared" si="184"/>
        <v>35</v>
      </c>
      <c r="F428" s="84">
        <f t="shared" si="184"/>
        <v>0</v>
      </c>
      <c r="G428" s="84">
        <f t="shared" si="184"/>
        <v>0</v>
      </c>
      <c r="H428" s="84">
        <f t="shared" si="184"/>
        <v>0</v>
      </c>
      <c r="I428" s="84">
        <f t="shared" si="184"/>
        <v>0</v>
      </c>
      <c r="J428" s="84">
        <f t="shared" si="184"/>
        <v>0</v>
      </c>
      <c r="K428" s="84">
        <f t="shared" si="184"/>
        <v>0</v>
      </c>
      <c r="L428" s="85">
        <f t="shared" si="184"/>
        <v>8.4</v>
      </c>
      <c r="M428" s="86">
        <f t="shared" si="184"/>
        <v>8.44</v>
      </c>
      <c r="N428" s="86">
        <f t="shared" si="184"/>
        <v>8.3800000000000008</v>
      </c>
      <c r="O428" s="86">
        <f t="shared" si="184"/>
        <v>0</v>
      </c>
      <c r="P428" s="86">
        <f t="shared" si="184"/>
        <v>0</v>
      </c>
      <c r="Q428" s="86">
        <f t="shared" si="184"/>
        <v>0</v>
      </c>
      <c r="R428" s="86">
        <f t="shared" si="184"/>
        <v>0</v>
      </c>
      <c r="S428" s="86">
        <f t="shared" si="184"/>
        <v>0</v>
      </c>
      <c r="T428" s="86">
        <f t="shared" si="184"/>
        <v>0</v>
      </c>
      <c r="U428" s="87">
        <f t="shared" si="184"/>
        <v>939</v>
      </c>
      <c r="V428" s="88">
        <f t="shared" si="184"/>
        <v>987</v>
      </c>
      <c r="W428" s="88">
        <f t="shared" si="184"/>
        <v>890</v>
      </c>
      <c r="X428" s="88">
        <f t="shared" si="184"/>
        <v>0</v>
      </c>
      <c r="Y428" s="88">
        <f t="shared" si="184"/>
        <v>0</v>
      </c>
      <c r="Z428" s="88">
        <f t="shared" si="184"/>
        <v>0</v>
      </c>
      <c r="AA428" s="88">
        <f t="shared" si="184"/>
        <v>0</v>
      </c>
      <c r="AB428" s="88">
        <f t="shared" si="184"/>
        <v>0</v>
      </c>
      <c r="AC428" s="88">
        <f t="shared" si="184"/>
        <v>0</v>
      </c>
      <c r="AD428" s="87">
        <f t="shared" si="184"/>
        <v>6915</v>
      </c>
      <c r="AE428" s="88">
        <f t="shared" si="184"/>
        <v>7150</v>
      </c>
      <c r="AF428" s="88">
        <f t="shared" si="184"/>
        <v>6680</v>
      </c>
      <c r="AG428" s="88">
        <f t="shared" si="184"/>
        <v>0</v>
      </c>
      <c r="AH428" s="88">
        <f t="shared" si="184"/>
        <v>0</v>
      </c>
      <c r="AI428" s="88">
        <f t="shared" si="184"/>
        <v>0</v>
      </c>
      <c r="AJ428" s="88">
        <f t="shared" si="184"/>
        <v>0</v>
      </c>
      <c r="AK428" s="88">
        <f t="shared" si="184"/>
        <v>0</v>
      </c>
      <c r="AL428" s="88">
        <f t="shared" si="184"/>
        <v>0</v>
      </c>
      <c r="AM428" s="88">
        <f t="shared" si="184"/>
        <v>31.637509216435419</v>
      </c>
      <c r="AN428" s="88">
        <f t="shared" si="184"/>
        <v>53.230000000000004</v>
      </c>
      <c r="AO428" s="89">
        <f t="shared" si="184"/>
        <v>20.8</v>
      </c>
      <c r="AP428" s="90">
        <f t="shared" si="184"/>
        <v>16.510999999999999</v>
      </c>
      <c r="AQ428" s="91">
        <f t="shared" si="184"/>
        <v>78.999999999999986</v>
      </c>
      <c r="AR428" s="91">
        <f t="shared" si="184"/>
        <v>20.299999999999997</v>
      </c>
      <c r="AS428" s="92">
        <f t="shared" si="184"/>
        <v>0</v>
      </c>
      <c r="AT428" s="93">
        <f t="shared" si="184"/>
        <v>14.4</v>
      </c>
      <c r="AU428" s="94">
        <f t="shared" si="184"/>
        <v>8.0508000000000006</v>
      </c>
      <c r="AV428" s="91">
        <f t="shared" si="184"/>
        <v>54.436363636363637</v>
      </c>
      <c r="AW428" s="91">
        <f t="shared" si="184"/>
        <v>43.663321799307951</v>
      </c>
      <c r="AX428" s="83">
        <f t="shared" si="184"/>
        <v>66.39156683693767</v>
      </c>
      <c r="AY428" s="95">
        <f t="shared" si="184"/>
        <v>74.900000000000006</v>
      </c>
      <c r="AZ428" s="96">
        <f t="shared" si="184"/>
        <v>56.155000000000001</v>
      </c>
      <c r="BA428" s="96">
        <f t="shared" si="184"/>
        <v>0</v>
      </c>
      <c r="BB428" s="96">
        <f t="shared" si="184"/>
        <v>35.5</v>
      </c>
      <c r="BC428" s="96">
        <f t="shared" si="184"/>
        <v>0</v>
      </c>
      <c r="BD428" s="97">
        <f t="shared" si="184"/>
        <v>53.230000000000004</v>
      </c>
      <c r="BE428" s="87">
        <f t="shared" si="184"/>
        <v>337</v>
      </c>
      <c r="BF428" s="88">
        <f t="shared" si="184"/>
        <v>0</v>
      </c>
      <c r="BG428" s="98">
        <f t="shared" si="184"/>
        <v>0</v>
      </c>
      <c r="BH428" s="98">
        <f t="shared" si="184"/>
        <v>0</v>
      </c>
      <c r="BI428" s="98">
        <f t="shared" si="184"/>
        <v>0</v>
      </c>
      <c r="BJ428" s="98">
        <f t="shared" si="184"/>
        <v>0</v>
      </c>
      <c r="BK428" s="98">
        <f t="shared" si="184"/>
        <v>0</v>
      </c>
      <c r="BL428" s="97">
        <f t="shared" si="184"/>
        <v>0</v>
      </c>
    </row>
    <row r="429" spans="1:64" outlineLevel="2" x14ac:dyDescent="0.3">
      <c r="A429" s="81" t="s">
        <v>103</v>
      </c>
      <c r="B429" s="82"/>
      <c r="C429" s="83">
        <f t="shared" ref="C429:BL429" si="185">IFERROR(SUBTOTAL(1,C396:C426),"")</f>
        <v>36.525806451612901</v>
      </c>
      <c r="D429" s="84">
        <f t="shared" si="185"/>
        <v>36.616129032258058</v>
      </c>
      <c r="E429" s="84">
        <f t="shared" si="185"/>
        <v>36.42258064516129</v>
      </c>
      <c r="F429" s="84" t="str">
        <f t="shared" si="185"/>
        <v/>
      </c>
      <c r="G429" s="84" t="str">
        <f t="shared" si="185"/>
        <v/>
      </c>
      <c r="H429" s="84" t="str">
        <f t="shared" si="185"/>
        <v/>
      </c>
      <c r="I429" s="84" t="str">
        <f t="shared" si="185"/>
        <v/>
      </c>
      <c r="J429" s="84" t="str">
        <f t="shared" si="185"/>
        <v/>
      </c>
      <c r="K429" s="84" t="str">
        <f t="shared" si="185"/>
        <v/>
      </c>
      <c r="L429" s="85">
        <f t="shared" si="185"/>
        <v>8.4999999999999982</v>
      </c>
      <c r="M429" s="86">
        <f t="shared" si="185"/>
        <v>8.5377272727272722</v>
      </c>
      <c r="N429" s="86">
        <f t="shared" si="185"/>
        <v>8.4749999999999979</v>
      </c>
      <c r="O429" s="86" t="str">
        <f t="shared" si="185"/>
        <v/>
      </c>
      <c r="P429" s="86" t="str">
        <f t="shared" si="185"/>
        <v/>
      </c>
      <c r="Q429" s="86" t="str">
        <f t="shared" si="185"/>
        <v/>
      </c>
      <c r="R429" s="86" t="str">
        <f t="shared" si="185"/>
        <v/>
      </c>
      <c r="S429" s="86" t="str">
        <f t="shared" si="185"/>
        <v/>
      </c>
      <c r="T429" s="86" t="str">
        <f t="shared" si="185"/>
        <v/>
      </c>
      <c r="U429" s="87">
        <f t="shared" si="185"/>
        <v>1085.159090909091</v>
      </c>
      <c r="V429" s="88">
        <f t="shared" si="185"/>
        <v>1141.8181818181818</v>
      </c>
      <c r="W429" s="88">
        <f t="shared" si="185"/>
        <v>1028.5</v>
      </c>
      <c r="X429" s="88" t="str">
        <f t="shared" si="185"/>
        <v/>
      </c>
      <c r="Y429" s="88" t="str">
        <f t="shared" si="185"/>
        <v/>
      </c>
      <c r="Z429" s="88" t="str">
        <f t="shared" si="185"/>
        <v/>
      </c>
      <c r="AA429" s="88" t="str">
        <f t="shared" si="185"/>
        <v/>
      </c>
      <c r="AB429" s="88" t="str">
        <f t="shared" si="185"/>
        <v/>
      </c>
      <c r="AC429" s="88" t="str">
        <f t="shared" si="185"/>
        <v/>
      </c>
      <c r="AD429" s="87">
        <f t="shared" si="185"/>
        <v>7197.5</v>
      </c>
      <c r="AE429" s="88">
        <f t="shared" si="185"/>
        <v>7387.5</v>
      </c>
      <c r="AF429" s="88">
        <f t="shared" si="185"/>
        <v>7007.5</v>
      </c>
      <c r="AG429" s="88" t="str">
        <f t="shared" si="185"/>
        <v/>
      </c>
      <c r="AH429" s="88" t="str">
        <f t="shared" si="185"/>
        <v/>
      </c>
      <c r="AI429" s="88" t="str">
        <f t="shared" si="185"/>
        <v/>
      </c>
      <c r="AJ429" s="88" t="str">
        <f t="shared" si="185"/>
        <v/>
      </c>
      <c r="AK429" s="88" t="str">
        <f t="shared" si="185"/>
        <v/>
      </c>
      <c r="AL429" s="88" t="str">
        <f t="shared" si="185"/>
        <v/>
      </c>
      <c r="AM429" s="88">
        <f t="shared" si="185"/>
        <v>44.432749772612375</v>
      </c>
      <c r="AN429" s="88">
        <f t="shared" si="185"/>
        <v>111.71580645161289</v>
      </c>
      <c r="AO429" s="89">
        <f t="shared" si="185"/>
        <v>20.925000000000001</v>
      </c>
      <c r="AP429" s="90">
        <f t="shared" si="185"/>
        <v>16.588124999999998</v>
      </c>
      <c r="AQ429" s="91">
        <f t="shared" si="185"/>
        <v>79.275000000000006</v>
      </c>
      <c r="AR429" s="91">
        <f t="shared" si="185"/>
        <v>20.724999999999998</v>
      </c>
      <c r="AS429" s="92">
        <f t="shared" si="185"/>
        <v>15.064516129032258</v>
      </c>
      <c r="AT429" s="93">
        <f t="shared" si="185"/>
        <v>14.738461538461539</v>
      </c>
      <c r="AU429" s="94">
        <f t="shared" si="185"/>
        <v>8.1973538461538453</v>
      </c>
      <c r="AV429" s="91">
        <f t="shared" si="185"/>
        <v>55.624397047819038</v>
      </c>
      <c r="AW429" s="91">
        <f t="shared" si="185"/>
        <v>44.375602952180962</v>
      </c>
      <c r="AX429" s="83">
        <f t="shared" si="185"/>
        <v>67.095969181966638</v>
      </c>
      <c r="AY429" s="95">
        <f t="shared" si="185"/>
        <v>75.065384615384602</v>
      </c>
      <c r="AZ429" s="96">
        <f t="shared" si="185"/>
        <v>58.425789473684205</v>
      </c>
      <c r="BA429" s="96" t="str">
        <f t="shared" si="185"/>
        <v/>
      </c>
      <c r="BB429" s="96">
        <f t="shared" si="185"/>
        <v>71.578947368421055</v>
      </c>
      <c r="BC429" s="96" t="str">
        <f t="shared" si="185"/>
        <v/>
      </c>
      <c r="BD429" s="97">
        <f>IFERROR(SUBTOTAL(1,BD396:BD426),"")</f>
        <v>111.71580645161289</v>
      </c>
      <c r="BE429" s="87">
        <f t="shared" si="185"/>
        <v>5323.1935483870966</v>
      </c>
      <c r="BF429" s="88">
        <f t="shared" si="185"/>
        <v>416.38709677419354</v>
      </c>
      <c r="BG429" s="98">
        <f t="shared" si="185"/>
        <v>0</v>
      </c>
      <c r="BH429" s="98">
        <f t="shared" si="185"/>
        <v>14.225806451612904</v>
      </c>
      <c r="BI429" s="98">
        <f t="shared" si="185"/>
        <v>4892.5806451612907</v>
      </c>
      <c r="BJ429" s="98" t="str">
        <f t="shared" si="185"/>
        <v/>
      </c>
      <c r="BK429" s="98" t="str">
        <f t="shared" si="185"/>
        <v/>
      </c>
      <c r="BL429" s="97" t="str">
        <f t="shared" si="185"/>
        <v/>
      </c>
    </row>
    <row r="430" spans="1:64" ht="17.25" outlineLevel="1" thickBot="1" x14ac:dyDescent="0.35">
      <c r="A430" s="99" t="s">
        <v>104</v>
      </c>
      <c r="B430" s="100"/>
      <c r="C430" s="101"/>
      <c r="D430" s="102"/>
      <c r="E430" s="102"/>
      <c r="F430" s="102"/>
      <c r="G430" s="102"/>
      <c r="H430" s="102"/>
      <c r="I430" s="102"/>
      <c r="J430" s="102"/>
      <c r="K430" s="102"/>
      <c r="L430" s="103"/>
      <c r="M430" s="104"/>
      <c r="N430" s="104"/>
      <c r="O430" s="104"/>
      <c r="P430" s="104"/>
      <c r="Q430" s="104"/>
      <c r="R430" s="104"/>
      <c r="S430" s="104"/>
      <c r="T430" s="104"/>
      <c r="U430" s="105"/>
      <c r="V430" s="106"/>
      <c r="W430" s="106"/>
      <c r="X430" s="106"/>
      <c r="Y430" s="106"/>
      <c r="Z430" s="106"/>
      <c r="AA430" s="106"/>
      <c r="AB430" s="106"/>
      <c r="AC430" s="106"/>
      <c r="AD430" s="105"/>
      <c r="AE430" s="106"/>
      <c r="AF430" s="106"/>
      <c r="AG430" s="106"/>
      <c r="AH430" s="106"/>
      <c r="AI430" s="106"/>
      <c r="AJ430" s="106"/>
      <c r="AK430" s="106"/>
      <c r="AL430" s="106"/>
      <c r="AM430" s="106"/>
      <c r="AN430" s="107">
        <f>SUBTOTAL(9,AN396:AN426)</f>
        <v>3463.1899999999996</v>
      </c>
      <c r="AO430" s="108"/>
      <c r="AP430" s="109"/>
      <c r="AQ430" s="110"/>
      <c r="AR430" s="110"/>
      <c r="AS430" s="111">
        <f>SUBTOTAL(9,AS396:AS426)</f>
        <v>467</v>
      </c>
      <c r="AT430" s="112"/>
      <c r="AU430" s="113"/>
      <c r="AV430" s="110"/>
      <c r="AW430" s="110"/>
      <c r="AX430" s="101"/>
      <c r="AY430" s="114"/>
      <c r="AZ430" s="115"/>
      <c r="BA430" s="115"/>
      <c r="BB430" s="115"/>
      <c r="BC430" s="115"/>
      <c r="BD430" s="116">
        <f>SUBTOTAL(9,BD396:BD426)</f>
        <v>3463.1899999999996</v>
      </c>
      <c r="BE430" s="117">
        <f t="shared" ref="BE430:BL430" si="186">SUBTOTAL(9,BE396:BE426)</f>
        <v>165019</v>
      </c>
      <c r="BF430" s="107">
        <f t="shared" si="186"/>
        <v>12908</v>
      </c>
      <c r="BG430" s="118">
        <f t="shared" si="186"/>
        <v>0</v>
      </c>
      <c r="BH430" s="118">
        <f t="shared" si="186"/>
        <v>441</v>
      </c>
      <c r="BI430" s="118">
        <f t="shared" si="186"/>
        <v>151670</v>
      </c>
      <c r="BJ430" s="118">
        <f t="shared" si="186"/>
        <v>0</v>
      </c>
      <c r="BK430" s="118">
        <f t="shared" si="186"/>
        <v>0</v>
      </c>
      <c r="BL430" s="116">
        <f t="shared" si="186"/>
        <v>0</v>
      </c>
    </row>
    <row r="431" spans="1:64" outlineLevel="1" x14ac:dyDescent="0.3">
      <c r="A431" s="177"/>
      <c r="B431" s="177"/>
      <c r="C431" s="178"/>
      <c r="D431" s="178"/>
      <c r="E431" s="178"/>
      <c r="F431" s="178"/>
      <c r="G431" s="178"/>
      <c r="H431" s="178"/>
      <c r="I431" s="178"/>
      <c r="J431" s="178"/>
      <c r="K431" s="178"/>
      <c r="L431" s="127"/>
      <c r="M431" s="127"/>
      <c r="N431" s="127"/>
      <c r="O431" s="127"/>
      <c r="P431" s="127"/>
      <c r="Q431" s="127"/>
      <c r="R431" s="127"/>
      <c r="S431" s="127"/>
      <c r="T431" s="127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30"/>
      <c r="AP431" s="130"/>
      <c r="AQ431" s="130"/>
      <c r="AR431" s="130"/>
      <c r="AS431" s="179"/>
      <c r="AT431" s="180"/>
      <c r="AU431" s="180"/>
      <c r="AV431" s="130"/>
      <c r="AW431" s="130"/>
      <c r="AX431" s="178"/>
      <c r="AY431" s="127"/>
      <c r="AZ431" s="127"/>
      <c r="BA431" s="127"/>
      <c r="BB431" s="127"/>
      <c r="BC431" s="127"/>
      <c r="BD431" s="129"/>
      <c r="BE431" s="129"/>
      <c r="BF431" s="129"/>
      <c r="BG431" s="129"/>
      <c r="BH431" s="129"/>
      <c r="BI431" s="129"/>
      <c r="BJ431" s="129"/>
      <c r="BK431" s="129"/>
      <c r="BL431" s="129"/>
    </row>
  </sheetData>
  <mergeCells count="110">
    <mergeCell ref="A429:B429"/>
    <mergeCell ref="A430:B430"/>
    <mergeCell ref="A392:B392"/>
    <mergeCell ref="A393:B393"/>
    <mergeCell ref="A394:B394"/>
    <mergeCell ref="A395:B395"/>
    <mergeCell ref="A427:B427"/>
    <mergeCell ref="A428:B428"/>
    <mergeCell ref="A325:B325"/>
    <mergeCell ref="A326:B326"/>
    <mergeCell ref="A358:B358"/>
    <mergeCell ref="A359:B359"/>
    <mergeCell ref="A360:B360"/>
    <mergeCell ref="A361:B361"/>
    <mergeCell ref="A289:B289"/>
    <mergeCell ref="A290:B290"/>
    <mergeCell ref="A291:B291"/>
    <mergeCell ref="A292:B292"/>
    <mergeCell ref="A323:B323"/>
    <mergeCell ref="A324:B324"/>
    <mergeCell ref="A221:B221"/>
    <mergeCell ref="A222:B222"/>
    <mergeCell ref="A254:B254"/>
    <mergeCell ref="A255:B255"/>
    <mergeCell ref="A256:B256"/>
    <mergeCell ref="A257:B257"/>
    <mergeCell ref="A185:B185"/>
    <mergeCell ref="A186:B186"/>
    <mergeCell ref="A187:B187"/>
    <mergeCell ref="A188:B188"/>
    <mergeCell ref="A219:B219"/>
    <mergeCell ref="A220:B220"/>
    <mergeCell ref="A118:B118"/>
    <mergeCell ref="A119:B119"/>
    <mergeCell ref="A150:B150"/>
    <mergeCell ref="A151:B151"/>
    <mergeCell ref="A152:B152"/>
    <mergeCell ref="A153:B153"/>
    <mergeCell ref="A81:B81"/>
    <mergeCell ref="A82:B82"/>
    <mergeCell ref="A83:B83"/>
    <mergeCell ref="A84:B84"/>
    <mergeCell ref="A116:B116"/>
    <mergeCell ref="A117:B117"/>
    <mergeCell ref="BK15:BK16"/>
    <mergeCell ref="BL15:BL16"/>
    <mergeCell ref="A48:B48"/>
    <mergeCell ref="A49:B49"/>
    <mergeCell ref="A50:B50"/>
    <mergeCell ref="A51:B51"/>
    <mergeCell ref="BE15:BE16"/>
    <mergeCell ref="BF15:BF16"/>
    <mergeCell ref="BG15:BG16"/>
    <mergeCell ref="BH15:BH16"/>
    <mergeCell ref="BI15:BI16"/>
    <mergeCell ref="BJ15:BJ16"/>
    <mergeCell ref="AV15:AV16"/>
    <mergeCell ref="AW15:AW16"/>
    <mergeCell ref="AX15:AX16"/>
    <mergeCell ref="AY15:AY16"/>
    <mergeCell ref="AZ15:BC15"/>
    <mergeCell ref="BD15:BD16"/>
    <mergeCell ref="AP15:AP16"/>
    <mergeCell ref="AQ15:AQ16"/>
    <mergeCell ref="AR15:AR16"/>
    <mergeCell ref="AS15:AS16"/>
    <mergeCell ref="AT15:AT16"/>
    <mergeCell ref="AU15:AU16"/>
    <mergeCell ref="L15:T15"/>
    <mergeCell ref="U15:AC15"/>
    <mergeCell ref="AD15:AL15"/>
    <mergeCell ref="AM15:AM16"/>
    <mergeCell ref="AN15:AN16"/>
    <mergeCell ref="AO15:AO16"/>
    <mergeCell ref="A10:B10"/>
    <mergeCell ref="A11:B11"/>
    <mergeCell ref="A12:B12"/>
    <mergeCell ref="A15:A16"/>
    <mergeCell ref="B15:B16"/>
    <mergeCell ref="C15:K15"/>
    <mergeCell ref="BI6:BI7"/>
    <mergeCell ref="BJ6:BJ7"/>
    <mergeCell ref="BK6:BK7"/>
    <mergeCell ref="BL6:BL7"/>
    <mergeCell ref="A8:B8"/>
    <mergeCell ref="A9:B9"/>
    <mergeCell ref="AZ6:BC6"/>
    <mergeCell ref="BD6:BD7"/>
    <mergeCell ref="BE6:BE7"/>
    <mergeCell ref="BF6:BF7"/>
    <mergeCell ref="BG6:BG7"/>
    <mergeCell ref="BH6:BH7"/>
    <mergeCell ref="AT6:AT7"/>
    <mergeCell ref="AU6:AU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  <mergeCell ref="A6:B7"/>
    <mergeCell ref="C6:K6"/>
    <mergeCell ref="L6:T6"/>
    <mergeCell ref="U6:AC6"/>
    <mergeCell ref="AD6:AL6"/>
    <mergeCell ref="AM6:AM7"/>
  </mergeCells>
  <phoneticPr fontId="3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43" fitToHeight="0" orientation="landscape" horizontalDpi="1200" r:id="rId1"/>
  <rowBreaks count="11" manualBreakCount="11">
    <brk id="51" max="16383" man="1"/>
    <brk id="84" max="16383" man="1"/>
    <brk id="119" max="16383" man="1"/>
    <brk id="153" max="16383" man="1"/>
    <brk id="188" max="16383" man="1"/>
    <brk id="222" max="16383" man="1"/>
    <brk id="257" max="16383" man="1"/>
    <brk id="292" max="16383" man="1"/>
    <brk id="326" max="19" man="1"/>
    <brk id="361" max="16383" man="1"/>
    <brk id="395" max="1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F76A9-81B2-4E5C-AC85-78A606819B5E}">
  <sheetPr>
    <pageSetUpPr fitToPage="1"/>
  </sheetPr>
  <dimension ref="A1:BL431"/>
  <sheetViews>
    <sheetView showGridLines="0" zoomScale="70" zoomScaleNormal="70" zoomScaleSheetLayoutView="55" workbookViewId="0">
      <pane xSplit="2" ySplit="16" topLeftCell="C17" activePane="bottomRight" state="frozen"/>
      <selection pane="topRight" activeCell="C1" sqref="C1"/>
      <selection pane="bottomLeft" activeCell="A4" sqref="A4"/>
      <selection pane="bottomRight" activeCell="C6" sqref="C6:K6"/>
    </sheetView>
  </sheetViews>
  <sheetFormatPr defaultRowHeight="16.5" outlineLevelRow="5" outlineLevelCol="1" x14ac:dyDescent="0.3"/>
  <cols>
    <col min="1" max="1" width="6" style="181" bestFit="1" customWidth="1"/>
    <col min="2" max="2" width="11.125" style="2" bestFit="1" customWidth="1"/>
    <col min="3" max="3" width="9.25" style="3" bestFit="1" customWidth="1"/>
    <col min="4" max="11" width="9.25" style="3" customWidth="1" outlineLevel="1"/>
    <col min="12" max="12" width="9.25" style="4" bestFit="1" customWidth="1"/>
    <col min="13" max="20" width="9.25" style="4" customWidth="1" outlineLevel="1"/>
    <col min="21" max="21" width="9.25" style="5" bestFit="1" customWidth="1"/>
    <col min="22" max="29" width="9.25" style="5" customWidth="1" outlineLevel="1"/>
    <col min="30" max="30" width="14.25" style="5" bestFit="1" customWidth="1"/>
    <col min="31" max="38" width="9.25" style="5" customWidth="1" outlineLevel="1"/>
    <col min="39" max="39" width="13.75" style="5" customWidth="1"/>
    <col min="40" max="40" width="14.625" style="5" customWidth="1"/>
    <col min="41" max="42" width="8.625" style="6" customWidth="1"/>
    <col min="43" max="43" width="10.625" style="6" customWidth="1"/>
    <col min="44" max="44" width="10.625" style="6" bestFit="1" customWidth="1"/>
    <col min="45" max="45" width="14.625" style="7" customWidth="1"/>
    <col min="46" max="47" width="8.625" style="8" customWidth="1"/>
    <col min="48" max="48" width="10.625" style="6" customWidth="1"/>
    <col min="49" max="49" width="10.625" style="6" bestFit="1" customWidth="1"/>
    <col min="50" max="50" width="11.625" style="3" customWidth="1"/>
    <col min="51" max="55" width="11.625" style="4" customWidth="1"/>
    <col min="56" max="56" width="14.625" style="5" customWidth="1"/>
    <col min="57" max="57" width="20.375" style="5" bestFit="1" customWidth="1"/>
    <col min="58" max="58" width="14" style="5" customWidth="1" outlineLevel="1"/>
    <col min="59" max="59" width="20.875" style="5" customWidth="1" outlineLevel="1"/>
    <col min="60" max="60" width="18.875" style="5" customWidth="1" outlineLevel="1"/>
    <col min="61" max="62" width="20.25" style="5" customWidth="1" outlineLevel="1"/>
    <col min="63" max="64" width="20.875" style="5" customWidth="1" outlineLevel="1"/>
  </cols>
  <sheetData>
    <row r="1" spans="1:64" ht="19.5" x14ac:dyDescent="0.3">
      <c r="A1" s="1" t="s">
        <v>0</v>
      </c>
    </row>
    <row r="2" spans="1:64" s="11" customFormat="1" x14ac:dyDescent="0.3">
      <c r="A2" s="9" t="s">
        <v>1</v>
      </c>
      <c r="B2" s="10"/>
      <c r="L2" s="4"/>
      <c r="M2" s="4"/>
      <c r="N2" s="4"/>
      <c r="O2" s="4"/>
      <c r="P2" s="4"/>
      <c r="Q2" s="4"/>
      <c r="R2" s="4"/>
      <c r="S2" s="4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O2" s="6"/>
      <c r="AP2" s="6"/>
      <c r="AQ2" s="6"/>
      <c r="AR2" s="6"/>
      <c r="AS2" s="12"/>
      <c r="AT2" s="12"/>
      <c r="AU2" s="12"/>
      <c r="AV2" s="6"/>
      <c r="AW2" s="6"/>
      <c r="AY2" s="4"/>
      <c r="AZ2" s="4"/>
      <c r="BA2" s="4"/>
      <c r="BB2" s="4"/>
      <c r="BC2" s="4"/>
      <c r="BF2" s="5"/>
      <c r="BG2" s="5"/>
      <c r="BH2" s="5"/>
      <c r="BI2" s="5"/>
      <c r="BJ2" s="5"/>
      <c r="BK2" s="5"/>
      <c r="BL2" s="5"/>
    </row>
    <row r="3" spans="1:64" s="11" customFormat="1" x14ac:dyDescent="0.3">
      <c r="A3" s="13" t="s">
        <v>2</v>
      </c>
      <c r="B3" s="10"/>
      <c r="L3" s="4"/>
      <c r="M3" s="4"/>
      <c r="N3" s="4"/>
      <c r="O3" s="4"/>
      <c r="P3" s="4"/>
      <c r="Q3" s="4"/>
      <c r="R3" s="4"/>
      <c r="S3" s="4"/>
      <c r="T3" s="4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O3" s="6"/>
      <c r="AP3" s="6"/>
      <c r="AQ3" s="6"/>
      <c r="AR3" s="6"/>
      <c r="AS3" s="12"/>
      <c r="AT3" s="12"/>
      <c r="AU3" s="12"/>
      <c r="AV3" s="6"/>
      <c r="AW3" s="6"/>
      <c r="AY3" s="4"/>
      <c r="AZ3" s="4"/>
      <c r="BA3" s="4"/>
      <c r="BB3" s="4"/>
      <c r="BC3" s="4"/>
      <c r="BF3" s="5"/>
      <c r="BG3" s="5"/>
      <c r="BH3" s="5"/>
      <c r="BI3" s="5"/>
      <c r="BJ3" s="5"/>
      <c r="BK3" s="5"/>
      <c r="BL3" s="5"/>
    </row>
    <row r="4" spans="1:64" s="11" customFormat="1" x14ac:dyDescent="0.3">
      <c r="A4" s="14" t="s">
        <v>3</v>
      </c>
      <c r="B4" s="15"/>
      <c r="C4" s="16"/>
      <c r="D4" s="16"/>
      <c r="E4" s="16"/>
      <c r="F4" s="16"/>
      <c r="G4" s="16"/>
      <c r="L4" s="4"/>
      <c r="M4" s="4"/>
      <c r="N4" s="4"/>
      <c r="O4" s="4"/>
      <c r="P4" s="4"/>
      <c r="Q4" s="4"/>
      <c r="R4" s="4"/>
      <c r="S4" s="4"/>
      <c r="T4" s="4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O4" s="6"/>
      <c r="AP4" s="6"/>
      <c r="AQ4" s="6"/>
      <c r="AR4" s="6"/>
      <c r="AS4" s="12"/>
      <c r="AT4" s="12"/>
      <c r="AU4" s="12"/>
      <c r="AV4" s="6"/>
      <c r="AW4" s="6"/>
      <c r="AY4" s="4"/>
      <c r="AZ4" s="4"/>
      <c r="BA4" s="4"/>
      <c r="BB4" s="4"/>
      <c r="BC4" s="4"/>
      <c r="BF4" s="5"/>
      <c r="BG4" s="5"/>
      <c r="BH4" s="5"/>
      <c r="BI4" s="5"/>
      <c r="BJ4" s="5"/>
      <c r="BK4" s="5"/>
      <c r="BL4" s="5"/>
    </row>
    <row r="5" spans="1:64" s="11" customFormat="1" ht="17.25" thickBot="1" x14ac:dyDescent="0.35">
      <c r="A5" s="17"/>
      <c r="B5" s="10"/>
      <c r="L5" s="4"/>
      <c r="M5" s="4"/>
      <c r="N5" s="4"/>
      <c r="O5" s="4"/>
      <c r="P5" s="4"/>
      <c r="Q5" s="4"/>
      <c r="R5" s="4"/>
      <c r="S5" s="4"/>
      <c r="T5" s="4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O5" s="6"/>
      <c r="AP5" s="6"/>
      <c r="AQ5" s="6"/>
      <c r="AR5" s="6"/>
      <c r="AS5" s="12"/>
      <c r="AT5" s="12"/>
      <c r="AU5" s="12"/>
      <c r="AV5" s="6"/>
      <c r="AW5" s="6"/>
      <c r="AY5" s="4"/>
      <c r="AZ5" s="4"/>
      <c r="BA5" s="4"/>
      <c r="BB5" s="4"/>
      <c r="BC5" s="4"/>
      <c r="BF5" s="5"/>
      <c r="BG5" s="5"/>
      <c r="BH5" s="5"/>
      <c r="BI5" s="5"/>
      <c r="BJ5" s="5"/>
      <c r="BK5" s="5"/>
      <c r="BL5" s="5"/>
    </row>
    <row r="6" spans="1:64" s="11" customFormat="1" ht="17.25" customHeight="1" thickBot="1" x14ac:dyDescent="0.35">
      <c r="A6" s="18" t="s">
        <v>4</v>
      </c>
      <c r="B6" s="19"/>
      <c r="C6" s="20" t="s">
        <v>5</v>
      </c>
      <c r="D6" s="21"/>
      <c r="E6" s="21"/>
      <c r="F6" s="21"/>
      <c r="G6" s="21"/>
      <c r="H6" s="21"/>
      <c r="I6" s="21"/>
      <c r="J6" s="21"/>
      <c r="K6" s="21"/>
      <c r="L6" s="22" t="s">
        <v>6</v>
      </c>
      <c r="M6" s="23"/>
      <c r="N6" s="23"/>
      <c r="O6" s="23"/>
      <c r="P6" s="23"/>
      <c r="Q6" s="23"/>
      <c r="R6" s="23"/>
      <c r="S6" s="23"/>
      <c r="T6" s="23"/>
      <c r="U6" s="24" t="s">
        <v>7</v>
      </c>
      <c r="V6" s="25"/>
      <c r="W6" s="25"/>
      <c r="X6" s="25"/>
      <c r="Y6" s="25"/>
      <c r="Z6" s="25"/>
      <c r="AA6" s="25"/>
      <c r="AB6" s="25"/>
      <c r="AC6" s="25"/>
      <c r="AD6" s="26" t="s">
        <v>8</v>
      </c>
      <c r="AE6" s="25"/>
      <c r="AF6" s="25"/>
      <c r="AG6" s="25"/>
      <c r="AH6" s="25"/>
      <c r="AI6" s="25"/>
      <c r="AJ6" s="25"/>
      <c r="AK6" s="25"/>
      <c r="AL6" s="25"/>
      <c r="AM6" s="26" t="s">
        <v>9</v>
      </c>
      <c r="AN6" s="24" t="s">
        <v>10</v>
      </c>
      <c r="AO6" s="27" t="s">
        <v>11</v>
      </c>
      <c r="AP6" s="28" t="s">
        <v>12</v>
      </c>
      <c r="AQ6" s="29" t="s">
        <v>13</v>
      </c>
      <c r="AR6" s="29" t="s">
        <v>14</v>
      </c>
      <c r="AS6" s="30" t="s">
        <v>15</v>
      </c>
      <c r="AT6" s="27" t="s">
        <v>16</v>
      </c>
      <c r="AU6" s="28" t="s">
        <v>17</v>
      </c>
      <c r="AV6" s="29" t="s">
        <v>18</v>
      </c>
      <c r="AW6" s="29" t="s">
        <v>19</v>
      </c>
      <c r="AX6" s="31" t="s">
        <v>20</v>
      </c>
      <c r="AY6" s="32" t="s">
        <v>21</v>
      </c>
      <c r="AZ6" s="33" t="s">
        <v>22</v>
      </c>
      <c r="BA6" s="34"/>
      <c r="BB6" s="34"/>
      <c r="BC6" s="34"/>
      <c r="BD6" s="25" t="s">
        <v>23</v>
      </c>
      <c r="BE6" s="35" t="s">
        <v>24</v>
      </c>
      <c r="BF6" s="24" t="s">
        <v>25</v>
      </c>
      <c r="BG6" s="26" t="s">
        <v>26</v>
      </c>
      <c r="BH6" s="26" t="s">
        <v>27</v>
      </c>
      <c r="BI6" s="26" t="s">
        <v>28</v>
      </c>
      <c r="BJ6" s="26" t="s">
        <v>29</v>
      </c>
      <c r="BK6" s="26" t="s">
        <v>30</v>
      </c>
      <c r="BL6" s="36" t="s">
        <v>31</v>
      </c>
    </row>
    <row r="7" spans="1:64" s="62" customFormat="1" ht="35.25" thickBot="1" x14ac:dyDescent="0.35">
      <c r="A7" s="37"/>
      <c r="B7" s="38"/>
      <c r="C7" s="39" t="s">
        <v>32</v>
      </c>
      <c r="D7" s="40" t="s">
        <v>33</v>
      </c>
      <c r="E7" s="41" t="s">
        <v>34</v>
      </c>
      <c r="F7" s="41" t="s">
        <v>35</v>
      </c>
      <c r="G7" s="41" t="s">
        <v>36</v>
      </c>
      <c r="H7" s="41" t="s">
        <v>37</v>
      </c>
      <c r="I7" s="41" t="s">
        <v>38</v>
      </c>
      <c r="J7" s="41" t="s">
        <v>39</v>
      </c>
      <c r="K7" s="41" t="s">
        <v>40</v>
      </c>
      <c r="L7" s="42" t="s">
        <v>41</v>
      </c>
      <c r="M7" s="43" t="s">
        <v>33</v>
      </c>
      <c r="N7" s="44" t="s">
        <v>34</v>
      </c>
      <c r="O7" s="44" t="s">
        <v>35</v>
      </c>
      <c r="P7" s="44" t="s">
        <v>36</v>
      </c>
      <c r="Q7" s="44" t="s">
        <v>37</v>
      </c>
      <c r="R7" s="44" t="s">
        <v>38</v>
      </c>
      <c r="S7" s="44" t="s">
        <v>39</v>
      </c>
      <c r="T7" s="45" t="s">
        <v>40</v>
      </c>
      <c r="U7" s="46" t="s">
        <v>42</v>
      </c>
      <c r="V7" s="47" t="s">
        <v>33</v>
      </c>
      <c r="W7" s="48" t="s">
        <v>34</v>
      </c>
      <c r="X7" s="48" t="s">
        <v>35</v>
      </c>
      <c r="Y7" s="48" t="s">
        <v>36</v>
      </c>
      <c r="Z7" s="48" t="s">
        <v>37</v>
      </c>
      <c r="AA7" s="48" t="s">
        <v>38</v>
      </c>
      <c r="AB7" s="48" t="s">
        <v>39</v>
      </c>
      <c r="AC7" s="48" t="s">
        <v>40</v>
      </c>
      <c r="AD7" s="46" t="s">
        <v>43</v>
      </c>
      <c r="AE7" s="47" t="s">
        <v>33</v>
      </c>
      <c r="AF7" s="48" t="s">
        <v>34</v>
      </c>
      <c r="AG7" s="48" t="s">
        <v>35</v>
      </c>
      <c r="AH7" s="48" t="s">
        <v>36</v>
      </c>
      <c r="AI7" s="48" t="s">
        <v>37</v>
      </c>
      <c r="AJ7" s="48" t="s">
        <v>38</v>
      </c>
      <c r="AK7" s="48" t="s">
        <v>39</v>
      </c>
      <c r="AL7" s="48" t="s">
        <v>40</v>
      </c>
      <c r="AM7" s="49"/>
      <c r="AN7" s="50"/>
      <c r="AO7" s="51"/>
      <c r="AP7" s="52"/>
      <c r="AQ7" s="53"/>
      <c r="AR7" s="53"/>
      <c r="AS7" s="54"/>
      <c r="AT7" s="51"/>
      <c r="AU7" s="52"/>
      <c r="AV7" s="53"/>
      <c r="AW7" s="53"/>
      <c r="AX7" s="55"/>
      <c r="AY7" s="56"/>
      <c r="AZ7" s="57" t="s">
        <v>44</v>
      </c>
      <c r="BA7" s="57" t="s">
        <v>45</v>
      </c>
      <c r="BB7" s="57" t="s">
        <v>46</v>
      </c>
      <c r="BC7" s="58" t="s">
        <v>47</v>
      </c>
      <c r="BD7" s="59"/>
      <c r="BE7" s="60"/>
      <c r="BF7" s="50"/>
      <c r="BG7" s="49"/>
      <c r="BH7" s="49"/>
      <c r="BI7" s="49"/>
      <c r="BJ7" s="49"/>
      <c r="BK7" s="49"/>
      <c r="BL7" s="61"/>
    </row>
    <row r="8" spans="1:64" x14ac:dyDescent="0.3">
      <c r="A8" s="63" t="s">
        <v>48</v>
      </c>
      <c r="B8" s="64"/>
      <c r="C8" s="65">
        <f t="shared" ref="C8:BL8" si="0">SUBTOTAL(4,C17:C426)</f>
        <v>40</v>
      </c>
      <c r="D8" s="66">
        <f t="shared" si="0"/>
        <v>39.5</v>
      </c>
      <c r="E8" s="66">
        <f t="shared" si="0"/>
        <v>40</v>
      </c>
      <c r="F8" s="66">
        <f t="shared" si="0"/>
        <v>0</v>
      </c>
      <c r="G8" s="66">
        <f t="shared" si="0"/>
        <v>0</v>
      </c>
      <c r="H8" s="66">
        <f t="shared" si="0"/>
        <v>0</v>
      </c>
      <c r="I8" s="66">
        <f t="shared" si="0"/>
        <v>0</v>
      </c>
      <c r="J8" s="66">
        <f t="shared" si="0"/>
        <v>0</v>
      </c>
      <c r="K8" s="66">
        <f t="shared" si="0"/>
        <v>0</v>
      </c>
      <c r="L8" s="67">
        <f t="shared" si="0"/>
        <v>8.6999999999999993</v>
      </c>
      <c r="M8" s="68">
        <f t="shared" si="0"/>
        <v>8.6999999999999993</v>
      </c>
      <c r="N8" s="68">
        <f t="shared" si="0"/>
        <v>8.69</v>
      </c>
      <c r="O8" s="68">
        <f t="shared" si="0"/>
        <v>0</v>
      </c>
      <c r="P8" s="68">
        <f t="shared" si="0"/>
        <v>0</v>
      </c>
      <c r="Q8" s="68">
        <f t="shared" si="0"/>
        <v>0</v>
      </c>
      <c r="R8" s="68">
        <f t="shared" si="0"/>
        <v>0</v>
      </c>
      <c r="S8" s="68">
        <f t="shared" si="0"/>
        <v>0</v>
      </c>
      <c r="T8" s="68">
        <f t="shared" si="0"/>
        <v>0</v>
      </c>
      <c r="U8" s="69">
        <f t="shared" si="0"/>
        <v>2308.5</v>
      </c>
      <c r="V8" s="70">
        <f t="shared" si="0"/>
        <v>2400.4</v>
      </c>
      <c r="W8" s="70">
        <f t="shared" si="0"/>
        <v>2216.6</v>
      </c>
      <c r="X8" s="70">
        <f t="shared" si="0"/>
        <v>0</v>
      </c>
      <c r="Y8" s="70">
        <f t="shared" si="0"/>
        <v>0</v>
      </c>
      <c r="Z8" s="70">
        <f t="shared" si="0"/>
        <v>0</v>
      </c>
      <c r="AA8" s="70">
        <f t="shared" si="0"/>
        <v>0</v>
      </c>
      <c r="AB8" s="70">
        <f t="shared" si="0"/>
        <v>0</v>
      </c>
      <c r="AC8" s="70">
        <f t="shared" si="0"/>
        <v>0</v>
      </c>
      <c r="AD8" s="69">
        <f t="shared" si="0"/>
        <v>9950</v>
      </c>
      <c r="AE8" s="70">
        <f t="shared" si="0"/>
        <v>9900</v>
      </c>
      <c r="AF8" s="70">
        <f t="shared" si="0"/>
        <v>9950</v>
      </c>
      <c r="AG8" s="70">
        <f t="shared" si="0"/>
        <v>0</v>
      </c>
      <c r="AH8" s="70">
        <f t="shared" si="0"/>
        <v>0</v>
      </c>
      <c r="AI8" s="70">
        <f t="shared" si="0"/>
        <v>0</v>
      </c>
      <c r="AJ8" s="70">
        <f t="shared" si="0"/>
        <v>0</v>
      </c>
      <c r="AK8" s="70">
        <f t="shared" si="0"/>
        <v>0</v>
      </c>
      <c r="AL8" s="70">
        <f t="shared" si="0"/>
        <v>0</v>
      </c>
      <c r="AM8" s="70">
        <f t="shared" si="0"/>
        <v>659.2178770949721</v>
      </c>
      <c r="AN8" s="70">
        <f t="shared" si="0"/>
        <v>167.49</v>
      </c>
      <c r="AO8" s="71">
        <f t="shared" si="0"/>
        <v>22.8</v>
      </c>
      <c r="AP8" s="72">
        <f t="shared" si="0"/>
        <v>18.401599999999998</v>
      </c>
      <c r="AQ8" s="73">
        <f t="shared" si="0"/>
        <v>89.340101522842659</v>
      </c>
      <c r="AR8" s="73">
        <f t="shared" si="0"/>
        <v>22.299999999999997</v>
      </c>
      <c r="AS8" s="74">
        <f t="shared" si="0"/>
        <v>50</v>
      </c>
      <c r="AT8" s="75">
        <f t="shared" si="0"/>
        <v>17.95</v>
      </c>
      <c r="AU8" s="76">
        <f t="shared" si="0"/>
        <v>11.0182</v>
      </c>
      <c r="AV8" s="73">
        <f t="shared" si="0"/>
        <v>66.873421926910311</v>
      </c>
      <c r="AW8" s="73">
        <f t="shared" si="0"/>
        <v>52.968370607028753</v>
      </c>
      <c r="AX8" s="65">
        <f t="shared" si="0"/>
        <v>85.999130193118006</v>
      </c>
      <c r="AY8" s="77">
        <f t="shared" si="0"/>
        <v>81.400000000000006</v>
      </c>
      <c r="AZ8" s="78">
        <f t="shared" si="0"/>
        <v>76.66</v>
      </c>
      <c r="BA8" s="78">
        <f t="shared" si="0"/>
        <v>0</v>
      </c>
      <c r="BB8" s="78">
        <f t="shared" si="0"/>
        <v>237.5</v>
      </c>
      <c r="BC8" s="78">
        <f t="shared" si="0"/>
        <v>0</v>
      </c>
      <c r="BD8" s="79">
        <f t="shared" si="0"/>
        <v>167.49</v>
      </c>
      <c r="BE8" s="69">
        <f t="shared" si="0"/>
        <v>18211</v>
      </c>
      <c r="BF8" s="70">
        <f t="shared" si="0"/>
        <v>2715</v>
      </c>
      <c r="BG8" s="80">
        <f t="shared" si="0"/>
        <v>4563</v>
      </c>
      <c r="BH8" s="80">
        <f t="shared" si="0"/>
        <v>9407</v>
      </c>
      <c r="BI8" s="80">
        <f t="shared" si="0"/>
        <v>7055</v>
      </c>
      <c r="BJ8" s="80">
        <f t="shared" si="0"/>
        <v>0</v>
      </c>
      <c r="BK8" s="80">
        <f t="shared" si="0"/>
        <v>0</v>
      </c>
      <c r="BL8" s="79">
        <f t="shared" si="0"/>
        <v>0</v>
      </c>
    </row>
    <row r="9" spans="1:64" x14ac:dyDescent="0.3">
      <c r="A9" s="81" t="s">
        <v>49</v>
      </c>
      <c r="B9" s="82"/>
      <c r="C9" s="83">
        <f t="shared" ref="C9:BL9" si="1">SUBTOTAL(5,C17:C426)</f>
        <v>35</v>
      </c>
      <c r="D9" s="84">
        <f t="shared" si="1"/>
        <v>35</v>
      </c>
      <c r="E9" s="84">
        <f t="shared" si="1"/>
        <v>35</v>
      </c>
      <c r="F9" s="84">
        <f t="shared" si="1"/>
        <v>0</v>
      </c>
      <c r="G9" s="84">
        <f t="shared" si="1"/>
        <v>0</v>
      </c>
      <c r="H9" s="84">
        <f t="shared" si="1"/>
        <v>0</v>
      </c>
      <c r="I9" s="84">
        <f t="shared" si="1"/>
        <v>0</v>
      </c>
      <c r="J9" s="84">
        <f t="shared" si="1"/>
        <v>0</v>
      </c>
      <c r="K9" s="84">
        <f t="shared" si="1"/>
        <v>0</v>
      </c>
      <c r="L9" s="85">
        <f t="shared" si="1"/>
        <v>7.8</v>
      </c>
      <c r="M9" s="86">
        <f t="shared" si="1"/>
        <v>7.83</v>
      </c>
      <c r="N9" s="86">
        <f t="shared" si="1"/>
        <v>7.85</v>
      </c>
      <c r="O9" s="86">
        <f t="shared" si="1"/>
        <v>0</v>
      </c>
      <c r="P9" s="86">
        <f t="shared" si="1"/>
        <v>0</v>
      </c>
      <c r="Q9" s="86">
        <f t="shared" si="1"/>
        <v>0</v>
      </c>
      <c r="R9" s="86">
        <f t="shared" si="1"/>
        <v>0</v>
      </c>
      <c r="S9" s="86">
        <f t="shared" si="1"/>
        <v>0</v>
      </c>
      <c r="T9" s="86">
        <f t="shared" si="1"/>
        <v>0</v>
      </c>
      <c r="U9" s="87">
        <f t="shared" si="1"/>
        <v>508</v>
      </c>
      <c r="V9" s="88">
        <f t="shared" si="1"/>
        <v>497</v>
      </c>
      <c r="W9" s="88">
        <f t="shared" si="1"/>
        <v>114</v>
      </c>
      <c r="X9" s="88">
        <f t="shared" si="1"/>
        <v>0</v>
      </c>
      <c r="Y9" s="88">
        <f t="shared" si="1"/>
        <v>0</v>
      </c>
      <c r="Z9" s="88">
        <f t="shared" si="1"/>
        <v>0</v>
      </c>
      <c r="AA9" s="88">
        <f t="shared" si="1"/>
        <v>0</v>
      </c>
      <c r="AB9" s="88">
        <f t="shared" si="1"/>
        <v>0</v>
      </c>
      <c r="AC9" s="88">
        <f t="shared" si="1"/>
        <v>0</v>
      </c>
      <c r="AD9" s="87">
        <f t="shared" si="1"/>
        <v>7160</v>
      </c>
      <c r="AE9" s="88">
        <f t="shared" si="1"/>
        <v>7120</v>
      </c>
      <c r="AF9" s="88">
        <f t="shared" si="1"/>
        <v>6970</v>
      </c>
      <c r="AG9" s="88">
        <f t="shared" si="1"/>
        <v>0</v>
      </c>
      <c r="AH9" s="88">
        <f t="shared" si="1"/>
        <v>0</v>
      </c>
      <c r="AI9" s="88">
        <f t="shared" si="1"/>
        <v>0</v>
      </c>
      <c r="AJ9" s="88">
        <f t="shared" si="1"/>
        <v>0</v>
      </c>
      <c r="AK9" s="88">
        <f t="shared" si="1"/>
        <v>0</v>
      </c>
      <c r="AL9" s="88">
        <f t="shared" si="1"/>
        <v>0</v>
      </c>
      <c r="AM9" s="88">
        <f t="shared" si="1"/>
        <v>0</v>
      </c>
      <c r="AN9" s="88">
        <f t="shared" si="1"/>
        <v>0</v>
      </c>
      <c r="AO9" s="89">
        <f t="shared" si="1"/>
        <v>14.4</v>
      </c>
      <c r="AP9" s="90">
        <f t="shared" si="1"/>
        <v>11.361600000000001</v>
      </c>
      <c r="AQ9" s="91">
        <f t="shared" si="1"/>
        <v>77.7</v>
      </c>
      <c r="AR9" s="91">
        <f t="shared" si="1"/>
        <v>10.659898477157341</v>
      </c>
      <c r="AS9" s="92">
        <f t="shared" si="1"/>
        <v>0</v>
      </c>
      <c r="AT9" s="93">
        <f t="shared" si="1"/>
        <v>11.2</v>
      </c>
      <c r="AU9" s="94">
        <f t="shared" si="1"/>
        <v>6.3756500000000003</v>
      </c>
      <c r="AV9" s="91">
        <f t="shared" si="1"/>
        <v>47.031629392971247</v>
      </c>
      <c r="AW9" s="91">
        <f t="shared" si="1"/>
        <v>33.126578073089689</v>
      </c>
      <c r="AX9" s="83">
        <f t="shared" si="1"/>
        <v>51.216933181806567</v>
      </c>
      <c r="AY9" s="95">
        <f t="shared" si="1"/>
        <v>70.599999999999994</v>
      </c>
      <c r="AZ9" s="96">
        <f t="shared" si="1"/>
        <v>48.5</v>
      </c>
      <c r="BA9" s="96">
        <f t="shared" si="1"/>
        <v>0</v>
      </c>
      <c r="BB9" s="96">
        <f t="shared" si="1"/>
        <v>12.5</v>
      </c>
      <c r="BC9" s="96">
        <f t="shared" si="1"/>
        <v>0</v>
      </c>
      <c r="BD9" s="97">
        <f t="shared" si="1"/>
        <v>0</v>
      </c>
      <c r="BE9" s="87">
        <f t="shared" si="1"/>
        <v>341</v>
      </c>
      <c r="BF9" s="88">
        <f t="shared" si="1"/>
        <v>0</v>
      </c>
      <c r="BG9" s="98">
        <f t="shared" si="1"/>
        <v>0</v>
      </c>
      <c r="BH9" s="98">
        <f t="shared" si="1"/>
        <v>0</v>
      </c>
      <c r="BI9" s="98">
        <f t="shared" si="1"/>
        <v>0</v>
      </c>
      <c r="BJ9" s="98">
        <f t="shared" si="1"/>
        <v>0</v>
      </c>
      <c r="BK9" s="98">
        <f t="shared" si="1"/>
        <v>0</v>
      </c>
      <c r="BL9" s="97">
        <f t="shared" si="1"/>
        <v>0</v>
      </c>
    </row>
    <row r="10" spans="1:64" x14ac:dyDescent="0.3">
      <c r="A10" s="81" t="s">
        <v>50</v>
      </c>
      <c r="B10" s="82"/>
      <c r="C10" s="83">
        <f t="shared" ref="C10:BL10" si="2">IFERROR(SUBTOTAL(1,C17:C426),"")</f>
        <v>37.471705426356586</v>
      </c>
      <c r="D10" s="84">
        <f t="shared" si="2"/>
        <v>37.512916666666676</v>
      </c>
      <c r="E10" s="84">
        <f t="shared" si="2"/>
        <v>37.394047619047619</v>
      </c>
      <c r="F10" s="84" t="str">
        <f t="shared" si="2"/>
        <v/>
      </c>
      <c r="G10" s="84" t="str">
        <f t="shared" si="2"/>
        <v/>
      </c>
      <c r="H10" s="84" t="str">
        <f t="shared" si="2"/>
        <v/>
      </c>
      <c r="I10" s="84" t="str">
        <f t="shared" si="2"/>
        <v/>
      </c>
      <c r="J10" s="84" t="str">
        <f t="shared" si="2"/>
        <v/>
      </c>
      <c r="K10" s="84" t="str">
        <f t="shared" si="2"/>
        <v/>
      </c>
      <c r="L10" s="85">
        <f t="shared" si="2"/>
        <v>8.2285714285714313</v>
      </c>
      <c r="M10" s="86">
        <f t="shared" si="2"/>
        <v>8.2244416666666655</v>
      </c>
      <c r="N10" s="86">
        <f t="shared" si="2"/>
        <v>8.2351612903225817</v>
      </c>
      <c r="O10" s="86" t="str">
        <f t="shared" si="2"/>
        <v/>
      </c>
      <c r="P10" s="86" t="str">
        <f t="shared" si="2"/>
        <v/>
      </c>
      <c r="Q10" s="86" t="str">
        <f t="shared" si="2"/>
        <v/>
      </c>
      <c r="R10" s="86" t="str">
        <f t="shared" si="2"/>
        <v/>
      </c>
      <c r="S10" s="86" t="str">
        <f t="shared" si="2"/>
        <v/>
      </c>
      <c r="T10" s="86" t="str">
        <f t="shared" si="2"/>
        <v/>
      </c>
      <c r="U10" s="87">
        <f t="shared" si="2"/>
        <v>1205.6884615384615</v>
      </c>
      <c r="V10" s="88">
        <f t="shared" si="2"/>
        <v>1212.894017094017</v>
      </c>
      <c r="W10" s="88">
        <f t="shared" si="2"/>
        <v>1191.810743801653</v>
      </c>
      <c r="X10" s="88" t="str">
        <f t="shared" si="2"/>
        <v/>
      </c>
      <c r="Y10" s="88" t="str">
        <f t="shared" si="2"/>
        <v/>
      </c>
      <c r="Z10" s="88" t="str">
        <f t="shared" si="2"/>
        <v/>
      </c>
      <c r="AA10" s="88" t="str">
        <f t="shared" si="2"/>
        <v/>
      </c>
      <c r="AB10" s="88" t="str">
        <f t="shared" si="2"/>
        <v/>
      </c>
      <c r="AC10" s="88" t="str">
        <f t="shared" si="2"/>
        <v/>
      </c>
      <c r="AD10" s="87">
        <f t="shared" si="2"/>
        <v>9337.545454545454</v>
      </c>
      <c r="AE10" s="88">
        <f t="shared" si="2"/>
        <v>9307</v>
      </c>
      <c r="AF10" s="88">
        <f t="shared" si="2"/>
        <v>9288.1</v>
      </c>
      <c r="AG10" s="88" t="str">
        <f t="shared" si="2"/>
        <v/>
      </c>
      <c r="AH10" s="88" t="str">
        <f t="shared" si="2"/>
        <v/>
      </c>
      <c r="AI10" s="88" t="str">
        <f t="shared" si="2"/>
        <v/>
      </c>
      <c r="AJ10" s="88" t="str">
        <f t="shared" si="2"/>
        <v/>
      </c>
      <c r="AK10" s="88" t="str">
        <f t="shared" si="2"/>
        <v/>
      </c>
      <c r="AL10" s="88" t="str">
        <f t="shared" si="2"/>
        <v/>
      </c>
      <c r="AM10" s="88">
        <f t="shared" si="2"/>
        <v>51.903427121598298</v>
      </c>
      <c r="AN10" s="88">
        <f t="shared" si="2"/>
        <v>106.09923287671234</v>
      </c>
      <c r="AO10" s="89">
        <f t="shared" si="2"/>
        <v>18.544999999999998</v>
      </c>
      <c r="AP10" s="90">
        <f t="shared" si="2"/>
        <v>15.024630000000005</v>
      </c>
      <c r="AQ10" s="91">
        <f t="shared" si="2"/>
        <v>81.068502538071073</v>
      </c>
      <c r="AR10" s="91">
        <f t="shared" si="2"/>
        <v>18.931497461928934</v>
      </c>
      <c r="AS10" s="92">
        <f t="shared" si="2"/>
        <v>22.098901098901099</v>
      </c>
      <c r="AT10" s="93">
        <f t="shared" si="2"/>
        <v>14.398473282442746</v>
      </c>
      <c r="AU10" s="94">
        <f t="shared" si="2"/>
        <v>8.0999751908396949</v>
      </c>
      <c r="AV10" s="91">
        <f t="shared" si="2"/>
        <v>56.237218146498108</v>
      </c>
      <c r="AW10" s="91">
        <f t="shared" si="2"/>
        <v>43.762781853501899</v>
      </c>
      <c r="AX10" s="83">
        <f t="shared" si="2"/>
        <v>69.041671278090647</v>
      </c>
      <c r="AY10" s="95">
        <f t="shared" si="2"/>
        <v>75.134469696969703</v>
      </c>
      <c r="AZ10" s="96">
        <f t="shared" si="2"/>
        <v>61.471590909090907</v>
      </c>
      <c r="BA10" s="96" t="str">
        <f t="shared" si="2"/>
        <v/>
      </c>
      <c r="BB10" s="96">
        <f t="shared" si="2"/>
        <v>70.661994219653181</v>
      </c>
      <c r="BC10" s="96" t="str">
        <f t="shared" si="2"/>
        <v/>
      </c>
      <c r="BD10" s="97">
        <f>IFERROR(SUBTOTAL(1,BD17:BD426),"")</f>
        <v>106.09923287671234</v>
      </c>
      <c r="BE10" s="87">
        <f t="shared" si="2"/>
        <v>8250.3917808219176</v>
      </c>
      <c r="BF10" s="88">
        <f t="shared" si="2"/>
        <v>484.15890410958906</v>
      </c>
      <c r="BG10" s="98">
        <f t="shared" si="2"/>
        <v>545.06849315068496</v>
      </c>
      <c r="BH10" s="98">
        <f t="shared" si="2"/>
        <v>1642.9890410958903</v>
      </c>
      <c r="BI10" s="98">
        <f t="shared" si="2"/>
        <v>5578.1753424657536</v>
      </c>
      <c r="BJ10" s="98" t="str">
        <f t="shared" si="2"/>
        <v/>
      </c>
      <c r="BK10" s="98" t="str">
        <f t="shared" si="2"/>
        <v/>
      </c>
      <c r="BL10" s="97" t="str">
        <f t="shared" si="2"/>
        <v/>
      </c>
    </row>
    <row r="11" spans="1:64" ht="17.25" thickBot="1" x14ac:dyDescent="0.35">
      <c r="A11" s="99" t="s">
        <v>51</v>
      </c>
      <c r="B11" s="100"/>
      <c r="C11" s="101"/>
      <c r="D11" s="102"/>
      <c r="E11" s="102"/>
      <c r="F11" s="102"/>
      <c r="G11" s="102"/>
      <c r="H11" s="102"/>
      <c r="I11" s="102"/>
      <c r="J11" s="102"/>
      <c r="K11" s="102"/>
      <c r="L11" s="103"/>
      <c r="M11" s="104"/>
      <c r="N11" s="104"/>
      <c r="O11" s="104"/>
      <c r="P11" s="104"/>
      <c r="Q11" s="104"/>
      <c r="R11" s="104"/>
      <c r="S11" s="104"/>
      <c r="T11" s="104"/>
      <c r="U11" s="105"/>
      <c r="V11" s="106"/>
      <c r="W11" s="106"/>
      <c r="X11" s="106"/>
      <c r="Y11" s="106"/>
      <c r="Z11" s="106"/>
      <c r="AA11" s="106"/>
      <c r="AB11" s="106"/>
      <c r="AC11" s="106"/>
      <c r="AD11" s="105"/>
      <c r="AE11" s="106"/>
      <c r="AF11" s="106"/>
      <c r="AG11" s="106"/>
      <c r="AH11" s="106"/>
      <c r="AI11" s="106"/>
      <c r="AJ11" s="106"/>
      <c r="AK11" s="106"/>
      <c r="AL11" s="106"/>
      <c r="AM11" s="106"/>
      <c r="AN11" s="107">
        <f>SUBTOTAL(9,AN17:AN425)</f>
        <v>38626.22</v>
      </c>
      <c r="AO11" s="108"/>
      <c r="AP11" s="109"/>
      <c r="AQ11" s="110"/>
      <c r="AR11" s="110"/>
      <c r="AS11" s="111">
        <f>SUBTOTAL(9,AS17:AS425)</f>
        <v>8023</v>
      </c>
      <c r="AT11" s="112"/>
      <c r="AU11" s="113"/>
      <c r="AV11" s="110"/>
      <c r="AW11" s="110"/>
      <c r="AX11" s="101"/>
      <c r="AY11" s="114"/>
      <c r="AZ11" s="115"/>
      <c r="BA11" s="115"/>
      <c r="BB11" s="115"/>
      <c r="BC11" s="115"/>
      <c r="BD11" s="116">
        <f>SUBTOTAL(9,BD17:BD425)</f>
        <v>38626.22</v>
      </c>
      <c r="BE11" s="117">
        <f t="shared" ref="BE11:BL11" si="3">SUBTOTAL(9,BE17:BE425)</f>
        <v>3004909</v>
      </c>
      <c r="BF11" s="107">
        <f t="shared" si="3"/>
        <v>176116</v>
      </c>
      <c r="BG11" s="118">
        <f t="shared" si="3"/>
        <v>198950</v>
      </c>
      <c r="BH11" s="118">
        <f t="shared" si="3"/>
        <v>599691</v>
      </c>
      <c r="BI11" s="118">
        <f t="shared" si="3"/>
        <v>2030152</v>
      </c>
      <c r="BJ11" s="118">
        <f t="shared" si="3"/>
        <v>0</v>
      </c>
      <c r="BK11" s="118">
        <f t="shared" si="3"/>
        <v>0</v>
      </c>
      <c r="BL11" s="116">
        <f t="shared" si="3"/>
        <v>0</v>
      </c>
    </row>
    <row r="12" spans="1:64" ht="17.25" thickBot="1" x14ac:dyDescent="0.35">
      <c r="A12" s="99" t="s">
        <v>52</v>
      </c>
      <c r="B12" s="100"/>
      <c r="C12" s="101"/>
      <c r="D12" s="102"/>
      <c r="E12" s="102"/>
      <c r="F12" s="102"/>
      <c r="G12" s="102"/>
      <c r="H12" s="102"/>
      <c r="I12" s="102"/>
      <c r="J12" s="102"/>
      <c r="K12" s="102"/>
      <c r="L12" s="103"/>
      <c r="M12" s="104"/>
      <c r="N12" s="104"/>
      <c r="O12" s="104"/>
      <c r="P12" s="104"/>
      <c r="Q12" s="104"/>
      <c r="R12" s="104"/>
      <c r="S12" s="104"/>
      <c r="T12" s="104"/>
      <c r="U12" s="105"/>
      <c r="V12" s="106"/>
      <c r="W12" s="106"/>
      <c r="X12" s="106"/>
      <c r="Y12" s="106"/>
      <c r="Z12" s="106"/>
      <c r="AA12" s="106"/>
      <c r="AB12" s="106"/>
      <c r="AC12" s="106"/>
      <c r="AD12" s="105"/>
      <c r="AE12" s="106"/>
      <c r="AF12" s="106"/>
      <c r="AG12" s="106"/>
      <c r="AH12" s="106"/>
      <c r="AI12" s="106"/>
      <c r="AJ12" s="106"/>
      <c r="AK12" s="106"/>
      <c r="AL12" s="106"/>
      <c r="AM12" s="106"/>
      <c r="AN12" s="107">
        <f>IFERROR(SUBTOTAL(9,AN17:AN426)/COUNTA(AN17:AN47,AN52:AN80,AN85:AN115,AN120:AN149,AN154:AN184,AN189:AN218,AN223:AN253,AN258:AN288,AN293:AN322,AN327:AN357,AN362:AN391,AN396:AN426),"")</f>
        <v>106.09923287671234</v>
      </c>
      <c r="AO12" s="108"/>
      <c r="AP12" s="109"/>
      <c r="AQ12" s="110"/>
      <c r="AR12" s="110"/>
      <c r="AS12" s="111">
        <f>IFERROR(SUBTOTAL(9,AS17:AS426)/COUNTA(AS17:AS47,AS52:AS80,AS85:AS115,AS120:AS149,AS154:AS184,AS189:AS218,AS223:AS253,AS258:AS288,AS293:AS322,AS327:AS357,AS362:AS391,AS396:AS426),"")</f>
        <v>22.098901098901099</v>
      </c>
      <c r="AT12" s="112"/>
      <c r="AU12" s="113"/>
      <c r="AV12" s="110"/>
      <c r="AW12" s="110"/>
      <c r="AX12" s="101"/>
      <c r="AY12" s="114"/>
      <c r="AZ12" s="115"/>
      <c r="BA12" s="115"/>
      <c r="BB12" s="115"/>
      <c r="BC12" s="115"/>
      <c r="BD12" s="116">
        <f>IFERROR(SUBTOTAL(9,BD17:BD426)/COUNTA(BD17:BD47,BD52:BD80,BD85:BD115,BD120:BD149,BD154:BD184,BD189:BD218,BD223:BD253,BD258:BD288,BD293:BD322,BD327:BD357,BD362:BD391,BD396:BD426),"")</f>
        <v>106.09923287671234</v>
      </c>
      <c r="BE12" s="119">
        <f>SUBTOTAL(9,BE17:BE426)/COUNTA(BE17:BE47,BE52:BE80,BE85:BE115,BE120:BE149,BE154:BE184,BE189:BE218,BE223:BE253,BE258:BE288,BE293:BE322,BE327:BE357,BE362:BE391,BE396:BE426)</f>
        <v>8227.8497267759558</v>
      </c>
      <c r="BF12" s="120">
        <f>IFERROR(SUBTOTAL(9,BF17:BF426)/COUNTA(BF17:BF47,BF52:BF80,BF85:BF115,BF120:BF149,BF154:BF184,BF189:BF218,BF223:BF253,BF258:BF288,BF293:BF322,BF327:BF357,BF362:BF391,BF396:BF426),"")</f>
        <v>484.15890410958906</v>
      </c>
      <c r="BG12" s="121">
        <f t="shared" ref="BG12:BL12" si="4">IFERROR(SUBTOTAL(9,BG17:BG426)/COUNTA(BG17:BG47,BG52:BG80,BG85:BG115,BG120:BG149,BG154:BG184,BG189:BG218,BG223:BG253,BG258:BG288,BG293:BG322,BG327:BG357,BG362:BG391,BG396:BG426),"")</f>
        <v>545.06849315068496</v>
      </c>
      <c r="BH12" s="121">
        <f t="shared" si="4"/>
        <v>1642.9890410958903</v>
      </c>
      <c r="BI12" s="121">
        <f t="shared" si="4"/>
        <v>5578.1753424657536</v>
      </c>
      <c r="BJ12" s="121" t="str">
        <f t="shared" si="4"/>
        <v/>
      </c>
      <c r="BK12" s="121" t="str">
        <f t="shared" si="4"/>
        <v/>
      </c>
      <c r="BL12" s="122" t="str">
        <f t="shared" si="4"/>
        <v/>
      </c>
    </row>
    <row r="13" spans="1:64" s="125" customFormat="1" x14ac:dyDescent="0.3">
      <c r="A13" s="123"/>
      <c r="B13" s="123"/>
      <c r="C13" s="124"/>
      <c r="L13" s="126"/>
      <c r="M13" s="127"/>
      <c r="N13" s="127"/>
      <c r="O13" s="127"/>
      <c r="P13" s="127"/>
      <c r="Q13" s="127"/>
      <c r="R13" s="127"/>
      <c r="S13" s="127"/>
      <c r="T13" s="127"/>
      <c r="U13" s="128"/>
      <c r="V13" s="129"/>
      <c r="W13" s="129"/>
      <c r="X13" s="129"/>
      <c r="Y13" s="129"/>
      <c r="Z13" s="129"/>
      <c r="AA13" s="129"/>
      <c r="AB13" s="129"/>
      <c r="AC13" s="129"/>
      <c r="AD13" s="128"/>
      <c r="AE13" s="129"/>
      <c r="AF13" s="129"/>
      <c r="AG13" s="129"/>
      <c r="AH13" s="129"/>
      <c r="AI13" s="129"/>
      <c r="AJ13" s="129"/>
      <c r="AK13" s="129"/>
      <c r="AL13" s="129"/>
      <c r="AM13" s="128"/>
      <c r="AN13" s="124"/>
      <c r="AO13" s="130"/>
      <c r="AP13" s="130"/>
      <c r="AQ13" s="130"/>
      <c r="AR13" s="130"/>
      <c r="AS13" s="131"/>
      <c r="AT13" s="131"/>
      <c r="AU13" s="131"/>
      <c r="AV13" s="130"/>
      <c r="AW13" s="130"/>
      <c r="AY13" s="127"/>
      <c r="AZ13" s="127"/>
      <c r="BA13" s="127"/>
      <c r="BB13" s="127"/>
      <c r="BC13" s="127"/>
      <c r="BD13" s="124"/>
      <c r="BF13" s="129"/>
      <c r="BG13" s="129"/>
      <c r="BH13" s="129"/>
      <c r="BI13" s="129"/>
      <c r="BJ13" s="129"/>
      <c r="BK13" s="129"/>
      <c r="BL13" s="129"/>
    </row>
    <row r="14" spans="1:64" s="125" customFormat="1" ht="17.25" thickBot="1" x14ac:dyDescent="0.35">
      <c r="A14" s="123"/>
      <c r="B14" s="123"/>
      <c r="L14" s="127"/>
      <c r="M14" s="127"/>
      <c r="N14" s="127"/>
      <c r="O14" s="127"/>
      <c r="P14" s="127"/>
      <c r="Q14" s="127"/>
      <c r="R14" s="127"/>
      <c r="S14" s="127"/>
      <c r="T14" s="127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O14" s="130"/>
      <c r="AP14" s="130"/>
      <c r="AQ14" s="130"/>
      <c r="AR14" s="130"/>
      <c r="AS14" s="131"/>
      <c r="AT14" s="131"/>
      <c r="AU14" s="131"/>
      <c r="AV14" s="130"/>
      <c r="AW14" s="130"/>
      <c r="AY14" s="127"/>
      <c r="AZ14" s="127"/>
      <c r="BA14" s="127"/>
      <c r="BB14" s="127"/>
      <c r="BC14" s="127"/>
      <c r="BF14" s="129"/>
      <c r="BG14" s="129"/>
      <c r="BH14" s="129"/>
      <c r="BI14" s="129"/>
      <c r="BJ14" s="129"/>
      <c r="BK14" s="129"/>
      <c r="BL14" s="129"/>
    </row>
    <row r="15" spans="1:64" s="11" customFormat="1" ht="17.25" customHeight="1" thickBot="1" x14ac:dyDescent="0.35">
      <c r="A15" s="132" t="s">
        <v>53</v>
      </c>
      <c r="B15" s="133" t="s">
        <v>54</v>
      </c>
      <c r="C15" s="20" t="s">
        <v>5</v>
      </c>
      <c r="D15" s="21"/>
      <c r="E15" s="21"/>
      <c r="F15" s="21"/>
      <c r="G15" s="21"/>
      <c r="H15" s="21"/>
      <c r="I15" s="21"/>
      <c r="J15" s="21"/>
      <c r="K15" s="21"/>
      <c r="L15" s="22" t="s">
        <v>6</v>
      </c>
      <c r="M15" s="23"/>
      <c r="N15" s="23"/>
      <c r="O15" s="23"/>
      <c r="P15" s="23"/>
      <c r="Q15" s="23"/>
      <c r="R15" s="23"/>
      <c r="S15" s="23"/>
      <c r="T15" s="23"/>
      <c r="U15" s="24" t="s">
        <v>7</v>
      </c>
      <c r="V15" s="25"/>
      <c r="W15" s="25"/>
      <c r="X15" s="25"/>
      <c r="Y15" s="25"/>
      <c r="Z15" s="25"/>
      <c r="AA15" s="25"/>
      <c r="AB15" s="25"/>
      <c r="AC15" s="25"/>
      <c r="AD15" s="26" t="s">
        <v>8</v>
      </c>
      <c r="AE15" s="25"/>
      <c r="AF15" s="25"/>
      <c r="AG15" s="25"/>
      <c r="AH15" s="25"/>
      <c r="AI15" s="25"/>
      <c r="AJ15" s="25"/>
      <c r="AK15" s="25"/>
      <c r="AL15" s="25"/>
      <c r="AM15" s="26" t="s">
        <v>9</v>
      </c>
      <c r="AN15" s="24" t="s">
        <v>10</v>
      </c>
      <c r="AO15" s="27" t="s">
        <v>11</v>
      </c>
      <c r="AP15" s="28" t="s">
        <v>12</v>
      </c>
      <c r="AQ15" s="29" t="s">
        <v>13</v>
      </c>
      <c r="AR15" s="29" t="s">
        <v>14</v>
      </c>
      <c r="AS15" s="30" t="s">
        <v>15</v>
      </c>
      <c r="AT15" s="27" t="s">
        <v>16</v>
      </c>
      <c r="AU15" s="28" t="s">
        <v>17</v>
      </c>
      <c r="AV15" s="29" t="s">
        <v>18</v>
      </c>
      <c r="AW15" s="29" t="s">
        <v>19</v>
      </c>
      <c r="AX15" s="31" t="s">
        <v>20</v>
      </c>
      <c r="AY15" s="32" t="s">
        <v>21</v>
      </c>
      <c r="AZ15" s="33" t="s">
        <v>55</v>
      </c>
      <c r="BA15" s="34"/>
      <c r="BB15" s="34"/>
      <c r="BC15" s="34"/>
      <c r="BD15" s="25" t="s">
        <v>23</v>
      </c>
      <c r="BE15" s="35" t="s">
        <v>24</v>
      </c>
      <c r="BF15" s="24" t="s">
        <v>25</v>
      </c>
      <c r="BG15" s="26" t="s">
        <v>26</v>
      </c>
      <c r="BH15" s="26" t="s">
        <v>27</v>
      </c>
      <c r="BI15" s="26" t="s">
        <v>28</v>
      </c>
      <c r="BJ15" s="26" t="s">
        <v>29</v>
      </c>
      <c r="BK15" s="26" t="s">
        <v>30</v>
      </c>
      <c r="BL15" s="36" t="s">
        <v>31</v>
      </c>
    </row>
    <row r="16" spans="1:64" s="62" customFormat="1" ht="35.25" thickBot="1" x14ac:dyDescent="0.35">
      <c r="A16" s="134"/>
      <c r="B16" s="135"/>
      <c r="C16" s="39" t="s">
        <v>32</v>
      </c>
      <c r="D16" s="40" t="s">
        <v>33</v>
      </c>
      <c r="E16" s="41" t="s">
        <v>34</v>
      </c>
      <c r="F16" s="41" t="s">
        <v>35</v>
      </c>
      <c r="G16" s="41" t="s">
        <v>36</v>
      </c>
      <c r="H16" s="41" t="s">
        <v>37</v>
      </c>
      <c r="I16" s="41" t="s">
        <v>38</v>
      </c>
      <c r="J16" s="41" t="s">
        <v>39</v>
      </c>
      <c r="K16" s="41" t="s">
        <v>40</v>
      </c>
      <c r="L16" s="42" t="s">
        <v>41</v>
      </c>
      <c r="M16" s="43" t="s">
        <v>33</v>
      </c>
      <c r="N16" s="44" t="s">
        <v>34</v>
      </c>
      <c r="O16" s="44" t="s">
        <v>35</v>
      </c>
      <c r="P16" s="44" t="s">
        <v>36</v>
      </c>
      <c r="Q16" s="44" t="s">
        <v>37</v>
      </c>
      <c r="R16" s="44" t="s">
        <v>38</v>
      </c>
      <c r="S16" s="44" t="s">
        <v>39</v>
      </c>
      <c r="T16" s="45" t="s">
        <v>40</v>
      </c>
      <c r="U16" s="46" t="s">
        <v>42</v>
      </c>
      <c r="V16" s="47" t="s">
        <v>33</v>
      </c>
      <c r="W16" s="48" t="s">
        <v>34</v>
      </c>
      <c r="X16" s="48" t="s">
        <v>35</v>
      </c>
      <c r="Y16" s="48" t="s">
        <v>36</v>
      </c>
      <c r="Z16" s="48" t="s">
        <v>37</v>
      </c>
      <c r="AA16" s="48" t="s">
        <v>38</v>
      </c>
      <c r="AB16" s="48" t="s">
        <v>39</v>
      </c>
      <c r="AC16" s="48" t="s">
        <v>40</v>
      </c>
      <c r="AD16" s="46" t="s">
        <v>43</v>
      </c>
      <c r="AE16" s="47" t="s">
        <v>33</v>
      </c>
      <c r="AF16" s="48" t="s">
        <v>34</v>
      </c>
      <c r="AG16" s="48" t="s">
        <v>35</v>
      </c>
      <c r="AH16" s="48" t="s">
        <v>36</v>
      </c>
      <c r="AI16" s="48" t="s">
        <v>37</v>
      </c>
      <c r="AJ16" s="48" t="s">
        <v>38</v>
      </c>
      <c r="AK16" s="48" t="s">
        <v>39</v>
      </c>
      <c r="AL16" s="48" t="s">
        <v>40</v>
      </c>
      <c r="AM16" s="49"/>
      <c r="AN16" s="50"/>
      <c r="AO16" s="51"/>
      <c r="AP16" s="52"/>
      <c r="AQ16" s="53"/>
      <c r="AR16" s="53"/>
      <c r="AS16" s="54"/>
      <c r="AT16" s="51"/>
      <c r="AU16" s="52"/>
      <c r="AV16" s="53"/>
      <c r="AW16" s="53"/>
      <c r="AX16" s="55"/>
      <c r="AY16" s="56"/>
      <c r="AZ16" s="57" t="s">
        <v>44</v>
      </c>
      <c r="BA16" s="57" t="s">
        <v>45</v>
      </c>
      <c r="BB16" s="57" t="s">
        <v>46</v>
      </c>
      <c r="BC16" s="58" t="s">
        <v>47</v>
      </c>
      <c r="BD16" s="59"/>
      <c r="BE16" s="60"/>
      <c r="BF16" s="50"/>
      <c r="BG16" s="49"/>
      <c r="BH16" s="49"/>
      <c r="BI16" s="49"/>
      <c r="BJ16" s="49"/>
      <c r="BK16" s="49"/>
      <c r="BL16" s="61"/>
    </row>
    <row r="17" spans="1:64" outlineLevel="5" x14ac:dyDescent="0.3">
      <c r="A17" s="136">
        <f>MONTH(B17)</f>
        <v>1</v>
      </c>
      <c r="B17" s="137">
        <v>44927</v>
      </c>
      <c r="C17" s="138">
        <f>IFERROR(ROUND(AVERAGE(D17:K17),1),"")</f>
        <v>38</v>
      </c>
      <c r="D17" s="84">
        <v>38</v>
      </c>
      <c r="E17" s="84">
        <v>38</v>
      </c>
      <c r="F17" s="84"/>
      <c r="G17" s="84"/>
      <c r="H17" s="139"/>
      <c r="I17" s="139"/>
      <c r="J17" s="139"/>
      <c r="K17" s="139"/>
      <c r="L17" s="140" t="str">
        <f>IFERROR(ROUND(AVERAGE(M17:T17),1),"")</f>
        <v/>
      </c>
      <c r="M17" s="86"/>
      <c r="N17" s="86"/>
      <c r="O17" s="86"/>
      <c r="P17" s="86"/>
      <c r="Q17" s="141"/>
      <c r="R17" s="141"/>
      <c r="S17" s="141"/>
      <c r="T17" s="141"/>
      <c r="U17" s="142" t="str">
        <f>IFERROR(ROUND(AVERAGE(V17:AC17),1),"")</f>
        <v/>
      </c>
      <c r="V17" s="143"/>
      <c r="W17" s="143"/>
      <c r="X17" s="143"/>
      <c r="Y17" s="143"/>
      <c r="Z17" s="143"/>
      <c r="AA17" s="143"/>
      <c r="AB17" s="143"/>
      <c r="AC17" s="143"/>
      <c r="AD17" s="142" t="str">
        <f>IFERROR(ROUND(AVERAGE(AE17:AL17),1),"")</f>
        <v/>
      </c>
      <c r="AE17" s="143"/>
      <c r="AF17" s="143"/>
      <c r="AG17" s="143"/>
      <c r="AH17" s="143"/>
      <c r="AI17" s="143"/>
      <c r="AJ17" s="143"/>
      <c r="AK17" s="143"/>
      <c r="AL17" s="143"/>
      <c r="AM17" s="143">
        <v>37.76</v>
      </c>
      <c r="AN17" s="88">
        <v>125</v>
      </c>
      <c r="AO17" s="144"/>
      <c r="AP17" s="145"/>
      <c r="AQ17" s="146" t="str">
        <f>IFERROR(AP17/AO17*100,"")</f>
        <v/>
      </c>
      <c r="AR17" s="146" t="str">
        <f>IFERROR(100-AQ17,"")</f>
        <v/>
      </c>
      <c r="AS17" s="147">
        <v>10</v>
      </c>
      <c r="AT17" s="148"/>
      <c r="AU17" s="149"/>
      <c r="AV17" s="146" t="str">
        <f>IFERROR(AU17/AT17*100,"")</f>
        <v/>
      </c>
      <c r="AW17" s="146" t="str">
        <f>IFERROR(100-AV17,"")</f>
        <v/>
      </c>
      <c r="AX17" s="138" t="str">
        <f>IFERROR((1-((AV17*AR17)/(AW17*AQ17)))*100,"")</f>
        <v/>
      </c>
      <c r="AY17" s="95"/>
      <c r="AZ17" s="150"/>
      <c r="BA17" s="150"/>
      <c r="BB17" s="150"/>
      <c r="BC17" s="150"/>
      <c r="BD17" s="97">
        <v>125</v>
      </c>
      <c r="BE17" s="142">
        <f>IF(SUM(BF17:BL17)=0,"",SUM(BF17:BL17))</f>
        <v>6690</v>
      </c>
      <c r="BF17" s="98">
        <v>1031</v>
      </c>
      <c r="BG17" s="98">
        <v>0</v>
      </c>
      <c r="BH17" s="98">
        <v>0</v>
      </c>
      <c r="BI17" s="98">
        <v>5659</v>
      </c>
      <c r="BJ17" s="98"/>
      <c r="BK17" s="98"/>
      <c r="BL17" s="151"/>
    </row>
    <row r="18" spans="1:64" outlineLevel="5" x14ac:dyDescent="0.3">
      <c r="A18" s="152">
        <f t="shared" ref="A18:A90" si="5">MONTH(B18)</f>
        <v>1</v>
      </c>
      <c r="B18" s="153">
        <f>B17+1</f>
        <v>44928</v>
      </c>
      <c r="C18" s="138">
        <f t="shared" ref="C18:C47" si="6">IFERROR(ROUND(AVERAGE(D18:K18),1),"")</f>
        <v>38.6</v>
      </c>
      <c r="D18" s="84">
        <v>38.5</v>
      </c>
      <c r="E18" s="84">
        <v>38.700000000000003</v>
      </c>
      <c r="F18" s="84"/>
      <c r="G18" s="84"/>
      <c r="H18" s="84"/>
      <c r="I18" s="84"/>
      <c r="J18" s="84"/>
      <c r="K18" s="84"/>
      <c r="L18" s="140">
        <f t="shared" ref="L18:L47" si="7">IFERROR(ROUND(AVERAGE(M18:T18),1),"")</f>
        <v>8.5</v>
      </c>
      <c r="M18" s="86">
        <v>8.5500000000000007</v>
      </c>
      <c r="N18" s="86">
        <v>8.5299999999999994</v>
      </c>
      <c r="O18" s="86"/>
      <c r="P18" s="86"/>
      <c r="Q18" s="86"/>
      <c r="R18" s="86"/>
      <c r="S18" s="86"/>
      <c r="T18" s="86"/>
      <c r="U18" s="142">
        <f t="shared" ref="U18:U47" si="8">IFERROR(ROUND(AVERAGE(V18:AC18),1),"")</f>
        <v>877.5</v>
      </c>
      <c r="V18" s="88">
        <v>910</v>
      </c>
      <c r="W18" s="88">
        <v>845</v>
      </c>
      <c r="X18" s="88"/>
      <c r="Y18" s="88"/>
      <c r="Z18" s="88"/>
      <c r="AA18" s="88"/>
      <c r="AB18" s="88"/>
      <c r="AC18" s="88"/>
      <c r="AD18" s="142" t="str">
        <f t="shared" ref="AD18:AD47" si="9">IFERROR(ROUND(AVERAGE(AE18:AL18),1),"")</f>
        <v/>
      </c>
      <c r="AE18" s="88"/>
      <c r="AF18" s="88"/>
      <c r="AG18" s="88"/>
      <c r="AH18" s="88"/>
      <c r="AI18" s="88"/>
      <c r="AJ18" s="88"/>
      <c r="AK18" s="88"/>
      <c r="AL18" s="88"/>
      <c r="AM18" s="143">
        <v>123.17327766179541</v>
      </c>
      <c r="AN18" s="88">
        <v>38.32</v>
      </c>
      <c r="AO18" s="144">
        <v>21.1</v>
      </c>
      <c r="AP18" s="145">
        <v>16.669</v>
      </c>
      <c r="AQ18" s="146">
        <f>IFERROR(AP18/AO18*100,"")</f>
        <v>78.999999999999986</v>
      </c>
      <c r="AR18" s="146">
        <f>IFERROR(100-AQ18,"")</f>
        <v>21.000000000000014</v>
      </c>
      <c r="AS18" s="147">
        <v>40</v>
      </c>
      <c r="AT18" s="148">
        <v>14.899999999999999</v>
      </c>
      <c r="AU18" s="149">
        <v>8.2906499999999994</v>
      </c>
      <c r="AV18" s="146">
        <f>IFERROR(AU18/AT18*100,"")</f>
        <v>55.641946308724833</v>
      </c>
      <c r="AW18" s="146">
        <f>IFERROR(100-AV18,"")</f>
        <v>44.358053691275167</v>
      </c>
      <c r="AX18" s="138">
        <f t="shared" ref="AX18:AX47" si="10">IFERROR((1-((AV18*AR18)/(AW18*AQ18)))*100,"")</f>
        <v>66.655667034033939</v>
      </c>
      <c r="AY18" s="95">
        <v>74.8</v>
      </c>
      <c r="AZ18" s="96"/>
      <c r="BA18" s="96"/>
      <c r="BB18" s="96"/>
      <c r="BC18" s="96"/>
      <c r="BD18" s="97">
        <v>38.32</v>
      </c>
      <c r="BE18" s="142">
        <f t="shared" ref="BE18:BE47" si="11">IF(SUM(BF18:BL18)=0,"",SUM(BF18:BL18))</f>
        <v>6041</v>
      </c>
      <c r="BF18" s="98">
        <v>231</v>
      </c>
      <c r="BG18" s="98">
        <v>82</v>
      </c>
      <c r="BH18" s="98">
        <v>0</v>
      </c>
      <c r="BI18" s="98">
        <v>5728</v>
      </c>
      <c r="BJ18" s="98"/>
      <c r="BK18" s="98"/>
      <c r="BL18" s="97"/>
    </row>
    <row r="19" spans="1:64" outlineLevel="5" x14ac:dyDescent="0.3">
      <c r="A19" s="152">
        <f t="shared" si="5"/>
        <v>1</v>
      </c>
      <c r="B19" s="153">
        <f t="shared" ref="B19:B79" si="12">B18+1</f>
        <v>44929</v>
      </c>
      <c r="C19" s="138">
        <f t="shared" si="6"/>
        <v>38</v>
      </c>
      <c r="D19" s="84">
        <v>38</v>
      </c>
      <c r="E19" s="84">
        <v>38</v>
      </c>
      <c r="F19" s="84"/>
      <c r="G19" s="84"/>
      <c r="H19" s="84"/>
      <c r="I19" s="84"/>
      <c r="J19" s="84"/>
      <c r="K19" s="84"/>
      <c r="L19" s="140">
        <f t="shared" si="7"/>
        <v>8.6</v>
      </c>
      <c r="M19" s="86">
        <v>8.66</v>
      </c>
      <c r="N19" s="86">
        <v>8.59</v>
      </c>
      <c r="O19" s="86"/>
      <c r="P19" s="86"/>
      <c r="Q19" s="86"/>
      <c r="R19" s="86"/>
      <c r="S19" s="86"/>
      <c r="T19" s="86"/>
      <c r="U19" s="142">
        <f t="shared" si="8"/>
        <v>984</v>
      </c>
      <c r="V19" s="88">
        <v>789</v>
      </c>
      <c r="W19" s="88">
        <v>1179</v>
      </c>
      <c r="X19" s="88"/>
      <c r="Y19" s="88"/>
      <c r="Z19" s="88"/>
      <c r="AA19" s="88"/>
      <c r="AB19" s="88"/>
      <c r="AC19" s="88"/>
      <c r="AD19" s="142" t="str">
        <f t="shared" si="9"/>
        <v/>
      </c>
      <c r="AE19" s="88"/>
      <c r="AF19" s="88"/>
      <c r="AG19" s="88"/>
      <c r="AH19" s="88"/>
      <c r="AI19" s="88"/>
      <c r="AJ19" s="88"/>
      <c r="AK19" s="88"/>
      <c r="AL19" s="88"/>
      <c r="AM19" s="143">
        <v>52.997978890635522</v>
      </c>
      <c r="AN19" s="88">
        <v>89.06</v>
      </c>
      <c r="AO19" s="144"/>
      <c r="AP19" s="145"/>
      <c r="AQ19" s="146" t="str">
        <f>IFERROR(AP19/AO19*100,"")</f>
        <v/>
      </c>
      <c r="AR19" s="146" t="str">
        <f>IFERROR(100-AQ19,"")</f>
        <v/>
      </c>
      <c r="AS19" s="147">
        <v>38</v>
      </c>
      <c r="AT19" s="148"/>
      <c r="AU19" s="149"/>
      <c r="AV19" s="146" t="str">
        <f>IFERROR(AU19/AT19*100,"")</f>
        <v/>
      </c>
      <c r="AW19" s="146" t="str">
        <f>IFERROR(100-AV19,"")</f>
        <v/>
      </c>
      <c r="AX19" s="138" t="str">
        <f t="shared" si="10"/>
        <v/>
      </c>
      <c r="AY19" s="95"/>
      <c r="AZ19" s="96"/>
      <c r="BA19" s="96"/>
      <c r="BB19" s="96"/>
      <c r="BC19" s="96"/>
      <c r="BD19" s="97">
        <v>89.06</v>
      </c>
      <c r="BE19" s="142">
        <f t="shared" si="11"/>
        <v>6132</v>
      </c>
      <c r="BF19" s="98">
        <v>263</v>
      </c>
      <c r="BG19" s="98">
        <v>0</v>
      </c>
      <c r="BH19" s="98">
        <v>0</v>
      </c>
      <c r="BI19" s="98">
        <v>5869</v>
      </c>
      <c r="BJ19" s="98"/>
      <c r="BK19" s="98"/>
      <c r="BL19" s="97"/>
    </row>
    <row r="20" spans="1:64" outlineLevel="5" x14ac:dyDescent="0.3">
      <c r="A20" s="152">
        <f t="shared" si="5"/>
        <v>1</v>
      </c>
      <c r="B20" s="153">
        <f t="shared" si="12"/>
        <v>44930</v>
      </c>
      <c r="C20" s="138">
        <f t="shared" si="6"/>
        <v>39.4</v>
      </c>
      <c r="D20" s="84">
        <v>39.200000000000003</v>
      </c>
      <c r="E20" s="84">
        <v>39.6</v>
      </c>
      <c r="F20" s="84"/>
      <c r="G20" s="84"/>
      <c r="H20" s="84"/>
      <c r="I20" s="84"/>
      <c r="J20" s="84"/>
      <c r="K20" s="84"/>
      <c r="L20" s="140">
        <f t="shared" si="7"/>
        <v>8.6</v>
      </c>
      <c r="M20" s="86">
        <v>8.6199999999999992</v>
      </c>
      <c r="N20" s="86">
        <v>8.57</v>
      </c>
      <c r="O20" s="86"/>
      <c r="P20" s="86"/>
      <c r="Q20" s="86"/>
      <c r="R20" s="86"/>
      <c r="S20" s="86"/>
      <c r="T20" s="86"/>
      <c r="U20" s="142">
        <f t="shared" si="8"/>
        <v>929</v>
      </c>
      <c r="V20" s="88">
        <v>888</v>
      </c>
      <c r="W20" s="88">
        <v>970</v>
      </c>
      <c r="X20" s="88"/>
      <c r="Y20" s="88"/>
      <c r="Z20" s="88"/>
      <c r="AA20" s="88"/>
      <c r="AB20" s="88"/>
      <c r="AC20" s="88"/>
      <c r="AD20" s="142">
        <f t="shared" si="9"/>
        <v>7160</v>
      </c>
      <c r="AE20" s="88">
        <v>7350</v>
      </c>
      <c r="AF20" s="88">
        <v>6970</v>
      </c>
      <c r="AG20" s="88"/>
      <c r="AH20" s="88"/>
      <c r="AI20" s="88"/>
      <c r="AJ20" s="88"/>
      <c r="AK20" s="88"/>
      <c r="AL20" s="88"/>
      <c r="AM20" s="143">
        <v>38.150662786938248</v>
      </c>
      <c r="AN20" s="88">
        <v>123.72</v>
      </c>
      <c r="AO20" s="144"/>
      <c r="AP20" s="145"/>
      <c r="AQ20" s="146" t="str">
        <f>IFERROR(AP20/AO20*100,"")</f>
        <v/>
      </c>
      <c r="AR20" s="146" t="str">
        <f>IFERROR(100-AQ20,"")</f>
        <v/>
      </c>
      <c r="AS20" s="147">
        <v>40</v>
      </c>
      <c r="AT20" s="148">
        <v>16.45</v>
      </c>
      <c r="AU20" s="149">
        <v>10.019449999999999</v>
      </c>
      <c r="AV20" s="146">
        <f>IFERROR(AU20/AT20*100,"")</f>
        <v>60.908510638297876</v>
      </c>
      <c r="AW20" s="146">
        <f>IFERROR(100-AV20,"")</f>
        <v>39.091489361702124</v>
      </c>
      <c r="AX20" s="138" t="str">
        <f t="shared" si="10"/>
        <v/>
      </c>
      <c r="AY20" s="95">
        <v>74.55</v>
      </c>
      <c r="AZ20" s="96"/>
      <c r="BA20" s="96"/>
      <c r="BB20" s="96"/>
      <c r="BC20" s="96"/>
      <c r="BD20" s="97">
        <v>123.72</v>
      </c>
      <c r="BE20" s="142">
        <f t="shared" si="11"/>
        <v>6394</v>
      </c>
      <c r="BF20" s="98">
        <v>382</v>
      </c>
      <c r="BG20" s="98">
        <v>0</v>
      </c>
      <c r="BH20" s="98">
        <v>0</v>
      </c>
      <c r="BI20" s="98">
        <v>6012</v>
      </c>
      <c r="BJ20" s="98"/>
      <c r="BK20" s="98"/>
      <c r="BL20" s="97"/>
    </row>
    <row r="21" spans="1:64" outlineLevel="5" x14ac:dyDescent="0.3">
      <c r="A21" s="152">
        <f t="shared" si="5"/>
        <v>1</v>
      </c>
      <c r="B21" s="153">
        <f t="shared" si="12"/>
        <v>44931</v>
      </c>
      <c r="C21" s="138">
        <f t="shared" si="6"/>
        <v>39.4</v>
      </c>
      <c r="D21" s="84">
        <v>39.5</v>
      </c>
      <c r="E21" s="84">
        <v>39.200000000000003</v>
      </c>
      <c r="F21" s="84"/>
      <c r="G21" s="84"/>
      <c r="H21" s="84"/>
      <c r="I21" s="84"/>
      <c r="J21" s="84"/>
      <c r="K21" s="84"/>
      <c r="L21" s="140">
        <f t="shared" si="7"/>
        <v>8.6</v>
      </c>
      <c r="M21" s="86">
        <v>8.6</v>
      </c>
      <c r="N21" s="86">
        <v>8.5500000000000007</v>
      </c>
      <c r="O21" s="86"/>
      <c r="P21" s="86"/>
      <c r="Q21" s="86"/>
      <c r="R21" s="86"/>
      <c r="S21" s="86"/>
      <c r="T21" s="86"/>
      <c r="U21" s="142">
        <f t="shared" si="8"/>
        <v>921</v>
      </c>
      <c r="V21" s="88">
        <v>822</v>
      </c>
      <c r="W21" s="88">
        <v>1020</v>
      </c>
      <c r="X21" s="88"/>
      <c r="Y21" s="88"/>
      <c r="Z21" s="88"/>
      <c r="AA21" s="88"/>
      <c r="AB21" s="88"/>
      <c r="AC21" s="88"/>
      <c r="AD21" s="142" t="str">
        <f t="shared" si="9"/>
        <v/>
      </c>
      <c r="AE21" s="88"/>
      <c r="AF21" s="88"/>
      <c r="AG21" s="88"/>
      <c r="AH21" s="88"/>
      <c r="AI21" s="88"/>
      <c r="AJ21" s="88"/>
      <c r="AK21" s="88"/>
      <c r="AL21" s="88"/>
      <c r="AM21" s="143">
        <v>31.540260608085532</v>
      </c>
      <c r="AN21" s="88">
        <v>149.65</v>
      </c>
      <c r="AO21" s="89"/>
      <c r="AP21" s="90"/>
      <c r="AQ21" s="146" t="str">
        <f t="shared" ref="AQ21:AQ47" si="13">IFERROR(AP21/AO21*100,"")</f>
        <v/>
      </c>
      <c r="AR21" s="146" t="str">
        <f t="shared" ref="AR21:AR47" si="14">IFERROR(100-AQ21,"")</f>
        <v/>
      </c>
      <c r="AS21" s="147">
        <v>40</v>
      </c>
      <c r="AT21" s="93">
        <v>15.149999999999999</v>
      </c>
      <c r="AU21" s="94">
        <v>9.2456999999999994</v>
      </c>
      <c r="AV21" s="146">
        <f t="shared" ref="AV21:AV47" si="15">IFERROR(AU21/AT21*100,"")</f>
        <v>61.02772277227723</v>
      </c>
      <c r="AW21" s="146">
        <f t="shared" ref="AW21:AW47" si="16">IFERROR(100-AV21,"")</f>
        <v>38.97227722772277</v>
      </c>
      <c r="AX21" s="138" t="str">
        <f t="shared" si="10"/>
        <v/>
      </c>
      <c r="AY21" s="95"/>
      <c r="AZ21" s="96"/>
      <c r="BA21" s="96"/>
      <c r="BB21" s="96"/>
      <c r="BC21" s="96"/>
      <c r="BD21" s="97">
        <v>149.65</v>
      </c>
      <c r="BE21" s="142">
        <f t="shared" si="11"/>
        <v>6164</v>
      </c>
      <c r="BF21" s="98">
        <v>0</v>
      </c>
      <c r="BG21" s="98">
        <v>0</v>
      </c>
      <c r="BH21" s="98">
        <v>0</v>
      </c>
      <c r="BI21" s="98">
        <v>6164</v>
      </c>
      <c r="BJ21" s="98"/>
      <c r="BK21" s="98"/>
      <c r="BL21" s="97"/>
    </row>
    <row r="22" spans="1:64" outlineLevel="5" x14ac:dyDescent="0.3">
      <c r="A22" s="152">
        <f t="shared" si="5"/>
        <v>1</v>
      </c>
      <c r="B22" s="153">
        <f t="shared" si="12"/>
        <v>44932</v>
      </c>
      <c r="C22" s="138">
        <f t="shared" si="6"/>
        <v>38.799999999999997</v>
      </c>
      <c r="D22" s="84">
        <v>39</v>
      </c>
      <c r="E22" s="84">
        <v>38.5</v>
      </c>
      <c r="F22" s="84"/>
      <c r="G22" s="84"/>
      <c r="H22" s="84"/>
      <c r="I22" s="84"/>
      <c r="J22" s="84"/>
      <c r="K22" s="84"/>
      <c r="L22" s="140" t="str">
        <f t="shared" si="7"/>
        <v/>
      </c>
      <c r="M22" s="86"/>
      <c r="N22" s="86"/>
      <c r="O22" s="86"/>
      <c r="P22" s="86"/>
      <c r="Q22" s="86"/>
      <c r="R22" s="86"/>
      <c r="S22" s="86"/>
      <c r="T22" s="86"/>
      <c r="U22" s="142" t="str">
        <f t="shared" si="8"/>
        <v/>
      </c>
      <c r="V22" s="88"/>
      <c r="W22" s="88"/>
      <c r="X22" s="88"/>
      <c r="Y22" s="88"/>
      <c r="Z22" s="88"/>
      <c r="AA22" s="88"/>
      <c r="AB22" s="88"/>
      <c r="AC22" s="88"/>
      <c r="AD22" s="142" t="str">
        <f t="shared" si="9"/>
        <v/>
      </c>
      <c r="AE22" s="88"/>
      <c r="AF22" s="88"/>
      <c r="AG22" s="88"/>
      <c r="AH22" s="88"/>
      <c r="AI22" s="88"/>
      <c r="AJ22" s="88"/>
      <c r="AK22" s="88"/>
      <c r="AL22" s="88"/>
      <c r="AM22" s="143">
        <v>35.692679975801568</v>
      </c>
      <c r="AN22" s="88">
        <v>132.24</v>
      </c>
      <c r="AO22" s="89"/>
      <c r="AP22" s="90"/>
      <c r="AQ22" s="146" t="str">
        <f t="shared" si="13"/>
        <v/>
      </c>
      <c r="AR22" s="146" t="str">
        <f t="shared" si="14"/>
        <v/>
      </c>
      <c r="AS22" s="147">
        <v>20</v>
      </c>
      <c r="AT22" s="93"/>
      <c r="AU22" s="94"/>
      <c r="AV22" s="146" t="str">
        <f t="shared" si="15"/>
        <v/>
      </c>
      <c r="AW22" s="146" t="str">
        <f t="shared" si="16"/>
        <v/>
      </c>
      <c r="AX22" s="138" t="str">
        <f t="shared" si="10"/>
        <v/>
      </c>
      <c r="AY22" s="95"/>
      <c r="AZ22" s="96"/>
      <c r="BA22" s="96"/>
      <c r="BB22" s="96"/>
      <c r="BC22" s="96"/>
      <c r="BD22" s="97">
        <v>132.24</v>
      </c>
      <c r="BE22" s="142">
        <f t="shared" si="11"/>
        <v>7028</v>
      </c>
      <c r="BF22" s="98">
        <v>434</v>
      </c>
      <c r="BG22" s="98">
        <v>0</v>
      </c>
      <c r="BH22" s="98">
        <v>0</v>
      </c>
      <c r="BI22" s="98">
        <v>6594</v>
      </c>
      <c r="BJ22" s="98"/>
      <c r="BK22" s="98"/>
      <c r="BL22" s="97"/>
    </row>
    <row r="23" spans="1:64" outlineLevel="5" x14ac:dyDescent="0.3">
      <c r="A23" s="152">
        <f t="shared" si="5"/>
        <v>1</v>
      </c>
      <c r="B23" s="153">
        <f t="shared" si="12"/>
        <v>44933</v>
      </c>
      <c r="C23" s="138">
        <f t="shared" si="6"/>
        <v>39</v>
      </c>
      <c r="D23" s="84">
        <v>39.1</v>
      </c>
      <c r="E23" s="84">
        <v>38.799999999999997</v>
      </c>
      <c r="F23" s="84"/>
      <c r="G23" s="84"/>
      <c r="H23" s="84"/>
      <c r="I23" s="84"/>
      <c r="J23" s="84"/>
      <c r="K23" s="84"/>
      <c r="L23" s="140" t="str">
        <f t="shared" si="7"/>
        <v/>
      </c>
      <c r="M23" s="86"/>
      <c r="N23" s="86"/>
      <c r="O23" s="86"/>
      <c r="P23" s="86"/>
      <c r="Q23" s="86"/>
      <c r="R23" s="86"/>
      <c r="S23" s="86"/>
      <c r="T23" s="86"/>
      <c r="U23" s="142" t="str">
        <f t="shared" si="8"/>
        <v/>
      </c>
      <c r="V23" s="88"/>
      <c r="W23" s="88"/>
      <c r="X23" s="88"/>
      <c r="Y23" s="88"/>
      <c r="Z23" s="88"/>
      <c r="AA23" s="88"/>
      <c r="AB23" s="88"/>
      <c r="AC23" s="88"/>
      <c r="AD23" s="142" t="str">
        <f t="shared" si="9"/>
        <v/>
      </c>
      <c r="AE23" s="88"/>
      <c r="AF23" s="88"/>
      <c r="AG23" s="88"/>
      <c r="AH23" s="88"/>
      <c r="AI23" s="88"/>
      <c r="AJ23" s="88"/>
      <c r="AK23" s="88"/>
      <c r="AL23" s="88"/>
      <c r="AM23" s="143">
        <v>39.072847682119203</v>
      </c>
      <c r="AN23" s="88">
        <v>120.8</v>
      </c>
      <c r="AO23" s="89"/>
      <c r="AP23" s="90"/>
      <c r="AQ23" s="146" t="str">
        <f t="shared" si="13"/>
        <v/>
      </c>
      <c r="AR23" s="146" t="str">
        <f t="shared" si="14"/>
        <v/>
      </c>
      <c r="AS23" s="147">
        <v>10</v>
      </c>
      <c r="AT23" s="93"/>
      <c r="AU23" s="94"/>
      <c r="AV23" s="146" t="str">
        <f t="shared" si="15"/>
        <v/>
      </c>
      <c r="AW23" s="146" t="str">
        <f t="shared" si="16"/>
        <v/>
      </c>
      <c r="AX23" s="138" t="str">
        <f t="shared" si="10"/>
        <v/>
      </c>
      <c r="AY23" s="95"/>
      <c r="AZ23" s="96"/>
      <c r="BA23" s="96"/>
      <c r="BB23" s="96"/>
      <c r="BC23" s="96"/>
      <c r="BD23" s="97">
        <v>120.8</v>
      </c>
      <c r="BE23" s="142">
        <f t="shared" si="11"/>
        <v>6494</v>
      </c>
      <c r="BF23" s="98">
        <v>494</v>
      </c>
      <c r="BG23" s="98">
        <v>0</v>
      </c>
      <c r="BH23" s="98">
        <v>0</v>
      </c>
      <c r="BI23" s="98">
        <v>6000</v>
      </c>
      <c r="BJ23" s="98"/>
      <c r="BK23" s="98"/>
      <c r="BL23" s="97"/>
    </row>
    <row r="24" spans="1:64" outlineLevel="5" x14ac:dyDescent="0.3">
      <c r="A24" s="152">
        <f t="shared" si="5"/>
        <v>1</v>
      </c>
      <c r="B24" s="153">
        <f t="shared" si="12"/>
        <v>44934</v>
      </c>
      <c r="C24" s="138">
        <f t="shared" si="6"/>
        <v>38.6</v>
      </c>
      <c r="D24" s="84">
        <v>38.700000000000003</v>
      </c>
      <c r="E24" s="84">
        <v>38.5</v>
      </c>
      <c r="F24" s="84"/>
      <c r="G24" s="84"/>
      <c r="H24" s="84"/>
      <c r="I24" s="84"/>
      <c r="J24" s="84"/>
      <c r="K24" s="84"/>
      <c r="L24" s="140" t="str">
        <f t="shared" si="7"/>
        <v/>
      </c>
      <c r="M24" s="86"/>
      <c r="N24" s="86"/>
      <c r="O24" s="86"/>
      <c r="P24" s="86"/>
      <c r="Q24" s="86"/>
      <c r="R24" s="86"/>
      <c r="S24" s="86"/>
      <c r="T24" s="86"/>
      <c r="U24" s="142" t="str">
        <f t="shared" si="8"/>
        <v/>
      </c>
      <c r="V24" s="88"/>
      <c r="W24" s="88"/>
      <c r="X24" s="88"/>
      <c r="Y24" s="88"/>
      <c r="Z24" s="88"/>
      <c r="AA24" s="88"/>
      <c r="AB24" s="88"/>
      <c r="AC24" s="88"/>
      <c r="AD24" s="142" t="str">
        <f t="shared" si="9"/>
        <v/>
      </c>
      <c r="AE24" s="88"/>
      <c r="AF24" s="88"/>
      <c r="AG24" s="88"/>
      <c r="AH24" s="88"/>
      <c r="AI24" s="88"/>
      <c r="AJ24" s="88"/>
      <c r="AK24" s="88"/>
      <c r="AL24" s="88"/>
      <c r="AM24" s="143">
        <v>42.909090909090907</v>
      </c>
      <c r="AN24" s="88">
        <v>110</v>
      </c>
      <c r="AO24" s="89"/>
      <c r="AP24" s="90"/>
      <c r="AQ24" s="146" t="str">
        <f t="shared" si="13"/>
        <v/>
      </c>
      <c r="AR24" s="146" t="str">
        <f t="shared" si="14"/>
        <v/>
      </c>
      <c r="AS24" s="147">
        <v>10</v>
      </c>
      <c r="AT24" s="93"/>
      <c r="AU24" s="94"/>
      <c r="AV24" s="146" t="str">
        <f t="shared" si="15"/>
        <v/>
      </c>
      <c r="AW24" s="146" t="str">
        <f t="shared" si="16"/>
        <v/>
      </c>
      <c r="AX24" s="138" t="str">
        <f t="shared" si="10"/>
        <v/>
      </c>
      <c r="AY24" s="95"/>
      <c r="AZ24" s="96"/>
      <c r="BA24" s="96"/>
      <c r="BB24" s="96"/>
      <c r="BC24" s="96"/>
      <c r="BD24" s="97">
        <v>110</v>
      </c>
      <c r="BE24" s="142">
        <f t="shared" si="11"/>
        <v>5150</v>
      </c>
      <c r="BF24" s="98">
        <v>0</v>
      </c>
      <c r="BG24" s="98">
        <v>0</v>
      </c>
      <c r="BH24" s="98">
        <v>0</v>
      </c>
      <c r="BI24" s="98">
        <v>5150</v>
      </c>
      <c r="BJ24" s="98"/>
      <c r="BK24" s="98"/>
      <c r="BL24" s="97"/>
    </row>
    <row r="25" spans="1:64" outlineLevel="5" x14ac:dyDescent="0.3">
      <c r="A25" s="152">
        <f t="shared" si="5"/>
        <v>1</v>
      </c>
      <c r="B25" s="153">
        <f t="shared" si="12"/>
        <v>44935</v>
      </c>
      <c r="C25" s="138">
        <f t="shared" si="6"/>
        <v>37</v>
      </c>
      <c r="D25" s="84">
        <v>37</v>
      </c>
      <c r="E25" s="84">
        <v>37</v>
      </c>
      <c r="F25" s="84"/>
      <c r="G25" s="84"/>
      <c r="H25" s="84"/>
      <c r="I25" s="84"/>
      <c r="J25" s="84"/>
      <c r="K25" s="84"/>
      <c r="L25" s="140">
        <f t="shared" si="7"/>
        <v>8.6</v>
      </c>
      <c r="M25" s="86">
        <v>8.6</v>
      </c>
      <c r="N25" s="86">
        <v>8.5299999999999994</v>
      </c>
      <c r="O25" s="86"/>
      <c r="P25" s="86"/>
      <c r="Q25" s="86"/>
      <c r="R25" s="86"/>
      <c r="S25" s="86"/>
      <c r="T25" s="86"/>
      <c r="U25" s="142">
        <f t="shared" si="8"/>
        <v>1108</v>
      </c>
      <c r="V25" s="88">
        <v>1081</v>
      </c>
      <c r="W25" s="88">
        <v>1135</v>
      </c>
      <c r="X25" s="88"/>
      <c r="Y25" s="88"/>
      <c r="Z25" s="88"/>
      <c r="AA25" s="88"/>
      <c r="AB25" s="88"/>
      <c r="AC25" s="88"/>
      <c r="AD25" s="142" t="str">
        <f t="shared" si="9"/>
        <v/>
      </c>
      <c r="AE25" s="88"/>
      <c r="AF25" s="88"/>
      <c r="AG25" s="88"/>
      <c r="AH25" s="88"/>
      <c r="AI25" s="88"/>
      <c r="AJ25" s="88"/>
      <c r="AK25" s="88"/>
      <c r="AL25" s="88"/>
      <c r="AM25" s="143">
        <v>52.649191299498042</v>
      </c>
      <c r="AN25" s="88">
        <v>89.65</v>
      </c>
      <c r="AO25" s="89">
        <v>21.1</v>
      </c>
      <c r="AP25" s="90">
        <v>16.732299999999999</v>
      </c>
      <c r="AQ25" s="146">
        <f t="shared" si="13"/>
        <v>79.3</v>
      </c>
      <c r="AR25" s="146">
        <f t="shared" si="14"/>
        <v>20.700000000000003</v>
      </c>
      <c r="AS25" s="147">
        <v>40</v>
      </c>
      <c r="AT25" s="93">
        <v>15.1</v>
      </c>
      <c r="AU25" s="94">
        <v>9.1443999999999992</v>
      </c>
      <c r="AV25" s="146">
        <f t="shared" si="15"/>
        <v>60.558940397350995</v>
      </c>
      <c r="AW25" s="146">
        <f t="shared" si="16"/>
        <v>39.441059602649005</v>
      </c>
      <c r="AX25" s="138">
        <f t="shared" si="10"/>
        <v>59.920079458103444</v>
      </c>
      <c r="AY25" s="95">
        <v>74.3</v>
      </c>
      <c r="AZ25" s="96"/>
      <c r="BA25" s="96"/>
      <c r="BB25" s="96"/>
      <c r="BC25" s="96"/>
      <c r="BD25" s="97">
        <v>89.65</v>
      </c>
      <c r="BE25" s="142">
        <f t="shared" si="11"/>
        <v>6343</v>
      </c>
      <c r="BF25" s="98">
        <v>493</v>
      </c>
      <c r="BG25" s="98">
        <v>0</v>
      </c>
      <c r="BH25" s="98">
        <v>0</v>
      </c>
      <c r="BI25" s="98">
        <v>5850</v>
      </c>
      <c r="BJ25" s="98"/>
      <c r="BK25" s="98"/>
      <c r="BL25" s="97"/>
    </row>
    <row r="26" spans="1:64" outlineLevel="5" x14ac:dyDescent="0.3">
      <c r="A26" s="152">
        <f t="shared" si="5"/>
        <v>1</v>
      </c>
      <c r="B26" s="153">
        <f t="shared" si="12"/>
        <v>44936</v>
      </c>
      <c r="C26" s="138">
        <f t="shared" si="6"/>
        <v>37.5</v>
      </c>
      <c r="D26" s="84">
        <v>38</v>
      </c>
      <c r="E26" s="84">
        <v>37</v>
      </c>
      <c r="F26" s="84"/>
      <c r="G26" s="84"/>
      <c r="H26" s="84"/>
      <c r="I26" s="84"/>
      <c r="J26" s="84"/>
      <c r="K26" s="84"/>
      <c r="L26" s="140" t="str">
        <f t="shared" si="7"/>
        <v/>
      </c>
      <c r="M26" s="86"/>
      <c r="N26" s="86"/>
      <c r="O26" s="86"/>
      <c r="P26" s="86"/>
      <c r="Q26" s="86"/>
      <c r="R26" s="86"/>
      <c r="S26" s="86"/>
      <c r="T26" s="86"/>
      <c r="U26" s="142" t="str">
        <f t="shared" si="8"/>
        <v/>
      </c>
      <c r="V26" s="88"/>
      <c r="W26" s="88"/>
      <c r="X26" s="88"/>
      <c r="Y26" s="88"/>
      <c r="Z26" s="88"/>
      <c r="AA26" s="88"/>
      <c r="AB26" s="88"/>
      <c r="AC26" s="88"/>
      <c r="AD26" s="142" t="str">
        <f t="shared" si="9"/>
        <v/>
      </c>
      <c r="AE26" s="88"/>
      <c r="AF26" s="88"/>
      <c r="AG26" s="88"/>
      <c r="AH26" s="88"/>
      <c r="AI26" s="88"/>
      <c r="AJ26" s="88"/>
      <c r="AK26" s="88"/>
      <c r="AL26" s="88"/>
      <c r="AM26" s="143">
        <v>45.44141715606046</v>
      </c>
      <c r="AN26" s="88">
        <v>103.87</v>
      </c>
      <c r="AO26" s="89"/>
      <c r="AP26" s="90"/>
      <c r="AQ26" s="146" t="str">
        <f t="shared" si="13"/>
        <v/>
      </c>
      <c r="AR26" s="146" t="str">
        <f t="shared" si="14"/>
        <v/>
      </c>
      <c r="AS26" s="147">
        <v>40</v>
      </c>
      <c r="AT26" s="93"/>
      <c r="AU26" s="94"/>
      <c r="AV26" s="146" t="str">
        <f t="shared" si="15"/>
        <v/>
      </c>
      <c r="AW26" s="146" t="str">
        <f t="shared" si="16"/>
        <v/>
      </c>
      <c r="AX26" s="138" t="str">
        <f t="shared" si="10"/>
        <v/>
      </c>
      <c r="AY26" s="95"/>
      <c r="AZ26" s="96"/>
      <c r="BA26" s="96"/>
      <c r="BB26" s="96"/>
      <c r="BC26" s="96"/>
      <c r="BD26" s="97">
        <v>103.87</v>
      </c>
      <c r="BE26" s="142">
        <f t="shared" si="11"/>
        <v>6511</v>
      </c>
      <c r="BF26" s="98">
        <v>381</v>
      </c>
      <c r="BG26" s="98">
        <v>0</v>
      </c>
      <c r="BH26" s="98">
        <v>0</v>
      </c>
      <c r="BI26" s="98">
        <v>6130</v>
      </c>
      <c r="BJ26" s="98"/>
      <c r="BK26" s="98"/>
      <c r="BL26" s="97"/>
    </row>
    <row r="27" spans="1:64" outlineLevel="5" x14ac:dyDescent="0.3">
      <c r="A27" s="152">
        <f t="shared" si="5"/>
        <v>1</v>
      </c>
      <c r="B27" s="153">
        <f t="shared" si="12"/>
        <v>44937</v>
      </c>
      <c r="C27" s="138">
        <f t="shared" si="6"/>
        <v>38.1</v>
      </c>
      <c r="D27" s="84">
        <v>38.299999999999997</v>
      </c>
      <c r="E27" s="84">
        <v>37.9</v>
      </c>
      <c r="F27" s="84"/>
      <c r="G27" s="84"/>
      <c r="H27" s="84"/>
      <c r="I27" s="84"/>
      <c r="J27" s="84"/>
      <c r="K27" s="84"/>
      <c r="L27" s="140">
        <f t="shared" si="7"/>
        <v>8.6999999999999993</v>
      </c>
      <c r="M27" s="86">
        <v>8.6999999999999993</v>
      </c>
      <c r="N27" s="86">
        <v>8.6199999999999992</v>
      </c>
      <c r="O27" s="86"/>
      <c r="P27" s="86"/>
      <c r="Q27" s="86"/>
      <c r="R27" s="86"/>
      <c r="S27" s="86"/>
      <c r="T27" s="86"/>
      <c r="U27" s="142">
        <f t="shared" si="8"/>
        <v>1080.5</v>
      </c>
      <c r="V27" s="88">
        <v>1024</v>
      </c>
      <c r="W27" s="88">
        <v>1137</v>
      </c>
      <c r="X27" s="88"/>
      <c r="Y27" s="88"/>
      <c r="Z27" s="88"/>
      <c r="AA27" s="88"/>
      <c r="AB27" s="88"/>
      <c r="AC27" s="88"/>
      <c r="AD27" s="142">
        <f t="shared" si="9"/>
        <v>7655</v>
      </c>
      <c r="AE27" s="88">
        <v>7720</v>
      </c>
      <c r="AF27" s="88">
        <v>7590</v>
      </c>
      <c r="AG27" s="88"/>
      <c r="AH27" s="88"/>
      <c r="AI27" s="88"/>
      <c r="AJ27" s="88"/>
      <c r="AK27" s="88"/>
      <c r="AL27" s="88"/>
      <c r="AM27" s="143">
        <v>33.721511752518396</v>
      </c>
      <c r="AN27" s="88">
        <v>139.97</v>
      </c>
      <c r="AO27" s="89"/>
      <c r="AP27" s="90"/>
      <c r="AQ27" s="146" t="str">
        <f t="shared" si="13"/>
        <v/>
      </c>
      <c r="AR27" s="146" t="str">
        <f t="shared" si="14"/>
        <v/>
      </c>
      <c r="AS27" s="147">
        <v>45</v>
      </c>
      <c r="AT27" s="93">
        <v>16.399999999999999</v>
      </c>
      <c r="AU27" s="94">
        <v>10.00845</v>
      </c>
      <c r="AV27" s="146">
        <f t="shared" si="15"/>
        <v>61.027134146341467</v>
      </c>
      <c r="AW27" s="146">
        <f t="shared" si="16"/>
        <v>38.972865853658533</v>
      </c>
      <c r="AX27" s="138" t="str">
        <f t="shared" si="10"/>
        <v/>
      </c>
      <c r="AY27" s="95">
        <v>73.849999999999994</v>
      </c>
      <c r="AZ27" s="96"/>
      <c r="BA27" s="96"/>
      <c r="BB27" s="96"/>
      <c r="BC27" s="96"/>
      <c r="BD27" s="97">
        <v>139.97</v>
      </c>
      <c r="BE27" s="142">
        <f t="shared" si="11"/>
        <v>7013</v>
      </c>
      <c r="BF27" s="98">
        <v>364</v>
      </c>
      <c r="BG27" s="98">
        <v>0</v>
      </c>
      <c r="BH27" s="98">
        <v>0</v>
      </c>
      <c r="BI27" s="98">
        <v>6649</v>
      </c>
      <c r="BJ27" s="98"/>
      <c r="BK27" s="98"/>
      <c r="BL27" s="97"/>
    </row>
    <row r="28" spans="1:64" outlineLevel="5" x14ac:dyDescent="0.3">
      <c r="A28" s="152">
        <f t="shared" si="5"/>
        <v>1</v>
      </c>
      <c r="B28" s="153">
        <f t="shared" si="12"/>
        <v>44938</v>
      </c>
      <c r="C28" s="138">
        <f t="shared" si="6"/>
        <v>38.200000000000003</v>
      </c>
      <c r="D28" s="84">
        <v>38.4</v>
      </c>
      <c r="E28" s="84">
        <v>38</v>
      </c>
      <c r="F28" s="84"/>
      <c r="G28" s="84"/>
      <c r="H28" s="84"/>
      <c r="I28" s="84"/>
      <c r="J28" s="84"/>
      <c r="K28" s="84"/>
      <c r="L28" s="140">
        <f t="shared" si="7"/>
        <v>8.6999999999999993</v>
      </c>
      <c r="M28" s="86">
        <v>8.65</v>
      </c>
      <c r="N28" s="86">
        <v>8.69</v>
      </c>
      <c r="O28" s="86"/>
      <c r="P28" s="86"/>
      <c r="Q28" s="86"/>
      <c r="R28" s="86"/>
      <c r="S28" s="86"/>
      <c r="T28" s="86"/>
      <c r="U28" s="142">
        <f t="shared" si="8"/>
        <v>1015</v>
      </c>
      <c r="V28" s="88">
        <v>988</v>
      </c>
      <c r="W28" s="88">
        <v>1042</v>
      </c>
      <c r="X28" s="88"/>
      <c r="Y28" s="88"/>
      <c r="Z28" s="88"/>
      <c r="AA28" s="88"/>
      <c r="AB28" s="88"/>
      <c r="AC28" s="88"/>
      <c r="AD28" s="142" t="str">
        <f t="shared" si="9"/>
        <v/>
      </c>
      <c r="AE28" s="88"/>
      <c r="AF28" s="88"/>
      <c r="AG28" s="88"/>
      <c r="AH28" s="88"/>
      <c r="AI28" s="88"/>
      <c r="AJ28" s="88"/>
      <c r="AK28" s="88"/>
      <c r="AL28" s="88"/>
      <c r="AM28" s="143">
        <v>35.18711793648427</v>
      </c>
      <c r="AN28" s="88">
        <v>134.13999999999999</v>
      </c>
      <c r="AO28" s="89"/>
      <c r="AP28" s="90"/>
      <c r="AQ28" s="146" t="str">
        <f t="shared" si="13"/>
        <v/>
      </c>
      <c r="AR28" s="146" t="str">
        <f t="shared" si="14"/>
        <v/>
      </c>
      <c r="AS28" s="147">
        <v>40</v>
      </c>
      <c r="AT28" s="93">
        <v>15.2</v>
      </c>
      <c r="AU28" s="94">
        <v>9.1951999999999998</v>
      </c>
      <c r="AV28" s="146">
        <f t="shared" si="15"/>
        <v>60.494736842105269</v>
      </c>
      <c r="AW28" s="146">
        <f t="shared" si="16"/>
        <v>39.505263157894731</v>
      </c>
      <c r="AX28" s="138" t="str">
        <f t="shared" si="10"/>
        <v/>
      </c>
      <c r="AY28" s="95">
        <v>74.349999999999994</v>
      </c>
      <c r="AZ28" s="96"/>
      <c r="BA28" s="96"/>
      <c r="BB28" s="96"/>
      <c r="BC28" s="96"/>
      <c r="BD28" s="97">
        <v>134.13999999999999</v>
      </c>
      <c r="BE28" s="142">
        <f t="shared" si="11"/>
        <v>6267</v>
      </c>
      <c r="BF28" s="98">
        <v>382</v>
      </c>
      <c r="BG28" s="98">
        <v>0</v>
      </c>
      <c r="BH28" s="98">
        <v>0</v>
      </c>
      <c r="BI28" s="98">
        <v>5885</v>
      </c>
      <c r="BJ28" s="98"/>
      <c r="BK28" s="98"/>
      <c r="BL28" s="97"/>
    </row>
    <row r="29" spans="1:64" outlineLevel="5" x14ac:dyDescent="0.3">
      <c r="A29" s="152">
        <f t="shared" si="5"/>
        <v>1</v>
      </c>
      <c r="B29" s="153">
        <f t="shared" si="12"/>
        <v>44939</v>
      </c>
      <c r="C29" s="138">
        <f t="shared" si="6"/>
        <v>38.4</v>
      </c>
      <c r="D29" s="84">
        <v>38.6</v>
      </c>
      <c r="E29" s="84">
        <v>38.1</v>
      </c>
      <c r="F29" s="84"/>
      <c r="G29" s="84"/>
      <c r="H29" s="84"/>
      <c r="I29" s="84"/>
      <c r="J29" s="84"/>
      <c r="K29" s="84"/>
      <c r="L29" s="140" t="str">
        <f t="shared" si="7"/>
        <v/>
      </c>
      <c r="M29" s="86"/>
      <c r="N29" s="86"/>
      <c r="O29" s="86"/>
      <c r="P29" s="86"/>
      <c r="Q29" s="86"/>
      <c r="R29" s="86"/>
      <c r="S29" s="86"/>
      <c r="T29" s="86"/>
      <c r="U29" s="142" t="str">
        <f t="shared" si="8"/>
        <v/>
      </c>
      <c r="V29" s="88"/>
      <c r="W29" s="88"/>
      <c r="X29" s="88"/>
      <c r="Y29" s="88"/>
      <c r="Z29" s="88"/>
      <c r="AA29" s="88"/>
      <c r="AB29" s="88"/>
      <c r="AC29" s="88"/>
      <c r="AD29" s="142" t="str">
        <f t="shared" si="9"/>
        <v/>
      </c>
      <c r="AE29" s="88"/>
      <c r="AF29" s="88"/>
      <c r="AG29" s="88"/>
      <c r="AH29" s="88"/>
      <c r="AI29" s="88"/>
      <c r="AJ29" s="88"/>
      <c r="AK29" s="88"/>
      <c r="AL29" s="88"/>
      <c r="AM29" s="143">
        <v>31.885428629331891</v>
      </c>
      <c r="AN29" s="88">
        <v>148.03</v>
      </c>
      <c r="AO29" s="89"/>
      <c r="AP29" s="90"/>
      <c r="AQ29" s="146" t="str">
        <f t="shared" si="13"/>
        <v/>
      </c>
      <c r="AR29" s="146" t="str">
        <f t="shared" si="14"/>
        <v/>
      </c>
      <c r="AS29" s="147">
        <v>20</v>
      </c>
      <c r="AT29" s="93"/>
      <c r="AU29" s="94"/>
      <c r="AV29" s="146" t="str">
        <f t="shared" si="15"/>
        <v/>
      </c>
      <c r="AW29" s="146" t="str">
        <f t="shared" si="16"/>
        <v/>
      </c>
      <c r="AX29" s="138" t="str">
        <f t="shared" si="10"/>
        <v/>
      </c>
      <c r="AY29" s="95"/>
      <c r="AZ29" s="96"/>
      <c r="BA29" s="96"/>
      <c r="BB29" s="96"/>
      <c r="BC29" s="96"/>
      <c r="BD29" s="97">
        <v>148.03</v>
      </c>
      <c r="BE29" s="142">
        <f t="shared" si="11"/>
        <v>6714</v>
      </c>
      <c r="BF29" s="98">
        <v>322</v>
      </c>
      <c r="BG29" s="98">
        <v>0</v>
      </c>
      <c r="BH29" s="98">
        <v>0</v>
      </c>
      <c r="BI29" s="98">
        <v>6392</v>
      </c>
      <c r="BJ29" s="98"/>
      <c r="BK29" s="98"/>
      <c r="BL29" s="97"/>
    </row>
    <row r="30" spans="1:64" outlineLevel="5" x14ac:dyDescent="0.3">
      <c r="A30" s="152">
        <f t="shared" si="5"/>
        <v>1</v>
      </c>
      <c r="B30" s="153">
        <f t="shared" si="12"/>
        <v>44940</v>
      </c>
      <c r="C30" s="138">
        <f t="shared" si="6"/>
        <v>38.5</v>
      </c>
      <c r="D30" s="84">
        <v>38.700000000000003</v>
      </c>
      <c r="E30" s="84">
        <v>38.299999999999997</v>
      </c>
      <c r="F30" s="84"/>
      <c r="G30" s="84"/>
      <c r="H30" s="84"/>
      <c r="I30" s="84"/>
      <c r="J30" s="84"/>
      <c r="K30" s="84"/>
      <c r="L30" s="140" t="str">
        <f t="shared" si="7"/>
        <v/>
      </c>
      <c r="M30" s="86"/>
      <c r="N30" s="86"/>
      <c r="O30" s="86"/>
      <c r="P30" s="86"/>
      <c r="Q30" s="86"/>
      <c r="R30" s="86"/>
      <c r="S30" s="86"/>
      <c r="T30" s="86"/>
      <c r="U30" s="142" t="str">
        <f t="shared" si="8"/>
        <v/>
      </c>
      <c r="V30" s="88"/>
      <c r="W30" s="88"/>
      <c r="X30" s="88"/>
      <c r="Y30" s="88"/>
      <c r="Z30" s="88"/>
      <c r="AA30" s="88"/>
      <c r="AB30" s="88"/>
      <c r="AC30" s="88"/>
      <c r="AD30" s="142" t="str">
        <f t="shared" si="9"/>
        <v/>
      </c>
      <c r="AE30" s="88"/>
      <c r="AF30" s="88"/>
      <c r="AG30" s="88"/>
      <c r="AH30" s="88"/>
      <c r="AI30" s="88"/>
      <c r="AJ30" s="88"/>
      <c r="AK30" s="88"/>
      <c r="AL30" s="88"/>
      <c r="AM30" s="143">
        <v>36.694394775713285</v>
      </c>
      <c r="AN30" s="88">
        <v>128.63</v>
      </c>
      <c r="AO30" s="89"/>
      <c r="AP30" s="90"/>
      <c r="AQ30" s="146" t="str">
        <f t="shared" si="13"/>
        <v/>
      </c>
      <c r="AR30" s="146" t="str">
        <f t="shared" si="14"/>
        <v/>
      </c>
      <c r="AS30" s="147">
        <v>10</v>
      </c>
      <c r="AT30" s="93"/>
      <c r="AU30" s="94"/>
      <c r="AV30" s="146" t="str">
        <f t="shared" si="15"/>
        <v/>
      </c>
      <c r="AW30" s="146" t="str">
        <f t="shared" si="16"/>
        <v/>
      </c>
      <c r="AX30" s="138" t="str">
        <f t="shared" si="10"/>
        <v/>
      </c>
      <c r="AY30" s="95"/>
      <c r="AZ30" s="96"/>
      <c r="BA30" s="96"/>
      <c r="BB30" s="96"/>
      <c r="BC30" s="96"/>
      <c r="BD30" s="97">
        <v>128.63</v>
      </c>
      <c r="BE30" s="142">
        <f t="shared" si="11"/>
        <v>6023</v>
      </c>
      <c r="BF30" s="98">
        <v>232</v>
      </c>
      <c r="BG30" s="98">
        <v>0</v>
      </c>
      <c r="BH30" s="98">
        <v>0</v>
      </c>
      <c r="BI30" s="98">
        <v>5791</v>
      </c>
      <c r="BJ30" s="98"/>
      <c r="BK30" s="98"/>
      <c r="BL30" s="97"/>
    </row>
    <row r="31" spans="1:64" outlineLevel="5" x14ac:dyDescent="0.3">
      <c r="A31" s="152">
        <f t="shared" si="5"/>
        <v>1</v>
      </c>
      <c r="B31" s="153">
        <f t="shared" si="12"/>
        <v>44941</v>
      </c>
      <c r="C31" s="138">
        <f t="shared" si="6"/>
        <v>38.299999999999997</v>
      </c>
      <c r="D31" s="84">
        <v>38.5</v>
      </c>
      <c r="E31" s="84">
        <v>38</v>
      </c>
      <c r="F31" s="84"/>
      <c r="G31" s="84"/>
      <c r="H31" s="84"/>
      <c r="I31" s="84"/>
      <c r="J31" s="84"/>
      <c r="K31" s="84"/>
      <c r="L31" s="140" t="str">
        <f t="shared" si="7"/>
        <v/>
      </c>
      <c r="M31" s="86"/>
      <c r="N31" s="86"/>
      <c r="O31" s="86"/>
      <c r="P31" s="86"/>
      <c r="Q31" s="86"/>
      <c r="R31" s="86"/>
      <c r="S31" s="86"/>
      <c r="T31" s="86"/>
      <c r="U31" s="142" t="str">
        <f t="shared" si="8"/>
        <v/>
      </c>
      <c r="V31" s="88"/>
      <c r="W31" s="88"/>
      <c r="X31" s="88"/>
      <c r="Y31" s="88"/>
      <c r="Z31" s="88"/>
      <c r="AA31" s="88"/>
      <c r="AB31" s="88"/>
      <c r="AC31" s="88"/>
      <c r="AD31" s="142" t="str">
        <f t="shared" si="9"/>
        <v/>
      </c>
      <c r="AE31" s="88"/>
      <c r="AF31" s="88"/>
      <c r="AG31" s="88"/>
      <c r="AH31" s="88"/>
      <c r="AI31" s="88"/>
      <c r="AJ31" s="88"/>
      <c r="AK31" s="88"/>
      <c r="AL31" s="88"/>
      <c r="AM31" s="143">
        <v>42.909090909090907</v>
      </c>
      <c r="AN31" s="88">
        <v>110</v>
      </c>
      <c r="AO31" s="89"/>
      <c r="AP31" s="90"/>
      <c r="AQ31" s="146" t="str">
        <f t="shared" si="13"/>
        <v/>
      </c>
      <c r="AR31" s="146" t="str">
        <f t="shared" si="14"/>
        <v/>
      </c>
      <c r="AS31" s="147">
        <v>10</v>
      </c>
      <c r="AT31" s="93"/>
      <c r="AU31" s="94"/>
      <c r="AV31" s="146" t="str">
        <f t="shared" si="15"/>
        <v/>
      </c>
      <c r="AW31" s="146" t="str">
        <f t="shared" si="16"/>
        <v/>
      </c>
      <c r="AX31" s="138" t="str">
        <f t="shared" si="10"/>
        <v/>
      </c>
      <c r="AY31" s="95"/>
      <c r="AZ31" s="96"/>
      <c r="BA31" s="96"/>
      <c r="BB31" s="96"/>
      <c r="BC31" s="96"/>
      <c r="BD31" s="97">
        <v>110</v>
      </c>
      <c r="BE31" s="142">
        <f t="shared" si="11"/>
        <v>5572</v>
      </c>
      <c r="BF31" s="98">
        <v>398</v>
      </c>
      <c r="BG31" s="98">
        <v>0</v>
      </c>
      <c r="BH31" s="98">
        <v>0</v>
      </c>
      <c r="BI31" s="98">
        <v>5174</v>
      </c>
      <c r="BJ31" s="98"/>
      <c r="BK31" s="98"/>
      <c r="BL31" s="97"/>
    </row>
    <row r="32" spans="1:64" outlineLevel="5" x14ac:dyDescent="0.3">
      <c r="A32" s="152">
        <f t="shared" si="5"/>
        <v>1</v>
      </c>
      <c r="B32" s="153">
        <f t="shared" si="12"/>
        <v>44942</v>
      </c>
      <c r="C32" s="138">
        <f t="shared" si="6"/>
        <v>36.5</v>
      </c>
      <c r="D32" s="84">
        <v>36.5</v>
      </c>
      <c r="E32" s="84">
        <v>36.5</v>
      </c>
      <c r="F32" s="84"/>
      <c r="G32" s="84"/>
      <c r="H32" s="84"/>
      <c r="I32" s="84"/>
      <c r="J32" s="84"/>
      <c r="K32" s="84"/>
      <c r="L32" s="140">
        <f t="shared" si="7"/>
        <v>8.6</v>
      </c>
      <c r="M32" s="86">
        <v>8.66</v>
      </c>
      <c r="N32" s="86">
        <v>8.6199999999999992</v>
      </c>
      <c r="O32" s="86"/>
      <c r="P32" s="86"/>
      <c r="Q32" s="86"/>
      <c r="R32" s="86"/>
      <c r="S32" s="86"/>
      <c r="T32" s="86"/>
      <c r="U32" s="142">
        <f t="shared" si="8"/>
        <v>1089.5</v>
      </c>
      <c r="V32" s="88">
        <v>1021</v>
      </c>
      <c r="W32" s="88">
        <v>1158</v>
      </c>
      <c r="X32" s="88"/>
      <c r="Y32" s="88"/>
      <c r="Z32" s="88"/>
      <c r="AA32" s="88"/>
      <c r="AB32" s="88"/>
      <c r="AC32" s="88"/>
      <c r="AD32" s="142" t="str">
        <f t="shared" si="9"/>
        <v/>
      </c>
      <c r="AE32" s="88"/>
      <c r="AF32" s="88"/>
      <c r="AG32" s="88"/>
      <c r="AH32" s="88"/>
      <c r="AI32" s="88"/>
      <c r="AJ32" s="88"/>
      <c r="AK32" s="88"/>
      <c r="AL32" s="88"/>
      <c r="AM32" s="143">
        <v>36.5948209024655</v>
      </c>
      <c r="AN32" s="88">
        <v>128.97999999999999</v>
      </c>
      <c r="AO32" s="89">
        <v>21.2</v>
      </c>
      <c r="AP32" s="90">
        <v>16.938800000000001</v>
      </c>
      <c r="AQ32" s="146">
        <f t="shared" si="13"/>
        <v>79.900000000000006</v>
      </c>
      <c r="AR32" s="146">
        <f t="shared" si="14"/>
        <v>20.099999999999994</v>
      </c>
      <c r="AS32" s="147">
        <v>40</v>
      </c>
      <c r="AT32" s="93">
        <v>14.95</v>
      </c>
      <c r="AU32" s="94">
        <v>9.0924499999999995</v>
      </c>
      <c r="AV32" s="146">
        <f t="shared" si="15"/>
        <v>60.819063545150499</v>
      </c>
      <c r="AW32" s="146">
        <f t="shared" si="16"/>
        <v>39.180936454849501</v>
      </c>
      <c r="AX32" s="138">
        <f t="shared" si="10"/>
        <v>60.950615290649644</v>
      </c>
      <c r="AY32" s="95">
        <v>74.05</v>
      </c>
      <c r="AZ32" s="96"/>
      <c r="BA32" s="96"/>
      <c r="BB32" s="96"/>
      <c r="BC32" s="96"/>
      <c r="BD32" s="97">
        <v>128.97999999999999</v>
      </c>
      <c r="BE32" s="142">
        <f t="shared" si="11"/>
        <v>5478</v>
      </c>
      <c r="BF32" s="98">
        <v>253</v>
      </c>
      <c r="BG32" s="98">
        <v>0</v>
      </c>
      <c r="BH32" s="98">
        <v>0</v>
      </c>
      <c r="BI32" s="98">
        <v>5225</v>
      </c>
      <c r="BJ32" s="98"/>
      <c r="BK32" s="98"/>
      <c r="BL32" s="97"/>
    </row>
    <row r="33" spans="1:64" outlineLevel="5" x14ac:dyDescent="0.3">
      <c r="A33" s="152">
        <f t="shared" si="5"/>
        <v>1</v>
      </c>
      <c r="B33" s="153">
        <f t="shared" si="12"/>
        <v>44943</v>
      </c>
      <c r="C33" s="138">
        <f t="shared" si="6"/>
        <v>38.4</v>
      </c>
      <c r="D33" s="84">
        <v>38.200000000000003</v>
      </c>
      <c r="E33" s="84">
        <v>38.5</v>
      </c>
      <c r="F33" s="84"/>
      <c r="G33" s="84"/>
      <c r="H33" s="84"/>
      <c r="I33" s="84"/>
      <c r="J33" s="84"/>
      <c r="K33" s="84"/>
      <c r="L33" s="140" t="str">
        <f t="shared" si="7"/>
        <v/>
      </c>
      <c r="M33" s="86"/>
      <c r="N33" s="86"/>
      <c r="O33" s="86"/>
      <c r="P33" s="86"/>
      <c r="Q33" s="86"/>
      <c r="R33" s="86"/>
      <c r="S33" s="86"/>
      <c r="T33" s="86"/>
      <c r="U33" s="142" t="str">
        <f t="shared" si="8"/>
        <v/>
      </c>
      <c r="V33" s="88"/>
      <c r="W33" s="88"/>
      <c r="X33" s="88"/>
      <c r="Y33" s="88"/>
      <c r="Z33" s="88"/>
      <c r="AA33" s="88"/>
      <c r="AB33" s="88"/>
      <c r="AC33" s="88"/>
      <c r="AD33" s="142" t="str">
        <f t="shared" si="9"/>
        <v/>
      </c>
      <c r="AE33" s="88"/>
      <c r="AF33" s="88"/>
      <c r="AG33" s="88"/>
      <c r="AH33" s="88"/>
      <c r="AI33" s="88"/>
      <c r="AJ33" s="88"/>
      <c r="AK33" s="88"/>
      <c r="AL33" s="88"/>
      <c r="AM33" s="143">
        <v>54.737330395454016</v>
      </c>
      <c r="AN33" s="88">
        <v>86.23</v>
      </c>
      <c r="AO33" s="89"/>
      <c r="AP33" s="90"/>
      <c r="AQ33" s="146" t="str">
        <f t="shared" si="13"/>
        <v/>
      </c>
      <c r="AR33" s="146" t="str">
        <f t="shared" si="14"/>
        <v/>
      </c>
      <c r="AS33" s="147">
        <v>42</v>
      </c>
      <c r="AT33" s="93"/>
      <c r="AU33" s="94"/>
      <c r="AV33" s="146" t="str">
        <f t="shared" si="15"/>
        <v/>
      </c>
      <c r="AW33" s="146" t="str">
        <f t="shared" si="16"/>
        <v/>
      </c>
      <c r="AX33" s="138" t="str">
        <f t="shared" si="10"/>
        <v/>
      </c>
      <c r="AY33" s="95"/>
      <c r="AZ33" s="96"/>
      <c r="BA33" s="96"/>
      <c r="BB33" s="96"/>
      <c r="BC33" s="96"/>
      <c r="BD33" s="97">
        <v>86.23</v>
      </c>
      <c r="BE33" s="142">
        <f t="shared" si="11"/>
        <v>6294</v>
      </c>
      <c r="BF33" s="98">
        <v>609</v>
      </c>
      <c r="BG33" s="98">
        <v>0</v>
      </c>
      <c r="BH33" s="98">
        <v>0</v>
      </c>
      <c r="BI33" s="98">
        <v>5685</v>
      </c>
      <c r="BJ33" s="98"/>
      <c r="BK33" s="98"/>
      <c r="BL33" s="97"/>
    </row>
    <row r="34" spans="1:64" outlineLevel="5" x14ac:dyDescent="0.3">
      <c r="A34" s="152">
        <f t="shared" si="5"/>
        <v>1</v>
      </c>
      <c r="B34" s="153">
        <f t="shared" si="12"/>
        <v>44944</v>
      </c>
      <c r="C34" s="138">
        <f t="shared" si="6"/>
        <v>37.799999999999997</v>
      </c>
      <c r="D34" s="84">
        <v>38</v>
      </c>
      <c r="E34" s="84">
        <v>37.6</v>
      </c>
      <c r="F34" s="84"/>
      <c r="G34" s="84"/>
      <c r="H34" s="84"/>
      <c r="I34" s="84"/>
      <c r="J34" s="84"/>
      <c r="K34" s="84"/>
      <c r="L34" s="140">
        <f t="shared" si="7"/>
        <v>8.6</v>
      </c>
      <c r="M34" s="86">
        <v>8.66</v>
      </c>
      <c r="N34" s="86">
        <v>8.6300000000000008</v>
      </c>
      <c r="O34" s="86"/>
      <c r="P34" s="86"/>
      <c r="Q34" s="86"/>
      <c r="R34" s="86"/>
      <c r="S34" s="86"/>
      <c r="T34" s="86"/>
      <c r="U34" s="142">
        <f t="shared" si="8"/>
        <v>1070.5</v>
      </c>
      <c r="V34" s="88">
        <v>997</v>
      </c>
      <c r="W34" s="88">
        <v>1144</v>
      </c>
      <c r="X34" s="88"/>
      <c r="Y34" s="88"/>
      <c r="Z34" s="88"/>
      <c r="AA34" s="88"/>
      <c r="AB34" s="88"/>
      <c r="AC34" s="88"/>
      <c r="AD34" s="142">
        <f t="shared" si="9"/>
        <v>7280</v>
      </c>
      <c r="AE34" s="88">
        <v>7120</v>
      </c>
      <c r="AF34" s="88">
        <v>7440</v>
      </c>
      <c r="AG34" s="88"/>
      <c r="AH34" s="88"/>
      <c r="AI34" s="88"/>
      <c r="AJ34" s="88"/>
      <c r="AK34" s="88"/>
      <c r="AL34" s="88"/>
      <c r="AM34" s="143">
        <v>41.454417705954683</v>
      </c>
      <c r="AN34" s="88">
        <v>113.86</v>
      </c>
      <c r="AO34" s="89"/>
      <c r="AP34" s="90"/>
      <c r="AQ34" s="146" t="str">
        <f t="shared" si="13"/>
        <v/>
      </c>
      <c r="AR34" s="146" t="str">
        <f t="shared" si="14"/>
        <v/>
      </c>
      <c r="AS34" s="147">
        <v>40</v>
      </c>
      <c r="AT34" s="93">
        <v>16.45</v>
      </c>
      <c r="AU34" s="94">
        <v>10.191749999999999</v>
      </c>
      <c r="AV34" s="146">
        <f t="shared" si="15"/>
        <v>61.955927051671736</v>
      </c>
      <c r="AW34" s="146">
        <f t="shared" si="16"/>
        <v>38.044072948328264</v>
      </c>
      <c r="AX34" s="138" t="str">
        <f t="shared" si="10"/>
        <v/>
      </c>
      <c r="AY34" s="95">
        <v>74.099999999999994</v>
      </c>
      <c r="AZ34" s="96"/>
      <c r="BA34" s="96"/>
      <c r="BB34" s="96"/>
      <c r="BC34" s="96"/>
      <c r="BD34" s="97">
        <v>113.86</v>
      </c>
      <c r="BE34" s="142">
        <f t="shared" si="11"/>
        <v>5967</v>
      </c>
      <c r="BF34" s="98">
        <v>282</v>
      </c>
      <c r="BG34" s="98">
        <v>0</v>
      </c>
      <c r="BH34" s="98">
        <v>0</v>
      </c>
      <c r="BI34" s="98">
        <v>5685</v>
      </c>
      <c r="BJ34" s="98"/>
      <c r="BK34" s="98"/>
      <c r="BL34" s="97"/>
    </row>
    <row r="35" spans="1:64" outlineLevel="5" x14ac:dyDescent="0.3">
      <c r="A35" s="152">
        <f t="shared" si="5"/>
        <v>1</v>
      </c>
      <c r="B35" s="153">
        <f t="shared" si="12"/>
        <v>44945</v>
      </c>
      <c r="C35" s="138">
        <f t="shared" si="6"/>
        <v>36.700000000000003</v>
      </c>
      <c r="D35" s="84">
        <v>36.4</v>
      </c>
      <c r="E35" s="84">
        <v>36.9</v>
      </c>
      <c r="F35" s="84"/>
      <c r="G35" s="84"/>
      <c r="H35" s="84"/>
      <c r="I35" s="84"/>
      <c r="J35" s="84"/>
      <c r="K35" s="84"/>
      <c r="L35" s="140">
        <f t="shared" si="7"/>
        <v>8.6</v>
      </c>
      <c r="M35" s="86">
        <v>8.6199999999999992</v>
      </c>
      <c r="N35" s="86">
        <v>8.6</v>
      </c>
      <c r="O35" s="86"/>
      <c r="P35" s="86"/>
      <c r="Q35" s="86"/>
      <c r="R35" s="86"/>
      <c r="S35" s="86"/>
      <c r="T35" s="86"/>
      <c r="U35" s="142">
        <f t="shared" si="8"/>
        <v>554.5</v>
      </c>
      <c r="V35" s="88">
        <v>995</v>
      </c>
      <c r="W35" s="88">
        <v>114</v>
      </c>
      <c r="X35" s="88"/>
      <c r="Y35" s="88"/>
      <c r="Z35" s="88"/>
      <c r="AA35" s="88"/>
      <c r="AB35" s="88"/>
      <c r="AC35" s="88"/>
      <c r="AD35" s="142" t="str">
        <f t="shared" si="9"/>
        <v/>
      </c>
      <c r="AE35" s="88"/>
      <c r="AF35" s="88"/>
      <c r="AG35" s="88"/>
      <c r="AH35" s="88"/>
      <c r="AI35" s="88"/>
      <c r="AJ35" s="88"/>
      <c r="AK35" s="88"/>
      <c r="AL35" s="88"/>
      <c r="AM35" s="143">
        <v>36.866359447004605</v>
      </c>
      <c r="AN35" s="88">
        <v>128.03</v>
      </c>
      <c r="AO35" s="89"/>
      <c r="AP35" s="90"/>
      <c r="AQ35" s="146" t="str">
        <f t="shared" si="13"/>
        <v/>
      </c>
      <c r="AR35" s="146" t="str">
        <f t="shared" si="14"/>
        <v/>
      </c>
      <c r="AS35" s="147">
        <v>42</v>
      </c>
      <c r="AT35" s="93">
        <v>15.25</v>
      </c>
      <c r="AU35" s="94">
        <v>9.4296499999999988</v>
      </c>
      <c r="AV35" s="146">
        <f t="shared" si="15"/>
        <v>61.833770491803278</v>
      </c>
      <c r="AW35" s="146">
        <f t="shared" si="16"/>
        <v>38.166229508196722</v>
      </c>
      <c r="AX35" s="138" t="str">
        <f t="shared" si="10"/>
        <v/>
      </c>
      <c r="AY35" s="95">
        <v>74.2</v>
      </c>
      <c r="AZ35" s="96"/>
      <c r="BA35" s="96"/>
      <c r="BB35" s="96"/>
      <c r="BC35" s="96"/>
      <c r="BD35" s="97">
        <v>128.03</v>
      </c>
      <c r="BE35" s="142">
        <f t="shared" si="11"/>
        <v>6262</v>
      </c>
      <c r="BF35" s="98">
        <v>236</v>
      </c>
      <c r="BG35" s="98">
        <v>0</v>
      </c>
      <c r="BH35" s="98">
        <v>0</v>
      </c>
      <c r="BI35" s="98">
        <v>6026</v>
      </c>
      <c r="BJ35" s="98"/>
      <c r="BK35" s="98"/>
      <c r="BL35" s="97"/>
    </row>
    <row r="36" spans="1:64" outlineLevel="5" x14ac:dyDescent="0.3">
      <c r="A36" s="152">
        <f t="shared" si="5"/>
        <v>1</v>
      </c>
      <c r="B36" s="153">
        <f t="shared" si="12"/>
        <v>44946</v>
      </c>
      <c r="C36" s="138">
        <f t="shared" si="6"/>
        <v>36.9</v>
      </c>
      <c r="D36" s="84">
        <v>36.700000000000003</v>
      </c>
      <c r="E36" s="84">
        <v>37</v>
      </c>
      <c r="F36" s="84"/>
      <c r="G36" s="84"/>
      <c r="H36" s="84"/>
      <c r="I36" s="84"/>
      <c r="J36" s="84"/>
      <c r="K36" s="84"/>
      <c r="L36" s="140" t="str">
        <f t="shared" si="7"/>
        <v/>
      </c>
      <c r="M36" s="86"/>
      <c r="N36" s="86"/>
      <c r="O36" s="86"/>
      <c r="P36" s="86"/>
      <c r="Q36" s="86"/>
      <c r="R36" s="86"/>
      <c r="S36" s="86"/>
      <c r="T36" s="86"/>
      <c r="U36" s="142" t="str">
        <f t="shared" si="8"/>
        <v/>
      </c>
      <c r="V36" s="88"/>
      <c r="W36" s="88"/>
      <c r="X36" s="88"/>
      <c r="Y36" s="88"/>
      <c r="Z36" s="88"/>
      <c r="AA36" s="88"/>
      <c r="AB36" s="88"/>
      <c r="AC36" s="88"/>
      <c r="AD36" s="142" t="str">
        <f t="shared" si="9"/>
        <v/>
      </c>
      <c r="AE36" s="88"/>
      <c r="AF36" s="88"/>
      <c r="AG36" s="88"/>
      <c r="AH36" s="88"/>
      <c r="AI36" s="88"/>
      <c r="AJ36" s="88"/>
      <c r="AK36" s="88"/>
      <c r="AL36" s="88"/>
      <c r="AM36" s="143">
        <v>34.528163862472567</v>
      </c>
      <c r="AN36" s="88">
        <v>136.69999999999999</v>
      </c>
      <c r="AO36" s="89"/>
      <c r="AP36" s="90"/>
      <c r="AQ36" s="146" t="str">
        <f t="shared" si="13"/>
        <v/>
      </c>
      <c r="AR36" s="146" t="str">
        <f t="shared" si="14"/>
        <v/>
      </c>
      <c r="AS36" s="147">
        <v>20</v>
      </c>
      <c r="AT36" s="93"/>
      <c r="AU36" s="94"/>
      <c r="AV36" s="146" t="str">
        <f t="shared" si="15"/>
        <v/>
      </c>
      <c r="AW36" s="146" t="str">
        <f t="shared" si="16"/>
        <v/>
      </c>
      <c r="AX36" s="138" t="str">
        <f t="shared" si="10"/>
        <v/>
      </c>
      <c r="AY36" s="95"/>
      <c r="AZ36" s="96"/>
      <c r="BA36" s="96"/>
      <c r="BB36" s="96"/>
      <c r="BC36" s="96"/>
      <c r="BD36" s="97">
        <v>136.69999999999999</v>
      </c>
      <c r="BE36" s="142">
        <f t="shared" si="11"/>
        <v>5264</v>
      </c>
      <c r="BF36" s="98">
        <v>793</v>
      </c>
      <c r="BG36" s="98">
        <v>0</v>
      </c>
      <c r="BH36" s="98">
        <v>0</v>
      </c>
      <c r="BI36" s="98">
        <v>4471</v>
      </c>
      <c r="BJ36" s="98"/>
      <c r="BK36" s="98"/>
      <c r="BL36" s="97"/>
    </row>
    <row r="37" spans="1:64" outlineLevel="5" x14ac:dyDescent="0.3">
      <c r="A37" s="152">
        <f t="shared" si="5"/>
        <v>1</v>
      </c>
      <c r="B37" s="153">
        <f t="shared" si="12"/>
        <v>44947</v>
      </c>
      <c r="C37" s="138">
        <f t="shared" si="6"/>
        <v>38.200000000000003</v>
      </c>
      <c r="D37" s="84">
        <v>38.200000000000003</v>
      </c>
      <c r="E37" s="84">
        <v>38.1</v>
      </c>
      <c r="F37" s="84"/>
      <c r="G37" s="84"/>
      <c r="H37" s="84"/>
      <c r="I37" s="84"/>
      <c r="J37" s="84"/>
      <c r="K37" s="84"/>
      <c r="L37" s="140" t="str">
        <f t="shared" si="7"/>
        <v/>
      </c>
      <c r="M37" s="86"/>
      <c r="N37" s="86"/>
      <c r="O37" s="86"/>
      <c r="P37" s="86"/>
      <c r="Q37" s="86"/>
      <c r="R37" s="86"/>
      <c r="S37" s="86"/>
      <c r="T37" s="86"/>
      <c r="U37" s="142" t="str">
        <f t="shared" si="8"/>
        <v/>
      </c>
      <c r="V37" s="88"/>
      <c r="W37" s="88"/>
      <c r="X37" s="88"/>
      <c r="Y37" s="88"/>
      <c r="Z37" s="88"/>
      <c r="AA37" s="88"/>
      <c r="AB37" s="88"/>
      <c r="AC37" s="88"/>
      <c r="AD37" s="142" t="str">
        <f t="shared" si="9"/>
        <v/>
      </c>
      <c r="AE37" s="88"/>
      <c r="AF37" s="88"/>
      <c r="AG37" s="88"/>
      <c r="AH37" s="88"/>
      <c r="AI37" s="88"/>
      <c r="AJ37" s="88"/>
      <c r="AK37" s="88"/>
      <c r="AL37" s="88"/>
      <c r="AM37" s="143">
        <v>32.885111126593742</v>
      </c>
      <c r="AN37" s="88">
        <v>143.53</v>
      </c>
      <c r="AO37" s="89"/>
      <c r="AP37" s="90"/>
      <c r="AQ37" s="146" t="str">
        <f t="shared" si="13"/>
        <v/>
      </c>
      <c r="AR37" s="146" t="str">
        <f t="shared" si="14"/>
        <v/>
      </c>
      <c r="AS37" s="147">
        <v>10</v>
      </c>
      <c r="AT37" s="93"/>
      <c r="AU37" s="94"/>
      <c r="AV37" s="146" t="str">
        <f t="shared" si="15"/>
        <v/>
      </c>
      <c r="AW37" s="146" t="str">
        <f t="shared" si="16"/>
        <v/>
      </c>
      <c r="AX37" s="138" t="str">
        <f t="shared" si="10"/>
        <v/>
      </c>
      <c r="AY37" s="95"/>
      <c r="AZ37" s="96"/>
      <c r="BA37" s="96"/>
      <c r="BB37" s="96"/>
      <c r="BC37" s="96"/>
      <c r="BD37" s="97">
        <v>143.53</v>
      </c>
      <c r="BE37" s="142">
        <f t="shared" si="11"/>
        <v>6151</v>
      </c>
      <c r="BF37" s="98">
        <v>457</v>
      </c>
      <c r="BG37" s="98">
        <v>0</v>
      </c>
      <c r="BH37" s="98">
        <v>0</v>
      </c>
      <c r="BI37" s="98">
        <v>5694</v>
      </c>
      <c r="BJ37" s="98"/>
      <c r="BK37" s="98"/>
      <c r="BL37" s="97"/>
    </row>
    <row r="38" spans="1:64" outlineLevel="5" x14ac:dyDescent="0.3">
      <c r="A38" s="152">
        <f t="shared" si="5"/>
        <v>1</v>
      </c>
      <c r="B38" s="153">
        <f t="shared" si="12"/>
        <v>44948</v>
      </c>
      <c r="C38" s="138">
        <f t="shared" si="6"/>
        <v>38.4</v>
      </c>
      <c r="D38" s="84">
        <v>38.5</v>
      </c>
      <c r="E38" s="84">
        <v>38.299999999999997</v>
      </c>
      <c r="F38" s="84"/>
      <c r="G38" s="84"/>
      <c r="H38" s="84"/>
      <c r="I38" s="84"/>
      <c r="J38" s="84"/>
      <c r="K38" s="84"/>
      <c r="L38" s="140" t="str">
        <f t="shared" si="7"/>
        <v/>
      </c>
      <c r="M38" s="86"/>
      <c r="N38" s="86"/>
      <c r="O38" s="86"/>
      <c r="P38" s="86"/>
      <c r="Q38" s="86"/>
      <c r="R38" s="86"/>
      <c r="S38" s="86"/>
      <c r="T38" s="86"/>
      <c r="U38" s="142" t="str">
        <f t="shared" si="8"/>
        <v/>
      </c>
      <c r="V38" s="88"/>
      <c r="W38" s="88"/>
      <c r="X38" s="88"/>
      <c r="Y38" s="88"/>
      <c r="Z38" s="88"/>
      <c r="AA38" s="88"/>
      <c r="AB38" s="88"/>
      <c r="AC38" s="88"/>
      <c r="AD38" s="142" t="str">
        <f t="shared" si="9"/>
        <v/>
      </c>
      <c r="AE38" s="88"/>
      <c r="AF38" s="88"/>
      <c r="AG38" s="88"/>
      <c r="AH38" s="88"/>
      <c r="AI38" s="88"/>
      <c r="AJ38" s="88"/>
      <c r="AK38" s="88"/>
      <c r="AL38" s="88"/>
      <c r="AM38" s="143">
        <v>36.307692307692307</v>
      </c>
      <c r="AN38" s="88">
        <v>130</v>
      </c>
      <c r="AO38" s="89"/>
      <c r="AP38" s="90"/>
      <c r="AQ38" s="146" t="str">
        <f t="shared" si="13"/>
        <v/>
      </c>
      <c r="AR38" s="146" t="str">
        <f t="shared" si="14"/>
        <v/>
      </c>
      <c r="AS38" s="147">
        <v>10</v>
      </c>
      <c r="AT38" s="93"/>
      <c r="AU38" s="94"/>
      <c r="AV38" s="146" t="str">
        <f t="shared" si="15"/>
        <v/>
      </c>
      <c r="AW38" s="146" t="str">
        <f t="shared" si="16"/>
        <v/>
      </c>
      <c r="AX38" s="138" t="str">
        <f t="shared" si="10"/>
        <v/>
      </c>
      <c r="AY38" s="95"/>
      <c r="AZ38" s="96"/>
      <c r="BA38" s="96"/>
      <c r="BB38" s="96"/>
      <c r="BC38" s="96"/>
      <c r="BD38" s="97">
        <v>130</v>
      </c>
      <c r="BE38" s="142">
        <f t="shared" si="11"/>
        <v>5869</v>
      </c>
      <c r="BF38" s="98">
        <v>436</v>
      </c>
      <c r="BG38" s="98">
        <v>0</v>
      </c>
      <c r="BH38" s="98">
        <v>0</v>
      </c>
      <c r="BI38" s="98">
        <v>5433</v>
      </c>
      <c r="BJ38" s="98"/>
      <c r="BK38" s="98"/>
      <c r="BL38" s="97"/>
    </row>
    <row r="39" spans="1:64" outlineLevel="5" x14ac:dyDescent="0.3">
      <c r="A39" s="152">
        <f t="shared" si="5"/>
        <v>1</v>
      </c>
      <c r="B39" s="153">
        <f t="shared" si="12"/>
        <v>44949</v>
      </c>
      <c r="C39" s="138">
        <f t="shared" si="6"/>
        <v>38.200000000000003</v>
      </c>
      <c r="D39" s="84">
        <v>38.299999999999997</v>
      </c>
      <c r="E39" s="84">
        <v>38.1</v>
      </c>
      <c r="F39" s="84"/>
      <c r="G39" s="84"/>
      <c r="H39" s="84"/>
      <c r="I39" s="84"/>
      <c r="J39" s="84"/>
      <c r="K39" s="84"/>
      <c r="L39" s="140" t="str">
        <f t="shared" si="7"/>
        <v/>
      </c>
      <c r="M39" s="86"/>
      <c r="N39" s="86"/>
      <c r="O39" s="86"/>
      <c r="P39" s="86"/>
      <c r="Q39" s="86"/>
      <c r="R39" s="86"/>
      <c r="S39" s="86"/>
      <c r="T39" s="86"/>
      <c r="U39" s="142" t="str">
        <f t="shared" si="8"/>
        <v/>
      </c>
      <c r="V39" s="88"/>
      <c r="W39" s="88"/>
      <c r="X39" s="88"/>
      <c r="Y39" s="88"/>
      <c r="Z39" s="88"/>
      <c r="AA39" s="88"/>
      <c r="AB39" s="88"/>
      <c r="AC39" s="88"/>
      <c r="AD39" s="142" t="str">
        <f t="shared" si="9"/>
        <v/>
      </c>
      <c r="AE39" s="88"/>
      <c r="AF39" s="88"/>
      <c r="AG39" s="88"/>
      <c r="AH39" s="88"/>
      <c r="AI39" s="88"/>
      <c r="AJ39" s="88"/>
      <c r="AK39" s="88"/>
      <c r="AL39" s="88"/>
      <c r="AM39" s="143">
        <v>45.327955440314994</v>
      </c>
      <c r="AN39" s="88">
        <v>104.13</v>
      </c>
      <c r="AO39" s="89"/>
      <c r="AP39" s="90"/>
      <c r="AQ39" s="146" t="str">
        <f t="shared" si="13"/>
        <v/>
      </c>
      <c r="AR39" s="146" t="str">
        <f t="shared" si="14"/>
        <v/>
      </c>
      <c r="AS39" s="147">
        <v>0</v>
      </c>
      <c r="AT39" s="93"/>
      <c r="AU39" s="94"/>
      <c r="AV39" s="146" t="str">
        <f t="shared" si="15"/>
        <v/>
      </c>
      <c r="AW39" s="146" t="str">
        <f t="shared" si="16"/>
        <v/>
      </c>
      <c r="AX39" s="138" t="str">
        <f t="shared" si="10"/>
        <v/>
      </c>
      <c r="AY39" s="95"/>
      <c r="AZ39" s="96"/>
      <c r="BA39" s="96"/>
      <c r="BB39" s="96"/>
      <c r="BC39" s="96"/>
      <c r="BD39" s="97">
        <v>104.13</v>
      </c>
      <c r="BE39" s="142">
        <f t="shared" si="11"/>
        <v>6122</v>
      </c>
      <c r="BF39" s="98">
        <v>474</v>
      </c>
      <c r="BG39" s="98">
        <v>0</v>
      </c>
      <c r="BH39" s="98">
        <v>0</v>
      </c>
      <c r="BI39" s="98">
        <v>5648</v>
      </c>
      <c r="BJ39" s="98"/>
      <c r="BK39" s="98"/>
      <c r="BL39" s="97"/>
    </row>
    <row r="40" spans="1:64" outlineLevel="5" x14ac:dyDescent="0.3">
      <c r="A40" s="152">
        <f t="shared" si="5"/>
        <v>1</v>
      </c>
      <c r="B40" s="153">
        <f t="shared" si="12"/>
        <v>44950</v>
      </c>
      <c r="C40" s="138">
        <f t="shared" si="6"/>
        <v>37.9</v>
      </c>
      <c r="D40" s="84">
        <v>38</v>
      </c>
      <c r="E40" s="84">
        <v>37.799999999999997</v>
      </c>
      <c r="F40" s="84"/>
      <c r="G40" s="84"/>
      <c r="H40" s="84"/>
      <c r="I40" s="84"/>
      <c r="J40" s="84"/>
      <c r="K40" s="84"/>
      <c r="L40" s="140" t="str">
        <f t="shared" si="7"/>
        <v/>
      </c>
      <c r="M40" s="86"/>
      <c r="N40" s="86"/>
      <c r="O40" s="86"/>
      <c r="P40" s="86"/>
      <c r="Q40" s="86"/>
      <c r="R40" s="86"/>
      <c r="S40" s="86"/>
      <c r="T40" s="86"/>
      <c r="U40" s="142" t="str">
        <f t="shared" si="8"/>
        <v/>
      </c>
      <c r="V40" s="88"/>
      <c r="W40" s="88"/>
      <c r="X40" s="88"/>
      <c r="Y40" s="88"/>
      <c r="Z40" s="88"/>
      <c r="AA40" s="88"/>
      <c r="AB40" s="88"/>
      <c r="AC40" s="88"/>
      <c r="AD40" s="142" t="str">
        <f t="shared" si="9"/>
        <v/>
      </c>
      <c r="AE40" s="88"/>
      <c r="AF40" s="88"/>
      <c r="AG40" s="88"/>
      <c r="AH40" s="88"/>
      <c r="AI40" s="88"/>
      <c r="AJ40" s="88"/>
      <c r="AK40" s="88"/>
      <c r="AL40" s="88"/>
      <c r="AM40" s="143">
        <v>44.038066803508116</v>
      </c>
      <c r="AN40" s="88">
        <v>107.18</v>
      </c>
      <c r="AO40" s="89"/>
      <c r="AP40" s="90"/>
      <c r="AQ40" s="146" t="str">
        <f t="shared" si="13"/>
        <v/>
      </c>
      <c r="AR40" s="146" t="str">
        <f t="shared" si="14"/>
        <v/>
      </c>
      <c r="AS40" s="147">
        <v>40</v>
      </c>
      <c r="AT40" s="93"/>
      <c r="AU40" s="94"/>
      <c r="AV40" s="146" t="str">
        <f t="shared" si="15"/>
        <v/>
      </c>
      <c r="AW40" s="146" t="str">
        <f t="shared" si="16"/>
        <v/>
      </c>
      <c r="AX40" s="138" t="str">
        <f t="shared" si="10"/>
        <v/>
      </c>
      <c r="AY40" s="95"/>
      <c r="AZ40" s="96"/>
      <c r="BA40" s="96"/>
      <c r="BB40" s="96"/>
      <c r="BC40" s="96"/>
      <c r="BD40" s="97">
        <v>107.18</v>
      </c>
      <c r="BE40" s="142">
        <f t="shared" si="11"/>
        <v>6186</v>
      </c>
      <c r="BF40" s="98">
        <v>357</v>
      </c>
      <c r="BG40" s="98">
        <v>0</v>
      </c>
      <c r="BH40" s="98">
        <v>0</v>
      </c>
      <c r="BI40" s="98">
        <v>5829</v>
      </c>
      <c r="BJ40" s="98"/>
      <c r="BK40" s="98"/>
      <c r="BL40" s="97"/>
    </row>
    <row r="41" spans="1:64" outlineLevel="5" x14ac:dyDescent="0.3">
      <c r="A41" s="152">
        <f t="shared" si="5"/>
        <v>1</v>
      </c>
      <c r="B41" s="153">
        <f t="shared" si="12"/>
        <v>44951</v>
      </c>
      <c r="C41" s="138">
        <f t="shared" si="6"/>
        <v>38.1</v>
      </c>
      <c r="D41" s="84">
        <v>38.1</v>
      </c>
      <c r="E41" s="84">
        <v>38</v>
      </c>
      <c r="F41" s="84"/>
      <c r="G41" s="84"/>
      <c r="H41" s="84"/>
      <c r="I41" s="84"/>
      <c r="J41" s="84"/>
      <c r="K41" s="84"/>
      <c r="L41" s="140" t="str">
        <f t="shared" si="7"/>
        <v/>
      </c>
      <c r="M41" s="86"/>
      <c r="N41" s="86"/>
      <c r="O41" s="86"/>
      <c r="P41" s="86"/>
      <c r="Q41" s="86"/>
      <c r="R41" s="86"/>
      <c r="S41" s="86"/>
      <c r="T41" s="86"/>
      <c r="U41" s="142" t="str">
        <f t="shared" si="8"/>
        <v/>
      </c>
      <c r="V41" s="88"/>
      <c r="W41" s="88"/>
      <c r="X41" s="88"/>
      <c r="Y41" s="88"/>
      <c r="Z41" s="88"/>
      <c r="AA41" s="88"/>
      <c r="AB41" s="88"/>
      <c r="AC41" s="88"/>
      <c r="AD41" s="142" t="str">
        <f t="shared" si="9"/>
        <v/>
      </c>
      <c r="AE41" s="88"/>
      <c r="AF41" s="88"/>
      <c r="AG41" s="88"/>
      <c r="AH41" s="88"/>
      <c r="AI41" s="88"/>
      <c r="AJ41" s="88"/>
      <c r="AK41" s="88"/>
      <c r="AL41" s="88"/>
      <c r="AM41" s="143">
        <v>46.617283950617285</v>
      </c>
      <c r="AN41" s="88">
        <v>101.25</v>
      </c>
      <c r="AO41" s="89"/>
      <c r="AP41" s="90"/>
      <c r="AQ41" s="146" t="str">
        <f t="shared" si="13"/>
        <v/>
      </c>
      <c r="AR41" s="146" t="str">
        <f t="shared" si="14"/>
        <v/>
      </c>
      <c r="AS41" s="147">
        <v>40</v>
      </c>
      <c r="AT41" s="93"/>
      <c r="AU41" s="94"/>
      <c r="AV41" s="146" t="str">
        <f t="shared" si="15"/>
        <v/>
      </c>
      <c r="AW41" s="146" t="str">
        <f t="shared" si="16"/>
        <v/>
      </c>
      <c r="AX41" s="138" t="str">
        <f t="shared" si="10"/>
        <v/>
      </c>
      <c r="AY41" s="95"/>
      <c r="AZ41" s="96"/>
      <c r="BA41" s="96"/>
      <c r="BB41" s="96"/>
      <c r="BC41" s="96"/>
      <c r="BD41" s="97">
        <v>101.25</v>
      </c>
      <c r="BE41" s="142">
        <f t="shared" si="11"/>
        <v>6191</v>
      </c>
      <c r="BF41" s="98">
        <v>496</v>
      </c>
      <c r="BG41" s="98">
        <v>0</v>
      </c>
      <c r="BH41" s="98">
        <v>0</v>
      </c>
      <c r="BI41" s="98">
        <v>5695</v>
      </c>
      <c r="BJ41" s="98"/>
      <c r="BK41" s="98"/>
      <c r="BL41" s="97"/>
    </row>
    <row r="42" spans="1:64" outlineLevel="5" x14ac:dyDescent="0.3">
      <c r="A42" s="152">
        <f t="shared" si="5"/>
        <v>1</v>
      </c>
      <c r="B42" s="153">
        <f t="shared" si="12"/>
        <v>44952</v>
      </c>
      <c r="C42" s="138">
        <f t="shared" si="6"/>
        <v>37.6</v>
      </c>
      <c r="D42" s="84">
        <v>37.799999999999997</v>
      </c>
      <c r="E42" s="84">
        <v>37.4</v>
      </c>
      <c r="F42" s="84"/>
      <c r="G42" s="84"/>
      <c r="H42" s="84"/>
      <c r="I42" s="84"/>
      <c r="J42" s="84"/>
      <c r="K42" s="84"/>
      <c r="L42" s="140">
        <f t="shared" si="7"/>
        <v>8.5</v>
      </c>
      <c r="M42" s="86">
        <v>8.52</v>
      </c>
      <c r="N42" s="86">
        <v>8.5500000000000007</v>
      </c>
      <c r="O42" s="86"/>
      <c r="P42" s="86"/>
      <c r="Q42" s="86"/>
      <c r="R42" s="86"/>
      <c r="S42" s="86"/>
      <c r="T42" s="86"/>
      <c r="U42" s="142">
        <f t="shared" si="8"/>
        <v>1005.5</v>
      </c>
      <c r="V42" s="88">
        <v>1189</v>
      </c>
      <c r="W42" s="88">
        <v>822</v>
      </c>
      <c r="X42" s="88"/>
      <c r="Y42" s="88"/>
      <c r="Z42" s="88"/>
      <c r="AA42" s="88"/>
      <c r="AB42" s="88"/>
      <c r="AC42" s="88"/>
      <c r="AD42" s="142" t="str">
        <f t="shared" si="9"/>
        <v/>
      </c>
      <c r="AE42" s="88"/>
      <c r="AF42" s="88"/>
      <c r="AG42" s="88"/>
      <c r="AH42" s="88"/>
      <c r="AI42" s="88"/>
      <c r="AJ42" s="88"/>
      <c r="AK42" s="88"/>
      <c r="AL42" s="88"/>
      <c r="AM42" s="143">
        <v>39.837947332883189</v>
      </c>
      <c r="AN42" s="88">
        <v>118.47999999999999</v>
      </c>
      <c r="AO42" s="89"/>
      <c r="AP42" s="90"/>
      <c r="AQ42" s="146" t="str">
        <f t="shared" si="13"/>
        <v/>
      </c>
      <c r="AR42" s="146" t="str">
        <f t="shared" si="14"/>
        <v/>
      </c>
      <c r="AS42" s="147">
        <v>40</v>
      </c>
      <c r="AT42" s="93">
        <v>15.2</v>
      </c>
      <c r="AU42" s="94">
        <v>9.2774000000000001</v>
      </c>
      <c r="AV42" s="146">
        <f t="shared" si="15"/>
        <v>61.035526315789483</v>
      </c>
      <c r="AW42" s="146">
        <f t="shared" si="16"/>
        <v>38.964473684210517</v>
      </c>
      <c r="AX42" s="138" t="str">
        <f t="shared" si="10"/>
        <v/>
      </c>
      <c r="AY42" s="95">
        <v>74.5</v>
      </c>
      <c r="AZ42" s="96"/>
      <c r="BA42" s="96"/>
      <c r="BB42" s="96"/>
      <c r="BC42" s="96"/>
      <c r="BD42" s="97">
        <v>118.47999999999999</v>
      </c>
      <c r="BE42" s="142">
        <f t="shared" si="11"/>
        <v>6296</v>
      </c>
      <c r="BF42" s="98">
        <v>376</v>
      </c>
      <c r="BG42" s="98">
        <v>0</v>
      </c>
      <c r="BH42" s="98">
        <v>0</v>
      </c>
      <c r="BI42" s="98">
        <v>5920</v>
      </c>
      <c r="BJ42" s="98"/>
      <c r="BK42" s="98"/>
      <c r="BL42" s="97"/>
    </row>
    <row r="43" spans="1:64" outlineLevel="5" x14ac:dyDescent="0.3">
      <c r="A43" s="152">
        <f t="shared" si="5"/>
        <v>1</v>
      </c>
      <c r="B43" s="153">
        <f t="shared" si="12"/>
        <v>44953</v>
      </c>
      <c r="C43" s="138">
        <f t="shared" si="6"/>
        <v>37.9</v>
      </c>
      <c r="D43" s="84">
        <v>38</v>
      </c>
      <c r="E43" s="84">
        <v>37.799999999999997</v>
      </c>
      <c r="F43" s="84"/>
      <c r="G43" s="84"/>
      <c r="H43" s="84"/>
      <c r="I43" s="84"/>
      <c r="J43" s="84"/>
      <c r="K43" s="84"/>
      <c r="L43" s="140" t="str">
        <f t="shared" si="7"/>
        <v/>
      </c>
      <c r="M43" s="86"/>
      <c r="N43" s="86"/>
      <c r="O43" s="86"/>
      <c r="P43" s="86"/>
      <c r="Q43" s="86"/>
      <c r="R43" s="86"/>
      <c r="S43" s="86"/>
      <c r="T43" s="86"/>
      <c r="U43" s="142" t="str">
        <f t="shared" si="8"/>
        <v/>
      </c>
      <c r="V43" s="88"/>
      <c r="W43" s="88"/>
      <c r="X43" s="88"/>
      <c r="Y43" s="88"/>
      <c r="Z43" s="88"/>
      <c r="AA43" s="88"/>
      <c r="AB43" s="88"/>
      <c r="AC43" s="88"/>
      <c r="AD43" s="142" t="str">
        <f t="shared" si="9"/>
        <v/>
      </c>
      <c r="AE43" s="88"/>
      <c r="AF43" s="88"/>
      <c r="AG43" s="88"/>
      <c r="AH43" s="88"/>
      <c r="AI43" s="88"/>
      <c r="AJ43" s="88"/>
      <c r="AK43" s="88"/>
      <c r="AL43" s="88"/>
      <c r="AM43" s="143">
        <v>39.066379738453904</v>
      </c>
      <c r="AN43" s="88">
        <v>120.82</v>
      </c>
      <c r="AO43" s="89"/>
      <c r="AP43" s="90"/>
      <c r="AQ43" s="146" t="str">
        <f t="shared" si="13"/>
        <v/>
      </c>
      <c r="AR43" s="146" t="str">
        <f t="shared" si="14"/>
        <v/>
      </c>
      <c r="AS43" s="147">
        <v>40</v>
      </c>
      <c r="AT43" s="93"/>
      <c r="AU43" s="94"/>
      <c r="AV43" s="146" t="str">
        <f t="shared" si="15"/>
        <v/>
      </c>
      <c r="AW43" s="146" t="str">
        <f t="shared" si="16"/>
        <v/>
      </c>
      <c r="AX43" s="138" t="str">
        <f t="shared" si="10"/>
        <v/>
      </c>
      <c r="AY43" s="95"/>
      <c r="AZ43" s="96"/>
      <c r="BA43" s="96"/>
      <c r="BB43" s="96"/>
      <c r="BC43" s="96"/>
      <c r="BD43" s="97">
        <v>120.82</v>
      </c>
      <c r="BE43" s="142">
        <f t="shared" si="11"/>
        <v>6220</v>
      </c>
      <c r="BF43" s="98">
        <v>306</v>
      </c>
      <c r="BG43" s="98">
        <v>0</v>
      </c>
      <c r="BH43" s="98">
        <v>0</v>
      </c>
      <c r="BI43" s="98">
        <v>5914</v>
      </c>
      <c r="BJ43" s="98"/>
      <c r="BK43" s="98"/>
      <c r="BL43" s="97"/>
    </row>
    <row r="44" spans="1:64" outlineLevel="5" x14ac:dyDescent="0.3">
      <c r="A44" s="152">
        <f t="shared" si="5"/>
        <v>1</v>
      </c>
      <c r="B44" s="153">
        <f t="shared" si="12"/>
        <v>44954</v>
      </c>
      <c r="C44" s="138">
        <f t="shared" si="6"/>
        <v>38</v>
      </c>
      <c r="D44" s="84">
        <v>38</v>
      </c>
      <c r="E44" s="84">
        <v>38</v>
      </c>
      <c r="F44" s="84"/>
      <c r="G44" s="84"/>
      <c r="H44" s="84"/>
      <c r="I44" s="84"/>
      <c r="J44" s="84"/>
      <c r="K44" s="84"/>
      <c r="L44" s="140" t="str">
        <f t="shared" si="7"/>
        <v/>
      </c>
      <c r="M44" s="86"/>
      <c r="N44" s="86"/>
      <c r="O44" s="86"/>
      <c r="P44" s="86"/>
      <c r="Q44" s="86"/>
      <c r="R44" s="86"/>
      <c r="S44" s="86"/>
      <c r="T44" s="86"/>
      <c r="U44" s="142" t="str">
        <f t="shared" si="8"/>
        <v/>
      </c>
      <c r="V44" s="88"/>
      <c r="W44" s="88"/>
      <c r="X44" s="88"/>
      <c r="Y44" s="88"/>
      <c r="Z44" s="88"/>
      <c r="AA44" s="88"/>
      <c r="AB44" s="88"/>
      <c r="AC44" s="88"/>
      <c r="AD44" s="142" t="str">
        <f t="shared" si="9"/>
        <v/>
      </c>
      <c r="AE44" s="88"/>
      <c r="AF44" s="88"/>
      <c r="AG44" s="88"/>
      <c r="AH44" s="88"/>
      <c r="AI44" s="88"/>
      <c r="AJ44" s="88"/>
      <c r="AK44" s="88"/>
      <c r="AL44" s="88"/>
      <c r="AM44" s="143">
        <v>45.306200806296793</v>
      </c>
      <c r="AN44" s="88">
        <v>104.18</v>
      </c>
      <c r="AO44" s="89"/>
      <c r="AP44" s="90"/>
      <c r="AQ44" s="146" t="str">
        <f t="shared" si="13"/>
        <v/>
      </c>
      <c r="AR44" s="146" t="str">
        <f t="shared" si="14"/>
        <v/>
      </c>
      <c r="AS44" s="147">
        <v>0</v>
      </c>
      <c r="AT44" s="93"/>
      <c r="AU44" s="94"/>
      <c r="AV44" s="146" t="str">
        <f t="shared" si="15"/>
        <v/>
      </c>
      <c r="AW44" s="146" t="str">
        <f t="shared" si="16"/>
        <v/>
      </c>
      <c r="AX44" s="138" t="str">
        <f t="shared" si="10"/>
        <v/>
      </c>
      <c r="AY44" s="95"/>
      <c r="AZ44" s="96"/>
      <c r="BA44" s="96"/>
      <c r="BB44" s="96"/>
      <c r="BC44" s="96"/>
      <c r="BD44" s="97">
        <v>104.18</v>
      </c>
      <c r="BE44" s="142">
        <f t="shared" si="11"/>
        <v>6011</v>
      </c>
      <c r="BF44" s="98">
        <v>288</v>
      </c>
      <c r="BG44" s="98">
        <v>0</v>
      </c>
      <c r="BH44" s="98">
        <v>0</v>
      </c>
      <c r="BI44" s="98">
        <v>5723</v>
      </c>
      <c r="BJ44" s="98"/>
      <c r="BK44" s="98"/>
      <c r="BL44" s="97"/>
    </row>
    <row r="45" spans="1:64" outlineLevel="5" x14ac:dyDescent="0.3">
      <c r="A45" s="152">
        <f t="shared" si="5"/>
        <v>1</v>
      </c>
      <c r="B45" s="153">
        <f t="shared" si="12"/>
        <v>44955</v>
      </c>
      <c r="C45" s="138">
        <f t="shared" si="6"/>
        <v>38</v>
      </c>
      <c r="D45" s="84">
        <v>38</v>
      </c>
      <c r="E45" s="84">
        <v>38</v>
      </c>
      <c r="F45" s="84"/>
      <c r="G45" s="84"/>
      <c r="H45" s="84"/>
      <c r="I45" s="84"/>
      <c r="J45" s="84"/>
      <c r="K45" s="84"/>
      <c r="L45" s="140" t="str">
        <f t="shared" si="7"/>
        <v/>
      </c>
      <c r="M45" s="86"/>
      <c r="N45" s="86"/>
      <c r="O45" s="86"/>
      <c r="P45" s="86"/>
      <c r="Q45" s="86"/>
      <c r="R45" s="86"/>
      <c r="S45" s="86"/>
      <c r="T45" s="86"/>
      <c r="U45" s="142" t="str">
        <f t="shared" si="8"/>
        <v/>
      </c>
      <c r="V45" s="88"/>
      <c r="W45" s="88"/>
      <c r="X45" s="88"/>
      <c r="Y45" s="88"/>
      <c r="Z45" s="88"/>
      <c r="AA45" s="88"/>
      <c r="AB45" s="88"/>
      <c r="AC45" s="88"/>
      <c r="AD45" s="142" t="str">
        <f t="shared" si="9"/>
        <v/>
      </c>
      <c r="AE45" s="88"/>
      <c r="AF45" s="88"/>
      <c r="AG45" s="88"/>
      <c r="AH45" s="88"/>
      <c r="AI45" s="88"/>
      <c r="AJ45" s="88"/>
      <c r="AK45" s="88"/>
      <c r="AL45" s="88"/>
      <c r="AM45" s="143">
        <v>47.2</v>
      </c>
      <c r="AN45" s="88">
        <v>100</v>
      </c>
      <c r="AO45" s="89"/>
      <c r="AP45" s="90"/>
      <c r="AQ45" s="146" t="str">
        <f t="shared" si="13"/>
        <v/>
      </c>
      <c r="AR45" s="146" t="str">
        <f t="shared" si="14"/>
        <v/>
      </c>
      <c r="AS45" s="147">
        <v>0</v>
      </c>
      <c r="AT45" s="93"/>
      <c r="AU45" s="94"/>
      <c r="AV45" s="146" t="str">
        <f t="shared" si="15"/>
        <v/>
      </c>
      <c r="AW45" s="146" t="str">
        <f t="shared" si="16"/>
        <v/>
      </c>
      <c r="AX45" s="138" t="str">
        <f t="shared" si="10"/>
        <v/>
      </c>
      <c r="AY45" s="95"/>
      <c r="AZ45" s="96"/>
      <c r="BA45" s="96"/>
      <c r="BB45" s="96"/>
      <c r="BC45" s="96"/>
      <c r="BD45" s="97">
        <v>100</v>
      </c>
      <c r="BE45" s="142">
        <f t="shared" si="11"/>
        <v>6095</v>
      </c>
      <c r="BF45" s="98">
        <v>310</v>
      </c>
      <c r="BG45" s="98">
        <v>0</v>
      </c>
      <c r="BH45" s="98">
        <v>0</v>
      </c>
      <c r="BI45" s="98">
        <v>5785</v>
      </c>
      <c r="BJ45" s="98"/>
      <c r="BK45" s="98"/>
      <c r="BL45" s="97"/>
    </row>
    <row r="46" spans="1:64" outlineLevel="5" x14ac:dyDescent="0.3">
      <c r="A46" s="152">
        <f t="shared" si="5"/>
        <v>1</v>
      </c>
      <c r="B46" s="153">
        <f t="shared" si="12"/>
        <v>44956</v>
      </c>
      <c r="C46" s="138">
        <f t="shared" si="6"/>
        <v>37</v>
      </c>
      <c r="D46" s="84">
        <v>37.5</v>
      </c>
      <c r="E46" s="84">
        <v>36.5</v>
      </c>
      <c r="F46" s="84"/>
      <c r="G46" s="84"/>
      <c r="H46" s="84"/>
      <c r="I46" s="84"/>
      <c r="J46" s="84"/>
      <c r="K46" s="84"/>
      <c r="L46" s="140">
        <f t="shared" si="7"/>
        <v>8.6</v>
      </c>
      <c r="M46" s="86">
        <v>8.59</v>
      </c>
      <c r="N46" s="86">
        <v>8.6</v>
      </c>
      <c r="O46" s="86"/>
      <c r="P46" s="86"/>
      <c r="Q46" s="86"/>
      <c r="R46" s="86"/>
      <c r="S46" s="86"/>
      <c r="T46" s="86"/>
      <c r="U46" s="142">
        <f t="shared" si="8"/>
        <v>1058.5</v>
      </c>
      <c r="V46" s="88">
        <v>1145</v>
      </c>
      <c r="W46" s="88">
        <v>972</v>
      </c>
      <c r="X46" s="88"/>
      <c r="Y46" s="88"/>
      <c r="Z46" s="88"/>
      <c r="AA46" s="88"/>
      <c r="AB46" s="88"/>
      <c r="AC46" s="88"/>
      <c r="AD46" s="142" t="str">
        <f t="shared" si="9"/>
        <v/>
      </c>
      <c r="AE46" s="88"/>
      <c r="AF46" s="88"/>
      <c r="AG46" s="88"/>
      <c r="AH46" s="88"/>
      <c r="AI46" s="88"/>
      <c r="AJ46" s="88"/>
      <c r="AK46" s="88"/>
      <c r="AL46" s="88"/>
      <c r="AM46" s="143">
        <v>45.297504798464495</v>
      </c>
      <c r="AN46" s="88">
        <v>104.19999999999999</v>
      </c>
      <c r="AO46" s="89">
        <v>21.4</v>
      </c>
      <c r="AP46" s="90">
        <v>16.948799999999999</v>
      </c>
      <c r="AQ46" s="146">
        <f t="shared" si="13"/>
        <v>79.2</v>
      </c>
      <c r="AR46" s="146">
        <f t="shared" si="14"/>
        <v>20.799999999999997</v>
      </c>
      <c r="AS46" s="147">
        <v>45</v>
      </c>
      <c r="AT46" s="93">
        <v>15</v>
      </c>
      <c r="AU46" s="94">
        <v>9.1631999999999998</v>
      </c>
      <c r="AV46" s="146">
        <f t="shared" si="15"/>
        <v>61.088000000000001</v>
      </c>
      <c r="AW46" s="146">
        <f t="shared" si="16"/>
        <v>38.911999999999999</v>
      </c>
      <c r="AX46" s="138">
        <f t="shared" si="10"/>
        <v>58.770268474215847</v>
      </c>
      <c r="AY46" s="95">
        <v>74.599999999999994</v>
      </c>
      <c r="AZ46" s="96"/>
      <c r="BA46" s="96"/>
      <c r="BB46" s="96"/>
      <c r="BC46" s="96"/>
      <c r="BD46" s="97">
        <v>104.19999999999999</v>
      </c>
      <c r="BE46" s="142">
        <f t="shared" si="11"/>
        <v>2426</v>
      </c>
      <c r="BF46" s="98">
        <v>289</v>
      </c>
      <c r="BG46" s="98">
        <v>0</v>
      </c>
      <c r="BH46" s="98">
        <v>0</v>
      </c>
      <c r="BI46" s="98">
        <v>2137</v>
      </c>
      <c r="BJ46" s="98"/>
      <c r="BK46" s="98"/>
      <c r="BL46" s="97"/>
    </row>
    <row r="47" spans="1:64" ht="17.25" outlineLevel="5" thickBot="1" x14ac:dyDescent="0.35">
      <c r="A47" s="154">
        <f t="shared" si="5"/>
        <v>1</v>
      </c>
      <c r="B47" s="155">
        <f t="shared" si="12"/>
        <v>44957</v>
      </c>
      <c r="C47" s="138">
        <f t="shared" si="6"/>
        <v>38.4</v>
      </c>
      <c r="D47" s="84">
        <v>39.200000000000003</v>
      </c>
      <c r="E47" s="84">
        <v>37.5</v>
      </c>
      <c r="F47" s="84"/>
      <c r="G47" s="84"/>
      <c r="H47" s="156"/>
      <c r="I47" s="156"/>
      <c r="J47" s="156"/>
      <c r="K47" s="156"/>
      <c r="L47" s="140" t="str">
        <f t="shared" si="7"/>
        <v/>
      </c>
      <c r="M47" s="86"/>
      <c r="N47" s="86"/>
      <c r="O47" s="86"/>
      <c r="P47" s="86"/>
      <c r="Q47" s="157"/>
      <c r="R47" s="157"/>
      <c r="S47" s="157"/>
      <c r="T47" s="157"/>
      <c r="U47" s="142" t="str">
        <f t="shared" si="8"/>
        <v/>
      </c>
      <c r="V47" s="158"/>
      <c r="W47" s="158"/>
      <c r="X47" s="158"/>
      <c r="Y47" s="158"/>
      <c r="Z47" s="158"/>
      <c r="AA47" s="158"/>
      <c r="AB47" s="158"/>
      <c r="AC47" s="158"/>
      <c r="AD47" s="142" t="str">
        <f t="shared" si="9"/>
        <v/>
      </c>
      <c r="AE47" s="158"/>
      <c r="AF47" s="158"/>
      <c r="AG47" s="158"/>
      <c r="AH47" s="158"/>
      <c r="AI47" s="158"/>
      <c r="AJ47" s="158"/>
      <c r="AK47" s="158"/>
      <c r="AL47" s="158"/>
      <c r="AM47" s="143">
        <v>41.895970175750044</v>
      </c>
      <c r="AN47" s="88">
        <v>112.66</v>
      </c>
      <c r="AO47" s="159"/>
      <c r="AP47" s="160"/>
      <c r="AQ47" s="146" t="str">
        <f t="shared" si="13"/>
        <v/>
      </c>
      <c r="AR47" s="146" t="str">
        <f t="shared" si="14"/>
        <v/>
      </c>
      <c r="AS47" s="147">
        <v>36</v>
      </c>
      <c r="AT47" s="161"/>
      <c r="AU47" s="162"/>
      <c r="AV47" s="146" t="str">
        <f t="shared" si="15"/>
        <v/>
      </c>
      <c r="AW47" s="146" t="str">
        <f t="shared" si="16"/>
        <v/>
      </c>
      <c r="AX47" s="138" t="str">
        <f t="shared" si="10"/>
        <v/>
      </c>
      <c r="AY47" s="95"/>
      <c r="AZ47" s="163">
        <v>60.75</v>
      </c>
      <c r="BA47" s="163"/>
      <c r="BB47" s="163">
        <v>89</v>
      </c>
      <c r="BC47" s="163"/>
      <c r="BD47" s="97">
        <v>112.66</v>
      </c>
      <c r="BE47" s="142">
        <f t="shared" si="11"/>
        <v>2394</v>
      </c>
      <c r="BF47" s="98">
        <v>360</v>
      </c>
      <c r="BG47" s="98">
        <v>0</v>
      </c>
      <c r="BH47" s="98">
        <v>0</v>
      </c>
      <c r="BI47" s="98">
        <v>2034</v>
      </c>
      <c r="BJ47" s="98"/>
      <c r="BK47" s="98"/>
      <c r="BL47" s="164"/>
    </row>
    <row r="48" spans="1:64" outlineLevel="4" x14ac:dyDescent="0.3">
      <c r="A48" s="63" t="s">
        <v>57</v>
      </c>
      <c r="B48" s="64"/>
      <c r="C48" s="65">
        <f t="shared" ref="C48:BL48" si="17">SUBTOTAL(4,C17:C47)</f>
        <v>39.4</v>
      </c>
      <c r="D48" s="66">
        <f t="shared" si="17"/>
        <v>39.5</v>
      </c>
      <c r="E48" s="66">
        <f t="shared" si="17"/>
        <v>39.6</v>
      </c>
      <c r="F48" s="66">
        <f t="shared" si="17"/>
        <v>0</v>
      </c>
      <c r="G48" s="66">
        <f t="shared" si="17"/>
        <v>0</v>
      </c>
      <c r="H48" s="66">
        <f t="shared" si="17"/>
        <v>0</v>
      </c>
      <c r="I48" s="66">
        <f t="shared" si="17"/>
        <v>0</v>
      </c>
      <c r="J48" s="66">
        <f t="shared" si="17"/>
        <v>0</v>
      </c>
      <c r="K48" s="66">
        <f t="shared" si="17"/>
        <v>0</v>
      </c>
      <c r="L48" s="67">
        <f t="shared" si="17"/>
        <v>8.6999999999999993</v>
      </c>
      <c r="M48" s="68">
        <f t="shared" si="17"/>
        <v>8.6999999999999993</v>
      </c>
      <c r="N48" s="68">
        <f t="shared" si="17"/>
        <v>8.69</v>
      </c>
      <c r="O48" s="68">
        <f t="shared" si="17"/>
        <v>0</v>
      </c>
      <c r="P48" s="68">
        <f t="shared" si="17"/>
        <v>0</v>
      </c>
      <c r="Q48" s="68">
        <f t="shared" si="17"/>
        <v>0</v>
      </c>
      <c r="R48" s="68">
        <f t="shared" si="17"/>
        <v>0</v>
      </c>
      <c r="S48" s="68">
        <f t="shared" si="17"/>
        <v>0</v>
      </c>
      <c r="T48" s="68">
        <f t="shared" si="17"/>
        <v>0</v>
      </c>
      <c r="U48" s="69">
        <f t="shared" si="17"/>
        <v>1108</v>
      </c>
      <c r="V48" s="70">
        <f t="shared" si="17"/>
        <v>1189</v>
      </c>
      <c r="W48" s="70">
        <f t="shared" si="17"/>
        <v>1179</v>
      </c>
      <c r="X48" s="70">
        <f t="shared" si="17"/>
        <v>0</v>
      </c>
      <c r="Y48" s="70">
        <f t="shared" si="17"/>
        <v>0</v>
      </c>
      <c r="Z48" s="70">
        <f t="shared" si="17"/>
        <v>0</v>
      </c>
      <c r="AA48" s="70">
        <f t="shared" si="17"/>
        <v>0</v>
      </c>
      <c r="AB48" s="70">
        <f t="shared" si="17"/>
        <v>0</v>
      </c>
      <c r="AC48" s="70">
        <f t="shared" si="17"/>
        <v>0</v>
      </c>
      <c r="AD48" s="69">
        <f t="shared" si="17"/>
        <v>7655</v>
      </c>
      <c r="AE48" s="70">
        <f t="shared" si="17"/>
        <v>7720</v>
      </c>
      <c r="AF48" s="70">
        <f t="shared" si="17"/>
        <v>7590</v>
      </c>
      <c r="AG48" s="70">
        <f t="shared" si="17"/>
        <v>0</v>
      </c>
      <c r="AH48" s="70">
        <f t="shared" si="17"/>
        <v>0</v>
      </c>
      <c r="AI48" s="70">
        <f t="shared" si="17"/>
        <v>0</v>
      </c>
      <c r="AJ48" s="70">
        <f t="shared" si="17"/>
        <v>0</v>
      </c>
      <c r="AK48" s="70">
        <f t="shared" si="17"/>
        <v>0</v>
      </c>
      <c r="AL48" s="70">
        <f t="shared" si="17"/>
        <v>0</v>
      </c>
      <c r="AM48" s="70">
        <f t="shared" si="17"/>
        <v>123.17327766179541</v>
      </c>
      <c r="AN48" s="70">
        <f t="shared" si="17"/>
        <v>149.65</v>
      </c>
      <c r="AO48" s="71">
        <f t="shared" si="17"/>
        <v>21.4</v>
      </c>
      <c r="AP48" s="72">
        <f t="shared" si="17"/>
        <v>16.948799999999999</v>
      </c>
      <c r="AQ48" s="73">
        <f t="shared" si="17"/>
        <v>79.900000000000006</v>
      </c>
      <c r="AR48" s="73">
        <f t="shared" si="17"/>
        <v>21.000000000000014</v>
      </c>
      <c r="AS48" s="74">
        <f t="shared" si="17"/>
        <v>45</v>
      </c>
      <c r="AT48" s="75">
        <f t="shared" si="17"/>
        <v>16.45</v>
      </c>
      <c r="AU48" s="76">
        <f t="shared" si="17"/>
        <v>10.191749999999999</v>
      </c>
      <c r="AV48" s="73">
        <f t="shared" si="17"/>
        <v>61.955927051671736</v>
      </c>
      <c r="AW48" s="73">
        <f t="shared" si="17"/>
        <v>44.358053691275167</v>
      </c>
      <c r="AX48" s="65">
        <f t="shared" si="17"/>
        <v>66.655667034033939</v>
      </c>
      <c r="AY48" s="77">
        <f t="shared" si="17"/>
        <v>74.8</v>
      </c>
      <c r="AZ48" s="78">
        <f t="shared" si="17"/>
        <v>60.75</v>
      </c>
      <c r="BA48" s="78">
        <f t="shared" si="17"/>
        <v>0</v>
      </c>
      <c r="BB48" s="78">
        <f t="shared" si="17"/>
        <v>89</v>
      </c>
      <c r="BC48" s="78">
        <f t="shared" si="17"/>
        <v>0</v>
      </c>
      <c r="BD48" s="79">
        <f t="shared" si="17"/>
        <v>149.65</v>
      </c>
      <c r="BE48" s="69">
        <f t="shared" si="17"/>
        <v>7028</v>
      </c>
      <c r="BF48" s="70">
        <f t="shared" si="17"/>
        <v>1031</v>
      </c>
      <c r="BG48" s="80">
        <f t="shared" si="17"/>
        <v>82</v>
      </c>
      <c r="BH48" s="80">
        <f t="shared" si="17"/>
        <v>0</v>
      </c>
      <c r="BI48" s="80">
        <f t="shared" si="17"/>
        <v>6649</v>
      </c>
      <c r="BJ48" s="80">
        <f t="shared" si="17"/>
        <v>0</v>
      </c>
      <c r="BK48" s="80">
        <f t="shared" si="17"/>
        <v>0</v>
      </c>
      <c r="BL48" s="79">
        <f t="shared" si="17"/>
        <v>0</v>
      </c>
    </row>
    <row r="49" spans="1:64" outlineLevel="3" x14ac:dyDescent="0.3">
      <c r="A49" s="81" t="s">
        <v>58</v>
      </c>
      <c r="B49" s="82"/>
      <c r="C49" s="83">
        <f t="shared" ref="C49:BL49" si="18">SUBTOTAL(5,C17:C47)</f>
        <v>36.5</v>
      </c>
      <c r="D49" s="84">
        <f t="shared" si="18"/>
        <v>36.4</v>
      </c>
      <c r="E49" s="84">
        <f t="shared" si="18"/>
        <v>36.5</v>
      </c>
      <c r="F49" s="84">
        <f t="shared" si="18"/>
        <v>0</v>
      </c>
      <c r="G49" s="84">
        <f t="shared" si="18"/>
        <v>0</v>
      </c>
      <c r="H49" s="84">
        <f t="shared" si="18"/>
        <v>0</v>
      </c>
      <c r="I49" s="84">
        <f t="shared" si="18"/>
        <v>0</v>
      </c>
      <c r="J49" s="84">
        <f t="shared" si="18"/>
        <v>0</v>
      </c>
      <c r="K49" s="84">
        <f t="shared" si="18"/>
        <v>0</v>
      </c>
      <c r="L49" s="85">
        <f t="shared" si="18"/>
        <v>8.5</v>
      </c>
      <c r="M49" s="86">
        <f t="shared" si="18"/>
        <v>8.52</v>
      </c>
      <c r="N49" s="86">
        <f t="shared" si="18"/>
        <v>8.5299999999999994</v>
      </c>
      <c r="O49" s="86">
        <f t="shared" si="18"/>
        <v>0</v>
      </c>
      <c r="P49" s="86">
        <f t="shared" si="18"/>
        <v>0</v>
      </c>
      <c r="Q49" s="86">
        <f t="shared" si="18"/>
        <v>0</v>
      </c>
      <c r="R49" s="86">
        <f t="shared" si="18"/>
        <v>0</v>
      </c>
      <c r="S49" s="86">
        <f t="shared" si="18"/>
        <v>0</v>
      </c>
      <c r="T49" s="86">
        <f t="shared" si="18"/>
        <v>0</v>
      </c>
      <c r="U49" s="87">
        <f t="shared" si="18"/>
        <v>554.5</v>
      </c>
      <c r="V49" s="88">
        <f t="shared" si="18"/>
        <v>789</v>
      </c>
      <c r="W49" s="88">
        <f t="shared" si="18"/>
        <v>114</v>
      </c>
      <c r="X49" s="88">
        <f t="shared" si="18"/>
        <v>0</v>
      </c>
      <c r="Y49" s="88">
        <f t="shared" si="18"/>
        <v>0</v>
      </c>
      <c r="Z49" s="88">
        <f t="shared" si="18"/>
        <v>0</v>
      </c>
      <c r="AA49" s="88">
        <f t="shared" si="18"/>
        <v>0</v>
      </c>
      <c r="AB49" s="88">
        <f t="shared" si="18"/>
        <v>0</v>
      </c>
      <c r="AC49" s="88">
        <f t="shared" si="18"/>
        <v>0</v>
      </c>
      <c r="AD49" s="87">
        <f t="shared" si="18"/>
        <v>7160</v>
      </c>
      <c r="AE49" s="88">
        <f t="shared" si="18"/>
        <v>7120</v>
      </c>
      <c r="AF49" s="88">
        <f t="shared" si="18"/>
        <v>6970</v>
      </c>
      <c r="AG49" s="88">
        <f t="shared" si="18"/>
        <v>0</v>
      </c>
      <c r="AH49" s="88">
        <f t="shared" si="18"/>
        <v>0</v>
      </c>
      <c r="AI49" s="88">
        <f t="shared" si="18"/>
        <v>0</v>
      </c>
      <c r="AJ49" s="88">
        <f t="shared" si="18"/>
        <v>0</v>
      </c>
      <c r="AK49" s="88">
        <f t="shared" si="18"/>
        <v>0</v>
      </c>
      <c r="AL49" s="88">
        <f t="shared" si="18"/>
        <v>0</v>
      </c>
      <c r="AM49" s="88">
        <f t="shared" si="18"/>
        <v>31.540260608085532</v>
      </c>
      <c r="AN49" s="88">
        <f t="shared" si="18"/>
        <v>38.32</v>
      </c>
      <c r="AO49" s="89">
        <f t="shared" si="18"/>
        <v>21.1</v>
      </c>
      <c r="AP49" s="90">
        <f t="shared" si="18"/>
        <v>16.669</v>
      </c>
      <c r="AQ49" s="91">
        <f t="shared" si="18"/>
        <v>78.999999999999986</v>
      </c>
      <c r="AR49" s="91">
        <f t="shared" si="18"/>
        <v>20.099999999999994</v>
      </c>
      <c r="AS49" s="92">
        <f t="shared" si="18"/>
        <v>0</v>
      </c>
      <c r="AT49" s="93">
        <f t="shared" si="18"/>
        <v>14.899999999999999</v>
      </c>
      <c r="AU49" s="94">
        <f t="shared" si="18"/>
        <v>8.2906499999999994</v>
      </c>
      <c r="AV49" s="91">
        <f t="shared" si="18"/>
        <v>55.641946308724833</v>
      </c>
      <c r="AW49" s="91">
        <f t="shared" si="18"/>
        <v>38.044072948328264</v>
      </c>
      <c r="AX49" s="83">
        <f t="shared" si="18"/>
        <v>58.770268474215847</v>
      </c>
      <c r="AY49" s="95">
        <f t="shared" si="18"/>
        <v>73.849999999999994</v>
      </c>
      <c r="AZ49" s="96">
        <f t="shared" si="18"/>
        <v>60.75</v>
      </c>
      <c r="BA49" s="96">
        <f t="shared" si="18"/>
        <v>0</v>
      </c>
      <c r="BB49" s="96">
        <f t="shared" si="18"/>
        <v>89</v>
      </c>
      <c r="BC49" s="96">
        <f t="shared" si="18"/>
        <v>0</v>
      </c>
      <c r="BD49" s="97">
        <f t="shared" si="18"/>
        <v>38.32</v>
      </c>
      <c r="BE49" s="87">
        <f t="shared" si="18"/>
        <v>2394</v>
      </c>
      <c r="BF49" s="88">
        <f t="shared" si="18"/>
        <v>0</v>
      </c>
      <c r="BG49" s="98">
        <f t="shared" si="18"/>
        <v>0</v>
      </c>
      <c r="BH49" s="98">
        <f t="shared" si="18"/>
        <v>0</v>
      </c>
      <c r="BI49" s="98">
        <f t="shared" si="18"/>
        <v>2034</v>
      </c>
      <c r="BJ49" s="98">
        <f t="shared" si="18"/>
        <v>0</v>
      </c>
      <c r="BK49" s="98">
        <f t="shared" si="18"/>
        <v>0</v>
      </c>
      <c r="BL49" s="97">
        <f t="shared" si="18"/>
        <v>0</v>
      </c>
    </row>
    <row r="50" spans="1:64" outlineLevel="2" x14ac:dyDescent="0.3">
      <c r="A50" s="81" t="s">
        <v>59</v>
      </c>
      <c r="B50" s="82"/>
      <c r="C50" s="83">
        <f t="shared" ref="C50:BL50" si="19">IFERROR(SUBTOTAL(1,C17:C47),"")</f>
        <v>38.058064516129036</v>
      </c>
      <c r="D50" s="84">
        <f t="shared" si="19"/>
        <v>38.158064516129038</v>
      </c>
      <c r="E50" s="84">
        <f t="shared" si="19"/>
        <v>37.92258064516129</v>
      </c>
      <c r="F50" s="84" t="str">
        <f t="shared" si="19"/>
        <v/>
      </c>
      <c r="G50" s="84" t="str">
        <f t="shared" si="19"/>
        <v/>
      </c>
      <c r="H50" s="84" t="str">
        <f t="shared" si="19"/>
        <v/>
      </c>
      <c r="I50" s="84" t="str">
        <f t="shared" si="19"/>
        <v/>
      </c>
      <c r="J50" s="84" t="str">
        <f t="shared" si="19"/>
        <v/>
      </c>
      <c r="K50" s="84" t="str">
        <f t="shared" si="19"/>
        <v/>
      </c>
      <c r="L50" s="85">
        <f t="shared" si="19"/>
        <v>8.6</v>
      </c>
      <c r="M50" s="86">
        <f t="shared" si="19"/>
        <v>8.6191666666666666</v>
      </c>
      <c r="N50" s="86">
        <f t="shared" si="19"/>
        <v>8.5899999999999981</v>
      </c>
      <c r="O50" s="86" t="str">
        <f t="shared" si="19"/>
        <v/>
      </c>
      <c r="P50" s="86" t="str">
        <f t="shared" si="19"/>
        <v/>
      </c>
      <c r="Q50" s="86" t="str">
        <f t="shared" si="19"/>
        <v/>
      </c>
      <c r="R50" s="86" t="str">
        <f t="shared" si="19"/>
        <v/>
      </c>
      <c r="S50" s="86" t="str">
        <f t="shared" si="19"/>
        <v/>
      </c>
      <c r="T50" s="86" t="str">
        <f t="shared" si="19"/>
        <v/>
      </c>
      <c r="U50" s="87">
        <f t="shared" si="19"/>
        <v>974.45833333333337</v>
      </c>
      <c r="V50" s="88">
        <f t="shared" si="19"/>
        <v>987.41666666666663</v>
      </c>
      <c r="W50" s="88">
        <f t="shared" si="19"/>
        <v>961.5</v>
      </c>
      <c r="X50" s="88" t="str">
        <f t="shared" si="19"/>
        <v/>
      </c>
      <c r="Y50" s="88" t="str">
        <f t="shared" si="19"/>
        <v/>
      </c>
      <c r="Z50" s="88" t="str">
        <f t="shared" si="19"/>
        <v/>
      </c>
      <c r="AA50" s="88" t="str">
        <f t="shared" si="19"/>
        <v/>
      </c>
      <c r="AB50" s="88" t="str">
        <f t="shared" si="19"/>
        <v/>
      </c>
      <c r="AC50" s="88" t="str">
        <f t="shared" si="19"/>
        <v/>
      </c>
      <c r="AD50" s="87">
        <f t="shared" si="19"/>
        <v>7365</v>
      </c>
      <c r="AE50" s="88">
        <f t="shared" si="19"/>
        <v>7396.666666666667</v>
      </c>
      <c r="AF50" s="88">
        <f t="shared" si="19"/>
        <v>7333.333333333333</v>
      </c>
      <c r="AG50" s="88" t="str">
        <f t="shared" si="19"/>
        <v/>
      </c>
      <c r="AH50" s="88" t="str">
        <f t="shared" si="19"/>
        <v/>
      </c>
      <c r="AI50" s="88" t="str">
        <f t="shared" si="19"/>
        <v/>
      </c>
      <c r="AJ50" s="88" t="str">
        <f t="shared" si="19"/>
        <v/>
      </c>
      <c r="AK50" s="88" t="str">
        <f t="shared" si="19"/>
        <v/>
      </c>
      <c r="AL50" s="88" t="str">
        <f t="shared" si="19"/>
        <v/>
      </c>
      <c r="AM50" s="88">
        <f t="shared" si="19"/>
        <v>43.475682444099668</v>
      </c>
      <c r="AN50" s="88">
        <f t="shared" si="19"/>
        <v>115.59064516129033</v>
      </c>
      <c r="AO50" s="89">
        <f t="shared" si="19"/>
        <v>21.200000000000003</v>
      </c>
      <c r="AP50" s="90">
        <f t="shared" si="19"/>
        <v>16.822225</v>
      </c>
      <c r="AQ50" s="91">
        <f t="shared" si="19"/>
        <v>79.349999999999994</v>
      </c>
      <c r="AR50" s="91">
        <f t="shared" si="19"/>
        <v>20.650000000000002</v>
      </c>
      <c r="AS50" s="92">
        <f t="shared" si="19"/>
        <v>27.677419354838708</v>
      </c>
      <c r="AT50" s="93">
        <f t="shared" si="19"/>
        <v>15.459090909090911</v>
      </c>
      <c r="AU50" s="94">
        <f t="shared" si="19"/>
        <v>9.3689363636363634</v>
      </c>
      <c r="AV50" s="91">
        <f t="shared" si="19"/>
        <v>60.581025319046603</v>
      </c>
      <c r="AW50" s="91">
        <f t="shared" si="19"/>
        <v>39.418974680953397</v>
      </c>
      <c r="AX50" s="83">
        <f t="shared" si="19"/>
        <v>61.574157564250719</v>
      </c>
      <c r="AY50" s="95">
        <f t="shared" si="19"/>
        <v>74.330000000000013</v>
      </c>
      <c r="AZ50" s="96">
        <f t="shared" si="19"/>
        <v>60.75</v>
      </c>
      <c r="BA50" s="96" t="str">
        <f t="shared" si="19"/>
        <v/>
      </c>
      <c r="BB50" s="96">
        <f t="shared" si="19"/>
        <v>89</v>
      </c>
      <c r="BC50" s="96" t="str">
        <f t="shared" si="19"/>
        <v/>
      </c>
      <c r="BD50" s="97">
        <f>IFERROR(SUBTOTAL(1,BD17:BD47),"")</f>
        <v>115.59064516129033</v>
      </c>
      <c r="BE50" s="87">
        <f t="shared" si="19"/>
        <v>5927.8064516129034</v>
      </c>
      <c r="BF50" s="88">
        <f t="shared" si="19"/>
        <v>378.35483870967744</v>
      </c>
      <c r="BG50" s="98">
        <f t="shared" si="19"/>
        <v>2.6451612903225805</v>
      </c>
      <c r="BH50" s="98">
        <f t="shared" si="19"/>
        <v>0</v>
      </c>
      <c r="BI50" s="98">
        <f t="shared" si="19"/>
        <v>5546.8064516129034</v>
      </c>
      <c r="BJ50" s="98" t="str">
        <f t="shared" si="19"/>
        <v/>
      </c>
      <c r="BK50" s="98" t="str">
        <f t="shared" si="19"/>
        <v/>
      </c>
      <c r="BL50" s="97" t="str">
        <f t="shared" si="19"/>
        <v/>
      </c>
    </row>
    <row r="51" spans="1:64" ht="17.25" outlineLevel="1" thickBot="1" x14ac:dyDescent="0.35">
      <c r="A51" s="99" t="s">
        <v>60</v>
      </c>
      <c r="B51" s="100"/>
      <c r="C51" s="101"/>
      <c r="D51" s="102"/>
      <c r="E51" s="102"/>
      <c r="F51" s="102"/>
      <c r="G51" s="102"/>
      <c r="H51" s="102"/>
      <c r="I51" s="102"/>
      <c r="J51" s="102"/>
      <c r="K51" s="102"/>
      <c r="L51" s="103"/>
      <c r="M51" s="104"/>
      <c r="N51" s="104"/>
      <c r="O51" s="104"/>
      <c r="P51" s="104"/>
      <c r="Q51" s="104"/>
      <c r="R51" s="104"/>
      <c r="S51" s="104"/>
      <c r="T51" s="104"/>
      <c r="U51" s="105"/>
      <c r="V51" s="106"/>
      <c r="W51" s="106"/>
      <c r="X51" s="106"/>
      <c r="Y51" s="106"/>
      <c r="Z51" s="106"/>
      <c r="AA51" s="106"/>
      <c r="AB51" s="106"/>
      <c r="AC51" s="106"/>
      <c r="AD51" s="105"/>
      <c r="AE51" s="106"/>
      <c r="AF51" s="106"/>
      <c r="AG51" s="106"/>
      <c r="AH51" s="106"/>
      <c r="AI51" s="106"/>
      <c r="AJ51" s="106"/>
      <c r="AK51" s="106"/>
      <c r="AL51" s="106"/>
      <c r="AM51" s="106"/>
      <c r="AN51" s="107">
        <f>SUBTOTAL(9,AN17:AN47)</f>
        <v>3583.31</v>
      </c>
      <c r="AO51" s="108"/>
      <c r="AP51" s="109"/>
      <c r="AQ51" s="110"/>
      <c r="AR51" s="110"/>
      <c r="AS51" s="111">
        <f>SUBTOTAL(9,AS17:AS47)</f>
        <v>858</v>
      </c>
      <c r="AT51" s="112"/>
      <c r="AU51" s="113"/>
      <c r="AV51" s="110"/>
      <c r="AW51" s="110"/>
      <c r="AX51" s="101"/>
      <c r="AY51" s="114"/>
      <c r="AZ51" s="115"/>
      <c r="BA51" s="115"/>
      <c r="BB51" s="115"/>
      <c r="BC51" s="115"/>
      <c r="BD51" s="116">
        <f>SUBTOTAL(9,BD17:BD47)</f>
        <v>3583.31</v>
      </c>
      <c r="BE51" s="117">
        <f t="shared" ref="BE51:BL51" si="20">SUBTOTAL(9,BE17:BE47)</f>
        <v>183762</v>
      </c>
      <c r="BF51" s="107">
        <f t="shared" si="20"/>
        <v>11729</v>
      </c>
      <c r="BG51" s="118">
        <f t="shared" si="20"/>
        <v>82</v>
      </c>
      <c r="BH51" s="118">
        <f t="shared" si="20"/>
        <v>0</v>
      </c>
      <c r="BI51" s="118">
        <f t="shared" si="20"/>
        <v>171951</v>
      </c>
      <c r="BJ51" s="118">
        <f t="shared" si="20"/>
        <v>0</v>
      </c>
      <c r="BK51" s="118">
        <f t="shared" si="20"/>
        <v>0</v>
      </c>
      <c r="BL51" s="116">
        <f t="shared" si="20"/>
        <v>0</v>
      </c>
    </row>
    <row r="52" spans="1:64" outlineLevel="5" x14ac:dyDescent="0.3">
      <c r="A52" s="136">
        <f t="shared" si="5"/>
        <v>2</v>
      </c>
      <c r="B52" s="165">
        <f>B47+1</f>
        <v>44958</v>
      </c>
      <c r="C52" s="138">
        <f t="shared" ref="C52:C80" si="21">IFERROR(ROUND(AVERAGE(D52:K52),1),"")</f>
        <v>36</v>
      </c>
      <c r="D52" s="84">
        <v>36</v>
      </c>
      <c r="E52" s="84">
        <v>36</v>
      </c>
      <c r="F52" s="84"/>
      <c r="G52" s="84"/>
      <c r="H52" s="139"/>
      <c r="I52" s="139"/>
      <c r="J52" s="139"/>
      <c r="K52" s="139"/>
      <c r="L52" s="140">
        <f t="shared" ref="L52:L80" si="22">IFERROR(ROUND(AVERAGE(M52:T52),1),"")</f>
        <v>8.6999999999999993</v>
      </c>
      <c r="M52" s="141">
        <v>8.66</v>
      </c>
      <c r="N52" s="141"/>
      <c r="O52" s="141"/>
      <c r="P52" s="141"/>
      <c r="Q52" s="141"/>
      <c r="R52" s="141"/>
      <c r="S52" s="141"/>
      <c r="T52" s="141"/>
      <c r="U52" s="142">
        <f t="shared" ref="U52:U80" si="23">IFERROR(ROUND(AVERAGE(V52:AC52),1),"")</f>
        <v>1034</v>
      </c>
      <c r="V52" s="143">
        <v>1034</v>
      </c>
      <c r="W52" s="143"/>
      <c r="X52" s="143"/>
      <c r="Y52" s="143"/>
      <c r="Z52" s="143"/>
      <c r="AA52" s="143"/>
      <c r="AB52" s="143"/>
      <c r="AC52" s="143"/>
      <c r="AD52" s="142">
        <f t="shared" ref="AD52:AD80" si="24">IFERROR(ROUND(AVERAGE(AE52:AL52),1),"")</f>
        <v>9420</v>
      </c>
      <c r="AE52" s="143">
        <v>9420</v>
      </c>
      <c r="AF52" s="143"/>
      <c r="AG52" s="143"/>
      <c r="AH52" s="143"/>
      <c r="AI52" s="143"/>
      <c r="AJ52" s="143"/>
      <c r="AK52" s="143"/>
      <c r="AL52" s="143"/>
      <c r="AM52" s="143">
        <v>42.630057803468212</v>
      </c>
      <c r="AN52" s="88">
        <v>110.72</v>
      </c>
      <c r="AO52" s="144"/>
      <c r="AP52" s="145"/>
      <c r="AQ52" s="146" t="str">
        <f t="shared" ref="AQ52:AQ80" si="25">IFERROR(AP52/AO52*100,"")</f>
        <v/>
      </c>
      <c r="AR52" s="146" t="str">
        <f t="shared" ref="AR52:AR80" si="26">IFERROR(100-AQ52,"")</f>
        <v/>
      </c>
      <c r="AS52" s="147">
        <v>40</v>
      </c>
      <c r="AT52" s="148"/>
      <c r="AU52" s="149"/>
      <c r="AV52" s="146" t="str">
        <f t="shared" ref="AV52:AV80" si="27">IFERROR(AU52/AT52*100,"")</f>
        <v/>
      </c>
      <c r="AW52" s="146" t="str">
        <f t="shared" ref="AW52:AW80" si="28">IFERROR(100-AV52,"")</f>
        <v/>
      </c>
      <c r="AX52" s="138" t="str">
        <f t="shared" ref="AX52:AX80" si="29">IFERROR((1-((AV52*AR52)/(AW52*AQ52)))*100,"")</f>
        <v/>
      </c>
      <c r="AY52">
        <v>74.7</v>
      </c>
      <c r="AZ52" s="150"/>
      <c r="BA52" s="150"/>
      <c r="BB52" s="150"/>
      <c r="BC52" s="150"/>
      <c r="BD52" s="97">
        <v>110.72</v>
      </c>
      <c r="BE52" s="142">
        <f t="shared" ref="BE52:BE80" si="30">IF(SUM(BF52:BL52)=0,"",SUM(BF52:BL52))</f>
        <v>6871</v>
      </c>
      <c r="BF52" s="98">
        <v>265</v>
      </c>
      <c r="BG52" s="98">
        <v>0</v>
      </c>
      <c r="BH52" s="98">
        <v>0</v>
      </c>
      <c r="BI52" s="98">
        <v>6606</v>
      </c>
      <c r="BJ52" s="98"/>
      <c r="BK52" s="98"/>
      <c r="BL52" s="151"/>
    </row>
    <row r="53" spans="1:64" outlineLevel="5" x14ac:dyDescent="0.3">
      <c r="A53" s="152">
        <f t="shared" si="5"/>
        <v>2</v>
      </c>
      <c r="B53" s="153">
        <f t="shared" si="12"/>
        <v>44959</v>
      </c>
      <c r="C53" s="138">
        <f t="shared" si="21"/>
        <v>37</v>
      </c>
      <c r="D53" s="84">
        <v>37.5</v>
      </c>
      <c r="E53" s="84">
        <v>36.5</v>
      </c>
      <c r="F53" s="84"/>
      <c r="G53" s="84"/>
      <c r="H53" s="84"/>
      <c r="I53" s="84"/>
      <c r="J53" s="84"/>
      <c r="K53" s="84"/>
      <c r="L53" s="140" t="str">
        <f t="shared" si="22"/>
        <v/>
      </c>
      <c r="M53" s="141"/>
      <c r="N53" s="141"/>
      <c r="O53" s="141"/>
      <c r="P53" s="141"/>
      <c r="Q53" s="86"/>
      <c r="R53" s="86"/>
      <c r="S53" s="86"/>
      <c r="T53" s="86"/>
      <c r="U53" s="142" t="str">
        <f t="shared" si="23"/>
        <v/>
      </c>
      <c r="V53" s="88"/>
      <c r="W53" s="88"/>
      <c r="X53" s="88"/>
      <c r="Y53" s="88"/>
      <c r="Z53" s="88"/>
      <c r="AA53" s="88"/>
      <c r="AB53" s="88"/>
      <c r="AC53" s="88"/>
      <c r="AD53" s="142" t="str">
        <f t="shared" si="24"/>
        <v/>
      </c>
      <c r="AE53" s="88"/>
      <c r="AF53" s="88"/>
      <c r="AG53" s="88"/>
      <c r="AH53" s="88"/>
      <c r="AI53" s="88"/>
      <c r="AJ53" s="88"/>
      <c r="AK53" s="88"/>
      <c r="AL53" s="88"/>
      <c r="AM53" s="143">
        <v>63.809652561849397</v>
      </c>
      <c r="AN53" s="88">
        <v>73.97</v>
      </c>
      <c r="AO53" s="89"/>
      <c r="AP53" s="90"/>
      <c r="AQ53" s="146" t="str">
        <f t="shared" si="25"/>
        <v/>
      </c>
      <c r="AR53" s="146" t="str">
        <f t="shared" si="26"/>
        <v/>
      </c>
      <c r="AS53" s="147">
        <v>21</v>
      </c>
      <c r="AT53" s="148"/>
      <c r="AU53" s="149"/>
      <c r="AV53" s="146" t="str">
        <f t="shared" si="27"/>
        <v/>
      </c>
      <c r="AW53" s="146" t="str">
        <f t="shared" si="28"/>
        <v/>
      </c>
      <c r="AX53" s="138" t="str">
        <f t="shared" si="29"/>
        <v/>
      </c>
      <c r="AY53" s="95"/>
      <c r="AZ53" s="96"/>
      <c r="BA53" s="96"/>
      <c r="BB53" s="96"/>
      <c r="BC53" s="96"/>
      <c r="BD53" s="97">
        <v>73.97</v>
      </c>
      <c r="BE53" s="142">
        <f t="shared" si="30"/>
        <v>6326</v>
      </c>
      <c r="BF53" s="98">
        <v>245</v>
      </c>
      <c r="BG53" s="98">
        <v>0</v>
      </c>
      <c r="BH53" s="98">
        <v>0</v>
      </c>
      <c r="BI53" s="98">
        <v>6081</v>
      </c>
      <c r="BJ53" s="98"/>
      <c r="BK53" s="98"/>
      <c r="BL53" s="97"/>
    </row>
    <row r="54" spans="1:64" outlineLevel="5" x14ac:dyDescent="0.3">
      <c r="A54" s="152">
        <f t="shared" si="5"/>
        <v>2</v>
      </c>
      <c r="B54" s="153">
        <f t="shared" si="12"/>
        <v>44960</v>
      </c>
      <c r="C54" s="138">
        <f t="shared" si="21"/>
        <v>36.200000000000003</v>
      </c>
      <c r="D54" s="84">
        <v>36</v>
      </c>
      <c r="E54" s="84">
        <v>36.4</v>
      </c>
      <c r="F54" s="84"/>
      <c r="G54" s="84"/>
      <c r="H54" s="84"/>
      <c r="I54" s="84"/>
      <c r="J54" s="84"/>
      <c r="K54" s="84"/>
      <c r="L54" s="140" t="str">
        <f t="shared" si="22"/>
        <v/>
      </c>
      <c r="M54" s="141"/>
      <c r="N54" s="141"/>
      <c r="O54" s="141"/>
      <c r="P54" s="141"/>
      <c r="Q54" s="86"/>
      <c r="R54" s="86"/>
      <c r="S54" s="86"/>
      <c r="T54" s="86"/>
      <c r="U54" s="142" t="str">
        <f t="shared" si="23"/>
        <v/>
      </c>
      <c r="V54" s="88"/>
      <c r="W54" s="88"/>
      <c r="X54" s="88"/>
      <c r="Y54" s="88"/>
      <c r="Z54" s="88"/>
      <c r="AA54" s="88"/>
      <c r="AB54" s="88"/>
      <c r="AC54" s="88"/>
      <c r="AD54" s="142" t="str">
        <f t="shared" si="24"/>
        <v/>
      </c>
      <c r="AE54" s="88"/>
      <c r="AF54" s="88"/>
      <c r="AG54" s="88"/>
      <c r="AH54" s="88"/>
      <c r="AI54" s="88"/>
      <c r="AJ54" s="88"/>
      <c r="AK54" s="88"/>
      <c r="AL54" s="88"/>
      <c r="AM54" s="143">
        <v>35.47271907410191</v>
      </c>
      <c r="AN54" s="88">
        <v>133.06</v>
      </c>
      <c r="AO54" s="89"/>
      <c r="AP54" s="90"/>
      <c r="AQ54" s="146" t="str">
        <f t="shared" si="25"/>
        <v/>
      </c>
      <c r="AR54" s="146" t="str">
        <f t="shared" si="26"/>
        <v/>
      </c>
      <c r="AS54" s="147">
        <v>33</v>
      </c>
      <c r="AT54" s="148"/>
      <c r="AU54" s="149"/>
      <c r="AV54" s="146" t="str">
        <f t="shared" si="27"/>
        <v/>
      </c>
      <c r="AW54" s="146" t="str">
        <f t="shared" si="28"/>
        <v/>
      </c>
      <c r="AX54" s="138" t="str">
        <f t="shared" si="29"/>
        <v/>
      </c>
      <c r="AY54" s="95"/>
      <c r="AZ54" s="96"/>
      <c r="BA54" s="96"/>
      <c r="BB54" s="96"/>
      <c r="BC54" s="96"/>
      <c r="BD54" s="97">
        <v>133.06</v>
      </c>
      <c r="BE54" s="142">
        <f t="shared" si="30"/>
        <v>6616</v>
      </c>
      <c r="BF54" s="98">
        <v>567</v>
      </c>
      <c r="BG54" s="98">
        <v>0</v>
      </c>
      <c r="BH54" s="98">
        <v>0</v>
      </c>
      <c r="BI54" s="98">
        <v>6049</v>
      </c>
      <c r="BJ54" s="98"/>
      <c r="BK54" s="98"/>
      <c r="BL54" s="97"/>
    </row>
    <row r="55" spans="1:64" outlineLevel="5" x14ac:dyDescent="0.3">
      <c r="A55" s="152">
        <f t="shared" si="5"/>
        <v>2</v>
      </c>
      <c r="B55" s="153">
        <f t="shared" si="12"/>
        <v>44961</v>
      </c>
      <c r="C55" s="138">
        <f t="shared" si="21"/>
        <v>36.799999999999997</v>
      </c>
      <c r="D55" s="84">
        <v>36.6</v>
      </c>
      <c r="E55" s="84">
        <v>36.9</v>
      </c>
      <c r="F55" s="84"/>
      <c r="G55" s="84"/>
      <c r="H55" s="84"/>
      <c r="I55" s="84"/>
      <c r="J55" s="84"/>
      <c r="K55" s="84"/>
      <c r="L55" s="140" t="str">
        <f t="shared" si="22"/>
        <v/>
      </c>
      <c r="M55" s="141"/>
      <c r="N55" s="141"/>
      <c r="O55" s="141"/>
      <c r="P55" s="141"/>
      <c r="Q55" s="86"/>
      <c r="R55" s="86"/>
      <c r="S55" s="86"/>
      <c r="T55" s="86"/>
      <c r="U55" s="142" t="str">
        <f t="shared" si="23"/>
        <v/>
      </c>
      <c r="V55" s="88"/>
      <c r="W55" s="88"/>
      <c r="X55" s="88"/>
      <c r="Y55" s="88"/>
      <c r="Z55" s="88"/>
      <c r="AA55" s="88"/>
      <c r="AB55" s="88"/>
      <c r="AC55" s="88"/>
      <c r="AD55" s="142" t="str">
        <f t="shared" si="24"/>
        <v/>
      </c>
      <c r="AE55" s="88"/>
      <c r="AF55" s="88"/>
      <c r="AG55" s="88"/>
      <c r="AH55" s="88"/>
      <c r="AI55" s="88"/>
      <c r="AJ55" s="88"/>
      <c r="AK55" s="88"/>
      <c r="AL55" s="88"/>
      <c r="AM55" s="143">
        <v>46.598874518708655</v>
      </c>
      <c r="AN55" s="88">
        <v>101.29</v>
      </c>
      <c r="AO55" s="89"/>
      <c r="AP55" s="90"/>
      <c r="AQ55" s="146" t="str">
        <f t="shared" si="25"/>
        <v/>
      </c>
      <c r="AR55" s="146" t="str">
        <f t="shared" si="26"/>
        <v/>
      </c>
      <c r="AS55" s="147">
        <v>14</v>
      </c>
      <c r="AT55" s="148"/>
      <c r="AU55" s="149"/>
      <c r="AV55" s="146" t="str">
        <f t="shared" si="27"/>
        <v/>
      </c>
      <c r="AW55" s="146" t="str">
        <f t="shared" si="28"/>
        <v/>
      </c>
      <c r="AX55" s="138" t="str">
        <f t="shared" si="29"/>
        <v/>
      </c>
      <c r="AY55" s="95"/>
      <c r="AZ55" s="96"/>
      <c r="BA55" s="96"/>
      <c r="BB55" s="96"/>
      <c r="BC55" s="96"/>
      <c r="BD55" s="97">
        <v>101.29</v>
      </c>
      <c r="BE55" s="142">
        <f t="shared" si="30"/>
        <v>5985</v>
      </c>
      <c r="BF55" s="98">
        <v>492</v>
      </c>
      <c r="BG55" s="98">
        <v>0</v>
      </c>
      <c r="BH55" s="98">
        <v>0</v>
      </c>
      <c r="BI55" s="98">
        <v>5493</v>
      </c>
      <c r="BJ55" s="98"/>
      <c r="BK55" s="98"/>
      <c r="BL55" s="97"/>
    </row>
    <row r="56" spans="1:64" outlineLevel="5" x14ac:dyDescent="0.3">
      <c r="A56" s="152">
        <f t="shared" si="5"/>
        <v>2</v>
      </c>
      <c r="B56" s="153">
        <f t="shared" si="12"/>
        <v>44962</v>
      </c>
      <c r="C56" s="138">
        <f t="shared" si="21"/>
        <v>36.799999999999997</v>
      </c>
      <c r="D56" s="84">
        <v>36.6</v>
      </c>
      <c r="E56" s="84">
        <v>37</v>
      </c>
      <c r="F56" s="84"/>
      <c r="G56" s="84"/>
      <c r="H56" s="84"/>
      <c r="I56" s="84"/>
      <c r="J56" s="84"/>
      <c r="K56" s="84"/>
      <c r="L56" s="140" t="str">
        <f t="shared" si="22"/>
        <v/>
      </c>
      <c r="M56" s="141"/>
      <c r="N56" s="141"/>
      <c r="O56" s="141"/>
      <c r="P56" s="141"/>
      <c r="Q56" s="86"/>
      <c r="R56" s="86"/>
      <c r="S56" s="86"/>
      <c r="T56" s="86"/>
      <c r="U56" s="142" t="str">
        <f t="shared" si="23"/>
        <v/>
      </c>
      <c r="V56" s="88"/>
      <c r="W56" s="88"/>
      <c r="X56" s="88"/>
      <c r="Y56" s="88"/>
      <c r="Z56" s="88"/>
      <c r="AA56" s="88"/>
      <c r="AB56" s="88"/>
      <c r="AC56" s="88"/>
      <c r="AD56" s="142" t="str">
        <f t="shared" si="24"/>
        <v/>
      </c>
      <c r="AE56" s="88"/>
      <c r="AF56" s="88"/>
      <c r="AG56" s="88"/>
      <c r="AH56" s="88"/>
      <c r="AI56" s="88"/>
      <c r="AJ56" s="88"/>
      <c r="AK56" s="88"/>
      <c r="AL56" s="88"/>
      <c r="AM56" s="143">
        <v>78.666666666666671</v>
      </c>
      <c r="AN56" s="88">
        <v>60</v>
      </c>
      <c r="AO56" s="89"/>
      <c r="AP56" s="90"/>
      <c r="AQ56" s="146" t="str">
        <f t="shared" si="25"/>
        <v/>
      </c>
      <c r="AR56" s="146" t="str">
        <f t="shared" si="26"/>
        <v/>
      </c>
      <c r="AS56" s="147">
        <v>10</v>
      </c>
      <c r="AT56" s="148"/>
      <c r="AU56" s="149"/>
      <c r="AV56" s="146" t="str">
        <f t="shared" si="27"/>
        <v/>
      </c>
      <c r="AW56" s="146" t="str">
        <f t="shared" si="28"/>
        <v/>
      </c>
      <c r="AX56" s="138" t="str">
        <f t="shared" si="29"/>
        <v/>
      </c>
      <c r="AY56" s="95"/>
      <c r="AZ56" s="96"/>
      <c r="BA56" s="96"/>
      <c r="BB56" s="96"/>
      <c r="BC56" s="96"/>
      <c r="BD56" s="97">
        <v>60</v>
      </c>
      <c r="BE56" s="142">
        <f t="shared" si="30"/>
        <v>4900</v>
      </c>
      <c r="BF56" s="98">
        <v>0</v>
      </c>
      <c r="BG56" s="98">
        <v>0</v>
      </c>
      <c r="BH56" s="98">
        <v>0</v>
      </c>
      <c r="BI56" s="98">
        <v>4900</v>
      </c>
      <c r="BJ56" s="98"/>
      <c r="BK56" s="98"/>
      <c r="BL56" s="97"/>
    </row>
    <row r="57" spans="1:64" outlineLevel="5" x14ac:dyDescent="0.3">
      <c r="A57" s="152">
        <f t="shared" si="5"/>
        <v>2</v>
      </c>
      <c r="B57" s="153">
        <f t="shared" si="12"/>
        <v>44963</v>
      </c>
      <c r="C57" s="138">
        <f t="shared" si="21"/>
        <v>37.5</v>
      </c>
      <c r="D57" s="84"/>
      <c r="E57" s="84">
        <v>37.5</v>
      </c>
      <c r="F57" s="84"/>
      <c r="G57" s="84"/>
      <c r="H57" s="84"/>
      <c r="I57" s="84"/>
      <c r="J57" s="84"/>
      <c r="K57" s="84"/>
      <c r="L57" s="140">
        <f t="shared" si="22"/>
        <v>8.6</v>
      </c>
      <c r="M57" s="141"/>
      <c r="N57" s="141">
        <v>8.5500000000000007</v>
      </c>
      <c r="O57" s="141"/>
      <c r="P57" s="141"/>
      <c r="Q57" s="86"/>
      <c r="R57" s="86"/>
      <c r="S57" s="86"/>
      <c r="T57" s="86"/>
      <c r="U57" s="142">
        <f t="shared" si="23"/>
        <v>865</v>
      </c>
      <c r="V57" s="88"/>
      <c r="W57" s="88">
        <v>865</v>
      </c>
      <c r="X57" s="88"/>
      <c r="Y57" s="88"/>
      <c r="Z57" s="88"/>
      <c r="AA57" s="88"/>
      <c r="AB57" s="88"/>
      <c r="AC57" s="88"/>
      <c r="AD57" s="142" t="str">
        <f t="shared" si="24"/>
        <v/>
      </c>
      <c r="AE57" s="88"/>
      <c r="AF57" s="88"/>
      <c r="AG57" s="88"/>
      <c r="AH57" s="88"/>
      <c r="AI57" s="88"/>
      <c r="AJ57" s="88"/>
      <c r="AK57" s="88"/>
      <c r="AL57" s="88"/>
      <c r="AM57" s="143">
        <v>55.568636684718626</v>
      </c>
      <c r="AN57" s="88">
        <v>84.94</v>
      </c>
      <c r="AO57" s="89">
        <v>21.2</v>
      </c>
      <c r="AP57" s="90">
        <v>16.790399999999998</v>
      </c>
      <c r="AQ57" s="146">
        <f t="shared" si="25"/>
        <v>79.199999999999989</v>
      </c>
      <c r="AR57" s="146">
        <f t="shared" si="26"/>
        <v>20.800000000000011</v>
      </c>
      <c r="AS57" s="147">
        <v>30</v>
      </c>
      <c r="AT57" s="148">
        <v>17.8</v>
      </c>
      <c r="AU57" s="149">
        <v>11.0182</v>
      </c>
      <c r="AV57" s="146">
        <f t="shared" si="27"/>
        <v>61.9</v>
      </c>
      <c r="AW57" s="146">
        <f t="shared" si="28"/>
        <v>38.1</v>
      </c>
      <c r="AX57" s="138">
        <f t="shared" si="29"/>
        <v>57.33184867043132</v>
      </c>
      <c r="AY57" s="95">
        <v>74.599999999999994</v>
      </c>
      <c r="AZ57" s="96">
        <v>62.174999999999997</v>
      </c>
      <c r="BA57" s="96"/>
      <c r="BB57" s="96">
        <v>72</v>
      </c>
      <c r="BC57" s="96"/>
      <c r="BD57" s="97">
        <v>84.94</v>
      </c>
      <c r="BE57" s="142">
        <f t="shared" si="30"/>
        <v>5685</v>
      </c>
      <c r="BF57" s="98">
        <v>47</v>
      </c>
      <c r="BG57" s="98">
        <v>0</v>
      </c>
      <c r="BH57" s="98">
        <v>0</v>
      </c>
      <c r="BI57" s="98">
        <v>5638</v>
      </c>
      <c r="BJ57" s="98"/>
      <c r="BK57" s="98"/>
      <c r="BL57" s="97"/>
    </row>
    <row r="58" spans="1:64" outlineLevel="5" x14ac:dyDescent="0.3">
      <c r="A58" s="152">
        <f t="shared" si="5"/>
        <v>2</v>
      </c>
      <c r="B58" s="153">
        <f t="shared" si="12"/>
        <v>44964</v>
      </c>
      <c r="C58" s="138">
        <f t="shared" si="21"/>
        <v>37.1</v>
      </c>
      <c r="D58" s="84"/>
      <c r="E58" s="84">
        <v>37.1</v>
      </c>
      <c r="F58" s="84"/>
      <c r="G58" s="84"/>
      <c r="H58" s="84"/>
      <c r="I58" s="84"/>
      <c r="J58" s="84"/>
      <c r="K58" s="84"/>
      <c r="L58" s="140" t="str">
        <f t="shared" si="22"/>
        <v/>
      </c>
      <c r="M58" s="141"/>
      <c r="N58" s="141"/>
      <c r="O58" s="141"/>
      <c r="P58" s="141"/>
      <c r="Q58" s="86"/>
      <c r="R58" s="86"/>
      <c r="S58" s="86"/>
      <c r="T58" s="86"/>
      <c r="U58" s="142" t="str">
        <f t="shared" si="23"/>
        <v/>
      </c>
      <c r="V58" s="88"/>
      <c r="W58" s="88"/>
      <c r="X58" s="88"/>
      <c r="Y58" s="88"/>
      <c r="Z58" s="88"/>
      <c r="AA58" s="88"/>
      <c r="AB58" s="88"/>
      <c r="AC58" s="88"/>
      <c r="AD58" s="142" t="str">
        <f t="shared" si="24"/>
        <v/>
      </c>
      <c r="AE58" s="88"/>
      <c r="AF58" s="88"/>
      <c r="AG58" s="88"/>
      <c r="AH58" s="88"/>
      <c r="AI58" s="88"/>
      <c r="AJ58" s="88"/>
      <c r="AK58" s="88"/>
      <c r="AL58" s="88"/>
      <c r="AM58" s="143">
        <v>67.007382169222041</v>
      </c>
      <c r="AN58" s="88">
        <v>70.44</v>
      </c>
      <c r="AO58" s="89"/>
      <c r="AP58" s="90"/>
      <c r="AQ58" s="146" t="str">
        <f t="shared" si="25"/>
        <v/>
      </c>
      <c r="AR58" s="146" t="str">
        <f t="shared" si="26"/>
        <v/>
      </c>
      <c r="AS58" s="147">
        <v>25</v>
      </c>
      <c r="AT58" s="148"/>
      <c r="AU58" s="149"/>
      <c r="AV58" s="146" t="str">
        <f t="shared" si="27"/>
        <v/>
      </c>
      <c r="AW58" s="146" t="str">
        <f t="shared" si="28"/>
        <v/>
      </c>
      <c r="AX58" s="138" t="str">
        <f t="shared" si="29"/>
        <v/>
      </c>
      <c r="AY58" s="95"/>
      <c r="AZ58" s="96"/>
      <c r="BA58" s="96"/>
      <c r="BB58" s="96"/>
      <c r="BC58" s="96"/>
      <c r="BD58" s="97">
        <v>70.44</v>
      </c>
      <c r="BE58" s="142">
        <f t="shared" si="30"/>
        <v>6122</v>
      </c>
      <c r="BF58" s="98">
        <v>1</v>
      </c>
      <c r="BG58" s="98">
        <v>0</v>
      </c>
      <c r="BH58" s="98">
        <v>0</v>
      </c>
      <c r="BI58" s="98">
        <v>6121</v>
      </c>
      <c r="BJ58" s="98"/>
      <c r="BK58" s="98"/>
      <c r="BL58" s="97"/>
    </row>
    <row r="59" spans="1:64" outlineLevel="5" x14ac:dyDescent="0.3">
      <c r="A59" s="152">
        <f t="shared" si="5"/>
        <v>2</v>
      </c>
      <c r="B59" s="153">
        <f t="shared" si="12"/>
        <v>44965</v>
      </c>
      <c r="C59" s="138">
        <f t="shared" si="21"/>
        <v>36.4</v>
      </c>
      <c r="D59" s="84"/>
      <c r="E59" s="84">
        <v>36.4</v>
      </c>
      <c r="F59" s="84"/>
      <c r="G59" s="84"/>
      <c r="H59" s="84"/>
      <c r="I59" s="84"/>
      <c r="J59" s="84"/>
      <c r="K59" s="84"/>
      <c r="L59" s="140">
        <f t="shared" si="22"/>
        <v>8.6</v>
      </c>
      <c r="M59" s="141"/>
      <c r="N59" s="141">
        <v>8.61</v>
      </c>
      <c r="O59" s="141"/>
      <c r="P59" s="141"/>
      <c r="Q59" s="86"/>
      <c r="R59" s="86"/>
      <c r="S59" s="86"/>
      <c r="T59" s="86"/>
      <c r="U59" s="142">
        <f t="shared" si="23"/>
        <v>1287</v>
      </c>
      <c r="V59" s="88"/>
      <c r="W59" s="88">
        <v>1287</v>
      </c>
      <c r="X59" s="88"/>
      <c r="Y59" s="88"/>
      <c r="Z59" s="88"/>
      <c r="AA59" s="88"/>
      <c r="AB59" s="88"/>
      <c r="AC59" s="88"/>
      <c r="AD59" s="142">
        <f t="shared" si="24"/>
        <v>9950</v>
      </c>
      <c r="AE59" s="88"/>
      <c r="AF59" s="88">
        <v>9950</v>
      </c>
      <c r="AG59" s="88"/>
      <c r="AH59" s="88"/>
      <c r="AI59" s="88"/>
      <c r="AJ59" s="88"/>
      <c r="AK59" s="88"/>
      <c r="AL59" s="88"/>
      <c r="AM59" s="143">
        <v>70.711610486891388</v>
      </c>
      <c r="AN59" s="88">
        <v>66.75</v>
      </c>
      <c r="AO59" s="89"/>
      <c r="AP59" s="90"/>
      <c r="AQ59" s="146" t="str">
        <f t="shared" si="25"/>
        <v/>
      </c>
      <c r="AR59" s="146" t="str">
        <f t="shared" si="26"/>
        <v/>
      </c>
      <c r="AS59" s="147">
        <v>20</v>
      </c>
      <c r="AT59" s="148">
        <v>15.9</v>
      </c>
      <c r="AU59" s="149">
        <v>9.7944000000000013</v>
      </c>
      <c r="AV59" s="146">
        <f t="shared" si="27"/>
        <v>61.600000000000009</v>
      </c>
      <c r="AW59" s="146">
        <f t="shared" si="28"/>
        <v>38.399999999999991</v>
      </c>
      <c r="AX59" s="138" t="str">
        <f t="shared" si="29"/>
        <v/>
      </c>
      <c r="AY59" s="95">
        <v>73.900000000000006</v>
      </c>
      <c r="AZ59" s="96">
        <v>59.31</v>
      </c>
      <c r="BA59" s="96"/>
      <c r="BB59" s="96">
        <v>55.5</v>
      </c>
      <c r="BC59" s="96"/>
      <c r="BD59" s="97">
        <v>66.75</v>
      </c>
      <c r="BE59" s="142">
        <f t="shared" si="30"/>
        <v>8526</v>
      </c>
      <c r="BF59" s="98">
        <v>0</v>
      </c>
      <c r="BG59" s="98">
        <v>0</v>
      </c>
      <c r="BH59" s="98">
        <v>3550</v>
      </c>
      <c r="BI59" s="98">
        <v>4976</v>
      </c>
      <c r="BJ59" s="98"/>
      <c r="BK59" s="98"/>
      <c r="BL59" s="97"/>
    </row>
    <row r="60" spans="1:64" outlineLevel="5" x14ac:dyDescent="0.3">
      <c r="A60" s="152">
        <f t="shared" si="5"/>
        <v>2</v>
      </c>
      <c r="B60" s="153">
        <f t="shared" si="12"/>
        <v>44966</v>
      </c>
      <c r="C60" s="138">
        <f t="shared" si="21"/>
        <v>36</v>
      </c>
      <c r="D60" s="84"/>
      <c r="E60" s="84">
        <v>36</v>
      </c>
      <c r="F60" s="84"/>
      <c r="G60" s="84"/>
      <c r="H60" s="84"/>
      <c r="I60" s="84"/>
      <c r="J60" s="84"/>
      <c r="K60" s="84"/>
      <c r="L60" s="140">
        <f t="shared" si="22"/>
        <v>8.6</v>
      </c>
      <c r="M60" s="141"/>
      <c r="N60" s="141">
        <v>8.5500000000000007</v>
      </c>
      <c r="O60" s="141"/>
      <c r="P60" s="141"/>
      <c r="Q60" s="86"/>
      <c r="R60" s="86"/>
      <c r="S60" s="86"/>
      <c r="T60" s="86"/>
      <c r="U60" s="142">
        <f t="shared" si="23"/>
        <v>1192</v>
      </c>
      <c r="V60" s="88"/>
      <c r="W60" s="88">
        <v>1192</v>
      </c>
      <c r="X60" s="88"/>
      <c r="Y60" s="88"/>
      <c r="Z60" s="88"/>
      <c r="AA60" s="88"/>
      <c r="AB60" s="88"/>
      <c r="AC60" s="88"/>
      <c r="AD60" s="142" t="str">
        <f t="shared" si="24"/>
        <v/>
      </c>
      <c r="AE60" s="88"/>
      <c r="AF60" s="88"/>
      <c r="AG60" s="88"/>
      <c r="AH60" s="88"/>
      <c r="AI60" s="88"/>
      <c r="AJ60" s="88"/>
      <c r="AK60" s="88"/>
      <c r="AL60" s="88"/>
      <c r="AM60" s="143">
        <v>57.344186611590331</v>
      </c>
      <c r="AN60" s="88">
        <v>82.31</v>
      </c>
      <c r="AO60" s="89"/>
      <c r="AP60" s="90"/>
      <c r="AQ60" s="146" t="str">
        <f t="shared" si="25"/>
        <v/>
      </c>
      <c r="AR60" s="146" t="str">
        <f t="shared" si="26"/>
        <v/>
      </c>
      <c r="AS60" s="147">
        <v>20</v>
      </c>
      <c r="AT60" s="148">
        <v>15.6</v>
      </c>
      <c r="AU60" s="149">
        <v>9.4379999999999988</v>
      </c>
      <c r="AV60" s="146">
        <f t="shared" si="27"/>
        <v>60.5</v>
      </c>
      <c r="AW60" s="146">
        <f t="shared" si="28"/>
        <v>39.5</v>
      </c>
      <c r="AX60" s="138" t="str">
        <f t="shared" si="29"/>
        <v/>
      </c>
      <c r="AY60" s="95">
        <v>74.099999999999994</v>
      </c>
      <c r="AZ60" s="96"/>
      <c r="BA60" s="96"/>
      <c r="BB60" s="96"/>
      <c r="BC60" s="96"/>
      <c r="BD60" s="97">
        <v>82.31</v>
      </c>
      <c r="BE60" s="142">
        <f t="shared" si="30"/>
        <v>9934</v>
      </c>
      <c r="BF60" s="98">
        <v>292</v>
      </c>
      <c r="BG60" s="98">
        <v>0</v>
      </c>
      <c r="BH60" s="98">
        <v>3757</v>
      </c>
      <c r="BI60" s="98">
        <v>5885</v>
      </c>
      <c r="BJ60" s="98"/>
      <c r="BK60" s="98"/>
      <c r="BL60" s="97"/>
    </row>
    <row r="61" spans="1:64" outlineLevel="5" x14ac:dyDescent="0.3">
      <c r="A61" s="152">
        <f t="shared" si="5"/>
        <v>2</v>
      </c>
      <c r="B61" s="153">
        <f t="shared" si="12"/>
        <v>44967</v>
      </c>
      <c r="C61" s="138">
        <f t="shared" si="21"/>
        <v>37.1</v>
      </c>
      <c r="D61" s="84"/>
      <c r="E61" s="84">
        <v>37.1</v>
      </c>
      <c r="F61" s="84"/>
      <c r="G61" s="84"/>
      <c r="H61" s="84"/>
      <c r="I61" s="84"/>
      <c r="J61" s="84"/>
      <c r="K61" s="84"/>
      <c r="L61" s="140" t="str">
        <f t="shared" si="22"/>
        <v/>
      </c>
      <c r="M61" s="141"/>
      <c r="N61" s="141"/>
      <c r="O61" s="141"/>
      <c r="P61" s="141"/>
      <c r="Q61" s="86"/>
      <c r="R61" s="86"/>
      <c r="S61" s="86"/>
      <c r="T61" s="86"/>
      <c r="U61" s="142" t="str">
        <f t="shared" si="23"/>
        <v/>
      </c>
      <c r="V61" s="88"/>
      <c r="W61" s="88"/>
      <c r="X61" s="88"/>
      <c r="Y61" s="88"/>
      <c r="Z61" s="88"/>
      <c r="AA61" s="88"/>
      <c r="AB61" s="88"/>
      <c r="AC61" s="88"/>
      <c r="AD61" s="142" t="str">
        <f t="shared" si="24"/>
        <v/>
      </c>
      <c r="AE61" s="88"/>
      <c r="AF61" s="88"/>
      <c r="AG61" s="88"/>
      <c r="AH61" s="88"/>
      <c r="AI61" s="88"/>
      <c r="AJ61" s="88"/>
      <c r="AK61" s="88"/>
      <c r="AL61" s="88"/>
      <c r="AM61" s="143">
        <v>63.093169362384707</v>
      </c>
      <c r="AN61" s="88">
        <v>74.81</v>
      </c>
      <c r="AO61" s="89"/>
      <c r="AP61" s="90"/>
      <c r="AQ61" s="146" t="str">
        <f t="shared" si="25"/>
        <v/>
      </c>
      <c r="AR61" s="146" t="str">
        <f t="shared" si="26"/>
        <v/>
      </c>
      <c r="AS61" s="147">
        <v>23</v>
      </c>
      <c r="AT61" s="148"/>
      <c r="AU61" s="149"/>
      <c r="AV61" s="146" t="str">
        <f t="shared" si="27"/>
        <v/>
      </c>
      <c r="AW61" s="146" t="str">
        <f t="shared" si="28"/>
        <v/>
      </c>
      <c r="AX61" s="138" t="str">
        <f t="shared" si="29"/>
        <v/>
      </c>
      <c r="AY61" s="95"/>
      <c r="AZ61" s="96">
        <v>62.379999999999995</v>
      </c>
      <c r="BA61" s="96"/>
      <c r="BB61" s="96">
        <v>51</v>
      </c>
      <c r="BC61" s="96"/>
      <c r="BD61" s="97">
        <v>74.81</v>
      </c>
      <c r="BE61" s="142">
        <f t="shared" si="30"/>
        <v>6794</v>
      </c>
      <c r="BF61" s="98">
        <v>42</v>
      </c>
      <c r="BG61" s="98">
        <v>0</v>
      </c>
      <c r="BH61" s="98">
        <v>984</v>
      </c>
      <c r="BI61" s="98">
        <v>5768</v>
      </c>
      <c r="BJ61" s="98"/>
      <c r="BK61" s="98"/>
      <c r="BL61" s="97"/>
    </row>
    <row r="62" spans="1:64" outlineLevel="5" x14ac:dyDescent="0.3">
      <c r="A62" s="152">
        <f t="shared" si="5"/>
        <v>2</v>
      </c>
      <c r="B62" s="153">
        <f t="shared" si="12"/>
        <v>44968</v>
      </c>
      <c r="C62" s="138">
        <f t="shared" si="21"/>
        <v>37.200000000000003</v>
      </c>
      <c r="D62" s="84"/>
      <c r="E62" s="84">
        <v>37.200000000000003</v>
      </c>
      <c r="F62" s="84"/>
      <c r="G62" s="84"/>
      <c r="H62" s="84"/>
      <c r="I62" s="84"/>
      <c r="J62" s="84"/>
      <c r="K62" s="84"/>
      <c r="L62" s="140" t="str">
        <f t="shared" si="22"/>
        <v/>
      </c>
      <c r="M62" s="141"/>
      <c r="N62" s="141"/>
      <c r="O62" s="141"/>
      <c r="P62" s="141"/>
      <c r="Q62" s="86"/>
      <c r="R62" s="86"/>
      <c r="S62" s="86"/>
      <c r="T62" s="86"/>
      <c r="U62" s="142" t="str">
        <f t="shared" si="23"/>
        <v/>
      </c>
      <c r="V62" s="88"/>
      <c r="W62" s="88"/>
      <c r="X62" s="88"/>
      <c r="Y62" s="88"/>
      <c r="Z62" s="88"/>
      <c r="AA62" s="88"/>
      <c r="AB62" s="88"/>
      <c r="AC62" s="88"/>
      <c r="AD62" s="142" t="str">
        <f t="shared" si="24"/>
        <v/>
      </c>
      <c r="AE62" s="88"/>
      <c r="AF62" s="88"/>
      <c r="AG62" s="88"/>
      <c r="AH62" s="88"/>
      <c r="AI62" s="88"/>
      <c r="AJ62" s="88"/>
      <c r="AK62" s="88"/>
      <c r="AL62" s="88"/>
      <c r="AM62" s="143">
        <v>55.262849783397733</v>
      </c>
      <c r="AN62" s="88">
        <v>85.41</v>
      </c>
      <c r="AO62" s="89"/>
      <c r="AP62" s="90"/>
      <c r="AQ62" s="146" t="str">
        <f t="shared" si="25"/>
        <v/>
      </c>
      <c r="AR62" s="146" t="str">
        <f t="shared" si="26"/>
        <v/>
      </c>
      <c r="AS62" s="147">
        <v>10</v>
      </c>
      <c r="AT62" s="148"/>
      <c r="AU62" s="149"/>
      <c r="AV62" s="146" t="str">
        <f t="shared" si="27"/>
        <v/>
      </c>
      <c r="AW62" s="146" t="str">
        <f t="shared" si="28"/>
        <v/>
      </c>
      <c r="AX62" s="138" t="str">
        <f t="shared" si="29"/>
        <v/>
      </c>
      <c r="AY62" s="95"/>
      <c r="AZ62" s="96"/>
      <c r="BA62" s="96"/>
      <c r="BB62" s="96"/>
      <c r="BC62" s="96"/>
      <c r="BD62" s="97">
        <v>85.41</v>
      </c>
      <c r="BE62" s="142">
        <f t="shared" si="30"/>
        <v>6029</v>
      </c>
      <c r="BF62" s="98">
        <v>243</v>
      </c>
      <c r="BG62" s="98">
        <v>0</v>
      </c>
      <c r="BH62" s="98">
        <v>0</v>
      </c>
      <c r="BI62" s="98">
        <v>5786</v>
      </c>
      <c r="BJ62" s="98"/>
      <c r="BK62" s="98"/>
      <c r="BL62" s="97"/>
    </row>
    <row r="63" spans="1:64" outlineLevel="5" x14ac:dyDescent="0.3">
      <c r="A63" s="152">
        <f t="shared" si="5"/>
        <v>2</v>
      </c>
      <c r="B63" s="153">
        <f t="shared" si="12"/>
        <v>44969</v>
      </c>
      <c r="C63" s="138">
        <f t="shared" si="21"/>
        <v>37.5</v>
      </c>
      <c r="D63" s="84"/>
      <c r="E63" s="84">
        <v>37.5</v>
      </c>
      <c r="F63" s="84"/>
      <c r="G63" s="84"/>
      <c r="H63" s="84"/>
      <c r="I63" s="84"/>
      <c r="J63" s="84"/>
      <c r="K63" s="84"/>
      <c r="L63" s="140" t="str">
        <f t="shared" si="22"/>
        <v/>
      </c>
      <c r="M63" s="141"/>
      <c r="N63" s="141"/>
      <c r="O63" s="141"/>
      <c r="P63" s="141"/>
      <c r="Q63" s="86"/>
      <c r="R63" s="86"/>
      <c r="S63" s="86"/>
      <c r="T63" s="86"/>
      <c r="U63" s="142" t="str">
        <f t="shared" si="23"/>
        <v/>
      </c>
      <c r="V63" s="88"/>
      <c r="W63" s="88"/>
      <c r="X63" s="88"/>
      <c r="Y63" s="88"/>
      <c r="Z63" s="88"/>
      <c r="AA63" s="88"/>
      <c r="AB63" s="88"/>
      <c r="AC63" s="88"/>
      <c r="AD63" s="142" t="str">
        <f t="shared" si="24"/>
        <v/>
      </c>
      <c r="AE63" s="88"/>
      <c r="AF63" s="88"/>
      <c r="AG63" s="88"/>
      <c r="AH63" s="88"/>
      <c r="AI63" s="88"/>
      <c r="AJ63" s="88"/>
      <c r="AK63" s="88"/>
      <c r="AL63" s="88"/>
      <c r="AM63" s="143">
        <v>67.428571428571431</v>
      </c>
      <c r="AN63" s="88">
        <v>70</v>
      </c>
      <c r="AO63" s="89"/>
      <c r="AP63" s="90"/>
      <c r="AQ63" s="146" t="str">
        <f t="shared" si="25"/>
        <v/>
      </c>
      <c r="AR63" s="146" t="str">
        <f t="shared" si="26"/>
        <v/>
      </c>
      <c r="AS63" s="147">
        <v>10</v>
      </c>
      <c r="AT63" s="148"/>
      <c r="AU63" s="149"/>
      <c r="AV63" s="146" t="str">
        <f t="shared" si="27"/>
        <v/>
      </c>
      <c r="AW63" s="146" t="str">
        <f t="shared" si="28"/>
        <v/>
      </c>
      <c r="AX63" s="138" t="str">
        <f t="shared" si="29"/>
        <v/>
      </c>
      <c r="AY63" s="95"/>
      <c r="AZ63" s="96"/>
      <c r="BA63" s="96"/>
      <c r="BB63" s="96"/>
      <c r="BC63" s="96"/>
      <c r="BD63" s="97">
        <v>70</v>
      </c>
      <c r="BE63" s="142">
        <f t="shared" si="30"/>
        <v>5639</v>
      </c>
      <c r="BF63" s="98">
        <v>128</v>
      </c>
      <c r="BG63" s="98">
        <v>0</v>
      </c>
      <c r="BH63" s="98">
        <v>0</v>
      </c>
      <c r="BI63" s="98">
        <v>5511</v>
      </c>
      <c r="BJ63" s="98"/>
      <c r="BK63" s="98"/>
      <c r="BL63" s="97"/>
    </row>
    <row r="64" spans="1:64" outlineLevel="5" x14ac:dyDescent="0.3">
      <c r="A64" s="152">
        <f t="shared" si="5"/>
        <v>2</v>
      </c>
      <c r="B64" s="153">
        <f t="shared" si="12"/>
        <v>44970</v>
      </c>
      <c r="C64" s="138">
        <f t="shared" si="21"/>
        <v>37.6</v>
      </c>
      <c r="D64" s="84"/>
      <c r="E64" s="84">
        <v>37.6</v>
      </c>
      <c r="F64" s="84"/>
      <c r="G64" s="84"/>
      <c r="H64" s="84"/>
      <c r="I64" s="84"/>
      <c r="J64" s="84"/>
      <c r="K64" s="84"/>
      <c r="L64" s="140">
        <f t="shared" si="22"/>
        <v>8.6</v>
      </c>
      <c r="M64" s="141"/>
      <c r="N64" s="141">
        <v>8.5500000000000007</v>
      </c>
      <c r="O64" s="141"/>
      <c r="P64" s="141"/>
      <c r="Q64" s="86"/>
      <c r="R64" s="86"/>
      <c r="S64" s="86"/>
      <c r="T64" s="86"/>
      <c r="U64" s="142">
        <f t="shared" si="23"/>
        <v>1024</v>
      </c>
      <c r="V64" s="88"/>
      <c r="W64" s="88">
        <v>1024</v>
      </c>
      <c r="X64" s="88"/>
      <c r="Y64" s="88"/>
      <c r="Z64" s="88"/>
      <c r="AA64" s="88"/>
      <c r="AB64" s="88"/>
      <c r="AC64" s="88"/>
      <c r="AD64" s="142" t="str">
        <f t="shared" si="24"/>
        <v/>
      </c>
      <c r="AE64" s="88"/>
      <c r="AF64" s="88"/>
      <c r="AG64" s="88"/>
      <c r="AH64" s="88"/>
      <c r="AI64" s="88"/>
      <c r="AJ64" s="88"/>
      <c r="AK64" s="88"/>
      <c r="AL64" s="88"/>
      <c r="AM64" s="143">
        <v>67.689660117596446</v>
      </c>
      <c r="AN64" s="88">
        <v>69.73</v>
      </c>
      <c r="AO64" s="89">
        <v>21.2</v>
      </c>
      <c r="AP64" s="90">
        <v>16.7056</v>
      </c>
      <c r="AQ64" s="146">
        <f t="shared" si="25"/>
        <v>78.8</v>
      </c>
      <c r="AR64" s="146">
        <f t="shared" si="26"/>
        <v>21.200000000000003</v>
      </c>
      <c r="AS64" s="147">
        <v>20</v>
      </c>
      <c r="AT64" s="148">
        <v>14</v>
      </c>
      <c r="AU64" s="149">
        <v>8.7080000000000002</v>
      </c>
      <c r="AV64" s="146">
        <f t="shared" si="27"/>
        <v>62.2</v>
      </c>
      <c r="AW64" s="146">
        <f t="shared" si="28"/>
        <v>37.799999999999997</v>
      </c>
      <c r="AX64" s="138">
        <f t="shared" si="29"/>
        <v>55.730131872263833</v>
      </c>
      <c r="AY64" s="95">
        <v>75.900000000000006</v>
      </c>
      <c r="AZ64" s="96">
        <v>62.814999999999998</v>
      </c>
      <c r="BA64" s="96"/>
      <c r="BB64" s="96">
        <v>42</v>
      </c>
      <c r="BC64" s="96"/>
      <c r="BD64" s="97">
        <v>69.73</v>
      </c>
      <c r="BE64" s="142">
        <f t="shared" si="30"/>
        <v>6013</v>
      </c>
      <c r="BF64" s="98">
        <v>93</v>
      </c>
      <c r="BG64" s="98">
        <v>0</v>
      </c>
      <c r="BH64" s="98">
        <v>390</v>
      </c>
      <c r="BI64" s="98">
        <v>5530</v>
      </c>
      <c r="BJ64" s="98"/>
      <c r="BK64" s="98"/>
      <c r="BL64" s="97"/>
    </row>
    <row r="65" spans="1:64" outlineLevel="5" x14ac:dyDescent="0.3">
      <c r="A65" s="152">
        <f t="shared" si="5"/>
        <v>2</v>
      </c>
      <c r="B65" s="153">
        <f t="shared" si="12"/>
        <v>44971</v>
      </c>
      <c r="C65" s="138">
        <f t="shared" si="21"/>
        <v>37.700000000000003</v>
      </c>
      <c r="D65" s="84"/>
      <c r="E65" s="84">
        <v>37.700000000000003</v>
      </c>
      <c r="F65" s="84"/>
      <c r="G65" s="84"/>
      <c r="H65" s="84"/>
      <c r="I65" s="84"/>
      <c r="J65" s="84"/>
      <c r="K65" s="84"/>
      <c r="L65" s="140" t="str">
        <f t="shared" si="22"/>
        <v/>
      </c>
      <c r="M65" s="141"/>
      <c r="N65" s="141"/>
      <c r="O65" s="141"/>
      <c r="P65" s="141"/>
      <c r="Q65" s="86"/>
      <c r="R65" s="86"/>
      <c r="S65" s="86"/>
      <c r="T65" s="86"/>
      <c r="U65" s="142" t="str">
        <f t="shared" si="23"/>
        <v/>
      </c>
      <c r="V65" s="88"/>
      <c r="W65" s="88"/>
      <c r="X65" s="88"/>
      <c r="Y65" s="88"/>
      <c r="Z65" s="88"/>
      <c r="AA65" s="88"/>
      <c r="AB65" s="88"/>
      <c r="AC65" s="88"/>
      <c r="AD65" s="142" t="str">
        <f t="shared" si="24"/>
        <v/>
      </c>
      <c r="AE65" s="88"/>
      <c r="AF65" s="88"/>
      <c r="AG65" s="88"/>
      <c r="AH65" s="88"/>
      <c r="AI65" s="88"/>
      <c r="AJ65" s="88"/>
      <c r="AK65" s="88"/>
      <c r="AL65" s="88"/>
      <c r="AM65" s="143">
        <v>72.861994442729241</v>
      </c>
      <c r="AN65" s="88">
        <v>64.78</v>
      </c>
      <c r="AO65" s="89"/>
      <c r="AP65" s="90"/>
      <c r="AQ65" s="146" t="str">
        <f t="shared" si="25"/>
        <v/>
      </c>
      <c r="AR65" s="146" t="str">
        <f t="shared" si="26"/>
        <v/>
      </c>
      <c r="AS65" s="147">
        <v>15</v>
      </c>
      <c r="AT65" s="148"/>
      <c r="AU65" s="149"/>
      <c r="AV65" s="146" t="str">
        <f t="shared" si="27"/>
        <v/>
      </c>
      <c r="AW65" s="146" t="str">
        <f t="shared" si="28"/>
        <v/>
      </c>
      <c r="AX65" s="138" t="str">
        <f t="shared" si="29"/>
        <v/>
      </c>
      <c r="AY65" s="95"/>
      <c r="AZ65" s="96">
        <v>64.699999999999989</v>
      </c>
      <c r="BA65" s="96"/>
      <c r="BB65" s="96">
        <v>42</v>
      </c>
      <c r="BC65" s="96"/>
      <c r="BD65" s="97">
        <v>64.78</v>
      </c>
      <c r="BE65" s="142">
        <f t="shared" si="30"/>
        <v>4839</v>
      </c>
      <c r="BF65" s="98">
        <v>389</v>
      </c>
      <c r="BG65" s="98">
        <v>0</v>
      </c>
      <c r="BH65" s="98">
        <v>0</v>
      </c>
      <c r="BI65" s="98">
        <v>4450</v>
      </c>
      <c r="BJ65" s="98"/>
      <c r="BK65" s="98"/>
      <c r="BL65" s="97"/>
    </row>
    <row r="66" spans="1:64" outlineLevel="5" x14ac:dyDescent="0.3">
      <c r="A66" s="152">
        <f t="shared" si="5"/>
        <v>2</v>
      </c>
      <c r="B66" s="153">
        <f t="shared" si="12"/>
        <v>44972</v>
      </c>
      <c r="C66" s="138">
        <f t="shared" si="21"/>
        <v>39.5</v>
      </c>
      <c r="D66" s="84"/>
      <c r="E66" s="84">
        <v>39.5</v>
      </c>
      <c r="F66" s="84"/>
      <c r="G66" s="84"/>
      <c r="H66" s="84"/>
      <c r="I66" s="84"/>
      <c r="J66" s="84"/>
      <c r="K66" s="84"/>
      <c r="L66" s="140">
        <f t="shared" si="22"/>
        <v>8.6999999999999993</v>
      </c>
      <c r="M66" s="141"/>
      <c r="N66" s="141">
        <v>8.66</v>
      </c>
      <c r="O66" s="141"/>
      <c r="P66" s="141"/>
      <c r="Q66" s="86"/>
      <c r="R66" s="86"/>
      <c r="S66" s="86"/>
      <c r="T66" s="86"/>
      <c r="U66" s="142">
        <f t="shared" si="23"/>
        <v>1118</v>
      </c>
      <c r="V66" s="88"/>
      <c r="W66" s="88">
        <v>1118</v>
      </c>
      <c r="X66" s="88"/>
      <c r="Y66" s="88"/>
      <c r="Z66" s="88"/>
      <c r="AA66" s="88"/>
      <c r="AB66" s="88"/>
      <c r="AC66" s="88"/>
      <c r="AD66" s="142">
        <f t="shared" si="24"/>
        <v>9900</v>
      </c>
      <c r="AE66" s="88"/>
      <c r="AF66" s="88">
        <v>9900</v>
      </c>
      <c r="AG66" s="88"/>
      <c r="AH66" s="88"/>
      <c r="AI66" s="88"/>
      <c r="AJ66" s="88"/>
      <c r="AK66" s="88"/>
      <c r="AL66" s="88"/>
      <c r="AM66" s="143">
        <v>56.587939096031654</v>
      </c>
      <c r="AN66" s="88">
        <v>83.41</v>
      </c>
      <c r="AO66" s="89"/>
      <c r="AP66" s="90"/>
      <c r="AQ66" s="146" t="str">
        <f t="shared" si="25"/>
        <v/>
      </c>
      <c r="AR66" s="146" t="str">
        <f t="shared" si="26"/>
        <v/>
      </c>
      <c r="AS66" s="147">
        <v>40</v>
      </c>
      <c r="AT66" s="148">
        <v>14.2</v>
      </c>
      <c r="AU66" s="149">
        <v>8.4489999999999998</v>
      </c>
      <c r="AV66" s="146">
        <f t="shared" si="27"/>
        <v>59.5</v>
      </c>
      <c r="AW66" s="146">
        <f t="shared" si="28"/>
        <v>40.5</v>
      </c>
      <c r="AX66" s="138" t="str">
        <f t="shared" si="29"/>
        <v/>
      </c>
      <c r="AY66" s="95">
        <v>75.7</v>
      </c>
      <c r="AZ66" s="96">
        <v>60.534999999999997</v>
      </c>
      <c r="BA66" s="96"/>
      <c r="BB66" s="96">
        <v>58</v>
      </c>
      <c r="BC66" s="96"/>
      <c r="BD66" s="97">
        <v>83.41</v>
      </c>
      <c r="BE66" s="142">
        <f t="shared" si="30"/>
        <v>7692</v>
      </c>
      <c r="BF66" s="98">
        <v>91</v>
      </c>
      <c r="BG66" s="98">
        <v>0</v>
      </c>
      <c r="BH66" s="98">
        <v>1788</v>
      </c>
      <c r="BI66" s="98">
        <v>5813</v>
      </c>
      <c r="BJ66" s="98"/>
      <c r="BK66" s="98"/>
      <c r="BL66" s="97"/>
    </row>
    <row r="67" spans="1:64" outlineLevel="5" x14ac:dyDescent="0.3">
      <c r="A67" s="152">
        <f t="shared" si="5"/>
        <v>2</v>
      </c>
      <c r="B67" s="153">
        <f t="shared" si="12"/>
        <v>44973</v>
      </c>
      <c r="C67" s="138">
        <f t="shared" si="21"/>
        <v>40</v>
      </c>
      <c r="D67" s="84"/>
      <c r="E67" s="84">
        <v>40</v>
      </c>
      <c r="F67" s="84"/>
      <c r="G67" s="84"/>
      <c r="H67" s="84"/>
      <c r="I67" s="84"/>
      <c r="J67" s="84"/>
      <c r="K67" s="84"/>
      <c r="L67" s="140" t="str">
        <f t="shared" si="22"/>
        <v/>
      </c>
      <c r="M67" s="141"/>
      <c r="N67" s="141"/>
      <c r="O67" s="141"/>
      <c r="P67" s="141"/>
      <c r="Q67" s="86"/>
      <c r="R67" s="86"/>
      <c r="S67" s="86"/>
      <c r="T67" s="86"/>
      <c r="U67" s="142" t="str">
        <f t="shared" si="23"/>
        <v/>
      </c>
      <c r="V67" s="88"/>
      <c r="W67" s="88"/>
      <c r="X67" s="88"/>
      <c r="Y67" s="88"/>
      <c r="Z67" s="88"/>
      <c r="AA67" s="88"/>
      <c r="AB67" s="88"/>
      <c r="AC67" s="88"/>
      <c r="AD67" s="142" t="str">
        <f t="shared" si="24"/>
        <v/>
      </c>
      <c r="AE67" s="88"/>
      <c r="AF67" s="88"/>
      <c r="AG67" s="88"/>
      <c r="AH67" s="88"/>
      <c r="AI67" s="88"/>
      <c r="AJ67" s="88"/>
      <c r="AK67" s="88"/>
      <c r="AL67" s="88"/>
      <c r="AM67" s="143">
        <v>71.245283018867923</v>
      </c>
      <c r="AN67" s="88">
        <v>66.25</v>
      </c>
      <c r="AO67" s="89"/>
      <c r="AP67" s="90"/>
      <c r="AQ67" s="146" t="str">
        <f t="shared" si="25"/>
        <v/>
      </c>
      <c r="AR67" s="146" t="str">
        <f t="shared" si="26"/>
        <v/>
      </c>
      <c r="AS67" s="147">
        <v>20</v>
      </c>
      <c r="AT67" s="148"/>
      <c r="AU67" s="149"/>
      <c r="AV67" s="146" t="str">
        <f t="shared" si="27"/>
        <v/>
      </c>
      <c r="AW67" s="146" t="str">
        <f t="shared" si="28"/>
        <v/>
      </c>
      <c r="AX67" s="138" t="str">
        <f t="shared" si="29"/>
        <v/>
      </c>
      <c r="AY67" s="95"/>
      <c r="AZ67" s="96"/>
      <c r="BA67" s="96"/>
      <c r="BB67" s="96"/>
      <c r="BC67" s="96"/>
      <c r="BD67" s="97">
        <v>66.25</v>
      </c>
      <c r="BE67" s="142">
        <f t="shared" si="30"/>
        <v>7914</v>
      </c>
      <c r="BF67" s="98">
        <v>0</v>
      </c>
      <c r="BG67" s="98">
        <v>0</v>
      </c>
      <c r="BH67" s="98">
        <v>2068</v>
      </c>
      <c r="BI67" s="98">
        <v>5846</v>
      </c>
      <c r="BJ67" s="98"/>
      <c r="BK67" s="98"/>
      <c r="BL67" s="97"/>
    </row>
    <row r="68" spans="1:64" outlineLevel="5" x14ac:dyDescent="0.3">
      <c r="A68" s="152">
        <f t="shared" si="5"/>
        <v>2</v>
      </c>
      <c r="B68" s="153">
        <f t="shared" si="12"/>
        <v>44974</v>
      </c>
      <c r="C68" s="138">
        <f t="shared" si="21"/>
        <v>37.5</v>
      </c>
      <c r="D68" s="84">
        <v>35.9</v>
      </c>
      <c r="E68" s="84">
        <v>39.1</v>
      </c>
      <c r="F68" s="84"/>
      <c r="G68" s="84"/>
      <c r="H68" s="84"/>
      <c r="I68" s="84"/>
      <c r="J68" s="84"/>
      <c r="K68" s="84"/>
      <c r="L68" s="140" t="str">
        <f t="shared" si="22"/>
        <v/>
      </c>
      <c r="M68" s="141"/>
      <c r="N68" s="141"/>
      <c r="O68" s="141"/>
      <c r="P68" s="141"/>
      <c r="Q68" s="86"/>
      <c r="R68" s="86"/>
      <c r="S68" s="86"/>
      <c r="T68" s="86"/>
      <c r="U68" s="142" t="str">
        <f t="shared" si="23"/>
        <v/>
      </c>
      <c r="V68" s="88"/>
      <c r="W68" s="88"/>
      <c r="X68" s="88"/>
      <c r="Y68" s="88"/>
      <c r="Z68" s="88"/>
      <c r="AA68" s="88"/>
      <c r="AB68" s="88"/>
      <c r="AC68" s="88"/>
      <c r="AD68" s="142" t="str">
        <f t="shared" si="24"/>
        <v/>
      </c>
      <c r="AE68" s="88"/>
      <c r="AF68" s="88"/>
      <c r="AG68" s="88"/>
      <c r="AH68" s="88"/>
      <c r="AI68" s="88"/>
      <c r="AJ68" s="88"/>
      <c r="AK68" s="88"/>
      <c r="AL68" s="88"/>
      <c r="AM68" s="143">
        <v>57.170542635658911</v>
      </c>
      <c r="AN68" s="88">
        <v>82.56</v>
      </c>
      <c r="AO68" s="89"/>
      <c r="AP68" s="90"/>
      <c r="AQ68" s="146" t="str">
        <f t="shared" si="25"/>
        <v/>
      </c>
      <c r="AR68" s="146" t="str">
        <f t="shared" si="26"/>
        <v/>
      </c>
      <c r="AS68" s="147">
        <v>23</v>
      </c>
      <c r="AT68" s="148"/>
      <c r="AU68" s="149"/>
      <c r="AV68" s="146" t="str">
        <f t="shared" si="27"/>
        <v/>
      </c>
      <c r="AW68" s="146" t="str">
        <f t="shared" si="28"/>
        <v/>
      </c>
      <c r="AX68" s="138" t="str">
        <f t="shared" si="29"/>
        <v/>
      </c>
      <c r="AY68" s="95"/>
      <c r="AZ68" s="96">
        <v>60.954999999999998</v>
      </c>
      <c r="BA68" s="96"/>
      <c r="BB68" s="96">
        <v>39</v>
      </c>
      <c r="BC68" s="96"/>
      <c r="BD68" s="97">
        <v>82.56</v>
      </c>
      <c r="BE68" s="142">
        <f t="shared" si="30"/>
        <v>9517</v>
      </c>
      <c r="BF68" s="98">
        <v>21</v>
      </c>
      <c r="BG68" s="98">
        <v>0</v>
      </c>
      <c r="BH68" s="98">
        <v>3594</v>
      </c>
      <c r="BI68" s="98">
        <v>5902</v>
      </c>
      <c r="BJ68" s="98"/>
      <c r="BK68" s="98"/>
      <c r="BL68" s="97"/>
    </row>
    <row r="69" spans="1:64" outlineLevel="5" x14ac:dyDescent="0.3">
      <c r="A69" s="152">
        <f t="shared" si="5"/>
        <v>2</v>
      </c>
      <c r="B69" s="153">
        <f t="shared" si="12"/>
        <v>44975</v>
      </c>
      <c r="C69" s="138">
        <f t="shared" si="21"/>
        <v>37.5</v>
      </c>
      <c r="D69" s="84">
        <v>37</v>
      </c>
      <c r="E69" s="84">
        <v>38</v>
      </c>
      <c r="F69" s="84"/>
      <c r="G69" s="84"/>
      <c r="H69" s="84"/>
      <c r="I69" s="84"/>
      <c r="J69" s="84"/>
      <c r="K69" s="84"/>
      <c r="L69" s="140" t="str">
        <f t="shared" si="22"/>
        <v/>
      </c>
      <c r="M69" s="141"/>
      <c r="N69" s="141"/>
      <c r="O69" s="141"/>
      <c r="P69" s="141"/>
      <c r="Q69" s="86"/>
      <c r="R69" s="86"/>
      <c r="S69" s="86"/>
      <c r="T69" s="86"/>
      <c r="U69" s="142" t="str">
        <f t="shared" si="23"/>
        <v/>
      </c>
      <c r="V69" s="88"/>
      <c r="W69" s="88"/>
      <c r="X69" s="88"/>
      <c r="Y69" s="88"/>
      <c r="Z69" s="88"/>
      <c r="AA69" s="88"/>
      <c r="AB69" s="88"/>
      <c r="AC69" s="88"/>
      <c r="AD69" s="142" t="str">
        <f t="shared" si="24"/>
        <v/>
      </c>
      <c r="AE69" s="88"/>
      <c r="AF69" s="88"/>
      <c r="AG69" s="88"/>
      <c r="AH69" s="88"/>
      <c r="AI69" s="88"/>
      <c r="AJ69" s="88"/>
      <c r="AK69" s="88"/>
      <c r="AL69" s="88"/>
      <c r="AM69" s="143">
        <v>63.41528953379013</v>
      </c>
      <c r="AN69" s="88">
        <v>74.430000000000007</v>
      </c>
      <c r="AO69" s="89"/>
      <c r="AP69" s="90"/>
      <c r="AQ69" s="146" t="str">
        <f t="shared" si="25"/>
        <v/>
      </c>
      <c r="AR69" s="146" t="str">
        <f t="shared" si="26"/>
        <v/>
      </c>
      <c r="AS69" s="147">
        <v>10</v>
      </c>
      <c r="AT69" s="148"/>
      <c r="AU69" s="149"/>
      <c r="AV69" s="146" t="str">
        <f t="shared" si="27"/>
        <v/>
      </c>
      <c r="AW69" s="146" t="str">
        <f t="shared" si="28"/>
        <v/>
      </c>
      <c r="AX69" s="138" t="str">
        <f t="shared" si="29"/>
        <v/>
      </c>
      <c r="AY69" s="95"/>
      <c r="AZ69" s="96"/>
      <c r="BA69" s="96"/>
      <c r="BB69" s="96"/>
      <c r="BC69" s="96"/>
      <c r="BD69" s="97">
        <v>74.430000000000007</v>
      </c>
      <c r="BE69" s="142">
        <f t="shared" si="30"/>
        <v>5887</v>
      </c>
      <c r="BF69" s="98">
        <v>318</v>
      </c>
      <c r="BG69" s="98">
        <v>0</v>
      </c>
      <c r="BH69" s="98">
        <v>0</v>
      </c>
      <c r="BI69" s="98">
        <v>5569</v>
      </c>
      <c r="BJ69" s="98"/>
      <c r="BK69" s="98"/>
      <c r="BL69" s="97"/>
    </row>
    <row r="70" spans="1:64" outlineLevel="5" x14ac:dyDescent="0.3">
      <c r="A70" s="152">
        <f t="shared" si="5"/>
        <v>2</v>
      </c>
      <c r="B70" s="153">
        <f t="shared" si="12"/>
        <v>44976</v>
      </c>
      <c r="C70" s="138">
        <f t="shared" si="21"/>
        <v>36.9</v>
      </c>
      <c r="D70" s="84">
        <v>36.9</v>
      </c>
      <c r="E70" s="84">
        <v>36.799999999999997</v>
      </c>
      <c r="F70" s="84"/>
      <c r="G70" s="84"/>
      <c r="H70" s="84"/>
      <c r="I70" s="84"/>
      <c r="J70" s="84"/>
      <c r="K70" s="84"/>
      <c r="L70" s="140" t="str">
        <f t="shared" si="22"/>
        <v/>
      </c>
      <c r="M70" s="141"/>
      <c r="N70" s="141"/>
      <c r="O70" s="141"/>
      <c r="P70" s="141"/>
      <c r="Q70" s="86"/>
      <c r="R70" s="86"/>
      <c r="S70" s="86"/>
      <c r="T70" s="86"/>
      <c r="U70" s="142" t="str">
        <f t="shared" si="23"/>
        <v/>
      </c>
      <c r="V70" s="88"/>
      <c r="W70" s="88"/>
      <c r="X70" s="88"/>
      <c r="Y70" s="88"/>
      <c r="Z70" s="88"/>
      <c r="AA70" s="88"/>
      <c r="AB70" s="88"/>
      <c r="AC70" s="88"/>
      <c r="AD70" s="142" t="str">
        <f t="shared" si="24"/>
        <v/>
      </c>
      <c r="AE70" s="88"/>
      <c r="AF70" s="88"/>
      <c r="AG70" s="88"/>
      <c r="AH70" s="88"/>
      <c r="AI70" s="88"/>
      <c r="AJ70" s="88"/>
      <c r="AK70" s="88"/>
      <c r="AL70" s="88"/>
      <c r="AM70" s="143">
        <v>39.333333333333336</v>
      </c>
      <c r="AN70" s="88">
        <v>120</v>
      </c>
      <c r="AO70" s="89"/>
      <c r="AP70" s="90"/>
      <c r="AQ70" s="146" t="str">
        <f t="shared" si="25"/>
        <v/>
      </c>
      <c r="AR70" s="146" t="str">
        <f t="shared" si="26"/>
        <v/>
      </c>
      <c r="AS70" s="147">
        <v>6</v>
      </c>
      <c r="AT70" s="148"/>
      <c r="AU70" s="149"/>
      <c r="AV70" s="146" t="str">
        <f t="shared" si="27"/>
        <v/>
      </c>
      <c r="AW70" s="146" t="str">
        <f t="shared" si="28"/>
        <v/>
      </c>
      <c r="AX70" s="138" t="str">
        <f t="shared" si="29"/>
        <v/>
      </c>
      <c r="AY70" s="95"/>
      <c r="AZ70" s="96"/>
      <c r="BA70" s="96"/>
      <c r="BB70" s="96"/>
      <c r="BC70" s="96"/>
      <c r="BD70" s="97">
        <v>120</v>
      </c>
      <c r="BE70" s="142">
        <f t="shared" si="30"/>
        <v>5983</v>
      </c>
      <c r="BF70" s="98">
        <v>304</v>
      </c>
      <c r="BG70" s="98">
        <v>0</v>
      </c>
      <c r="BH70" s="98">
        <v>0</v>
      </c>
      <c r="BI70" s="98">
        <v>5679</v>
      </c>
      <c r="BJ70" s="98"/>
      <c r="BK70" s="98"/>
      <c r="BL70" s="97"/>
    </row>
    <row r="71" spans="1:64" outlineLevel="5" x14ac:dyDescent="0.3">
      <c r="A71" s="152">
        <f t="shared" si="5"/>
        <v>2</v>
      </c>
      <c r="B71" s="153">
        <f t="shared" si="12"/>
        <v>44977</v>
      </c>
      <c r="C71" s="138">
        <f t="shared" si="21"/>
        <v>39</v>
      </c>
      <c r="D71" s="84">
        <v>39.200000000000003</v>
      </c>
      <c r="E71" s="84">
        <v>38.700000000000003</v>
      </c>
      <c r="F71" s="84"/>
      <c r="G71" s="84"/>
      <c r="H71" s="84"/>
      <c r="I71" s="84"/>
      <c r="J71" s="84"/>
      <c r="K71" s="84"/>
      <c r="L71" s="140">
        <f t="shared" si="22"/>
        <v>8.6</v>
      </c>
      <c r="M71" s="141">
        <v>8.57</v>
      </c>
      <c r="N71" s="141">
        <v>8.6300000000000008</v>
      </c>
      <c r="O71" s="141"/>
      <c r="P71" s="141"/>
      <c r="Q71" s="86"/>
      <c r="R71" s="86"/>
      <c r="S71" s="86"/>
      <c r="T71" s="86"/>
      <c r="U71" s="142">
        <f t="shared" si="23"/>
        <v>1058</v>
      </c>
      <c r="V71" s="88">
        <v>1092</v>
      </c>
      <c r="W71" s="88">
        <v>1024</v>
      </c>
      <c r="X71" s="88"/>
      <c r="Y71" s="88"/>
      <c r="Z71" s="88"/>
      <c r="AA71" s="88"/>
      <c r="AB71" s="88"/>
      <c r="AC71" s="88"/>
      <c r="AD71" s="142" t="str">
        <f t="shared" si="24"/>
        <v/>
      </c>
      <c r="AE71" s="88"/>
      <c r="AF71" s="88"/>
      <c r="AG71" s="88"/>
      <c r="AH71" s="88"/>
      <c r="AI71" s="88"/>
      <c r="AJ71" s="88"/>
      <c r="AK71" s="88"/>
      <c r="AL71" s="88"/>
      <c r="AM71" s="143">
        <v>83.821701296394949</v>
      </c>
      <c r="AN71" s="88">
        <v>56.31</v>
      </c>
      <c r="AO71" s="89">
        <v>21.5</v>
      </c>
      <c r="AP71" s="90">
        <v>16.898999999999997</v>
      </c>
      <c r="AQ71" s="146">
        <f t="shared" si="25"/>
        <v>78.599999999999994</v>
      </c>
      <c r="AR71" s="146">
        <f t="shared" si="26"/>
        <v>21.400000000000006</v>
      </c>
      <c r="AS71" s="147">
        <v>20</v>
      </c>
      <c r="AT71" s="148">
        <v>15.15</v>
      </c>
      <c r="AU71" s="149">
        <v>9.7233000000000018</v>
      </c>
      <c r="AV71" s="146">
        <f t="shared" si="27"/>
        <v>64.180198019801992</v>
      </c>
      <c r="AW71" s="146">
        <f t="shared" si="28"/>
        <v>35.819801980198008</v>
      </c>
      <c r="AX71" s="138">
        <f t="shared" si="29"/>
        <v>51.216933181806567</v>
      </c>
      <c r="AY71" s="95">
        <v>75.45</v>
      </c>
      <c r="AZ71" s="96">
        <v>64.335000000000008</v>
      </c>
      <c r="BA71" s="96"/>
      <c r="BB71" s="96">
        <v>55</v>
      </c>
      <c r="BC71" s="96"/>
      <c r="BD71" s="97">
        <v>56.31</v>
      </c>
      <c r="BE71" s="142">
        <f t="shared" si="30"/>
        <v>6328</v>
      </c>
      <c r="BF71" s="98">
        <v>58</v>
      </c>
      <c r="BG71" s="98">
        <v>0</v>
      </c>
      <c r="BH71" s="98">
        <v>921</v>
      </c>
      <c r="BI71" s="98">
        <v>5349</v>
      </c>
      <c r="BJ71" s="98"/>
      <c r="BK71" s="98"/>
      <c r="BL71" s="97"/>
    </row>
    <row r="72" spans="1:64" outlineLevel="5" x14ac:dyDescent="0.3">
      <c r="A72" s="152">
        <f t="shared" si="5"/>
        <v>2</v>
      </c>
      <c r="B72" s="153">
        <f t="shared" si="12"/>
        <v>44978</v>
      </c>
      <c r="C72" s="138">
        <f t="shared" si="21"/>
        <v>38.4</v>
      </c>
      <c r="D72" s="84">
        <v>38.5</v>
      </c>
      <c r="E72" s="84">
        <v>38.200000000000003</v>
      </c>
      <c r="F72" s="84"/>
      <c r="G72" s="84"/>
      <c r="H72" s="84"/>
      <c r="I72" s="84"/>
      <c r="J72" s="84"/>
      <c r="K72" s="84"/>
      <c r="L72" s="140" t="str">
        <f t="shared" si="22"/>
        <v/>
      </c>
      <c r="M72" s="141"/>
      <c r="N72" s="141"/>
      <c r="O72" s="141"/>
      <c r="P72" s="141"/>
      <c r="Q72" s="86"/>
      <c r="R72" s="86"/>
      <c r="S72" s="86"/>
      <c r="T72" s="86"/>
      <c r="U72" s="142" t="str">
        <f t="shared" si="23"/>
        <v/>
      </c>
      <c r="V72" s="88"/>
      <c r="W72" s="88"/>
      <c r="X72" s="88"/>
      <c r="Y72" s="88"/>
      <c r="Z72" s="88"/>
      <c r="AA72" s="88"/>
      <c r="AB72" s="88"/>
      <c r="AC72" s="88"/>
      <c r="AD72" s="142" t="str">
        <f t="shared" si="24"/>
        <v/>
      </c>
      <c r="AE72" s="88"/>
      <c r="AF72" s="88"/>
      <c r="AG72" s="88"/>
      <c r="AH72" s="88"/>
      <c r="AI72" s="88"/>
      <c r="AJ72" s="88"/>
      <c r="AK72" s="88"/>
      <c r="AL72" s="88"/>
      <c r="AM72" s="143">
        <v>87.10094113305037</v>
      </c>
      <c r="AN72" s="88">
        <v>54.190000000000005</v>
      </c>
      <c r="AO72" s="89"/>
      <c r="AP72" s="90"/>
      <c r="AQ72" s="146" t="str">
        <f t="shared" si="25"/>
        <v/>
      </c>
      <c r="AR72" s="146" t="str">
        <f t="shared" si="26"/>
        <v/>
      </c>
      <c r="AS72" s="147">
        <v>20</v>
      </c>
      <c r="AT72" s="148"/>
      <c r="AU72" s="149"/>
      <c r="AV72" s="146" t="str">
        <f t="shared" si="27"/>
        <v/>
      </c>
      <c r="AW72" s="146" t="str">
        <f t="shared" si="28"/>
        <v/>
      </c>
      <c r="AX72" s="138" t="str">
        <f t="shared" si="29"/>
        <v/>
      </c>
      <c r="AY72" s="95"/>
      <c r="AZ72" s="96">
        <v>63.53</v>
      </c>
      <c r="BA72" s="96"/>
      <c r="BB72" s="96">
        <v>54.5</v>
      </c>
      <c r="BC72" s="96"/>
      <c r="BD72" s="97">
        <v>54.190000000000005</v>
      </c>
      <c r="BE72" s="142">
        <f t="shared" si="30"/>
        <v>6636</v>
      </c>
      <c r="BF72" s="98">
        <v>0</v>
      </c>
      <c r="BG72" s="98">
        <v>0</v>
      </c>
      <c r="BH72" s="98">
        <v>1122</v>
      </c>
      <c r="BI72" s="98">
        <v>5514</v>
      </c>
      <c r="BJ72" s="98"/>
      <c r="BK72" s="98"/>
      <c r="BL72" s="97"/>
    </row>
    <row r="73" spans="1:64" outlineLevel="5" x14ac:dyDescent="0.3">
      <c r="A73" s="152">
        <f t="shared" si="5"/>
        <v>2</v>
      </c>
      <c r="B73" s="153">
        <f t="shared" si="12"/>
        <v>44979</v>
      </c>
      <c r="C73" s="138">
        <f t="shared" si="21"/>
        <v>38.700000000000003</v>
      </c>
      <c r="D73" s="84">
        <v>39</v>
      </c>
      <c r="E73" s="84">
        <v>38.4</v>
      </c>
      <c r="F73" s="84"/>
      <c r="G73" s="84"/>
      <c r="H73" s="84"/>
      <c r="I73" s="84"/>
      <c r="J73" s="84"/>
      <c r="K73" s="84"/>
      <c r="L73" s="140">
        <f t="shared" si="22"/>
        <v>8.6</v>
      </c>
      <c r="M73" s="141">
        <v>8.6</v>
      </c>
      <c r="N73" s="141">
        <v>8.66</v>
      </c>
      <c r="O73" s="141"/>
      <c r="P73" s="141"/>
      <c r="Q73" s="86"/>
      <c r="R73" s="86"/>
      <c r="S73" s="86"/>
      <c r="T73" s="86"/>
      <c r="U73" s="142">
        <f t="shared" si="23"/>
        <v>1002.5</v>
      </c>
      <c r="V73" s="88">
        <v>1049</v>
      </c>
      <c r="W73" s="88">
        <v>956</v>
      </c>
      <c r="X73" s="88"/>
      <c r="Y73" s="88"/>
      <c r="Z73" s="88"/>
      <c r="AA73" s="88"/>
      <c r="AB73" s="88"/>
      <c r="AC73" s="88"/>
      <c r="AD73" s="142">
        <f t="shared" si="24"/>
        <v>9695</v>
      </c>
      <c r="AE73" s="88">
        <v>9780</v>
      </c>
      <c r="AF73" s="88">
        <v>9610</v>
      </c>
      <c r="AG73" s="88"/>
      <c r="AH73" s="88"/>
      <c r="AI73" s="88"/>
      <c r="AJ73" s="88"/>
      <c r="AK73" s="88"/>
      <c r="AL73" s="88"/>
      <c r="AM73" s="143">
        <v>68.604651162790702</v>
      </c>
      <c r="AN73" s="88">
        <v>68.8</v>
      </c>
      <c r="AO73" s="89"/>
      <c r="AP73" s="90"/>
      <c r="AQ73" s="146" t="str">
        <f t="shared" si="25"/>
        <v/>
      </c>
      <c r="AR73" s="146" t="str">
        <f t="shared" si="26"/>
        <v/>
      </c>
      <c r="AS73" s="147">
        <v>25</v>
      </c>
      <c r="AT73" s="148">
        <v>15.05</v>
      </c>
      <c r="AU73" s="149">
        <v>10.064450000000001</v>
      </c>
      <c r="AV73" s="146">
        <f t="shared" si="27"/>
        <v>66.873421926910311</v>
      </c>
      <c r="AW73" s="146">
        <f t="shared" si="28"/>
        <v>33.126578073089689</v>
      </c>
      <c r="AX73" s="138" t="str">
        <f t="shared" si="29"/>
        <v/>
      </c>
      <c r="AY73" s="95">
        <v>75.599999999999994</v>
      </c>
      <c r="AZ73" s="96">
        <v>62.239999999999995</v>
      </c>
      <c r="BA73" s="96"/>
      <c r="BB73" s="96">
        <v>56.5</v>
      </c>
      <c r="BC73" s="96"/>
      <c r="BD73" s="97">
        <v>68.8</v>
      </c>
      <c r="BE73" s="142">
        <f t="shared" si="30"/>
        <v>5812</v>
      </c>
      <c r="BF73" s="98">
        <v>22</v>
      </c>
      <c r="BG73" s="98">
        <v>0</v>
      </c>
      <c r="BH73" s="98">
        <v>0</v>
      </c>
      <c r="BI73" s="98">
        <v>5790</v>
      </c>
      <c r="BJ73" s="98"/>
      <c r="BK73" s="98"/>
      <c r="BL73" s="97"/>
    </row>
    <row r="74" spans="1:64" outlineLevel="5" x14ac:dyDescent="0.3">
      <c r="A74" s="152">
        <f t="shared" si="5"/>
        <v>2</v>
      </c>
      <c r="B74" s="153">
        <f t="shared" si="12"/>
        <v>44980</v>
      </c>
      <c r="C74" s="138">
        <f t="shared" si="21"/>
        <v>37.4</v>
      </c>
      <c r="D74" s="84">
        <v>37.5</v>
      </c>
      <c r="E74" s="84">
        <v>37.200000000000003</v>
      </c>
      <c r="F74" s="84"/>
      <c r="G74" s="84"/>
      <c r="H74" s="84"/>
      <c r="I74" s="84"/>
      <c r="J74" s="84"/>
      <c r="K74" s="84"/>
      <c r="L74" s="140">
        <f t="shared" si="22"/>
        <v>8.6</v>
      </c>
      <c r="M74" s="141">
        <v>8.6199999999999992</v>
      </c>
      <c r="N74" s="141">
        <v>8.66</v>
      </c>
      <c r="O74" s="141"/>
      <c r="P74" s="141"/>
      <c r="Q74" s="86"/>
      <c r="R74" s="86"/>
      <c r="S74" s="86"/>
      <c r="T74" s="86"/>
      <c r="U74" s="142">
        <f t="shared" si="23"/>
        <v>1067</v>
      </c>
      <c r="V74" s="88">
        <v>1121</v>
      </c>
      <c r="W74" s="88">
        <v>1013</v>
      </c>
      <c r="X74" s="88"/>
      <c r="Y74" s="88"/>
      <c r="Z74" s="88"/>
      <c r="AA74" s="88"/>
      <c r="AB74" s="88"/>
      <c r="AC74" s="88"/>
      <c r="AD74" s="142" t="str">
        <f t="shared" si="24"/>
        <v/>
      </c>
      <c r="AE74" s="88"/>
      <c r="AF74" s="88"/>
      <c r="AG74" s="88"/>
      <c r="AH74" s="88"/>
      <c r="AI74" s="88"/>
      <c r="AJ74" s="88"/>
      <c r="AK74" s="88"/>
      <c r="AL74" s="88"/>
      <c r="AM74" s="143">
        <v>64.507311739784058</v>
      </c>
      <c r="AN74" s="88">
        <v>73.17</v>
      </c>
      <c r="AO74" s="89"/>
      <c r="AP74" s="90"/>
      <c r="AQ74" s="146" t="str">
        <f t="shared" si="25"/>
        <v/>
      </c>
      <c r="AR74" s="146" t="str">
        <f t="shared" si="26"/>
        <v/>
      </c>
      <c r="AS74" s="147">
        <v>20</v>
      </c>
      <c r="AT74" s="148">
        <v>13.25</v>
      </c>
      <c r="AU74" s="149">
        <v>7.8556000000000008</v>
      </c>
      <c r="AV74" s="146">
        <f t="shared" si="27"/>
        <v>59.287547169811326</v>
      </c>
      <c r="AW74" s="146">
        <f t="shared" si="28"/>
        <v>40.712452830188674</v>
      </c>
      <c r="AX74" s="138" t="str">
        <f t="shared" si="29"/>
        <v/>
      </c>
      <c r="AY74" s="95">
        <v>75.849999999999994</v>
      </c>
      <c r="AZ74" s="96">
        <v>59.385000000000005</v>
      </c>
      <c r="BA74" s="96"/>
      <c r="BB74" s="96">
        <v>62.5</v>
      </c>
      <c r="BC74" s="96"/>
      <c r="BD74" s="97">
        <v>73.17</v>
      </c>
      <c r="BE74" s="142">
        <f t="shared" si="30"/>
        <v>5765</v>
      </c>
      <c r="BF74" s="98">
        <v>0</v>
      </c>
      <c r="BG74" s="98">
        <v>0</v>
      </c>
      <c r="BH74" s="98">
        <v>0</v>
      </c>
      <c r="BI74" s="98">
        <v>5765</v>
      </c>
      <c r="BJ74" s="98"/>
      <c r="BK74" s="98"/>
      <c r="BL74" s="97"/>
    </row>
    <row r="75" spans="1:64" outlineLevel="5" x14ac:dyDescent="0.3">
      <c r="A75" s="152">
        <f t="shared" si="5"/>
        <v>2</v>
      </c>
      <c r="B75" s="153">
        <f t="shared" si="12"/>
        <v>44981</v>
      </c>
      <c r="C75" s="138">
        <f t="shared" si="21"/>
        <v>37.299999999999997</v>
      </c>
      <c r="D75" s="84">
        <v>37.799999999999997</v>
      </c>
      <c r="E75" s="84">
        <v>36.700000000000003</v>
      </c>
      <c r="F75" s="84"/>
      <c r="G75" s="84"/>
      <c r="H75" s="84"/>
      <c r="I75" s="84"/>
      <c r="J75" s="84"/>
      <c r="K75" s="84"/>
      <c r="L75" s="140" t="str">
        <f t="shared" si="22"/>
        <v/>
      </c>
      <c r="M75" s="141"/>
      <c r="N75" s="141"/>
      <c r="O75" s="141"/>
      <c r="P75" s="141"/>
      <c r="Q75" s="86"/>
      <c r="R75" s="86"/>
      <c r="S75" s="86"/>
      <c r="T75" s="86"/>
      <c r="U75" s="142" t="str">
        <f t="shared" si="23"/>
        <v/>
      </c>
      <c r="V75" s="88"/>
      <c r="W75" s="88"/>
      <c r="X75" s="88"/>
      <c r="Y75" s="88"/>
      <c r="Z75" s="88"/>
      <c r="AA75" s="88"/>
      <c r="AB75" s="88"/>
      <c r="AC75" s="88"/>
      <c r="AD75" s="142" t="str">
        <f t="shared" si="24"/>
        <v/>
      </c>
      <c r="AE75" s="88"/>
      <c r="AF75" s="88"/>
      <c r="AG75" s="88"/>
      <c r="AH75" s="88"/>
      <c r="AI75" s="88"/>
      <c r="AJ75" s="88"/>
      <c r="AK75" s="88"/>
      <c r="AL75" s="88"/>
      <c r="AM75" s="143">
        <v>70.300863866547516</v>
      </c>
      <c r="AN75" s="88">
        <v>67.14</v>
      </c>
      <c r="AO75" s="89"/>
      <c r="AP75" s="90"/>
      <c r="AQ75" s="146" t="str">
        <f t="shared" si="25"/>
        <v/>
      </c>
      <c r="AR75" s="146" t="str">
        <f t="shared" si="26"/>
        <v/>
      </c>
      <c r="AS75" s="147">
        <v>20</v>
      </c>
      <c r="AT75" s="148"/>
      <c r="AU75" s="149"/>
      <c r="AV75" s="146" t="str">
        <f t="shared" si="27"/>
        <v/>
      </c>
      <c r="AW75" s="146" t="str">
        <f t="shared" si="28"/>
        <v/>
      </c>
      <c r="AX75" s="138" t="str">
        <f t="shared" si="29"/>
        <v/>
      </c>
      <c r="AY75" s="95"/>
      <c r="AZ75" s="96">
        <v>61.004999999999995</v>
      </c>
      <c r="BA75" s="96"/>
      <c r="BB75" s="96">
        <v>43.5</v>
      </c>
      <c r="BC75" s="96"/>
      <c r="BD75" s="97">
        <v>67.14</v>
      </c>
      <c r="BE75" s="142">
        <f t="shared" si="30"/>
        <v>5855</v>
      </c>
      <c r="BF75" s="98">
        <v>60</v>
      </c>
      <c r="BG75" s="98">
        <v>0</v>
      </c>
      <c r="BH75" s="98">
        <v>1</v>
      </c>
      <c r="BI75" s="98">
        <v>5794</v>
      </c>
      <c r="BJ75" s="98"/>
      <c r="BK75" s="98"/>
      <c r="BL75" s="97"/>
    </row>
    <row r="76" spans="1:64" outlineLevel="5" x14ac:dyDescent="0.3">
      <c r="A76" s="152">
        <f t="shared" si="5"/>
        <v>2</v>
      </c>
      <c r="B76" s="153">
        <f t="shared" si="12"/>
        <v>44982</v>
      </c>
      <c r="C76" s="138">
        <f t="shared" si="21"/>
        <v>37.299999999999997</v>
      </c>
      <c r="D76" s="84">
        <v>37.5</v>
      </c>
      <c r="E76" s="84">
        <v>37</v>
      </c>
      <c r="F76" s="84"/>
      <c r="G76" s="84"/>
      <c r="H76" s="84"/>
      <c r="I76" s="84"/>
      <c r="J76" s="84"/>
      <c r="K76" s="84"/>
      <c r="L76" s="140" t="str">
        <f t="shared" si="22"/>
        <v/>
      </c>
      <c r="M76" s="141"/>
      <c r="N76" s="141"/>
      <c r="O76" s="141"/>
      <c r="P76" s="141"/>
      <c r="Q76" s="86"/>
      <c r="R76" s="86"/>
      <c r="S76" s="86"/>
      <c r="T76" s="86"/>
      <c r="U76" s="142" t="str">
        <f t="shared" si="23"/>
        <v/>
      </c>
      <c r="V76" s="88"/>
      <c r="W76" s="88"/>
      <c r="X76" s="88"/>
      <c r="Y76" s="88"/>
      <c r="Z76" s="88"/>
      <c r="AA76" s="88"/>
      <c r="AB76" s="88"/>
      <c r="AC76" s="88"/>
      <c r="AD76" s="142" t="str">
        <f t="shared" si="24"/>
        <v/>
      </c>
      <c r="AE76" s="88"/>
      <c r="AF76" s="88"/>
      <c r="AG76" s="88"/>
      <c r="AH76" s="88"/>
      <c r="AI76" s="88"/>
      <c r="AJ76" s="88"/>
      <c r="AK76" s="88"/>
      <c r="AL76" s="88"/>
      <c r="AM76" s="143">
        <v>73.04240173320953</v>
      </c>
      <c r="AN76" s="88">
        <v>64.62</v>
      </c>
      <c r="AO76" s="89"/>
      <c r="AP76" s="90"/>
      <c r="AQ76" s="146" t="str">
        <f t="shared" si="25"/>
        <v/>
      </c>
      <c r="AR76" s="146" t="str">
        <f t="shared" si="26"/>
        <v/>
      </c>
      <c r="AS76" s="147">
        <v>10</v>
      </c>
      <c r="AT76" s="148"/>
      <c r="AU76" s="149"/>
      <c r="AV76" s="146" t="str">
        <f t="shared" si="27"/>
        <v/>
      </c>
      <c r="AW76" s="146" t="str">
        <f t="shared" si="28"/>
        <v/>
      </c>
      <c r="AX76" s="138" t="str">
        <f t="shared" si="29"/>
        <v/>
      </c>
      <c r="AY76" s="95"/>
      <c r="AZ76" s="96"/>
      <c r="BA76" s="96"/>
      <c r="BB76" s="96"/>
      <c r="BC76" s="96"/>
      <c r="BD76" s="97">
        <v>64.62</v>
      </c>
      <c r="BE76" s="142">
        <f t="shared" si="30"/>
        <v>5693</v>
      </c>
      <c r="BF76" s="98">
        <v>108</v>
      </c>
      <c r="BG76" s="98">
        <v>0</v>
      </c>
      <c r="BH76" s="98">
        <v>0</v>
      </c>
      <c r="BI76" s="98">
        <v>5585</v>
      </c>
      <c r="BJ76" s="98"/>
      <c r="BK76" s="98"/>
      <c r="BL76" s="97"/>
    </row>
    <row r="77" spans="1:64" outlineLevel="5" x14ac:dyDescent="0.3">
      <c r="A77" s="152">
        <f t="shared" si="5"/>
        <v>2</v>
      </c>
      <c r="B77" s="153">
        <f t="shared" si="12"/>
        <v>44983</v>
      </c>
      <c r="C77" s="138">
        <f t="shared" si="21"/>
        <v>37.200000000000003</v>
      </c>
      <c r="D77" s="84">
        <v>37.299999999999997</v>
      </c>
      <c r="E77" s="84">
        <v>37.1</v>
      </c>
      <c r="F77" s="84"/>
      <c r="G77" s="84"/>
      <c r="H77" s="84"/>
      <c r="I77" s="84"/>
      <c r="J77" s="84"/>
      <c r="K77" s="84"/>
      <c r="L77" s="140" t="str">
        <f t="shared" si="22"/>
        <v/>
      </c>
      <c r="M77" s="141"/>
      <c r="N77" s="141"/>
      <c r="O77" s="141"/>
      <c r="P77" s="141"/>
      <c r="Q77" s="86"/>
      <c r="R77" s="86"/>
      <c r="S77" s="86"/>
      <c r="T77" s="86"/>
      <c r="U77" s="142" t="str">
        <f t="shared" si="23"/>
        <v/>
      </c>
      <c r="V77" s="88"/>
      <c r="W77" s="88"/>
      <c r="X77" s="88"/>
      <c r="Y77" s="88"/>
      <c r="Z77" s="88"/>
      <c r="AA77" s="88"/>
      <c r="AB77" s="88"/>
      <c r="AC77" s="88"/>
      <c r="AD77" s="142" t="str">
        <f t="shared" si="24"/>
        <v/>
      </c>
      <c r="AE77" s="88"/>
      <c r="AF77" s="88"/>
      <c r="AG77" s="88"/>
      <c r="AH77" s="88"/>
      <c r="AI77" s="88"/>
      <c r="AJ77" s="88"/>
      <c r="AK77" s="88"/>
      <c r="AL77" s="88"/>
      <c r="AM77" s="143">
        <v>52.444444444444443</v>
      </c>
      <c r="AN77" s="88">
        <v>90</v>
      </c>
      <c r="AO77" s="89"/>
      <c r="AP77" s="90"/>
      <c r="AQ77" s="146" t="str">
        <f t="shared" si="25"/>
        <v/>
      </c>
      <c r="AR77" s="146" t="str">
        <f t="shared" si="26"/>
        <v/>
      </c>
      <c r="AS77" s="147">
        <v>10</v>
      </c>
      <c r="AT77" s="148"/>
      <c r="AU77" s="149"/>
      <c r="AV77" s="146" t="str">
        <f t="shared" si="27"/>
        <v/>
      </c>
      <c r="AW77" s="146" t="str">
        <f t="shared" si="28"/>
        <v/>
      </c>
      <c r="AX77" s="138" t="str">
        <f t="shared" si="29"/>
        <v/>
      </c>
      <c r="AY77" s="95"/>
      <c r="AZ77" s="96"/>
      <c r="BA77" s="96"/>
      <c r="BB77" s="96"/>
      <c r="BC77" s="96"/>
      <c r="BD77" s="97">
        <v>90</v>
      </c>
      <c r="BE77" s="142">
        <f t="shared" si="30"/>
        <v>5688</v>
      </c>
      <c r="BF77" s="98">
        <v>0</v>
      </c>
      <c r="BG77" s="98">
        <v>0</v>
      </c>
      <c r="BH77" s="98">
        <v>0</v>
      </c>
      <c r="BI77" s="98">
        <v>5688</v>
      </c>
      <c r="BJ77" s="98"/>
      <c r="BK77" s="98"/>
      <c r="BL77" s="97"/>
    </row>
    <row r="78" spans="1:64" outlineLevel="5" x14ac:dyDescent="0.3">
      <c r="A78" s="152">
        <f t="shared" si="5"/>
        <v>2</v>
      </c>
      <c r="B78" s="153">
        <f t="shared" si="12"/>
        <v>44984</v>
      </c>
      <c r="C78" s="138">
        <f t="shared" si="21"/>
        <v>36.4</v>
      </c>
      <c r="D78" s="84">
        <v>37.700000000000003</v>
      </c>
      <c r="E78" s="84">
        <v>35.1</v>
      </c>
      <c r="F78" s="84"/>
      <c r="G78" s="84"/>
      <c r="H78" s="84"/>
      <c r="I78" s="84"/>
      <c r="J78" s="84"/>
      <c r="K78" s="84"/>
      <c r="L78" s="140">
        <f t="shared" si="22"/>
        <v>8.6</v>
      </c>
      <c r="M78" s="141">
        <v>8.57</v>
      </c>
      <c r="N78" s="141">
        <v>8.6300000000000008</v>
      </c>
      <c r="O78" s="141"/>
      <c r="P78" s="141"/>
      <c r="Q78" s="86"/>
      <c r="R78" s="86"/>
      <c r="S78" s="86"/>
      <c r="T78" s="86"/>
      <c r="U78" s="142">
        <f t="shared" si="23"/>
        <v>1097.5</v>
      </c>
      <c r="V78" s="88">
        <v>929.9</v>
      </c>
      <c r="W78" s="88">
        <v>1265</v>
      </c>
      <c r="X78" s="88"/>
      <c r="Y78" s="88"/>
      <c r="Z78" s="88"/>
      <c r="AA78" s="88"/>
      <c r="AB78" s="88"/>
      <c r="AC78" s="88"/>
      <c r="AD78" s="142" t="str">
        <f t="shared" si="24"/>
        <v/>
      </c>
      <c r="AE78" s="88"/>
      <c r="AF78" s="88"/>
      <c r="AG78" s="88"/>
      <c r="AH78" s="88"/>
      <c r="AI78" s="88"/>
      <c r="AJ78" s="88"/>
      <c r="AK78" s="88"/>
      <c r="AL78" s="88"/>
      <c r="AM78" s="143">
        <v>66.760961810466753</v>
      </c>
      <c r="AN78" s="88">
        <v>70.7</v>
      </c>
      <c r="AO78" s="89">
        <v>21.3</v>
      </c>
      <c r="AP78" s="90">
        <v>17.018700000000003</v>
      </c>
      <c r="AQ78" s="146">
        <f t="shared" si="25"/>
        <v>79.900000000000006</v>
      </c>
      <c r="AR78" s="146">
        <f t="shared" si="26"/>
        <v>20.099999999999994</v>
      </c>
      <c r="AS78" s="147">
        <v>20</v>
      </c>
      <c r="AT78" s="148">
        <v>14.4</v>
      </c>
      <c r="AU78" s="149">
        <v>8.4204000000000008</v>
      </c>
      <c r="AV78" s="146">
        <f t="shared" si="27"/>
        <v>58.475000000000001</v>
      </c>
      <c r="AW78" s="146">
        <f t="shared" si="28"/>
        <v>41.524999999999999</v>
      </c>
      <c r="AX78" s="138">
        <f t="shared" si="29"/>
        <v>64.574999303011978</v>
      </c>
      <c r="AY78" s="95">
        <v>75.7</v>
      </c>
      <c r="AZ78" s="96">
        <v>60.8</v>
      </c>
      <c r="BA78" s="96"/>
      <c r="BB78" s="96">
        <v>51</v>
      </c>
      <c r="BC78" s="96"/>
      <c r="BD78" s="97">
        <v>70.7</v>
      </c>
      <c r="BE78" s="142">
        <f t="shared" si="30"/>
        <v>6045</v>
      </c>
      <c r="BF78" s="98">
        <v>76</v>
      </c>
      <c r="BG78" s="98">
        <v>0</v>
      </c>
      <c r="BH78" s="98">
        <v>267</v>
      </c>
      <c r="BI78" s="98">
        <v>5702</v>
      </c>
      <c r="BJ78" s="98"/>
      <c r="BK78" s="98"/>
      <c r="BL78" s="97"/>
    </row>
    <row r="79" spans="1:64" outlineLevel="5" x14ac:dyDescent="0.3">
      <c r="A79" s="152">
        <f t="shared" si="5"/>
        <v>2</v>
      </c>
      <c r="B79" s="166">
        <f t="shared" si="12"/>
        <v>44985</v>
      </c>
      <c r="C79" s="138">
        <f t="shared" si="21"/>
        <v>36.6</v>
      </c>
      <c r="D79" s="84">
        <v>37.299999999999997</v>
      </c>
      <c r="E79" s="84">
        <v>35.9</v>
      </c>
      <c r="F79" s="84"/>
      <c r="G79" s="84"/>
      <c r="H79" s="84"/>
      <c r="I79" s="84"/>
      <c r="J79" s="84"/>
      <c r="K79" s="84"/>
      <c r="L79" s="140" t="str">
        <f t="shared" si="22"/>
        <v/>
      </c>
      <c r="M79" s="141"/>
      <c r="N79" s="141"/>
      <c r="O79" s="141"/>
      <c r="P79" s="141"/>
      <c r="Q79" s="86"/>
      <c r="R79" s="86"/>
      <c r="S79" s="86"/>
      <c r="T79" s="86"/>
      <c r="U79" s="142" t="str">
        <f t="shared" si="23"/>
        <v/>
      </c>
      <c r="V79" s="88"/>
      <c r="W79" s="88"/>
      <c r="X79" s="88"/>
      <c r="Y79" s="88"/>
      <c r="Z79" s="88"/>
      <c r="AA79" s="88"/>
      <c r="AB79" s="88"/>
      <c r="AC79" s="88"/>
      <c r="AD79" s="142" t="str">
        <f t="shared" si="24"/>
        <v/>
      </c>
      <c r="AE79" s="88"/>
      <c r="AF79" s="88"/>
      <c r="AG79" s="88"/>
      <c r="AH79" s="88"/>
      <c r="AI79" s="88"/>
      <c r="AJ79" s="88"/>
      <c r="AK79" s="88"/>
      <c r="AL79" s="88"/>
      <c r="AM79" s="143">
        <v>66.93136698808847</v>
      </c>
      <c r="AN79" s="88">
        <v>70.52000000000001</v>
      </c>
      <c r="AO79" s="89"/>
      <c r="AP79" s="90"/>
      <c r="AQ79" s="146" t="str">
        <f t="shared" si="25"/>
        <v/>
      </c>
      <c r="AR79" s="146" t="str">
        <f t="shared" si="26"/>
        <v/>
      </c>
      <c r="AS79" s="147">
        <v>20</v>
      </c>
      <c r="AT79" s="148"/>
      <c r="AU79" s="149"/>
      <c r="AV79" s="146" t="str">
        <f t="shared" si="27"/>
        <v/>
      </c>
      <c r="AW79" s="146" t="str">
        <f t="shared" si="28"/>
        <v/>
      </c>
      <c r="AX79" s="138" t="str">
        <f t="shared" si="29"/>
        <v/>
      </c>
      <c r="AY79" s="95"/>
      <c r="AZ79" s="96"/>
      <c r="BA79" s="96"/>
      <c r="BB79" s="96"/>
      <c r="BC79" s="96"/>
      <c r="BD79" s="97">
        <v>70.52000000000001</v>
      </c>
      <c r="BE79" s="142">
        <f t="shared" si="30"/>
        <v>7259</v>
      </c>
      <c r="BF79" s="98">
        <v>844</v>
      </c>
      <c r="BG79" s="98">
        <v>190</v>
      </c>
      <c r="BH79" s="98">
        <v>436</v>
      </c>
      <c r="BI79" s="98">
        <v>5789</v>
      </c>
      <c r="BJ79" s="98"/>
      <c r="BK79" s="98"/>
      <c r="BL79" s="97"/>
    </row>
    <row r="80" spans="1:64" ht="17.25" outlineLevel="5" thickBot="1" x14ac:dyDescent="0.35">
      <c r="A80" s="167" t="e">
        <f t="shared" si="5"/>
        <v>#VALUE!</v>
      </c>
      <c r="B80" s="182" t="s">
        <v>105</v>
      </c>
      <c r="C80" s="138" t="str">
        <f t="shared" si="21"/>
        <v/>
      </c>
      <c r="D80" s="84"/>
      <c r="E80" s="84"/>
      <c r="F80" s="84"/>
      <c r="G80" s="84"/>
      <c r="H80" s="84"/>
      <c r="I80" s="84"/>
      <c r="J80" s="84"/>
      <c r="K80" s="84"/>
      <c r="L80" s="140" t="str">
        <f t="shared" si="22"/>
        <v/>
      </c>
      <c r="M80" s="86"/>
      <c r="N80" s="86"/>
      <c r="O80" s="86"/>
      <c r="P80" s="86"/>
      <c r="Q80" s="86"/>
      <c r="R80" s="86"/>
      <c r="S80" s="86"/>
      <c r="T80" s="86"/>
      <c r="U80" s="142" t="str">
        <f t="shared" si="23"/>
        <v/>
      </c>
      <c r="V80" s="88"/>
      <c r="W80" s="88"/>
      <c r="X80" s="88"/>
      <c r="Y80" s="88"/>
      <c r="Z80" s="88"/>
      <c r="AA80" s="88"/>
      <c r="AB80" s="88"/>
      <c r="AC80" s="88"/>
      <c r="AD80" s="142" t="str">
        <f t="shared" si="24"/>
        <v/>
      </c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9"/>
      <c r="AP80" s="90"/>
      <c r="AQ80" s="146" t="str">
        <f t="shared" si="25"/>
        <v/>
      </c>
      <c r="AR80" s="146" t="str">
        <f t="shared" si="26"/>
        <v/>
      </c>
      <c r="AS80" s="147"/>
      <c r="AT80" s="148"/>
      <c r="AU80" s="149"/>
      <c r="AV80" s="146" t="str">
        <f t="shared" si="27"/>
        <v/>
      </c>
      <c r="AW80" s="146" t="str">
        <f t="shared" si="28"/>
        <v/>
      </c>
      <c r="AX80" s="138" t="str">
        <f t="shared" si="29"/>
        <v/>
      </c>
      <c r="AY80" s="95"/>
      <c r="AZ80" s="96"/>
      <c r="BA80" s="96"/>
      <c r="BB80" s="96"/>
      <c r="BC80" s="96"/>
      <c r="BD80" s="97"/>
      <c r="BE80" s="142" t="str">
        <f t="shared" si="30"/>
        <v/>
      </c>
      <c r="BF80" s="98"/>
      <c r="BG80" s="98"/>
      <c r="BH80" s="98"/>
      <c r="BI80" s="98"/>
      <c r="BJ80" s="98"/>
      <c r="BK80" s="98"/>
      <c r="BL80" s="97"/>
    </row>
    <row r="81" spans="1:64" outlineLevel="4" x14ac:dyDescent="0.3">
      <c r="A81" s="63" t="s">
        <v>61</v>
      </c>
      <c r="B81" s="64"/>
      <c r="C81" s="65">
        <f t="shared" ref="C81:BL81" si="31">SUBTOTAL(4,C52:C80)</f>
        <v>40</v>
      </c>
      <c r="D81" s="66">
        <f t="shared" si="31"/>
        <v>39.200000000000003</v>
      </c>
      <c r="E81" s="66">
        <f t="shared" si="31"/>
        <v>40</v>
      </c>
      <c r="F81" s="66">
        <f t="shared" si="31"/>
        <v>0</v>
      </c>
      <c r="G81" s="66">
        <f t="shared" si="31"/>
        <v>0</v>
      </c>
      <c r="H81" s="66">
        <f t="shared" si="31"/>
        <v>0</v>
      </c>
      <c r="I81" s="66">
        <f t="shared" si="31"/>
        <v>0</v>
      </c>
      <c r="J81" s="66">
        <f t="shared" si="31"/>
        <v>0</v>
      </c>
      <c r="K81" s="66">
        <f t="shared" si="31"/>
        <v>0</v>
      </c>
      <c r="L81" s="67">
        <f t="shared" si="31"/>
        <v>8.6999999999999993</v>
      </c>
      <c r="M81" s="68">
        <f t="shared" si="31"/>
        <v>8.66</v>
      </c>
      <c r="N81" s="68">
        <f t="shared" si="31"/>
        <v>8.66</v>
      </c>
      <c r="O81" s="68">
        <f t="shared" si="31"/>
        <v>0</v>
      </c>
      <c r="P81" s="68">
        <f t="shared" si="31"/>
        <v>0</v>
      </c>
      <c r="Q81" s="68">
        <f t="shared" si="31"/>
        <v>0</v>
      </c>
      <c r="R81" s="68">
        <f t="shared" si="31"/>
        <v>0</v>
      </c>
      <c r="S81" s="68">
        <f t="shared" si="31"/>
        <v>0</v>
      </c>
      <c r="T81" s="68">
        <f t="shared" si="31"/>
        <v>0</v>
      </c>
      <c r="U81" s="69">
        <f t="shared" si="31"/>
        <v>1287</v>
      </c>
      <c r="V81" s="70">
        <f t="shared" si="31"/>
        <v>1121</v>
      </c>
      <c r="W81" s="70">
        <f t="shared" si="31"/>
        <v>1287</v>
      </c>
      <c r="X81" s="70">
        <f t="shared" si="31"/>
        <v>0</v>
      </c>
      <c r="Y81" s="70">
        <f t="shared" si="31"/>
        <v>0</v>
      </c>
      <c r="Z81" s="70">
        <f t="shared" si="31"/>
        <v>0</v>
      </c>
      <c r="AA81" s="70">
        <f t="shared" si="31"/>
        <v>0</v>
      </c>
      <c r="AB81" s="70">
        <f t="shared" si="31"/>
        <v>0</v>
      </c>
      <c r="AC81" s="70">
        <f t="shared" si="31"/>
        <v>0</v>
      </c>
      <c r="AD81" s="69">
        <f t="shared" si="31"/>
        <v>9950</v>
      </c>
      <c r="AE81" s="70">
        <f t="shared" si="31"/>
        <v>9780</v>
      </c>
      <c r="AF81" s="70">
        <f t="shared" si="31"/>
        <v>9950</v>
      </c>
      <c r="AG81" s="70">
        <f t="shared" si="31"/>
        <v>0</v>
      </c>
      <c r="AH81" s="70">
        <f t="shared" si="31"/>
        <v>0</v>
      </c>
      <c r="AI81" s="70">
        <f t="shared" si="31"/>
        <v>0</v>
      </c>
      <c r="AJ81" s="70">
        <f t="shared" si="31"/>
        <v>0</v>
      </c>
      <c r="AK81" s="70">
        <f t="shared" si="31"/>
        <v>0</v>
      </c>
      <c r="AL81" s="70">
        <f t="shared" si="31"/>
        <v>0</v>
      </c>
      <c r="AM81" s="70">
        <f t="shared" si="31"/>
        <v>87.10094113305037</v>
      </c>
      <c r="AN81" s="70">
        <f t="shared" si="31"/>
        <v>133.06</v>
      </c>
      <c r="AO81" s="71">
        <f t="shared" si="31"/>
        <v>21.5</v>
      </c>
      <c r="AP81" s="72">
        <f t="shared" si="31"/>
        <v>17.018700000000003</v>
      </c>
      <c r="AQ81" s="73">
        <f t="shared" si="31"/>
        <v>79.900000000000006</v>
      </c>
      <c r="AR81" s="73">
        <f t="shared" si="31"/>
        <v>21.400000000000006</v>
      </c>
      <c r="AS81" s="74">
        <f t="shared" si="31"/>
        <v>40</v>
      </c>
      <c r="AT81" s="75">
        <f t="shared" si="31"/>
        <v>17.8</v>
      </c>
      <c r="AU81" s="76">
        <f t="shared" si="31"/>
        <v>11.0182</v>
      </c>
      <c r="AV81" s="73">
        <f t="shared" si="31"/>
        <v>66.873421926910311</v>
      </c>
      <c r="AW81" s="73">
        <f t="shared" si="31"/>
        <v>41.524999999999999</v>
      </c>
      <c r="AX81" s="65">
        <f t="shared" si="31"/>
        <v>64.574999303011978</v>
      </c>
      <c r="AY81" s="77">
        <f t="shared" si="31"/>
        <v>75.900000000000006</v>
      </c>
      <c r="AZ81" s="78">
        <f t="shared" si="31"/>
        <v>64.699999999999989</v>
      </c>
      <c r="BA81" s="78">
        <f t="shared" si="31"/>
        <v>0</v>
      </c>
      <c r="BB81" s="78">
        <f t="shared" si="31"/>
        <v>72</v>
      </c>
      <c r="BC81" s="78">
        <f t="shared" si="31"/>
        <v>0</v>
      </c>
      <c r="BD81" s="79">
        <f t="shared" si="31"/>
        <v>133.06</v>
      </c>
      <c r="BE81" s="69">
        <f t="shared" si="31"/>
        <v>9934</v>
      </c>
      <c r="BF81" s="70">
        <f t="shared" si="31"/>
        <v>844</v>
      </c>
      <c r="BG81" s="80">
        <f t="shared" si="31"/>
        <v>190</v>
      </c>
      <c r="BH81" s="80">
        <f t="shared" si="31"/>
        <v>3757</v>
      </c>
      <c r="BI81" s="80">
        <f t="shared" si="31"/>
        <v>6606</v>
      </c>
      <c r="BJ81" s="80">
        <f t="shared" si="31"/>
        <v>0</v>
      </c>
      <c r="BK81" s="80">
        <f t="shared" si="31"/>
        <v>0</v>
      </c>
      <c r="BL81" s="79">
        <f t="shared" si="31"/>
        <v>0</v>
      </c>
    </row>
    <row r="82" spans="1:64" outlineLevel="3" x14ac:dyDescent="0.3">
      <c r="A82" s="81" t="s">
        <v>62</v>
      </c>
      <c r="B82" s="82"/>
      <c r="C82" s="83">
        <f t="shared" ref="C82:BL82" si="32">SUBTOTAL(5,C52:C80)</f>
        <v>36</v>
      </c>
      <c r="D82" s="84">
        <f t="shared" si="32"/>
        <v>35.9</v>
      </c>
      <c r="E82" s="84">
        <f t="shared" si="32"/>
        <v>35.1</v>
      </c>
      <c r="F82" s="84">
        <f t="shared" si="32"/>
        <v>0</v>
      </c>
      <c r="G82" s="84">
        <f t="shared" si="32"/>
        <v>0</v>
      </c>
      <c r="H82" s="84">
        <f t="shared" si="32"/>
        <v>0</v>
      </c>
      <c r="I82" s="84">
        <f t="shared" si="32"/>
        <v>0</v>
      </c>
      <c r="J82" s="84">
        <f t="shared" si="32"/>
        <v>0</v>
      </c>
      <c r="K82" s="84">
        <f t="shared" si="32"/>
        <v>0</v>
      </c>
      <c r="L82" s="85">
        <f t="shared" si="32"/>
        <v>8.6</v>
      </c>
      <c r="M82" s="86">
        <f t="shared" si="32"/>
        <v>8.57</v>
      </c>
      <c r="N82" s="86">
        <f t="shared" si="32"/>
        <v>8.5500000000000007</v>
      </c>
      <c r="O82" s="86">
        <f t="shared" si="32"/>
        <v>0</v>
      </c>
      <c r="P82" s="86">
        <f t="shared" si="32"/>
        <v>0</v>
      </c>
      <c r="Q82" s="86">
        <f t="shared" si="32"/>
        <v>0</v>
      </c>
      <c r="R82" s="86">
        <f t="shared" si="32"/>
        <v>0</v>
      </c>
      <c r="S82" s="86">
        <f t="shared" si="32"/>
        <v>0</v>
      </c>
      <c r="T82" s="86">
        <f t="shared" si="32"/>
        <v>0</v>
      </c>
      <c r="U82" s="87">
        <f t="shared" si="32"/>
        <v>865</v>
      </c>
      <c r="V82" s="88">
        <f t="shared" si="32"/>
        <v>929.9</v>
      </c>
      <c r="W82" s="88">
        <f t="shared" si="32"/>
        <v>865</v>
      </c>
      <c r="X82" s="88">
        <f t="shared" si="32"/>
        <v>0</v>
      </c>
      <c r="Y82" s="88">
        <f t="shared" si="32"/>
        <v>0</v>
      </c>
      <c r="Z82" s="88">
        <f t="shared" si="32"/>
        <v>0</v>
      </c>
      <c r="AA82" s="88">
        <f t="shared" si="32"/>
        <v>0</v>
      </c>
      <c r="AB82" s="88">
        <f t="shared" si="32"/>
        <v>0</v>
      </c>
      <c r="AC82" s="88">
        <f t="shared" si="32"/>
        <v>0</v>
      </c>
      <c r="AD82" s="87">
        <f t="shared" si="32"/>
        <v>9420</v>
      </c>
      <c r="AE82" s="88">
        <f t="shared" si="32"/>
        <v>9420</v>
      </c>
      <c r="AF82" s="88">
        <f t="shared" si="32"/>
        <v>9610</v>
      </c>
      <c r="AG82" s="88">
        <f t="shared" si="32"/>
        <v>0</v>
      </c>
      <c r="AH82" s="88">
        <f t="shared" si="32"/>
        <v>0</v>
      </c>
      <c r="AI82" s="88">
        <f t="shared" si="32"/>
        <v>0</v>
      </c>
      <c r="AJ82" s="88">
        <f t="shared" si="32"/>
        <v>0</v>
      </c>
      <c r="AK82" s="88">
        <f t="shared" si="32"/>
        <v>0</v>
      </c>
      <c r="AL82" s="88">
        <f t="shared" si="32"/>
        <v>0</v>
      </c>
      <c r="AM82" s="88">
        <f t="shared" si="32"/>
        <v>35.47271907410191</v>
      </c>
      <c r="AN82" s="88">
        <f t="shared" si="32"/>
        <v>54.190000000000005</v>
      </c>
      <c r="AO82" s="89">
        <f t="shared" si="32"/>
        <v>21.2</v>
      </c>
      <c r="AP82" s="90">
        <f t="shared" si="32"/>
        <v>16.7056</v>
      </c>
      <c r="AQ82" s="91">
        <f t="shared" si="32"/>
        <v>78.599999999999994</v>
      </c>
      <c r="AR82" s="91">
        <f t="shared" si="32"/>
        <v>20.099999999999994</v>
      </c>
      <c r="AS82" s="92">
        <f t="shared" si="32"/>
        <v>6</v>
      </c>
      <c r="AT82" s="93">
        <f t="shared" si="32"/>
        <v>13.25</v>
      </c>
      <c r="AU82" s="94">
        <f t="shared" si="32"/>
        <v>7.8556000000000008</v>
      </c>
      <c r="AV82" s="91">
        <f t="shared" si="32"/>
        <v>58.475000000000001</v>
      </c>
      <c r="AW82" s="91">
        <f t="shared" si="32"/>
        <v>33.126578073089689</v>
      </c>
      <c r="AX82" s="83">
        <f t="shared" si="32"/>
        <v>51.216933181806567</v>
      </c>
      <c r="AY82" s="95">
        <f t="shared" si="32"/>
        <v>73.900000000000006</v>
      </c>
      <c r="AZ82" s="96">
        <f t="shared" si="32"/>
        <v>59.31</v>
      </c>
      <c r="BA82" s="96">
        <f t="shared" si="32"/>
        <v>0</v>
      </c>
      <c r="BB82" s="96">
        <f t="shared" si="32"/>
        <v>39</v>
      </c>
      <c r="BC82" s="96">
        <f t="shared" si="32"/>
        <v>0</v>
      </c>
      <c r="BD82" s="97">
        <f t="shared" si="32"/>
        <v>54.190000000000005</v>
      </c>
      <c r="BE82" s="87">
        <f t="shared" si="32"/>
        <v>4839</v>
      </c>
      <c r="BF82" s="88">
        <f t="shared" si="32"/>
        <v>0</v>
      </c>
      <c r="BG82" s="98">
        <f t="shared" si="32"/>
        <v>0</v>
      </c>
      <c r="BH82" s="98">
        <f t="shared" si="32"/>
        <v>0</v>
      </c>
      <c r="BI82" s="98">
        <f t="shared" si="32"/>
        <v>4450</v>
      </c>
      <c r="BJ82" s="98">
        <f t="shared" si="32"/>
        <v>0</v>
      </c>
      <c r="BK82" s="98">
        <f t="shared" si="32"/>
        <v>0</v>
      </c>
      <c r="BL82" s="97">
        <f t="shared" si="32"/>
        <v>0</v>
      </c>
    </row>
    <row r="83" spans="1:64" outlineLevel="2" x14ac:dyDescent="0.3">
      <c r="A83" s="81" t="s">
        <v>63</v>
      </c>
      <c r="B83" s="82"/>
      <c r="C83" s="83">
        <f t="shared" ref="C83:BL83" si="33">IFERROR(SUBTOTAL(1,C52:C80),"")</f>
        <v>37.378571428571426</v>
      </c>
      <c r="D83" s="84">
        <f t="shared" si="33"/>
        <v>37.311764705882354</v>
      </c>
      <c r="E83" s="84">
        <f t="shared" si="33"/>
        <v>37.307142857142871</v>
      </c>
      <c r="F83" s="84" t="str">
        <f t="shared" si="33"/>
        <v/>
      </c>
      <c r="G83" s="84" t="str">
        <f t="shared" si="33"/>
        <v/>
      </c>
      <c r="H83" s="84" t="str">
        <f t="shared" si="33"/>
        <v/>
      </c>
      <c r="I83" s="84" t="str">
        <f t="shared" si="33"/>
        <v/>
      </c>
      <c r="J83" s="84" t="str">
        <f t="shared" si="33"/>
        <v/>
      </c>
      <c r="K83" s="84" t="str">
        <f t="shared" si="33"/>
        <v/>
      </c>
      <c r="L83" s="85">
        <f t="shared" si="33"/>
        <v>8.6199999999999992</v>
      </c>
      <c r="M83" s="86">
        <f t="shared" si="33"/>
        <v>8.6039999999999992</v>
      </c>
      <c r="N83" s="86">
        <f t="shared" si="33"/>
        <v>8.6111111111111107</v>
      </c>
      <c r="O83" s="86" t="str">
        <f t="shared" si="33"/>
        <v/>
      </c>
      <c r="P83" s="86" t="str">
        <f t="shared" si="33"/>
        <v/>
      </c>
      <c r="Q83" s="86" t="str">
        <f t="shared" si="33"/>
        <v/>
      </c>
      <c r="R83" s="86" t="str">
        <f t="shared" si="33"/>
        <v/>
      </c>
      <c r="S83" s="86" t="str">
        <f t="shared" si="33"/>
        <v/>
      </c>
      <c r="T83" s="86" t="str">
        <f t="shared" si="33"/>
        <v/>
      </c>
      <c r="U83" s="87">
        <f t="shared" si="33"/>
        <v>1074.5</v>
      </c>
      <c r="V83" s="88">
        <f t="shared" si="33"/>
        <v>1045.1799999999998</v>
      </c>
      <c r="W83" s="88">
        <f t="shared" si="33"/>
        <v>1082.6666666666667</v>
      </c>
      <c r="X83" s="88" t="str">
        <f t="shared" si="33"/>
        <v/>
      </c>
      <c r="Y83" s="88" t="str">
        <f t="shared" si="33"/>
        <v/>
      </c>
      <c r="Z83" s="88" t="str">
        <f t="shared" si="33"/>
        <v/>
      </c>
      <c r="AA83" s="88" t="str">
        <f t="shared" si="33"/>
        <v/>
      </c>
      <c r="AB83" s="88" t="str">
        <f t="shared" si="33"/>
        <v/>
      </c>
      <c r="AC83" s="88" t="str">
        <f t="shared" si="33"/>
        <v/>
      </c>
      <c r="AD83" s="87">
        <f t="shared" si="33"/>
        <v>9741.25</v>
      </c>
      <c r="AE83" s="88">
        <f t="shared" si="33"/>
        <v>9600</v>
      </c>
      <c r="AF83" s="88">
        <f t="shared" si="33"/>
        <v>9820</v>
      </c>
      <c r="AG83" s="88" t="str">
        <f t="shared" si="33"/>
        <v/>
      </c>
      <c r="AH83" s="88" t="str">
        <f t="shared" si="33"/>
        <v/>
      </c>
      <c r="AI83" s="88" t="str">
        <f t="shared" si="33"/>
        <v/>
      </c>
      <c r="AJ83" s="88" t="str">
        <f t="shared" si="33"/>
        <v/>
      </c>
      <c r="AK83" s="88" t="str">
        <f t="shared" si="33"/>
        <v/>
      </c>
      <c r="AL83" s="88" t="str">
        <f t="shared" si="33"/>
        <v/>
      </c>
      <c r="AM83" s="88">
        <f t="shared" si="33"/>
        <v>63.050466553726991</v>
      </c>
      <c r="AN83" s="88">
        <f t="shared" si="33"/>
        <v>78.225357142857135</v>
      </c>
      <c r="AO83" s="89">
        <f t="shared" si="33"/>
        <v>21.3</v>
      </c>
      <c r="AP83" s="90">
        <f t="shared" si="33"/>
        <v>16.853425000000001</v>
      </c>
      <c r="AQ83" s="91">
        <f t="shared" si="33"/>
        <v>79.125</v>
      </c>
      <c r="AR83" s="91">
        <f t="shared" si="33"/>
        <v>20.875000000000004</v>
      </c>
      <c r="AS83" s="92">
        <f t="shared" si="33"/>
        <v>19.821428571428573</v>
      </c>
      <c r="AT83" s="93">
        <f t="shared" si="33"/>
        <v>15.038888888888888</v>
      </c>
      <c r="AU83" s="94">
        <f t="shared" si="33"/>
        <v>9.2745944444444444</v>
      </c>
      <c r="AV83" s="91">
        <f t="shared" si="33"/>
        <v>61.612907457391515</v>
      </c>
      <c r="AW83" s="91">
        <f t="shared" si="33"/>
        <v>38.387092542608485</v>
      </c>
      <c r="AX83" s="83">
        <f t="shared" si="33"/>
        <v>57.213478256878417</v>
      </c>
      <c r="AY83" s="95">
        <f t="shared" si="33"/>
        <v>75.150000000000006</v>
      </c>
      <c r="AZ83" s="96">
        <f t="shared" si="33"/>
        <v>61.858846153846144</v>
      </c>
      <c r="BA83" s="96" t="str">
        <f t="shared" si="33"/>
        <v/>
      </c>
      <c r="BB83" s="96">
        <f t="shared" si="33"/>
        <v>52.5</v>
      </c>
      <c r="BC83" s="96" t="str">
        <f t="shared" si="33"/>
        <v/>
      </c>
      <c r="BD83" s="97">
        <f>IFERROR(SUBTOTAL(1,BD52:BD80),"")</f>
        <v>78.225357142857135</v>
      </c>
      <c r="BE83" s="87">
        <f t="shared" si="33"/>
        <v>6512.6071428571431</v>
      </c>
      <c r="BF83" s="88">
        <f t="shared" si="33"/>
        <v>168.07142857142858</v>
      </c>
      <c r="BG83" s="98">
        <f t="shared" si="33"/>
        <v>6.7857142857142856</v>
      </c>
      <c r="BH83" s="98">
        <f t="shared" si="33"/>
        <v>674.21428571428567</v>
      </c>
      <c r="BI83" s="98">
        <f t="shared" si="33"/>
        <v>5663.5357142857147</v>
      </c>
      <c r="BJ83" s="98" t="str">
        <f t="shared" si="33"/>
        <v/>
      </c>
      <c r="BK83" s="98" t="str">
        <f t="shared" si="33"/>
        <v/>
      </c>
      <c r="BL83" s="97" t="str">
        <f t="shared" si="33"/>
        <v/>
      </c>
    </row>
    <row r="84" spans="1:64" ht="17.25" outlineLevel="1" thickBot="1" x14ac:dyDescent="0.35">
      <c r="A84" s="99" t="s">
        <v>64</v>
      </c>
      <c r="B84" s="100"/>
      <c r="C84" s="101"/>
      <c r="D84" s="102"/>
      <c r="E84" s="102"/>
      <c r="F84" s="102"/>
      <c r="G84" s="102"/>
      <c r="H84" s="102"/>
      <c r="I84" s="102"/>
      <c r="J84" s="102"/>
      <c r="K84" s="102"/>
      <c r="L84" s="103"/>
      <c r="M84" s="104"/>
      <c r="N84" s="104"/>
      <c r="O84" s="104"/>
      <c r="P84" s="104"/>
      <c r="Q84" s="104"/>
      <c r="R84" s="104"/>
      <c r="S84" s="104"/>
      <c r="T84" s="104"/>
      <c r="U84" s="105"/>
      <c r="V84" s="106"/>
      <c r="W84" s="106"/>
      <c r="X84" s="106"/>
      <c r="Y84" s="106"/>
      <c r="Z84" s="106"/>
      <c r="AA84" s="106"/>
      <c r="AB84" s="106"/>
      <c r="AC84" s="106"/>
      <c r="AD84" s="105"/>
      <c r="AE84" s="106"/>
      <c r="AF84" s="106"/>
      <c r="AG84" s="106"/>
      <c r="AH84" s="106"/>
      <c r="AI84" s="106"/>
      <c r="AJ84" s="106"/>
      <c r="AK84" s="106"/>
      <c r="AL84" s="106"/>
      <c r="AM84" s="106"/>
      <c r="AN84" s="107">
        <f>SUBTOTAL(9,AN52:AN80)</f>
        <v>2190.31</v>
      </c>
      <c r="AO84" s="108"/>
      <c r="AP84" s="109"/>
      <c r="AQ84" s="110"/>
      <c r="AR84" s="110"/>
      <c r="AS84" s="111">
        <f>SUBTOTAL(9,AS52:AS80)</f>
        <v>555</v>
      </c>
      <c r="AT84" s="112"/>
      <c r="AU84" s="113"/>
      <c r="AV84" s="110"/>
      <c r="AW84" s="110"/>
      <c r="AX84" s="101"/>
      <c r="AY84" s="114"/>
      <c r="AZ84" s="115"/>
      <c r="BA84" s="115"/>
      <c r="BB84" s="115"/>
      <c r="BC84" s="115"/>
      <c r="BD84" s="116">
        <f>SUBTOTAL(9,BD52:BD80)</f>
        <v>2190.31</v>
      </c>
      <c r="BE84" s="117">
        <f t="shared" ref="BE84:BL84" si="34">SUBTOTAL(9,BE52:BE80)</f>
        <v>182353</v>
      </c>
      <c r="BF84" s="107">
        <f t="shared" si="34"/>
        <v>4706</v>
      </c>
      <c r="BG84" s="118">
        <f t="shared" si="34"/>
        <v>190</v>
      </c>
      <c r="BH84" s="118">
        <f t="shared" si="34"/>
        <v>18878</v>
      </c>
      <c r="BI84" s="118">
        <f t="shared" si="34"/>
        <v>158579</v>
      </c>
      <c r="BJ84" s="118">
        <f t="shared" si="34"/>
        <v>0</v>
      </c>
      <c r="BK84" s="118">
        <f t="shared" si="34"/>
        <v>0</v>
      </c>
      <c r="BL84" s="116">
        <f t="shared" si="34"/>
        <v>0</v>
      </c>
    </row>
    <row r="85" spans="1:64" outlineLevel="5" x14ac:dyDescent="0.3">
      <c r="A85" s="136">
        <f t="shared" si="5"/>
        <v>3</v>
      </c>
      <c r="B85" s="137">
        <f>B79+1</f>
        <v>44986</v>
      </c>
      <c r="C85" s="138">
        <f t="shared" ref="C85:C115" si="35">IFERROR(ROUND(AVERAGE(D85:K85),1),"")</f>
        <v>37.5</v>
      </c>
      <c r="D85" s="84">
        <v>37.6</v>
      </c>
      <c r="E85" s="84">
        <v>37.299999999999997</v>
      </c>
      <c r="F85" s="84"/>
      <c r="G85" s="84"/>
      <c r="H85" s="84"/>
      <c r="I85" s="84"/>
      <c r="J85" s="84"/>
      <c r="K85" s="84"/>
      <c r="L85" s="140" t="str">
        <f t="shared" ref="L85:L115" si="36">IFERROR(ROUND(AVERAGE(M85:T85),1),"")</f>
        <v/>
      </c>
      <c r="M85" s="86"/>
      <c r="N85" s="86"/>
      <c r="O85" s="86"/>
      <c r="P85" s="86"/>
      <c r="Q85" s="86"/>
      <c r="R85" s="86"/>
      <c r="S85" s="86"/>
      <c r="T85" s="86"/>
      <c r="U85" s="142" t="str">
        <f t="shared" ref="U85:U115" si="37">IFERROR(ROUND(AVERAGE(V85:AC85),1),"")</f>
        <v/>
      </c>
      <c r="V85" s="88"/>
      <c r="W85" s="88"/>
      <c r="X85" s="88"/>
      <c r="Y85" s="88"/>
      <c r="Z85" s="88"/>
      <c r="AA85" s="88"/>
      <c r="AB85" s="88"/>
      <c r="AC85" s="88"/>
      <c r="AD85" s="142" t="str">
        <f t="shared" ref="AD85:AD115" si="38">IFERROR(ROUND(AVERAGE(AE85:AL85),1),"")</f>
        <v/>
      </c>
      <c r="AE85" s="88"/>
      <c r="AF85" s="88"/>
      <c r="AG85" s="88"/>
      <c r="AH85" s="88"/>
      <c r="AI85" s="88"/>
      <c r="AJ85" s="88"/>
      <c r="AK85" s="88"/>
      <c r="AL85" s="88"/>
      <c r="AM85" s="88">
        <v>57.772337821297427</v>
      </c>
      <c r="AN85" s="88">
        <v>81.7</v>
      </c>
      <c r="AO85" s="89"/>
      <c r="AP85" s="90"/>
      <c r="AQ85" s="146" t="str">
        <f t="shared" ref="AQ85:AQ115" si="39">IFERROR(AP85/AO85*100,"")</f>
        <v/>
      </c>
      <c r="AR85" s="146" t="str">
        <f t="shared" ref="AR85:AR115" si="40">IFERROR(100-AQ85,"")</f>
        <v/>
      </c>
      <c r="AS85" s="147">
        <v>20</v>
      </c>
      <c r="AT85" s="148"/>
      <c r="AU85" s="149"/>
      <c r="AV85" s="146" t="str">
        <f t="shared" ref="AV85:AV115" si="41">IFERROR(AU85/AT85*100,"")</f>
        <v/>
      </c>
      <c r="AW85" s="146" t="str">
        <f t="shared" ref="AW85:AW115" si="42">IFERROR(100-AV85,"")</f>
        <v/>
      </c>
      <c r="AX85" s="138" t="str">
        <f t="shared" ref="AX85:AX115" si="43">IFERROR((1-((AV85*AR85)/(AW85*AQ85)))*100,"")</f>
        <v/>
      </c>
      <c r="AY85" s="95"/>
      <c r="AZ85" s="96"/>
      <c r="BA85" s="96"/>
      <c r="BB85" s="96"/>
      <c r="BC85" s="96"/>
      <c r="BD85" s="97">
        <v>81.7</v>
      </c>
      <c r="BE85" s="142">
        <f t="shared" ref="BE85:BE115" si="44">IF(SUM(BF85:BL85)=0,"",SUM(BF85:BL85))</f>
        <v>7757</v>
      </c>
      <c r="BF85" s="98">
        <v>2040</v>
      </c>
      <c r="BG85" s="98">
        <v>0</v>
      </c>
      <c r="BH85" s="98">
        <v>0</v>
      </c>
      <c r="BI85" s="98">
        <v>5717</v>
      </c>
      <c r="BJ85" s="98"/>
      <c r="BK85" s="98"/>
      <c r="BL85" s="98"/>
    </row>
    <row r="86" spans="1:64" outlineLevel="5" x14ac:dyDescent="0.3">
      <c r="A86" s="152">
        <f t="shared" si="5"/>
        <v>3</v>
      </c>
      <c r="B86" s="153">
        <f t="shared" ref="B86:B149" si="45">B85+1</f>
        <v>44987</v>
      </c>
      <c r="C86" s="138">
        <f t="shared" si="35"/>
        <v>38.4</v>
      </c>
      <c r="D86" s="84">
        <v>38.4</v>
      </c>
      <c r="E86" s="84">
        <v>38.299999999999997</v>
      </c>
      <c r="F86" s="84"/>
      <c r="G86" s="84"/>
      <c r="H86" s="84"/>
      <c r="I86" s="84"/>
      <c r="J86" s="84"/>
      <c r="K86" s="84"/>
      <c r="L86" s="140">
        <f t="shared" si="36"/>
        <v>8.6</v>
      </c>
      <c r="M86" s="86">
        <v>8.56</v>
      </c>
      <c r="N86" s="86">
        <v>8.61</v>
      </c>
      <c r="O86" s="86"/>
      <c r="P86" s="86"/>
      <c r="Q86" s="86"/>
      <c r="R86" s="86"/>
      <c r="S86" s="86"/>
      <c r="T86" s="86"/>
      <c r="U86" s="142">
        <f t="shared" si="37"/>
        <v>1095.5</v>
      </c>
      <c r="V86" s="88">
        <v>1208</v>
      </c>
      <c r="W86" s="88">
        <v>983</v>
      </c>
      <c r="X86" s="88"/>
      <c r="Y86" s="88"/>
      <c r="Z86" s="88"/>
      <c r="AA86" s="88"/>
      <c r="AB86" s="88"/>
      <c r="AC86" s="88"/>
      <c r="AD86" s="142" t="str">
        <f t="shared" si="38"/>
        <v/>
      </c>
      <c r="AE86" s="88"/>
      <c r="AF86" s="88"/>
      <c r="AG86" s="88"/>
      <c r="AH86" s="88"/>
      <c r="AI86" s="88"/>
      <c r="AJ86" s="88"/>
      <c r="AK86" s="88"/>
      <c r="AL86" s="88"/>
      <c r="AM86" s="88">
        <v>64.480874316939889</v>
      </c>
      <c r="AN86" s="88">
        <v>73.2</v>
      </c>
      <c r="AO86" s="89"/>
      <c r="AP86" s="90"/>
      <c r="AQ86" s="146" t="str">
        <f t="shared" si="39"/>
        <v/>
      </c>
      <c r="AR86" s="146" t="str">
        <f t="shared" si="40"/>
        <v/>
      </c>
      <c r="AS86" s="147">
        <v>20</v>
      </c>
      <c r="AT86" s="148">
        <v>13.850000000000001</v>
      </c>
      <c r="AU86" s="149">
        <v>7.9350000000000005</v>
      </c>
      <c r="AV86" s="146">
        <f t="shared" si="41"/>
        <v>57.292418772563167</v>
      </c>
      <c r="AW86" s="146">
        <f t="shared" si="42"/>
        <v>42.707581227436833</v>
      </c>
      <c r="AX86" s="138" t="str">
        <f t="shared" si="43"/>
        <v/>
      </c>
      <c r="AY86" s="95">
        <v>75.849999999999994</v>
      </c>
      <c r="AZ86" s="96">
        <v>61.11</v>
      </c>
      <c r="BA86" s="96"/>
      <c r="BB86" s="96">
        <v>98</v>
      </c>
      <c r="BC86" s="96"/>
      <c r="BD86" s="97">
        <v>73.2</v>
      </c>
      <c r="BE86" s="142">
        <f t="shared" si="44"/>
        <v>7702</v>
      </c>
      <c r="BF86" s="98">
        <v>932</v>
      </c>
      <c r="BG86" s="98">
        <v>0</v>
      </c>
      <c r="BH86" s="98">
        <v>1175</v>
      </c>
      <c r="BI86" s="98">
        <v>5595</v>
      </c>
      <c r="BJ86" s="98"/>
      <c r="BK86" s="98"/>
      <c r="BL86" s="98"/>
    </row>
    <row r="87" spans="1:64" outlineLevel="5" x14ac:dyDescent="0.3">
      <c r="A87" s="152">
        <f t="shared" si="5"/>
        <v>3</v>
      </c>
      <c r="B87" s="153">
        <f t="shared" si="45"/>
        <v>44988</v>
      </c>
      <c r="C87" s="138">
        <f t="shared" si="35"/>
        <v>37.700000000000003</v>
      </c>
      <c r="D87" s="84">
        <v>38.6</v>
      </c>
      <c r="E87" s="84">
        <v>36.700000000000003</v>
      </c>
      <c r="F87" s="84"/>
      <c r="G87" s="84"/>
      <c r="H87" s="84"/>
      <c r="I87" s="84"/>
      <c r="J87" s="84"/>
      <c r="K87" s="84"/>
      <c r="L87" s="140" t="str">
        <f t="shared" si="36"/>
        <v/>
      </c>
      <c r="M87" s="86"/>
      <c r="N87" s="86"/>
      <c r="O87" s="86"/>
      <c r="P87" s="86"/>
      <c r="Q87" s="86"/>
      <c r="R87" s="86"/>
      <c r="S87" s="86"/>
      <c r="T87" s="86"/>
      <c r="U87" s="142" t="str">
        <f t="shared" si="37"/>
        <v/>
      </c>
      <c r="V87" s="88"/>
      <c r="W87" s="88"/>
      <c r="X87" s="88"/>
      <c r="Y87" s="88"/>
      <c r="Z87" s="88"/>
      <c r="AA87" s="88"/>
      <c r="AB87" s="88"/>
      <c r="AC87" s="88"/>
      <c r="AD87" s="142" t="str">
        <f t="shared" si="38"/>
        <v/>
      </c>
      <c r="AE87" s="88"/>
      <c r="AF87" s="88"/>
      <c r="AG87" s="88"/>
      <c r="AH87" s="88"/>
      <c r="AI87" s="88"/>
      <c r="AJ87" s="88"/>
      <c r="AK87" s="88"/>
      <c r="AL87" s="88"/>
      <c r="AM87" s="88">
        <v>53.454133635334088</v>
      </c>
      <c r="AN87" s="88">
        <v>88.3</v>
      </c>
      <c r="AO87" s="89"/>
      <c r="AP87" s="90"/>
      <c r="AQ87" s="146" t="str">
        <f t="shared" si="39"/>
        <v/>
      </c>
      <c r="AR87" s="146" t="str">
        <f t="shared" si="40"/>
        <v/>
      </c>
      <c r="AS87" s="147">
        <v>20</v>
      </c>
      <c r="AT87" s="148"/>
      <c r="AU87" s="149"/>
      <c r="AV87" s="146" t="str">
        <f t="shared" si="41"/>
        <v/>
      </c>
      <c r="AW87" s="146" t="str">
        <f t="shared" si="42"/>
        <v/>
      </c>
      <c r="AX87" s="138" t="str">
        <f t="shared" si="43"/>
        <v/>
      </c>
      <c r="AY87" s="95"/>
      <c r="AZ87" s="96">
        <v>63.28</v>
      </c>
      <c r="BA87" s="96"/>
      <c r="BB87" s="96">
        <v>60.5</v>
      </c>
      <c r="BC87" s="96"/>
      <c r="BD87" s="97">
        <v>88.3</v>
      </c>
      <c r="BE87" s="142">
        <f t="shared" si="44"/>
        <v>8572</v>
      </c>
      <c r="BF87" s="98">
        <v>797</v>
      </c>
      <c r="BG87" s="98">
        <v>0</v>
      </c>
      <c r="BH87" s="98">
        <v>2170</v>
      </c>
      <c r="BI87" s="98">
        <v>5605</v>
      </c>
      <c r="BJ87" s="98"/>
      <c r="BK87" s="98"/>
      <c r="BL87" s="98"/>
    </row>
    <row r="88" spans="1:64" outlineLevel="5" x14ac:dyDescent="0.3">
      <c r="A88" s="152">
        <f t="shared" si="5"/>
        <v>3</v>
      </c>
      <c r="B88" s="153">
        <f t="shared" si="45"/>
        <v>44989</v>
      </c>
      <c r="C88" s="138">
        <f t="shared" si="35"/>
        <v>37.700000000000003</v>
      </c>
      <c r="D88" s="84">
        <v>38.299999999999997</v>
      </c>
      <c r="E88" s="84">
        <v>37</v>
      </c>
      <c r="F88" s="84"/>
      <c r="G88" s="84"/>
      <c r="H88" s="84"/>
      <c r="I88" s="84"/>
      <c r="J88" s="84"/>
      <c r="K88" s="84"/>
      <c r="L88" s="140" t="str">
        <f t="shared" si="36"/>
        <v/>
      </c>
      <c r="M88" s="86"/>
      <c r="N88" s="86"/>
      <c r="O88" s="86"/>
      <c r="P88" s="86"/>
      <c r="Q88" s="86"/>
      <c r="R88" s="86"/>
      <c r="S88" s="86"/>
      <c r="T88" s="86"/>
      <c r="U88" s="142" t="str">
        <f t="shared" si="37"/>
        <v/>
      </c>
      <c r="V88" s="88"/>
      <c r="W88" s="88"/>
      <c r="X88" s="88"/>
      <c r="Y88" s="88"/>
      <c r="Z88" s="88"/>
      <c r="AA88" s="88"/>
      <c r="AB88" s="88"/>
      <c r="AC88" s="88"/>
      <c r="AD88" s="142" t="str">
        <f t="shared" si="38"/>
        <v/>
      </c>
      <c r="AE88" s="88"/>
      <c r="AF88" s="88"/>
      <c r="AG88" s="88"/>
      <c r="AH88" s="88"/>
      <c r="AI88" s="88"/>
      <c r="AJ88" s="88"/>
      <c r="AK88" s="88"/>
      <c r="AL88" s="88"/>
      <c r="AM88" s="88">
        <v>65.085493656922225</v>
      </c>
      <c r="AN88" s="88">
        <v>72.52000000000001</v>
      </c>
      <c r="AO88" s="89"/>
      <c r="AP88" s="90"/>
      <c r="AQ88" s="146" t="str">
        <f t="shared" si="39"/>
        <v/>
      </c>
      <c r="AR88" s="146" t="str">
        <f t="shared" si="40"/>
        <v/>
      </c>
      <c r="AS88" s="147">
        <v>10</v>
      </c>
      <c r="AT88" s="148"/>
      <c r="AU88" s="149"/>
      <c r="AV88" s="146" t="str">
        <f t="shared" si="41"/>
        <v/>
      </c>
      <c r="AW88" s="146" t="str">
        <f t="shared" si="42"/>
        <v/>
      </c>
      <c r="AX88" s="138" t="str">
        <f t="shared" si="43"/>
        <v/>
      </c>
      <c r="AY88" s="95"/>
      <c r="AZ88" s="96"/>
      <c r="BA88" s="96"/>
      <c r="BB88" s="96"/>
      <c r="BC88" s="96"/>
      <c r="BD88" s="97">
        <v>72.52000000000001</v>
      </c>
      <c r="BE88" s="142">
        <f t="shared" si="44"/>
        <v>6526</v>
      </c>
      <c r="BF88" s="98">
        <v>904</v>
      </c>
      <c r="BG88" s="98">
        <v>0</v>
      </c>
      <c r="BH88" s="98">
        <v>0</v>
      </c>
      <c r="BI88" s="98">
        <v>5622</v>
      </c>
      <c r="BJ88" s="98"/>
      <c r="BK88" s="98"/>
      <c r="BL88" s="98"/>
    </row>
    <row r="89" spans="1:64" outlineLevel="5" x14ac:dyDescent="0.3">
      <c r="A89" s="152">
        <f t="shared" si="5"/>
        <v>3</v>
      </c>
      <c r="B89" s="153">
        <f t="shared" si="45"/>
        <v>44990</v>
      </c>
      <c r="C89" s="138">
        <f t="shared" si="35"/>
        <v>37.4</v>
      </c>
      <c r="D89" s="84">
        <v>37.6</v>
      </c>
      <c r="E89" s="84">
        <v>37.1</v>
      </c>
      <c r="F89" s="84"/>
      <c r="G89" s="84"/>
      <c r="H89" s="84"/>
      <c r="I89" s="84"/>
      <c r="J89" s="84"/>
      <c r="K89" s="84"/>
      <c r="L89" s="140" t="str">
        <f t="shared" si="36"/>
        <v/>
      </c>
      <c r="M89" s="86"/>
      <c r="N89" s="86"/>
      <c r="O89" s="86"/>
      <c r="P89" s="86"/>
      <c r="Q89" s="86"/>
      <c r="R89" s="86"/>
      <c r="S89" s="86"/>
      <c r="T89" s="86"/>
      <c r="U89" s="142" t="str">
        <f t="shared" si="37"/>
        <v/>
      </c>
      <c r="V89" s="88"/>
      <c r="W89" s="88"/>
      <c r="X89" s="88"/>
      <c r="Y89" s="88"/>
      <c r="Z89" s="88"/>
      <c r="AA89" s="88"/>
      <c r="AB89" s="88"/>
      <c r="AC89" s="88"/>
      <c r="AD89" s="142" t="str">
        <f t="shared" si="38"/>
        <v/>
      </c>
      <c r="AE89" s="88"/>
      <c r="AF89" s="88"/>
      <c r="AG89" s="88"/>
      <c r="AH89" s="88"/>
      <c r="AI89" s="88"/>
      <c r="AJ89" s="88"/>
      <c r="AK89" s="88"/>
      <c r="AL89" s="88"/>
      <c r="AM89" s="88">
        <v>62.93333333333333</v>
      </c>
      <c r="AN89" s="88">
        <v>75</v>
      </c>
      <c r="AO89" s="89"/>
      <c r="AP89" s="90"/>
      <c r="AQ89" s="146" t="str">
        <f t="shared" si="39"/>
        <v/>
      </c>
      <c r="AR89" s="146" t="str">
        <f t="shared" si="40"/>
        <v/>
      </c>
      <c r="AS89" s="147">
        <v>10</v>
      </c>
      <c r="AT89" s="148"/>
      <c r="AU89" s="149"/>
      <c r="AV89" s="146" t="str">
        <f t="shared" si="41"/>
        <v/>
      </c>
      <c r="AW89" s="146" t="str">
        <f t="shared" si="42"/>
        <v/>
      </c>
      <c r="AX89" s="138" t="str">
        <f t="shared" si="43"/>
        <v/>
      </c>
      <c r="AY89" s="95"/>
      <c r="AZ89" s="96"/>
      <c r="BA89" s="96"/>
      <c r="BB89" s="96"/>
      <c r="BC89" s="96"/>
      <c r="BD89" s="97">
        <v>75</v>
      </c>
      <c r="BE89" s="142">
        <f t="shared" si="44"/>
        <v>6514</v>
      </c>
      <c r="BF89" s="98">
        <v>877</v>
      </c>
      <c r="BG89" s="98">
        <v>0</v>
      </c>
      <c r="BH89" s="98">
        <v>0</v>
      </c>
      <c r="BI89" s="98">
        <v>5637</v>
      </c>
      <c r="BJ89" s="98"/>
      <c r="BK89" s="98"/>
      <c r="BL89" s="98"/>
    </row>
    <row r="90" spans="1:64" outlineLevel="5" x14ac:dyDescent="0.3">
      <c r="A90" s="152">
        <f t="shared" si="5"/>
        <v>3</v>
      </c>
      <c r="B90" s="153">
        <f t="shared" si="45"/>
        <v>44991</v>
      </c>
      <c r="C90" s="138">
        <f t="shared" si="35"/>
        <v>36.799999999999997</v>
      </c>
      <c r="D90" s="84">
        <v>37.1</v>
      </c>
      <c r="E90" s="84">
        <v>36.5</v>
      </c>
      <c r="F90" s="84"/>
      <c r="G90" s="84"/>
      <c r="H90" s="84"/>
      <c r="I90" s="84"/>
      <c r="J90" s="84"/>
      <c r="K90" s="84"/>
      <c r="L90" s="140" t="str">
        <f t="shared" si="36"/>
        <v/>
      </c>
      <c r="M90" s="86"/>
      <c r="N90" s="86"/>
      <c r="O90" s="86"/>
      <c r="P90" s="86"/>
      <c r="Q90" s="86"/>
      <c r="R90" s="86"/>
      <c r="S90" s="86"/>
      <c r="T90" s="86"/>
      <c r="U90" s="142" t="str">
        <f t="shared" si="37"/>
        <v/>
      </c>
      <c r="V90" s="88"/>
      <c r="W90" s="88"/>
      <c r="X90" s="88"/>
      <c r="Y90" s="88"/>
      <c r="Z90" s="88"/>
      <c r="AA90" s="88"/>
      <c r="AB90" s="88"/>
      <c r="AC90" s="88"/>
      <c r="AD90" s="142" t="str">
        <f t="shared" si="38"/>
        <v/>
      </c>
      <c r="AE90" s="88"/>
      <c r="AF90" s="88"/>
      <c r="AG90" s="88"/>
      <c r="AH90" s="88"/>
      <c r="AI90" s="88"/>
      <c r="AJ90" s="88"/>
      <c r="AK90" s="88"/>
      <c r="AL90" s="88"/>
      <c r="AM90" s="88">
        <v>82.02989224887034</v>
      </c>
      <c r="AN90" s="88">
        <v>57.540000000000006</v>
      </c>
      <c r="AO90" s="89"/>
      <c r="AP90" s="90"/>
      <c r="AQ90" s="146" t="str">
        <f t="shared" si="39"/>
        <v/>
      </c>
      <c r="AR90" s="146" t="str">
        <f t="shared" si="40"/>
        <v/>
      </c>
      <c r="AS90" s="147">
        <v>40</v>
      </c>
      <c r="AT90" s="148"/>
      <c r="AU90" s="149"/>
      <c r="AV90" s="146" t="str">
        <f t="shared" si="41"/>
        <v/>
      </c>
      <c r="AW90" s="146" t="str">
        <f t="shared" si="42"/>
        <v/>
      </c>
      <c r="AX90" s="138" t="str">
        <f t="shared" si="43"/>
        <v/>
      </c>
      <c r="AY90" s="95"/>
      <c r="AZ90" s="96">
        <v>63.575000000000003</v>
      </c>
      <c r="BA90" s="96"/>
      <c r="BB90" s="96">
        <v>39.5</v>
      </c>
      <c r="BC90" s="96"/>
      <c r="BD90" s="97">
        <v>57.540000000000006</v>
      </c>
      <c r="BE90" s="142">
        <f t="shared" si="44"/>
        <v>6850</v>
      </c>
      <c r="BF90" s="98">
        <v>986</v>
      </c>
      <c r="BG90" s="98">
        <v>325</v>
      </c>
      <c r="BH90" s="98">
        <v>0</v>
      </c>
      <c r="BI90" s="98">
        <v>5539</v>
      </c>
      <c r="BJ90" s="98"/>
      <c r="BK90" s="98"/>
      <c r="BL90" s="98"/>
    </row>
    <row r="91" spans="1:64" outlineLevel="5" x14ac:dyDescent="0.3">
      <c r="A91" s="152">
        <f t="shared" ref="A91:A162" si="46">MONTH(B91)</f>
        <v>3</v>
      </c>
      <c r="B91" s="153">
        <f t="shared" si="45"/>
        <v>44992</v>
      </c>
      <c r="C91" s="138">
        <f t="shared" si="35"/>
        <v>37.1</v>
      </c>
      <c r="D91" s="84">
        <v>37.299999999999997</v>
      </c>
      <c r="E91" s="84">
        <v>36.799999999999997</v>
      </c>
      <c r="F91" s="84"/>
      <c r="G91" s="84"/>
      <c r="H91" s="84"/>
      <c r="I91" s="84"/>
      <c r="J91" s="84"/>
      <c r="K91" s="84"/>
      <c r="L91" s="140" t="str">
        <f t="shared" si="36"/>
        <v/>
      </c>
      <c r="M91" s="86"/>
      <c r="N91" s="86"/>
      <c r="O91" s="86"/>
      <c r="P91" s="86"/>
      <c r="Q91" s="86"/>
      <c r="R91" s="86"/>
      <c r="S91" s="86"/>
      <c r="T91" s="86"/>
      <c r="U91" s="142" t="str">
        <f t="shared" si="37"/>
        <v/>
      </c>
      <c r="V91" s="88"/>
      <c r="W91" s="88"/>
      <c r="X91" s="88"/>
      <c r="Y91" s="88"/>
      <c r="Z91" s="88"/>
      <c r="AA91" s="88"/>
      <c r="AB91" s="88"/>
      <c r="AC91" s="88"/>
      <c r="AD91" s="142" t="str">
        <f t="shared" si="38"/>
        <v/>
      </c>
      <c r="AE91" s="88"/>
      <c r="AF91" s="88"/>
      <c r="AG91" s="88"/>
      <c r="AH91" s="88"/>
      <c r="AI91" s="88"/>
      <c r="AJ91" s="88"/>
      <c r="AK91" s="88"/>
      <c r="AL91" s="88"/>
      <c r="AM91" s="88">
        <v>52.310761387565108</v>
      </c>
      <c r="AN91" s="88">
        <v>90.23</v>
      </c>
      <c r="AO91" s="89"/>
      <c r="AP91" s="90"/>
      <c r="AQ91" s="146" t="str">
        <f t="shared" si="39"/>
        <v/>
      </c>
      <c r="AR91" s="146" t="str">
        <f t="shared" si="40"/>
        <v/>
      </c>
      <c r="AS91" s="147">
        <v>40</v>
      </c>
      <c r="AT91" s="148"/>
      <c r="AU91" s="149"/>
      <c r="AV91" s="146" t="str">
        <f t="shared" si="41"/>
        <v/>
      </c>
      <c r="AW91" s="146" t="str">
        <f t="shared" si="42"/>
        <v/>
      </c>
      <c r="AX91" s="138" t="str">
        <f t="shared" si="43"/>
        <v/>
      </c>
      <c r="AY91" s="95"/>
      <c r="AZ91" s="96">
        <v>58.58</v>
      </c>
      <c r="BA91" s="96"/>
      <c r="BB91" s="96">
        <v>66</v>
      </c>
      <c r="BC91" s="96"/>
      <c r="BD91" s="97">
        <v>90.23</v>
      </c>
      <c r="BE91" s="142">
        <f t="shared" si="44"/>
        <v>7544</v>
      </c>
      <c r="BF91" s="98">
        <v>850</v>
      </c>
      <c r="BG91" s="98">
        <v>625</v>
      </c>
      <c r="BH91" s="98">
        <v>147</v>
      </c>
      <c r="BI91" s="98">
        <v>5922</v>
      </c>
      <c r="BJ91" s="98"/>
      <c r="BK91" s="98"/>
      <c r="BL91" s="98"/>
    </row>
    <row r="92" spans="1:64" outlineLevel="5" x14ac:dyDescent="0.3">
      <c r="A92" s="152">
        <f t="shared" si="46"/>
        <v>3</v>
      </c>
      <c r="B92" s="153">
        <f t="shared" si="45"/>
        <v>44993</v>
      </c>
      <c r="C92" s="138">
        <f t="shared" si="35"/>
        <v>37.799999999999997</v>
      </c>
      <c r="D92" s="84">
        <v>38.4</v>
      </c>
      <c r="E92" s="84">
        <v>37.200000000000003</v>
      </c>
      <c r="F92" s="84"/>
      <c r="G92" s="84"/>
      <c r="H92" s="84"/>
      <c r="I92" s="84"/>
      <c r="J92" s="84"/>
      <c r="K92" s="84"/>
      <c r="L92" s="140">
        <f t="shared" si="36"/>
        <v>8.6</v>
      </c>
      <c r="M92" s="86">
        <v>8.56</v>
      </c>
      <c r="N92" s="86">
        <v>8.57</v>
      </c>
      <c r="O92" s="86"/>
      <c r="P92" s="86"/>
      <c r="Q92" s="86"/>
      <c r="R92" s="86"/>
      <c r="S92" s="86"/>
      <c r="T92" s="86"/>
      <c r="U92" s="142">
        <f t="shared" si="37"/>
        <v>854</v>
      </c>
      <c r="V92" s="88">
        <v>843</v>
      </c>
      <c r="W92" s="88">
        <v>865</v>
      </c>
      <c r="X92" s="88"/>
      <c r="Y92" s="88"/>
      <c r="Z92" s="88"/>
      <c r="AA92" s="88"/>
      <c r="AB92" s="88"/>
      <c r="AC92" s="88"/>
      <c r="AD92" s="142">
        <f t="shared" si="38"/>
        <v>9810</v>
      </c>
      <c r="AE92" s="88">
        <v>9900</v>
      </c>
      <c r="AF92" s="88">
        <v>9720</v>
      </c>
      <c r="AG92" s="88"/>
      <c r="AH92" s="88"/>
      <c r="AI92" s="88"/>
      <c r="AJ92" s="88"/>
      <c r="AK92" s="88"/>
      <c r="AL92" s="88"/>
      <c r="AM92" s="88">
        <v>54.259110242556609</v>
      </c>
      <c r="AN92" s="88">
        <v>86.990000000000009</v>
      </c>
      <c r="AO92" s="89"/>
      <c r="AP92" s="90"/>
      <c r="AQ92" s="146" t="str">
        <f t="shared" si="39"/>
        <v/>
      </c>
      <c r="AR92" s="146" t="str">
        <f t="shared" si="40"/>
        <v/>
      </c>
      <c r="AS92" s="147">
        <v>40</v>
      </c>
      <c r="AT92" s="148">
        <v>15.95</v>
      </c>
      <c r="AU92" s="149">
        <v>8.3665500000000002</v>
      </c>
      <c r="AV92" s="146">
        <f t="shared" si="41"/>
        <v>52.45485893416928</v>
      </c>
      <c r="AW92" s="146">
        <f t="shared" si="42"/>
        <v>47.54514106583072</v>
      </c>
      <c r="AX92" s="138" t="str">
        <f t="shared" si="43"/>
        <v/>
      </c>
      <c r="AY92" s="95">
        <v>77.099999999999994</v>
      </c>
      <c r="AZ92" s="96">
        <v>60.995000000000005</v>
      </c>
      <c r="BA92" s="96"/>
      <c r="BB92" s="96">
        <v>83</v>
      </c>
      <c r="BC92" s="96"/>
      <c r="BD92" s="97">
        <v>86.990000000000009</v>
      </c>
      <c r="BE92" s="142">
        <f t="shared" si="44"/>
        <v>9159</v>
      </c>
      <c r="BF92" s="98">
        <v>1678</v>
      </c>
      <c r="BG92" s="98">
        <v>0</v>
      </c>
      <c r="BH92" s="98">
        <v>1641</v>
      </c>
      <c r="BI92" s="98">
        <v>5840</v>
      </c>
      <c r="BJ92" s="98"/>
      <c r="BK92" s="98"/>
      <c r="BL92" s="98"/>
    </row>
    <row r="93" spans="1:64" outlineLevel="5" x14ac:dyDescent="0.3">
      <c r="A93" s="152">
        <f t="shared" si="46"/>
        <v>3</v>
      </c>
      <c r="B93" s="153">
        <f t="shared" si="45"/>
        <v>44994</v>
      </c>
      <c r="C93" s="138">
        <f t="shared" si="35"/>
        <v>38.9</v>
      </c>
      <c r="D93" s="84">
        <v>39.200000000000003</v>
      </c>
      <c r="E93" s="84">
        <v>38.5</v>
      </c>
      <c r="F93" s="84"/>
      <c r="G93" s="84"/>
      <c r="H93" s="84"/>
      <c r="I93" s="84"/>
      <c r="J93" s="84"/>
      <c r="K93" s="84"/>
      <c r="L93" s="140">
        <f t="shared" si="36"/>
        <v>8.6</v>
      </c>
      <c r="M93" s="86">
        <v>8.66</v>
      </c>
      <c r="N93" s="86">
        <v>8.57</v>
      </c>
      <c r="O93" s="86"/>
      <c r="P93" s="86"/>
      <c r="Q93" s="86"/>
      <c r="R93" s="86"/>
      <c r="S93" s="86"/>
      <c r="T93" s="86"/>
      <c r="U93" s="142">
        <f t="shared" si="37"/>
        <v>951</v>
      </c>
      <c r="V93" s="88">
        <v>924</v>
      </c>
      <c r="W93" s="88">
        <v>978</v>
      </c>
      <c r="X93" s="88"/>
      <c r="Y93" s="88"/>
      <c r="Z93" s="88"/>
      <c r="AA93" s="88"/>
      <c r="AB93" s="88"/>
      <c r="AC93" s="88"/>
      <c r="AD93" s="142" t="str">
        <f t="shared" si="38"/>
        <v/>
      </c>
      <c r="AE93" s="88"/>
      <c r="AF93" s="88"/>
      <c r="AG93" s="88"/>
      <c r="AH93" s="88"/>
      <c r="AI93" s="88"/>
      <c r="AJ93" s="88"/>
      <c r="AK93" s="88"/>
      <c r="AL93" s="88"/>
      <c r="AM93" s="88">
        <v>44.277673545966231</v>
      </c>
      <c r="AN93" s="88">
        <v>106.6</v>
      </c>
      <c r="AO93" s="89"/>
      <c r="AP93" s="90"/>
      <c r="AQ93" s="146" t="str">
        <f t="shared" si="39"/>
        <v/>
      </c>
      <c r="AR93" s="146" t="str">
        <f t="shared" si="40"/>
        <v/>
      </c>
      <c r="AS93" s="147">
        <v>40</v>
      </c>
      <c r="AT93" s="148">
        <v>15.05</v>
      </c>
      <c r="AU93" s="149">
        <v>7.8598999999999997</v>
      </c>
      <c r="AV93" s="146">
        <f t="shared" si="41"/>
        <v>52.225249169435209</v>
      </c>
      <c r="AW93" s="146">
        <f t="shared" si="42"/>
        <v>47.774750830564791</v>
      </c>
      <c r="AX93" s="138" t="str">
        <f t="shared" si="43"/>
        <v/>
      </c>
      <c r="AY93" s="95">
        <v>76.95</v>
      </c>
      <c r="AZ93" s="96"/>
      <c r="BA93" s="96"/>
      <c r="BB93" s="96"/>
      <c r="BC93" s="96"/>
      <c r="BD93" s="97">
        <v>106.6</v>
      </c>
      <c r="BE93" s="142">
        <f t="shared" si="44"/>
        <v>7327</v>
      </c>
      <c r="BF93" s="98">
        <v>458</v>
      </c>
      <c r="BG93" s="98">
        <v>0</v>
      </c>
      <c r="BH93" s="98">
        <v>2899</v>
      </c>
      <c r="BI93" s="98">
        <v>3970</v>
      </c>
      <c r="BJ93" s="98"/>
      <c r="BK93" s="98"/>
      <c r="BL93" s="98"/>
    </row>
    <row r="94" spans="1:64" outlineLevel="5" x14ac:dyDescent="0.3">
      <c r="A94" s="152">
        <f t="shared" si="46"/>
        <v>3</v>
      </c>
      <c r="B94" s="153">
        <f t="shared" si="45"/>
        <v>44995</v>
      </c>
      <c r="C94" s="138">
        <f t="shared" si="35"/>
        <v>38.1</v>
      </c>
      <c r="D94" s="84">
        <v>38.4</v>
      </c>
      <c r="E94" s="84">
        <v>37.799999999999997</v>
      </c>
      <c r="F94" s="84"/>
      <c r="G94" s="84"/>
      <c r="H94" s="84"/>
      <c r="I94" s="84"/>
      <c r="J94" s="84"/>
      <c r="K94" s="84"/>
      <c r="L94" s="140" t="str">
        <f t="shared" si="36"/>
        <v/>
      </c>
      <c r="M94" s="86"/>
      <c r="N94" s="86"/>
      <c r="O94" s="86"/>
      <c r="P94" s="86"/>
      <c r="Q94" s="86"/>
      <c r="R94" s="86"/>
      <c r="S94" s="86"/>
      <c r="T94" s="86"/>
      <c r="U94" s="142" t="str">
        <f t="shared" si="37"/>
        <v/>
      </c>
      <c r="V94" s="88"/>
      <c r="W94" s="88"/>
      <c r="X94" s="88"/>
      <c r="Y94" s="88"/>
      <c r="Z94" s="88"/>
      <c r="AA94" s="88"/>
      <c r="AB94" s="88"/>
      <c r="AC94" s="88"/>
      <c r="AD94" s="142" t="str">
        <f t="shared" si="38"/>
        <v/>
      </c>
      <c r="AE94" s="88"/>
      <c r="AF94" s="88"/>
      <c r="AG94" s="88"/>
      <c r="AH94" s="88"/>
      <c r="AI94" s="88"/>
      <c r="AJ94" s="88"/>
      <c r="AK94" s="88"/>
      <c r="AL94" s="88"/>
      <c r="AM94" s="88">
        <v>49.238472772793656</v>
      </c>
      <c r="AN94" s="88">
        <v>95.86</v>
      </c>
      <c r="AO94" s="89"/>
      <c r="AP94" s="90"/>
      <c r="AQ94" s="146" t="str">
        <f t="shared" si="39"/>
        <v/>
      </c>
      <c r="AR94" s="146" t="str">
        <f t="shared" si="40"/>
        <v/>
      </c>
      <c r="AS94" s="147">
        <v>20</v>
      </c>
      <c r="AT94" s="148"/>
      <c r="AU94" s="149"/>
      <c r="AV94" s="146" t="str">
        <f t="shared" si="41"/>
        <v/>
      </c>
      <c r="AW94" s="146" t="str">
        <f t="shared" si="42"/>
        <v/>
      </c>
      <c r="AX94" s="138" t="str">
        <f t="shared" si="43"/>
        <v/>
      </c>
      <c r="AY94" s="95"/>
      <c r="AZ94" s="96">
        <v>60.894999999999996</v>
      </c>
      <c r="BA94" s="96"/>
      <c r="BB94" s="96">
        <v>29.5</v>
      </c>
      <c r="BC94" s="96"/>
      <c r="BD94" s="97">
        <v>95.86</v>
      </c>
      <c r="BE94" s="142">
        <f t="shared" si="44"/>
        <v>11603</v>
      </c>
      <c r="BF94" s="98">
        <v>0</v>
      </c>
      <c r="BG94" s="98">
        <v>0</v>
      </c>
      <c r="BH94" s="98">
        <v>5769</v>
      </c>
      <c r="BI94" s="98">
        <v>5834</v>
      </c>
      <c r="BJ94" s="98"/>
      <c r="BK94" s="98"/>
      <c r="BL94" s="98"/>
    </row>
    <row r="95" spans="1:64" outlineLevel="5" x14ac:dyDescent="0.3">
      <c r="A95" s="152">
        <f t="shared" si="46"/>
        <v>3</v>
      </c>
      <c r="B95" s="153">
        <f t="shared" si="45"/>
        <v>44996</v>
      </c>
      <c r="C95" s="138">
        <f t="shared" si="35"/>
        <v>37</v>
      </c>
      <c r="D95" s="84">
        <v>37.5</v>
      </c>
      <c r="E95" s="84">
        <v>36.5</v>
      </c>
      <c r="F95" s="84"/>
      <c r="G95" s="84"/>
      <c r="H95" s="84"/>
      <c r="I95" s="84"/>
      <c r="J95" s="84"/>
      <c r="K95" s="84"/>
      <c r="L95" s="140" t="str">
        <f t="shared" si="36"/>
        <v/>
      </c>
      <c r="M95" s="86"/>
      <c r="N95" s="86"/>
      <c r="O95" s="86"/>
      <c r="P95" s="86"/>
      <c r="Q95" s="86"/>
      <c r="R95" s="86"/>
      <c r="S95" s="86"/>
      <c r="T95" s="86"/>
      <c r="U95" s="142" t="str">
        <f t="shared" si="37"/>
        <v/>
      </c>
      <c r="V95" s="88"/>
      <c r="W95" s="88"/>
      <c r="X95" s="88"/>
      <c r="Y95" s="88"/>
      <c r="Z95" s="88"/>
      <c r="AA95" s="88"/>
      <c r="AB95" s="88"/>
      <c r="AC95" s="88"/>
      <c r="AD95" s="142" t="str">
        <f t="shared" si="38"/>
        <v/>
      </c>
      <c r="AE95" s="88"/>
      <c r="AF95" s="88"/>
      <c r="AG95" s="88"/>
      <c r="AH95" s="88"/>
      <c r="AI95" s="88"/>
      <c r="AJ95" s="88"/>
      <c r="AK95" s="88"/>
      <c r="AL95" s="88"/>
      <c r="AM95" s="88">
        <v>47.566260203567474</v>
      </c>
      <c r="AN95" s="88">
        <v>99.22999999999999</v>
      </c>
      <c r="AO95" s="89"/>
      <c r="AP95" s="90"/>
      <c r="AQ95" s="146" t="str">
        <f t="shared" si="39"/>
        <v/>
      </c>
      <c r="AR95" s="146" t="str">
        <f t="shared" si="40"/>
        <v/>
      </c>
      <c r="AS95" s="147">
        <v>10</v>
      </c>
      <c r="AT95" s="148"/>
      <c r="AU95" s="149"/>
      <c r="AV95" s="146" t="str">
        <f t="shared" si="41"/>
        <v/>
      </c>
      <c r="AW95" s="146" t="str">
        <f t="shared" si="42"/>
        <v/>
      </c>
      <c r="AX95" s="138" t="str">
        <f t="shared" si="43"/>
        <v/>
      </c>
      <c r="AY95" s="95"/>
      <c r="AZ95" s="96"/>
      <c r="BA95" s="96"/>
      <c r="BB95" s="96"/>
      <c r="BC95" s="96"/>
      <c r="BD95" s="97">
        <v>99.22999999999999</v>
      </c>
      <c r="BE95" s="142">
        <f t="shared" si="44"/>
        <v>10526</v>
      </c>
      <c r="BF95" s="98">
        <v>40</v>
      </c>
      <c r="BG95" s="98">
        <v>0</v>
      </c>
      <c r="BH95" s="98">
        <v>4816</v>
      </c>
      <c r="BI95" s="98">
        <v>5670</v>
      </c>
      <c r="BJ95" s="98"/>
      <c r="BK95" s="98"/>
      <c r="BL95" s="98"/>
    </row>
    <row r="96" spans="1:64" outlineLevel="5" x14ac:dyDescent="0.3">
      <c r="A96" s="152">
        <f t="shared" si="46"/>
        <v>3</v>
      </c>
      <c r="B96" s="153">
        <f t="shared" si="45"/>
        <v>44997</v>
      </c>
      <c r="C96" s="138">
        <f t="shared" si="35"/>
        <v>37.200000000000003</v>
      </c>
      <c r="D96" s="84">
        <v>37.700000000000003</v>
      </c>
      <c r="E96" s="84">
        <v>36.6</v>
      </c>
      <c r="F96" s="84"/>
      <c r="G96" s="84"/>
      <c r="H96" s="84"/>
      <c r="I96" s="84"/>
      <c r="J96" s="84"/>
      <c r="K96" s="84"/>
      <c r="L96" s="140" t="str">
        <f t="shared" si="36"/>
        <v/>
      </c>
      <c r="M96" s="86"/>
      <c r="N96" s="86"/>
      <c r="O96" s="86"/>
      <c r="P96" s="86"/>
      <c r="Q96" s="86"/>
      <c r="R96" s="86"/>
      <c r="S96" s="86"/>
      <c r="T96" s="86"/>
      <c r="U96" s="142" t="str">
        <f t="shared" si="37"/>
        <v/>
      </c>
      <c r="V96" s="88"/>
      <c r="W96" s="88"/>
      <c r="X96" s="88"/>
      <c r="Y96" s="88"/>
      <c r="Z96" s="88"/>
      <c r="AA96" s="88"/>
      <c r="AB96" s="88"/>
      <c r="AC96" s="88"/>
      <c r="AD96" s="142" t="str">
        <f t="shared" si="38"/>
        <v/>
      </c>
      <c r="AE96" s="88"/>
      <c r="AF96" s="88"/>
      <c r="AG96" s="88"/>
      <c r="AH96" s="88"/>
      <c r="AI96" s="88"/>
      <c r="AJ96" s="88"/>
      <c r="AK96" s="88"/>
      <c r="AL96" s="88"/>
      <c r="AM96" s="88">
        <v>59</v>
      </c>
      <c r="AN96" s="88">
        <v>80</v>
      </c>
      <c r="AO96" s="89"/>
      <c r="AP96" s="90"/>
      <c r="AQ96" s="146" t="str">
        <f t="shared" si="39"/>
        <v/>
      </c>
      <c r="AR96" s="146" t="str">
        <f t="shared" si="40"/>
        <v/>
      </c>
      <c r="AS96" s="147">
        <v>17</v>
      </c>
      <c r="AT96" s="148"/>
      <c r="AU96" s="149"/>
      <c r="AV96" s="146" t="str">
        <f t="shared" si="41"/>
        <v/>
      </c>
      <c r="AW96" s="146" t="str">
        <f t="shared" si="42"/>
        <v/>
      </c>
      <c r="AX96" s="138" t="str">
        <f t="shared" si="43"/>
        <v/>
      </c>
      <c r="AY96" s="95"/>
      <c r="AZ96" s="96"/>
      <c r="BA96" s="96"/>
      <c r="BB96" s="96"/>
      <c r="BC96" s="96"/>
      <c r="BD96" s="97">
        <v>80</v>
      </c>
      <c r="BE96" s="142">
        <f t="shared" si="44"/>
        <v>8933</v>
      </c>
      <c r="BF96" s="98">
        <v>0</v>
      </c>
      <c r="BG96" s="98">
        <v>0</v>
      </c>
      <c r="BH96" s="98">
        <v>3475</v>
      </c>
      <c r="BI96" s="98">
        <v>5458</v>
      </c>
      <c r="BJ96" s="98"/>
      <c r="BK96" s="98"/>
      <c r="BL96" s="98"/>
    </row>
    <row r="97" spans="1:64" outlineLevel="5" x14ac:dyDescent="0.3">
      <c r="A97" s="152">
        <f t="shared" si="46"/>
        <v>3</v>
      </c>
      <c r="B97" s="153">
        <f t="shared" si="45"/>
        <v>44998</v>
      </c>
      <c r="C97" s="138">
        <f t="shared" si="35"/>
        <v>36.799999999999997</v>
      </c>
      <c r="D97" s="84">
        <v>36.5</v>
      </c>
      <c r="E97" s="84">
        <v>37.1</v>
      </c>
      <c r="F97" s="84"/>
      <c r="G97" s="84"/>
      <c r="H97" s="84"/>
      <c r="I97" s="84"/>
      <c r="J97" s="84"/>
      <c r="K97" s="84"/>
      <c r="L97" s="140">
        <f t="shared" si="36"/>
        <v>8.5</v>
      </c>
      <c r="M97" s="86">
        <v>8.51</v>
      </c>
      <c r="N97" s="86">
        <v>8.57</v>
      </c>
      <c r="O97" s="86"/>
      <c r="P97" s="86"/>
      <c r="Q97" s="86"/>
      <c r="R97" s="86"/>
      <c r="S97" s="86"/>
      <c r="T97" s="86"/>
      <c r="U97" s="142">
        <f t="shared" si="37"/>
        <v>1366.5</v>
      </c>
      <c r="V97" s="88">
        <v>1308</v>
      </c>
      <c r="W97" s="88">
        <v>1425</v>
      </c>
      <c r="X97" s="88"/>
      <c r="Y97" s="88"/>
      <c r="Z97" s="88"/>
      <c r="AA97" s="88"/>
      <c r="AB97" s="88"/>
      <c r="AC97" s="88"/>
      <c r="AD97" s="142" t="str">
        <f t="shared" si="38"/>
        <v/>
      </c>
      <c r="AE97" s="88"/>
      <c r="AF97" s="88"/>
      <c r="AG97" s="88"/>
      <c r="AH97" s="88"/>
      <c r="AI97" s="88"/>
      <c r="AJ97" s="88"/>
      <c r="AK97" s="88"/>
      <c r="AL97" s="88"/>
      <c r="AM97" s="88">
        <v>52.743323276343723</v>
      </c>
      <c r="AN97" s="88">
        <v>89.490000000000009</v>
      </c>
      <c r="AO97" s="89">
        <v>22.8</v>
      </c>
      <c r="AP97" s="90">
        <v>17.9208</v>
      </c>
      <c r="AQ97" s="146">
        <f t="shared" si="39"/>
        <v>78.599999999999994</v>
      </c>
      <c r="AR97" s="146">
        <f t="shared" si="40"/>
        <v>21.400000000000006</v>
      </c>
      <c r="AS97" s="147">
        <v>45</v>
      </c>
      <c r="AT97" s="148">
        <v>12.75</v>
      </c>
      <c r="AU97" s="149">
        <v>7.4559500000000005</v>
      </c>
      <c r="AV97" s="146">
        <f t="shared" si="41"/>
        <v>58.47803921568628</v>
      </c>
      <c r="AW97" s="146">
        <f t="shared" si="42"/>
        <v>41.52196078431372</v>
      </c>
      <c r="AX97" s="138">
        <f t="shared" si="43"/>
        <v>61.65522660671936</v>
      </c>
      <c r="AY97" s="95">
        <v>73.05</v>
      </c>
      <c r="AZ97" s="96">
        <v>63.634999999999998</v>
      </c>
      <c r="BA97" s="96"/>
      <c r="BB97" s="96">
        <v>57.5</v>
      </c>
      <c r="BC97" s="96"/>
      <c r="BD97" s="97">
        <v>89.490000000000009</v>
      </c>
      <c r="BE97" s="142">
        <f t="shared" si="44"/>
        <v>8561</v>
      </c>
      <c r="BF97" s="98">
        <v>437</v>
      </c>
      <c r="BG97" s="98">
        <v>0</v>
      </c>
      <c r="BH97" s="98">
        <v>2548</v>
      </c>
      <c r="BI97" s="98">
        <v>5576</v>
      </c>
      <c r="BJ97" s="98"/>
      <c r="BK97" s="98"/>
      <c r="BL97" s="98"/>
    </row>
    <row r="98" spans="1:64" outlineLevel="5" x14ac:dyDescent="0.3">
      <c r="A98" s="152">
        <f t="shared" si="46"/>
        <v>3</v>
      </c>
      <c r="B98" s="153">
        <f t="shared" si="45"/>
        <v>44999</v>
      </c>
      <c r="C98" s="138">
        <f t="shared" si="35"/>
        <v>36.5</v>
      </c>
      <c r="D98" s="84">
        <v>36.200000000000003</v>
      </c>
      <c r="E98" s="84">
        <v>36.700000000000003</v>
      </c>
      <c r="F98" s="84"/>
      <c r="G98" s="84"/>
      <c r="H98" s="84"/>
      <c r="I98" s="84"/>
      <c r="J98" s="84"/>
      <c r="K98" s="84"/>
      <c r="L98" s="140" t="str">
        <f t="shared" si="36"/>
        <v/>
      </c>
      <c r="M98" s="86"/>
      <c r="N98" s="86"/>
      <c r="O98" s="86"/>
      <c r="P98" s="86"/>
      <c r="Q98" s="86"/>
      <c r="R98" s="86"/>
      <c r="S98" s="86"/>
      <c r="T98" s="86"/>
      <c r="U98" s="142" t="str">
        <f t="shared" si="37"/>
        <v/>
      </c>
      <c r="V98" s="88"/>
      <c r="W98" s="88"/>
      <c r="X98" s="88"/>
      <c r="Y98" s="88"/>
      <c r="Z98" s="88"/>
      <c r="AA98" s="88"/>
      <c r="AB98" s="88"/>
      <c r="AC98" s="88"/>
      <c r="AD98" s="142" t="str">
        <f t="shared" si="38"/>
        <v/>
      </c>
      <c r="AE98" s="88"/>
      <c r="AF98" s="88"/>
      <c r="AG98" s="88"/>
      <c r="AH98" s="88"/>
      <c r="AI98" s="88"/>
      <c r="AJ98" s="88"/>
      <c r="AK98" s="88"/>
      <c r="AL98" s="88"/>
      <c r="AM98" s="88">
        <v>46.129788897576233</v>
      </c>
      <c r="AN98" s="88">
        <v>102.32</v>
      </c>
      <c r="AO98" s="89"/>
      <c r="AP98" s="90"/>
      <c r="AQ98" s="146" t="str">
        <f t="shared" si="39"/>
        <v/>
      </c>
      <c r="AR98" s="146" t="str">
        <f t="shared" si="40"/>
        <v/>
      </c>
      <c r="AS98" s="147">
        <v>46</v>
      </c>
      <c r="AT98" s="148"/>
      <c r="AU98" s="149"/>
      <c r="AV98" s="146" t="str">
        <f t="shared" si="41"/>
        <v/>
      </c>
      <c r="AW98" s="146" t="str">
        <f t="shared" si="42"/>
        <v/>
      </c>
      <c r="AX98" s="138" t="str">
        <f t="shared" si="43"/>
        <v/>
      </c>
      <c r="AY98" s="95"/>
      <c r="AZ98" s="96">
        <v>60.5</v>
      </c>
      <c r="BA98" s="96"/>
      <c r="BB98" s="96">
        <v>56.5</v>
      </c>
      <c r="BC98" s="96"/>
      <c r="BD98" s="97">
        <v>102.32</v>
      </c>
      <c r="BE98" s="142">
        <f t="shared" si="44"/>
        <v>13754</v>
      </c>
      <c r="BF98" s="98">
        <v>973</v>
      </c>
      <c r="BG98" s="98">
        <v>0</v>
      </c>
      <c r="BH98" s="98">
        <v>6791</v>
      </c>
      <c r="BI98" s="98">
        <v>5990</v>
      </c>
      <c r="BJ98" s="98"/>
      <c r="BK98" s="98"/>
      <c r="BL98" s="98"/>
    </row>
    <row r="99" spans="1:64" outlineLevel="5" x14ac:dyDescent="0.3">
      <c r="A99" s="152">
        <f t="shared" si="46"/>
        <v>3</v>
      </c>
      <c r="B99" s="153">
        <f t="shared" si="45"/>
        <v>45000</v>
      </c>
      <c r="C99" s="138">
        <f t="shared" si="35"/>
        <v>36.9</v>
      </c>
      <c r="D99" s="84">
        <v>36.9</v>
      </c>
      <c r="E99" s="84">
        <v>36.799999999999997</v>
      </c>
      <c r="F99" s="84"/>
      <c r="G99" s="84"/>
      <c r="H99" s="84"/>
      <c r="I99" s="84"/>
      <c r="J99" s="84"/>
      <c r="K99" s="84"/>
      <c r="L99" s="140">
        <f t="shared" si="36"/>
        <v>8.6</v>
      </c>
      <c r="M99" s="86">
        <v>8.49</v>
      </c>
      <c r="N99" s="86">
        <v>8.61</v>
      </c>
      <c r="O99" s="86"/>
      <c r="P99" s="86"/>
      <c r="Q99" s="86"/>
      <c r="R99" s="86"/>
      <c r="S99" s="86"/>
      <c r="T99" s="86"/>
      <c r="U99" s="142">
        <f t="shared" si="37"/>
        <v>1287</v>
      </c>
      <c r="V99" s="88">
        <v>1233</v>
      </c>
      <c r="W99" s="88">
        <v>1341</v>
      </c>
      <c r="X99" s="88"/>
      <c r="Y99" s="88"/>
      <c r="Z99" s="88"/>
      <c r="AA99" s="88"/>
      <c r="AB99" s="88"/>
      <c r="AC99" s="88"/>
      <c r="AD99" s="142">
        <f t="shared" si="38"/>
        <v>9615</v>
      </c>
      <c r="AE99" s="88">
        <v>9720</v>
      </c>
      <c r="AF99" s="88">
        <v>9510</v>
      </c>
      <c r="AG99" s="88"/>
      <c r="AH99" s="88"/>
      <c r="AI99" s="88"/>
      <c r="AJ99" s="88"/>
      <c r="AK99" s="88"/>
      <c r="AL99" s="88"/>
      <c r="AM99" s="88">
        <v>41.273172437915356</v>
      </c>
      <c r="AN99" s="88">
        <v>114.36</v>
      </c>
      <c r="AO99" s="89"/>
      <c r="AP99" s="90"/>
      <c r="AQ99" s="146" t="str">
        <f t="shared" si="39"/>
        <v/>
      </c>
      <c r="AR99" s="146" t="str">
        <f t="shared" si="40"/>
        <v/>
      </c>
      <c r="AS99" s="147">
        <v>41</v>
      </c>
      <c r="AT99" s="148">
        <v>14.95</v>
      </c>
      <c r="AU99" s="149">
        <v>8.0170999999999992</v>
      </c>
      <c r="AV99" s="146">
        <f t="shared" si="41"/>
        <v>53.626086956521732</v>
      </c>
      <c r="AW99" s="146">
        <f t="shared" si="42"/>
        <v>46.373913043478268</v>
      </c>
      <c r="AX99" s="138" t="str">
        <f t="shared" si="43"/>
        <v/>
      </c>
      <c r="AY99" s="95">
        <v>76.45</v>
      </c>
      <c r="AZ99" s="96">
        <v>60.905000000000001</v>
      </c>
      <c r="BA99" s="96"/>
      <c r="BB99" s="96">
        <v>52.5</v>
      </c>
      <c r="BC99" s="96"/>
      <c r="BD99" s="97">
        <v>114.36</v>
      </c>
      <c r="BE99" s="142">
        <f t="shared" si="44"/>
        <v>15256</v>
      </c>
      <c r="BF99" s="98">
        <v>793</v>
      </c>
      <c r="BG99" s="98">
        <v>1584</v>
      </c>
      <c r="BH99" s="98">
        <v>6629</v>
      </c>
      <c r="BI99" s="98">
        <v>6250</v>
      </c>
      <c r="BJ99" s="98"/>
      <c r="BK99" s="98"/>
      <c r="BL99" s="98"/>
    </row>
    <row r="100" spans="1:64" outlineLevel="5" x14ac:dyDescent="0.3">
      <c r="A100" s="152">
        <f t="shared" si="46"/>
        <v>3</v>
      </c>
      <c r="B100" s="153">
        <f t="shared" si="45"/>
        <v>45001</v>
      </c>
      <c r="C100" s="138">
        <f t="shared" si="35"/>
        <v>36.9</v>
      </c>
      <c r="D100" s="84">
        <v>36.700000000000003</v>
      </c>
      <c r="E100" s="84">
        <v>37.1</v>
      </c>
      <c r="F100" s="84"/>
      <c r="G100" s="84"/>
      <c r="H100" s="84"/>
      <c r="I100" s="84"/>
      <c r="J100" s="84"/>
      <c r="K100" s="84"/>
      <c r="L100" s="140">
        <f t="shared" si="36"/>
        <v>8.6</v>
      </c>
      <c r="M100" s="86">
        <v>8.49</v>
      </c>
      <c r="N100" s="86">
        <v>8.61</v>
      </c>
      <c r="O100" s="86"/>
      <c r="P100" s="86"/>
      <c r="Q100" s="86"/>
      <c r="R100" s="86"/>
      <c r="S100" s="86"/>
      <c r="T100" s="86"/>
      <c r="U100" s="142">
        <f t="shared" si="37"/>
        <v>1643.5</v>
      </c>
      <c r="V100" s="88">
        <v>1741</v>
      </c>
      <c r="W100" s="88">
        <v>1546</v>
      </c>
      <c r="X100" s="88"/>
      <c r="Y100" s="88"/>
      <c r="Z100" s="88"/>
      <c r="AA100" s="88"/>
      <c r="AB100" s="88"/>
      <c r="AC100" s="88"/>
      <c r="AD100" s="142" t="str">
        <f t="shared" si="38"/>
        <v/>
      </c>
      <c r="AE100" s="88"/>
      <c r="AF100" s="88"/>
      <c r="AG100" s="88"/>
      <c r="AH100" s="88"/>
      <c r="AI100" s="88"/>
      <c r="AJ100" s="88"/>
      <c r="AK100" s="88"/>
      <c r="AL100" s="88"/>
      <c r="AM100" s="88">
        <v>39.458284567798025</v>
      </c>
      <c r="AN100" s="88">
        <v>119.62</v>
      </c>
      <c r="AO100" s="89"/>
      <c r="AP100" s="90"/>
      <c r="AQ100" s="146" t="str">
        <f t="shared" si="39"/>
        <v/>
      </c>
      <c r="AR100" s="146" t="str">
        <f t="shared" si="40"/>
        <v/>
      </c>
      <c r="AS100" s="147">
        <v>45</v>
      </c>
      <c r="AT100" s="148">
        <v>15.45</v>
      </c>
      <c r="AU100" s="149">
        <v>8.6719000000000008</v>
      </c>
      <c r="AV100" s="146">
        <f t="shared" si="41"/>
        <v>56.128802588996777</v>
      </c>
      <c r="AW100" s="146">
        <f t="shared" si="42"/>
        <v>43.871197411003223</v>
      </c>
      <c r="AX100" s="138" t="str">
        <f t="shared" si="43"/>
        <v/>
      </c>
      <c r="AY100" s="95">
        <v>75.650000000000006</v>
      </c>
      <c r="AZ100" s="96">
        <v>59.414999999999999</v>
      </c>
      <c r="BA100" s="96"/>
      <c r="BB100" s="96">
        <v>75</v>
      </c>
      <c r="BC100" s="96"/>
      <c r="BD100" s="97">
        <v>119.62</v>
      </c>
      <c r="BE100" s="142">
        <f t="shared" si="44"/>
        <v>13619</v>
      </c>
      <c r="BF100" s="98">
        <v>812</v>
      </c>
      <c r="BG100" s="98">
        <v>2730</v>
      </c>
      <c r="BH100" s="98">
        <v>6897</v>
      </c>
      <c r="BI100" s="98">
        <v>3180</v>
      </c>
      <c r="BJ100" s="98"/>
      <c r="BK100" s="98"/>
      <c r="BL100" s="98"/>
    </row>
    <row r="101" spans="1:64" outlineLevel="5" x14ac:dyDescent="0.3">
      <c r="A101" s="152">
        <f t="shared" si="46"/>
        <v>3</v>
      </c>
      <c r="B101" s="153">
        <f t="shared" si="45"/>
        <v>45002</v>
      </c>
      <c r="C101" s="138">
        <f t="shared" si="35"/>
        <v>37.299999999999997</v>
      </c>
      <c r="D101" s="84">
        <v>37.1</v>
      </c>
      <c r="E101" s="84">
        <v>37.4</v>
      </c>
      <c r="F101" s="84"/>
      <c r="G101" s="84"/>
      <c r="H101" s="84"/>
      <c r="I101" s="84"/>
      <c r="J101" s="84"/>
      <c r="K101" s="84"/>
      <c r="L101" s="140" t="str">
        <f t="shared" si="36"/>
        <v/>
      </c>
      <c r="M101" s="86"/>
      <c r="N101" s="86"/>
      <c r="O101" s="86"/>
      <c r="P101" s="86"/>
      <c r="Q101" s="86"/>
      <c r="R101" s="86"/>
      <c r="S101" s="86"/>
      <c r="T101" s="86"/>
      <c r="U101" s="142" t="str">
        <f t="shared" si="37"/>
        <v/>
      </c>
      <c r="V101" s="88"/>
      <c r="W101" s="88"/>
      <c r="X101" s="88"/>
      <c r="Y101" s="88"/>
      <c r="Z101" s="88"/>
      <c r="AA101" s="88"/>
      <c r="AB101" s="88"/>
      <c r="AC101" s="88"/>
      <c r="AD101" s="142" t="str">
        <f t="shared" si="38"/>
        <v/>
      </c>
      <c r="AE101" s="88"/>
      <c r="AF101" s="88"/>
      <c r="AG101" s="88"/>
      <c r="AH101" s="88"/>
      <c r="AI101" s="88"/>
      <c r="AJ101" s="88"/>
      <c r="AK101" s="88"/>
      <c r="AL101" s="88"/>
      <c r="AM101" s="88">
        <v>43.606799704360682</v>
      </c>
      <c r="AN101" s="88">
        <v>108.24</v>
      </c>
      <c r="AO101" s="89"/>
      <c r="AP101" s="90"/>
      <c r="AQ101" s="146" t="str">
        <f t="shared" si="39"/>
        <v/>
      </c>
      <c r="AR101" s="146" t="str">
        <f t="shared" si="40"/>
        <v/>
      </c>
      <c r="AS101" s="147">
        <v>20</v>
      </c>
      <c r="AT101" s="148"/>
      <c r="AU101" s="149"/>
      <c r="AV101" s="146" t="str">
        <f t="shared" si="41"/>
        <v/>
      </c>
      <c r="AW101" s="146" t="str">
        <f t="shared" si="42"/>
        <v/>
      </c>
      <c r="AX101" s="138" t="str">
        <f t="shared" si="43"/>
        <v/>
      </c>
      <c r="AY101" s="95"/>
      <c r="AZ101" s="96">
        <v>61.435000000000002</v>
      </c>
      <c r="BA101" s="96"/>
      <c r="BB101" s="96">
        <v>74</v>
      </c>
      <c r="BC101" s="96"/>
      <c r="BD101" s="97">
        <v>108.24</v>
      </c>
      <c r="BE101" s="142">
        <f t="shared" si="44"/>
        <v>11009</v>
      </c>
      <c r="BF101" s="98">
        <v>866</v>
      </c>
      <c r="BG101" s="98">
        <v>2478</v>
      </c>
      <c r="BH101" s="98">
        <v>1928</v>
      </c>
      <c r="BI101" s="98">
        <v>5737</v>
      </c>
      <c r="BJ101" s="98"/>
      <c r="BK101" s="98"/>
      <c r="BL101" s="98"/>
    </row>
    <row r="102" spans="1:64" outlineLevel="5" x14ac:dyDescent="0.3">
      <c r="A102" s="152">
        <f t="shared" si="46"/>
        <v>3</v>
      </c>
      <c r="B102" s="153">
        <f t="shared" si="45"/>
        <v>45003</v>
      </c>
      <c r="C102" s="138">
        <f t="shared" si="35"/>
        <v>36.700000000000003</v>
      </c>
      <c r="D102" s="84">
        <v>36.6</v>
      </c>
      <c r="E102" s="84">
        <v>36.799999999999997</v>
      </c>
      <c r="F102" s="84"/>
      <c r="G102" s="84"/>
      <c r="H102" s="84"/>
      <c r="I102" s="84"/>
      <c r="J102" s="84"/>
      <c r="K102" s="84"/>
      <c r="L102" s="140" t="str">
        <f t="shared" si="36"/>
        <v/>
      </c>
      <c r="M102" s="86"/>
      <c r="N102" s="86"/>
      <c r="O102" s="86"/>
      <c r="P102" s="86"/>
      <c r="Q102" s="86"/>
      <c r="R102" s="86"/>
      <c r="S102" s="86"/>
      <c r="T102" s="86"/>
      <c r="U102" s="142" t="str">
        <f t="shared" si="37"/>
        <v/>
      </c>
      <c r="V102" s="88"/>
      <c r="W102" s="88"/>
      <c r="X102" s="88"/>
      <c r="Y102" s="88"/>
      <c r="Z102" s="88"/>
      <c r="AA102" s="88"/>
      <c r="AB102" s="88"/>
      <c r="AC102" s="88"/>
      <c r="AD102" s="142" t="str">
        <f t="shared" si="38"/>
        <v/>
      </c>
      <c r="AE102" s="88"/>
      <c r="AF102" s="88"/>
      <c r="AG102" s="88"/>
      <c r="AH102" s="88"/>
      <c r="AI102" s="88"/>
      <c r="AJ102" s="88"/>
      <c r="AK102" s="88"/>
      <c r="AL102" s="88"/>
      <c r="AM102" s="88">
        <v>46.667984971326874</v>
      </c>
      <c r="AN102" s="88">
        <v>101.14</v>
      </c>
      <c r="AO102" s="89"/>
      <c r="AP102" s="90"/>
      <c r="AQ102" s="146" t="str">
        <f t="shared" si="39"/>
        <v/>
      </c>
      <c r="AR102" s="146" t="str">
        <f t="shared" si="40"/>
        <v/>
      </c>
      <c r="AS102" s="147">
        <v>10</v>
      </c>
      <c r="AT102" s="148"/>
      <c r="AU102" s="149"/>
      <c r="AV102" s="146" t="str">
        <f t="shared" si="41"/>
        <v/>
      </c>
      <c r="AW102" s="146" t="str">
        <f t="shared" si="42"/>
        <v/>
      </c>
      <c r="AX102" s="138" t="str">
        <f t="shared" si="43"/>
        <v/>
      </c>
      <c r="AY102" s="95"/>
      <c r="AZ102" s="96"/>
      <c r="BA102" s="96"/>
      <c r="BB102" s="96"/>
      <c r="BC102" s="96"/>
      <c r="BD102" s="97">
        <v>101.14</v>
      </c>
      <c r="BE102" s="142">
        <f t="shared" si="44"/>
        <v>9083</v>
      </c>
      <c r="BF102" s="98">
        <v>418</v>
      </c>
      <c r="BG102" s="98">
        <v>1846</v>
      </c>
      <c r="BH102" s="98">
        <v>1002</v>
      </c>
      <c r="BI102" s="98">
        <v>5817</v>
      </c>
      <c r="BJ102" s="98"/>
      <c r="BK102" s="98"/>
      <c r="BL102" s="98"/>
    </row>
    <row r="103" spans="1:64" outlineLevel="5" x14ac:dyDescent="0.3">
      <c r="A103" s="152">
        <f t="shared" si="46"/>
        <v>3</v>
      </c>
      <c r="B103" s="153">
        <f t="shared" si="45"/>
        <v>45004</v>
      </c>
      <c r="C103" s="138">
        <f t="shared" si="35"/>
        <v>37.799999999999997</v>
      </c>
      <c r="D103" s="84">
        <v>37.299999999999997</v>
      </c>
      <c r="E103" s="84">
        <v>38.200000000000003</v>
      </c>
      <c r="F103" s="84"/>
      <c r="G103" s="84"/>
      <c r="H103" s="84"/>
      <c r="I103" s="84"/>
      <c r="J103" s="84"/>
      <c r="K103" s="84"/>
      <c r="L103" s="140" t="str">
        <f t="shared" si="36"/>
        <v/>
      </c>
      <c r="M103" s="86"/>
      <c r="N103" s="86"/>
      <c r="O103" s="86"/>
      <c r="P103" s="86"/>
      <c r="Q103" s="86"/>
      <c r="R103" s="86"/>
      <c r="S103" s="86"/>
      <c r="T103" s="86"/>
      <c r="U103" s="142" t="str">
        <f t="shared" si="37"/>
        <v/>
      </c>
      <c r="V103" s="88"/>
      <c r="W103" s="88"/>
      <c r="X103" s="88"/>
      <c r="Y103" s="88"/>
      <c r="Z103" s="88"/>
      <c r="AA103" s="88"/>
      <c r="AB103" s="88"/>
      <c r="AC103" s="88"/>
      <c r="AD103" s="142" t="str">
        <f t="shared" si="38"/>
        <v/>
      </c>
      <c r="AE103" s="88"/>
      <c r="AF103" s="88"/>
      <c r="AG103" s="88"/>
      <c r="AH103" s="88"/>
      <c r="AI103" s="88"/>
      <c r="AJ103" s="88"/>
      <c r="AK103" s="88"/>
      <c r="AL103" s="88"/>
      <c r="AM103" s="88">
        <v>52.444444444444443</v>
      </c>
      <c r="AN103" s="88">
        <v>90</v>
      </c>
      <c r="AO103" s="89"/>
      <c r="AP103" s="90"/>
      <c r="AQ103" s="146" t="str">
        <f t="shared" si="39"/>
        <v/>
      </c>
      <c r="AR103" s="146" t="str">
        <f t="shared" si="40"/>
        <v/>
      </c>
      <c r="AS103" s="147">
        <v>10</v>
      </c>
      <c r="AT103" s="148"/>
      <c r="AU103" s="149"/>
      <c r="AV103" s="146" t="str">
        <f t="shared" si="41"/>
        <v/>
      </c>
      <c r="AW103" s="146" t="str">
        <f t="shared" si="42"/>
        <v/>
      </c>
      <c r="AX103" s="138" t="str">
        <f t="shared" si="43"/>
        <v/>
      </c>
      <c r="AY103" s="95"/>
      <c r="AZ103" s="96"/>
      <c r="BA103" s="96"/>
      <c r="BB103" s="96"/>
      <c r="BC103" s="96"/>
      <c r="BD103" s="97">
        <v>90</v>
      </c>
      <c r="BE103" s="142">
        <f t="shared" si="44"/>
        <v>12093</v>
      </c>
      <c r="BF103" s="98">
        <v>923</v>
      </c>
      <c r="BG103" s="98">
        <v>0</v>
      </c>
      <c r="BH103" s="98">
        <v>5805</v>
      </c>
      <c r="BI103" s="98">
        <v>5365</v>
      </c>
      <c r="BJ103" s="98"/>
      <c r="BK103" s="98"/>
      <c r="BL103" s="98"/>
    </row>
    <row r="104" spans="1:64" outlineLevel="5" x14ac:dyDescent="0.3">
      <c r="A104" s="152">
        <f t="shared" si="46"/>
        <v>3</v>
      </c>
      <c r="B104" s="153">
        <f t="shared" si="45"/>
        <v>45005</v>
      </c>
      <c r="C104" s="138">
        <f t="shared" si="35"/>
        <v>37.9</v>
      </c>
      <c r="D104" s="84">
        <v>37.799999999999997</v>
      </c>
      <c r="E104" s="84">
        <v>38</v>
      </c>
      <c r="F104" s="84"/>
      <c r="G104" s="84"/>
      <c r="H104" s="84"/>
      <c r="I104" s="84"/>
      <c r="J104" s="84"/>
      <c r="K104" s="84"/>
      <c r="L104" s="140">
        <f t="shared" si="36"/>
        <v>8.6</v>
      </c>
      <c r="M104" s="86">
        <v>8.59</v>
      </c>
      <c r="N104" s="86">
        <v>8.5299999999999994</v>
      </c>
      <c r="O104" s="86"/>
      <c r="P104" s="86"/>
      <c r="Q104" s="86"/>
      <c r="R104" s="86"/>
      <c r="S104" s="86"/>
      <c r="T104" s="86"/>
      <c r="U104" s="142">
        <f t="shared" si="37"/>
        <v>1297.5</v>
      </c>
      <c r="V104" s="88">
        <v>1319</v>
      </c>
      <c r="W104" s="88">
        <v>1276</v>
      </c>
      <c r="X104" s="88"/>
      <c r="Y104" s="88"/>
      <c r="Z104" s="88"/>
      <c r="AA104" s="88"/>
      <c r="AB104" s="88"/>
      <c r="AC104" s="88"/>
      <c r="AD104" s="142" t="str">
        <f t="shared" si="38"/>
        <v/>
      </c>
      <c r="AE104" s="88"/>
      <c r="AF104" s="88"/>
      <c r="AG104" s="88"/>
      <c r="AH104" s="88"/>
      <c r="AI104" s="88"/>
      <c r="AJ104" s="88"/>
      <c r="AK104" s="88"/>
      <c r="AL104" s="88"/>
      <c r="AM104" s="88">
        <v>48.261758691206545</v>
      </c>
      <c r="AN104" s="88">
        <v>97.8</v>
      </c>
      <c r="AO104" s="89">
        <v>19.100000000000001</v>
      </c>
      <c r="AP104" s="90">
        <v>14.936200000000001</v>
      </c>
      <c r="AQ104" s="146">
        <f t="shared" si="39"/>
        <v>78.2</v>
      </c>
      <c r="AR104" s="146">
        <f t="shared" si="40"/>
        <v>21.799999999999997</v>
      </c>
      <c r="AS104" s="147">
        <v>30</v>
      </c>
      <c r="AT104" s="148">
        <v>13.45</v>
      </c>
      <c r="AU104" s="149">
        <v>8.3674499999999998</v>
      </c>
      <c r="AV104" s="146">
        <f t="shared" si="41"/>
        <v>62.211524163568775</v>
      </c>
      <c r="AW104" s="146">
        <f t="shared" si="42"/>
        <v>37.788475836431225</v>
      </c>
      <c r="AX104" s="138">
        <f t="shared" si="43"/>
        <v>54.105440406510006</v>
      </c>
      <c r="AY104" s="95">
        <v>74.400000000000006</v>
      </c>
      <c r="AZ104" s="96">
        <v>61.725000000000001</v>
      </c>
      <c r="BA104" s="96"/>
      <c r="BB104" s="96">
        <v>77</v>
      </c>
      <c r="BC104" s="96"/>
      <c r="BD104" s="97">
        <v>97.8</v>
      </c>
      <c r="BE104" s="142">
        <f t="shared" si="44"/>
        <v>13611</v>
      </c>
      <c r="BF104" s="98">
        <v>1302</v>
      </c>
      <c r="BG104" s="98">
        <v>0</v>
      </c>
      <c r="BH104" s="98">
        <v>6427</v>
      </c>
      <c r="BI104" s="98">
        <v>5882</v>
      </c>
      <c r="BJ104" s="98"/>
      <c r="BK104" s="98"/>
      <c r="BL104" s="98"/>
    </row>
    <row r="105" spans="1:64" outlineLevel="5" x14ac:dyDescent="0.3">
      <c r="A105" s="152">
        <f t="shared" si="46"/>
        <v>3</v>
      </c>
      <c r="B105" s="153">
        <f t="shared" si="45"/>
        <v>45006</v>
      </c>
      <c r="C105" s="138">
        <f t="shared" si="35"/>
        <v>37.700000000000003</v>
      </c>
      <c r="D105" s="84">
        <v>37.9</v>
      </c>
      <c r="E105" s="84">
        <v>37.5</v>
      </c>
      <c r="F105" s="84"/>
      <c r="G105" s="84"/>
      <c r="H105" s="84"/>
      <c r="I105" s="84"/>
      <c r="J105" s="84"/>
      <c r="K105" s="84"/>
      <c r="L105" s="140" t="str">
        <f t="shared" si="36"/>
        <v/>
      </c>
      <c r="M105" s="86"/>
      <c r="N105" s="86"/>
      <c r="O105" s="86"/>
      <c r="P105" s="86"/>
      <c r="Q105" s="86"/>
      <c r="R105" s="86"/>
      <c r="S105" s="86"/>
      <c r="T105" s="86"/>
      <c r="U105" s="142" t="str">
        <f t="shared" si="37"/>
        <v/>
      </c>
      <c r="V105" s="88"/>
      <c r="W105" s="88"/>
      <c r="X105" s="88"/>
      <c r="Y105" s="88"/>
      <c r="Z105" s="88"/>
      <c r="AA105" s="88"/>
      <c r="AB105" s="88"/>
      <c r="AC105" s="88"/>
      <c r="AD105" s="142" t="str">
        <f t="shared" si="38"/>
        <v/>
      </c>
      <c r="AE105" s="88"/>
      <c r="AF105" s="88"/>
      <c r="AG105" s="88"/>
      <c r="AH105" s="88"/>
      <c r="AI105" s="88"/>
      <c r="AJ105" s="88"/>
      <c r="AK105" s="88"/>
      <c r="AL105" s="88"/>
      <c r="AM105" s="88">
        <v>46.25183733463988</v>
      </c>
      <c r="AN105" s="88">
        <v>102.05</v>
      </c>
      <c r="AO105" s="89"/>
      <c r="AP105" s="90"/>
      <c r="AQ105" s="146" t="str">
        <f t="shared" si="39"/>
        <v/>
      </c>
      <c r="AR105" s="146" t="str">
        <f t="shared" si="40"/>
        <v/>
      </c>
      <c r="AS105" s="147">
        <v>30</v>
      </c>
      <c r="AT105" s="148"/>
      <c r="AU105" s="149"/>
      <c r="AV105" s="146" t="str">
        <f t="shared" si="41"/>
        <v/>
      </c>
      <c r="AW105" s="146" t="str">
        <f t="shared" si="42"/>
        <v/>
      </c>
      <c r="AX105" s="138" t="str">
        <f t="shared" si="43"/>
        <v/>
      </c>
      <c r="AY105" s="95"/>
      <c r="AZ105" s="96">
        <v>59.435000000000002</v>
      </c>
      <c r="BA105" s="96"/>
      <c r="BB105" s="96">
        <v>80</v>
      </c>
      <c r="BC105" s="96"/>
      <c r="BD105" s="97">
        <v>102.05</v>
      </c>
      <c r="BE105" s="142">
        <f t="shared" si="44"/>
        <v>14254</v>
      </c>
      <c r="BF105" s="98">
        <v>1380</v>
      </c>
      <c r="BG105" s="98">
        <v>0</v>
      </c>
      <c r="BH105" s="98">
        <v>6906</v>
      </c>
      <c r="BI105" s="98">
        <v>5968</v>
      </c>
      <c r="BJ105" s="98"/>
      <c r="BK105" s="98"/>
      <c r="BL105" s="98"/>
    </row>
    <row r="106" spans="1:64" outlineLevel="5" x14ac:dyDescent="0.3">
      <c r="A106" s="152">
        <f t="shared" si="46"/>
        <v>3</v>
      </c>
      <c r="B106" s="153">
        <f t="shared" si="45"/>
        <v>45007</v>
      </c>
      <c r="C106" s="138">
        <f t="shared" si="35"/>
        <v>37.700000000000003</v>
      </c>
      <c r="D106" s="84">
        <v>37.4</v>
      </c>
      <c r="E106" s="84">
        <v>38</v>
      </c>
      <c r="F106" s="84"/>
      <c r="G106" s="84"/>
      <c r="H106" s="84"/>
      <c r="I106" s="84"/>
      <c r="J106" s="84"/>
      <c r="K106" s="84"/>
      <c r="L106" s="140">
        <f t="shared" si="36"/>
        <v>8.3000000000000007</v>
      </c>
      <c r="M106" s="86">
        <v>8.3800000000000008</v>
      </c>
      <c r="N106" s="86">
        <v>8.3000000000000007</v>
      </c>
      <c r="O106" s="86"/>
      <c r="P106" s="86"/>
      <c r="Q106" s="86"/>
      <c r="R106" s="86"/>
      <c r="S106" s="86"/>
      <c r="T106" s="86"/>
      <c r="U106" s="142">
        <f t="shared" si="37"/>
        <v>1377</v>
      </c>
      <c r="V106" s="88">
        <v>1426</v>
      </c>
      <c r="W106" s="88">
        <v>1328</v>
      </c>
      <c r="X106" s="88"/>
      <c r="Y106" s="88"/>
      <c r="Z106" s="88"/>
      <c r="AA106" s="88"/>
      <c r="AB106" s="88"/>
      <c r="AC106" s="88"/>
      <c r="AD106" s="142">
        <f t="shared" si="38"/>
        <v>9905</v>
      </c>
      <c r="AE106" s="88">
        <v>9880</v>
      </c>
      <c r="AF106" s="88">
        <v>9930</v>
      </c>
      <c r="AG106" s="88"/>
      <c r="AH106" s="88"/>
      <c r="AI106" s="88"/>
      <c r="AJ106" s="88"/>
      <c r="AK106" s="88"/>
      <c r="AL106" s="88"/>
      <c r="AM106" s="88">
        <v>43.046055631554943</v>
      </c>
      <c r="AN106" s="88">
        <v>109.65</v>
      </c>
      <c r="AO106" s="89"/>
      <c r="AP106" s="90"/>
      <c r="AQ106" s="146" t="str">
        <f t="shared" si="39"/>
        <v/>
      </c>
      <c r="AR106" s="146" t="str">
        <f t="shared" si="40"/>
        <v/>
      </c>
      <c r="AS106" s="147">
        <v>30</v>
      </c>
      <c r="AT106" s="148">
        <v>13.05</v>
      </c>
      <c r="AU106" s="149">
        <v>8.1222000000000012</v>
      </c>
      <c r="AV106" s="146">
        <f t="shared" si="41"/>
        <v>62.239080459770122</v>
      </c>
      <c r="AW106" s="146">
        <f t="shared" si="42"/>
        <v>37.760919540229878</v>
      </c>
      <c r="AX106" s="138" t="str">
        <f t="shared" si="43"/>
        <v/>
      </c>
      <c r="AY106" s="95">
        <v>77.900000000000006</v>
      </c>
      <c r="AZ106" s="96">
        <v>59.57</v>
      </c>
      <c r="BA106" s="96"/>
      <c r="BB106" s="96">
        <v>76</v>
      </c>
      <c r="BC106" s="96"/>
      <c r="BD106" s="97">
        <v>109.65</v>
      </c>
      <c r="BE106" s="142">
        <f t="shared" si="44"/>
        <v>14666</v>
      </c>
      <c r="BF106" s="98">
        <v>1197</v>
      </c>
      <c r="BG106" s="98">
        <v>0</v>
      </c>
      <c r="BH106" s="98">
        <v>7495</v>
      </c>
      <c r="BI106" s="98">
        <v>5974</v>
      </c>
      <c r="BJ106" s="98"/>
      <c r="BK106" s="98"/>
      <c r="BL106" s="98"/>
    </row>
    <row r="107" spans="1:64" outlineLevel="5" x14ac:dyDescent="0.3">
      <c r="A107" s="152">
        <f t="shared" si="46"/>
        <v>3</v>
      </c>
      <c r="B107" s="153">
        <f t="shared" si="45"/>
        <v>45008</v>
      </c>
      <c r="C107" s="138">
        <f t="shared" si="35"/>
        <v>38</v>
      </c>
      <c r="D107" s="84">
        <v>38.1</v>
      </c>
      <c r="E107" s="84">
        <v>37.799999999999997</v>
      </c>
      <c r="F107" s="84"/>
      <c r="G107" s="84"/>
      <c r="H107" s="84"/>
      <c r="I107" s="84"/>
      <c r="J107" s="84"/>
      <c r="K107" s="84"/>
      <c r="L107" s="140">
        <f t="shared" si="36"/>
        <v>8.4</v>
      </c>
      <c r="M107" s="86">
        <v>8.4</v>
      </c>
      <c r="N107" s="86">
        <v>8.36</v>
      </c>
      <c r="O107" s="86"/>
      <c r="P107" s="86"/>
      <c r="Q107" s="86"/>
      <c r="R107" s="86"/>
      <c r="S107" s="86"/>
      <c r="T107" s="86"/>
      <c r="U107" s="142">
        <f t="shared" si="37"/>
        <v>1643.5</v>
      </c>
      <c r="V107" s="88">
        <v>1741</v>
      </c>
      <c r="W107" s="88">
        <v>1546</v>
      </c>
      <c r="X107" s="88"/>
      <c r="Y107" s="88"/>
      <c r="Z107" s="88"/>
      <c r="AA107" s="88"/>
      <c r="AB107" s="88"/>
      <c r="AC107" s="88"/>
      <c r="AD107" s="142" t="str">
        <f t="shared" si="38"/>
        <v/>
      </c>
      <c r="AE107" s="88"/>
      <c r="AF107" s="88"/>
      <c r="AG107" s="88"/>
      <c r="AH107" s="88"/>
      <c r="AI107" s="88"/>
      <c r="AJ107" s="88"/>
      <c r="AK107" s="88"/>
      <c r="AL107" s="88"/>
      <c r="AM107" s="88">
        <v>52.997978890635522</v>
      </c>
      <c r="AN107" s="88">
        <v>89.06</v>
      </c>
      <c r="AO107" s="89"/>
      <c r="AP107" s="90"/>
      <c r="AQ107" s="146" t="str">
        <f t="shared" si="39"/>
        <v/>
      </c>
      <c r="AR107" s="146" t="str">
        <f t="shared" si="40"/>
        <v/>
      </c>
      <c r="AS107" s="147">
        <v>30</v>
      </c>
      <c r="AT107" s="148">
        <v>15.45</v>
      </c>
      <c r="AU107" s="149">
        <v>8.6719000000000008</v>
      </c>
      <c r="AV107" s="146">
        <f t="shared" si="41"/>
        <v>56.128802588996777</v>
      </c>
      <c r="AW107" s="146">
        <f t="shared" si="42"/>
        <v>43.871197411003223</v>
      </c>
      <c r="AX107" s="138" t="str">
        <f t="shared" si="43"/>
        <v/>
      </c>
      <c r="AY107" s="95">
        <v>75.650000000000006</v>
      </c>
      <c r="AZ107" s="96">
        <v>60.864999999999995</v>
      </c>
      <c r="BA107" s="96"/>
      <c r="BB107" s="96">
        <v>66.5</v>
      </c>
      <c r="BC107" s="96"/>
      <c r="BD107" s="97">
        <v>89.06</v>
      </c>
      <c r="BE107" s="142">
        <f t="shared" si="44"/>
        <v>13282</v>
      </c>
      <c r="BF107" s="98">
        <v>1217</v>
      </c>
      <c r="BG107" s="98">
        <v>0</v>
      </c>
      <c r="BH107" s="98">
        <v>6334</v>
      </c>
      <c r="BI107" s="98">
        <v>5731</v>
      </c>
      <c r="BJ107" s="98"/>
      <c r="BK107" s="98"/>
      <c r="BL107" s="98"/>
    </row>
    <row r="108" spans="1:64" outlineLevel="5" x14ac:dyDescent="0.3">
      <c r="A108" s="152">
        <f t="shared" si="46"/>
        <v>3</v>
      </c>
      <c r="B108" s="153">
        <f t="shared" si="45"/>
        <v>45009</v>
      </c>
      <c r="C108" s="138">
        <f t="shared" si="35"/>
        <v>38.299999999999997</v>
      </c>
      <c r="D108" s="84">
        <v>38.4</v>
      </c>
      <c r="E108" s="84">
        <v>38.1</v>
      </c>
      <c r="F108" s="84"/>
      <c r="G108" s="84"/>
      <c r="H108" s="84"/>
      <c r="I108" s="84"/>
      <c r="J108" s="84"/>
      <c r="K108" s="84"/>
      <c r="L108" s="140" t="str">
        <f t="shared" si="36"/>
        <v/>
      </c>
      <c r="M108" s="86"/>
      <c r="N108" s="86"/>
      <c r="O108" s="86"/>
      <c r="P108" s="86"/>
      <c r="Q108" s="86"/>
      <c r="R108" s="86"/>
      <c r="S108" s="86"/>
      <c r="T108" s="86"/>
      <c r="U108" s="142" t="str">
        <f t="shared" si="37"/>
        <v/>
      </c>
      <c r="V108" s="88"/>
      <c r="W108" s="88"/>
      <c r="X108" s="88"/>
      <c r="Y108" s="88"/>
      <c r="Z108" s="88"/>
      <c r="AA108" s="88"/>
      <c r="AB108" s="88"/>
      <c r="AC108" s="88"/>
      <c r="AD108" s="142" t="str">
        <f t="shared" si="38"/>
        <v/>
      </c>
      <c r="AE108" s="88"/>
      <c r="AF108" s="88"/>
      <c r="AG108" s="88"/>
      <c r="AH108" s="88"/>
      <c r="AI108" s="88"/>
      <c r="AJ108" s="88"/>
      <c r="AK108" s="88"/>
      <c r="AL108" s="88"/>
      <c r="AM108" s="88">
        <v>44.141026839988776</v>
      </c>
      <c r="AN108" s="88">
        <v>106.93</v>
      </c>
      <c r="AO108" s="89"/>
      <c r="AP108" s="90"/>
      <c r="AQ108" s="146" t="str">
        <f t="shared" si="39"/>
        <v/>
      </c>
      <c r="AR108" s="146" t="str">
        <f t="shared" si="40"/>
        <v/>
      </c>
      <c r="AS108" s="147">
        <v>33</v>
      </c>
      <c r="AT108" s="148"/>
      <c r="AU108" s="149"/>
      <c r="AV108" s="146" t="str">
        <f t="shared" si="41"/>
        <v/>
      </c>
      <c r="AW108" s="146" t="str">
        <f t="shared" si="42"/>
        <v/>
      </c>
      <c r="AX108" s="138" t="str">
        <f t="shared" si="43"/>
        <v/>
      </c>
      <c r="AY108" s="95"/>
      <c r="AZ108" s="96">
        <v>63.875</v>
      </c>
      <c r="BA108" s="96"/>
      <c r="BB108" s="96">
        <v>47.5</v>
      </c>
      <c r="BC108" s="96"/>
      <c r="BD108" s="97">
        <v>106.93</v>
      </c>
      <c r="BE108" s="142">
        <f t="shared" si="44"/>
        <v>12756</v>
      </c>
      <c r="BF108" s="98">
        <v>0</v>
      </c>
      <c r="BG108" s="98">
        <v>0</v>
      </c>
      <c r="BH108" s="98">
        <v>7220</v>
      </c>
      <c r="BI108" s="98">
        <v>5536</v>
      </c>
      <c r="BJ108" s="98"/>
      <c r="BK108" s="98"/>
      <c r="BL108" s="98"/>
    </row>
    <row r="109" spans="1:64" outlineLevel="5" x14ac:dyDescent="0.3">
      <c r="A109" s="152">
        <f t="shared" si="46"/>
        <v>3</v>
      </c>
      <c r="B109" s="153">
        <f t="shared" si="45"/>
        <v>45010</v>
      </c>
      <c r="C109" s="138">
        <f t="shared" si="35"/>
        <v>38.4</v>
      </c>
      <c r="D109" s="84">
        <v>38.9</v>
      </c>
      <c r="E109" s="84">
        <v>37.9</v>
      </c>
      <c r="F109" s="84"/>
      <c r="G109" s="84"/>
      <c r="H109" s="84"/>
      <c r="I109" s="84"/>
      <c r="J109" s="84"/>
      <c r="K109" s="84"/>
      <c r="L109" s="140" t="str">
        <f t="shared" si="36"/>
        <v/>
      </c>
      <c r="M109" s="86"/>
      <c r="N109" s="86"/>
      <c r="O109" s="86"/>
      <c r="P109" s="86"/>
      <c r="Q109" s="86"/>
      <c r="R109" s="86"/>
      <c r="S109" s="86"/>
      <c r="T109" s="86"/>
      <c r="U109" s="142" t="str">
        <f t="shared" si="37"/>
        <v/>
      </c>
      <c r="V109" s="88"/>
      <c r="W109" s="88"/>
      <c r="X109" s="88"/>
      <c r="Y109" s="88"/>
      <c r="Z109" s="88"/>
      <c r="AA109" s="88"/>
      <c r="AB109" s="88"/>
      <c r="AC109" s="88"/>
      <c r="AD109" s="142" t="str">
        <f t="shared" si="38"/>
        <v/>
      </c>
      <c r="AE109" s="88"/>
      <c r="AF109" s="88"/>
      <c r="AG109" s="88"/>
      <c r="AH109" s="88"/>
      <c r="AI109" s="88"/>
      <c r="AJ109" s="88"/>
      <c r="AK109" s="88"/>
      <c r="AL109" s="88"/>
      <c r="AM109" s="88">
        <v>43.211571912478263</v>
      </c>
      <c r="AN109" s="88">
        <v>109.22999999999999</v>
      </c>
      <c r="AO109" s="89"/>
      <c r="AP109" s="90"/>
      <c r="AQ109" s="146" t="str">
        <f t="shared" si="39"/>
        <v/>
      </c>
      <c r="AR109" s="146" t="str">
        <f t="shared" si="40"/>
        <v/>
      </c>
      <c r="AS109" s="147">
        <v>10</v>
      </c>
      <c r="AT109" s="148"/>
      <c r="AU109" s="149"/>
      <c r="AV109" s="146" t="str">
        <f t="shared" si="41"/>
        <v/>
      </c>
      <c r="AW109" s="146" t="str">
        <f t="shared" si="42"/>
        <v/>
      </c>
      <c r="AX109" s="138" t="str">
        <f t="shared" si="43"/>
        <v/>
      </c>
      <c r="AY109" s="95"/>
      <c r="AZ109" s="96"/>
      <c r="BA109" s="96"/>
      <c r="BB109" s="96"/>
      <c r="BC109" s="96"/>
      <c r="BD109" s="97">
        <v>109.22999999999999</v>
      </c>
      <c r="BE109" s="142">
        <f t="shared" si="44"/>
        <v>12366</v>
      </c>
      <c r="BF109" s="98">
        <v>721</v>
      </c>
      <c r="BG109" s="98">
        <v>0</v>
      </c>
      <c r="BH109" s="98">
        <v>5892</v>
      </c>
      <c r="BI109" s="98">
        <v>5753</v>
      </c>
      <c r="BJ109" s="98"/>
      <c r="BK109" s="98"/>
      <c r="BL109" s="98"/>
    </row>
    <row r="110" spans="1:64" outlineLevel="5" x14ac:dyDescent="0.3">
      <c r="A110" s="152">
        <f t="shared" si="46"/>
        <v>3</v>
      </c>
      <c r="B110" s="153">
        <f t="shared" si="45"/>
        <v>45011</v>
      </c>
      <c r="C110" s="138">
        <f t="shared" si="35"/>
        <v>38.4</v>
      </c>
      <c r="D110" s="84">
        <v>38.700000000000003</v>
      </c>
      <c r="E110" s="84">
        <v>38</v>
      </c>
      <c r="F110" s="84"/>
      <c r="G110" s="84"/>
      <c r="H110" s="84"/>
      <c r="I110" s="84"/>
      <c r="J110" s="84"/>
      <c r="K110" s="84"/>
      <c r="L110" s="140" t="str">
        <f t="shared" si="36"/>
        <v/>
      </c>
      <c r="M110" s="86"/>
      <c r="N110" s="86"/>
      <c r="O110" s="86"/>
      <c r="P110" s="86"/>
      <c r="Q110" s="86"/>
      <c r="R110" s="86"/>
      <c r="S110" s="86"/>
      <c r="T110" s="86"/>
      <c r="U110" s="142" t="str">
        <f t="shared" si="37"/>
        <v/>
      </c>
      <c r="V110" s="88"/>
      <c r="W110" s="88"/>
      <c r="X110" s="88"/>
      <c r="Y110" s="88"/>
      <c r="Z110" s="88"/>
      <c r="AA110" s="88"/>
      <c r="AB110" s="88"/>
      <c r="AC110" s="88"/>
      <c r="AD110" s="142" t="str">
        <f t="shared" si="38"/>
        <v/>
      </c>
      <c r="AE110" s="88"/>
      <c r="AF110" s="88"/>
      <c r="AG110" s="88"/>
      <c r="AH110" s="88"/>
      <c r="AI110" s="88"/>
      <c r="AJ110" s="88"/>
      <c r="AK110" s="88"/>
      <c r="AL110" s="88"/>
      <c r="AM110" s="88">
        <v>41.043478260869563</v>
      </c>
      <c r="AN110" s="88">
        <v>115</v>
      </c>
      <c r="AO110" s="89"/>
      <c r="AP110" s="90"/>
      <c r="AQ110" s="146" t="str">
        <f t="shared" si="39"/>
        <v/>
      </c>
      <c r="AR110" s="146" t="str">
        <f t="shared" si="40"/>
        <v/>
      </c>
      <c r="AS110" s="147">
        <v>10</v>
      </c>
      <c r="AT110" s="148"/>
      <c r="AU110" s="149"/>
      <c r="AV110" s="146" t="str">
        <f t="shared" si="41"/>
        <v/>
      </c>
      <c r="AW110" s="146" t="str">
        <f t="shared" si="42"/>
        <v/>
      </c>
      <c r="AX110" s="138" t="str">
        <f t="shared" si="43"/>
        <v/>
      </c>
      <c r="AY110" s="95"/>
      <c r="AZ110" s="96"/>
      <c r="BA110" s="96"/>
      <c r="BB110" s="96"/>
      <c r="BC110" s="96"/>
      <c r="BD110" s="97">
        <v>115</v>
      </c>
      <c r="BE110" s="142">
        <f t="shared" si="44"/>
        <v>10985</v>
      </c>
      <c r="BF110" s="98">
        <v>634</v>
      </c>
      <c r="BG110" s="98">
        <v>0</v>
      </c>
      <c r="BH110" s="98">
        <v>4729</v>
      </c>
      <c r="BI110" s="98">
        <v>5622</v>
      </c>
      <c r="BJ110" s="98"/>
      <c r="BK110" s="98"/>
      <c r="BL110" s="98"/>
    </row>
    <row r="111" spans="1:64" outlineLevel="5" x14ac:dyDescent="0.3">
      <c r="A111" s="152">
        <f t="shared" si="46"/>
        <v>3</v>
      </c>
      <c r="B111" s="153">
        <f t="shared" si="45"/>
        <v>45012</v>
      </c>
      <c r="C111" s="138">
        <f t="shared" si="35"/>
        <v>37.700000000000003</v>
      </c>
      <c r="D111" s="84">
        <v>37.799999999999997</v>
      </c>
      <c r="E111" s="84">
        <v>37.5</v>
      </c>
      <c r="F111" s="84"/>
      <c r="G111" s="84"/>
      <c r="H111" s="84"/>
      <c r="I111" s="84"/>
      <c r="J111" s="84"/>
      <c r="K111" s="84"/>
      <c r="L111" s="140">
        <f t="shared" si="36"/>
        <v>8.3000000000000007</v>
      </c>
      <c r="M111" s="86">
        <v>8.3800000000000008</v>
      </c>
      <c r="N111" s="86">
        <v>8.3000000000000007</v>
      </c>
      <c r="O111" s="86"/>
      <c r="P111" s="86"/>
      <c r="Q111" s="86"/>
      <c r="R111" s="86"/>
      <c r="S111" s="86"/>
      <c r="T111" s="86"/>
      <c r="U111" s="142">
        <f t="shared" si="37"/>
        <v>1325</v>
      </c>
      <c r="V111" s="88">
        <v>1356</v>
      </c>
      <c r="W111" s="88">
        <v>1294</v>
      </c>
      <c r="X111" s="88"/>
      <c r="Y111" s="88"/>
      <c r="Z111" s="88"/>
      <c r="AA111" s="88"/>
      <c r="AB111" s="88"/>
      <c r="AC111" s="88"/>
      <c r="AD111" s="142" t="str">
        <f t="shared" si="38"/>
        <v/>
      </c>
      <c r="AE111" s="88"/>
      <c r="AF111" s="88"/>
      <c r="AG111" s="88"/>
      <c r="AH111" s="88"/>
      <c r="AI111" s="88"/>
      <c r="AJ111" s="88"/>
      <c r="AK111" s="88"/>
      <c r="AL111" s="88"/>
      <c r="AM111" s="88">
        <v>48.639736191261342</v>
      </c>
      <c r="AN111" s="88">
        <v>97.039999999999992</v>
      </c>
      <c r="AO111" s="89"/>
      <c r="AP111" s="90"/>
      <c r="AQ111" s="146" t="str">
        <f t="shared" si="39"/>
        <v/>
      </c>
      <c r="AR111" s="146" t="str">
        <f t="shared" si="40"/>
        <v/>
      </c>
      <c r="AS111" s="147">
        <v>30</v>
      </c>
      <c r="AT111" s="148">
        <v>13.15</v>
      </c>
      <c r="AU111" s="149">
        <v>6.3756500000000003</v>
      </c>
      <c r="AV111" s="146">
        <f t="shared" si="41"/>
        <v>48.484030418250953</v>
      </c>
      <c r="AW111" s="146">
        <f t="shared" si="42"/>
        <v>51.515969581749047</v>
      </c>
      <c r="AX111" s="138" t="str">
        <f t="shared" si="43"/>
        <v/>
      </c>
      <c r="AY111" s="95">
        <v>79.55</v>
      </c>
      <c r="AZ111" s="96">
        <v>61.19</v>
      </c>
      <c r="BA111" s="96"/>
      <c r="BB111" s="96">
        <v>56.5</v>
      </c>
      <c r="BC111" s="96"/>
      <c r="BD111" s="97">
        <v>97.039999999999992</v>
      </c>
      <c r="BE111" s="142">
        <f t="shared" si="44"/>
        <v>13956</v>
      </c>
      <c r="BF111" s="98">
        <v>732</v>
      </c>
      <c r="BG111" s="98">
        <v>1794</v>
      </c>
      <c r="BH111" s="98">
        <v>5640</v>
      </c>
      <c r="BI111" s="98">
        <v>5790</v>
      </c>
      <c r="BJ111" s="98"/>
      <c r="BK111" s="98"/>
      <c r="BL111" s="98"/>
    </row>
    <row r="112" spans="1:64" outlineLevel="5" x14ac:dyDescent="0.3">
      <c r="A112" s="152">
        <f t="shared" si="46"/>
        <v>3</v>
      </c>
      <c r="B112" s="153">
        <f t="shared" si="45"/>
        <v>45013</v>
      </c>
      <c r="C112" s="138">
        <f t="shared" si="35"/>
        <v>37.4</v>
      </c>
      <c r="D112" s="84">
        <v>37.6</v>
      </c>
      <c r="E112" s="84">
        <v>37.1</v>
      </c>
      <c r="F112" s="84"/>
      <c r="G112" s="84"/>
      <c r="H112" s="84"/>
      <c r="I112" s="84"/>
      <c r="J112" s="84"/>
      <c r="K112" s="84"/>
      <c r="L112" s="140" t="str">
        <f t="shared" si="36"/>
        <v/>
      </c>
      <c r="M112" s="86"/>
      <c r="N112" s="86"/>
      <c r="O112" s="86"/>
      <c r="P112" s="86"/>
      <c r="Q112" s="86"/>
      <c r="R112" s="86"/>
      <c r="S112" s="86"/>
      <c r="T112" s="86"/>
      <c r="U112" s="142" t="str">
        <f t="shared" si="37"/>
        <v/>
      </c>
      <c r="V112" s="88"/>
      <c r="W112" s="88"/>
      <c r="X112" s="88"/>
      <c r="Y112" s="88"/>
      <c r="Z112" s="88"/>
      <c r="AA112" s="88"/>
      <c r="AB112" s="88"/>
      <c r="AC112" s="88"/>
      <c r="AD112" s="142" t="str">
        <f t="shared" si="38"/>
        <v/>
      </c>
      <c r="AE112" s="88"/>
      <c r="AF112" s="88"/>
      <c r="AG112" s="88"/>
      <c r="AH112" s="88"/>
      <c r="AI112" s="88"/>
      <c r="AJ112" s="88"/>
      <c r="AK112" s="88"/>
      <c r="AL112" s="88"/>
      <c r="AM112" s="88">
        <v>41.773608283918925</v>
      </c>
      <c r="AN112" s="88">
        <v>112.99000000000001</v>
      </c>
      <c r="AO112" s="89"/>
      <c r="AP112" s="90"/>
      <c r="AQ112" s="146" t="str">
        <f t="shared" si="39"/>
        <v/>
      </c>
      <c r="AR112" s="146" t="str">
        <f t="shared" si="40"/>
        <v/>
      </c>
      <c r="AS112" s="147">
        <v>30</v>
      </c>
      <c r="AT112" s="148"/>
      <c r="AU112" s="149"/>
      <c r="AV112" s="146" t="str">
        <f t="shared" si="41"/>
        <v/>
      </c>
      <c r="AW112" s="146" t="str">
        <f t="shared" si="42"/>
        <v/>
      </c>
      <c r="AX112" s="138" t="str">
        <f t="shared" si="43"/>
        <v/>
      </c>
      <c r="AY112" s="95"/>
      <c r="AZ112" s="96">
        <v>60.424999999999997</v>
      </c>
      <c r="BA112" s="96"/>
      <c r="BB112" s="96">
        <v>53.5</v>
      </c>
      <c r="BC112" s="96"/>
      <c r="BD112" s="97">
        <v>112.99000000000001</v>
      </c>
      <c r="BE112" s="142">
        <f t="shared" si="44"/>
        <v>15135</v>
      </c>
      <c r="BF112" s="98">
        <v>40</v>
      </c>
      <c r="BG112" s="98">
        <v>3642</v>
      </c>
      <c r="BH112" s="98">
        <v>5490</v>
      </c>
      <c r="BI112" s="98">
        <v>5963</v>
      </c>
      <c r="BJ112" s="98"/>
      <c r="BK112" s="98"/>
      <c r="BL112" s="98"/>
    </row>
    <row r="113" spans="1:64" outlineLevel="5" x14ac:dyDescent="0.3">
      <c r="A113" s="152">
        <f t="shared" si="46"/>
        <v>3</v>
      </c>
      <c r="B113" s="153">
        <f t="shared" si="45"/>
        <v>45014</v>
      </c>
      <c r="C113" s="138">
        <f t="shared" si="35"/>
        <v>37.5</v>
      </c>
      <c r="D113" s="84">
        <v>37.799999999999997</v>
      </c>
      <c r="E113" s="84">
        <v>37.1</v>
      </c>
      <c r="F113" s="84"/>
      <c r="G113" s="84"/>
      <c r="H113" s="84"/>
      <c r="I113" s="84"/>
      <c r="J113" s="84"/>
      <c r="K113" s="84"/>
      <c r="L113" s="140">
        <f t="shared" si="36"/>
        <v>8.3000000000000007</v>
      </c>
      <c r="M113" s="86">
        <v>8.2899999999999991</v>
      </c>
      <c r="N113" s="86">
        <v>8.25</v>
      </c>
      <c r="O113" s="86"/>
      <c r="P113" s="86"/>
      <c r="Q113" s="86"/>
      <c r="R113" s="86"/>
      <c r="S113" s="86"/>
      <c r="T113" s="86"/>
      <c r="U113" s="142">
        <f t="shared" si="37"/>
        <v>1337.5</v>
      </c>
      <c r="V113" s="88">
        <v>1377</v>
      </c>
      <c r="W113" s="88">
        <v>1298</v>
      </c>
      <c r="X113" s="88"/>
      <c r="Y113" s="88"/>
      <c r="Z113" s="88"/>
      <c r="AA113" s="88"/>
      <c r="AB113" s="88"/>
      <c r="AC113" s="88"/>
      <c r="AD113" s="142">
        <f t="shared" si="38"/>
        <v>9715</v>
      </c>
      <c r="AE113" s="88">
        <v>9680</v>
      </c>
      <c r="AF113" s="88">
        <v>9750</v>
      </c>
      <c r="AG113" s="88"/>
      <c r="AH113" s="88"/>
      <c r="AI113" s="88"/>
      <c r="AJ113" s="88"/>
      <c r="AK113" s="88"/>
      <c r="AL113" s="88"/>
      <c r="AM113" s="88">
        <v>42.595433625124087</v>
      </c>
      <c r="AN113" s="88">
        <v>110.81</v>
      </c>
      <c r="AO113" s="89"/>
      <c r="AP113" s="90"/>
      <c r="AQ113" s="146" t="str">
        <f t="shared" si="39"/>
        <v/>
      </c>
      <c r="AR113" s="146" t="str">
        <f t="shared" si="40"/>
        <v/>
      </c>
      <c r="AS113" s="147">
        <v>30</v>
      </c>
      <c r="AT113" s="148">
        <v>13.55</v>
      </c>
      <c r="AU113" s="149">
        <v>7.3694500000000005</v>
      </c>
      <c r="AV113" s="146">
        <f t="shared" si="41"/>
        <v>54.38708487084871</v>
      </c>
      <c r="AW113" s="146">
        <f t="shared" si="42"/>
        <v>45.61291512915129</v>
      </c>
      <c r="AX113" s="138" t="str">
        <f t="shared" si="43"/>
        <v/>
      </c>
      <c r="AY113" s="95">
        <v>77.400000000000006</v>
      </c>
      <c r="AZ113" s="96">
        <v>60.715000000000003</v>
      </c>
      <c r="BA113" s="96"/>
      <c r="BB113" s="96">
        <v>55.5</v>
      </c>
      <c r="BC113" s="96"/>
      <c r="BD113" s="97">
        <v>110.81</v>
      </c>
      <c r="BE113" s="142">
        <f t="shared" si="44"/>
        <v>14966</v>
      </c>
      <c r="BF113" s="98">
        <v>849</v>
      </c>
      <c r="BG113" s="98">
        <v>2858</v>
      </c>
      <c r="BH113" s="98">
        <v>5302</v>
      </c>
      <c r="BI113" s="98">
        <v>5957</v>
      </c>
      <c r="BJ113" s="98"/>
      <c r="BK113" s="98"/>
      <c r="BL113" s="98"/>
    </row>
    <row r="114" spans="1:64" outlineLevel="5" x14ac:dyDescent="0.3">
      <c r="A114" s="152">
        <f t="shared" si="46"/>
        <v>3</v>
      </c>
      <c r="B114" s="153">
        <f t="shared" si="45"/>
        <v>45015</v>
      </c>
      <c r="C114" s="138">
        <f t="shared" si="35"/>
        <v>37.5</v>
      </c>
      <c r="D114" s="84">
        <v>37.5</v>
      </c>
      <c r="E114" s="84">
        <v>37.5</v>
      </c>
      <c r="F114" s="84"/>
      <c r="G114" s="84"/>
      <c r="H114" s="84"/>
      <c r="I114" s="84"/>
      <c r="J114" s="84"/>
      <c r="K114" s="84"/>
      <c r="L114" s="140">
        <f t="shared" si="36"/>
        <v>8.4</v>
      </c>
      <c r="M114" s="86">
        <v>8.35</v>
      </c>
      <c r="N114" s="86">
        <v>8.39</v>
      </c>
      <c r="O114" s="86"/>
      <c r="P114" s="86"/>
      <c r="Q114" s="86"/>
      <c r="R114" s="86"/>
      <c r="S114" s="86"/>
      <c r="T114" s="86"/>
      <c r="U114" s="142">
        <f t="shared" si="37"/>
        <v>1443.5</v>
      </c>
      <c r="V114" s="88">
        <v>1395</v>
      </c>
      <c r="W114" s="88">
        <v>1492</v>
      </c>
      <c r="X114" s="88"/>
      <c r="Y114" s="88"/>
      <c r="Z114" s="88"/>
      <c r="AA114" s="88"/>
      <c r="AB114" s="88"/>
      <c r="AC114" s="88"/>
      <c r="AD114" s="142" t="str">
        <f t="shared" si="38"/>
        <v/>
      </c>
      <c r="AE114" s="88"/>
      <c r="AF114" s="88"/>
      <c r="AG114" s="88"/>
      <c r="AH114" s="88"/>
      <c r="AI114" s="88"/>
      <c r="AJ114" s="88"/>
      <c r="AK114" s="88"/>
      <c r="AL114" s="88"/>
      <c r="AM114" s="88">
        <v>39.121425611272272</v>
      </c>
      <c r="AN114" s="88">
        <v>120.65</v>
      </c>
      <c r="AO114" s="89"/>
      <c r="AP114" s="90"/>
      <c r="AQ114" s="146" t="str">
        <f t="shared" si="39"/>
        <v/>
      </c>
      <c r="AR114" s="146" t="str">
        <f t="shared" si="40"/>
        <v/>
      </c>
      <c r="AS114" s="147">
        <v>32</v>
      </c>
      <c r="AT114" s="148">
        <v>15.600000000000001</v>
      </c>
      <c r="AU114" s="149">
        <v>8.4109499999999997</v>
      </c>
      <c r="AV114" s="146">
        <f t="shared" si="41"/>
        <v>53.916346153846149</v>
      </c>
      <c r="AW114" s="146">
        <f t="shared" si="42"/>
        <v>46.083653846153851</v>
      </c>
      <c r="AX114" s="138" t="str">
        <f t="shared" si="43"/>
        <v/>
      </c>
      <c r="AY114" s="95">
        <v>76.45</v>
      </c>
      <c r="AZ114" s="96">
        <v>62.08</v>
      </c>
      <c r="BA114" s="96"/>
      <c r="BB114" s="96">
        <v>53</v>
      </c>
      <c r="BC114" s="96"/>
      <c r="BD114" s="97">
        <v>120.65</v>
      </c>
      <c r="BE114" s="142">
        <f t="shared" si="44"/>
        <v>15509</v>
      </c>
      <c r="BF114" s="98">
        <v>855</v>
      </c>
      <c r="BG114" s="98">
        <v>2815</v>
      </c>
      <c r="BH114" s="98">
        <v>5969</v>
      </c>
      <c r="BI114" s="98">
        <v>5870</v>
      </c>
      <c r="BJ114" s="98"/>
      <c r="BK114" s="98"/>
      <c r="BL114" s="98"/>
    </row>
    <row r="115" spans="1:64" ht="17.25" outlineLevel="5" thickBot="1" x14ac:dyDescent="0.35">
      <c r="A115" s="154">
        <f t="shared" si="46"/>
        <v>3</v>
      </c>
      <c r="B115" s="155">
        <f t="shared" si="45"/>
        <v>45016</v>
      </c>
      <c r="C115" s="138">
        <f t="shared" si="35"/>
        <v>37.200000000000003</v>
      </c>
      <c r="D115" s="84">
        <v>37.299999999999997</v>
      </c>
      <c r="E115" s="84">
        <v>37.1</v>
      </c>
      <c r="F115" s="84"/>
      <c r="G115" s="84"/>
      <c r="H115" s="84"/>
      <c r="I115" s="84"/>
      <c r="J115" s="84"/>
      <c r="K115" s="84"/>
      <c r="L115" s="140" t="str">
        <f t="shared" si="36"/>
        <v/>
      </c>
      <c r="M115" s="86"/>
      <c r="N115" s="86"/>
      <c r="O115" s="86"/>
      <c r="P115" s="86"/>
      <c r="Q115" s="86"/>
      <c r="R115" s="86"/>
      <c r="S115" s="86"/>
      <c r="T115" s="86"/>
      <c r="U115" s="142" t="str">
        <f t="shared" si="37"/>
        <v/>
      </c>
      <c r="V115" s="88"/>
      <c r="W115" s="88"/>
      <c r="X115" s="88"/>
      <c r="Y115" s="88"/>
      <c r="Z115" s="88"/>
      <c r="AA115" s="88"/>
      <c r="AB115" s="88"/>
      <c r="AC115" s="88"/>
      <c r="AD115" s="142" t="str">
        <f t="shared" si="38"/>
        <v/>
      </c>
      <c r="AE115" s="88"/>
      <c r="AF115" s="88"/>
      <c r="AG115" s="88"/>
      <c r="AH115" s="88"/>
      <c r="AI115" s="88"/>
      <c r="AJ115" s="88"/>
      <c r="AK115" s="88"/>
      <c r="AL115" s="88"/>
      <c r="AM115" s="88">
        <v>56.703507928880349</v>
      </c>
      <c r="AN115" s="88">
        <v>83.24</v>
      </c>
      <c r="AO115" s="89"/>
      <c r="AP115" s="90"/>
      <c r="AQ115" s="146" t="str">
        <f t="shared" si="39"/>
        <v/>
      </c>
      <c r="AR115" s="146" t="str">
        <f t="shared" si="40"/>
        <v/>
      </c>
      <c r="AS115" s="147">
        <v>30</v>
      </c>
      <c r="AT115" s="148"/>
      <c r="AU115" s="149"/>
      <c r="AV115" s="146" t="str">
        <f t="shared" si="41"/>
        <v/>
      </c>
      <c r="AW115" s="146" t="str">
        <f t="shared" si="42"/>
        <v/>
      </c>
      <c r="AX115" s="138" t="str">
        <f t="shared" si="43"/>
        <v/>
      </c>
      <c r="AY115" s="95"/>
      <c r="AZ115" s="96">
        <v>60.165000000000006</v>
      </c>
      <c r="BA115" s="96"/>
      <c r="BB115" s="96">
        <v>50.5</v>
      </c>
      <c r="BC115" s="96"/>
      <c r="BD115" s="97">
        <v>83.24</v>
      </c>
      <c r="BE115" s="142">
        <f t="shared" si="44"/>
        <v>15265</v>
      </c>
      <c r="BF115" s="98">
        <v>71</v>
      </c>
      <c r="BG115" s="98">
        <v>2354</v>
      </c>
      <c r="BH115" s="98">
        <v>7023</v>
      </c>
      <c r="BI115" s="98">
        <v>5817</v>
      </c>
      <c r="BJ115" s="98"/>
      <c r="BK115" s="98"/>
      <c r="BL115" s="98"/>
    </row>
    <row r="116" spans="1:64" outlineLevel="4" x14ac:dyDescent="0.3">
      <c r="A116" s="63" t="s">
        <v>65</v>
      </c>
      <c r="B116" s="64"/>
      <c r="C116" s="65">
        <f t="shared" ref="C116:BL116" si="47">SUBTOTAL(4,C85:C115)</f>
        <v>38.9</v>
      </c>
      <c r="D116" s="66">
        <f t="shared" si="47"/>
        <v>39.200000000000003</v>
      </c>
      <c r="E116" s="66">
        <f t="shared" si="47"/>
        <v>38.5</v>
      </c>
      <c r="F116" s="66">
        <f t="shared" si="47"/>
        <v>0</v>
      </c>
      <c r="G116" s="66">
        <f t="shared" si="47"/>
        <v>0</v>
      </c>
      <c r="H116" s="66">
        <f t="shared" si="47"/>
        <v>0</v>
      </c>
      <c r="I116" s="66">
        <f t="shared" si="47"/>
        <v>0</v>
      </c>
      <c r="J116" s="66">
        <f t="shared" si="47"/>
        <v>0</v>
      </c>
      <c r="K116" s="66">
        <f t="shared" si="47"/>
        <v>0</v>
      </c>
      <c r="L116" s="67">
        <f t="shared" si="47"/>
        <v>8.6</v>
      </c>
      <c r="M116" s="68">
        <f t="shared" si="47"/>
        <v>8.66</v>
      </c>
      <c r="N116" s="68">
        <f t="shared" si="47"/>
        <v>8.61</v>
      </c>
      <c r="O116" s="68">
        <f t="shared" si="47"/>
        <v>0</v>
      </c>
      <c r="P116" s="68">
        <f t="shared" si="47"/>
        <v>0</v>
      </c>
      <c r="Q116" s="68">
        <f t="shared" si="47"/>
        <v>0</v>
      </c>
      <c r="R116" s="68">
        <f t="shared" si="47"/>
        <v>0</v>
      </c>
      <c r="S116" s="68">
        <f t="shared" si="47"/>
        <v>0</v>
      </c>
      <c r="T116" s="68">
        <f t="shared" si="47"/>
        <v>0</v>
      </c>
      <c r="U116" s="69">
        <f t="shared" si="47"/>
        <v>1643.5</v>
      </c>
      <c r="V116" s="70">
        <f t="shared" si="47"/>
        <v>1741</v>
      </c>
      <c r="W116" s="70">
        <f t="shared" si="47"/>
        <v>1546</v>
      </c>
      <c r="X116" s="70">
        <f t="shared" si="47"/>
        <v>0</v>
      </c>
      <c r="Y116" s="70">
        <f t="shared" si="47"/>
        <v>0</v>
      </c>
      <c r="Z116" s="70">
        <f t="shared" si="47"/>
        <v>0</v>
      </c>
      <c r="AA116" s="70">
        <f t="shared" si="47"/>
        <v>0</v>
      </c>
      <c r="AB116" s="70">
        <f t="shared" si="47"/>
        <v>0</v>
      </c>
      <c r="AC116" s="70">
        <f t="shared" si="47"/>
        <v>0</v>
      </c>
      <c r="AD116" s="69">
        <f t="shared" si="47"/>
        <v>9905</v>
      </c>
      <c r="AE116" s="70">
        <f t="shared" si="47"/>
        <v>9900</v>
      </c>
      <c r="AF116" s="70">
        <f t="shared" si="47"/>
        <v>9930</v>
      </c>
      <c r="AG116" s="70">
        <f t="shared" si="47"/>
        <v>0</v>
      </c>
      <c r="AH116" s="70">
        <f t="shared" si="47"/>
        <v>0</v>
      </c>
      <c r="AI116" s="70">
        <f t="shared" si="47"/>
        <v>0</v>
      </c>
      <c r="AJ116" s="70">
        <f t="shared" si="47"/>
        <v>0</v>
      </c>
      <c r="AK116" s="70">
        <f t="shared" si="47"/>
        <v>0</v>
      </c>
      <c r="AL116" s="70">
        <f t="shared" si="47"/>
        <v>0</v>
      </c>
      <c r="AM116" s="70">
        <f t="shared" si="47"/>
        <v>82.02989224887034</v>
      </c>
      <c r="AN116" s="70">
        <f t="shared" si="47"/>
        <v>120.65</v>
      </c>
      <c r="AO116" s="71">
        <f t="shared" si="47"/>
        <v>22.8</v>
      </c>
      <c r="AP116" s="72">
        <f t="shared" si="47"/>
        <v>17.9208</v>
      </c>
      <c r="AQ116" s="73">
        <f t="shared" si="47"/>
        <v>78.599999999999994</v>
      </c>
      <c r="AR116" s="73">
        <f t="shared" si="47"/>
        <v>21.799999999999997</v>
      </c>
      <c r="AS116" s="74">
        <f t="shared" si="47"/>
        <v>46</v>
      </c>
      <c r="AT116" s="75">
        <f t="shared" si="47"/>
        <v>15.95</v>
      </c>
      <c r="AU116" s="76">
        <f t="shared" si="47"/>
        <v>8.6719000000000008</v>
      </c>
      <c r="AV116" s="73">
        <f t="shared" si="47"/>
        <v>62.239080459770122</v>
      </c>
      <c r="AW116" s="73">
        <f t="shared" si="47"/>
        <v>51.515969581749047</v>
      </c>
      <c r="AX116" s="65">
        <f t="shared" si="47"/>
        <v>61.65522660671936</v>
      </c>
      <c r="AY116" s="77">
        <f t="shared" si="47"/>
        <v>79.55</v>
      </c>
      <c r="AZ116" s="78">
        <f t="shared" si="47"/>
        <v>63.875</v>
      </c>
      <c r="BA116" s="78">
        <f t="shared" si="47"/>
        <v>0</v>
      </c>
      <c r="BB116" s="78">
        <f t="shared" si="47"/>
        <v>98</v>
      </c>
      <c r="BC116" s="78">
        <f t="shared" si="47"/>
        <v>0</v>
      </c>
      <c r="BD116" s="79">
        <f t="shared" si="47"/>
        <v>120.65</v>
      </c>
      <c r="BE116" s="69">
        <f t="shared" si="47"/>
        <v>15509</v>
      </c>
      <c r="BF116" s="70">
        <f t="shared" si="47"/>
        <v>2040</v>
      </c>
      <c r="BG116" s="80">
        <f t="shared" si="47"/>
        <v>3642</v>
      </c>
      <c r="BH116" s="80">
        <f t="shared" si="47"/>
        <v>7495</v>
      </c>
      <c r="BI116" s="80">
        <f t="shared" si="47"/>
        <v>6250</v>
      </c>
      <c r="BJ116" s="80">
        <f t="shared" si="47"/>
        <v>0</v>
      </c>
      <c r="BK116" s="80">
        <f t="shared" si="47"/>
        <v>0</v>
      </c>
      <c r="BL116" s="79">
        <f t="shared" si="47"/>
        <v>0</v>
      </c>
    </row>
    <row r="117" spans="1:64" outlineLevel="3" x14ac:dyDescent="0.3">
      <c r="A117" s="81" t="s">
        <v>66</v>
      </c>
      <c r="B117" s="82"/>
      <c r="C117" s="83">
        <f t="shared" ref="C117:BL117" si="48">SUBTOTAL(5,C85:C115)</f>
        <v>36.5</v>
      </c>
      <c r="D117" s="84">
        <f t="shared" si="48"/>
        <v>36.200000000000003</v>
      </c>
      <c r="E117" s="84">
        <f t="shared" si="48"/>
        <v>36.5</v>
      </c>
      <c r="F117" s="84">
        <f t="shared" si="48"/>
        <v>0</v>
      </c>
      <c r="G117" s="84">
        <f t="shared" si="48"/>
        <v>0</v>
      </c>
      <c r="H117" s="84">
        <f t="shared" si="48"/>
        <v>0</v>
      </c>
      <c r="I117" s="84">
        <f t="shared" si="48"/>
        <v>0</v>
      </c>
      <c r="J117" s="84">
        <f t="shared" si="48"/>
        <v>0</v>
      </c>
      <c r="K117" s="84">
        <f t="shared" si="48"/>
        <v>0</v>
      </c>
      <c r="L117" s="85">
        <f t="shared" si="48"/>
        <v>8.3000000000000007</v>
      </c>
      <c r="M117" s="86">
        <f t="shared" si="48"/>
        <v>8.2899999999999991</v>
      </c>
      <c r="N117" s="86">
        <f t="shared" si="48"/>
        <v>8.25</v>
      </c>
      <c r="O117" s="86">
        <f t="shared" si="48"/>
        <v>0</v>
      </c>
      <c r="P117" s="86">
        <f t="shared" si="48"/>
        <v>0</v>
      </c>
      <c r="Q117" s="86">
        <f t="shared" si="48"/>
        <v>0</v>
      </c>
      <c r="R117" s="86">
        <f t="shared" si="48"/>
        <v>0</v>
      </c>
      <c r="S117" s="86">
        <f t="shared" si="48"/>
        <v>0</v>
      </c>
      <c r="T117" s="86">
        <f t="shared" si="48"/>
        <v>0</v>
      </c>
      <c r="U117" s="87">
        <f t="shared" si="48"/>
        <v>854</v>
      </c>
      <c r="V117" s="88">
        <f t="shared" si="48"/>
        <v>843</v>
      </c>
      <c r="W117" s="88">
        <f t="shared" si="48"/>
        <v>865</v>
      </c>
      <c r="X117" s="88">
        <f t="shared" si="48"/>
        <v>0</v>
      </c>
      <c r="Y117" s="88">
        <f t="shared" si="48"/>
        <v>0</v>
      </c>
      <c r="Z117" s="88">
        <f t="shared" si="48"/>
        <v>0</v>
      </c>
      <c r="AA117" s="88">
        <f t="shared" si="48"/>
        <v>0</v>
      </c>
      <c r="AB117" s="88">
        <f t="shared" si="48"/>
        <v>0</v>
      </c>
      <c r="AC117" s="88">
        <f t="shared" si="48"/>
        <v>0</v>
      </c>
      <c r="AD117" s="87">
        <f t="shared" si="48"/>
        <v>9615</v>
      </c>
      <c r="AE117" s="88">
        <f t="shared" si="48"/>
        <v>9680</v>
      </c>
      <c r="AF117" s="88">
        <f t="shared" si="48"/>
        <v>9510</v>
      </c>
      <c r="AG117" s="88">
        <f t="shared" si="48"/>
        <v>0</v>
      </c>
      <c r="AH117" s="88">
        <f t="shared" si="48"/>
        <v>0</v>
      </c>
      <c r="AI117" s="88">
        <f t="shared" si="48"/>
        <v>0</v>
      </c>
      <c r="AJ117" s="88">
        <f t="shared" si="48"/>
        <v>0</v>
      </c>
      <c r="AK117" s="88">
        <f t="shared" si="48"/>
        <v>0</v>
      </c>
      <c r="AL117" s="88">
        <f t="shared" si="48"/>
        <v>0</v>
      </c>
      <c r="AM117" s="88">
        <f t="shared" si="48"/>
        <v>39.121425611272272</v>
      </c>
      <c r="AN117" s="88">
        <f t="shared" si="48"/>
        <v>57.540000000000006</v>
      </c>
      <c r="AO117" s="89">
        <f t="shared" si="48"/>
        <v>19.100000000000001</v>
      </c>
      <c r="AP117" s="90">
        <f t="shared" si="48"/>
        <v>14.936200000000001</v>
      </c>
      <c r="AQ117" s="91">
        <f t="shared" si="48"/>
        <v>78.2</v>
      </c>
      <c r="AR117" s="91">
        <f t="shared" si="48"/>
        <v>21.400000000000006</v>
      </c>
      <c r="AS117" s="92">
        <f t="shared" si="48"/>
        <v>10</v>
      </c>
      <c r="AT117" s="93">
        <f t="shared" si="48"/>
        <v>12.75</v>
      </c>
      <c r="AU117" s="94">
        <f t="shared" si="48"/>
        <v>6.3756500000000003</v>
      </c>
      <c r="AV117" s="91">
        <f t="shared" si="48"/>
        <v>48.484030418250953</v>
      </c>
      <c r="AW117" s="91">
        <f t="shared" si="48"/>
        <v>37.760919540229878</v>
      </c>
      <c r="AX117" s="83">
        <f t="shared" si="48"/>
        <v>54.105440406510006</v>
      </c>
      <c r="AY117" s="95">
        <f t="shared" si="48"/>
        <v>73.05</v>
      </c>
      <c r="AZ117" s="96">
        <f t="shared" si="48"/>
        <v>58.58</v>
      </c>
      <c r="BA117" s="96">
        <f t="shared" si="48"/>
        <v>0</v>
      </c>
      <c r="BB117" s="96">
        <f t="shared" si="48"/>
        <v>29.5</v>
      </c>
      <c r="BC117" s="96">
        <f t="shared" si="48"/>
        <v>0</v>
      </c>
      <c r="BD117" s="97">
        <f t="shared" si="48"/>
        <v>57.540000000000006</v>
      </c>
      <c r="BE117" s="87">
        <f t="shared" si="48"/>
        <v>6514</v>
      </c>
      <c r="BF117" s="88">
        <f t="shared" si="48"/>
        <v>0</v>
      </c>
      <c r="BG117" s="98">
        <f t="shared" si="48"/>
        <v>0</v>
      </c>
      <c r="BH117" s="98">
        <f t="shared" si="48"/>
        <v>0</v>
      </c>
      <c r="BI117" s="98">
        <f t="shared" si="48"/>
        <v>3180</v>
      </c>
      <c r="BJ117" s="98">
        <f t="shared" si="48"/>
        <v>0</v>
      </c>
      <c r="BK117" s="98">
        <f t="shared" si="48"/>
        <v>0</v>
      </c>
      <c r="BL117" s="97">
        <f t="shared" si="48"/>
        <v>0</v>
      </c>
    </row>
    <row r="118" spans="1:64" outlineLevel="2" x14ac:dyDescent="0.3">
      <c r="A118" s="81" t="s">
        <v>67</v>
      </c>
      <c r="B118" s="82"/>
      <c r="C118" s="83">
        <f t="shared" ref="C118:BL118" si="49">IFERROR(SUBTOTAL(1,C85:C115),"")</f>
        <v>37.554838709677419</v>
      </c>
      <c r="D118" s="84">
        <f t="shared" si="49"/>
        <v>37.696774193548379</v>
      </c>
      <c r="E118" s="84">
        <f t="shared" si="49"/>
        <v>37.354838709677409</v>
      </c>
      <c r="F118" s="84" t="str">
        <f t="shared" si="49"/>
        <v/>
      </c>
      <c r="G118" s="84" t="str">
        <f t="shared" si="49"/>
        <v/>
      </c>
      <c r="H118" s="84" t="str">
        <f t="shared" si="49"/>
        <v/>
      </c>
      <c r="I118" s="84" t="str">
        <f t="shared" si="49"/>
        <v/>
      </c>
      <c r="J118" s="84" t="str">
        <f t="shared" si="49"/>
        <v/>
      </c>
      <c r="K118" s="84" t="str">
        <f t="shared" si="49"/>
        <v/>
      </c>
      <c r="L118" s="85">
        <f t="shared" si="49"/>
        <v>8.4833333333333343</v>
      </c>
      <c r="M118" s="86">
        <f t="shared" si="49"/>
        <v>8.4716666666666658</v>
      </c>
      <c r="N118" s="86">
        <f t="shared" si="49"/>
        <v>8.4725000000000001</v>
      </c>
      <c r="O118" s="86" t="str">
        <f t="shared" si="49"/>
        <v/>
      </c>
      <c r="P118" s="86" t="str">
        <f t="shared" si="49"/>
        <v/>
      </c>
      <c r="Q118" s="86" t="str">
        <f t="shared" si="49"/>
        <v/>
      </c>
      <c r="R118" s="86" t="str">
        <f t="shared" si="49"/>
        <v/>
      </c>
      <c r="S118" s="86" t="str">
        <f t="shared" si="49"/>
        <v/>
      </c>
      <c r="T118" s="86" t="str">
        <f t="shared" si="49"/>
        <v/>
      </c>
      <c r="U118" s="87">
        <f t="shared" si="49"/>
        <v>1301.7916666666667</v>
      </c>
      <c r="V118" s="88">
        <f t="shared" si="49"/>
        <v>1322.5833333333333</v>
      </c>
      <c r="W118" s="88">
        <f t="shared" si="49"/>
        <v>1281</v>
      </c>
      <c r="X118" s="88" t="str">
        <f t="shared" si="49"/>
        <v/>
      </c>
      <c r="Y118" s="88" t="str">
        <f t="shared" si="49"/>
        <v/>
      </c>
      <c r="Z118" s="88" t="str">
        <f t="shared" si="49"/>
        <v/>
      </c>
      <c r="AA118" s="88" t="str">
        <f t="shared" si="49"/>
        <v/>
      </c>
      <c r="AB118" s="88" t="str">
        <f t="shared" si="49"/>
        <v/>
      </c>
      <c r="AC118" s="88" t="str">
        <f t="shared" si="49"/>
        <v/>
      </c>
      <c r="AD118" s="87">
        <f t="shared" si="49"/>
        <v>9761.25</v>
      </c>
      <c r="AE118" s="88">
        <f t="shared" si="49"/>
        <v>9795</v>
      </c>
      <c r="AF118" s="88">
        <f t="shared" si="49"/>
        <v>9727.5</v>
      </c>
      <c r="AG118" s="88" t="str">
        <f t="shared" si="49"/>
        <v/>
      </c>
      <c r="AH118" s="88" t="str">
        <f t="shared" si="49"/>
        <v/>
      </c>
      <c r="AI118" s="88" t="str">
        <f t="shared" si="49"/>
        <v/>
      </c>
      <c r="AJ118" s="88" t="str">
        <f t="shared" si="49"/>
        <v/>
      </c>
      <c r="AK118" s="88" t="str">
        <f t="shared" si="49"/>
        <v/>
      </c>
      <c r="AL118" s="88" t="str">
        <f t="shared" si="49"/>
        <v/>
      </c>
      <c r="AM118" s="88">
        <f t="shared" si="49"/>
        <v>50.403856795701373</v>
      </c>
      <c r="AN118" s="88">
        <f t="shared" si="49"/>
        <v>96.348064516129028</v>
      </c>
      <c r="AO118" s="89">
        <f t="shared" si="49"/>
        <v>20.950000000000003</v>
      </c>
      <c r="AP118" s="90">
        <f t="shared" si="49"/>
        <v>16.4285</v>
      </c>
      <c r="AQ118" s="91">
        <f t="shared" si="49"/>
        <v>78.400000000000006</v>
      </c>
      <c r="AR118" s="91">
        <f t="shared" si="49"/>
        <v>21.6</v>
      </c>
      <c r="AS118" s="92">
        <f t="shared" si="49"/>
        <v>26.741935483870968</v>
      </c>
      <c r="AT118" s="93">
        <f t="shared" si="49"/>
        <v>14.354166666666666</v>
      </c>
      <c r="AU118" s="94">
        <f t="shared" si="49"/>
        <v>7.9686666666666675</v>
      </c>
      <c r="AV118" s="91">
        <f t="shared" si="49"/>
        <v>55.631027024387834</v>
      </c>
      <c r="AW118" s="91">
        <f t="shared" si="49"/>
        <v>44.368972975612174</v>
      </c>
      <c r="AX118" s="83">
        <f t="shared" si="49"/>
        <v>57.880333506614683</v>
      </c>
      <c r="AY118" s="95">
        <f t="shared" si="49"/>
        <v>76.36666666666666</v>
      </c>
      <c r="AZ118" s="96">
        <f t="shared" si="49"/>
        <v>61.160476190476189</v>
      </c>
      <c r="BA118" s="96" t="str">
        <f t="shared" si="49"/>
        <v/>
      </c>
      <c r="BB118" s="96">
        <f t="shared" si="49"/>
        <v>62.285714285714285</v>
      </c>
      <c r="BC118" s="96" t="str">
        <f t="shared" si="49"/>
        <v/>
      </c>
      <c r="BD118" s="97">
        <f>IFERROR(SUBTOTAL(1,BD85:BD115),"")</f>
        <v>96.348064516129028</v>
      </c>
      <c r="BE118" s="87">
        <f t="shared" si="49"/>
        <v>11262.548387096775</v>
      </c>
      <c r="BF118" s="88">
        <f t="shared" si="49"/>
        <v>767.16129032258061</v>
      </c>
      <c r="BG118" s="98">
        <f t="shared" si="49"/>
        <v>743.58064516129036</v>
      </c>
      <c r="BH118" s="98">
        <f t="shared" si="49"/>
        <v>4132.8709677419356</v>
      </c>
      <c r="BI118" s="98">
        <f t="shared" si="49"/>
        <v>5618.9354838709678</v>
      </c>
      <c r="BJ118" s="98" t="str">
        <f t="shared" si="49"/>
        <v/>
      </c>
      <c r="BK118" s="98" t="str">
        <f t="shared" si="49"/>
        <v/>
      </c>
      <c r="BL118" s="97" t="str">
        <f t="shared" si="49"/>
        <v/>
      </c>
    </row>
    <row r="119" spans="1:64" ht="17.25" outlineLevel="1" thickBot="1" x14ac:dyDescent="0.35">
      <c r="A119" s="99" t="s">
        <v>68</v>
      </c>
      <c r="B119" s="100"/>
      <c r="C119" s="101"/>
      <c r="D119" s="102"/>
      <c r="E119" s="102"/>
      <c r="F119" s="102"/>
      <c r="G119" s="102"/>
      <c r="H119" s="102"/>
      <c r="I119" s="102"/>
      <c r="J119" s="102"/>
      <c r="K119" s="102"/>
      <c r="L119" s="103"/>
      <c r="M119" s="104"/>
      <c r="N119" s="104"/>
      <c r="O119" s="104"/>
      <c r="P119" s="104"/>
      <c r="Q119" s="104"/>
      <c r="R119" s="104"/>
      <c r="S119" s="104"/>
      <c r="T119" s="104"/>
      <c r="U119" s="105"/>
      <c r="V119" s="106"/>
      <c r="W119" s="106"/>
      <c r="X119" s="106"/>
      <c r="Y119" s="106"/>
      <c r="Z119" s="106"/>
      <c r="AA119" s="106"/>
      <c r="AB119" s="106"/>
      <c r="AC119" s="106"/>
      <c r="AD119" s="105"/>
      <c r="AE119" s="106"/>
      <c r="AF119" s="106"/>
      <c r="AG119" s="106"/>
      <c r="AH119" s="106"/>
      <c r="AI119" s="106"/>
      <c r="AJ119" s="106"/>
      <c r="AK119" s="106"/>
      <c r="AL119" s="106"/>
      <c r="AM119" s="106"/>
      <c r="AN119" s="107">
        <f>SUBTOTAL(9,AN85:AN115)</f>
        <v>2986.79</v>
      </c>
      <c r="AO119" s="108"/>
      <c r="AP119" s="109"/>
      <c r="AQ119" s="110"/>
      <c r="AR119" s="110"/>
      <c r="AS119" s="111">
        <f>SUBTOTAL(9,AS85:AS115)</f>
        <v>829</v>
      </c>
      <c r="AT119" s="112"/>
      <c r="AU119" s="113"/>
      <c r="AV119" s="110"/>
      <c r="AW119" s="110"/>
      <c r="AX119" s="101"/>
      <c r="AY119" s="114"/>
      <c r="AZ119" s="115"/>
      <c r="BA119" s="115"/>
      <c r="BB119" s="115"/>
      <c r="BC119" s="115"/>
      <c r="BD119" s="116">
        <f>SUBTOTAL(9,BD85:BD115)</f>
        <v>2986.79</v>
      </c>
      <c r="BE119" s="117">
        <f t="shared" ref="BE119:BL119" si="50">SUBTOTAL(9,BE85:BE115)</f>
        <v>349139</v>
      </c>
      <c r="BF119" s="107">
        <f t="shared" si="50"/>
        <v>23782</v>
      </c>
      <c r="BG119" s="118">
        <f t="shared" si="50"/>
        <v>23051</v>
      </c>
      <c r="BH119" s="118">
        <f t="shared" si="50"/>
        <v>128119</v>
      </c>
      <c r="BI119" s="118">
        <f t="shared" si="50"/>
        <v>174187</v>
      </c>
      <c r="BJ119" s="118">
        <f t="shared" si="50"/>
        <v>0</v>
      </c>
      <c r="BK119" s="118">
        <f t="shared" si="50"/>
        <v>0</v>
      </c>
      <c r="BL119" s="116">
        <f t="shared" si="50"/>
        <v>0</v>
      </c>
    </row>
    <row r="120" spans="1:64" outlineLevel="5" x14ac:dyDescent="0.3">
      <c r="A120" s="136">
        <f t="shared" si="46"/>
        <v>4</v>
      </c>
      <c r="B120" s="165">
        <f>B115+1</f>
        <v>45017</v>
      </c>
      <c r="C120" s="138">
        <f t="shared" ref="C120:C149" si="51">IFERROR(ROUND(AVERAGE(D120:K120),1),"")</f>
        <v>37.4</v>
      </c>
      <c r="D120" s="84">
        <v>37.5</v>
      </c>
      <c r="E120" s="84">
        <v>37.200000000000003</v>
      </c>
      <c r="F120" s="84"/>
      <c r="G120" s="84"/>
      <c r="H120" s="84"/>
      <c r="I120" s="84"/>
      <c r="J120" s="84"/>
      <c r="K120" s="84"/>
      <c r="L120" s="140" t="str">
        <f t="shared" ref="L120:L149" si="52">IFERROR(ROUND(AVERAGE(M120:T120),1),"")</f>
        <v/>
      </c>
      <c r="M120" s="86"/>
      <c r="N120" s="86"/>
      <c r="O120" s="86"/>
      <c r="P120" s="86"/>
      <c r="Q120" s="86"/>
      <c r="R120" s="86"/>
      <c r="S120" s="86"/>
      <c r="T120" s="86"/>
      <c r="U120" s="142" t="str">
        <f t="shared" ref="U120:U149" si="53">IFERROR(ROUND(AVERAGE(V120:AC120),1),"")</f>
        <v/>
      </c>
      <c r="V120" s="88"/>
      <c r="W120" s="88"/>
      <c r="X120" s="88"/>
      <c r="Y120" s="88"/>
      <c r="Z120" s="88"/>
      <c r="AA120" s="88"/>
      <c r="AB120" s="88"/>
      <c r="AC120" s="88"/>
      <c r="AD120" s="142" t="str">
        <f t="shared" ref="AD120:AD149" si="54">IFERROR(ROUND(AVERAGE(AE120:AL120),1),"")</f>
        <v/>
      </c>
      <c r="AE120" s="88"/>
      <c r="AF120" s="88"/>
      <c r="AG120" s="88"/>
      <c r="AH120" s="88"/>
      <c r="AI120" s="88"/>
      <c r="AJ120" s="88"/>
      <c r="AK120" s="88"/>
      <c r="AL120" s="88"/>
      <c r="AM120" s="88">
        <v>44.419348767174853</v>
      </c>
      <c r="AN120" s="88">
        <v>106.26</v>
      </c>
      <c r="AO120" s="89"/>
      <c r="AP120" s="90"/>
      <c r="AQ120" s="146" t="str">
        <f t="shared" ref="AQ120:AQ149" si="55">IFERROR(AP120/AO120*100,"")</f>
        <v/>
      </c>
      <c r="AR120" s="146" t="str">
        <f t="shared" ref="AR120:AR149" si="56">IFERROR(100-AQ120,"")</f>
        <v/>
      </c>
      <c r="AS120" s="147">
        <v>10</v>
      </c>
      <c r="AT120" s="148"/>
      <c r="AU120" s="149"/>
      <c r="AV120" s="146" t="str">
        <f t="shared" ref="AV120:AV149" si="57">IFERROR(AU120/AT120*100,"")</f>
        <v/>
      </c>
      <c r="AW120" s="146" t="str">
        <f t="shared" ref="AW120:AW149" si="58">IFERROR(100-AV120,"")</f>
        <v/>
      </c>
      <c r="AX120" s="138" t="str">
        <f t="shared" ref="AX120:AX149" si="59">IFERROR((1-((AV120*AR120)/(AW120*AQ120)))*100,"")</f>
        <v/>
      </c>
      <c r="AY120" s="95"/>
      <c r="AZ120" s="96"/>
      <c r="BA120" s="96"/>
      <c r="BB120" s="96"/>
      <c r="BC120" s="96"/>
      <c r="BD120" s="97">
        <v>106.26</v>
      </c>
      <c r="BE120" s="142">
        <f t="shared" ref="BE120:BE149" si="60">IF(SUM(BF120:BL120)=0,"",SUM(BF120:BL120))</f>
        <v>11673</v>
      </c>
      <c r="BF120" s="98">
        <v>692</v>
      </c>
      <c r="BG120" s="98">
        <v>0</v>
      </c>
      <c r="BH120" s="98">
        <v>5429</v>
      </c>
      <c r="BI120" s="98">
        <v>5552</v>
      </c>
      <c r="BJ120" s="98"/>
      <c r="BK120" s="98"/>
      <c r="BL120" s="98"/>
    </row>
    <row r="121" spans="1:64" outlineLevel="5" x14ac:dyDescent="0.3">
      <c r="A121" s="152">
        <f t="shared" si="46"/>
        <v>4</v>
      </c>
      <c r="B121" s="153">
        <f t="shared" si="45"/>
        <v>45018</v>
      </c>
      <c r="C121" s="138">
        <f t="shared" si="51"/>
        <v>37.9</v>
      </c>
      <c r="D121" s="84">
        <v>38</v>
      </c>
      <c r="E121" s="84">
        <v>37.799999999999997</v>
      </c>
      <c r="F121" s="84"/>
      <c r="G121" s="84"/>
      <c r="H121" s="84"/>
      <c r="I121" s="84"/>
      <c r="J121" s="84"/>
      <c r="K121" s="84"/>
      <c r="L121" s="140" t="str">
        <f t="shared" si="52"/>
        <v/>
      </c>
      <c r="M121" s="86"/>
      <c r="N121" s="86"/>
      <c r="O121" s="86"/>
      <c r="P121" s="86"/>
      <c r="Q121" s="86"/>
      <c r="R121" s="86"/>
      <c r="S121" s="86"/>
      <c r="T121" s="86"/>
      <c r="U121" s="142" t="str">
        <f t="shared" si="53"/>
        <v/>
      </c>
      <c r="V121" s="88"/>
      <c r="W121" s="88"/>
      <c r="X121" s="88"/>
      <c r="Y121" s="88"/>
      <c r="Z121" s="88"/>
      <c r="AA121" s="88"/>
      <c r="AB121" s="88"/>
      <c r="AC121" s="88"/>
      <c r="AD121" s="142" t="str">
        <f t="shared" si="54"/>
        <v/>
      </c>
      <c r="AE121" s="88"/>
      <c r="AF121" s="88"/>
      <c r="AG121" s="88"/>
      <c r="AH121" s="88"/>
      <c r="AI121" s="88"/>
      <c r="AJ121" s="88"/>
      <c r="AK121" s="88"/>
      <c r="AL121" s="88"/>
      <c r="AM121" s="88">
        <v>42.909090909090907</v>
      </c>
      <c r="AN121" s="88">
        <v>110</v>
      </c>
      <c r="AO121" s="89"/>
      <c r="AP121" s="90"/>
      <c r="AQ121" s="146" t="str">
        <f t="shared" si="55"/>
        <v/>
      </c>
      <c r="AR121" s="146" t="str">
        <f t="shared" si="56"/>
        <v/>
      </c>
      <c r="AS121" s="147">
        <v>10</v>
      </c>
      <c r="AT121" s="148"/>
      <c r="AU121" s="149"/>
      <c r="AV121" s="146" t="str">
        <f t="shared" si="57"/>
        <v/>
      </c>
      <c r="AW121" s="146" t="str">
        <f t="shared" si="58"/>
        <v/>
      </c>
      <c r="AX121" s="138" t="str">
        <f t="shared" si="59"/>
        <v/>
      </c>
      <c r="AY121" s="95"/>
      <c r="AZ121" s="96"/>
      <c r="BA121" s="96"/>
      <c r="BB121" s="96"/>
      <c r="BC121" s="96"/>
      <c r="BD121" s="97">
        <v>110</v>
      </c>
      <c r="BE121" s="142">
        <f t="shared" si="60"/>
        <v>11612</v>
      </c>
      <c r="BF121" s="98">
        <v>770</v>
      </c>
      <c r="BG121" s="98">
        <v>0</v>
      </c>
      <c r="BH121" s="98">
        <v>5249</v>
      </c>
      <c r="BI121" s="98">
        <v>5593</v>
      </c>
      <c r="BJ121" s="98"/>
      <c r="BK121" s="98"/>
      <c r="BL121" s="98"/>
    </row>
    <row r="122" spans="1:64" outlineLevel="5" x14ac:dyDescent="0.3">
      <c r="A122" s="152">
        <f t="shared" si="46"/>
        <v>4</v>
      </c>
      <c r="B122" s="153">
        <f t="shared" si="45"/>
        <v>45019</v>
      </c>
      <c r="C122" s="138">
        <f t="shared" si="51"/>
        <v>37.6</v>
      </c>
      <c r="D122" s="84">
        <v>37.799999999999997</v>
      </c>
      <c r="E122" s="84">
        <v>37.4</v>
      </c>
      <c r="F122" s="84"/>
      <c r="G122" s="84"/>
      <c r="H122" s="84"/>
      <c r="I122" s="84"/>
      <c r="J122" s="84"/>
      <c r="K122" s="84"/>
      <c r="L122" s="140">
        <f t="shared" si="52"/>
        <v>8.3000000000000007</v>
      </c>
      <c r="M122" s="86">
        <v>8.2899999999999991</v>
      </c>
      <c r="N122" s="86">
        <v>8.33</v>
      </c>
      <c r="O122" s="86"/>
      <c r="P122" s="86"/>
      <c r="Q122" s="86"/>
      <c r="R122" s="86"/>
      <c r="S122" s="86"/>
      <c r="T122" s="86"/>
      <c r="U122" s="142">
        <f t="shared" si="53"/>
        <v>1332</v>
      </c>
      <c r="V122" s="88">
        <v>1278</v>
      </c>
      <c r="W122" s="88">
        <v>1386</v>
      </c>
      <c r="X122" s="88"/>
      <c r="Y122" s="88"/>
      <c r="Z122" s="88"/>
      <c r="AA122" s="88"/>
      <c r="AB122" s="88"/>
      <c r="AC122" s="88"/>
      <c r="AD122" s="142" t="str">
        <f t="shared" si="54"/>
        <v/>
      </c>
      <c r="AE122" s="88"/>
      <c r="AF122" s="88"/>
      <c r="AG122" s="88"/>
      <c r="AH122" s="88"/>
      <c r="AI122" s="88"/>
      <c r="AJ122" s="88"/>
      <c r="AK122" s="88"/>
      <c r="AL122" s="88"/>
      <c r="AM122" s="88">
        <v>42.637759710930439</v>
      </c>
      <c r="AN122" s="88">
        <v>110.7</v>
      </c>
      <c r="AO122" s="89">
        <v>17.899999999999999</v>
      </c>
      <c r="AP122" s="90">
        <v>13.908299999999999</v>
      </c>
      <c r="AQ122" s="146">
        <f t="shared" si="55"/>
        <v>77.7</v>
      </c>
      <c r="AR122" s="146">
        <f t="shared" si="56"/>
        <v>22.299999999999997</v>
      </c>
      <c r="AS122" s="147">
        <v>32</v>
      </c>
      <c r="AT122" s="148">
        <v>14</v>
      </c>
      <c r="AU122" s="149">
        <v>7.5607499999999996</v>
      </c>
      <c r="AV122" s="146">
        <f t="shared" si="57"/>
        <v>54.005357142857136</v>
      </c>
      <c r="AW122" s="146">
        <f t="shared" si="58"/>
        <v>45.994642857142864</v>
      </c>
      <c r="AX122" s="138">
        <f t="shared" si="59"/>
        <v>66.301277622471872</v>
      </c>
      <c r="AY122" s="95">
        <v>77.3</v>
      </c>
      <c r="AZ122" s="96">
        <v>62.945</v>
      </c>
      <c r="BA122" s="96"/>
      <c r="BB122" s="96">
        <v>48.5</v>
      </c>
      <c r="BC122" s="96"/>
      <c r="BD122" s="97">
        <v>110.7</v>
      </c>
      <c r="BE122" s="142">
        <f t="shared" si="60"/>
        <v>15122</v>
      </c>
      <c r="BF122" s="98">
        <v>0</v>
      </c>
      <c r="BG122" s="98">
        <v>2413</v>
      </c>
      <c r="BH122" s="98">
        <v>6055</v>
      </c>
      <c r="BI122" s="98">
        <v>6654</v>
      </c>
      <c r="BJ122" s="98"/>
      <c r="BK122" s="98"/>
      <c r="BL122" s="98"/>
    </row>
    <row r="123" spans="1:64" outlineLevel="5" x14ac:dyDescent="0.3">
      <c r="A123" s="152">
        <f t="shared" si="46"/>
        <v>4</v>
      </c>
      <c r="B123" s="153">
        <f t="shared" si="45"/>
        <v>45020</v>
      </c>
      <c r="C123" s="138">
        <f t="shared" si="51"/>
        <v>36.9</v>
      </c>
      <c r="D123" s="84">
        <v>37</v>
      </c>
      <c r="E123" s="84">
        <v>36.799999999999997</v>
      </c>
      <c r="F123" s="84"/>
      <c r="G123" s="84"/>
      <c r="H123" s="84"/>
      <c r="I123" s="84"/>
      <c r="J123" s="84"/>
      <c r="K123" s="84"/>
      <c r="L123" s="140" t="str">
        <f t="shared" si="52"/>
        <v/>
      </c>
      <c r="M123" s="86"/>
      <c r="N123" s="86"/>
      <c r="O123" s="86"/>
      <c r="P123" s="86"/>
      <c r="Q123" s="86"/>
      <c r="R123" s="86"/>
      <c r="S123" s="86"/>
      <c r="T123" s="86"/>
      <c r="U123" s="142" t="str">
        <f t="shared" si="53"/>
        <v/>
      </c>
      <c r="V123" s="88"/>
      <c r="W123" s="88"/>
      <c r="X123" s="88"/>
      <c r="Y123" s="88"/>
      <c r="Z123" s="88"/>
      <c r="AA123" s="88"/>
      <c r="AB123" s="88"/>
      <c r="AC123" s="88"/>
      <c r="AD123" s="142" t="str">
        <f t="shared" si="54"/>
        <v/>
      </c>
      <c r="AE123" s="88"/>
      <c r="AF123" s="88"/>
      <c r="AG123" s="88"/>
      <c r="AH123" s="88"/>
      <c r="AI123" s="88"/>
      <c r="AJ123" s="88"/>
      <c r="AK123" s="88"/>
      <c r="AL123" s="88"/>
      <c r="AM123" s="88">
        <v>36.14088820826953</v>
      </c>
      <c r="AN123" s="88">
        <v>130.6</v>
      </c>
      <c r="AO123" s="89"/>
      <c r="AP123" s="90"/>
      <c r="AQ123" s="146" t="str">
        <f t="shared" si="55"/>
        <v/>
      </c>
      <c r="AR123" s="146" t="str">
        <f t="shared" si="56"/>
        <v/>
      </c>
      <c r="AS123" s="147">
        <v>35</v>
      </c>
      <c r="AT123" s="148"/>
      <c r="AU123" s="149"/>
      <c r="AV123" s="146" t="str">
        <f t="shared" si="57"/>
        <v/>
      </c>
      <c r="AW123" s="146" t="str">
        <f t="shared" si="58"/>
        <v/>
      </c>
      <c r="AX123" s="138" t="str">
        <f t="shared" si="59"/>
        <v/>
      </c>
      <c r="AY123" s="95"/>
      <c r="AZ123" s="96">
        <v>60.16</v>
      </c>
      <c r="BA123" s="96"/>
      <c r="BB123" s="96">
        <v>12.5</v>
      </c>
      <c r="BC123" s="96"/>
      <c r="BD123" s="97">
        <v>130.6</v>
      </c>
      <c r="BE123" s="142">
        <f t="shared" si="60"/>
        <v>15487</v>
      </c>
      <c r="BF123" s="98">
        <v>0</v>
      </c>
      <c r="BG123" s="98">
        <v>4343</v>
      </c>
      <c r="BH123" s="98">
        <v>4415</v>
      </c>
      <c r="BI123" s="98">
        <v>6729</v>
      </c>
      <c r="BJ123" s="98"/>
      <c r="BK123" s="98"/>
      <c r="BL123" s="98"/>
    </row>
    <row r="124" spans="1:64" outlineLevel="5" x14ac:dyDescent="0.3">
      <c r="A124" s="152">
        <f t="shared" si="46"/>
        <v>4</v>
      </c>
      <c r="B124" s="153">
        <f t="shared" si="45"/>
        <v>45021</v>
      </c>
      <c r="C124" s="138">
        <f t="shared" si="51"/>
        <v>36.4</v>
      </c>
      <c r="D124" s="84">
        <v>36.700000000000003</v>
      </c>
      <c r="E124" s="84">
        <v>36</v>
      </c>
      <c r="F124" s="84"/>
      <c r="G124" s="84"/>
      <c r="H124" s="84"/>
      <c r="I124" s="84"/>
      <c r="J124" s="84"/>
      <c r="K124" s="84"/>
      <c r="L124" s="140">
        <f t="shared" si="52"/>
        <v>8.3000000000000007</v>
      </c>
      <c r="M124" s="86">
        <v>8.33</v>
      </c>
      <c r="N124" s="86">
        <v>8.3000000000000007</v>
      </c>
      <c r="O124" s="86"/>
      <c r="P124" s="86"/>
      <c r="Q124" s="86"/>
      <c r="R124" s="86"/>
      <c r="S124" s="86"/>
      <c r="T124" s="86"/>
      <c r="U124" s="142">
        <f t="shared" si="53"/>
        <v>1800</v>
      </c>
      <c r="V124" s="88">
        <v>2000</v>
      </c>
      <c r="W124" s="88">
        <v>1600</v>
      </c>
      <c r="X124" s="88"/>
      <c r="Y124" s="88"/>
      <c r="Z124" s="88"/>
      <c r="AA124" s="88"/>
      <c r="AB124" s="88"/>
      <c r="AC124" s="88"/>
      <c r="AD124" s="142">
        <f t="shared" si="54"/>
        <v>9670</v>
      </c>
      <c r="AE124" s="88">
        <v>9800</v>
      </c>
      <c r="AF124" s="88">
        <v>9540</v>
      </c>
      <c r="AG124" s="88"/>
      <c r="AH124" s="88"/>
      <c r="AI124" s="88"/>
      <c r="AJ124" s="88"/>
      <c r="AK124" s="88"/>
      <c r="AL124" s="88"/>
      <c r="AM124" s="88">
        <v>42.15791354055019</v>
      </c>
      <c r="AN124" s="88">
        <v>111.96000000000001</v>
      </c>
      <c r="AO124" s="89"/>
      <c r="AP124" s="90"/>
      <c r="AQ124" s="146" t="str">
        <f t="shared" si="55"/>
        <v/>
      </c>
      <c r="AR124" s="146" t="str">
        <f t="shared" si="56"/>
        <v/>
      </c>
      <c r="AS124" s="147">
        <v>20</v>
      </c>
      <c r="AT124" s="148">
        <v>13.45</v>
      </c>
      <c r="AU124" s="149">
        <v>7.8794500000000003</v>
      </c>
      <c r="AV124" s="146">
        <f t="shared" si="57"/>
        <v>58.583271375464683</v>
      </c>
      <c r="AW124" s="146">
        <f t="shared" si="58"/>
        <v>41.416728624535317</v>
      </c>
      <c r="AX124" s="138" t="str">
        <f t="shared" si="59"/>
        <v/>
      </c>
      <c r="AY124" s="95">
        <v>72.45</v>
      </c>
      <c r="AZ124" s="96">
        <v>59.120000000000005</v>
      </c>
      <c r="BA124" s="96"/>
      <c r="BB124" s="96">
        <v>33</v>
      </c>
      <c r="BC124" s="96"/>
      <c r="BD124" s="97">
        <v>111.96000000000001</v>
      </c>
      <c r="BE124" s="142">
        <f t="shared" si="60"/>
        <v>16514</v>
      </c>
      <c r="BF124" s="98">
        <v>394</v>
      </c>
      <c r="BG124" s="98">
        <v>3791</v>
      </c>
      <c r="BH124" s="98">
        <v>6268</v>
      </c>
      <c r="BI124" s="98">
        <v>6061</v>
      </c>
      <c r="BJ124" s="98"/>
      <c r="BK124" s="98"/>
      <c r="BL124" s="98"/>
    </row>
    <row r="125" spans="1:64" outlineLevel="5" x14ac:dyDescent="0.3">
      <c r="A125" s="152">
        <f t="shared" si="46"/>
        <v>4</v>
      </c>
      <c r="B125" s="153">
        <f t="shared" si="45"/>
        <v>45022</v>
      </c>
      <c r="C125" s="138">
        <f t="shared" si="51"/>
        <v>36.5</v>
      </c>
      <c r="D125" s="84">
        <v>36.6</v>
      </c>
      <c r="E125" s="84">
        <v>36.299999999999997</v>
      </c>
      <c r="F125" s="84"/>
      <c r="G125" s="84"/>
      <c r="H125" s="84"/>
      <c r="I125" s="84"/>
      <c r="J125" s="84"/>
      <c r="K125" s="84"/>
      <c r="L125" s="140">
        <f t="shared" si="52"/>
        <v>8.1999999999999993</v>
      </c>
      <c r="M125" s="86">
        <v>8.1999999999999993</v>
      </c>
      <c r="N125" s="86">
        <v>8.17</v>
      </c>
      <c r="O125" s="86"/>
      <c r="P125" s="86"/>
      <c r="Q125" s="86"/>
      <c r="R125" s="86"/>
      <c r="S125" s="86"/>
      <c r="T125" s="86"/>
      <c r="U125" s="142">
        <f t="shared" si="53"/>
        <v>1719.5</v>
      </c>
      <c r="V125" s="88">
        <v>1789</v>
      </c>
      <c r="W125" s="88">
        <v>1650</v>
      </c>
      <c r="X125" s="88"/>
      <c r="Y125" s="88"/>
      <c r="Z125" s="88"/>
      <c r="AA125" s="88"/>
      <c r="AB125" s="88"/>
      <c r="AC125" s="88"/>
      <c r="AD125" s="142" t="str">
        <f t="shared" si="54"/>
        <v/>
      </c>
      <c r="AE125" s="88"/>
      <c r="AF125" s="88"/>
      <c r="AG125" s="88"/>
      <c r="AH125" s="88"/>
      <c r="AI125" s="88"/>
      <c r="AJ125" s="88"/>
      <c r="AK125" s="88"/>
      <c r="AL125" s="88"/>
      <c r="AM125" s="88">
        <v>37.597578461048272</v>
      </c>
      <c r="AN125" s="88">
        <v>125.53999999999999</v>
      </c>
      <c r="AO125" s="89"/>
      <c r="AP125" s="90"/>
      <c r="AQ125" s="146" t="str">
        <f t="shared" si="55"/>
        <v/>
      </c>
      <c r="AR125" s="146" t="str">
        <f t="shared" si="56"/>
        <v/>
      </c>
      <c r="AS125" s="147">
        <v>20</v>
      </c>
      <c r="AT125" s="148">
        <v>14.15</v>
      </c>
      <c r="AU125" s="149">
        <v>7.7059000000000006</v>
      </c>
      <c r="AV125" s="146">
        <f t="shared" si="57"/>
        <v>54.458657243816255</v>
      </c>
      <c r="AW125" s="146">
        <f t="shared" si="58"/>
        <v>45.541342756183745</v>
      </c>
      <c r="AX125" s="138" t="str">
        <f t="shared" si="59"/>
        <v/>
      </c>
      <c r="AY125" s="95">
        <v>74.2</v>
      </c>
      <c r="AZ125" s="96">
        <v>60.915000000000006</v>
      </c>
      <c r="BA125" s="96"/>
      <c r="BB125" s="96">
        <v>36</v>
      </c>
      <c r="BC125" s="96"/>
      <c r="BD125" s="97">
        <v>125.53999999999999</v>
      </c>
      <c r="BE125" s="142">
        <f t="shared" si="60"/>
        <v>16768</v>
      </c>
      <c r="BF125" s="98">
        <v>471</v>
      </c>
      <c r="BG125" s="98">
        <v>3706</v>
      </c>
      <c r="BH125" s="98">
        <v>6681</v>
      </c>
      <c r="BI125" s="98">
        <v>5910</v>
      </c>
      <c r="BJ125" s="98"/>
      <c r="BK125" s="98"/>
      <c r="BL125" s="98"/>
    </row>
    <row r="126" spans="1:64" outlineLevel="5" x14ac:dyDescent="0.3">
      <c r="A126" s="152">
        <f t="shared" si="46"/>
        <v>4</v>
      </c>
      <c r="B126" s="153">
        <f t="shared" si="45"/>
        <v>45023</v>
      </c>
      <c r="C126" s="138">
        <f t="shared" si="51"/>
        <v>36.700000000000003</v>
      </c>
      <c r="D126" s="84">
        <v>36.799999999999997</v>
      </c>
      <c r="E126" s="84">
        <v>36.6</v>
      </c>
      <c r="F126" s="84"/>
      <c r="G126" s="84"/>
      <c r="H126" s="84"/>
      <c r="I126" s="84"/>
      <c r="J126" s="84"/>
      <c r="K126" s="84"/>
      <c r="L126" s="140" t="str">
        <f t="shared" si="52"/>
        <v/>
      </c>
      <c r="M126" s="86"/>
      <c r="N126" s="86"/>
      <c r="O126" s="86"/>
      <c r="P126" s="86"/>
      <c r="Q126" s="86"/>
      <c r="R126" s="86"/>
      <c r="S126" s="86"/>
      <c r="T126" s="86"/>
      <c r="U126" s="142" t="str">
        <f t="shared" si="53"/>
        <v/>
      </c>
      <c r="V126" s="88"/>
      <c r="W126" s="88"/>
      <c r="X126" s="88"/>
      <c r="Y126" s="88"/>
      <c r="Z126" s="88"/>
      <c r="AA126" s="88"/>
      <c r="AB126" s="88"/>
      <c r="AC126" s="88"/>
      <c r="AD126" s="142" t="str">
        <f t="shared" si="54"/>
        <v/>
      </c>
      <c r="AE126" s="88"/>
      <c r="AF126" s="88"/>
      <c r="AG126" s="88"/>
      <c r="AH126" s="88"/>
      <c r="AI126" s="88"/>
      <c r="AJ126" s="88"/>
      <c r="AK126" s="88"/>
      <c r="AL126" s="88"/>
      <c r="AM126" s="88">
        <v>51.032544058817166</v>
      </c>
      <c r="AN126" s="88">
        <v>92.490000000000009</v>
      </c>
      <c r="AO126" s="89"/>
      <c r="AP126" s="90"/>
      <c r="AQ126" s="146" t="str">
        <f t="shared" si="55"/>
        <v/>
      </c>
      <c r="AR126" s="146" t="str">
        <f t="shared" si="56"/>
        <v/>
      </c>
      <c r="AS126" s="147">
        <v>22</v>
      </c>
      <c r="AT126" s="148"/>
      <c r="AU126" s="149"/>
      <c r="AV126" s="146" t="str">
        <f t="shared" si="57"/>
        <v/>
      </c>
      <c r="AW126" s="146" t="str">
        <f t="shared" si="58"/>
        <v/>
      </c>
      <c r="AX126" s="138" t="str">
        <f t="shared" si="59"/>
        <v/>
      </c>
      <c r="AY126" s="95"/>
      <c r="AZ126" s="96">
        <v>61.805</v>
      </c>
      <c r="BA126" s="96"/>
      <c r="BB126" s="96">
        <v>37.5</v>
      </c>
      <c r="BC126" s="96"/>
      <c r="BD126" s="97">
        <v>92.490000000000009</v>
      </c>
      <c r="BE126" s="142">
        <f t="shared" si="60"/>
        <v>15264</v>
      </c>
      <c r="BF126" s="98">
        <v>394</v>
      </c>
      <c r="BG126" s="98">
        <v>3794</v>
      </c>
      <c r="BH126" s="98">
        <v>5247</v>
      </c>
      <c r="BI126" s="98">
        <v>5829</v>
      </c>
      <c r="BJ126" s="98"/>
      <c r="BK126" s="98"/>
      <c r="BL126" s="98"/>
    </row>
    <row r="127" spans="1:64" outlineLevel="5" x14ac:dyDescent="0.3">
      <c r="A127" s="152">
        <f t="shared" si="46"/>
        <v>4</v>
      </c>
      <c r="B127" s="153">
        <f t="shared" si="45"/>
        <v>45024</v>
      </c>
      <c r="C127" s="138">
        <f t="shared" si="51"/>
        <v>36.4</v>
      </c>
      <c r="D127" s="84">
        <v>36.5</v>
      </c>
      <c r="E127" s="84">
        <v>36.299999999999997</v>
      </c>
      <c r="F127" s="84"/>
      <c r="G127" s="84"/>
      <c r="H127" s="84"/>
      <c r="I127" s="84"/>
      <c r="J127" s="84"/>
      <c r="K127" s="84"/>
      <c r="L127" s="140" t="str">
        <f t="shared" si="52"/>
        <v/>
      </c>
      <c r="M127" s="86"/>
      <c r="N127" s="86"/>
      <c r="O127" s="86"/>
      <c r="P127" s="86"/>
      <c r="Q127" s="86"/>
      <c r="R127" s="86"/>
      <c r="S127" s="86"/>
      <c r="T127" s="86"/>
      <c r="U127" s="142" t="str">
        <f t="shared" si="53"/>
        <v/>
      </c>
      <c r="V127" s="88"/>
      <c r="W127" s="88"/>
      <c r="X127" s="88"/>
      <c r="Y127" s="88"/>
      <c r="Z127" s="88"/>
      <c r="AA127" s="88"/>
      <c r="AB127" s="88"/>
      <c r="AC127" s="88"/>
      <c r="AD127" s="142" t="str">
        <f t="shared" si="54"/>
        <v/>
      </c>
      <c r="AE127" s="88"/>
      <c r="AF127" s="88"/>
      <c r="AG127" s="88"/>
      <c r="AH127" s="88"/>
      <c r="AI127" s="88"/>
      <c r="AJ127" s="88"/>
      <c r="AK127" s="88"/>
      <c r="AL127" s="88"/>
      <c r="AM127" s="88">
        <v>59.641142279504678</v>
      </c>
      <c r="AN127" s="88">
        <v>79.14</v>
      </c>
      <c r="AO127" s="89"/>
      <c r="AP127" s="90"/>
      <c r="AQ127" s="146" t="str">
        <f t="shared" si="55"/>
        <v/>
      </c>
      <c r="AR127" s="146" t="str">
        <f t="shared" si="56"/>
        <v/>
      </c>
      <c r="AS127" s="147">
        <v>12</v>
      </c>
      <c r="AT127" s="148"/>
      <c r="AU127" s="149"/>
      <c r="AV127" s="146" t="str">
        <f t="shared" si="57"/>
        <v/>
      </c>
      <c r="AW127" s="146" t="str">
        <f t="shared" si="58"/>
        <v/>
      </c>
      <c r="AX127" s="138" t="str">
        <f t="shared" si="59"/>
        <v/>
      </c>
      <c r="AY127" s="95"/>
      <c r="AZ127" s="96"/>
      <c r="BA127" s="96"/>
      <c r="BB127" s="96"/>
      <c r="BC127" s="96"/>
      <c r="BD127" s="97">
        <v>79.14</v>
      </c>
      <c r="BE127" s="142">
        <f t="shared" si="60"/>
        <v>12984</v>
      </c>
      <c r="BF127" s="98">
        <v>0</v>
      </c>
      <c r="BG127" s="98">
        <v>3277</v>
      </c>
      <c r="BH127" s="98">
        <v>5754</v>
      </c>
      <c r="BI127" s="98">
        <v>3953</v>
      </c>
      <c r="BJ127" s="98"/>
      <c r="BK127" s="98"/>
      <c r="BL127" s="98"/>
    </row>
    <row r="128" spans="1:64" outlineLevel="5" x14ac:dyDescent="0.3">
      <c r="A128" s="152">
        <f t="shared" si="46"/>
        <v>4</v>
      </c>
      <c r="B128" s="153">
        <f t="shared" si="45"/>
        <v>45025</v>
      </c>
      <c r="C128" s="138">
        <f t="shared" si="51"/>
        <v>36.4</v>
      </c>
      <c r="D128" s="84">
        <v>36.4</v>
      </c>
      <c r="E128" s="84">
        <v>36.299999999999997</v>
      </c>
      <c r="F128" s="84"/>
      <c r="G128" s="84"/>
      <c r="H128" s="84"/>
      <c r="I128" s="84"/>
      <c r="J128" s="84"/>
      <c r="K128" s="84"/>
      <c r="L128" s="140" t="str">
        <f t="shared" si="52"/>
        <v/>
      </c>
      <c r="M128" s="86"/>
      <c r="N128" s="86"/>
      <c r="O128" s="86"/>
      <c r="P128" s="86"/>
      <c r="Q128" s="86"/>
      <c r="R128" s="86"/>
      <c r="S128" s="86"/>
      <c r="T128" s="86"/>
      <c r="U128" s="142" t="str">
        <f t="shared" si="53"/>
        <v/>
      </c>
      <c r="V128" s="88"/>
      <c r="W128" s="88"/>
      <c r="X128" s="88"/>
      <c r="Y128" s="88"/>
      <c r="Z128" s="88"/>
      <c r="AA128" s="88"/>
      <c r="AB128" s="88"/>
      <c r="AC128" s="88"/>
      <c r="AD128" s="142" t="str">
        <f t="shared" si="54"/>
        <v/>
      </c>
      <c r="AE128" s="88"/>
      <c r="AF128" s="88"/>
      <c r="AG128" s="88"/>
      <c r="AH128" s="88"/>
      <c r="AI128" s="88"/>
      <c r="AJ128" s="88"/>
      <c r="AK128" s="88"/>
      <c r="AL128" s="88"/>
      <c r="AM128" s="88">
        <v>104.88888888888889</v>
      </c>
      <c r="AN128" s="88">
        <v>45</v>
      </c>
      <c r="AO128" s="89"/>
      <c r="AP128" s="90"/>
      <c r="AQ128" s="146" t="str">
        <f t="shared" si="55"/>
        <v/>
      </c>
      <c r="AR128" s="146" t="str">
        <f t="shared" si="56"/>
        <v/>
      </c>
      <c r="AS128" s="147">
        <v>0</v>
      </c>
      <c r="AT128" s="148"/>
      <c r="AU128" s="149"/>
      <c r="AV128" s="146" t="str">
        <f t="shared" si="57"/>
        <v/>
      </c>
      <c r="AW128" s="146" t="str">
        <f t="shared" si="58"/>
        <v/>
      </c>
      <c r="AX128" s="138" t="str">
        <f t="shared" si="59"/>
        <v/>
      </c>
      <c r="AY128" s="95"/>
      <c r="AZ128" s="96"/>
      <c r="BA128" s="96"/>
      <c r="BB128" s="96"/>
      <c r="BC128" s="96"/>
      <c r="BD128" s="97">
        <v>45</v>
      </c>
      <c r="BE128" s="142">
        <f t="shared" si="60"/>
        <v>8000</v>
      </c>
      <c r="BF128" s="98">
        <v>0</v>
      </c>
      <c r="BG128" s="98">
        <v>3382</v>
      </c>
      <c r="BH128" s="98">
        <v>0</v>
      </c>
      <c r="BI128" s="98">
        <v>4618</v>
      </c>
      <c r="BJ128" s="98"/>
      <c r="BK128" s="98"/>
      <c r="BL128" s="98"/>
    </row>
    <row r="129" spans="1:64" outlineLevel="5" x14ac:dyDescent="0.3">
      <c r="A129" s="152">
        <f t="shared" si="46"/>
        <v>4</v>
      </c>
      <c r="B129" s="153">
        <f t="shared" si="45"/>
        <v>45026</v>
      </c>
      <c r="C129" s="138">
        <f t="shared" si="51"/>
        <v>36.6</v>
      </c>
      <c r="D129" s="84">
        <v>36.700000000000003</v>
      </c>
      <c r="E129" s="84">
        <v>36.4</v>
      </c>
      <c r="F129" s="84"/>
      <c r="G129" s="84"/>
      <c r="H129" s="84"/>
      <c r="I129" s="84"/>
      <c r="J129" s="84"/>
      <c r="K129" s="84"/>
      <c r="L129" s="140">
        <f t="shared" si="52"/>
        <v>8.5</v>
      </c>
      <c r="M129" s="86">
        <v>8.52</v>
      </c>
      <c r="N129" s="86">
        <v>8.52</v>
      </c>
      <c r="O129" s="86"/>
      <c r="P129" s="86"/>
      <c r="Q129" s="86"/>
      <c r="R129" s="86"/>
      <c r="S129" s="86"/>
      <c r="T129" s="86"/>
      <c r="U129" s="142">
        <f t="shared" si="53"/>
        <v>1416.5</v>
      </c>
      <c r="V129" s="88">
        <v>1352</v>
      </c>
      <c r="W129" s="88">
        <v>1481</v>
      </c>
      <c r="X129" s="88"/>
      <c r="Y129" s="88"/>
      <c r="Z129" s="88"/>
      <c r="AA129" s="88"/>
      <c r="AB129" s="88"/>
      <c r="AC129" s="88"/>
      <c r="AD129" s="142" t="str">
        <f t="shared" si="54"/>
        <v/>
      </c>
      <c r="AE129" s="88"/>
      <c r="AF129" s="88"/>
      <c r="AG129" s="88"/>
      <c r="AH129" s="88"/>
      <c r="AI129" s="88"/>
      <c r="AJ129" s="88"/>
      <c r="AK129" s="88"/>
      <c r="AL129" s="88"/>
      <c r="AM129" s="88">
        <v>61.434335546010672</v>
      </c>
      <c r="AN129" s="88">
        <v>76.83</v>
      </c>
      <c r="AO129" s="89">
        <v>19.5</v>
      </c>
      <c r="AP129" s="90">
        <v>15.6975</v>
      </c>
      <c r="AQ129" s="146">
        <f t="shared" si="55"/>
        <v>80.5</v>
      </c>
      <c r="AR129" s="146">
        <f t="shared" si="56"/>
        <v>19.5</v>
      </c>
      <c r="AS129" s="147">
        <v>25</v>
      </c>
      <c r="AT129" s="148">
        <v>15.05</v>
      </c>
      <c r="AU129" s="149">
        <v>8.5091999999999999</v>
      </c>
      <c r="AV129" s="146">
        <f t="shared" si="57"/>
        <v>56.539534883720933</v>
      </c>
      <c r="AW129" s="146">
        <f t="shared" si="58"/>
        <v>43.460465116279067</v>
      </c>
      <c r="AX129" s="138">
        <f t="shared" si="59"/>
        <v>68.486503445928705</v>
      </c>
      <c r="AY129" s="95">
        <v>78.55</v>
      </c>
      <c r="AZ129" s="96">
        <v>61.41</v>
      </c>
      <c r="BA129" s="96"/>
      <c r="BB129" s="96">
        <v>35.5</v>
      </c>
      <c r="BC129" s="96"/>
      <c r="BD129" s="97">
        <v>76.83</v>
      </c>
      <c r="BE129" s="142">
        <f t="shared" si="60"/>
        <v>9994</v>
      </c>
      <c r="BF129" s="98">
        <v>929</v>
      </c>
      <c r="BG129" s="98">
        <v>3496</v>
      </c>
      <c r="BH129" s="98">
        <v>0</v>
      </c>
      <c r="BI129" s="98">
        <v>5569</v>
      </c>
      <c r="BJ129" s="98"/>
      <c r="BK129" s="98"/>
      <c r="BL129" s="98"/>
    </row>
    <row r="130" spans="1:64" outlineLevel="5" x14ac:dyDescent="0.3">
      <c r="A130" s="152">
        <f t="shared" si="46"/>
        <v>4</v>
      </c>
      <c r="B130" s="153">
        <f t="shared" si="45"/>
        <v>45027</v>
      </c>
      <c r="C130" s="138">
        <f t="shared" si="51"/>
        <v>36.5</v>
      </c>
      <c r="D130" s="84">
        <v>36.5</v>
      </c>
      <c r="E130" s="84">
        <v>36.4</v>
      </c>
      <c r="F130" s="84"/>
      <c r="G130" s="84"/>
      <c r="H130" s="84"/>
      <c r="I130" s="84"/>
      <c r="J130" s="84"/>
      <c r="K130" s="84"/>
      <c r="L130" s="140" t="str">
        <f t="shared" si="52"/>
        <v/>
      </c>
      <c r="M130" s="86"/>
      <c r="N130" s="86"/>
      <c r="O130" s="86"/>
      <c r="P130" s="86"/>
      <c r="Q130" s="86"/>
      <c r="R130" s="86"/>
      <c r="S130" s="86"/>
      <c r="T130" s="86"/>
      <c r="U130" s="142" t="str">
        <f t="shared" si="53"/>
        <v/>
      </c>
      <c r="V130" s="88"/>
      <c r="W130" s="88"/>
      <c r="X130" s="88"/>
      <c r="Y130" s="88"/>
      <c r="Z130" s="88"/>
      <c r="AA130" s="88"/>
      <c r="AB130" s="88"/>
      <c r="AC130" s="88"/>
      <c r="AD130" s="142" t="str">
        <f t="shared" si="54"/>
        <v/>
      </c>
      <c r="AE130" s="88"/>
      <c r="AF130" s="88"/>
      <c r="AG130" s="88"/>
      <c r="AH130" s="88"/>
      <c r="AI130" s="88"/>
      <c r="AJ130" s="88"/>
      <c r="AK130" s="88"/>
      <c r="AL130" s="88"/>
      <c r="AM130" s="88">
        <v>45.33230887437572</v>
      </c>
      <c r="AN130" s="88">
        <v>104.12</v>
      </c>
      <c r="AO130" s="89"/>
      <c r="AP130" s="90"/>
      <c r="AQ130" s="146" t="str">
        <f t="shared" si="55"/>
        <v/>
      </c>
      <c r="AR130" s="146" t="str">
        <f t="shared" si="56"/>
        <v/>
      </c>
      <c r="AS130" s="147">
        <v>2</v>
      </c>
      <c r="AT130" s="148"/>
      <c r="AU130" s="149"/>
      <c r="AV130" s="146" t="str">
        <f t="shared" si="57"/>
        <v/>
      </c>
      <c r="AW130" s="146" t="str">
        <f t="shared" si="58"/>
        <v/>
      </c>
      <c r="AX130" s="138" t="str">
        <f t="shared" si="59"/>
        <v/>
      </c>
      <c r="AY130" s="95"/>
      <c r="AZ130" s="96">
        <v>60.879999999999995</v>
      </c>
      <c r="BA130" s="96"/>
      <c r="BB130" s="96">
        <v>30.5</v>
      </c>
      <c r="BC130" s="96"/>
      <c r="BD130" s="97">
        <v>104.12</v>
      </c>
      <c r="BE130" s="142">
        <f t="shared" si="60"/>
        <v>8587</v>
      </c>
      <c r="BF130" s="98">
        <v>1592</v>
      </c>
      <c r="BG130" s="98">
        <v>3954</v>
      </c>
      <c r="BH130" s="98">
        <v>1097</v>
      </c>
      <c r="BI130" s="98">
        <v>1944</v>
      </c>
      <c r="BJ130" s="98"/>
      <c r="BK130" s="98"/>
      <c r="BL130" s="98"/>
    </row>
    <row r="131" spans="1:64" outlineLevel="5" x14ac:dyDescent="0.3">
      <c r="A131" s="152">
        <f t="shared" si="46"/>
        <v>4</v>
      </c>
      <c r="B131" s="153">
        <f t="shared" si="45"/>
        <v>45028</v>
      </c>
      <c r="C131" s="138">
        <f t="shared" si="51"/>
        <v>36.9</v>
      </c>
      <c r="D131" s="84">
        <v>37</v>
      </c>
      <c r="E131" s="84">
        <v>36.799999999999997</v>
      </c>
      <c r="F131" s="84"/>
      <c r="G131" s="84"/>
      <c r="H131" s="84"/>
      <c r="I131" s="84"/>
      <c r="J131" s="84"/>
      <c r="K131" s="84"/>
      <c r="L131" s="140">
        <f t="shared" si="52"/>
        <v>8.4</v>
      </c>
      <c r="M131" s="86">
        <v>8.43</v>
      </c>
      <c r="N131" s="86"/>
      <c r="O131" s="86"/>
      <c r="P131" s="86"/>
      <c r="Q131" s="86"/>
      <c r="R131" s="86"/>
      <c r="S131" s="86"/>
      <c r="T131" s="86"/>
      <c r="U131" s="142">
        <f t="shared" si="53"/>
        <v>1302</v>
      </c>
      <c r="V131" s="88">
        <v>1302</v>
      </c>
      <c r="W131" s="88"/>
      <c r="X131" s="88"/>
      <c r="Y131" s="88"/>
      <c r="Z131" s="88"/>
      <c r="AA131" s="88"/>
      <c r="AB131" s="88"/>
      <c r="AC131" s="88"/>
      <c r="AD131" s="142">
        <f t="shared" si="54"/>
        <v>9680</v>
      </c>
      <c r="AE131" s="88">
        <v>9680</v>
      </c>
      <c r="AF131" s="88"/>
      <c r="AG131" s="88"/>
      <c r="AH131" s="88"/>
      <c r="AI131" s="88"/>
      <c r="AJ131" s="88"/>
      <c r="AK131" s="88"/>
      <c r="AL131" s="88"/>
      <c r="AM131" s="88">
        <v>65.419265419265415</v>
      </c>
      <c r="AN131" s="88">
        <v>72.150000000000006</v>
      </c>
      <c r="AO131" s="89"/>
      <c r="AP131" s="90"/>
      <c r="AQ131" s="146" t="str">
        <f t="shared" si="55"/>
        <v/>
      </c>
      <c r="AR131" s="146" t="str">
        <f t="shared" si="56"/>
        <v/>
      </c>
      <c r="AS131" s="147">
        <v>0</v>
      </c>
      <c r="AT131" s="148"/>
      <c r="AU131" s="149"/>
      <c r="AV131" s="146" t="str">
        <f t="shared" si="57"/>
        <v/>
      </c>
      <c r="AW131" s="146" t="str">
        <f t="shared" si="58"/>
        <v/>
      </c>
      <c r="AX131" s="138" t="str">
        <f t="shared" si="59"/>
        <v/>
      </c>
      <c r="AY131" s="95">
        <v>75.099999999999994</v>
      </c>
      <c r="AZ131" s="96">
        <v>63.730000000000004</v>
      </c>
      <c r="BA131" s="96"/>
      <c r="BB131" s="96">
        <v>37.5</v>
      </c>
      <c r="BC131" s="96"/>
      <c r="BD131" s="97">
        <v>72.150000000000006</v>
      </c>
      <c r="BE131" s="142">
        <f t="shared" si="60"/>
        <v>9233</v>
      </c>
      <c r="BF131" s="98">
        <v>1711</v>
      </c>
      <c r="BG131" s="98">
        <v>2805</v>
      </c>
      <c r="BH131" s="98">
        <v>2453</v>
      </c>
      <c r="BI131" s="98">
        <v>2264</v>
      </c>
      <c r="BJ131" s="98"/>
      <c r="BK131" s="98"/>
      <c r="BL131" s="98"/>
    </row>
    <row r="132" spans="1:64" outlineLevel="5" x14ac:dyDescent="0.3">
      <c r="A132" s="152">
        <f t="shared" si="46"/>
        <v>4</v>
      </c>
      <c r="B132" s="153">
        <f t="shared" si="45"/>
        <v>45029</v>
      </c>
      <c r="C132" s="138">
        <f t="shared" si="51"/>
        <v>37.700000000000003</v>
      </c>
      <c r="D132" s="84">
        <v>38.5</v>
      </c>
      <c r="E132" s="84">
        <v>36.799999999999997</v>
      </c>
      <c r="F132" s="84"/>
      <c r="G132" s="84"/>
      <c r="H132" s="84"/>
      <c r="I132" s="84"/>
      <c r="J132" s="84"/>
      <c r="K132" s="84"/>
      <c r="L132" s="140">
        <f t="shared" si="52"/>
        <v>8.4</v>
      </c>
      <c r="M132" s="86">
        <v>8.41</v>
      </c>
      <c r="N132" s="86">
        <v>8.3800000000000008</v>
      </c>
      <c r="O132" s="86"/>
      <c r="P132" s="86"/>
      <c r="Q132" s="86"/>
      <c r="R132" s="86"/>
      <c r="S132" s="86"/>
      <c r="T132" s="86"/>
      <c r="U132" s="142">
        <f t="shared" si="53"/>
        <v>1427.5</v>
      </c>
      <c r="V132" s="88">
        <v>1449</v>
      </c>
      <c r="W132" s="88">
        <v>1406</v>
      </c>
      <c r="X132" s="88"/>
      <c r="Y132" s="88"/>
      <c r="Z132" s="88"/>
      <c r="AA132" s="88"/>
      <c r="AB132" s="88"/>
      <c r="AC132" s="88"/>
      <c r="AD132" s="142" t="str">
        <f t="shared" si="54"/>
        <v/>
      </c>
      <c r="AE132" s="88"/>
      <c r="AF132" s="88"/>
      <c r="AG132" s="88"/>
      <c r="AH132" s="88"/>
      <c r="AI132" s="88"/>
      <c r="AJ132" s="88"/>
      <c r="AK132" s="88"/>
      <c r="AL132" s="88"/>
      <c r="AM132" s="88">
        <v>41.8848167539267</v>
      </c>
      <c r="AN132" s="88">
        <v>112.69</v>
      </c>
      <c r="AO132" s="89"/>
      <c r="AP132" s="90"/>
      <c r="AQ132" s="146" t="str">
        <f t="shared" si="55"/>
        <v/>
      </c>
      <c r="AR132" s="146" t="str">
        <f t="shared" si="56"/>
        <v/>
      </c>
      <c r="AS132" s="147">
        <v>0</v>
      </c>
      <c r="AT132" s="148">
        <v>15.100000000000001</v>
      </c>
      <c r="AU132" s="149">
        <v>7.9937500000000004</v>
      </c>
      <c r="AV132" s="146">
        <f t="shared" si="57"/>
        <v>52.938741721854299</v>
      </c>
      <c r="AW132" s="146">
        <f t="shared" si="58"/>
        <v>47.061258278145701</v>
      </c>
      <c r="AX132" s="138" t="str">
        <f t="shared" si="59"/>
        <v/>
      </c>
      <c r="AY132" s="95">
        <v>75.5</v>
      </c>
      <c r="AZ132" s="96">
        <v>62.08</v>
      </c>
      <c r="BA132" s="96"/>
      <c r="BB132" s="96">
        <v>48.5</v>
      </c>
      <c r="BC132" s="96"/>
      <c r="BD132" s="97">
        <v>112.69</v>
      </c>
      <c r="BE132" s="142">
        <f t="shared" si="60"/>
        <v>11636</v>
      </c>
      <c r="BF132" s="98">
        <v>1352</v>
      </c>
      <c r="BG132" s="98">
        <v>2531</v>
      </c>
      <c r="BH132" s="98">
        <v>1532</v>
      </c>
      <c r="BI132" s="98">
        <v>6221</v>
      </c>
      <c r="BJ132" s="98"/>
      <c r="BK132" s="98"/>
      <c r="BL132" s="98"/>
    </row>
    <row r="133" spans="1:64" outlineLevel="5" x14ac:dyDescent="0.3">
      <c r="A133" s="152">
        <f t="shared" si="46"/>
        <v>4</v>
      </c>
      <c r="B133" s="153">
        <f t="shared" si="45"/>
        <v>45030</v>
      </c>
      <c r="C133" s="138">
        <f t="shared" si="51"/>
        <v>37</v>
      </c>
      <c r="D133" s="84">
        <v>37</v>
      </c>
      <c r="E133" s="84">
        <v>37</v>
      </c>
      <c r="F133" s="84"/>
      <c r="G133" s="84"/>
      <c r="H133" s="84"/>
      <c r="I133" s="84"/>
      <c r="J133" s="84"/>
      <c r="K133" s="84"/>
      <c r="L133" s="140" t="str">
        <f t="shared" si="52"/>
        <v/>
      </c>
      <c r="M133" s="86"/>
      <c r="N133" s="86"/>
      <c r="O133" s="86"/>
      <c r="P133" s="86"/>
      <c r="Q133" s="86"/>
      <c r="R133" s="86"/>
      <c r="S133" s="86"/>
      <c r="T133" s="86"/>
      <c r="U133" s="142" t="str">
        <f t="shared" si="53"/>
        <v/>
      </c>
      <c r="V133" s="88"/>
      <c r="W133" s="88"/>
      <c r="X133" s="88"/>
      <c r="Y133" s="88"/>
      <c r="Z133" s="88"/>
      <c r="AA133" s="88"/>
      <c r="AB133" s="88"/>
      <c r="AC133" s="88"/>
      <c r="AD133" s="142" t="str">
        <f t="shared" si="54"/>
        <v/>
      </c>
      <c r="AE133" s="88"/>
      <c r="AF133" s="88"/>
      <c r="AG133" s="88"/>
      <c r="AH133" s="88"/>
      <c r="AI133" s="88"/>
      <c r="AJ133" s="88"/>
      <c r="AK133" s="88"/>
      <c r="AL133" s="88"/>
      <c r="AM133" s="88">
        <v>42.188058634250986</v>
      </c>
      <c r="AN133" s="88">
        <v>111.88</v>
      </c>
      <c r="AO133" s="89"/>
      <c r="AP133" s="90"/>
      <c r="AQ133" s="146" t="str">
        <f t="shared" si="55"/>
        <v/>
      </c>
      <c r="AR133" s="146" t="str">
        <f t="shared" si="56"/>
        <v/>
      </c>
      <c r="AS133" s="147">
        <v>0</v>
      </c>
      <c r="AT133" s="148"/>
      <c r="AU133" s="149"/>
      <c r="AV133" s="146" t="str">
        <f t="shared" si="57"/>
        <v/>
      </c>
      <c r="AW133" s="146" t="str">
        <f t="shared" si="58"/>
        <v/>
      </c>
      <c r="AX133" s="138" t="str">
        <f t="shared" si="59"/>
        <v/>
      </c>
      <c r="AY133" s="95"/>
      <c r="AZ133" s="96">
        <v>62.59</v>
      </c>
      <c r="BA133" s="96"/>
      <c r="BB133" s="96">
        <v>46.5</v>
      </c>
      <c r="BC133" s="96"/>
      <c r="BD133" s="97">
        <v>111.88</v>
      </c>
      <c r="BE133" s="142">
        <f t="shared" si="60"/>
        <v>14064</v>
      </c>
      <c r="BF133" s="98">
        <v>1482</v>
      </c>
      <c r="BG133" s="98">
        <v>296</v>
      </c>
      <c r="BH133" s="98">
        <v>6072</v>
      </c>
      <c r="BI133" s="98">
        <v>6214</v>
      </c>
      <c r="BJ133" s="98"/>
      <c r="BK133" s="98"/>
      <c r="BL133" s="98"/>
    </row>
    <row r="134" spans="1:64" outlineLevel="5" x14ac:dyDescent="0.3">
      <c r="A134" s="152">
        <f t="shared" si="46"/>
        <v>4</v>
      </c>
      <c r="B134" s="153">
        <f t="shared" si="45"/>
        <v>45031</v>
      </c>
      <c r="C134" s="138">
        <f t="shared" si="51"/>
        <v>39.1</v>
      </c>
      <c r="D134" s="84">
        <v>39</v>
      </c>
      <c r="E134" s="84">
        <v>39.200000000000003</v>
      </c>
      <c r="F134" s="84"/>
      <c r="G134" s="84"/>
      <c r="H134" s="84"/>
      <c r="I134" s="84"/>
      <c r="J134" s="84"/>
      <c r="K134" s="84"/>
      <c r="L134" s="140" t="str">
        <f t="shared" si="52"/>
        <v/>
      </c>
      <c r="M134" s="86"/>
      <c r="N134" s="86"/>
      <c r="O134" s="86"/>
      <c r="P134" s="86"/>
      <c r="Q134" s="86"/>
      <c r="R134" s="86"/>
      <c r="S134" s="86"/>
      <c r="T134" s="86"/>
      <c r="U134" s="142" t="str">
        <f t="shared" si="53"/>
        <v/>
      </c>
      <c r="V134" s="88"/>
      <c r="W134" s="88"/>
      <c r="X134" s="88"/>
      <c r="Y134" s="88"/>
      <c r="Z134" s="88"/>
      <c r="AA134" s="88"/>
      <c r="AB134" s="88"/>
      <c r="AC134" s="88"/>
      <c r="AD134" s="142" t="str">
        <f t="shared" si="54"/>
        <v/>
      </c>
      <c r="AE134" s="88"/>
      <c r="AF134" s="88"/>
      <c r="AG134" s="88"/>
      <c r="AH134" s="88"/>
      <c r="AI134" s="88"/>
      <c r="AJ134" s="88"/>
      <c r="AK134" s="88"/>
      <c r="AL134" s="88"/>
      <c r="AM134" s="88">
        <v>38.685353659536105</v>
      </c>
      <c r="AN134" s="88">
        <v>122.00999999999999</v>
      </c>
      <c r="AO134" s="89"/>
      <c r="AP134" s="90"/>
      <c r="AQ134" s="146" t="str">
        <f t="shared" si="55"/>
        <v/>
      </c>
      <c r="AR134" s="146" t="str">
        <f t="shared" si="56"/>
        <v/>
      </c>
      <c r="AS134" s="147">
        <v>0</v>
      </c>
      <c r="AT134" s="148"/>
      <c r="AU134" s="149"/>
      <c r="AV134" s="146" t="str">
        <f t="shared" si="57"/>
        <v/>
      </c>
      <c r="AW134" s="146" t="str">
        <f t="shared" si="58"/>
        <v/>
      </c>
      <c r="AX134" s="138" t="str">
        <f t="shared" si="59"/>
        <v/>
      </c>
      <c r="AY134" s="95"/>
      <c r="AZ134" s="96"/>
      <c r="BA134" s="96"/>
      <c r="BB134" s="96"/>
      <c r="BC134" s="96"/>
      <c r="BD134" s="97">
        <v>122.00999999999999</v>
      </c>
      <c r="BE134" s="142">
        <f t="shared" si="60"/>
        <v>16248</v>
      </c>
      <c r="BF134" s="98">
        <v>1058</v>
      </c>
      <c r="BG134" s="98">
        <v>2942</v>
      </c>
      <c r="BH134" s="98">
        <v>6416</v>
      </c>
      <c r="BI134" s="98">
        <v>5832</v>
      </c>
      <c r="BJ134" s="98"/>
      <c r="BK134" s="98"/>
      <c r="BL134" s="98"/>
    </row>
    <row r="135" spans="1:64" outlineLevel="5" x14ac:dyDescent="0.3">
      <c r="A135" s="152">
        <f t="shared" si="46"/>
        <v>4</v>
      </c>
      <c r="B135" s="153">
        <f t="shared" si="45"/>
        <v>45032</v>
      </c>
      <c r="C135" s="138">
        <f t="shared" si="51"/>
        <v>38.799999999999997</v>
      </c>
      <c r="D135" s="84">
        <v>38.799999999999997</v>
      </c>
      <c r="E135" s="84">
        <v>38.700000000000003</v>
      </c>
      <c r="F135" s="84"/>
      <c r="G135" s="84"/>
      <c r="H135" s="84"/>
      <c r="I135" s="84"/>
      <c r="J135" s="84"/>
      <c r="K135" s="84"/>
      <c r="L135" s="140" t="str">
        <f t="shared" si="52"/>
        <v/>
      </c>
      <c r="M135" s="86"/>
      <c r="N135" s="86"/>
      <c r="O135" s="86"/>
      <c r="P135" s="86"/>
      <c r="Q135" s="86"/>
      <c r="R135" s="86"/>
      <c r="S135" s="86"/>
      <c r="T135" s="86"/>
      <c r="U135" s="142" t="str">
        <f t="shared" si="53"/>
        <v/>
      </c>
      <c r="V135" s="88"/>
      <c r="W135" s="88"/>
      <c r="X135" s="88"/>
      <c r="Y135" s="88"/>
      <c r="Z135" s="88"/>
      <c r="AA135" s="88"/>
      <c r="AB135" s="88"/>
      <c r="AC135" s="88"/>
      <c r="AD135" s="142" t="str">
        <f t="shared" si="54"/>
        <v/>
      </c>
      <c r="AE135" s="88"/>
      <c r="AF135" s="88"/>
      <c r="AG135" s="88"/>
      <c r="AH135" s="88"/>
      <c r="AI135" s="88"/>
      <c r="AJ135" s="88"/>
      <c r="AK135" s="88"/>
      <c r="AL135" s="88"/>
      <c r="AM135" s="88">
        <v>36.307692307692307</v>
      </c>
      <c r="AN135" s="88">
        <v>130</v>
      </c>
      <c r="AO135" s="89"/>
      <c r="AP135" s="90"/>
      <c r="AQ135" s="146" t="str">
        <f t="shared" si="55"/>
        <v/>
      </c>
      <c r="AR135" s="146" t="str">
        <f t="shared" si="56"/>
        <v/>
      </c>
      <c r="AS135" s="147">
        <v>0</v>
      </c>
      <c r="AT135" s="148"/>
      <c r="AU135" s="149"/>
      <c r="AV135" s="146" t="str">
        <f t="shared" si="57"/>
        <v/>
      </c>
      <c r="AW135" s="146" t="str">
        <f t="shared" si="58"/>
        <v/>
      </c>
      <c r="AX135" s="138" t="str">
        <f t="shared" si="59"/>
        <v/>
      </c>
      <c r="AY135" s="95"/>
      <c r="AZ135" s="96"/>
      <c r="BA135" s="96"/>
      <c r="BB135" s="96"/>
      <c r="BC135" s="96"/>
      <c r="BD135" s="97">
        <v>130</v>
      </c>
      <c r="BE135" s="142">
        <f t="shared" si="60"/>
        <v>12259</v>
      </c>
      <c r="BF135" s="98">
        <v>0</v>
      </c>
      <c r="BG135" s="98">
        <v>3026</v>
      </c>
      <c r="BH135" s="98">
        <v>3210</v>
      </c>
      <c r="BI135" s="98">
        <v>6023</v>
      </c>
      <c r="BJ135" s="98"/>
      <c r="BK135" s="98"/>
      <c r="BL135" s="98"/>
    </row>
    <row r="136" spans="1:64" outlineLevel="5" x14ac:dyDescent="0.3">
      <c r="A136" s="152">
        <f t="shared" si="46"/>
        <v>4</v>
      </c>
      <c r="B136" s="153">
        <f t="shared" si="45"/>
        <v>45033</v>
      </c>
      <c r="C136" s="138">
        <f t="shared" si="51"/>
        <v>37.5</v>
      </c>
      <c r="D136" s="84">
        <v>37.5</v>
      </c>
      <c r="E136" s="84">
        <v>37.4</v>
      </c>
      <c r="F136" s="84"/>
      <c r="G136" s="84"/>
      <c r="H136" s="84"/>
      <c r="I136" s="84"/>
      <c r="J136" s="84"/>
      <c r="K136" s="84"/>
      <c r="L136" s="140">
        <f t="shared" si="52"/>
        <v>8.3000000000000007</v>
      </c>
      <c r="M136" s="86">
        <v>8.3000000000000007</v>
      </c>
      <c r="N136" s="86">
        <v>8.26</v>
      </c>
      <c r="O136" s="86"/>
      <c r="P136" s="86"/>
      <c r="Q136" s="86"/>
      <c r="R136" s="86"/>
      <c r="S136" s="86"/>
      <c r="T136" s="86"/>
      <c r="U136" s="142">
        <f t="shared" si="53"/>
        <v>1303</v>
      </c>
      <c r="V136" s="88">
        <v>1265</v>
      </c>
      <c r="W136" s="88">
        <v>1341</v>
      </c>
      <c r="X136" s="88"/>
      <c r="Y136" s="88"/>
      <c r="Z136" s="88"/>
      <c r="AA136" s="88"/>
      <c r="AB136" s="88"/>
      <c r="AC136" s="88"/>
      <c r="AD136" s="142" t="str">
        <f t="shared" si="54"/>
        <v/>
      </c>
      <c r="AE136" s="88"/>
      <c r="AF136" s="88"/>
      <c r="AG136" s="88"/>
      <c r="AH136" s="88"/>
      <c r="AI136" s="88"/>
      <c r="AJ136" s="88"/>
      <c r="AK136" s="88"/>
      <c r="AL136" s="88"/>
      <c r="AM136" s="88">
        <v>47.662324548116729</v>
      </c>
      <c r="AN136" s="88">
        <v>99.03</v>
      </c>
      <c r="AO136" s="89">
        <v>20.5</v>
      </c>
      <c r="AP136" s="90">
        <v>16.174500000000002</v>
      </c>
      <c r="AQ136" s="146">
        <f t="shared" si="55"/>
        <v>78.90000000000002</v>
      </c>
      <c r="AR136" s="146">
        <f t="shared" si="56"/>
        <v>21.09999999999998</v>
      </c>
      <c r="AS136" s="147">
        <v>0</v>
      </c>
      <c r="AT136" s="148">
        <v>14.45</v>
      </c>
      <c r="AU136" s="149">
        <v>7.6937999999999995</v>
      </c>
      <c r="AV136" s="146">
        <f t="shared" si="57"/>
        <v>53.244290657439443</v>
      </c>
      <c r="AW136" s="146">
        <f t="shared" si="58"/>
        <v>46.755709342560557</v>
      </c>
      <c r="AX136" s="138">
        <f t="shared" si="59"/>
        <v>69.546034775775084</v>
      </c>
      <c r="AY136" s="95">
        <v>77.099999999999994</v>
      </c>
      <c r="AZ136" s="96">
        <v>62.855000000000004</v>
      </c>
      <c r="BA136" s="96"/>
      <c r="BB136" s="96">
        <v>35.5</v>
      </c>
      <c r="BC136" s="96"/>
      <c r="BD136" s="97">
        <v>99.03</v>
      </c>
      <c r="BE136" s="142">
        <f t="shared" si="60"/>
        <v>13883</v>
      </c>
      <c r="BF136" s="98">
        <v>0</v>
      </c>
      <c r="BG136" s="98">
        <v>3496</v>
      </c>
      <c r="BH136" s="98">
        <v>4549</v>
      </c>
      <c r="BI136" s="98">
        <v>5838</v>
      </c>
      <c r="BJ136" s="98"/>
      <c r="BK136" s="98"/>
      <c r="BL136" s="98"/>
    </row>
    <row r="137" spans="1:64" outlineLevel="5" x14ac:dyDescent="0.3">
      <c r="A137" s="152">
        <f t="shared" si="46"/>
        <v>4</v>
      </c>
      <c r="B137" s="153">
        <f t="shared" si="45"/>
        <v>45034</v>
      </c>
      <c r="C137" s="138">
        <f t="shared" si="51"/>
        <v>38.1</v>
      </c>
      <c r="D137" s="84">
        <v>38.200000000000003</v>
      </c>
      <c r="E137" s="84">
        <v>37.9</v>
      </c>
      <c r="F137" s="84"/>
      <c r="G137" s="84"/>
      <c r="H137" s="84"/>
      <c r="I137" s="84"/>
      <c r="J137" s="84"/>
      <c r="K137" s="84"/>
      <c r="L137" s="140" t="str">
        <f t="shared" si="52"/>
        <v/>
      </c>
      <c r="M137" s="86"/>
      <c r="N137" s="86"/>
      <c r="O137" s="86"/>
      <c r="P137" s="86"/>
      <c r="Q137" s="86"/>
      <c r="R137" s="86"/>
      <c r="S137" s="86"/>
      <c r="T137" s="86"/>
      <c r="U137" s="142" t="str">
        <f t="shared" si="53"/>
        <v/>
      </c>
      <c r="V137" s="88"/>
      <c r="W137" s="88"/>
      <c r="X137" s="88"/>
      <c r="Y137" s="88"/>
      <c r="Z137" s="88"/>
      <c r="AA137" s="88"/>
      <c r="AB137" s="88"/>
      <c r="AC137" s="88"/>
      <c r="AD137" s="142" t="str">
        <f t="shared" si="54"/>
        <v/>
      </c>
      <c r="AE137" s="88"/>
      <c r="AF137" s="88"/>
      <c r="AG137" s="88"/>
      <c r="AH137" s="88"/>
      <c r="AI137" s="88"/>
      <c r="AJ137" s="88"/>
      <c r="AK137" s="88"/>
      <c r="AL137" s="88"/>
      <c r="AM137" s="88">
        <v>41.111401445867081</v>
      </c>
      <c r="AN137" s="88">
        <v>114.81</v>
      </c>
      <c r="AO137" s="89"/>
      <c r="AP137" s="90"/>
      <c r="AQ137" s="146" t="str">
        <f t="shared" si="55"/>
        <v/>
      </c>
      <c r="AR137" s="146" t="str">
        <f t="shared" si="56"/>
        <v/>
      </c>
      <c r="AS137" s="147">
        <v>0</v>
      </c>
      <c r="AT137" s="148"/>
      <c r="AU137" s="149"/>
      <c r="AV137" s="146" t="str">
        <f t="shared" si="57"/>
        <v/>
      </c>
      <c r="AW137" s="146" t="str">
        <f t="shared" si="58"/>
        <v/>
      </c>
      <c r="AX137" s="138" t="str">
        <f t="shared" si="59"/>
        <v/>
      </c>
      <c r="AY137" s="95"/>
      <c r="AZ137" s="96">
        <v>60.91</v>
      </c>
      <c r="BA137" s="96"/>
      <c r="BB137" s="96">
        <v>53</v>
      </c>
      <c r="BC137" s="96"/>
      <c r="BD137" s="97">
        <v>114.81</v>
      </c>
      <c r="BE137" s="142">
        <f t="shared" si="60"/>
        <v>14797</v>
      </c>
      <c r="BF137" s="98">
        <v>802</v>
      </c>
      <c r="BG137" s="98">
        <v>3060</v>
      </c>
      <c r="BH137" s="98">
        <v>5103</v>
      </c>
      <c r="BI137" s="98">
        <v>5832</v>
      </c>
      <c r="BJ137" s="98"/>
      <c r="BK137" s="98"/>
      <c r="BL137" s="98"/>
    </row>
    <row r="138" spans="1:64" outlineLevel="5" x14ac:dyDescent="0.3">
      <c r="A138" s="152">
        <f t="shared" si="46"/>
        <v>4</v>
      </c>
      <c r="B138" s="153">
        <f t="shared" si="45"/>
        <v>45035</v>
      </c>
      <c r="C138" s="138">
        <f t="shared" si="51"/>
        <v>38</v>
      </c>
      <c r="D138" s="84">
        <v>38.1</v>
      </c>
      <c r="E138" s="84">
        <v>37.9</v>
      </c>
      <c r="F138" s="84"/>
      <c r="G138" s="84"/>
      <c r="H138" s="84"/>
      <c r="I138" s="84"/>
      <c r="J138" s="84"/>
      <c r="K138" s="84"/>
      <c r="L138" s="140">
        <f t="shared" si="52"/>
        <v>8.1</v>
      </c>
      <c r="M138" s="86">
        <v>8.1199999999999992</v>
      </c>
      <c r="N138" s="86">
        <v>8.08</v>
      </c>
      <c r="O138" s="86"/>
      <c r="P138" s="86"/>
      <c r="Q138" s="86"/>
      <c r="R138" s="86"/>
      <c r="S138" s="86"/>
      <c r="T138" s="86"/>
      <c r="U138" s="142">
        <f t="shared" si="53"/>
        <v>1360.5</v>
      </c>
      <c r="V138" s="88">
        <v>1323</v>
      </c>
      <c r="W138" s="88">
        <v>1398</v>
      </c>
      <c r="X138" s="88"/>
      <c r="Y138" s="88"/>
      <c r="Z138" s="88"/>
      <c r="AA138" s="88"/>
      <c r="AB138" s="88"/>
      <c r="AC138" s="88"/>
      <c r="AD138" s="142">
        <f t="shared" si="54"/>
        <v>9896</v>
      </c>
      <c r="AE138" s="88">
        <v>9880</v>
      </c>
      <c r="AF138" s="88">
        <v>9912</v>
      </c>
      <c r="AG138" s="88"/>
      <c r="AH138" s="88"/>
      <c r="AI138" s="88"/>
      <c r="AJ138" s="88"/>
      <c r="AK138" s="88"/>
      <c r="AL138" s="88"/>
      <c r="AM138" s="88">
        <v>36.324457441896257</v>
      </c>
      <c r="AN138" s="88">
        <v>129.94</v>
      </c>
      <c r="AO138" s="89"/>
      <c r="AP138" s="90"/>
      <c r="AQ138" s="146" t="str">
        <f t="shared" si="55"/>
        <v/>
      </c>
      <c r="AR138" s="146" t="str">
        <f t="shared" si="56"/>
        <v/>
      </c>
      <c r="AS138" s="147">
        <v>0</v>
      </c>
      <c r="AT138" s="148">
        <v>13.95</v>
      </c>
      <c r="AU138" s="149">
        <v>7.8924000000000003</v>
      </c>
      <c r="AV138" s="146">
        <f t="shared" si="57"/>
        <v>56.576344086021514</v>
      </c>
      <c r="AW138" s="146">
        <f t="shared" si="58"/>
        <v>43.423655913978486</v>
      </c>
      <c r="AX138" s="138" t="str">
        <f t="shared" si="59"/>
        <v/>
      </c>
      <c r="AY138" s="95">
        <v>76.150000000000006</v>
      </c>
      <c r="AZ138" s="96">
        <v>61.83</v>
      </c>
      <c r="BA138" s="96"/>
      <c r="BB138" s="96">
        <v>51</v>
      </c>
      <c r="BC138" s="96"/>
      <c r="BD138" s="97">
        <v>129.94</v>
      </c>
      <c r="BE138" s="142">
        <f t="shared" si="60"/>
        <v>14139</v>
      </c>
      <c r="BF138" s="98">
        <v>0</v>
      </c>
      <c r="BG138" s="98">
        <v>3058</v>
      </c>
      <c r="BH138" s="98">
        <v>4867</v>
      </c>
      <c r="BI138" s="98">
        <v>6214</v>
      </c>
      <c r="BJ138" s="98"/>
      <c r="BK138" s="98"/>
      <c r="BL138" s="98"/>
    </row>
    <row r="139" spans="1:64" outlineLevel="5" x14ac:dyDescent="0.3">
      <c r="A139" s="152">
        <f t="shared" si="46"/>
        <v>4</v>
      </c>
      <c r="B139" s="153">
        <f t="shared" si="45"/>
        <v>45036</v>
      </c>
      <c r="C139" s="138">
        <f t="shared" si="51"/>
        <v>37.299999999999997</v>
      </c>
      <c r="D139" s="84">
        <v>37.299999999999997</v>
      </c>
      <c r="E139" s="84">
        <v>37.299999999999997</v>
      </c>
      <c r="F139" s="84"/>
      <c r="G139" s="84"/>
      <c r="H139" s="84"/>
      <c r="I139" s="84"/>
      <c r="J139" s="84"/>
      <c r="K139" s="84"/>
      <c r="L139" s="140">
        <f t="shared" si="52"/>
        <v>8.1</v>
      </c>
      <c r="M139" s="86">
        <v>8.08</v>
      </c>
      <c r="N139" s="86">
        <v>8.15</v>
      </c>
      <c r="O139" s="86"/>
      <c r="P139" s="86"/>
      <c r="Q139" s="86"/>
      <c r="R139" s="86"/>
      <c r="S139" s="86"/>
      <c r="T139" s="86"/>
      <c r="U139" s="142">
        <f t="shared" si="53"/>
        <v>1356.5</v>
      </c>
      <c r="V139" s="88">
        <v>1298</v>
      </c>
      <c r="W139" s="88">
        <v>1415</v>
      </c>
      <c r="X139" s="88"/>
      <c r="Y139" s="88"/>
      <c r="Z139" s="88"/>
      <c r="AA139" s="88"/>
      <c r="AB139" s="88"/>
      <c r="AC139" s="88"/>
      <c r="AD139" s="142" t="str">
        <f t="shared" si="54"/>
        <v/>
      </c>
      <c r="AE139" s="88"/>
      <c r="AF139" s="88"/>
      <c r="AG139" s="88"/>
      <c r="AH139" s="88"/>
      <c r="AI139" s="88"/>
      <c r="AJ139" s="88"/>
      <c r="AK139" s="88"/>
      <c r="AL139" s="88"/>
      <c r="AM139" s="88">
        <v>52.531997774067897</v>
      </c>
      <c r="AN139" s="88">
        <v>89.85</v>
      </c>
      <c r="AO139" s="89"/>
      <c r="AP139" s="90"/>
      <c r="AQ139" s="146" t="str">
        <f t="shared" si="55"/>
        <v/>
      </c>
      <c r="AR139" s="146" t="str">
        <f t="shared" si="56"/>
        <v/>
      </c>
      <c r="AS139" s="147">
        <v>0</v>
      </c>
      <c r="AT139" s="148">
        <v>15.8</v>
      </c>
      <c r="AU139" s="149">
        <v>8.8358999999999988</v>
      </c>
      <c r="AV139" s="146">
        <f t="shared" si="57"/>
        <v>55.923417721518973</v>
      </c>
      <c r="AW139" s="146">
        <f t="shared" si="58"/>
        <v>44.076582278481027</v>
      </c>
      <c r="AX139" s="138" t="str">
        <f t="shared" si="59"/>
        <v/>
      </c>
      <c r="AY139" s="95">
        <v>76.5</v>
      </c>
      <c r="AZ139" s="96">
        <v>63.344999999999999</v>
      </c>
      <c r="BA139" s="96"/>
      <c r="BB139" s="96">
        <v>34.5</v>
      </c>
      <c r="BC139" s="96"/>
      <c r="BD139" s="97">
        <v>89.85</v>
      </c>
      <c r="BE139" s="142">
        <f t="shared" si="60"/>
        <v>14182</v>
      </c>
      <c r="BF139" s="98">
        <v>821</v>
      </c>
      <c r="BG139" s="98">
        <v>3270</v>
      </c>
      <c r="BH139" s="98">
        <v>3973</v>
      </c>
      <c r="BI139" s="98">
        <v>6118</v>
      </c>
      <c r="BJ139" s="98"/>
      <c r="BK139" s="98"/>
      <c r="BL139" s="98"/>
    </row>
    <row r="140" spans="1:64" outlineLevel="5" x14ac:dyDescent="0.3">
      <c r="A140" s="152">
        <f t="shared" si="46"/>
        <v>4</v>
      </c>
      <c r="B140" s="153">
        <f t="shared" si="45"/>
        <v>45037</v>
      </c>
      <c r="C140" s="138">
        <f t="shared" si="51"/>
        <v>37.200000000000003</v>
      </c>
      <c r="D140" s="84">
        <v>37.200000000000003</v>
      </c>
      <c r="E140" s="84">
        <v>37.200000000000003</v>
      </c>
      <c r="F140" s="84"/>
      <c r="G140" s="84"/>
      <c r="H140" s="84"/>
      <c r="I140" s="84"/>
      <c r="J140" s="84"/>
      <c r="K140" s="84"/>
      <c r="L140" s="140" t="str">
        <f t="shared" si="52"/>
        <v/>
      </c>
      <c r="M140" s="86"/>
      <c r="N140" s="86"/>
      <c r="O140" s="86"/>
      <c r="P140" s="86"/>
      <c r="Q140" s="86"/>
      <c r="R140" s="86"/>
      <c r="S140" s="86"/>
      <c r="T140" s="86"/>
      <c r="U140" s="142" t="str">
        <f t="shared" si="53"/>
        <v/>
      </c>
      <c r="V140" s="88"/>
      <c r="W140" s="88"/>
      <c r="X140" s="88"/>
      <c r="Y140" s="88"/>
      <c r="Z140" s="88"/>
      <c r="AA140" s="88"/>
      <c r="AB140" s="88"/>
      <c r="AC140" s="88"/>
      <c r="AD140" s="142" t="str">
        <f t="shared" si="54"/>
        <v/>
      </c>
      <c r="AE140" s="88"/>
      <c r="AF140" s="88"/>
      <c r="AG140" s="88"/>
      <c r="AH140" s="88"/>
      <c r="AI140" s="88"/>
      <c r="AJ140" s="88"/>
      <c r="AK140" s="88"/>
      <c r="AL140" s="88"/>
      <c r="AM140" s="88">
        <v>52.177758125138176</v>
      </c>
      <c r="AN140" s="88">
        <v>90.460000000000008</v>
      </c>
      <c r="AO140" s="89"/>
      <c r="AP140" s="90"/>
      <c r="AQ140" s="146" t="str">
        <f t="shared" si="55"/>
        <v/>
      </c>
      <c r="AR140" s="146" t="str">
        <f t="shared" si="56"/>
        <v/>
      </c>
      <c r="AS140" s="147">
        <v>4</v>
      </c>
      <c r="AT140" s="148"/>
      <c r="AU140" s="149"/>
      <c r="AV140" s="146" t="str">
        <f t="shared" si="57"/>
        <v/>
      </c>
      <c r="AW140" s="146" t="str">
        <f t="shared" si="58"/>
        <v/>
      </c>
      <c r="AX140" s="138" t="str">
        <f t="shared" si="59"/>
        <v/>
      </c>
      <c r="AY140" s="95"/>
      <c r="AZ140" s="96">
        <v>64.784999999999997</v>
      </c>
      <c r="BA140" s="96"/>
      <c r="BB140" s="96">
        <v>47</v>
      </c>
      <c r="BC140" s="96"/>
      <c r="BD140" s="97">
        <v>90.460000000000008</v>
      </c>
      <c r="BE140" s="142">
        <f t="shared" si="60"/>
        <v>12605</v>
      </c>
      <c r="BF140" s="98">
        <v>856</v>
      </c>
      <c r="BG140" s="98">
        <v>1297</v>
      </c>
      <c r="BH140" s="98">
        <v>4614</v>
      </c>
      <c r="BI140" s="98">
        <v>5838</v>
      </c>
      <c r="BJ140" s="98"/>
      <c r="BK140" s="98"/>
      <c r="BL140" s="98"/>
    </row>
    <row r="141" spans="1:64" outlineLevel="5" x14ac:dyDescent="0.3">
      <c r="A141" s="152">
        <f t="shared" si="46"/>
        <v>4</v>
      </c>
      <c r="B141" s="153">
        <f t="shared" si="45"/>
        <v>45038</v>
      </c>
      <c r="C141" s="138">
        <f t="shared" si="51"/>
        <v>37.299999999999997</v>
      </c>
      <c r="D141" s="84">
        <v>37.1</v>
      </c>
      <c r="E141" s="84">
        <v>37.5</v>
      </c>
      <c r="F141" s="84"/>
      <c r="G141" s="84"/>
      <c r="H141" s="84"/>
      <c r="I141" s="84"/>
      <c r="J141" s="84"/>
      <c r="K141" s="84"/>
      <c r="L141" s="140" t="str">
        <f t="shared" si="52"/>
        <v/>
      </c>
      <c r="M141" s="86"/>
      <c r="N141" s="86"/>
      <c r="O141" s="86"/>
      <c r="P141" s="86"/>
      <c r="Q141" s="86"/>
      <c r="R141" s="86"/>
      <c r="S141" s="86"/>
      <c r="T141" s="86"/>
      <c r="U141" s="142" t="str">
        <f t="shared" si="53"/>
        <v/>
      </c>
      <c r="V141" s="88"/>
      <c r="W141" s="88"/>
      <c r="X141" s="88"/>
      <c r="Y141" s="88"/>
      <c r="Z141" s="88"/>
      <c r="AA141" s="88"/>
      <c r="AB141" s="88"/>
      <c r="AC141" s="88"/>
      <c r="AD141" s="142" t="str">
        <f t="shared" si="54"/>
        <v/>
      </c>
      <c r="AE141" s="88"/>
      <c r="AF141" s="88"/>
      <c r="AG141" s="88"/>
      <c r="AH141" s="88"/>
      <c r="AI141" s="88"/>
      <c r="AJ141" s="88"/>
      <c r="AK141" s="88"/>
      <c r="AL141" s="88"/>
      <c r="AM141" s="88">
        <v>50.260888084336067</v>
      </c>
      <c r="AN141" s="88">
        <v>93.91</v>
      </c>
      <c r="AO141" s="89"/>
      <c r="AP141" s="90"/>
      <c r="AQ141" s="146" t="str">
        <f t="shared" si="55"/>
        <v/>
      </c>
      <c r="AR141" s="146" t="str">
        <f t="shared" si="56"/>
        <v/>
      </c>
      <c r="AS141" s="147">
        <v>10</v>
      </c>
      <c r="AT141" s="148"/>
      <c r="AU141" s="149"/>
      <c r="AV141" s="146" t="str">
        <f t="shared" si="57"/>
        <v/>
      </c>
      <c r="AW141" s="146" t="str">
        <f t="shared" si="58"/>
        <v/>
      </c>
      <c r="AX141" s="138" t="str">
        <f t="shared" si="59"/>
        <v/>
      </c>
      <c r="AY141" s="95"/>
      <c r="AZ141" s="96"/>
      <c r="BA141" s="96"/>
      <c r="BB141" s="96"/>
      <c r="BC141" s="96"/>
      <c r="BD141" s="97">
        <v>93.91</v>
      </c>
      <c r="BE141" s="142">
        <f t="shared" si="60"/>
        <v>11190</v>
      </c>
      <c r="BF141" s="98">
        <v>848</v>
      </c>
      <c r="BG141" s="98">
        <v>0</v>
      </c>
      <c r="BH141" s="98">
        <v>4415</v>
      </c>
      <c r="BI141" s="98">
        <v>5927</v>
      </c>
      <c r="BJ141" s="98"/>
      <c r="BK141" s="98"/>
      <c r="BL141" s="98"/>
    </row>
    <row r="142" spans="1:64" outlineLevel="5" x14ac:dyDescent="0.3">
      <c r="A142" s="152">
        <f t="shared" si="46"/>
        <v>4</v>
      </c>
      <c r="B142" s="153">
        <f t="shared" si="45"/>
        <v>45039</v>
      </c>
      <c r="C142" s="138">
        <f t="shared" si="51"/>
        <v>38</v>
      </c>
      <c r="D142" s="84">
        <v>37.9</v>
      </c>
      <c r="E142" s="84">
        <v>38.1</v>
      </c>
      <c r="F142" s="84"/>
      <c r="G142" s="84"/>
      <c r="H142" s="84"/>
      <c r="I142" s="84"/>
      <c r="J142" s="84"/>
      <c r="K142" s="84"/>
      <c r="L142" s="140" t="str">
        <f t="shared" si="52"/>
        <v/>
      </c>
      <c r="M142" s="86"/>
      <c r="N142" s="86"/>
      <c r="O142" s="86"/>
      <c r="P142" s="86"/>
      <c r="Q142" s="86"/>
      <c r="R142" s="86"/>
      <c r="S142" s="86"/>
      <c r="T142" s="86"/>
      <c r="U142" s="142" t="str">
        <f t="shared" si="53"/>
        <v/>
      </c>
      <c r="V142" s="88"/>
      <c r="W142" s="88"/>
      <c r="X142" s="88"/>
      <c r="Y142" s="88"/>
      <c r="Z142" s="88"/>
      <c r="AA142" s="88"/>
      <c r="AB142" s="88"/>
      <c r="AC142" s="88"/>
      <c r="AD142" s="142" t="str">
        <f t="shared" si="54"/>
        <v/>
      </c>
      <c r="AE142" s="88"/>
      <c r="AF142" s="88"/>
      <c r="AG142" s="88"/>
      <c r="AH142" s="88"/>
      <c r="AI142" s="88"/>
      <c r="AJ142" s="88"/>
      <c r="AK142" s="88"/>
      <c r="AL142" s="88"/>
      <c r="AM142" s="88">
        <v>42.909090909090907</v>
      </c>
      <c r="AN142" s="88">
        <v>110</v>
      </c>
      <c r="AO142" s="89"/>
      <c r="AP142" s="90"/>
      <c r="AQ142" s="146" t="str">
        <f t="shared" si="55"/>
        <v/>
      </c>
      <c r="AR142" s="146" t="str">
        <f t="shared" si="56"/>
        <v/>
      </c>
      <c r="AS142" s="147">
        <v>10</v>
      </c>
      <c r="AT142" s="148"/>
      <c r="AU142" s="149"/>
      <c r="AV142" s="146" t="str">
        <f t="shared" si="57"/>
        <v/>
      </c>
      <c r="AW142" s="146" t="str">
        <f t="shared" si="58"/>
        <v/>
      </c>
      <c r="AX142" s="138" t="str">
        <f t="shared" si="59"/>
        <v/>
      </c>
      <c r="AY142" s="95"/>
      <c r="AZ142" s="96"/>
      <c r="BA142" s="96"/>
      <c r="BB142" s="96"/>
      <c r="BC142" s="96"/>
      <c r="BD142" s="97">
        <v>110</v>
      </c>
      <c r="BE142" s="142">
        <f t="shared" si="60"/>
        <v>11874</v>
      </c>
      <c r="BF142" s="98">
        <v>1605</v>
      </c>
      <c r="BG142" s="98">
        <v>0</v>
      </c>
      <c r="BH142" s="98">
        <v>4446</v>
      </c>
      <c r="BI142" s="98">
        <v>5823</v>
      </c>
      <c r="BJ142" s="98"/>
      <c r="BK142" s="98"/>
      <c r="BL142" s="98"/>
    </row>
    <row r="143" spans="1:64" outlineLevel="5" x14ac:dyDescent="0.3">
      <c r="A143" s="152">
        <f t="shared" si="46"/>
        <v>4</v>
      </c>
      <c r="B143" s="153">
        <f t="shared" si="45"/>
        <v>45040</v>
      </c>
      <c r="C143" s="138">
        <f t="shared" si="51"/>
        <v>38.9</v>
      </c>
      <c r="D143" s="84">
        <v>38.9</v>
      </c>
      <c r="E143" s="84">
        <v>38.799999999999997</v>
      </c>
      <c r="F143" s="84"/>
      <c r="G143" s="84"/>
      <c r="H143" s="84"/>
      <c r="I143" s="84"/>
      <c r="J143" s="84"/>
      <c r="K143" s="84"/>
      <c r="L143" s="140">
        <f t="shared" si="52"/>
        <v>8.3000000000000007</v>
      </c>
      <c r="M143" s="86">
        <v>8.3000000000000007</v>
      </c>
      <c r="N143" s="86">
        <v>8.2799999999999994</v>
      </c>
      <c r="O143" s="86"/>
      <c r="P143" s="86"/>
      <c r="Q143" s="86"/>
      <c r="R143" s="86"/>
      <c r="S143" s="86"/>
      <c r="T143" s="86"/>
      <c r="U143" s="142">
        <f t="shared" si="53"/>
        <v>1118.5</v>
      </c>
      <c r="V143" s="88">
        <v>1135</v>
      </c>
      <c r="W143" s="88">
        <v>1102</v>
      </c>
      <c r="X143" s="88"/>
      <c r="Y143" s="88"/>
      <c r="Z143" s="88"/>
      <c r="AA143" s="88"/>
      <c r="AB143" s="88"/>
      <c r="AC143" s="88"/>
      <c r="AD143" s="142" t="str">
        <f t="shared" si="54"/>
        <v/>
      </c>
      <c r="AE143" s="88"/>
      <c r="AF143" s="88"/>
      <c r="AG143" s="88"/>
      <c r="AH143" s="88"/>
      <c r="AI143" s="88"/>
      <c r="AJ143" s="88"/>
      <c r="AK143" s="88"/>
      <c r="AL143" s="88"/>
      <c r="AM143" s="88">
        <v>73.337476693598504</v>
      </c>
      <c r="AN143" s="88">
        <v>64.36</v>
      </c>
      <c r="AO143" s="89">
        <v>21.1</v>
      </c>
      <c r="AP143" s="90">
        <v>16.542400000000001</v>
      </c>
      <c r="AQ143" s="146">
        <f t="shared" si="55"/>
        <v>78.400000000000006</v>
      </c>
      <c r="AR143" s="146">
        <f t="shared" si="56"/>
        <v>21.599999999999994</v>
      </c>
      <c r="AS143" s="147">
        <v>20</v>
      </c>
      <c r="AT143" s="148">
        <v>16.95</v>
      </c>
      <c r="AU143" s="149">
        <v>9.6320499999999996</v>
      </c>
      <c r="AV143" s="146">
        <f t="shared" si="57"/>
        <v>56.826253687315628</v>
      </c>
      <c r="AW143" s="146">
        <f t="shared" si="58"/>
        <v>43.173746312684372</v>
      </c>
      <c r="AX143" s="138">
        <f t="shared" si="59"/>
        <v>63.736728711941339</v>
      </c>
      <c r="AY143" s="95">
        <v>76.900000000000006</v>
      </c>
      <c r="AZ143" s="96">
        <v>64.194999999999993</v>
      </c>
      <c r="BA143" s="96"/>
      <c r="BB143" s="96">
        <v>52</v>
      </c>
      <c r="BC143" s="96"/>
      <c r="BD143" s="97">
        <v>64.36</v>
      </c>
      <c r="BE143" s="142">
        <f t="shared" si="60"/>
        <v>12015</v>
      </c>
      <c r="BF143" s="98">
        <v>830</v>
      </c>
      <c r="BG143" s="98">
        <v>9</v>
      </c>
      <c r="BH143" s="98">
        <v>5536</v>
      </c>
      <c r="BI143" s="98">
        <v>5640</v>
      </c>
      <c r="BJ143" s="98"/>
      <c r="BK143" s="98"/>
      <c r="BL143" s="98"/>
    </row>
    <row r="144" spans="1:64" outlineLevel="5" x14ac:dyDescent="0.3">
      <c r="A144" s="152">
        <f t="shared" si="46"/>
        <v>4</v>
      </c>
      <c r="B144" s="153">
        <f t="shared" si="45"/>
        <v>45041</v>
      </c>
      <c r="C144" s="138">
        <f t="shared" si="51"/>
        <v>38.6</v>
      </c>
      <c r="D144" s="84">
        <v>38.700000000000003</v>
      </c>
      <c r="E144" s="84">
        <v>38.5</v>
      </c>
      <c r="F144" s="84"/>
      <c r="G144" s="84"/>
      <c r="H144" s="84"/>
      <c r="I144" s="84"/>
      <c r="J144" s="84"/>
      <c r="K144" s="84"/>
      <c r="L144" s="140" t="str">
        <f t="shared" si="52"/>
        <v/>
      </c>
      <c r="M144" s="86"/>
      <c r="N144" s="86"/>
      <c r="O144" s="86"/>
      <c r="P144" s="86"/>
      <c r="Q144" s="86"/>
      <c r="R144" s="86"/>
      <c r="S144" s="86"/>
      <c r="T144" s="86"/>
      <c r="U144" s="142" t="str">
        <f t="shared" si="53"/>
        <v/>
      </c>
      <c r="V144" s="88"/>
      <c r="W144" s="88"/>
      <c r="X144" s="88"/>
      <c r="Y144" s="88"/>
      <c r="Z144" s="88"/>
      <c r="AA144" s="88"/>
      <c r="AB144" s="88"/>
      <c r="AC144" s="88"/>
      <c r="AD144" s="142" t="str">
        <f t="shared" si="54"/>
        <v/>
      </c>
      <c r="AE144" s="88"/>
      <c r="AF144" s="88"/>
      <c r="AG144" s="88"/>
      <c r="AH144" s="88"/>
      <c r="AI144" s="88"/>
      <c r="AJ144" s="88"/>
      <c r="AK144" s="88"/>
      <c r="AL144" s="88"/>
      <c r="AM144" s="88">
        <v>43.270993766043269</v>
      </c>
      <c r="AN144" s="88">
        <v>109.08</v>
      </c>
      <c r="AO144" s="89"/>
      <c r="AP144" s="90"/>
      <c r="AQ144" s="146" t="str">
        <f t="shared" si="55"/>
        <v/>
      </c>
      <c r="AR144" s="146" t="str">
        <f t="shared" si="56"/>
        <v/>
      </c>
      <c r="AS144" s="147">
        <v>20</v>
      </c>
      <c r="AT144" s="148"/>
      <c r="AU144" s="149"/>
      <c r="AV144" s="146" t="str">
        <f t="shared" si="57"/>
        <v/>
      </c>
      <c r="AW144" s="146" t="str">
        <f t="shared" si="58"/>
        <v/>
      </c>
      <c r="AX144" s="138" t="str">
        <f t="shared" si="59"/>
        <v/>
      </c>
      <c r="AY144" s="95"/>
      <c r="AZ144" s="96">
        <v>61.96</v>
      </c>
      <c r="BA144" s="96"/>
      <c r="BB144" s="96">
        <v>57</v>
      </c>
      <c r="BC144" s="96"/>
      <c r="BD144" s="97">
        <v>109.08</v>
      </c>
      <c r="BE144" s="142">
        <f t="shared" si="60"/>
        <v>13747</v>
      </c>
      <c r="BF144" s="98">
        <v>0</v>
      </c>
      <c r="BG144" s="98">
        <v>0</v>
      </c>
      <c r="BH144" s="98">
        <v>7972</v>
      </c>
      <c r="BI144" s="98">
        <v>5775</v>
      </c>
      <c r="BJ144" s="98"/>
      <c r="BK144" s="98"/>
      <c r="BL144" s="98"/>
    </row>
    <row r="145" spans="1:64" outlineLevel="5" x14ac:dyDescent="0.3">
      <c r="A145" s="152">
        <f t="shared" si="46"/>
        <v>4</v>
      </c>
      <c r="B145" s="153">
        <f t="shared" si="45"/>
        <v>45042</v>
      </c>
      <c r="C145" s="138">
        <f t="shared" si="51"/>
        <v>38.200000000000003</v>
      </c>
      <c r="D145" s="84">
        <v>38.299999999999997</v>
      </c>
      <c r="E145" s="84">
        <v>38.1</v>
      </c>
      <c r="F145" s="84"/>
      <c r="G145" s="84"/>
      <c r="H145" s="84"/>
      <c r="I145" s="84"/>
      <c r="J145" s="84"/>
      <c r="K145" s="84"/>
      <c r="L145" s="140">
        <f t="shared" si="52"/>
        <v>8.4</v>
      </c>
      <c r="M145" s="86">
        <v>8.32</v>
      </c>
      <c r="N145" s="86">
        <v>8.3800000000000008</v>
      </c>
      <c r="O145" s="86"/>
      <c r="P145" s="86"/>
      <c r="Q145" s="86"/>
      <c r="R145" s="86"/>
      <c r="S145" s="86"/>
      <c r="T145" s="86"/>
      <c r="U145" s="142">
        <f t="shared" si="53"/>
        <v>1238</v>
      </c>
      <c r="V145" s="88">
        <v>1272</v>
      </c>
      <c r="W145" s="88">
        <v>1204</v>
      </c>
      <c r="X145" s="88"/>
      <c r="Y145" s="88"/>
      <c r="Z145" s="88"/>
      <c r="AA145" s="88"/>
      <c r="AB145" s="88"/>
      <c r="AC145" s="88"/>
      <c r="AD145" s="142">
        <f t="shared" si="54"/>
        <v>9635</v>
      </c>
      <c r="AE145" s="88">
        <v>9700</v>
      </c>
      <c r="AF145" s="88">
        <v>9570</v>
      </c>
      <c r="AG145" s="88"/>
      <c r="AH145" s="88"/>
      <c r="AI145" s="88"/>
      <c r="AJ145" s="88"/>
      <c r="AK145" s="88"/>
      <c r="AL145" s="88"/>
      <c r="AM145" s="88">
        <v>31.188053389718515</v>
      </c>
      <c r="AN145" s="88">
        <v>151.34</v>
      </c>
      <c r="AO145" s="89"/>
      <c r="AP145" s="90"/>
      <c r="AQ145" s="146" t="str">
        <f t="shared" si="55"/>
        <v/>
      </c>
      <c r="AR145" s="146" t="str">
        <f t="shared" si="56"/>
        <v/>
      </c>
      <c r="AS145" s="147">
        <v>20</v>
      </c>
      <c r="AT145" s="148">
        <v>13.3</v>
      </c>
      <c r="AU145" s="149">
        <v>7.4840499999999999</v>
      </c>
      <c r="AV145" s="146">
        <f t="shared" si="57"/>
        <v>56.271052631578947</v>
      </c>
      <c r="AW145" s="146">
        <f t="shared" si="58"/>
        <v>43.728947368421053</v>
      </c>
      <c r="AX145" s="138" t="str">
        <f t="shared" si="59"/>
        <v/>
      </c>
      <c r="AY145" s="95">
        <v>77.55</v>
      </c>
      <c r="AZ145" s="96">
        <v>62.105000000000004</v>
      </c>
      <c r="BA145" s="96"/>
      <c r="BB145" s="96">
        <v>51.5</v>
      </c>
      <c r="BC145" s="96"/>
      <c r="BD145" s="97">
        <v>151.34</v>
      </c>
      <c r="BE145" s="142">
        <f t="shared" si="60"/>
        <v>13409</v>
      </c>
      <c r="BF145" s="98">
        <v>0</v>
      </c>
      <c r="BG145" s="98">
        <v>0</v>
      </c>
      <c r="BH145" s="98">
        <v>7511</v>
      </c>
      <c r="BI145" s="98">
        <v>5898</v>
      </c>
      <c r="BJ145" s="98"/>
      <c r="BK145" s="98"/>
      <c r="BL145" s="98"/>
    </row>
    <row r="146" spans="1:64" outlineLevel="5" x14ac:dyDescent="0.3">
      <c r="A146" s="152">
        <f t="shared" si="46"/>
        <v>4</v>
      </c>
      <c r="B146" s="153">
        <f t="shared" si="45"/>
        <v>45043</v>
      </c>
      <c r="C146" s="138">
        <f t="shared" si="51"/>
        <v>38.1</v>
      </c>
      <c r="D146" s="84">
        <v>38.200000000000003</v>
      </c>
      <c r="E146" s="84">
        <v>38</v>
      </c>
      <c r="F146" s="84"/>
      <c r="G146" s="84"/>
      <c r="H146" s="84"/>
      <c r="I146" s="84"/>
      <c r="J146" s="84"/>
      <c r="K146" s="84"/>
      <c r="L146" s="140">
        <f t="shared" si="52"/>
        <v>8.1999999999999993</v>
      </c>
      <c r="M146" s="86">
        <v>8.2200000000000006</v>
      </c>
      <c r="N146" s="86">
        <v>8.17</v>
      </c>
      <c r="O146" s="86"/>
      <c r="P146" s="86"/>
      <c r="Q146" s="86"/>
      <c r="R146" s="86"/>
      <c r="S146" s="86"/>
      <c r="T146" s="86"/>
      <c r="U146" s="142">
        <f t="shared" si="53"/>
        <v>1315.5</v>
      </c>
      <c r="V146" s="88">
        <v>1354</v>
      </c>
      <c r="W146" s="88">
        <v>1277</v>
      </c>
      <c r="X146" s="88"/>
      <c r="Y146" s="88"/>
      <c r="Z146" s="88"/>
      <c r="AA146" s="88"/>
      <c r="AB146" s="88"/>
      <c r="AC146" s="88"/>
      <c r="AD146" s="142" t="str">
        <f t="shared" si="54"/>
        <v/>
      </c>
      <c r="AE146" s="88"/>
      <c r="AF146" s="88"/>
      <c r="AG146" s="88"/>
      <c r="AH146" s="88"/>
      <c r="AI146" s="88"/>
      <c r="AJ146" s="88"/>
      <c r="AK146" s="88"/>
      <c r="AL146" s="88"/>
      <c r="AM146" s="88">
        <v>30.967064689673268</v>
      </c>
      <c r="AN146" s="88">
        <v>152.42000000000002</v>
      </c>
      <c r="AO146" s="89"/>
      <c r="AP146" s="90"/>
      <c r="AQ146" s="146" t="str">
        <f t="shared" si="55"/>
        <v/>
      </c>
      <c r="AR146" s="146" t="str">
        <f t="shared" si="56"/>
        <v/>
      </c>
      <c r="AS146" s="147">
        <v>40</v>
      </c>
      <c r="AT146" s="148">
        <v>13.9</v>
      </c>
      <c r="AU146" s="149">
        <v>7.3831000000000007</v>
      </c>
      <c r="AV146" s="146">
        <f t="shared" si="57"/>
        <v>53.115827338129492</v>
      </c>
      <c r="AW146" s="146">
        <f t="shared" si="58"/>
        <v>46.884172661870508</v>
      </c>
      <c r="AX146" s="138" t="str">
        <f t="shared" si="59"/>
        <v/>
      </c>
      <c r="AY146" s="95">
        <v>76.5</v>
      </c>
      <c r="AZ146" s="96">
        <v>61.739999999999995</v>
      </c>
      <c r="BA146" s="96"/>
      <c r="BB146" s="96">
        <v>51</v>
      </c>
      <c r="BC146" s="96"/>
      <c r="BD146" s="97">
        <v>152.42000000000002</v>
      </c>
      <c r="BE146" s="142">
        <f t="shared" si="60"/>
        <v>12054</v>
      </c>
      <c r="BF146" s="98">
        <v>0</v>
      </c>
      <c r="BG146" s="98">
        <v>0</v>
      </c>
      <c r="BH146" s="98">
        <v>6713</v>
      </c>
      <c r="BI146" s="98">
        <v>5341</v>
      </c>
      <c r="BJ146" s="98"/>
      <c r="BK146" s="98"/>
      <c r="BL146" s="98"/>
    </row>
    <row r="147" spans="1:64" outlineLevel="5" x14ac:dyDescent="0.3">
      <c r="A147" s="152">
        <f t="shared" si="46"/>
        <v>4</v>
      </c>
      <c r="B147" s="153">
        <f t="shared" si="45"/>
        <v>45044</v>
      </c>
      <c r="C147" s="138">
        <f t="shared" si="51"/>
        <v>37.700000000000003</v>
      </c>
      <c r="D147" s="84">
        <v>37.799999999999997</v>
      </c>
      <c r="E147" s="84">
        <v>37.5</v>
      </c>
      <c r="F147" s="84"/>
      <c r="G147" s="84"/>
      <c r="H147" s="84"/>
      <c r="I147" s="84"/>
      <c r="J147" s="84"/>
      <c r="K147" s="84"/>
      <c r="L147" s="140" t="str">
        <f t="shared" si="52"/>
        <v/>
      </c>
      <c r="M147" s="86"/>
      <c r="N147" s="86"/>
      <c r="O147" s="86"/>
      <c r="P147" s="86"/>
      <c r="Q147" s="86"/>
      <c r="R147" s="86"/>
      <c r="S147" s="86"/>
      <c r="T147" s="86"/>
      <c r="U147" s="142" t="str">
        <f t="shared" si="53"/>
        <v/>
      </c>
      <c r="V147" s="88"/>
      <c r="W147" s="88"/>
      <c r="X147" s="88"/>
      <c r="Y147" s="88"/>
      <c r="Z147" s="88"/>
      <c r="AA147" s="88"/>
      <c r="AB147" s="88"/>
      <c r="AC147" s="88"/>
      <c r="AD147" s="142" t="str">
        <f t="shared" si="54"/>
        <v/>
      </c>
      <c r="AE147" s="88"/>
      <c r="AF147" s="88"/>
      <c r="AG147" s="88"/>
      <c r="AH147" s="88"/>
      <c r="AI147" s="88"/>
      <c r="AJ147" s="88"/>
      <c r="AK147" s="88"/>
      <c r="AL147" s="88"/>
      <c r="AM147" s="88">
        <v>31.960996749729144</v>
      </c>
      <c r="AN147" s="88">
        <v>147.68</v>
      </c>
      <c r="AO147" s="89"/>
      <c r="AP147" s="90"/>
      <c r="AQ147" s="146" t="str">
        <f t="shared" si="55"/>
        <v/>
      </c>
      <c r="AR147" s="146" t="str">
        <f t="shared" si="56"/>
        <v/>
      </c>
      <c r="AS147" s="147">
        <v>40</v>
      </c>
      <c r="AT147" s="148"/>
      <c r="AU147" s="149"/>
      <c r="AV147" s="146" t="str">
        <f t="shared" si="57"/>
        <v/>
      </c>
      <c r="AW147" s="146" t="str">
        <f t="shared" si="58"/>
        <v/>
      </c>
      <c r="AX147" s="138" t="str">
        <f t="shared" si="59"/>
        <v/>
      </c>
      <c r="AY147" s="95"/>
      <c r="AZ147" s="96">
        <v>60.625</v>
      </c>
      <c r="BA147" s="96"/>
      <c r="BB147" s="96">
        <v>61</v>
      </c>
      <c r="BC147" s="96"/>
      <c r="BD147" s="97">
        <v>147.68</v>
      </c>
      <c r="BE147" s="142">
        <f t="shared" si="60"/>
        <v>15911</v>
      </c>
      <c r="BF147" s="98">
        <v>1945</v>
      </c>
      <c r="BG147" s="98">
        <v>0</v>
      </c>
      <c r="BH147" s="98">
        <v>7869</v>
      </c>
      <c r="BI147" s="98">
        <v>6097</v>
      </c>
      <c r="BJ147" s="98"/>
      <c r="BK147" s="98"/>
      <c r="BL147" s="98"/>
    </row>
    <row r="148" spans="1:64" outlineLevel="5" x14ac:dyDescent="0.3">
      <c r="A148" s="152">
        <f t="shared" si="46"/>
        <v>4</v>
      </c>
      <c r="B148" s="153">
        <f t="shared" si="45"/>
        <v>45045</v>
      </c>
      <c r="C148" s="138">
        <f t="shared" si="51"/>
        <v>38.5</v>
      </c>
      <c r="D148" s="84">
        <v>38.4</v>
      </c>
      <c r="E148" s="84">
        <v>38.5</v>
      </c>
      <c r="F148" s="84"/>
      <c r="G148" s="84"/>
      <c r="H148" s="84"/>
      <c r="I148" s="84"/>
      <c r="J148" s="84"/>
      <c r="K148" s="84"/>
      <c r="L148" s="140" t="str">
        <f t="shared" si="52"/>
        <v/>
      </c>
      <c r="M148" s="86"/>
      <c r="N148" s="86"/>
      <c r="O148" s="86"/>
      <c r="P148" s="86"/>
      <c r="Q148" s="86"/>
      <c r="R148" s="86"/>
      <c r="S148" s="86"/>
      <c r="T148" s="86"/>
      <c r="U148" s="142" t="str">
        <f t="shared" si="53"/>
        <v/>
      </c>
      <c r="V148" s="88"/>
      <c r="W148" s="88"/>
      <c r="X148" s="88"/>
      <c r="Y148" s="88"/>
      <c r="Z148" s="88"/>
      <c r="AA148" s="88"/>
      <c r="AB148" s="88"/>
      <c r="AC148" s="88"/>
      <c r="AD148" s="142" t="str">
        <f t="shared" si="54"/>
        <v/>
      </c>
      <c r="AE148" s="88"/>
      <c r="AF148" s="88"/>
      <c r="AG148" s="88"/>
      <c r="AH148" s="88"/>
      <c r="AI148" s="88"/>
      <c r="AJ148" s="88"/>
      <c r="AK148" s="88"/>
      <c r="AL148" s="88"/>
      <c r="AM148" s="88">
        <v>41.132897603485837</v>
      </c>
      <c r="AN148" s="88">
        <v>114.75</v>
      </c>
      <c r="AO148" s="89"/>
      <c r="AP148" s="90"/>
      <c r="AQ148" s="146" t="str">
        <f t="shared" si="55"/>
        <v/>
      </c>
      <c r="AR148" s="146" t="str">
        <f t="shared" si="56"/>
        <v/>
      </c>
      <c r="AS148" s="147">
        <v>10</v>
      </c>
      <c r="AT148" s="148"/>
      <c r="AU148" s="149"/>
      <c r="AV148" s="146" t="str">
        <f t="shared" si="57"/>
        <v/>
      </c>
      <c r="AW148" s="146" t="str">
        <f t="shared" si="58"/>
        <v/>
      </c>
      <c r="AX148" s="138" t="str">
        <f t="shared" si="59"/>
        <v/>
      </c>
      <c r="AY148" s="95"/>
      <c r="AZ148" s="96"/>
      <c r="BA148" s="96"/>
      <c r="BB148" s="96"/>
      <c r="BC148" s="96"/>
      <c r="BD148" s="97">
        <v>114.75</v>
      </c>
      <c r="BE148" s="142">
        <f t="shared" si="60"/>
        <v>13400</v>
      </c>
      <c r="BF148" s="98">
        <v>888</v>
      </c>
      <c r="BG148" s="98">
        <v>0</v>
      </c>
      <c r="BH148" s="98">
        <v>6870</v>
      </c>
      <c r="BI148" s="98">
        <v>5642</v>
      </c>
      <c r="BJ148" s="98"/>
      <c r="BK148" s="98"/>
      <c r="BL148" s="98"/>
    </row>
    <row r="149" spans="1:64" ht="17.25" outlineLevel="5" thickBot="1" x14ac:dyDescent="0.35">
      <c r="A149" s="154">
        <f t="shared" si="46"/>
        <v>4</v>
      </c>
      <c r="B149" s="155">
        <f t="shared" si="45"/>
        <v>45046</v>
      </c>
      <c r="C149" s="138">
        <f t="shared" si="51"/>
        <v>38.1</v>
      </c>
      <c r="D149" s="84">
        <v>38.1</v>
      </c>
      <c r="E149" s="84">
        <v>38</v>
      </c>
      <c r="F149" s="84"/>
      <c r="G149" s="84"/>
      <c r="H149" s="84"/>
      <c r="I149" s="84"/>
      <c r="J149" s="84"/>
      <c r="K149" s="84"/>
      <c r="L149" s="140" t="str">
        <f t="shared" si="52"/>
        <v/>
      </c>
      <c r="M149" s="86"/>
      <c r="N149" s="86"/>
      <c r="O149" s="86"/>
      <c r="P149" s="86"/>
      <c r="Q149" s="86"/>
      <c r="R149" s="86"/>
      <c r="S149" s="86"/>
      <c r="T149" s="86"/>
      <c r="U149" s="142" t="str">
        <f t="shared" si="53"/>
        <v/>
      </c>
      <c r="V149" s="88"/>
      <c r="W149" s="88"/>
      <c r="X149" s="88"/>
      <c r="Y149" s="88"/>
      <c r="Z149" s="88"/>
      <c r="AA149" s="88"/>
      <c r="AB149" s="88"/>
      <c r="AC149" s="88"/>
      <c r="AD149" s="142" t="str">
        <f t="shared" si="54"/>
        <v/>
      </c>
      <c r="AE149" s="88"/>
      <c r="AF149" s="88"/>
      <c r="AG149" s="88"/>
      <c r="AH149" s="88"/>
      <c r="AI149" s="88"/>
      <c r="AJ149" s="88"/>
      <c r="AK149" s="88"/>
      <c r="AL149" s="88"/>
      <c r="AM149" s="88">
        <v>39.333333333333336</v>
      </c>
      <c r="AN149" s="88">
        <v>120</v>
      </c>
      <c r="AO149" s="89"/>
      <c r="AP149" s="90"/>
      <c r="AQ149" s="146" t="str">
        <f t="shared" si="55"/>
        <v/>
      </c>
      <c r="AR149" s="146" t="str">
        <f t="shared" si="56"/>
        <v/>
      </c>
      <c r="AS149" s="147">
        <v>10</v>
      </c>
      <c r="AT149" s="148"/>
      <c r="AU149" s="149"/>
      <c r="AV149" s="146" t="str">
        <f t="shared" si="57"/>
        <v/>
      </c>
      <c r="AW149" s="146" t="str">
        <f t="shared" si="58"/>
        <v/>
      </c>
      <c r="AX149" s="138" t="str">
        <f t="shared" si="59"/>
        <v/>
      </c>
      <c r="AY149" s="95"/>
      <c r="AZ149" s="96"/>
      <c r="BA149" s="96"/>
      <c r="BB149" s="96"/>
      <c r="BC149" s="96"/>
      <c r="BD149" s="97">
        <v>120</v>
      </c>
      <c r="BE149" s="142">
        <f t="shared" si="60"/>
        <v>12330</v>
      </c>
      <c r="BF149" s="98">
        <v>0</v>
      </c>
      <c r="BG149" s="98">
        <v>0</v>
      </c>
      <c r="BH149" s="98">
        <v>6648</v>
      </c>
      <c r="BI149" s="98">
        <v>5682</v>
      </c>
      <c r="BJ149" s="98"/>
      <c r="BK149" s="98"/>
      <c r="BL149" s="98"/>
    </row>
    <row r="150" spans="1:64" outlineLevel="4" x14ac:dyDescent="0.3">
      <c r="A150" s="63" t="s">
        <v>69</v>
      </c>
      <c r="B150" s="64"/>
      <c r="C150" s="65">
        <f t="shared" ref="C150:BL150" si="61">SUBTOTAL(4,C120:C149)</f>
        <v>39.1</v>
      </c>
      <c r="D150" s="66">
        <f t="shared" si="61"/>
        <v>39</v>
      </c>
      <c r="E150" s="66">
        <f t="shared" si="61"/>
        <v>39.200000000000003</v>
      </c>
      <c r="F150" s="66">
        <f t="shared" si="61"/>
        <v>0</v>
      </c>
      <c r="G150" s="66">
        <f t="shared" si="61"/>
        <v>0</v>
      </c>
      <c r="H150" s="66">
        <f t="shared" si="61"/>
        <v>0</v>
      </c>
      <c r="I150" s="66">
        <f t="shared" si="61"/>
        <v>0</v>
      </c>
      <c r="J150" s="66">
        <f t="shared" si="61"/>
        <v>0</v>
      </c>
      <c r="K150" s="66">
        <f t="shared" si="61"/>
        <v>0</v>
      </c>
      <c r="L150" s="67">
        <f t="shared" si="61"/>
        <v>8.5</v>
      </c>
      <c r="M150" s="68">
        <f t="shared" si="61"/>
        <v>8.52</v>
      </c>
      <c r="N150" s="68">
        <f t="shared" si="61"/>
        <v>8.52</v>
      </c>
      <c r="O150" s="68">
        <f t="shared" si="61"/>
        <v>0</v>
      </c>
      <c r="P150" s="68">
        <f t="shared" si="61"/>
        <v>0</v>
      </c>
      <c r="Q150" s="68">
        <f t="shared" si="61"/>
        <v>0</v>
      </c>
      <c r="R150" s="68">
        <f t="shared" si="61"/>
        <v>0</v>
      </c>
      <c r="S150" s="68">
        <f t="shared" si="61"/>
        <v>0</v>
      </c>
      <c r="T150" s="68">
        <f t="shared" si="61"/>
        <v>0</v>
      </c>
      <c r="U150" s="69">
        <f t="shared" si="61"/>
        <v>1800</v>
      </c>
      <c r="V150" s="70">
        <f t="shared" si="61"/>
        <v>2000</v>
      </c>
      <c r="W150" s="70">
        <f t="shared" si="61"/>
        <v>1650</v>
      </c>
      <c r="X150" s="70">
        <f t="shared" si="61"/>
        <v>0</v>
      </c>
      <c r="Y150" s="70">
        <f t="shared" si="61"/>
        <v>0</v>
      </c>
      <c r="Z150" s="70">
        <f t="shared" si="61"/>
        <v>0</v>
      </c>
      <c r="AA150" s="70">
        <f t="shared" si="61"/>
        <v>0</v>
      </c>
      <c r="AB150" s="70">
        <f t="shared" si="61"/>
        <v>0</v>
      </c>
      <c r="AC150" s="70">
        <f t="shared" si="61"/>
        <v>0</v>
      </c>
      <c r="AD150" s="69">
        <f t="shared" si="61"/>
        <v>9896</v>
      </c>
      <c r="AE150" s="70">
        <f t="shared" si="61"/>
        <v>9880</v>
      </c>
      <c r="AF150" s="70">
        <f t="shared" si="61"/>
        <v>9912</v>
      </c>
      <c r="AG150" s="70">
        <f t="shared" si="61"/>
        <v>0</v>
      </c>
      <c r="AH150" s="70">
        <f t="shared" si="61"/>
        <v>0</v>
      </c>
      <c r="AI150" s="70">
        <f t="shared" si="61"/>
        <v>0</v>
      </c>
      <c r="AJ150" s="70">
        <f t="shared" si="61"/>
        <v>0</v>
      </c>
      <c r="AK150" s="70">
        <f t="shared" si="61"/>
        <v>0</v>
      </c>
      <c r="AL150" s="70">
        <f t="shared" si="61"/>
        <v>0</v>
      </c>
      <c r="AM150" s="70">
        <f t="shared" si="61"/>
        <v>104.88888888888889</v>
      </c>
      <c r="AN150" s="70">
        <f t="shared" si="61"/>
        <v>152.42000000000002</v>
      </c>
      <c r="AO150" s="71">
        <f t="shared" si="61"/>
        <v>21.1</v>
      </c>
      <c r="AP150" s="72">
        <f t="shared" si="61"/>
        <v>16.542400000000001</v>
      </c>
      <c r="AQ150" s="73">
        <f t="shared" si="61"/>
        <v>80.5</v>
      </c>
      <c r="AR150" s="73">
        <f t="shared" si="61"/>
        <v>22.299999999999997</v>
      </c>
      <c r="AS150" s="74">
        <f t="shared" si="61"/>
        <v>40</v>
      </c>
      <c r="AT150" s="75">
        <f t="shared" si="61"/>
        <v>16.95</v>
      </c>
      <c r="AU150" s="76">
        <f t="shared" si="61"/>
        <v>9.6320499999999996</v>
      </c>
      <c r="AV150" s="73">
        <f t="shared" si="61"/>
        <v>58.583271375464683</v>
      </c>
      <c r="AW150" s="73">
        <f t="shared" si="61"/>
        <v>47.061258278145701</v>
      </c>
      <c r="AX150" s="65">
        <f t="shared" si="61"/>
        <v>69.546034775775084</v>
      </c>
      <c r="AY150" s="77">
        <f t="shared" si="61"/>
        <v>78.55</v>
      </c>
      <c r="AZ150" s="78">
        <f t="shared" si="61"/>
        <v>64.784999999999997</v>
      </c>
      <c r="BA150" s="78">
        <f t="shared" si="61"/>
        <v>0</v>
      </c>
      <c r="BB150" s="78">
        <f t="shared" si="61"/>
        <v>61</v>
      </c>
      <c r="BC150" s="78">
        <f t="shared" si="61"/>
        <v>0</v>
      </c>
      <c r="BD150" s="79">
        <f t="shared" si="61"/>
        <v>152.42000000000002</v>
      </c>
      <c r="BE150" s="69">
        <f t="shared" si="61"/>
        <v>16768</v>
      </c>
      <c r="BF150" s="70">
        <f t="shared" si="61"/>
        <v>1945</v>
      </c>
      <c r="BG150" s="80">
        <f t="shared" si="61"/>
        <v>4343</v>
      </c>
      <c r="BH150" s="80">
        <f t="shared" si="61"/>
        <v>7972</v>
      </c>
      <c r="BI150" s="80">
        <f t="shared" si="61"/>
        <v>6729</v>
      </c>
      <c r="BJ150" s="80">
        <f t="shared" si="61"/>
        <v>0</v>
      </c>
      <c r="BK150" s="80">
        <f t="shared" si="61"/>
        <v>0</v>
      </c>
      <c r="BL150" s="79">
        <f t="shared" si="61"/>
        <v>0</v>
      </c>
    </row>
    <row r="151" spans="1:64" outlineLevel="3" x14ac:dyDescent="0.3">
      <c r="A151" s="81" t="s">
        <v>70</v>
      </c>
      <c r="B151" s="82"/>
      <c r="C151" s="83">
        <f t="shared" ref="C151:BL151" si="62">SUBTOTAL(5,C120:C149)</f>
        <v>36.4</v>
      </c>
      <c r="D151" s="84">
        <f t="shared" si="62"/>
        <v>36.4</v>
      </c>
      <c r="E151" s="84">
        <f t="shared" si="62"/>
        <v>36</v>
      </c>
      <c r="F151" s="84">
        <f t="shared" si="62"/>
        <v>0</v>
      </c>
      <c r="G151" s="84">
        <f t="shared" si="62"/>
        <v>0</v>
      </c>
      <c r="H151" s="84">
        <f t="shared" si="62"/>
        <v>0</v>
      </c>
      <c r="I151" s="84">
        <f t="shared" si="62"/>
        <v>0</v>
      </c>
      <c r="J151" s="84">
        <f t="shared" si="62"/>
        <v>0</v>
      </c>
      <c r="K151" s="84">
        <f t="shared" si="62"/>
        <v>0</v>
      </c>
      <c r="L151" s="85">
        <f t="shared" si="62"/>
        <v>8.1</v>
      </c>
      <c r="M151" s="86">
        <f t="shared" si="62"/>
        <v>8.08</v>
      </c>
      <c r="N151" s="86">
        <f t="shared" si="62"/>
        <v>8.08</v>
      </c>
      <c r="O151" s="86">
        <f t="shared" si="62"/>
        <v>0</v>
      </c>
      <c r="P151" s="86">
        <f t="shared" si="62"/>
        <v>0</v>
      </c>
      <c r="Q151" s="86">
        <f t="shared" si="62"/>
        <v>0</v>
      </c>
      <c r="R151" s="86">
        <f t="shared" si="62"/>
        <v>0</v>
      </c>
      <c r="S151" s="86">
        <f t="shared" si="62"/>
        <v>0</v>
      </c>
      <c r="T151" s="86">
        <f t="shared" si="62"/>
        <v>0</v>
      </c>
      <c r="U151" s="87">
        <f t="shared" si="62"/>
        <v>1118.5</v>
      </c>
      <c r="V151" s="88">
        <f t="shared" si="62"/>
        <v>1135</v>
      </c>
      <c r="W151" s="88">
        <f t="shared" si="62"/>
        <v>1102</v>
      </c>
      <c r="X151" s="88">
        <f t="shared" si="62"/>
        <v>0</v>
      </c>
      <c r="Y151" s="88">
        <f t="shared" si="62"/>
        <v>0</v>
      </c>
      <c r="Z151" s="88">
        <f t="shared" si="62"/>
        <v>0</v>
      </c>
      <c r="AA151" s="88">
        <f t="shared" si="62"/>
        <v>0</v>
      </c>
      <c r="AB151" s="88">
        <f t="shared" si="62"/>
        <v>0</v>
      </c>
      <c r="AC151" s="88">
        <f t="shared" si="62"/>
        <v>0</v>
      </c>
      <c r="AD151" s="87">
        <f t="shared" si="62"/>
        <v>9635</v>
      </c>
      <c r="AE151" s="88">
        <f t="shared" si="62"/>
        <v>9680</v>
      </c>
      <c r="AF151" s="88">
        <f t="shared" si="62"/>
        <v>9540</v>
      </c>
      <c r="AG151" s="88">
        <f t="shared" si="62"/>
        <v>0</v>
      </c>
      <c r="AH151" s="88">
        <f t="shared" si="62"/>
        <v>0</v>
      </c>
      <c r="AI151" s="88">
        <f t="shared" si="62"/>
        <v>0</v>
      </c>
      <c r="AJ151" s="88">
        <f t="shared" si="62"/>
        <v>0</v>
      </c>
      <c r="AK151" s="88">
        <f t="shared" si="62"/>
        <v>0</v>
      </c>
      <c r="AL151" s="88">
        <f t="shared" si="62"/>
        <v>0</v>
      </c>
      <c r="AM151" s="88">
        <f t="shared" si="62"/>
        <v>30.967064689673268</v>
      </c>
      <c r="AN151" s="88">
        <f t="shared" si="62"/>
        <v>45</v>
      </c>
      <c r="AO151" s="89">
        <f t="shared" si="62"/>
        <v>17.899999999999999</v>
      </c>
      <c r="AP151" s="90">
        <f t="shared" si="62"/>
        <v>13.908299999999999</v>
      </c>
      <c r="AQ151" s="91">
        <f t="shared" si="62"/>
        <v>77.7</v>
      </c>
      <c r="AR151" s="91">
        <f t="shared" si="62"/>
        <v>19.5</v>
      </c>
      <c r="AS151" s="92">
        <f t="shared" si="62"/>
        <v>0</v>
      </c>
      <c r="AT151" s="93">
        <f t="shared" si="62"/>
        <v>13.3</v>
      </c>
      <c r="AU151" s="94">
        <f t="shared" si="62"/>
        <v>7.3831000000000007</v>
      </c>
      <c r="AV151" s="91">
        <f t="shared" si="62"/>
        <v>52.938741721854299</v>
      </c>
      <c r="AW151" s="91">
        <f t="shared" si="62"/>
        <v>41.416728624535317</v>
      </c>
      <c r="AX151" s="83">
        <f t="shared" si="62"/>
        <v>63.736728711941339</v>
      </c>
      <c r="AY151" s="95">
        <f t="shared" si="62"/>
        <v>72.45</v>
      </c>
      <c r="AZ151" s="96">
        <f t="shared" si="62"/>
        <v>59.120000000000005</v>
      </c>
      <c r="BA151" s="96">
        <f t="shared" si="62"/>
        <v>0</v>
      </c>
      <c r="BB151" s="96">
        <f t="shared" si="62"/>
        <v>12.5</v>
      </c>
      <c r="BC151" s="96">
        <f t="shared" si="62"/>
        <v>0</v>
      </c>
      <c r="BD151" s="97">
        <f t="shared" si="62"/>
        <v>45</v>
      </c>
      <c r="BE151" s="87">
        <f t="shared" si="62"/>
        <v>8000</v>
      </c>
      <c r="BF151" s="88">
        <f t="shared" si="62"/>
        <v>0</v>
      </c>
      <c r="BG151" s="98">
        <f t="shared" si="62"/>
        <v>0</v>
      </c>
      <c r="BH151" s="98">
        <f t="shared" si="62"/>
        <v>0</v>
      </c>
      <c r="BI151" s="98">
        <f t="shared" si="62"/>
        <v>1944</v>
      </c>
      <c r="BJ151" s="98">
        <f t="shared" si="62"/>
        <v>0</v>
      </c>
      <c r="BK151" s="98">
        <f t="shared" si="62"/>
        <v>0</v>
      </c>
      <c r="BL151" s="97">
        <f t="shared" si="62"/>
        <v>0</v>
      </c>
    </row>
    <row r="152" spans="1:64" outlineLevel="2" x14ac:dyDescent="0.3">
      <c r="A152" s="81" t="s">
        <v>71</v>
      </c>
      <c r="B152" s="82"/>
      <c r="C152" s="83">
        <f t="shared" ref="C152:BL152" si="63">IFERROR(SUBTOTAL(1,C120:C149),"")</f>
        <v>37.543333333333329</v>
      </c>
      <c r="D152" s="84">
        <f t="shared" si="63"/>
        <v>37.616666666666667</v>
      </c>
      <c r="E152" s="84">
        <f t="shared" si="63"/>
        <v>37.423333333333332</v>
      </c>
      <c r="F152" s="84" t="str">
        <f t="shared" si="63"/>
        <v/>
      </c>
      <c r="G152" s="84" t="str">
        <f t="shared" si="63"/>
        <v/>
      </c>
      <c r="H152" s="84" t="str">
        <f t="shared" si="63"/>
        <v/>
      </c>
      <c r="I152" s="84" t="str">
        <f t="shared" si="63"/>
        <v/>
      </c>
      <c r="J152" s="84" t="str">
        <f t="shared" si="63"/>
        <v/>
      </c>
      <c r="K152" s="84" t="str">
        <f t="shared" si="63"/>
        <v/>
      </c>
      <c r="L152" s="85">
        <f t="shared" si="63"/>
        <v>8.2916666666666661</v>
      </c>
      <c r="M152" s="86">
        <f t="shared" si="63"/>
        <v>8.2933333333333312</v>
      </c>
      <c r="N152" s="86">
        <f t="shared" si="63"/>
        <v>8.2745454545454553</v>
      </c>
      <c r="O152" s="86" t="str">
        <f t="shared" si="63"/>
        <v/>
      </c>
      <c r="P152" s="86" t="str">
        <f t="shared" si="63"/>
        <v/>
      </c>
      <c r="Q152" s="86" t="str">
        <f t="shared" si="63"/>
        <v/>
      </c>
      <c r="R152" s="86" t="str">
        <f t="shared" si="63"/>
        <v/>
      </c>
      <c r="S152" s="86" t="str">
        <f t="shared" si="63"/>
        <v/>
      </c>
      <c r="T152" s="86" t="str">
        <f t="shared" si="63"/>
        <v/>
      </c>
      <c r="U152" s="87">
        <f t="shared" si="63"/>
        <v>1390.7916666666667</v>
      </c>
      <c r="V152" s="88">
        <f t="shared" si="63"/>
        <v>1401.4166666666667</v>
      </c>
      <c r="W152" s="88">
        <f t="shared" si="63"/>
        <v>1387.2727272727273</v>
      </c>
      <c r="X152" s="88" t="str">
        <f t="shared" si="63"/>
        <v/>
      </c>
      <c r="Y152" s="88" t="str">
        <f t="shared" si="63"/>
        <v/>
      </c>
      <c r="Z152" s="88" t="str">
        <f t="shared" si="63"/>
        <v/>
      </c>
      <c r="AA152" s="88" t="str">
        <f t="shared" si="63"/>
        <v/>
      </c>
      <c r="AB152" s="88" t="str">
        <f t="shared" si="63"/>
        <v/>
      </c>
      <c r="AC152" s="88" t="str">
        <f t="shared" si="63"/>
        <v/>
      </c>
      <c r="AD152" s="87">
        <f t="shared" si="63"/>
        <v>9720.25</v>
      </c>
      <c r="AE152" s="88">
        <f t="shared" si="63"/>
        <v>9765</v>
      </c>
      <c r="AF152" s="88">
        <f t="shared" si="63"/>
        <v>9674</v>
      </c>
      <c r="AG152" s="88" t="str">
        <f t="shared" si="63"/>
        <v/>
      </c>
      <c r="AH152" s="88" t="str">
        <f t="shared" si="63"/>
        <v/>
      </c>
      <c r="AI152" s="88" t="str">
        <f t="shared" si="63"/>
        <v/>
      </c>
      <c r="AJ152" s="88" t="str">
        <f t="shared" si="63"/>
        <v/>
      </c>
      <c r="AK152" s="88" t="str">
        <f t="shared" si="63"/>
        <v/>
      </c>
      <c r="AL152" s="88" t="str">
        <f t="shared" si="63"/>
        <v/>
      </c>
      <c r="AM152" s="88">
        <f t="shared" si="63"/>
        <v>46.894857352447595</v>
      </c>
      <c r="AN152" s="88">
        <f t="shared" si="63"/>
        <v>107.63333333333334</v>
      </c>
      <c r="AO152" s="89">
        <f t="shared" si="63"/>
        <v>19.75</v>
      </c>
      <c r="AP152" s="90">
        <f t="shared" si="63"/>
        <v>15.580674999999999</v>
      </c>
      <c r="AQ152" s="91">
        <f t="shared" si="63"/>
        <v>78.875</v>
      </c>
      <c r="AR152" s="91">
        <f t="shared" si="63"/>
        <v>21.124999999999993</v>
      </c>
      <c r="AS152" s="92">
        <f t="shared" si="63"/>
        <v>12.4</v>
      </c>
      <c r="AT152" s="93">
        <f t="shared" si="63"/>
        <v>14.554545454545456</v>
      </c>
      <c r="AU152" s="94">
        <f t="shared" si="63"/>
        <v>8.05185</v>
      </c>
      <c r="AV152" s="91">
        <f t="shared" si="63"/>
        <v>55.316613499065198</v>
      </c>
      <c r="AW152" s="91">
        <f t="shared" si="63"/>
        <v>44.683386500934802</v>
      </c>
      <c r="AX152" s="83">
        <f t="shared" si="63"/>
        <v>67.01763613902925</v>
      </c>
      <c r="AY152" s="95">
        <f t="shared" si="63"/>
        <v>76.149999999999991</v>
      </c>
      <c r="AZ152" s="96">
        <f t="shared" si="63"/>
        <v>61.999250000000004</v>
      </c>
      <c r="BA152" s="96" t="str">
        <f t="shared" si="63"/>
        <v/>
      </c>
      <c r="BB152" s="96">
        <f t="shared" si="63"/>
        <v>42.975000000000001</v>
      </c>
      <c r="BC152" s="96" t="str">
        <f t="shared" si="63"/>
        <v/>
      </c>
      <c r="BD152" s="97">
        <f>IFERROR(SUBTOTAL(1,BD120:BD149),"")</f>
        <v>107.63333333333334</v>
      </c>
      <c r="BE152" s="87">
        <f t="shared" si="63"/>
        <v>13032.7</v>
      </c>
      <c r="BF152" s="88">
        <f t="shared" si="63"/>
        <v>648</v>
      </c>
      <c r="BG152" s="98">
        <f t="shared" si="63"/>
        <v>1931.5333333333333</v>
      </c>
      <c r="BH152" s="98">
        <f t="shared" si="63"/>
        <v>4898.8</v>
      </c>
      <c r="BI152" s="98">
        <f t="shared" si="63"/>
        <v>5554.3666666666668</v>
      </c>
      <c r="BJ152" s="98" t="str">
        <f t="shared" si="63"/>
        <v/>
      </c>
      <c r="BK152" s="98" t="str">
        <f t="shared" si="63"/>
        <v/>
      </c>
      <c r="BL152" s="97" t="str">
        <f t="shared" si="63"/>
        <v/>
      </c>
    </row>
    <row r="153" spans="1:64" ht="17.25" outlineLevel="1" thickBot="1" x14ac:dyDescent="0.35">
      <c r="A153" s="99" t="s">
        <v>72</v>
      </c>
      <c r="B153" s="100"/>
      <c r="C153" s="101"/>
      <c r="D153" s="102"/>
      <c r="E153" s="102"/>
      <c r="F153" s="102"/>
      <c r="G153" s="102"/>
      <c r="H153" s="102"/>
      <c r="I153" s="102"/>
      <c r="J153" s="102"/>
      <c r="K153" s="102"/>
      <c r="L153" s="103"/>
      <c r="M153" s="104"/>
      <c r="N153" s="104"/>
      <c r="O153" s="104"/>
      <c r="P153" s="104"/>
      <c r="Q153" s="104"/>
      <c r="R153" s="104"/>
      <c r="S153" s="104"/>
      <c r="T153" s="104"/>
      <c r="U153" s="105"/>
      <c r="V153" s="106"/>
      <c r="W153" s="106"/>
      <c r="X153" s="106"/>
      <c r="Y153" s="106"/>
      <c r="Z153" s="106"/>
      <c r="AA153" s="106"/>
      <c r="AB153" s="106"/>
      <c r="AC153" s="106"/>
      <c r="AD153" s="105"/>
      <c r="AE153" s="106"/>
      <c r="AF153" s="106"/>
      <c r="AG153" s="106"/>
      <c r="AH153" s="106"/>
      <c r="AI153" s="106"/>
      <c r="AJ153" s="106"/>
      <c r="AK153" s="106"/>
      <c r="AL153" s="106"/>
      <c r="AM153" s="106"/>
      <c r="AN153" s="107">
        <f>SUBTOTAL(9,AN120:AN149)</f>
        <v>3229</v>
      </c>
      <c r="AO153" s="108"/>
      <c r="AP153" s="109"/>
      <c r="AQ153" s="110"/>
      <c r="AR153" s="110"/>
      <c r="AS153" s="111">
        <f>SUBTOTAL(9,AS120:AS149)</f>
        <v>372</v>
      </c>
      <c r="AT153" s="112"/>
      <c r="AU153" s="113"/>
      <c r="AV153" s="110"/>
      <c r="AW153" s="110"/>
      <c r="AX153" s="101"/>
      <c r="AY153" s="114"/>
      <c r="AZ153" s="115"/>
      <c r="BA153" s="115"/>
      <c r="BB153" s="115"/>
      <c r="BC153" s="115"/>
      <c r="BD153" s="116">
        <f>SUBTOTAL(9,BD120:BD149)</f>
        <v>3229</v>
      </c>
      <c r="BE153" s="117">
        <f t="shared" ref="BE153:BL153" si="64">SUBTOTAL(9,BE120:BE149)</f>
        <v>390981</v>
      </c>
      <c r="BF153" s="107">
        <f t="shared" si="64"/>
        <v>19440</v>
      </c>
      <c r="BG153" s="118">
        <f t="shared" si="64"/>
        <v>57946</v>
      </c>
      <c r="BH153" s="118">
        <f t="shared" si="64"/>
        <v>146964</v>
      </c>
      <c r="BI153" s="118">
        <f t="shared" si="64"/>
        <v>166631</v>
      </c>
      <c r="BJ153" s="118">
        <f t="shared" si="64"/>
        <v>0</v>
      </c>
      <c r="BK153" s="118">
        <f t="shared" si="64"/>
        <v>0</v>
      </c>
      <c r="BL153" s="116">
        <f t="shared" si="64"/>
        <v>0</v>
      </c>
    </row>
    <row r="154" spans="1:64" outlineLevel="5" x14ac:dyDescent="0.3">
      <c r="A154" s="136">
        <f t="shared" si="46"/>
        <v>5</v>
      </c>
      <c r="B154" s="165">
        <f>B149+1</f>
        <v>45047</v>
      </c>
      <c r="C154" s="138">
        <f t="shared" ref="C154:C184" si="65">IFERROR(ROUND(AVERAGE(D154:K154),1),"")</f>
        <v>38.4</v>
      </c>
      <c r="D154" s="84">
        <v>38</v>
      </c>
      <c r="E154" s="84">
        <v>38.700000000000003</v>
      </c>
      <c r="F154" s="84"/>
      <c r="G154" s="84"/>
      <c r="H154" s="84"/>
      <c r="I154" s="84"/>
      <c r="J154" s="84"/>
      <c r="K154" s="84"/>
      <c r="L154" s="140" t="str">
        <f t="shared" ref="L154:L184" si="66">IFERROR(ROUND(AVERAGE(M154:T154),1),"")</f>
        <v/>
      </c>
      <c r="M154" s="86"/>
      <c r="N154" s="86"/>
      <c r="O154" s="86"/>
      <c r="P154" s="86"/>
      <c r="Q154" s="86"/>
      <c r="R154" s="86"/>
      <c r="S154" s="86"/>
      <c r="T154" s="86"/>
      <c r="U154" s="142" t="str">
        <f t="shared" ref="U154:U184" si="67">IFERROR(ROUND(AVERAGE(V154:AC154),1),"")</f>
        <v/>
      </c>
      <c r="V154" s="88"/>
      <c r="W154" s="88"/>
      <c r="X154" s="88"/>
      <c r="Y154" s="88"/>
      <c r="Z154" s="88"/>
      <c r="AA154" s="88"/>
      <c r="AB154" s="88"/>
      <c r="AC154" s="88"/>
      <c r="AD154" s="142" t="str">
        <f t="shared" ref="AD154:AD184" si="68">IFERROR(ROUND(AVERAGE(AE154:AL154),1),"")</f>
        <v/>
      </c>
      <c r="AE154" s="88"/>
      <c r="AF154" s="88"/>
      <c r="AG154" s="88"/>
      <c r="AH154" s="88"/>
      <c r="AI154" s="88"/>
      <c r="AJ154" s="88"/>
      <c r="AK154" s="88"/>
      <c r="AL154" s="88"/>
      <c r="AM154" s="88">
        <v>44.348398008080423</v>
      </c>
      <c r="AN154" s="88">
        <v>106.43</v>
      </c>
      <c r="AO154" s="89"/>
      <c r="AP154" s="90"/>
      <c r="AQ154" s="146" t="str">
        <f t="shared" ref="AQ154:AQ184" si="69">IFERROR(AP154/AO154*100,"")</f>
        <v/>
      </c>
      <c r="AR154" s="146" t="str">
        <f t="shared" ref="AR154:AR184" si="70">IFERROR(100-AQ154,"")</f>
        <v/>
      </c>
      <c r="AS154" s="147">
        <v>0</v>
      </c>
      <c r="AT154" s="148"/>
      <c r="AU154" s="149"/>
      <c r="AV154" s="146" t="str">
        <f t="shared" ref="AV154:AV184" si="71">IFERROR(AU154/AT154*100,"")</f>
        <v/>
      </c>
      <c r="AW154" s="146" t="str">
        <f t="shared" ref="AW154:AW184" si="72">IFERROR(100-AV154,"")</f>
        <v/>
      </c>
      <c r="AX154" s="138" t="str">
        <f t="shared" ref="AX154:AX184" si="73">IFERROR((1-((AV154*AR154)/(AW154*AQ154)))*100,"")</f>
        <v/>
      </c>
      <c r="AY154" s="95"/>
      <c r="AZ154" s="96"/>
      <c r="BA154" s="96"/>
      <c r="BB154" s="96"/>
      <c r="BC154" s="96"/>
      <c r="BD154" s="97">
        <v>106.43</v>
      </c>
      <c r="BE154" s="142">
        <f t="shared" ref="BE154:BE184" si="74">IF(SUM(BF154:BL154)=0,"",SUM(BF154:BL154))</f>
        <v>12248</v>
      </c>
      <c r="BF154" s="98">
        <v>0</v>
      </c>
      <c r="BG154" s="98">
        <v>0</v>
      </c>
      <c r="BH154" s="98">
        <v>6610</v>
      </c>
      <c r="BI154" s="98">
        <v>5638</v>
      </c>
      <c r="BJ154" s="98"/>
      <c r="BK154" s="98"/>
      <c r="BL154" s="97"/>
    </row>
    <row r="155" spans="1:64" outlineLevel="5" x14ac:dyDescent="0.3">
      <c r="A155" s="152">
        <f t="shared" si="46"/>
        <v>5</v>
      </c>
      <c r="B155" s="153">
        <f t="shared" ref="B155:B218" si="75">B154+1</f>
        <v>45048</v>
      </c>
      <c r="C155" s="138">
        <f t="shared" si="65"/>
        <v>38.1</v>
      </c>
      <c r="D155" s="84">
        <v>37.799999999999997</v>
      </c>
      <c r="E155" s="84">
        <v>38.299999999999997</v>
      </c>
      <c r="F155" s="84"/>
      <c r="G155" s="84"/>
      <c r="H155" s="84"/>
      <c r="I155" s="84"/>
      <c r="J155" s="84"/>
      <c r="K155" s="84"/>
      <c r="L155" s="140" t="str">
        <f t="shared" si="66"/>
        <v/>
      </c>
      <c r="M155" s="86"/>
      <c r="N155" s="86"/>
      <c r="O155" s="86"/>
      <c r="P155" s="86"/>
      <c r="Q155" s="86"/>
      <c r="R155" s="86"/>
      <c r="S155" s="86"/>
      <c r="T155" s="86"/>
      <c r="U155" s="142" t="str">
        <f t="shared" si="67"/>
        <v/>
      </c>
      <c r="V155" s="88"/>
      <c r="W155" s="88"/>
      <c r="X155" s="88"/>
      <c r="Y155" s="88"/>
      <c r="Z155" s="88"/>
      <c r="AA155" s="88"/>
      <c r="AB155" s="88"/>
      <c r="AC155" s="88"/>
      <c r="AD155" s="142" t="str">
        <f t="shared" si="68"/>
        <v/>
      </c>
      <c r="AE155" s="88"/>
      <c r="AF155" s="88"/>
      <c r="AG155" s="88"/>
      <c r="AH155" s="88"/>
      <c r="AI155" s="88"/>
      <c r="AJ155" s="88"/>
      <c r="AK155" s="88"/>
      <c r="AL155" s="88"/>
      <c r="AM155" s="88">
        <v>44.705436635726457</v>
      </c>
      <c r="AN155" s="88">
        <v>105.58000000000001</v>
      </c>
      <c r="AO155" s="89"/>
      <c r="AP155" s="90"/>
      <c r="AQ155" s="146" t="str">
        <f t="shared" si="69"/>
        <v/>
      </c>
      <c r="AR155" s="146" t="str">
        <f t="shared" si="70"/>
        <v/>
      </c>
      <c r="AS155" s="147">
        <v>43</v>
      </c>
      <c r="AT155" s="148"/>
      <c r="AU155" s="149"/>
      <c r="AV155" s="146" t="str">
        <f t="shared" si="71"/>
        <v/>
      </c>
      <c r="AW155" s="146" t="str">
        <f t="shared" si="72"/>
        <v/>
      </c>
      <c r="AX155" s="138" t="str">
        <f t="shared" si="73"/>
        <v/>
      </c>
      <c r="AY155" s="95"/>
      <c r="AZ155" s="96">
        <v>62.644999999999996</v>
      </c>
      <c r="BA155" s="96"/>
      <c r="BB155" s="96">
        <v>40.5</v>
      </c>
      <c r="BC155" s="96"/>
      <c r="BD155" s="97">
        <v>105.58000000000001</v>
      </c>
      <c r="BE155" s="142">
        <f t="shared" si="74"/>
        <v>15203</v>
      </c>
      <c r="BF155" s="98">
        <v>0</v>
      </c>
      <c r="BG155" s="98">
        <v>0</v>
      </c>
      <c r="BH155" s="98">
        <v>9407</v>
      </c>
      <c r="BI155" s="98">
        <v>5796</v>
      </c>
      <c r="BJ155" s="98"/>
      <c r="BK155" s="98"/>
      <c r="BL155" s="97"/>
    </row>
    <row r="156" spans="1:64" outlineLevel="5" x14ac:dyDescent="0.3">
      <c r="A156" s="152">
        <f t="shared" si="46"/>
        <v>5</v>
      </c>
      <c r="B156" s="153">
        <f t="shared" si="75"/>
        <v>45049</v>
      </c>
      <c r="C156" s="138">
        <f t="shared" si="65"/>
        <v>37.700000000000003</v>
      </c>
      <c r="D156" s="84">
        <v>37.700000000000003</v>
      </c>
      <c r="E156" s="84">
        <v>37.700000000000003</v>
      </c>
      <c r="F156" s="84"/>
      <c r="G156" s="84"/>
      <c r="H156" s="84"/>
      <c r="I156" s="84"/>
      <c r="J156" s="84"/>
      <c r="K156" s="84"/>
      <c r="L156" s="140">
        <f t="shared" si="66"/>
        <v>8.1999999999999993</v>
      </c>
      <c r="M156" s="86">
        <v>8.19</v>
      </c>
      <c r="N156" s="86">
        <v>8.26</v>
      </c>
      <c r="O156" s="86"/>
      <c r="P156" s="86"/>
      <c r="Q156" s="86"/>
      <c r="R156" s="86"/>
      <c r="S156" s="86"/>
      <c r="T156" s="86"/>
      <c r="U156" s="142">
        <f t="shared" si="67"/>
        <v>1303.5</v>
      </c>
      <c r="V156" s="88">
        <v>1335</v>
      </c>
      <c r="W156" s="88">
        <v>1272</v>
      </c>
      <c r="X156" s="88"/>
      <c r="Y156" s="88"/>
      <c r="Z156" s="88"/>
      <c r="AA156" s="88"/>
      <c r="AB156" s="88"/>
      <c r="AC156" s="88"/>
      <c r="AD156" s="142" t="str">
        <f t="shared" si="68"/>
        <v/>
      </c>
      <c r="AE156" s="88"/>
      <c r="AF156" s="88"/>
      <c r="AG156" s="88"/>
      <c r="AH156" s="88"/>
      <c r="AI156" s="88"/>
      <c r="AJ156" s="88"/>
      <c r="AK156" s="88"/>
      <c r="AL156" s="88"/>
      <c r="AM156" s="88">
        <v>33.164699269252388</v>
      </c>
      <c r="AN156" s="88">
        <v>142.32</v>
      </c>
      <c r="AO156" s="89"/>
      <c r="AP156" s="90"/>
      <c r="AQ156" s="146" t="str">
        <f t="shared" si="69"/>
        <v/>
      </c>
      <c r="AR156" s="146" t="str">
        <f t="shared" si="70"/>
        <v/>
      </c>
      <c r="AS156" s="147">
        <v>50</v>
      </c>
      <c r="AT156" s="148">
        <v>13.350000000000001</v>
      </c>
      <c r="AU156" s="149">
        <v>7.5131999999999994</v>
      </c>
      <c r="AV156" s="146">
        <f t="shared" si="71"/>
        <v>56.278651685393243</v>
      </c>
      <c r="AW156" s="146">
        <f t="shared" si="72"/>
        <v>43.721348314606757</v>
      </c>
      <c r="AX156" s="138" t="str">
        <f t="shared" si="73"/>
        <v/>
      </c>
      <c r="AY156" s="95">
        <v>77.099999999999994</v>
      </c>
      <c r="AZ156" s="96">
        <v>76.66</v>
      </c>
      <c r="BA156" s="96"/>
      <c r="BB156" s="96">
        <v>64.5</v>
      </c>
      <c r="BC156" s="96"/>
      <c r="BD156" s="97">
        <v>142.32</v>
      </c>
      <c r="BE156" s="142">
        <f t="shared" si="74"/>
        <v>13718</v>
      </c>
      <c r="BF156" s="98">
        <v>0</v>
      </c>
      <c r="BG156" s="98">
        <v>0</v>
      </c>
      <c r="BH156" s="98">
        <v>7680</v>
      </c>
      <c r="BI156" s="98">
        <v>6038</v>
      </c>
      <c r="BJ156" s="98"/>
      <c r="BK156" s="98"/>
      <c r="BL156" s="97"/>
    </row>
    <row r="157" spans="1:64" outlineLevel="5" x14ac:dyDescent="0.3">
      <c r="A157" s="152">
        <f t="shared" si="46"/>
        <v>5</v>
      </c>
      <c r="B157" s="153">
        <f t="shared" si="75"/>
        <v>45050</v>
      </c>
      <c r="C157" s="138">
        <f t="shared" si="65"/>
        <v>36.6</v>
      </c>
      <c r="D157" s="84">
        <v>36.5</v>
      </c>
      <c r="E157" s="84">
        <v>36.6</v>
      </c>
      <c r="F157" s="84"/>
      <c r="G157" s="84"/>
      <c r="H157" s="84"/>
      <c r="I157" s="84"/>
      <c r="J157" s="84"/>
      <c r="K157" s="84"/>
      <c r="L157" s="140">
        <f t="shared" si="66"/>
        <v>8.1999999999999993</v>
      </c>
      <c r="M157" s="86">
        <v>8.15</v>
      </c>
      <c r="N157" s="86">
        <v>8.23</v>
      </c>
      <c r="O157" s="86"/>
      <c r="P157" s="86"/>
      <c r="Q157" s="86"/>
      <c r="R157" s="86"/>
      <c r="S157" s="86"/>
      <c r="T157" s="86"/>
      <c r="U157" s="142">
        <f t="shared" si="67"/>
        <v>1363.5</v>
      </c>
      <c r="V157" s="88">
        <v>1402</v>
      </c>
      <c r="W157" s="88">
        <v>1325</v>
      </c>
      <c r="X157" s="88"/>
      <c r="Y157" s="88"/>
      <c r="Z157" s="88"/>
      <c r="AA157" s="88"/>
      <c r="AB157" s="88"/>
      <c r="AC157" s="88"/>
      <c r="AD157" s="142" t="str">
        <f t="shared" si="68"/>
        <v/>
      </c>
      <c r="AE157" s="88"/>
      <c r="AF157" s="88"/>
      <c r="AG157" s="88"/>
      <c r="AH157" s="88"/>
      <c r="AI157" s="88"/>
      <c r="AJ157" s="88"/>
      <c r="AK157" s="88"/>
      <c r="AL157" s="88"/>
      <c r="AM157" s="88">
        <v>32.578685808945337</v>
      </c>
      <c r="AN157" s="88">
        <v>144.88</v>
      </c>
      <c r="AO157" s="89"/>
      <c r="AP157" s="90"/>
      <c r="AQ157" s="146" t="str">
        <f t="shared" si="69"/>
        <v/>
      </c>
      <c r="AR157" s="146" t="str">
        <f t="shared" si="70"/>
        <v/>
      </c>
      <c r="AS157" s="147">
        <v>36</v>
      </c>
      <c r="AT157" s="148">
        <v>14.100000000000001</v>
      </c>
      <c r="AU157" s="149">
        <v>7.2854500000000009</v>
      </c>
      <c r="AV157" s="146">
        <f t="shared" si="71"/>
        <v>51.669858156028369</v>
      </c>
      <c r="AW157" s="146">
        <f t="shared" si="72"/>
        <v>48.330141843971631</v>
      </c>
      <c r="AX157" s="138" t="str">
        <f t="shared" si="73"/>
        <v/>
      </c>
      <c r="AY157" s="95">
        <v>76.849999999999994</v>
      </c>
      <c r="AZ157" s="96">
        <v>61.695</v>
      </c>
      <c r="BA157" s="96"/>
      <c r="BB157" s="96">
        <v>64.5</v>
      </c>
      <c r="BC157" s="96"/>
      <c r="BD157" s="97">
        <v>144.88</v>
      </c>
      <c r="BE157" s="142">
        <f t="shared" si="74"/>
        <v>15671</v>
      </c>
      <c r="BF157" s="98">
        <v>1129</v>
      </c>
      <c r="BG157" s="98">
        <v>0</v>
      </c>
      <c r="BH157" s="98">
        <v>8444</v>
      </c>
      <c r="BI157" s="98">
        <v>6098</v>
      </c>
      <c r="BJ157" s="98"/>
      <c r="BK157" s="98"/>
      <c r="BL157" s="97"/>
    </row>
    <row r="158" spans="1:64" outlineLevel="5" x14ac:dyDescent="0.3">
      <c r="A158" s="152">
        <f t="shared" si="46"/>
        <v>5</v>
      </c>
      <c r="B158" s="153">
        <f t="shared" si="75"/>
        <v>45051</v>
      </c>
      <c r="C158" s="138">
        <f t="shared" si="65"/>
        <v>38.5</v>
      </c>
      <c r="D158" s="84">
        <v>38.700000000000003</v>
      </c>
      <c r="E158" s="84">
        <v>38.200000000000003</v>
      </c>
      <c r="F158" s="84"/>
      <c r="G158" s="84"/>
      <c r="H158" s="84"/>
      <c r="I158" s="84"/>
      <c r="J158" s="84"/>
      <c r="K158" s="84"/>
      <c r="L158" s="140" t="str">
        <f t="shared" si="66"/>
        <v/>
      </c>
      <c r="M158" s="86"/>
      <c r="N158" s="86"/>
      <c r="O158" s="86"/>
      <c r="P158" s="86"/>
      <c r="Q158" s="86"/>
      <c r="R158" s="86"/>
      <c r="S158" s="86"/>
      <c r="T158" s="86"/>
      <c r="U158" s="142" t="str">
        <f t="shared" si="67"/>
        <v/>
      </c>
      <c r="V158" s="88"/>
      <c r="W158" s="88"/>
      <c r="X158" s="88"/>
      <c r="Y158" s="88"/>
      <c r="Z158" s="88"/>
      <c r="AA158" s="88"/>
      <c r="AB158" s="88"/>
      <c r="AC158" s="88"/>
      <c r="AD158" s="142" t="str">
        <f t="shared" si="68"/>
        <v/>
      </c>
      <c r="AE158" s="88"/>
      <c r="AF158" s="88"/>
      <c r="AG158" s="88"/>
      <c r="AH158" s="88"/>
      <c r="AI158" s="88"/>
      <c r="AJ158" s="88"/>
      <c r="AK158" s="88"/>
      <c r="AL158" s="88"/>
      <c r="AM158" s="88">
        <v>30.516583694316928</v>
      </c>
      <c r="AN158" s="88">
        <v>154.67000000000002</v>
      </c>
      <c r="AO158" s="89"/>
      <c r="AP158" s="90"/>
      <c r="AQ158" s="146" t="str">
        <f t="shared" si="69"/>
        <v/>
      </c>
      <c r="AR158" s="146" t="str">
        <f t="shared" si="70"/>
        <v/>
      </c>
      <c r="AS158" s="147">
        <v>0</v>
      </c>
      <c r="AT158" s="148"/>
      <c r="AU158" s="149"/>
      <c r="AV158" s="146" t="str">
        <f t="shared" si="71"/>
        <v/>
      </c>
      <c r="AW158" s="146" t="str">
        <f t="shared" si="72"/>
        <v/>
      </c>
      <c r="AX158" s="138" t="str">
        <f t="shared" si="73"/>
        <v/>
      </c>
      <c r="AY158" s="95"/>
      <c r="AZ158" s="96"/>
      <c r="BA158" s="96"/>
      <c r="BB158" s="96"/>
      <c r="BC158" s="96"/>
      <c r="BD158" s="97">
        <v>154.67000000000002</v>
      </c>
      <c r="BE158" s="142">
        <f t="shared" si="74"/>
        <v>15307</v>
      </c>
      <c r="BF158" s="98">
        <v>577</v>
      </c>
      <c r="BG158" s="98">
        <v>1421</v>
      </c>
      <c r="BH158" s="98">
        <v>7433</v>
      </c>
      <c r="BI158" s="98">
        <v>5876</v>
      </c>
      <c r="BJ158" s="98"/>
      <c r="BK158" s="98"/>
      <c r="BL158" s="97"/>
    </row>
    <row r="159" spans="1:64" outlineLevel="5" x14ac:dyDescent="0.3">
      <c r="A159" s="152">
        <f t="shared" si="46"/>
        <v>5</v>
      </c>
      <c r="B159" s="153">
        <f t="shared" si="75"/>
        <v>45052</v>
      </c>
      <c r="C159" s="138">
        <f t="shared" si="65"/>
        <v>37.6</v>
      </c>
      <c r="D159" s="84">
        <v>37.5</v>
      </c>
      <c r="E159" s="84">
        <v>37.700000000000003</v>
      </c>
      <c r="F159" s="84"/>
      <c r="G159" s="84"/>
      <c r="H159" s="84"/>
      <c r="I159" s="84"/>
      <c r="J159" s="84"/>
      <c r="K159" s="84"/>
      <c r="L159" s="140" t="str">
        <f t="shared" si="66"/>
        <v/>
      </c>
      <c r="M159" s="86"/>
      <c r="N159" s="86"/>
      <c r="O159" s="86"/>
      <c r="P159" s="86"/>
      <c r="Q159" s="86"/>
      <c r="R159" s="86"/>
      <c r="S159" s="86"/>
      <c r="T159" s="86"/>
      <c r="U159" s="142" t="str">
        <f t="shared" si="67"/>
        <v/>
      </c>
      <c r="V159" s="88"/>
      <c r="W159" s="88"/>
      <c r="X159" s="88"/>
      <c r="Y159" s="88"/>
      <c r="Z159" s="88"/>
      <c r="AA159" s="88"/>
      <c r="AB159" s="88"/>
      <c r="AC159" s="88"/>
      <c r="AD159" s="142" t="str">
        <f t="shared" si="68"/>
        <v/>
      </c>
      <c r="AE159" s="88"/>
      <c r="AF159" s="88"/>
      <c r="AG159" s="88"/>
      <c r="AH159" s="88"/>
      <c r="AI159" s="88"/>
      <c r="AJ159" s="88"/>
      <c r="AK159" s="88"/>
      <c r="AL159" s="88"/>
      <c r="AM159" s="88">
        <v>35.708881827810558</v>
      </c>
      <c r="AN159" s="88">
        <v>132.18</v>
      </c>
      <c r="AO159" s="89"/>
      <c r="AP159" s="90"/>
      <c r="AQ159" s="146" t="str">
        <f t="shared" si="69"/>
        <v/>
      </c>
      <c r="AR159" s="146" t="str">
        <f t="shared" si="70"/>
        <v/>
      </c>
      <c r="AS159" s="147">
        <v>10</v>
      </c>
      <c r="AT159" s="148"/>
      <c r="AU159" s="149"/>
      <c r="AV159" s="146" t="str">
        <f t="shared" si="71"/>
        <v/>
      </c>
      <c r="AW159" s="146" t="str">
        <f t="shared" si="72"/>
        <v/>
      </c>
      <c r="AX159" s="138" t="str">
        <f t="shared" si="73"/>
        <v/>
      </c>
      <c r="AY159" s="95"/>
      <c r="AZ159" s="96"/>
      <c r="BA159" s="96"/>
      <c r="BB159" s="96"/>
      <c r="BC159" s="96"/>
      <c r="BD159" s="97">
        <v>132.18</v>
      </c>
      <c r="BE159" s="142">
        <f t="shared" si="74"/>
        <v>9569</v>
      </c>
      <c r="BF159" s="98">
        <v>0</v>
      </c>
      <c r="BG159" s="98">
        <v>2156</v>
      </c>
      <c r="BH159" s="98">
        <v>1881</v>
      </c>
      <c r="BI159" s="98">
        <v>5532</v>
      </c>
      <c r="BJ159" s="98"/>
      <c r="BK159" s="98"/>
      <c r="BL159" s="97"/>
    </row>
    <row r="160" spans="1:64" outlineLevel="5" x14ac:dyDescent="0.3">
      <c r="A160" s="152">
        <f t="shared" si="46"/>
        <v>5</v>
      </c>
      <c r="B160" s="153">
        <f t="shared" si="75"/>
        <v>45053</v>
      </c>
      <c r="C160" s="138">
        <f t="shared" si="65"/>
        <v>37.299999999999997</v>
      </c>
      <c r="D160" s="84">
        <v>37.200000000000003</v>
      </c>
      <c r="E160" s="84">
        <v>37.299999999999997</v>
      </c>
      <c r="F160" s="84"/>
      <c r="G160" s="84"/>
      <c r="H160" s="84"/>
      <c r="I160" s="84"/>
      <c r="J160" s="84"/>
      <c r="K160" s="84"/>
      <c r="L160" s="140" t="str">
        <f t="shared" si="66"/>
        <v/>
      </c>
      <c r="M160" s="86"/>
      <c r="N160" s="86"/>
      <c r="O160" s="86"/>
      <c r="P160" s="86"/>
      <c r="Q160" s="86"/>
      <c r="R160" s="86"/>
      <c r="S160" s="86"/>
      <c r="T160" s="86"/>
      <c r="U160" s="142" t="str">
        <f t="shared" si="67"/>
        <v/>
      </c>
      <c r="V160" s="88"/>
      <c r="W160" s="88"/>
      <c r="X160" s="88"/>
      <c r="Y160" s="88"/>
      <c r="Z160" s="88"/>
      <c r="AA160" s="88"/>
      <c r="AB160" s="88"/>
      <c r="AC160" s="88"/>
      <c r="AD160" s="142" t="str">
        <f t="shared" si="68"/>
        <v/>
      </c>
      <c r="AE160" s="88"/>
      <c r="AF160" s="88"/>
      <c r="AG160" s="88"/>
      <c r="AH160" s="88"/>
      <c r="AI160" s="88"/>
      <c r="AJ160" s="88"/>
      <c r="AK160" s="88"/>
      <c r="AL160" s="88"/>
      <c r="AM160" s="88">
        <v>41.043478260869563</v>
      </c>
      <c r="AN160" s="88">
        <v>115</v>
      </c>
      <c r="AO160" s="89"/>
      <c r="AP160" s="90"/>
      <c r="AQ160" s="146" t="str">
        <f t="shared" si="69"/>
        <v/>
      </c>
      <c r="AR160" s="146" t="str">
        <f t="shared" si="70"/>
        <v/>
      </c>
      <c r="AS160" s="147">
        <v>10</v>
      </c>
      <c r="AT160" s="148"/>
      <c r="AU160" s="149"/>
      <c r="AV160" s="146" t="str">
        <f t="shared" si="71"/>
        <v/>
      </c>
      <c r="AW160" s="146" t="str">
        <f t="shared" si="72"/>
        <v/>
      </c>
      <c r="AX160" s="138" t="str">
        <f t="shared" si="73"/>
        <v/>
      </c>
      <c r="AY160" s="95"/>
      <c r="AZ160" s="96"/>
      <c r="BA160" s="96"/>
      <c r="BB160" s="96"/>
      <c r="BC160" s="96"/>
      <c r="BD160" s="97">
        <v>115</v>
      </c>
      <c r="BE160" s="142">
        <f t="shared" si="74"/>
        <v>10442</v>
      </c>
      <c r="BF160" s="98">
        <v>0</v>
      </c>
      <c r="BG160" s="98">
        <v>3546</v>
      </c>
      <c r="BH160" s="98">
        <v>1048</v>
      </c>
      <c r="BI160" s="98">
        <v>5848</v>
      </c>
      <c r="BJ160" s="98"/>
      <c r="BK160" s="98"/>
      <c r="BL160" s="97"/>
    </row>
    <row r="161" spans="1:64" outlineLevel="5" x14ac:dyDescent="0.3">
      <c r="A161" s="152">
        <f t="shared" si="46"/>
        <v>5</v>
      </c>
      <c r="B161" s="153">
        <f t="shared" si="75"/>
        <v>45054</v>
      </c>
      <c r="C161" s="138">
        <f t="shared" si="65"/>
        <v>36.700000000000003</v>
      </c>
      <c r="D161" s="84">
        <v>36.4</v>
      </c>
      <c r="E161" s="84">
        <v>37</v>
      </c>
      <c r="F161" s="84"/>
      <c r="G161" s="84"/>
      <c r="H161" s="84"/>
      <c r="I161" s="84"/>
      <c r="J161" s="84"/>
      <c r="K161" s="84"/>
      <c r="L161" s="140">
        <f t="shared" si="66"/>
        <v>8.3000000000000007</v>
      </c>
      <c r="M161" s="86">
        <v>8.2899999999999991</v>
      </c>
      <c r="N161" s="86">
        <v>8.31</v>
      </c>
      <c r="O161" s="86"/>
      <c r="P161" s="86"/>
      <c r="Q161" s="86"/>
      <c r="R161" s="86"/>
      <c r="S161" s="86"/>
      <c r="T161" s="86"/>
      <c r="U161" s="142">
        <f t="shared" si="67"/>
        <v>1296.5</v>
      </c>
      <c r="V161" s="88">
        <v>1377</v>
      </c>
      <c r="W161" s="88">
        <v>1216</v>
      </c>
      <c r="X161" s="88"/>
      <c r="Y161" s="88"/>
      <c r="Z161" s="88"/>
      <c r="AA161" s="88"/>
      <c r="AB161" s="88"/>
      <c r="AC161" s="88"/>
      <c r="AD161" s="142" t="str">
        <f t="shared" si="68"/>
        <v/>
      </c>
      <c r="AE161" s="88"/>
      <c r="AF161" s="88"/>
      <c r="AG161" s="88"/>
      <c r="AH161" s="88"/>
      <c r="AI161" s="88"/>
      <c r="AJ161" s="88"/>
      <c r="AK161" s="88"/>
      <c r="AL161" s="88"/>
      <c r="AM161" s="88">
        <v>48.202614379084963</v>
      </c>
      <c r="AN161" s="88">
        <v>97.92</v>
      </c>
      <c r="AO161" s="89">
        <v>20.8</v>
      </c>
      <c r="AP161" s="90">
        <v>16.369600000000002</v>
      </c>
      <c r="AQ161" s="146">
        <f t="shared" si="69"/>
        <v>78.7</v>
      </c>
      <c r="AR161" s="146">
        <f t="shared" si="70"/>
        <v>21.299999999999997</v>
      </c>
      <c r="AS161" s="147">
        <v>50</v>
      </c>
      <c r="AT161" s="148">
        <v>14.7</v>
      </c>
      <c r="AU161" s="149">
        <v>7.6463999999999999</v>
      </c>
      <c r="AV161" s="146">
        <f t="shared" si="71"/>
        <v>52.016326530612247</v>
      </c>
      <c r="AW161" s="146">
        <f t="shared" si="72"/>
        <v>47.983673469387753</v>
      </c>
      <c r="AX161" s="138">
        <f t="shared" si="73"/>
        <v>70.660611597181671</v>
      </c>
      <c r="AY161" s="95">
        <v>77.05</v>
      </c>
      <c r="AZ161" s="96">
        <v>62.74</v>
      </c>
      <c r="BA161" s="96"/>
      <c r="BB161" s="96">
        <v>33.5</v>
      </c>
      <c r="BC161" s="96"/>
      <c r="BD161" s="97">
        <v>97.92</v>
      </c>
      <c r="BE161" s="142">
        <f t="shared" si="74"/>
        <v>10271</v>
      </c>
      <c r="BF161" s="98">
        <v>0</v>
      </c>
      <c r="BG161" s="98">
        <v>3043</v>
      </c>
      <c r="BH161" s="98">
        <v>1191</v>
      </c>
      <c r="BI161" s="98">
        <v>6037</v>
      </c>
      <c r="BJ161" s="98"/>
      <c r="BK161" s="98"/>
      <c r="BL161" s="97"/>
    </row>
    <row r="162" spans="1:64" outlineLevel="5" x14ac:dyDescent="0.3">
      <c r="A162" s="152">
        <f t="shared" si="46"/>
        <v>5</v>
      </c>
      <c r="B162" s="153">
        <f t="shared" si="75"/>
        <v>45055</v>
      </c>
      <c r="C162" s="138">
        <f t="shared" si="65"/>
        <v>36.6</v>
      </c>
      <c r="D162" s="84">
        <v>36.299999999999997</v>
      </c>
      <c r="E162" s="84">
        <v>36.799999999999997</v>
      </c>
      <c r="F162" s="84"/>
      <c r="G162" s="84"/>
      <c r="H162" s="84"/>
      <c r="I162" s="84"/>
      <c r="J162" s="84"/>
      <c r="K162" s="84"/>
      <c r="L162" s="140" t="str">
        <f t="shared" si="66"/>
        <v/>
      </c>
      <c r="M162" s="86"/>
      <c r="N162" s="86"/>
      <c r="O162" s="86"/>
      <c r="P162" s="86"/>
      <c r="Q162" s="86"/>
      <c r="R162" s="86"/>
      <c r="S162" s="86"/>
      <c r="T162" s="86"/>
      <c r="U162" s="142" t="str">
        <f t="shared" si="67"/>
        <v/>
      </c>
      <c r="V162" s="88"/>
      <c r="W162" s="88"/>
      <c r="X162" s="88"/>
      <c r="Y162" s="88"/>
      <c r="Z162" s="88"/>
      <c r="AA162" s="88"/>
      <c r="AB162" s="88"/>
      <c r="AC162" s="88"/>
      <c r="AD162" s="142" t="str">
        <f t="shared" si="68"/>
        <v/>
      </c>
      <c r="AE162" s="88"/>
      <c r="AF162" s="88"/>
      <c r="AG162" s="88"/>
      <c r="AH162" s="88"/>
      <c r="AI162" s="88"/>
      <c r="AJ162" s="88"/>
      <c r="AK162" s="88"/>
      <c r="AL162" s="88"/>
      <c r="AM162" s="88">
        <v>38.064516129032256</v>
      </c>
      <c r="AN162" s="88">
        <v>124</v>
      </c>
      <c r="AO162" s="89"/>
      <c r="AP162" s="90"/>
      <c r="AQ162" s="146" t="str">
        <f t="shared" si="69"/>
        <v/>
      </c>
      <c r="AR162" s="146" t="str">
        <f t="shared" si="70"/>
        <v/>
      </c>
      <c r="AS162" s="147">
        <v>40</v>
      </c>
      <c r="AT162" s="148"/>
      <c r="AU162" s="149"/>
      <c r="AV162" s="146" t="str">
        <f t="shared" si="71"/>
        <v/>
      </c>
      <c r="AW162" s="146" t="str">
        <f t="shared" si="72"/>
        <v/>
      </c>
      <c r="AX162" s="138" t="str">
        <f t="shared" si="73"/>
        <v/>
      </c>
      <c r="AY162" s="95"/>
      <c r="AZ162" s="96"/>
      <c r="BA162" s="96"/>
      <c r="BB162" s="96"/>
      <c r="BC162" s="96"/>
      <c r="BD162" s="97">
        <v>124</v>
      </c>
      <c r="BE162" s="142">
        <f t="shared" si="74"/>
        <v>15333</v>
      </c>
      <c r="BF162" s="98">
        <v>679</v>
      </c>
      <c r="BG162" s="98">
        <v>4408</v>
      </c>
      <c r="BH162" s="98">
        <v>3629</v>
      </c>
      <c r="BI162" s="98">
        <v>6617</v>
      </c>
      <c r="BJ162" s="98"/>
      <c r="BK162" s="98"/>
      <c r="BL162" s="97"/>
    </row>
    <row r="163" spans="1:64" outlineLevel="5" x14ac:dyDescent="0.3">
      <c r="A163" s="152">
        <f t="shared" ref="A163:A234" si="76">MONTH(B163)</f>
        <v>5</v>
      </c>
      <c r="B163" s="153">
        <f t="shared" si="75"/>
        <v>45056</v>
      </c>
      <c r="C163" s="138">
        <f t="shared" si="65"/>
        <v>36.6</v>
      </c>
      <c r="D163" s="84">
        <v>36.6</v>
      </c>
      <c r="E163" s="84">
        <v>36.5</v>
      </c>
      <c r="F163" s="84"/>
      <c r="G163" s="84"/>
      <c r="H163" s="84"/>
      <c r="I163" s="84"/>
      <c r="J163" s="84"/>
      <c r="K163" s="84"/>
      <c r="L163" s="140">
        <f t="shared" si="66"/>
        <v>8.3000000000000007</v>
      </c>
      <c r="M163" s="86">
        <v>8.26</v>
      </c>
      <c r="N163" s="86">
        <v>8.31</v>
      </c>
      <c r="O163" s="86"/>
      <c r="P163" s="86"/>
      <c r="Q163" s="86"/>
      <c r="R163" s="86"/>
      <c r="S163" s="86"/>
      <c r="T163" s="86"/>
      <c r="U163" s="142">
        <f t="shared" si="67"/>
        <v>1371.5</v>
      </c>
      <c r="V163" s="88">
        <v>1406</v>
      </c>
      <c r="W163" s="88">
        <v>1337</v>
      </c>
      <c r="X163" s="88"/>
      <c r="Y163" s="88"/>
      <c r="Z163" s="88"/>
      <c r="AA163" s="88"/>
      <c r="AB163" s="88"/>
      <c r="AC163" s="88"/>
      <c r="AD163" s="142" t="str">
        <f t="shared" si="68"/>
        <v/>
      </c>
      <c r="AE163" s="88"/>
      <c r="AF163" s="88"/>
      <c r="AG163" s="88"/>
      <c r="AH163" s="88"/>
      <c r="AI163" s="88"/>
      <c r="AJ163" s="88"/>
      <c r="AK163" s="88"/>
      <c r="AL163" s="88"/>
      <c r="AM163" s="88">
        <v>33.791523482245132</v>
      </c>
      <c r="AN163" s="88">
        <v>139.68</v>
      </c>
      <c r="AO163" s="89"/>
      <c r="AP163" s="90"/>
      <c r="AQ163" s="146" t="str">
        <f t="shared" si="69"/>
        <v/>
      </c>
      <c r="AR163" s="146" t="str">
        <f t="shared" si="70"/>
        <v/>
      </c>
      <c r="AS163" s="147">
        <v>41</v>
      </c>
      <c r="AT163" s="148">
        <v>13.899999999999999</v>
      </c>
      <c r="AU163" s="149">
        <v>7.8606999999999996</v>
      </c>
      <c r="AV163" s="146">
        <f t="shared" si="71"/>
        <v>56.551798561151081</v>
      </c>
      <c r="AW163" s="146">
        <f t="shared" si="72"/>
        <v>43.448201438848919</v>
      </c>
      <c r="AX163" s="138" t="str">
        <f t="shared" si="73"/>
        <v/>
      </c>
      <c r="AY163" s="95">
        <v>76.75</v>
      </c>
      <c r="AZ163" s="96">
        <v>60.454999999999998</v>
      </c>
      <c r="BA163" s="96"/>
      <c r="BB163" s="96">
        <v>54</v>
      </c>
      <c r="BC163" s="96"/>
      <c r="BD163" s="97">
        <v>139.68</v>
      </c>
      <c r="BE163" s="142">
        <f t="shared" si="74"/>
        <v>18211</v>
      </c>
      <c r="BF163" s="98">
        <v>549</v>
      </c>
      <c r="BG163" s="98">
        <v>3736</v>
      </c>
      <c r="BH163" s="98">
        <v>7441</v>
      </c>
      <c r="BI163" s="98">
        <v>6485</v>
      </c>
      <c r="BJ163" s="98"/>
      <c r="BK163" s="98"/>
      <c r="BL163" s="97"/>
    </row>
    <row r="164" spans="1:64" outlineLevel="5" x14ac:dyDescent="0.3">
      <c r="A164" s="152">
        <f t="shared" si="76"/>
        <v>5</v>
      </c>
      <c r="B164" s="153">
        <f t="shared" si="75"/>
        <v>45057</v>
      </c>
      <c r="C164" s="138">
        <f t="shared" si="65"/>
        <v>36.6</v>
      </c>
      <c r="D164" s="84">
        <v>36.6</v>
      </c>
      <c r="E164" s="84">
        <v>36.6</v>
      </c>
      <c r="F164" s="84"/>
      <c r="G164" s="84"/>
      <c r="H164" s="84"/>
      <c r="I164" s="84"/>
      <c r="J164" s="84"/>
      <c r="K164" s="84"/>
      <c r="L164" s="140">
        <f t="shared" si="66"/>
        <v>8.3000000000000007</v>
      </c>
      <c r="M164" s="86">
        <v>8.26</v>
      </c>
      <c r="N164" s="86">
        <v>8.2899999999999991</v>
      </c>
      <c r="O164" s="86"/>
      <c r="P164" s="86"/>
      <c r="Q164" s="86"/>
      <c r="R164" s="86"/>
      <c r="S164" s="86"/>
      <c r="T164" s="86"/>
      <c r="U164" s="142">
        <f t="shared" si="67"/>
        <v>1269</v>
      </c>
      <c r="V164" s="88">
        <v>1327</v>
      </c>
      <c r="W164" s="88">
        <v>1211</v>
      </c>
      <c r="X164" s="88"/>
      <c r="Y164" s="88"/>
      <c r="Z164" s="88"/>
      <c r="AA164" s="88"/>
      <c r="AB164" s="88"/>
      <c r="AC164" s="88"/>
      <c r="AD164" s="142" t="str">
        <f t="shared" si="68"/>
        <v/>
      </c>
      <c r="AE164" s="88"/>
      <c r="AF164" s="88"/>
      <c r="AG164" s="88"/>
      <c r="AH164" s="88"/>
      <c r="AI164" s="88"/>
      <c r="AJ164" s="88"/>
      <c r="AK164" s="88"/>
      <c r="AL164" s="88"/>
      <c r="AM164" s="88">
        <v>36.918263590144704</v>
      </c>
      <c r="AN164" s="88">
        <v>127.85</v>
      </c>
      <c r="AO164" s="89"/>
      <c r="AP164" s="90"/>
      <c r="AQ164" s="146" t="str">
        <f t="shared" si="69"/>
        <v/>
      </c>
      <c r="AR164" s="146" t="str">
        <f t="shared" si="70"/>
        <v/>
      </c>
      <c r="AS164" s="147">
        <v>45</v>
      </c>
      <c r="AT164" s="148">
        <v>14.3</v>
      </c>
      <c r="AU164" s="149">
        <v>7.5274999999999999</v>
      </c>
      <c r="AV164" s="146">
        <f t="shared" si="71"/>
        <v>52.63986013986014</v>
      </c>
      <c r="AW164" s="146">
        <f t="shared" si="72"/>
        <v>47.36013986013986</v>
      </c>
      <c r="AX164" s="138" t="str">
        <f t="shared" si="73"/>
        <v/>
      </c>
      <c r="AY164" s="95">
        <v>76.5</v>
      </c>
      <c r="AZ164" s="96">
        <v>62.599999999999994</v>
      </c>
      <c r="BA164" s="96"/>
      <c r="BB164" s="96">
        <v>60</v>
      </c>
      <c r="BC164" s="96"/>
      <c r="BD164" s="97">
        <v>127.85</v>
      </c>
      <c r="BE164" s="142">
        <f t="shared" si="74"/>
        <v>15881</v>
      </c>
      <c r="BF164" s="98">
        <v>803</v>
      </c>
      <c r="BG164" s="98">
        <v>3539</v>
      </c>
      <c r="BH164" s="98">
        <v>7661</v>
      </c>
      <c r="BI164" s="98">
        <v>3878</v>
      </c>
      <c r="BJ164" s="98"/>
      <c r="BK164" s="98"/>
      <c r="BL164" s="97"/>
    </row>
    <row r="165" spans="1:64" outlineLevel="5" x14ac:dyDescent="0.3">
      <c r="A165" s="152">
        <f t="shared" si="76"/>
        <v>5</v>
      </c>
      <c r="B165" s="153">
        <f t="shared" si="75"/>
        <v>45058</v>
      </c>
      <c r="C165" s="138">
        <f t="shared" si="65"/>
        <v>37.5</v>
      </c>
      <c r="D165" s="84">
        <v>37.9</v>
      </c>
      <c r="E165" s="84">
        <v>37</v>
      </c>
      <c r="F165" s="84"/>
      <c r="G165" s="84"/>
      <c r="H165" s="84"/>
      <c r="I165" s="84"/>
      <c r="J165" s="84"/>
      <c r="K165" s="84"/>
      <c r="L165" s="140" t="str">
        <f t="shared" si="66"/>
        <v/>
      </c>
      <c r="M165" s="86"/>
      <c r="N165" s="86"/>
      <c r="O165" s="86"/>
      <c r="P165" s="86"/>
      <c r="Q165" s="86"/>
      <c r="R165" s="86"/>
      <c r="S165" s="86"/>
      <c r="T165" s="86"/>
      <c r="U165" s="142" t="str">
        <f t="shared" si="67"/>
        <v/>
      </c>
      <c r="V165" s="88"/>
      <c r="W165" s="88"/>
      <c r="X165" s="88"/>
      <c r="Y165" s="88"/>
      <c r="Z165" s="88"/>
      <c r="AA165" s="88"/>
      <c r="AB165" s="88"/>
      <c r="AC165" s="88"/>
      <c r="AD165" s="142" t="str">
        <f t="shared" si="68"/>
        <v/>
      </c>
      <c r="AE165" s="88"/>
      <c r="AF165" s="88"/>
      <c r="AG165" s="88"/>
      <c r="AH165" s="88"/>
      <c r="AI165" s="88"/>
      <c r="AJ165" s="88"/>
      <c r="AK165" s="88"/>
      <c r="AL165" s="88"/>
      <c r="AM165" s="88">
        <v>42.301487721813949</v>
      </c>
      <c r="AN165" s="88">
        <v>111.58</v>
      </c>
      <c r="AO165" s="89"/>
      <c r="AP165" s="90"/>
      <c r="AQ165" s="146" t="str">
        <f t="shared" si="69"/>
        <v/>
      </c>
      <c r="AR165" s="146" t="str">
        <f t="shared" si="70"/>
        <v/>
      </c>
      <c r="AS165" s="147">
        <v>20</v>
      </c>
      <c r="AT165" s="148"/>
      <c r="AU165" s="149"/>
      <c r="AV165" s="146" t="str">
        <f t="shared" si="71"/>
        <v/>
      </c>
      <c r="AW165" s="146" t="str">
        <f t="shared" si="72"/>
        <v/>
      </c>
      <c r="AX165" s="138" t="str">
        <f t="shared" si="73"/>
        <v/>
      </c>
      <c r="AY165" s="95"/>
      <c r="AZ165" s="96">
        <v>63.444999999999993</v>
      </c>
      <c r="BA165" s="96"/>
      <c r="BB165" s="96">
        <v>60.5</v>
      </c>
      <c r="BC165" s="96"/>
      <c r="BD165" s="97">
        <v>111.58</v>
      </c>
      <c r="BE165" s="142">
        <f t="shared" si="74"/>
        <v>16143</v>
      </c>
      <c r="BF165" s="98">
        <v>780</v>
      </c>
      <c r="BG165" s="98">
        <v>2052</v>
      </c>
      <c r="BH165" s="98">
        <v>7151</v>
      </c>
      <c r="BI165" s="98">
        <v>6160</v>
      </c>
      <c r="BJ165" s="98"/>
      <c r="BK165" s="98"/>
      <c r="BL165" s="97"/>
    </row>
    <row r="166" spans="1:64" outlineLevel="5" x14ac:dyDescent="0.3">
      <c r="A166" s="152">
        <f t="shared" si="76"/>
        <v>5</v>
      </c>
      <c r="B166" s="153">
        <f t="shared" si="75"/>
        <v>45059</v>
      </c>
      <c r="C166" s="138">
        <f t="shared" si="65"/>
        <v>38.299999999999997</v>
      </c>
      <c r="D166" s="84">
        <v>38.9</v>
      </c>
      <c r="E166" s="84">
        <v>37.6</v>
      </c>
      <c r="F166" s="84"/>
      <c r="G166" s="84"/>
      <c r="H166" s="84"/>
      <c r="I166" s="84"/>
      <c r="J166" s="84"/>
      <c r="K166" s="84"/>
      <c r="L166" s="140" t="str">
        <f t="shared" si="66"/>
        <v/>
      </c>
      <c r="M166" s="86"/>
      <c r="N166" s="86"/>
      <c r="O166" s="86"/>
      <c r="P166" s="86"/>
      <c r="Q166" s="86"/>
      <c r="R166" s="86"/>
      <c r="S166" s="86"/>
      <c r="T166" s="86"/>
      <c r="U166" s="142" t="str">
        <f t="shared" si="67"/>
        <v/>
      </c>
      <c r="V166" s="88"/>
      <c r="W166" s="88"/>
      <c r="X166" s="88"/>
      <c r="Y166" s="88"/>
      <c r="Z166" s="88"/>
      <c r="AA166" s="88"/>
      <c r="AB166" s="88"/>
      <c r="AC166" s="88"/>
      <c r="AD166" s="142" t="str">
        <f t="shared" si="68"/>
        <v/>
      </c>
      <c r="AE166" s="88"/>
      <c r="AF166" s="88"/>
      <c r="AG166" s="88"/>
      <c r="AH166" s="88"/>
      <c r="AI166" s="88"/>
      <c r="AJ166" s="88"/>
      <c r="AK166" s="88"/>
      <c r="AL166" s="88"/>
      <c r="AM166" s="88">
        <v>40.752892419271284</v>
      </c>
      <c r="AN166" s="88">
        <v>115.82</v>
      </c>
      <c r="AO166" s="89"/>
      <c r="AP166" s="90"/>
      <c r="AQ166" s="146" t="str">
        <f t="shared" si="69"/>
        <v/>
      </c>
      <c r="AR166" s="146" t="str">
        <f t="shared" si="70"/>
        <v/>
      </c>
      <c r="AS166" s="147">
        <v>10</v>
      </c>
      <c r="AT166" s="148"/>
      <c r="AU166" s="149"/>
      <c r="AV166" s="146" t="str">
        <f t="shared" si="71"/>
        <v/>
      </c>
      <c r="AW166" s="146" t="str">
        <f t="shared" si="72"/>
        <v/>
      </c>
      <c r="AX166" s="138" t="str">
        <f t="shared" si="73"/>
        <v/>
      </c>
      <c r="AY166" s="95"/>
      <c r="AZ166" s="96"/>
      <c r="BA166" s="96"/>
      <c r="BB166" s="96"/>
      <c r="BC166" s="96"/>
      <c r="BD166" s="97">
        <v>115.82</v>
      </c>
      <c r="BE166" s="142">
        <f t="shared" si="74"/>
        <v>13964</v>
      </c>
      <c r="BF166" s="98">
        <v>741</v>
      </c>
      <c r="BG166" s="98">
        <v>111</v>
      </c>
      <c r="BH166" s="98">
        <v>7404</v>
      </c>
      <c r="BI166" s="98">
        <v>5708</v>
      </c>
      <c r="BJ166" s="98"/>
      <c r="BK166" s="98"/>
      <c r="BL166" s="97"/>
    </row>
    <row r="167" spans="1:64" outlineLevel="5" x14ac:dyDescent="0.3">
      <c r="A167" s="152">
        <f t="shared" si="76"/>
        <v>5</v>
      </c>
      <c r="B167" s="153">
        <f t="shared" si="75"/>
        <v>45060</v>
      </c>
      <c r="C167" s="138">
        <f t="shared" si="65"/>
        <v>36.700000000000003</v>
      </c>
      <c r="D167" s="84">
        <v>36.799999999999997</v>
      </c>
      <c r="E167" s="84">
        <v>36.5</v>
      </c>
      <c r="F167" s="84"/>
      <c r="G167" s="84"/>
      <c r="H167" s="84"/>
      <c r="I167" s="84"/>
      <c r="J167" s="84"/>
      <c r="K167" s="84"/>
      <c r="L167" s="140" t="str">
        <f t="shared" si="66"/>
        <v/>
      </c>
      <c r="M167" s="86"/>
      <c r="N167" s="86"/>
      <c r="O167" s="86"/>
      <c r="P167" s="86"/>
      <c r="Q167" s="86"/>
      <c r="R167" s="86"/>
      <c r="S167" s="86"/>
      <c r="T167" s="86"/>
      <c r="U167" s="142" t="str">
        <f t="shared" si="67"/>
        <v/>
      </c>
      <c r="V167" s="88"/>
      <c r="W167" s="88"/>
      <c r="X167" s="88"/>
      <c r="Y167" s="88"/>
      <c r="Z167" s="88"/>
      <c r="AA167" s="88"/>
      <c r="AB167" s="88"/>
      <c r="AC167" s="88"/>
      <c r="AD167" s="142" t="str">
        <f t="shared" si="68"/>
        <v/>
      </c>
      <c r="AE167" s="88"/>
      <c r="AF167" s="88"/>
      <c r="AG167" s="88"/>
      <c r="AH167" s="88"/>
      <c r="AI167" s="88"/>
      <c r="AJ167" s="88"/>
      <c r="AK167" s="88"/>
      <c r="AL167" s="88"/>
      <c r="AM167" s="88">
        <v>42.909090909090907</v>
      </c>
      <c r="AN167" s="88">
        <v>110</v>
      </c>
      <c r="AO167" s="89"/>
      <c r="AP167" s="90"/>
      <c r="AQ167" s="146" t="str">
        <f t="shared" si="69"/>
        <v/>
      </c>
      <c r="AR167" s="146" t="str">
        <f t="shared" si="70"/>
        <v/>
      </c>
      <c r="AS167" s="147">
        <v>10</v>
      </c>
      <c r="AT167" s="148"/>
      <c r="AU167" s="149"/>
      <c r="AV167" s="146" t="str">
        <f t="shared" si="71"/>
        <v/>
      </c>
      <c r="AW167" s="146" t="str">
        <f t="shared" si="72"/>
        <v/>
      </c>
      <c r="AX167" s="138" t="str">
        <f t="shared" si="73"/>
        <v/>
      </c>
      <c r="AY167" s="95"/>
      <c r="AZ167" s="96"/>
      <c r="BA167" s="96"/>
      <c r="BB167" s="96"/>
      <c r="BC167" s="96"/>
      <c r="BD167" s="97">
        <v>110</v>
      </c>
      <c r="BE167" s="142">
        <f t="shared" si="74"/>
        <v>12145</v>
      </c>
      <c r="BF167" s="98">
        <v>1222</v>
      </c>
      <c r="BG167" s="98">
        <v>0</v>
      </c>
      <c r="BH167" s="98">
        <v>5068</v>
      </c>
      <c r="BI167" s="98">
        <v>5855</v>
      </c>
      <c r="BJ167" s="98"/>
      <c r="BK167" s="98"/>
      <c r="BL167" s="97"/>
    </row>
    <row r="168" spans="1:64" outlineLevel="5" x14ac:dyDescent="0.3">
      <c r="A168" s="152">
        <f t="shared" si="76"/>
        <v>5</v>
      </c>
      <c r="B168" s="153">
        <f t="shared" si="75"/>
        <v>45061</v>
      </c>
      <c r="C168" s="138">
        <f t="shared" si="65"/>
        <v>38</v>
      </c>
      <c r="D168" s="84">
        <v>38</v>
      </c>
      <c r="E168" s="84">
        <v>38</v>
      </c>
      <c r="F168" s="84"/>
      <c r="G168" s="84"/>
      <c r="H168" s="84"/>
      <c r="I168" s="84"/>
      <c r="J168" s="84"/>
      <c r="K168" s="84"/>
      <c r="L168" s="140">
        <f t="shared" si="66"/>
        <v>8.3000000000000007</v>
      </c>
      <c r="M168" s="86">
        <v>8.33</v>
      </c>
      <c r="N168" s="86">
        <v>8.3000000000000007</v>
      </c>
      <c r="O168" s="86"/>
      <c r="P168" s="86"/>
      <c r="Q168" s="86"/>
      <c r="R168" s="86"/>
      <c r="S168" s="86"/>
      <c r="T168" s="86"/>
      <c r="U168" s="142">
        <f t="shared" si="67"/>
        <v>1189.5</v>
      </c>
      <c r="V168" s="88">
        <v>1168</v>
      </c>
      <c r="W168" s="88">
        <v>1211</v>
      </c>
      <c r="X168" s="88"/>
      <c r="Y168" s="88"/>
      <c r="Z168" s="88"/>
      <c r="AA168" s="88"/>
      <c r="AB168" s="88"/>
      <c r="AC168" s="88"/>
      <c r="AD168" s="142" t="str">
        <f t="shared" si="68"/>
        <v/>
      </c>
      <c r="AE168" s="88"/>
      <c r="AF168" s="88"/>
      <c r="AG168" s="88"/>
      <c r="AH168" s="88"/>
      <c r="AI168" s="88"/>
      <c r="AJ168" s="88"/>
      <c r="AK168" s="88"/>
      <c r="AL168" s="88"/>
      <c r="AM168" s="88">
        <v>43.430253956569743</v>
      </c>
      <c r="AN168" s="88">
        <v>108.68</v>
      </c>
      <c r="AO168" s="89"/>
      <c r="AP168" s="90"/>
      <c r="AQ168" s="146" t="str">
        <f t="shared" si="69"/>
        <v/>
      </c>
      <c r="AR168" s="146" t="str">
        <f t="shared" si="70"/>
        <v/>
      </c>
      <c r="AS168" s="147">
        <v>40</v>
      </c>
      <c r="AT168" s="148">
        <v>14.25</v>
      </c>
      <c r="AU168" s="149">
        <v>8.6501999999999981</v>
      </c>
      <c r="AV168" s="146">
        <f t="shared" si="71"/>
        <v>60.703157894736826</v>
      </c>
      <c r="AW168" s="146">
        <f t="shared" si="72"/>
        <v>39.296842105263174</v>
      </c>
      <c r="AX168" s="138" t="str">
        <f t="shared" si="73"/>
        <v/>
      </c>
      <c r="AY168" s="95">
        <v>72.95</v>
      </c>
      <c r="AZ168" s="96">
        <v>60.555000000000007</v>
      </c>
      <c r="BA168" s="96"/>
      <c r="BB168" s="96">
        <v>50.5</v>
      </c>
      <c r="BC168" s="96"/>
      <c r="BD168" s="97">
        <v>108.68</v>
      </c>
      <c r="BE168" s="142">
        <f t="shared" si="74"/>
        <v>13357</v>
      </c>
      <c r="BF168" s="98">
        <v>700</v>
      </c>
      <c r="BG168" s="98">
        <v>1622</v>
      </c>
      <c r="BH168" s="98">
        <v>5517</v>
      </c>
      <c r="BI168" s="98">
        <v>5518</v>
      </c>
      <c r="BJ168" s="98"/>
      <c r="BK168" s="98"/>
      <c r="BL168" s="97"/>
    </row>
    <row r="169" spans="1:64" outlineLevel="5" x14ac:dyDescent="0.3">
      <c r="A169" s="152">
        <f t="shared" si="76"/>
        <v>5</v>
      </c>
      <c r="B169" s="153">
        <f t="shared" si="75"/>
        <v>45062</v>
      </c>
      <c r="C169" s="138">
        <f t="shared" si="65"/>
        <v>37.799999999999997</v>
      </c>
      <c r="D169" s="84">
        <v>37.9</v>
      </c>
      <c r="E169" s="84">
        <v>37.700000000000003</v>
      </c>
      <c r="F169" s="84"/>
      <c r="G169" s="84"/>
      <c r="H169" s="84"/>
      <c r="I169" s="84"/>
      <c r="J169" s="84"/>
      <c r="K169" s="84"/>
      <c r="L169" s="140" t="str">
        <f t="shared" si="66"/>
        <v/>
      </c>
      <c r="M169" s="86"/>
      <c r="N169" s="86"/>
      <c r="O169" s="86"/>
      <c r="P169" s="86"/>
      <c r="Q169" s="86"/>
      <c r="R169" s="86"/>
      <c r="S169" s="86"/>
      <c r="T169" s="86"/>
      <c r="U169" s="142" t="str">
        <f t="shared" si="67"/>
        <v/>
      </c>
      <c r="V169" s="88"/>
      <c r="W169" s="88"/>
      <c r="X169" s="88"/>
      <c r="Y169" s="88"/>
      <c r="Z169" s="88"/>
      <c r="AA169" s="88"/>
      <c r="AB169" s="88"/>
      <c r="AC169" s="88"/>
      <c r="AD169" s="142" t="str">
        <f t="shared" si="68"/>
        <v/>
      </c>
      <c r="AE169" s="88"/>
      <c r="AF169" s="88"/>
      <c r="AG169" s="88"/>
      <c r="AH169" s="88"/>
      <c r="AI169" s="88"/>
      <c r="AJ169" s="88"/>
      <c r="AK169" s="88"/>
      <c r="AL169" s="88"/>
      <c r="AM169" s="88">
        <v>31.60573188696933</v>
      </c>
      <c r="AN169" s="88">
        <v>149.34</v>
      </c>
      <c r="AO169" s="89"/>
      <c r="AP169" s="90"/>
      <c r="AQ169" s="146" t="str">
        <f t="shared" si="69"/>
        <v/>
      </c>
      <c r="AR169" s="146" t="str">
        <f t="shared" si="70"/>
        <v/>
      </c>
      <c r="AS169" s="147">
        <v>40</v>
      </c>
      <c r="AT169" s="148"/>
      <c r="AU169" s="149"/>
      <c r="AV169" s="146" t="str">
        <f t="shared" si="71"/>
        <v/>
      </c>
      <c r="AW169" s="146" t="str">
        <f t="shared" si="72"/>
        <v/>
      </c>
      <c r="AX169" s="138" t="str">
        <f t="shared" si="73"/>
        <v/>
      </c>
      <c r="AY169" s="95"/>
      <c r="AZ169" s="96">
        <v>59.914999999999999</v>
      </c>
      <c r="BA169" s="96"/>
      <c r="BB169" s="96">
        <v>52.5</v>
      </c>
      <c r="BC169" s="96"/>
      <c r="BD169" s="97">
        <v>149.34</v>
      </c>
      <c r="BE169" s="142">
        <f t="shared" si="74"/>
        <v>16794</v>
      </c>
      <c r="BF169" s="98">
        <v>0</v>
      </c>
      <c r="BG169" s="98">
        <v>4317</v>
      </c>
      <c r="BH169" s="98">
        <v>6484</v>
      </c>
      <c r="BI169" s="98">
        <v>5993</v>
      </c>
      <c r="BJ169" s="98"/>
      <c r="BK169" s="98"/>
      <c r="BL169" s="97"/>
    </row>
    <row r="170" spans="1:64" outlineLevel="5" x14ac:dyDescent="0.3">
      <c r="A170" s="152">
        <f t="shared" si="76"/>
        <v>5</v>
      </c>
      <c r="B170" s="153">
        <f t="shared" si="75"/>
        <v>45063</v>
      </c>
      <c r="C170" s="138">
        <f t="shared" si="65"/>
        <v>37.799999999999997</v>
      </c>
      <c r="D170" s="84">
        <v>37.799999999999997</v>
      </c>
      <c r="E170" s="84">
        <v>37.700000000000003</v>
      </c>
      <c r="F170" s="84"/>
      <c r="G170" s="84"/>
      <c r="H170" s="84"/>
      <c r="I170" s="84"/>
      <c r="J170" s="84"/>
      <c r="K170" s="84"/>
      <c r="L170" s="140">
        <f t="shared" si="66"/>
        <v>8.3000000000000007</v>
      </c>
      <c r="M170" s="86">
        <v>8.24</v>
      </c>
      <c r="N170" s="86">
        <v>8.26</v>
      </c>
      <c r="O170" s="86"/>
      <c r="P170" s="86"/>
      <c r="Q170" s="86"/>
      <c r="R170" s="86"/>
      <c r="S170" s="86"/>
      <c r="T170" s="86"/>
      <c r="U170" s="142">
        <f t="shared" si="67"/>
        <v>1276.5</v>
      </c>
      <c r="V170" s="88">
        <v>1256</v>
      </c>
      <c r="W170" s="88">
        <v>1297</v>
      </c>
      <c r="X170" s="88"/>
      <c r="Y170" s="88"/>
      <c r="Z170" s="88"/>
      <c r="AA170" s="88"/>
      <c r="AB170" s="88"/>
      <c r="AC170" s="88"/>
      <c r="AD170" s="142" t="str">
        <f t="shared" si="68"/>
        <v/>
      </c>
      <c r="AE170" s="88"/>
      <c r="AF170" s="88"/>
      <c r="AG170" s="88"/>
      <c r="AH170" s="88"/>
      <c r="AI170" s="88"/>
      <c r="AJ170" s="88"/>
      <c r="AK170" s="88"/>
      <c r="AL170" s="88"/>
      <c r="AM170" s="88">
        <v>44.240322429468556</v>
      </c>
      <c r="AN170" s="88">
        <v>106.69</v>
      </c>
      <c r="AO170" s="89"/>
      <c r="AP170" s="90"/>
      <c r="AQ170" s="146" t="str">
        <f t="shared" si="69"/>
        <v/>
      </c>
      <c r="AR170" s="146" t="str">
        <f t="shared" si="70"/>
        <v/>
      </c>
      <c r="AS170" s="147">
        <v>42</v>
      </c>
      <c r="AT170" s="148">
        <v>14.3</v>
      </c>
      <c r="AU170" s="149">
        <v>8.2830500000000011</v>
      </c>
      <c r="AV170" s="146">
        <f t="shared" si="71"/>
        <v>57.923426573426575</v>
      </c>
      <c r="AW170" s="146">
        <f t="shared" si="72"/>
        <v>42.076573426573425</v>
      </c>
      <c r="AX170" s="138" t="str">
        <f t="shared" si="73"/>
        <v/>
      </c>
      <c r="AY170" s="95">
        <v>74.400000000000006</v>
      </c>
      <c r="AZ170" s="96">
        <v>61.32</v>
      </c>
      <c r="BA170" s="96"/>
      <c r="BB170" s="96">
        <v>75</v>
      </c>
      <c r="BC170" s="96"/>
      <c r="BD170" s="97">
        <v>106.69</v>
      </c>
      <c r="BE170" s="142">
        <f t="shared" si="74"/>
        <v>17202</v>
      </c>
      <c r="BF170" s="98">
        <v>478</v>
      </c>
      <c r="BG170" s="98">
        <v>4048</v>
      </c>
      <c r="BH170" s="98">
        <v>6584</v>
      </c>
      <c r="BI170" s="98">
        <v>6092</v>
      </c>
      <c r="BJ170" s="98"/>
      <c r="BK170" s="98"/>
      <c r="BL170" s="97"/>
    </row>
    <row r="171" spans="1:64" outlineLevel="5" x14ac:dyDescent="0.3">
      <c r="A171" s="152">
        <f t="shared" si="76"/>
        <v>5</v>
      </c>
      <c r="B171" s="153">
        <f t="shared" si="75"/>
        <v>45064</v>
      </c>
      <c r="C171" s="138">
        <f t="shared" si="65"/>
        <v>37.700000000000003</v>
      </c>
      <c r="D171" s="84">
        <v>37.700000000000003</v>
      </c>
      <c r="E171" s="84">
        <v>37.6</v>
      </c>
      <c r="F171" s="84"/>
      <c r="G171" s="84"/>
      <c r="H171" s="84"/>
      <c r="I171" s="84"/>
      <c r="J171" s="84"/>
      <c r="K171" s="84"/>
      <c r="L171" s="140">
        <f t="shared" si="66"/>
        <v>8.1999999999999993</v>
      </c>
      <c r="M171" s="86">
        <v>8.2200000000000006</v>
      </c>
      <c r="N171" s="86">
        <v>8.18</v>
      </c>
      <c r="O171" s="86"/>
      <c r="P171" s="86"/>
      <c r="Q171" s="86"/>
      <c r="R171" s="86"/>
      <c r="S171" s="86"/>
      <c r="T171" s="86"/>
      <c r="U171" s="142">
        <f t="shared" si="67"/>
        <v>1318.5</v>
      </c>
      <c r="V171" s="88">
        <v>1352</v>
      </c>
      <c r="W171" s="88">
        <v>1285</v>
      </c>
      <c r="X171" s="88"/>
      <c r="Y171" s="88"/>
      <c r="Z171" s="88"/>
      <c r="AA171" s="88"/>
      <c r="AB171" s="88"/>
      <c r="AC171" s="88"/>
      <c r="AD171" s="142" t="str">
        <f t="shared" si="68"/>
        <v/>
      </c>
      <c r="AE171" s="88"/>
      <c r="AF171" s="88"/>
      <c r="AG171" s="88"/>
      <c r="AH171" s="88"/>
      <c r="AI171" s="88"/>
      <c r="AJ171" s="88"/>
      <c r="AK171" s="88"/>
      <c r="AL171" s="88"/>
      <c r="AM171" s="88">
        <v>38.863729930012354</v>
      </c>
      <c r="AN171" s="88">
        <v>121.44999999999999</v>
      </c>
      <c r="AO171" s="89"/>
      <c r="AP171" s="90"/>
      <c r="AQ171" s="146" t="str">
        <f t="shared" si="69"/>
        <v/>
      </c>
      <c r="AR171" s="146" t="str">
        <f t="shared" si="70"/>
        <v/>
      </c>
      <c r="AS171" s="147">
        <v>45</v>
      </c>
      <c r="AT171" s="148">
        <v>14.399999999999999</v>
      </c>
      <c r="AU171" s="149">
        <v>7.8477999999999994</v>
      </c>
      <c r="AV171" s="146">
        <f t="shared" si="71"/>
        <v>54.498611111111117</v>
      </c>
      <c r="AW171" s="146">
        <f t="shared" si="72"/>
        <v>45.501388888888883</v>
      </c>
      <c r="AX171" s="138" t="str">
        <f t="shared" si="73"/>
        <v/>
      </c>
      <c r="AY171" s="95">
        <v>75.150000000000006</v>
      </c>
      <c r="AZ171" s="96">
        <v>62.085000000000001</v>
      </c>
      <c r="BA171" s="96"/>
      <c r="BB171" s="96">
        <v>59</v>
      </c>
      <c r="BC171" s="96"/>
      <c r="BD171" s="97">
        <v>121.44999999999999</v>
      </c>
      <c r="BE171" s="142">
        <f t="shared" si="74"/>
        <v>17203</v>
      </c>
      <c r="BF171" s="98">
        <v>72</v>
      </c>
      <c r="BG171" s="98">
        <v>4070</v>
      </c>
      <c r="BH171" s="98">
        <v>6952</v>
      </c>
      <c r="BI171" s="98">
        <v>6109</v>
      </c>
      <c r="BJ171" s="98"/>
      <c r="BK171" s="98"/>
      <c r="BL171" s="97"/>
    </row>
    <row r="172" spans="1:64" outlineLevel="5" x14ac:dyDescent="0.3">
      <c r="A172" s="152">
        <f t="shared" si="76"/>
        <v>5</v>
      </c>
      <c r="B172" s="153">
        <f t="shared" si="75"/>
        <v>45065</v>
      </c>
      <c r="C172" s="138">
        <f t="shared" si="65"/>
        <v>37.4</v>
      </c>
      <c r="D172" s="84">
        <v>37.5</v>
      </c>
      <c r="E172" s="84">
        <v>37.299999999999997</v>
      </c>
      <c r="F172" s="84"/>
      <c r="G172" s="84"/>
      <c r="H172" s="84"/>
      <c r="I172" s="84"/>
      <c r="J172" s="84"/>
      <c r="K172" s="84"/>
      <c r="L172" s="140" t="str">
        <f t="shared" si="66"/>
        <v/>
      </c>
      <c r="M172" s="86"/>
      <c r="N172" s="86"/>
      <c r="O172" s="86"/>
      <c r="P172" s="86"/>
      <c r="Q172" s="86"/>
      <c r="R172" s="86"/>
      <c r="S172" s="86"/>
      <c r="T172" s="86"/>
      <c r="U172" s="142" t="str">
        <f t="shared" si="67"/>
        <v/>
      </c>
      <c r="V172" s="88"/>
      <c r="W172" s="88"/>
      <c r="X172" s="88"/>
      <c r="Y172" s="88"/>
      <c r="Z172" s="88"/>
      <c r="AA172" s="88"/>
      <c r="AB172" s="88"/>
      <c r="AC172" s="88"/>
      <c r="AD172" s="142" t="str">
        <f t="shared" si="68"/>
        <v/>
      </c>
      <c r="AE172" s="88"/>
      <c r="AF172" s="88"/>
      <c r="AG172" s="88"/>
      <c r="AH172" s="88"/>
      <c r="AI172" s="88"/>
      <c r="AJ172" s="88"/>
      <c r="AK172" s="88"/>
      <c r="AL172" s="88"/>
      <c r="AM172" s="88">
        <v>38.30546989125142</v>
      </c>
      <c r="AN172" s="88">
        <v>123.22</v>
      </c>
      <c r="AO172" s="89"/>
      <c r="AP172" s="90"/>
      <c r="AQ172" s="146" t="str">
        <f t="shared" si="69"/>
        <v/>
      </c>
      <c r="AR172" s="146" t="str">
        <f t="shared" si="70"/>
        <v/>
      </c>
      <c r="AS172" s="147">
        <v>40</v>
      </c>
      <c r="AT172" s="148"/>
      <c r="AU172" s="149"/>
      <c r="AV172" s="146" t="str">
        <f t="shared" si="71"/>
        <v/>
      </c>
      <c r="AW172" s="146" t="str">
        <f t="shared" si="72"/>
        <v/>
      </c>
      <c r="AX172" s="138" t="str">
        <f t="shared" si="73"/>
        <v/>
      </c>
      <c r="AY172" s="95"/>
      <c r="AZ172" s="96">
        <v>63.980000000000004</v>
      </c>
      <c r="BA172" s="96"/>
      <c r="BB172" s="96">
        <v>52.5</v>
      </c>
      <c r="BC172" s="96"/>
      <c r="BD172" s="97">
        <v>123.22</v>
      </c>
      <c r="BE172" s="142">
        <f t="shared" si="74"/>
        <v>15887</v>
      </c>
      <c r="BF172" s="98">
        <v>0</v>
      </c>
      <c r="BG172" s="98">
        <v>3602</v>
      </c>
      <c r="BH172" s="98">
        <v>6151</v>
      </c>
      <c r="BI172" s="98">
        <v>6134</v>
      </c>
      <c r="BJ172" s="98"/>
      <c r="BK172" s="98"/>
      <c r="BL172" s="97"/>
    </row>
    <row r="173" spans="1:64" outlineLevel="5" x14ac:dyDescent="0.3">
      <c r="A173" s="152">
        <f t="shared" si="76"/>
        <v>5</v>
      </c>
      <c r="B173" s="153">
        <f t="shared" si="75"/>
        <v>45066</v>
      </c>
      <c r="C173" s="138">
        <f t="shared" si="65"/>
        <v>37.1</v>
      </c>
      <c r="D173" s="84">
        <v>37.200000000000003</v>
      </c>
      <c r="E173" s="84">
        <v>36.9</v>
      </c>
      <c r="F173" s="84"/>
      <c r="G173" s="84"/>
      <c r="H173" s="84"/>
      <c r="I173" s="84"/>
      <c r="J173" s="84"/>
      <c r="K173" s="84"/>
      <c r="L173" s="140" t="str">
        <f t="shared" si="66"/>
        <v/>
      </c>
      <c r="M173" s="86"/>
      <c r="N173" s="86"/>
      <c r="O173" s="86"/>
      <c r="P173" s="86"/>
      <c r="Q173" s="86"/>
      <c r="R173" s="86"/>
      <c r="S173" s="86"/>
      <c r="T173" s="86"/>
      <c r="U173" s="142" t="str">
        <f t="shared" si="67"/>
        <v/>
      </c>
      <c r="V173" s="88"/>
      <c r="W173" s="88"/>
      <c r="X173" s="88"/>
      <c r="Y173" s="88"/>
      <c r="Z173" s="88"/>
      <c r="AA173" s="88"/>
      <c r="AB173" s="88"/>
      <c r="AC173" s="88"/>
      <c r="AD173" s="142" t="str">
        <f t="shared" si="68"/>
        <v/>
      </c>
      <c r="AE173" s="88"/>
      <c r="AF173" s="88"/>
      <c r="AG173" s="88"/>
      <c r="AH173" s="88"/>
      <c r="AI173" s="88"/>
      <c r="AJ173" s="88"/>
      <c r="AK173" s="88"/>
      <c r="AL173" s="88"/>
      <c r="AM173" s="88">
        <v>44.722380140231195</v>
      </c>
      <c r="AN173" s="88">
        <v>105.53999999999999</v>
      </c>
      <c r="AO173" s="89"/>
      <c r="AP173" s="90"/>
      <c r="AQ173" s="146" t="str">
        <f t="shared" si="69"/>
        <v/>
      </c>
      <c r="AR173" s="146" t="str">
        <f t="shared" si="70"/>
        <v/>
      </c>
      <c r="AS173" s="147">
        <v>10</v>
      </c>
      <c r="AT173" s="148"/>
      <c r="AU173" s="149"/>
      <c r="AV173" s="146" t="str">
        <f t="shared" si="71"/>
        <v/>
      </c>
      <c r="AW173" s="146" t="str">
        <f t="shared" si="72"/>
        <v/>
      </c>
      <c r="AX173" s="138" t="str">
        <f t="shared" si="73"/>
        <v/>
      </c>
      <c r="AY173" s="95"/>
      <c r="AZ173" s="96"/>
      <c r="BA173" s="96"/>
      <c r="BB173" s="96"/>
      <c r="BC173" s="96"/>
      <c r="BD173" s="97">
        <v>105.53999999999999</v>
      </c>
      <c r="BE173" s="142">
        <f t="shared" si="74"/>
        <v>13015</v>
      </c>
      <c r="BF173" s="98">
        <v>0</v>
      </c>
      <c r="BG173" s="98">
        <v>4214</v>
      </c>
      <c r="BH173" s="98">
        <v>2698</v>
      </c>
      <c r="BI173" s="98">
        <v>6103</v>
      </c>
      <c r="BJ173" s="98"/>
      <c r="BK173" s="98"/>
      <c r="BL173" s="97"/>
    </row>
    <row r="174" spans="1:64" outlineLevel="5" x14ac:dyDescent="0.3">
      <c r="A174" s="152">
        <f t="shared" si="76"/>
        <v>5</v>
      </c>
      <c r="B174" s="153">
        <f t="shared" si="75"/>
        <v>45067</v>
      </c>
      <c r="C174" s="138">
        <f t="shared" si="65"/>
        <v>37.1</v>
      </c>
      <c r="D174" s="84">
        <v>37.200000000000003</v>
      </c>
      <c r="E174" s="84">
        <v>37</v>
      </c>
      <c r="F174" s="84"/>
      <c r="G174" s="84"/>
      <c r="H174" s="84"/>
      <c r="I174" s="84"/>
      <c r="J174" s="84"/>
      <c r="K174" s="84"/>
      <c r="L174" s="140" t="str">
        <f t="shared" si="66"/>
        <v/>
      </c>
      <c r="M174" s="86"/>
      <c r="N174" s="86"/>
      <c r="O174" s="86"/>
      <c r="P174" s="86"/>
      <c r="Q174" s="86"/>
      <c r="R174" s="86"/>
      <c r="S174" s="86"/>
      <c r="T174" s="86"/>
      <c r="U174" s="142" t="str">
        <f t="shared" si="67"/>
        <v/>
      </c>
      <c r="V174" s="88"/>
      <c r="W174" s="88"/>
      <c r="X174" s="88"/>
      <c r="Y174" s="88"/>
      <c r="Z174" s="88"/>
      <c r="AA174" s="88"/>
      <c r="AB174" s="88"/>
      <c r="AC174" s="88"/>
      <c r="AD174" s="142" t="str">
        <f t="shared" si="68"/>
        <v/>
      </c>
      <c r="AE174" s="88"/>
      <c r="AF174" s="88"/>
      <c r="AG174" s="88"/>
      <c r="AH174" s="88"/>
      <c r="AI174" s="88"/>
      <c r="AJ174" s="88"/>
      <c r="AK174" s="88"/>
      <c r="AL174" s="88"/>
      <c r="AM174" s="88">
        <v>47.2</v>
      </c>
      <c r="AN174" s="88">
        <v>100</v>
      </c>
      <c r="AO174" s="89"/>
      <c r="AP174" s="90"/>
      <c r="AQ174" s="146" t="str">
        <f t="shared" si="69"/>
        <v/>
      </c>
      <c r="AR174" s="146" t="str">
        <f t="shared" si="70"/>
        <v/>
      </c>
      <c r="AS174" s="147">
        <v>13</v>
      </c>
      <c r="AT174" s="148"/>
      <c r="AU174" s="149"/>
      <c r="AV174" s="146" t="str">
        <f t="shared" si="71"/>
        <v/>
      </c>
      <c r="AW174" s="146" t="str">
        <f t="shared" si="72"/>
        <v/>
      </c>
      <c r="AX174" s="138" t="str">
        <f t="shared" si="73"/>
        <v/>
      </c>
      <c r="AY174" s="95"/>
      <c r="AZ174" s="96"/>
      <c r="BA174" s="96"/>
      <c r="BB174" s="96"/>
      <c r="BC174" s="96"/>
      <c r="BD174" s="97">
        <v>100</v>
      </c>
      <c r="BE174" s="142">
        <f t="shared" si="74"/>
        <v>7693</v>
      </c>
      <c r="BF174" s="98">
        <v>0</v>
      </c>
      <c r="BG174" s="98">
        <v>2279</v>
      </c>
      <c r="BH174" s="98">
        <v>670</v>
      </c>
      <c r="BI174" s="98">
        <v>4744</v>
      </c>
      <c r="BJ174" s="98"/>
      <c r="BK174" s="98"/>
      <c r="BL174" s="97"/>
    </row>
    <row r="175" spans="1:64" outlineLevel="5" x14ac:dyDescent="0.3">
      <c r="A175" s="152">
        <f t="shared" si="76"/>
        <v>5</v>
      </c>
      <c r="B175" s="153">
        <f t="shared" si="75"/>
        <v>45068</v>
      </c>
      <c r="C175" s="138">
        <f t="shared" si="65"/>
        <v>36.299999999999997</v>
      </c>
      <c r="D175" s="84">
        <v>36.299999999999997</v>
      </c>
      <c r="E175" s="84">
        <v>36.200000000000003</v>
      </c>
      <c r="F175" s="84"/>
      <c r="G175" s="84"/>
      <c r="H175" s="84"/>
      <c r="I175" s="84"/>
      <c r="J175" s="84"/>
      <c r="K175" s="84"/>
      <c r="L175" s="140">
        <f t="shared" si="66"/>
        <v>8.3000000000000007</v>
      </c>
      <c r="M175" s="86">
        <v>8.31</v>
      </c>
      <c r="N175" s="86">
        <v>8.2899999999999991</v>
      </c>
      <c r="O175" s="86"/>
      <c r="P175" s="86"/>
      <c r="Q175" s="86"/>
      <c r="R175" s="86"/>
      <c r="S175" s="86"/>
      <c r="T175" s="86"/>
      <c r="U175" s="142">
        <f t="shared" si="67"/>
        <v>1263.5</v>
      </c>
      <c r="V175" s="88">
        <v>1290</v>
      </c>
      <c r="W175" s="88">
        <v>1237</v>
      </c>
      <c r="X175" s="88"/>
      <c r="Y175" s="88"/>
      <c r="Z175" s="88"/>
      <c r="AA175" s="88"/>
      <c r="AB175" s="88"/>
      <c r="AC175" s="88"/>
      <c r="AD175" s="142" t="str">
        <f t="shared" si="68"/>
        <v/>
      </c>
      <c r="AE175" s="88"/>
      <c r="AF175" s="88"/>
      <c r="AG175" s="88"/>
      <c r="AH175" s="88"/>
      <c r="AI175" s="88"/>
      <c r="AJ175" s="88"/>
      <c r="AK175" s="88"/>
      <c r="AL175" s="88"/>
      <c r="AM175" s="88">
        <v>43.093216470373413</v>
      </c>
      <c r="AN175" s="88">
        <v>109.53</v>
      </c>
      <c r="AO175" s="89"/>
      <c r="AP175" s="90"/>
      <c r="AQ175" s="146" t="str">
        <f t="shared" si="69"/>
        <v/>
      </c>
      <c r="AR175" s="146" t="str">
        <f t="shared" si="70"/>
        <v/>
      </c>
      <c r="AS175" s="147">
        <v>45</v>
      </c>
      <c r="AT175" s="148">
        <v>14.1</v>
      </c>
      <c r="AU175" s="149">
        <v>8.3068999999999988</v>
      </c>
      <c r="AV175" s="146">
        <f t="shared" si="71"/>
        <v>58.914184397163119</v>
      </c>
      <c r="AW175" s="146">
        <f t="shared" si="72"/>
        <v>41.085815602836881</v>
      </c>
      <c r="AX175" s="138" t="str">
        <f t="shared" si="73"/>
        <v/>
      </c>
      <c r="AY175" s="95">
        <v>73.95</v>
      </c>
      <c r="AZ175" s="96">
        <v>62.414999999999999</v>
      </c>
      <c r="BA175" s="96"/>
      <c r="BB175" s="96">
        <v>77.5</v>
      </c>
      <c r="BC175" s="96"/>
      <c r="BD175" s="97">
        <v>109.53</v>
      </c>
      <c r="BE175" s="142">
        <f t="shared" si="74"/>
        <v>10418</v>
      </c>
      <c r="BF175" s="98">
        <v>578</v>
      </c>
      <c r="BG175" s="98">
        <v>1210</v>
      </c>
      <c r="BH175" s="98">
        <v>3569</v>
      </c>
      <c r="BI175" s="98">
        <v>5061</v>
      </c>
      <c r="BJ175" s="98"/>
      <c r="BK175" s="98"/>
      <c r="BL175" s="97"/>
    </row>
    <row r="176" spans="1:64" outlineLevel="5" x14ac:dyDescent="0.3">
      <c r="A176" s="152">
        <f t="shared" si="76"/>
        <v>5</v>
      </c>
      <c r="B176" s="153">
        <f t="shared" si="75"/>
        <v>45069</v>
      </c>
      <c r="C176" s="138">
        <f t="shared" si="65"/>
        <v>36.700000000000003</v>
      </c>
      <c r="D176" s="84">
        <v>36.799999999999997</v>
      </c>
      <c r="E176" s="84">
        <v>36.5</v>
      </c>
      <c r="F176" s="84"/>
      <c r="G176" s="84"/>
      <c r="H176" s="84"/>
      <c r="I176" s="84"/>
      <c r="J176" s="84"/>
      <c r="K176" s="84"/>
      <c r="L176" s="140" t="str">
        <f t="shared" si="66"/>
        <v/>
      </c>
      <c r="M176" s="86"/>
      <c r="N176" s="86"/>
      <c r="O176" s="86"/>
      <c r="P176" s="86"/>
      <c r="Q176" s="86"/>
      <c r="R176" s="86"/>
      <c r="S176" s="86"/>
      <c r="T176" s="86"/>
      <c r="U176" s="142" t="str">
        <f t="shared" si="67"/>
        <v/>
      </c>
      <c r="V176" s="88"/>
      <c r="W176" s="88"/>
      <c r="X176" s="88"/>
      <c r="Y176" s="88"/>
      <c r="Z176" s="88"/>
      <c r="AA176" s="88"/>
      <c r="AB176" s="88"/>
      <c r="AC176" s="88"/>
      <c r="AD176" s="142" t="str">
        <f t="shared" si="68"/>
        <v/>
      </c>
      <c r="AE176" s="88"/>
      <c r="AF176" s="88"/>
      <c r="AG176" s="88"/>
      <c r="AH176" s="88"/>
      <c r="AI176" s="88"/>
      <c r="AJ176" s="88"/>
      <c r="AK176" s="88"/>
      <c r="AL176" s="88"/>
      <c r="AM176" s="88">
        <v>32.770950496424355</v>
      </c>
      <c r="AN176" s="88">
        <v>144.03</v>
      </c>
      <c r="AO176" s="89"/>
      <c r="AP176" s="90"/>
      <c r="AQ176" s="146" t="str">
        <f t="shared" si="69"/>
        <v/>
      </c>
      <c r="AR176" s="146" t="str">
        <f t="shared" si="70"/>
        <v/>
      </c>
      <c r="AS176" s="147">
        <v>45</v>
      </c>
      <c r="AT176" s="148"/>
      <c r="AU176" s="149"/>
      <c r="AV176" s="146" t="str">
        <f t="shared" si="71"/>
        <v/>
      </c>
      <c r="AW176" s="146" t="str">
        <f t="shared" si="72"/>
        <v/>
      </c>
      <c r="AX176" s="138" t="str">
        <f t="shared" si="73"/>
        <v/>
      </c>
      <c r="AY176" s="95"/>
      <c r="AZ176" s="96">
        <v>61.445</v>
      </c>
      <c r="BA176" s="96"/>
      <c r="BB176" s="96">
        <v>61</v>
      </c>
      <c r="BC176" s="96"/>
      <c r="BD176" s="97">
        <v>144.03</v>
      </c>
      <c r="BE176" s="142">
        <f t="shared" si="74"/>
        <v>16005</v>
      </c>
      <c r="BF176" s="98">
        <v>872</v>
      </c>
      <c r="BG176" s="98">
        <v>4458</v>
      </c>
      <c r="BH176" s="98">
        <v>4635</v>
      </c>
      <c r="BI176" s="98">
        <v>6040</v>
      </c>
      <c r="BJ176" s="98"/>
      <c r="BK176" s="98"/>
      <c r="BL176" s="97"/>
    </row>
    <row r="177" spans="1:64" outlineLevel="5" x14ac:dyDescent="0.3">
      <c r="A177" s="152">
        <f t="shared" si="76"/>
        <v>5</v>
      </c>
      <c r="B177" s="153">
        <f t="shared" si="75"/>
        <v>45070</v>
      </c>
      <c r="C177" s="138">
        <f t="shared" si="65"/>
        <v>37.200000000000003</v>
      </c>
      <c r="D177" s="84">
        <v>37.299999999999997</v>
      </c>
      <c r="E177" s="84">
        <v>37</v>
      </c>
      <c r="F177" s="84"/>
      <c r="G177" s="84"/>
      <c r="H177" s="84"/>
      <c r="I177" s="84"/>
      <c r="J177" s="84"/>
      <c r="K177" s="84"/>
      <c r="L177" s="140">
        <f t="shared" si="66"/>
        <v>8.1999999999999993</v>
      </c>
      <c r="M177" s="86">
        <v>8.16</v>
      </c>
      <c r="N177" s="86">
        <v>8.2200000000000006</v>
      </c>
      <c r="O177" s="86"/>
      <c r="P177" s="86"/>
      <c r="Q177" s="86"/>
      <c r="R177" s="86"/>
      <c r="S177" s="86"/>
      <c r="T177" s="86"/>
      <c r="U177" s="142">
        <f t="shared" si="67"/>
        <v>1256.5</v>
      </c>
      <c r="V177" s="88">
        <v>1305</v>
      </c>
      <c r="W177" s="88">
        <v>1208</v>
      </c>
      <c r="X177" s="88"/>
      <c r="Y177" s="88"/>
      <c r="Z177" s="88"/>
      <c r="AA177" s="88"/>
      <c r="AB177" s="88"/>
      <c r="AC177" s="88"/>
      <c r="AD177" s="142">
        <f t="shared" si="68"/>
        <v>9535</v>
      </c>
      <c r="AE177" s="88">
        <v>9600</v>
      </c>
      <c r="AF177" s="88">
        <v>9470</v>
      </c>
      <c r="AG177" s="88"/>
      <c r="AH177" s="88"/>
      <c r="AI177" s="88"/>
      <c r="AJ177" s="88"/>
      <c r="AK177" s="88"/>
      <c r="AL177" s="88"/>
      <c r="AM177" s="88">
        <v>32.594434086043783</v>
      </c>
      <c r="AN177" s="88">
        <v>144.81</v>
      </c>
      <c r="AO177" s="89"/>
      <c r="AP177" s="90"/>
      <c r="AQ177" s="146" t="str">
        <f t="shared" si="69"/>
        <v/>
      </c>
      <c r="AR177" s="146" t="str">
        <f t="shared" si="70"/>
        <v/>
      </c>
      <c r="AS177" s="147">
        <v>45</v>
      </c>
      <c r="AT177" s="148">
        <v>13.75</v>
      </c>
      <c r="AU177" s="149">
        <v>7.5655999999999999</v>
      </c>
      <c r="AV177" s="146">
        <f t="shared" si="71"/>
        <v>55.022545454545458</v>
      </c>
      <c r="AW177" s="146">
        <f t="shared" si="72"/>
        <v>44.977454545454542</v>
      </c>
      <c r="AX177" s="138" t="str">
        <f t="shared" si="73"/>
        <v/>
      </c>
      <c r="AY177" s="95">
        <v>73.7</v>
      </c>
      <c r="AZ177" s="96">
        <v>62.480000000000004</v>
      </c>
      <c r="BA177" s="96"/>
      <c r="BB177" s="96">
        <v>60</v>
      </c>
      <c r="BC177" s="96"/>
      <c r="BD177" s="97">
        <v>144.81</v>
      </c>
      <c r="BE177" s="142">
        <f t="shared" si="74"/>
        <v>16011</v>
      </c>
      <c r="BF177" s="98">
        <v>164</v>
      </c>
      <c r="BG177" s="98">
        <v>4563</v>
      </c>
      <c r="BH177" s="98">
        <v>5146</v>
      </c>
      <c r="BI177" s="98">
        <v>6138</v>
      </c>
      <c r="BJ177" s="98"/>
      <c r="BK177" s="98"/>
      <c r="BL177" s="97"/>
    </row>
    <row r="178" spans="1:64" outlineLevel="5" x14ac:dyDescent="0.3">
      <c r="A178" s="152">
        <f t="shared" si="76"/>
        <v>5</v>
      </c>
      <c r="B178" s="153">
        <f t="shared" si="75"/>
        <v>45071</v>
      </c>
      <c r="C178" s="138">
        <f t="shared" si="65"/>
        <v>36.9</v>
      </c>
      <c r="D178" s="84">
        <v>37</v>
      </c>
      <c r="E178" s="84">
        <v>36.799999999999997</v>
      </c>
      <c r="F178" s="84"/>
      <c r="G178" s="84"/>
      <c r="H178" s="84"/>
      <c r="I178" s="84"/>
      <c r="J178" s="84"/>
      <c r="K178" s="84"/>
      <c r="L178" s="140">
        <f t="shared" si="66"/>
        <v>8.1999999999999993</v>
      </c>
      <c r="M178" s="86">
        <v>8.27</v>
      </c>
      <c r="N178" s="86">
        <v>8.2100000000000009</v>
      </c>
      <c r="O178" s="86"/>
      <c r="P178" s="86"/>
      <c r="Q178" s="86"/>
      <c r="R178" s="86"/>
      <c r="S178" s="86"/>
      <c r="T178" s="86"/>
      <c r="U178" s="142">
        <f t="shared" si="67"/>
        <v>1611</v>
      </c>
      <c r="V178" s="88">
        <v>1535</v>
      </c>
      <c r="W178" s="88">
        <v>1687</v>
      </c>
      <c r="X178" s="88"/>
      <c r="Y178" s="88"/>
      <c r="Z178" s="88"/>
      <c r="AA178" s="88"/>
      <c r="AB178" s="88"/>
      <c r="AC178" s="88"/>
      <c r="AD178" s="142" t="str">
        <f t="shared" si="68"/>
        <v/>
      </c>
      <c r="AE178" s="88"/>
      <c r="AF178" s="88"/>
      <c r="AG178" s="88"/>
      <c r="AH178" s="88"/>
      <c r="AI178" s="88"/>
      <c r="AJ178" s="88"/>
      <c r="AK178" s="88"/>
      <c r="AL178" s="88"/>
      <c r="AM178" s="88">
        <v>40.242134879358858</v>
      </c>
      <c r="AN178" s="88">
        <v>117.28999999999999</v>
      </c>
      <c r="AO178" s="89"/>
      <c r="AP178" s="90"/>
      <c r="AQ178" s="146" t="str">
        <f t="shared" si="69"/>
        <v/>
      </c>
      <c r="AR178" s="146" t="str">
        <f t="shared" si="70"/>
        <v/>
      </c>
      <c r="AS178" s="147">
        <v>45</v>
      </c>
      <c r="AT178" s="148">
        <v>14.4</v>
      </c>
      <c r="AU178" s="149">
        <v>7.5089000000000006</v>
      </c>
      <c r="AV178" s="146">
        <f t="shared" si="71"/>
        <v>52.145138888888887</v>
      </c>
      <c r="AW178" s="146">
        <f t="shared" si="72"/>
        <v>47.854861111111113</v>
      </c>
      <c r="AX178" s="138" t="str">
        <f t="shared" si="73"/>
        <v/>
      </c>
      <c r="AY178" s="95">
        <v>73.8</v>
      </c>
      <c r="AZ178" s="96">
        <v>61.239999999999995</v>
      </c>
      <c r="BA178" s="96"/>
      <c r="BB178" s="96">
        <v>60.5</v>
      </c>
      <c r="BC178" s="96"/>
      <c r="BD178" s="97">
        <v>117.28999999999999</v>
      </c>
      <c r="BE178" s="142">
        <f t="shared" si="74"/>
        <v>14971</v>
      </c>
      <c r="BF178" s="98">
        <v>378</v>
      </c>
      <c r="BG178" s="98">
        <v>3948</v>
      </c>
      <c r="BH178" s="98">
        <v>4595</v>
      </c>
      <c r="BI178" s="98">
        <v>6050</v>
      </c>
      <c r="BJ178" s="98"/>
      <c r="BK178" s="98"/>
      <c r="BL178" s="97"/>
    </row>
    <row r="179" spans="1:64" outlineLevel="5" x14ac:dyDescent="0.3">
      <c r="A179" s="152">
        <f t="shared" si="76"/>
        <v>5</v>
      </c>
      <c r="B179" s="153">
        <f t="shared" si="75"/>
        <v>45072</v>
      </c>
      <c r="C179" s="138">
        <f t="shared" si="65"/>
        <v>37</v>
      </c>
      <c r="D179" s="84">
        <v>37.1</v>
      </c>
      <c r="E179" s="84">
        <v>36.799999999999997</v>
      </c>
      <c r="F179" s="84"/>
      <c r="G179" s="84"/>
      <c r="H179" s="84"/>
      <c r="I179" s="84"/>
      <c r="J179" s="84"/>
      <c r="K179" s="84"/>
      <c r="L179" s="140" t="str">
        <f t="shared" si="66"/>
        <v/>
      </c>
      <c r="M179" s="86"/>
      <c r="N179" s="86"/>
      <c r="O179" s="86"/>
      <c r="P179" s="86"/>
      <c r="Q179" s="86"/>
      <c r="R179" s="86"/>
      <c r="S179" s="86"/>
      <c r="T179" s="86"/>
      <c r="U179" s="142" t="str">
        <f t="shared" si="67"/>
        <v/>
      </c>
      <c r="V179" s="88"/>
      <c r="W179" s="88"/>
      <c r="X179" s="88"/>
      <c r="Y179" s="88"/>
      <c r="Z179" s="88"/>
      <c r="AA179" s="88"/>
      <c r="AB179" s="88"/>
      <c r="AC179" s="88"/>
      <c r="AD179" s="142" t="str">
        <f t="shared" si="68"/>
        <v/>
      </c>
      <c r="AE179" s="88"/>
      <c r="AF179" s="88"/>
      <c r="AG179" s="88"/>
      <c r="AH179" s="88"/>
      <c r="AI179" s="88"/>
      <c r="AJ179" s="88"/>
      <c r="AK179" s="88"/>
      <c r="AL179" s="88"/>
      <c r="AM179" s="88">
        <v>38.908581320583629</v>
      </c>
      <c r="AN179" s="88">
        <v>121.31</v>
      </c>
      <c r="AO179" s="89"/>
      <c r="AP179" s="90"/>
      <c r="AQ179" s="146" t="str">
        <f t="shared" si="69"/>
        <v/>
      </c>
      <c r="AR179" s="146" t="str">
        <f t="shared" si="70"/>
        <v/>
      </c>
      <c r="AS179" s="147">
        <v>22</v>
      </c>
      <c r="AT179" s="148"/>
      <c r="AU179" s="149"/>
      <c r="AV179" s="146" t="str">
        <f t="shared" si="71"/>
        <v/>
      </c>
      <c r="AW179" s="146" t="str">
        <f t="shared" si="72"/>
        <v/>
      </c>
      <c r="AX179" s="138" t="str">
        <f t="shared" si="73"/>
        <v/>
      </c>
      <c r="AY179" s="95"/>
      <c r="AZ179" s="96">
        <v>62.465000000000003</v>
      </c>
      <c r="BA179" s="96"/>
      <c r="BB179" s="96">
        <v>45</v>
      </c>
      <c r="BC179" s="96"/>
      <c r="BD179" s="97">
        <v>121.31</v>
      </c>
      <c r="BE179" s="142">
        <f t="shared" si="74"/>
        <v>16078</v>
      </c>
      <c r="BF179" s="98">
        <v>0</v>
      </c>
      <c r="BG179" s="98">
        <v>4183</v>
      </c>
      <c r="BH179" s="98">
        <v>5618</v>
      </c>
      <c r="BI179" s="98">
        <v>6277</v>
      </c>
      <c r="BJ179" s="98"/>
      <c r="BK179" s="98"/>
      <c r="BL179" s="97"/>
    </row>
    <row r="180" spans="1:64" outlineLevel="5" x14ac:dyDescent="0.3">
      <c r="A180" s="152">
        <f t="shared" si="76"/>
        <v>5</v>
      </c>
      <c r="B180" s="153">
        <f t="shared" si="75"/>
        <v>45073</v>
      </c>
      <c r="C180" s="138">
        <f t="shared" si="65"/>
        <v>36.799999999999997</v>
      </c>
      <c r="D180" s="84">
        <v>36.9</v>
      </c>
      <c r="E180" s="84">
        <v>36.700000000000003</v>
      </c>
      <c r="F180" s="84"/>
      <c r="G180" s="84"/>
      <c r="H180" s="84"/>
      <c r="I180" s="84"/>
      <c r="J180" s="84"/>
      <c r="K180" s="84"/>
      <c r="L180" s="140" t="str">
        <f t="shared" si="66"/>
        <v/>
      </c>
      <c r="M180" s="86"/>
      <c r="N180" s="86"/>
      <c r="O180" s="86"/>
      <c r="P180" s="86"/>
      <c r="Q180" s="86"/>
      <c r="R180" s="86"/>
      <c r="S180" s="86"/>
      <c r="T180" s="86"/>
      <c r="U180" s="142" t="str">
        <f t="shared" si="67"/>
        <v/>
      </c>
      <c r="V180" s="88"/>
      <c r="W180" s="88"/>
      <c r="X180" s="88"/>
      <c r="Y180" s="88"/>
      <c r="Z180" s="88"/>
      <c r="AA180" s="88"/>
      <c r="AB180" s="88"/>
      <c r="AC180" s="88"/>
      <c r="AD180" s="142" t="str">
        <f t="shared" si="68"/>
        <v/>
      </c>
      <c r="AE180" s="88"/>
      <c r="AF180" s="88"/>
      <c r="AG180" s="88"/>
      <c r="AH180" s="88"/>
      <c r="AI180" s="88"/>
      <c r="AJ180" s="88"/>
      <c r="AK180" s="88"/>
      <c r="AL180" s="88"/>
      <c r="AM180" s="88">
        <v>51.550895587592834</v>
      </c>
      <c r="AN180" s="88">
        <v>91.56</v>
      </c>
      <c r="AO180" s="89"/>
      <c r="AP180" s="90"/>
      <c r="AQ180" s="146" t="str">
        <f t="shared" si="69"/>
        <v/>
      </c>
      <c r="AR180" s="146" t="str">
        <f t="shared" si="70"/>
        <v/>
      </c>
      <c r="AS180" s="147">
        <v>10</v>
      </c>
      <c r="AT180" s="148"/>
      <c r="AU180" s="149"/>
      <c r="AV180" s="146" t="str">
        <f t="shared" si="71"/>
        <v/>
      </c>
      <c r="AW180" s="146" t="str">
        <f t="shared" si="72"/>
        <v/>
      </c>
      <c r="AX180" s="138" t="str">
        <f t="shared" si="73"/>
        <v/>
      </c>
      <c r="AY180" s="95"/>
      <c r="AZ180" s="96"/>
      <c r="BA180" s="96"/>
      <c r="BB180" s="96"/>
      <c r="BC180" s="96"/>
      <c r="BD180" s="97">
        <v>91.56</v>
      </c>
      <c r="BE180" s="142">
        <f t="shared" si="74"/>
        <v>11746</v>
      </c>
      <c r="BF180" s="98">
        <v>0</v>
      </c>
      <c r="BG180" s="98">
        <v>3633</v>
      </c>
      <c r="BH180" s="98">
        <v>2129</v>
      </c>
      <c r="BI180" s="98">
        <v>5984</v>
      </c>
      <c r="BJ180" s="98"/>
      <c r="BK180" s="98"/>
      <c r="BL180" s="97"/>
    </row>
    <row r="181" spans="1:64" outlineLevel="5" x14ac:dyDescent="0.3">
      <c r="A181" s="152">
        <f t="shared" si="76"/>
        <v>5</v>
      </c>
      <c r="B181" s="153">
        <f t="shared" si="75"/>
        <v>45074</v>
      </c>
      <c r="C181" s="138">
        <f t="shared" si="65"/>
        <v>36.9</v>
      </c>
      <c r="D181" s="84">
        <v>37</v>
      </c>
      <c r="E181" s="84">
        <v>36.799999999999997</v>
      </c>
      <c r="F181" s="84"/>
      <c r="G181" s="84"/>
      <c r="H181" s="84"/>
      <c r="I181" s="84"/>
      <c r="J181" s="84"/>
      <c r="K181" s="84"/>
      <c r="L181" s="140" t="str">
        <f t="shared" si="66"/>
        <v/>
      </c>
      <c r="M181" s="86"/>
      <c r="N181" s="86"/>
      <c r="O181" s="86"/>
      <c r="P181" s="86"/>
      <c r="Q181" s="86"/>
      <c r="R181" s="86"/>
      <c r="S181" s="86"/>
      <c r="T181" s="86"/>
      <c r="U181" s="142" t="str">
        <f t="shared" si="67"/>
        <v/>
      </c>
      <c r="V181" s="88"/>
      <c r="W181" s="88"/>
      <c r="X181" s="88"/>
      <c r="Y181" s="88"/>
      <c r="Z181" s="88"/>
      <c r="AA181" s="88"/>
      <c r="AB181" s="88"/>
      <c r="AC181" s="88"/>
      <c r="AD181" s="142" t="str">
        <f t="shared" si="68"/>
        <v/>
      </c>
      <c r="AE181" s="88"/>
      <c r="AF181" s="88"/>
      <c r="AG181" s="88"/>
      <c r="AH181" s="88"/>
      <c r="AI181" s="88"/>
      <c r="AJ181" s="88"/>
      <c r="AK181" s="88"/>
      <c r="AL181" s="88"/>
      <c r="AM181" s="88">
        <v>59</v>
      </c>
      <c r="AN181" s="88">
        <v>80</v>
      </c>
      <c r="AO181" s="89"/>
      <c r="AP181" s="90"/>
      <c r="AQ181" s="146" t="str">
        <f t="shared" si="69"/>
        <v/>
      </c>
      <c r="AR181" s="146" t="str">
        <f t="shared" si="70"/>
        <v/>
      </c>
      <c r="AS181" s="147">
        <v>12</v>
      </c>
      <c r="AT181" s="148"/>
      <c r="AU181" s="149"/>
      <c r="AV181" s="146" t="str">
        <f t="shared" si="71"/>
        <v/>
      </c>
      <c r="AW181" s="146" t="str">
        <f t="shared" si="72"/>
        <v/>
      </c>
      <c r="AX181" s="138" t="str">
        <f t="shared" si="73"/>
        <v/>
      </c>
      <c r="AY181" s="95"/>
      <c r="AZ181" s="96"/>
      <c r="BA181" s="96"/>
      <c r="BB181" s="96"/>
      <c r="BC181" s="96"/>
      <c r="BD181" s="97">
        <v>80</v>
      </c>
      <c r="BE181" s="142">
        <f t="shared" si="74"/>
        <v>6984</v>
      </c>
      <c r="BF181" s="98">
        <v>226</v>
      </c>
      <c r="BG181" s="98">
        <v>1061</v>
      </c>
      <c r="BH181" s="98">
        <v>9</v>
      </c>
      <c r="BI181" s="98">
        <v>5688</v>
      </c>
      <c r="BJ181" s="98"/>
      <c r="BK181" s="98"/>
      <c r="BL181" s="97"/>
    </row>
    <row r="182" spans="1:64" outlineLevel="5" x14ac:dyDescent="0.3">
      <c r="A182" s="152">
        <f t="shared" si="76"/>
        <v>5</v>
      </c>
      <c r="B182" s="153">
        <f t="shared" si="75"/>
        <v>45075</v>
      </c>
      <c r="C182" s="138">
        <f t="shared" si="65"/>
        <v>36.799999999999997</v>
      </c>
      <c r="D182" s="84">
        <v>36.9</v>
      </c>
      <c r="E182" s="84">
        <v>36.700000000000003</v>
      </c>
      <c r="F182" s="84"/>
      <c r="G182" s="84"/>
      <c r="H182" s="84"/>
      <c r="I182" s="84"/>
      <c r="J182" s="84"/>
      <c r="K182" s="84"/>
      <c r="L182" s="140" t="str">
        <f t="shared" si="66"/>
        <v/>
      </c>
      <c r="M182" s="86"/>
      <c r="N182" s="86"/>
      <c r="O182" s="86"/>
      <c r="P182" s="86"/>
      <c r="Q182" s="86"/>
      <c r="R182" s="86"/>
      <c r="S182" s="86"/>
      <c r="T182" s="86"/>
      <c r="U182" s="142" t="str">
        <f t="shared" si="67"/>
        <v/>
      </c>
      <c r="V182" s="88"/>
      <c r="W182" s="88"/>
      <c r="X182" s="88"/>
      <c r="Y182" s="88"/>
      <c r="Z182" s="88"/>
      <c r="AA182" s="88"/>
      <c r="AB182" s="88"/>
      <c r="AC182" s="88"/>
      <c r="AD182" s="142" t="str">
        <f t="shared" si="68"/>
        <v/>
      </c>
      <c r="AE182" s="88"/>
      <c r="AF182" s="88"/>
      <c r="AG182" s="88"/>
      <c r="AH182" s="88"/>
      <c r="AI182" s="88"/>
      <c r="AJ182" s="88"/>
      <c r="AK182" s="88"/>
      <c r="AL182" s="88"/>
      <c r="AM182" s="88">
        <v>46.21108282749168</v>
      </c>
      <c r="AN182" s="88">
        <v>102.14</v>
      </c>
      <c r="AO182" s="89"/>
      <c r="AP182" s="90"/>
      <c r="AQ182" s="146" t="str">
        <f t="shared" si="69"/>
        <v/>
      </c>
      <c r="AR182" s="146" t="str">
        <f t="shared" si="70"/>
        <v/>
      </c>
      <c r="AS182" s="147">
        <v>0</v>
      </c>
      <c r="AT182" s="148"/>
      <c r="AU182" s="149"/>
      <c r="AV182" s="146" t="str">
        <f t="shared" si="71"/>
        <v/>
      </c>
      <c r="AW182" s="146" t="str">
        <f t="shared" si="72"/>
        <v/>
      </c>
      <c r="AX182" s="138" t="str">
        <f t="shared" si="73"/>
        <v/>
      </c>
      <c r="AY182" s="95"/>
      <c r="AZ182" s="96"/>
      <c r="BA182" s="96"/>
      <c r="BB182" s="96"/>
      <c r="BC182" s="96"/>
      <c r="BD182" s="97">
        <v>102.14</v>
      </c>
      <c r="BE182" s="142">
        <f t="shared" si="74"/>
        <v>9097</v>
      </c>
      <c r="BF182" s="98">
        <v>1609</v>
      </c>
      <c r="BG182" s="98">
        <v>1523</v>
      </c>
      <c r="BH182" s="98">
        <v>0</v>
      </c>
      <c r="BI182" s="98">
        <v>5965</v>
      </c>
      <c r="BJ182" s="98"/>
      <c r="BK182" s="98"/>
      <c r="BL182" s="97"/>
    </row>
    <row r="183" spans="1:64" outlineLevel="5" x14ac:dyDescent="0.3">
      <c r="A183" s="152">
        <f t="shared" si="76"/>
        <v>5</v>
      </c>
      <c r="B183" s="153">
        <f t="shared" si="75"/>
        <v>45076</v>
      </c>
      <c r="C183" s="138">
        <f t="shared" si="65"/>
        <v>38.1</v>
      </c>
      <c r="D183" s="84">
        <v>38.6</v>
      </c>
      <c r="E183" s="84">
        <v>37.5</v>
      </c>
      <c r="F183" s="84"/>
      <c r="G183" s="84"/>
      <c r="H183" s="84"/>
      <c r="I183" s="84"/>
      <c r="J183" s="84"/>
      <c r="K183" s="84"/>
      <c r="L183" s="140" t="str">
        <f t="shared" si="66"/>
        <v/>
      </c>
      <c r="M183" s="86"/>
      <c r="N183" s="86"/>
      <c r="O183" s="86"/>
      <c r="P183" s="86"/>
      <c r="Q183" s="86"/>
      <c r="R183" s="86"/>
      <c r="S183" s="86"/>
      <c r="T183" s="86"/>
      <c r="U183" s="142" t="str">
        <f t="shared" si="67"/>
        <v/>
      </c>
      <c r="V183" s="88"/>
      <c r="W183" s="88"/>
      <c r="X183" s="88"/>
      <c r="Y183" s="88"/>
      <c r="Z183" s="88"/>
      <c r="AA183" s="88"/>
      <c r="AB183" s="88"/>
      <c r="AC183" s="88"/>
      <c r="AD183" s="142" t="str">
        <f t="shared" si="68"/>
        <v/>
      </c>
      <c r="AE183" s="88"/>
      <c r="AF183" s="88"/>
      <c r="AG183" s="88"/>
      <c r="AH183" s="88"/>
      <c r="AI183" s="88"/>
      <c r="AJ183" s="88"/>
      <c r="AK183" s="88"/>
      <c r="AL183" s="88"/>
      <c r="AM183" s="88">
        <v>46.374533307133035</v>
      </c>
      <c r="AN183" s="88">
        <v>101.78</v>
      </c>
      <c r="AO183" s="89"/>
      <c r="AP183" s="90"/>
      <c r="AQ183" s="146" t="str">
        <f t="shared" si="69"/>
        <v/>
      </c>
      <c r="AR183" s="146" t="str">
        <f t="shared" si="70"/>
        <v/>
      </c>
      <c r="AS183" s="147">
        <v>40</v>
      </c>
      <c r="AT183" s="148"/>
      <c r="AU183" s="149"/>
      <c r="AV183" s="146" t="str">
        <f t="shared" si="71"/>
        <v/>
      </c>
      <c r="AW183" s="146" t="str">
        <f t="shared" si="72"/>
        <v/>
      </c>
      <c r="AX183" s="138" t="str">
        <f t="shared" si="73"/>
        <v/>
      </c>
      <c r="AY183" s="95"/>
      <c r="AZ183" s="96">
        <v>63.664999999999999</v>
      </c>
      <c r="BA183" s="96"/>
      <c r="BB183" s="96">
        <v>46</v>
      </c>
      <c r="BC183" s="96"/>
      <c r="BD183" s="97">
        <v>101.78</v>
      </c>
      <c r="BE183" s="142">
        <f t="shared" si="74"/>
        <v>8187</v>
      </c>
      <c r="BF183" s="98">
        <v>884</v>
      </c>
      <c r="BG183" s="98">
        <v>0</v>
      </c>
      <c r="BH183" s="98">
        <v>1071</v>
      </c>
      <c r="BI183" s="98">
        <v>6232</v>
      </c>
      <c r="BJ183" s="98"/>
      <c r="BK183" s="98"/>
      <c r="BL183" s="97"/>
    </row>
    <row r="184" spans="1:64" ht="17.25" outlineLevel="5" thickBot="1" x14ac:dyDescent="0.35">
      <c r="A184" s="154">
        <f t="shared" si="76"/>
        <v>5</v>
      </c>
      <c r="B184" s="155">
        <f t="shared" si="75"/>
        <v>45077</v>
      </c>
      <c r="C184" s="138">
        <f t="shared" si="65"/>
        <v>37.299999999999997</v>
      </c>
      <c r="D184" s="84">
        <v>37.299999999999997</v>
      </c>
      <c r="E184" s="84">
        <v>37.299999999999997</v>
      </c>
      <c r="F184" s="84"/>
      <c r="G184" s="84"/>
      <c r="H184" s="84"/>
      <c r="I184" s="84"/>
      <c r="J184" s="84"/>
      <c r="K184" s="84"/>
      <c r="L184" s="140">
        <f t="shared" si="66"/>
        <v>8.1</v>
      </c>
      <c r="M184" s="86">
        <v>8.1</v>
      </c>
      <c r="N184" s="86">
        <v>8.1300000000000008</v>
      </c>
      <c r="O184" s="86"/>
      <c r="P184" s="86"/>
      <c r="Q184" s="86"/>
      <c r="R184" s="86"/>
      <c r="S184" s="86"/>
      <c r="T184" s="86"/>
      <c r="U184" s="142">
        <f t="shared" si="67"/>
        <v>1271</v>
      </c>
      <c r="V184" s="88">
        <v>1137</v>
      </c>
      <c r="W184" s="88">
        <v>1405</v>
      </c>
      <c r="X184" s="88"/>
      <c r="Y184" s="88"/>
      <c r="Z184" s="88"/>
      <c r="AA184" s="88"/>
      <c r="AB184" s="88"/>
      <c r="AC184" s="88"/>
      <c r="AD184" s="142">
        <f t="shared" si="68"/>
        <v>9405</v>
      </c>
      <c r="AE184" s="88">
        <v>9240</v>
      </c>
      <c r="AF184" s="88">
        <v>9570</v>
      </c>
      <c r="AG184" s="88"/>
      <c r="AH184" s="88"/>
      <c r="AI184" s="88"/>
      <c r="AJ184" s="88"/>
      <c r="AK184" s="88"/>
      <c r="AL184" s="88"/>
      <c r="AM184" s="88">
        <v>42.862332001452955</v>
      </c>
      <c r="AN184" s="88">
        <v>110.12</v>
      </c>
      <c r="AO184" s="89"/>
      <c r="AP184" s="90"/>
      <c r="AQ184" s="146" t="str">
        <f t="shared" si="69"/>
        <v/>
      </c>
      <c r="AR184" s="146" t="str">
        <f t="shared" si="70"/>
        <v/>
      </c>
      <c r="AS184" s="147">
        <v>40</v>
      </c>
      <c r="AT184" s="148">
        <v>13.75</v>
      </c>
      <c r="AU184" s="149">
        <v>7.2451499999999998</v>
      </c>
      <c r="AV184" s="146">
        <f t="shared" si="71"/>
        <v>52.691999999999993</v>
      </c>
      <c r="AW184" s="146">
        <f t="shared" si="72"/>
        <v>47.308000000000007</v>
      </c>
      <c r="AX184" s="138" t="str">
        <f t="shared" si="73"/>
        <v/>
      </c>
      <c r="AY184" s="95">
        <v>74.400000000000006</v>
      </c>
      <c r="AZ184" s="96">
        <v>62.365000000000002</v>
      </c>
      <c r="BA184" s="96"/>
      <c r="BB184" s="96">
        <v>57.5</v>
      </c>
      <c r="BC184" s="96"/>
      <c r="BD184" s="97">
        <v>110.12</v>
      </c>
      <c r="BE184" s="142">
        <f t="shared" si="74"/>
        <v>12343</v>
      </c>
      <c r="BF184" s="98">
        <v>294</v>
      </c>
      <c r="BG184" s="98">
        <v>0</v>
      </c>
      <c r="BH184" s="98">
        <v>6270</v>
      </c>
      <c r="BI184" s="98">
        <v>5779</v>
      </c>
      <c r="BJ184" s="98"/>
      <c r="BK184" s="98"/>
      <c r="BL184" s="97"/>
    </row>
    <row r="185" spans="1:64" outlineLevel="4" x14ac:dyDescent="0.3">
      <c r="A185" s="63" t="s">
        <v>73</v>
      </c>
      <c r="B185" s="64"/>
      <c r="C185" s="65">
        <f t="shared" ref="C185:BL185" si="77">SUBTOTAL(4,C154:C184)</f>
        <v>38.5</v>
      </c>
      <c r="D185" s="66">
        <f t="shared" si="77"/>
        <v>38.9</v>
      </c>
      <c r="E185" s="66">
        <f t="shared" si="77"/>
        <v>38.700000000000003</v>
      </c>
      <c r="F185" s="66">
        <f t="shared" si="77"/>
        <v>0</v>
      </c>
      <c r="G185" s="66">
        <f t="shared" si="77"/>
        <v>0</v>
      </c>
      <c r="H185" s="66">
        <f t="shared" si="77"/>
        <v>0</v>
      </c>
      <c r="I185" s="66">
        <f t="shared" si="77"/>
        <v>0</v>
      </c>
      <c r="J185" s="66">
        <f t="shared" si="77"/>
        <v>0</v>
      </c>
      <c r="K185" s="66">
        <f t="shared" si="77"/>
        <v>0</v>
      </c>
      <c r="L185" s="67">
        <f t="shared" si="77"/>
        <v>8.3000000000000007</v>
      </c>
      <c r="M185" s="68">
        <f t="shared" si="77"/>
        <v>8.33</v>
      </c>
      <c r="N185" s="68">
        <f t="shared" si="77"/>
        <v>8.31</v>
      </c>
      <c r="O185" s="68">
        <f t="shared" si="77"/>
        <v>0</v>
      </c>
      <c r="P185" s="68">
        <f t="shared" si="77"/>
        <v>0</v>
      </c>
      <c r="Q185" s="68">
        <f t="shared" si="77"/>
        <v>0</v>
      </c>
      <c r="R185" s="68">
        <f t="shared" si="77"/>
        <v>0</v>
      </c>
      <c r="S185" s="68">
        <f t="shared" si="77"/>
        <v>0</v>
      </c>
      <c r="T185" s="68">
        <f t="shared" si="77"/>
        <v>0</v>
      </c>
      <c r="U185" s="69">
        <f t="shared" si="77"/>
        <v>1611</v>
      </c>
      <c r="V185" s="70">
        <f t="shared" si="77"/>
        <v>1535</v>
      </c>
      <c r="W185" s="70">
        <f t="shared" si="77"/>
        <v>1687</v>
      </c>
      <c r="X185" s="70">
        <f t="shared" si="77"/>
        <v>0</v>
      </c>
      <c r="Y185" s="70">
        <f t="shared" si="77"/>
        <v>0</v>
      </c>
      <c r="Z185" s="70">
        <f t="shared" si="77"/>
        <v>0</v>
      </c>
      <c r="AA185" s="70">
        <f t="shared" si="77"/>
        <v>0</v>
      </c>
      <c r="AB185" s="70">
        <f t="shared" si="77"/>
        <v>0</v>
      </c>
      <c r="AC185" s="70">
        <f t="shared" si="77"/>
        <v>0</v>
      </c>
      <c r="AD185" s="69">
        <f t="shared" si="77"/>
        <v>9535</v>
      </c>
      <c r="AE185" s="70">
        <f t="shared" si="77"/>
        <v>9600</v>
      </c>
      <c r="AF185" s="70">
        <f t="shared" si="77"/>
        <v>9570</v>
      </c>
      <c r="AG185" s="70">
        <f t="shared" si="77"/>
        <v>0</v>
      </c>
      <c r="AH185" s="70">
        <f t="shared" si="77"/>
        <v>0</v>
      </c>
      <c r="AI185" s="70">
        <f t="shared" si="77"/>
        <v>0</v>
      </c>
      <c r="AJ185" s="70">
        <f t="shared" si="77"/>
        <v>0</v>
      </c>
      <c r="AK185" s="70">
        <f t="shared" si="77"/>
        <v>0</v>
      </c>
      <c r="AL185" s="70">
        <f t="shared" si="77"/>
        <v>0</v>
      </c>
      <c r="AM185" s="70">
        <f t="shared" si="77"/>
        <v>59</v>
      </c>
      <c r="AN185" s="70">
        <f t="shared" si="77"/>
        <v>154.67000000000002</v>
      </c>
      <c r="AO185" s="71">
        <f t="shared" si="77"/>
        <v>20.8</v>
      </c>
      <c r="AP185" s="72">
        <f t="shared" si="77"/>
        <v>16.369600000000002</v>
      </c>
      <c r="AQ185" s="73">
        <f t="shared" si="77"/>
        <v>78.7</v>
      </c>
      <c r="AR185" s="73">
        <f t="shared" si="77"/>
        <v>21.299999999999997</v>
      </c>
      <c r="AS185" s="74">
        <f t="shared" si="77"/>
        <v>50</v>
      </c>
      <c r="AT185" s="75">
        <f t="shared" si="77"/>
        <v>14.7</v>
      </c>
      <c r="AU185" s="76">
        <f t="shared" si="77"/>
        <v>8.6501999999999981</v>
      </c>
      <c r="AV185" s="73">
        <f t="shared" si="77"/>
        <v>60.703157894736826</v>
      </c>
      <c r="AW185" s="73">
        <f t="shared" si="77"/>
        <v>48.330141843971631</v>
      </c>
      <c r="AX185" s="65">
        <f t="shared" si="77"/>
        <v>70.660611597181671</v>
      </c>
      <c r="AY185" s="77">
        <f t="shared" si="77"/>
        <v>77.099999999999994</v>
      </c>
      <c r="AZ185" s="78">
        <f t="shared" si="77"/>
        <v>76.66</v>
      </c>
      <c r="BA185" s="78">
        <f t="shared" si="77"/>
        <v>0</v>
      </c>
      <c r="BB185" s="78">
        <f t="shared" si="77"/>
        <v>77.5</v>
      </c>
      <c r="BC185" s="78">
        <f t="shared" si="77"/>
        <v>0</v>
      </c>
      <c r="BD185" s="79">
        <f t="shared" si="77"/>
        <v>154.67000000000002</v>
      </c>
      <c r="BE185" s="69">
        <f t="shared" si="77"/>
        <v>18211</v>
      </c>
      <c r="BF185" s="70">
        <f t="shared" si="77"/>
        <v>1609</v>
      </c>
      <c r="BG185" s="80">
        <f t="shared" si="77"/>
        <v>4563</v>
      </c>
      <c r="BH185" s="80">
        <f t="shared" si="77"/>
        <v>9407</v>
      </c>
      <c r="BI185" s="80">
        <f t="shared" si="77"/>
        <v>6617</v>
      </c>
      <c r="BJ185" s="80">
        <f t="shared" si="77"/>
        <v>0</v>
      </c>
      <c r="BK185" s="80">
        <f t="shared" si="77"/>
        <v>0</v>
      </c>
      <c r="BL185" s="79">
        <f t="shared" si="77"/>
        <v>0</v>
      </c>
    </row>
    <row r="186" spans="1:64" outlineLevel="3" x14ac:dyDescent="0.3">
      <c r="A186" s="81" t="s">
        <v>74</v>
      </c>
      <c r="B186" s="82"/>
      <c r="C186" s="83">
        <f t="shared" ref="C186:BL186" si="78">SUBTOTAL(5,C154:C184)</f>
        <v>36.299999999999997</v>
      </c>
      <c r="D186" s="84">
        <f t="shared" si="78"/>
        <v>36.299999999999997</v>
      </c>
      <c r="E186" s="84">
        <f t="shared" si="78"/>
        <v>36.200000000000003</v>
      </c>
      <c r="F186" s="84">
        <f t="shared" si="78"/>
        <v>0</v>
      </c>
      <c r="G186" s="84">
        <f t="shared" si="78"/>
        <v>0</v>
      </c>
      <c r="H186" s="84">
        <f t="shared" si="78"/>
        <v>0</v>
      </c>
      <c r="I186" s="84">
        <f t="shared" si="78"/>
        <v>0</v>
      </c>
      <c r="J186" s="84">
        <f t="shared" si="78"/>
        <v>0</v>
      </c>
      <c r="K186" s="84">
        <f t="shared" si="78"/>
        <v>0</v>
      </c>
      <c r="L186" s="85">
        <f t="shared" si="78"/>
        <v>8.1</v>
      </c>
      <c r="M186" s="86">
        <f t="shared" si="78"/>
        <v>8.1</v>
      </c>
      <c r="N186" s="86">
        <f t="shared" si="78"/>
        <v>8.1300000000000008</v>
      </c>
      <c r="O186" s="86">
        <f t="shared" si="78"/>
        <v>0</v>
      </c>
      <c r="P186" s="86">
        <f t="shared" si="78"/>
        <v>0</v>
      </c>
      <c r="Q186" s="86">
        <f t="shared" si="78"/>
        <v>0</v>
      </c>
      <c r="R186" s="86">
        <f t="shared" si="78"/>
        <v>0</v>
      </c>
      <c r="S186" s="86">
        <f t="shared" si="78"/>
        <v>0</v>
      </c>
      <c r="T186" s="86">
        <f t="shared" si="78"/>
        <v>0</v>
      </c>
      <c r="U186" s="87">
        <f t="shared" si="78"/>
        <v>1189.5</v>
      </c>
      <c r="V186" s="88">
        <f t="shared" si="78"/>
        <v>1137</v>
      </c>
      <c r="W186" s="88">
        <f t="shared" si="78"/>
        <v>1208</v>
      </c>
      <c r="X186" s="88">
        <f t="shared" si="78"/>
        <v>0</v>
      </c>
      <c r="Y186" s="88">
        <f t="shared" si="78"/>
        <v>0</v>
      </c>
      <c r="Z186" s="88">
        <f t="shared" si="78"/>
        <v>0</v>
      </c>
      <c r="AA186" s="88">
        <f t="shared" si="78"/>
        <v>0</v>
      </c>
      <c r="AB186" s="88">
        <f t="shared" si="78"/>
        <v>0</v>
      </c>
      <c r="AC186" s="88">
        <f t="shared" si="78"/>
        <v>0</v>
      </c>
      <c r="AD186" s="87">
        <f t="shared" si="78"/>
        <v>9405</v>
      </c>
      <c r="AE186" s="88">
        <f t="shared" si="78"/>
        <v>9240</v>
      </c>
      <c r="AF186" s="88">
        <f t="shared" si="78"/>
        <v>9470</v>
      </c>
      <c r="AG186" s="88">
        <f t="shared" si="78"/>
        <v>0</v>
      </c>
      <c r="AH186" s="88">
        <f t="shared" si="78"/>
        <v>0</v>
      </c>
      <c r="AI186" s="88">
        <f t="shared" si="78"/>
        <v>0</v>
      </c>
      <c r="AJ186" s="88">
        <f t="shared" si="78"/>
        <v>0</v>
      </c>
      <c r="AK186" s="88">
        <f t="shared" si="78"/>
        <v>0</v>
      </c>
      <c r="AL186" s="88">
        <f t="shared" si="78"/>
        <v>0</v>
      </c>
      <c r="AM186" s="88">
        <f t="shared" si="78"/>
        <v>30.516583694316928</v>
      </c>
      <c r="AN186" s="88">
        <f t="shared" si="78"/>
        <v>80</v>
      </c>
      <c r="AO186" s="89">
        <f t="shared" si="78"/>
        <v>20.8</v>
      </c>
      <c r="AP186" s="90">
        <f t="shared" si="78"/>
        <v>16.369600000000002</v>
      </c>
      <c r="AQ186" s="91">
        <f t="shared" si="78"/>
        <v>78.7</v>
      </c>
      <c r="AR186" s="91">
        <f t="shared" si="78"/>
        <v>21.299999999999997</v>
      </c>
      <c r="AS186" s="92">
        <f t="shared" si="78"/>
        <v>0</v>
      </c>
      <c r="AT186" s="93">
        <f t="shared" si="78"/>
        <v>13.350000000000001</v>
      </c>
      <c r="AU186" s="94">
        <f t="shared" si="78"/>
        <v>7.2451499999999998</v>
      </c>
      <c r="AV186" s="91">
        <f t="shared" si="78"/>
        <v>51.669858156028369</v>
      </c>
      <c r="AW186" s="91">
        <f t="shared" si="78"/>
        <v>39.296842105263174</v>
      </c>
      <c r="AX186" s="83">
        <f t="shared" si="78"/>
        <v>70.660611597181671</v>
      </c>
      <c r="AY186" s="95">
        <f t="shared" si="78"/>
        <v>72.95</v>
      </c>
      <c r="AZ186" s="96">
        <f t="shared" si="78"/>
        <v>59.914999999999999</v>
      </c>
      <c r="BA186" s="96">
        <f t="shared" si="78"/>
        <v>0</v>
      </c>
      <c r="BB186" s="96">
        <f t="shared" si="78"/>
        <v>33.5</v>
      </c>
      <c r="BC186" s="96">
        <f t="shared" si="78"/>
        <v>0</v>
      </c>
      <c r="BD186" s="97">
        <f t="shared" si="78"/>
        <v>80</v>
      </c>
      <c r="BE186" s="87">
        <f t="shared" si="78"/>
        <v>6984</v>
      </c>
      <c r="BF186" s="88">
        <f t="shared" si="78"/>
        <v>0</v>
      </c>
      <c r="BG186" s="98">
        <f t="shared" si="78"/>
        <v>0</v>
      </c>
      <c r="BH186" s="98">
        <f t="shared" si="78"/>
        <v>0</v>
      </c>
      <c r="BI186" s="98">
        <f t="shared" si="78"/>
        <v>3878</v>
      </c>
      <c r="BJ186" s="98">
        <f t="shared" si="78"/>
        <v>0</v>
      </c>
      <c r="BK186" s="98">
        <f t="shared" si="78"/>
        <v>0</v>
      </c>
      <c r="BL186" s="97">
        <f t="shared" si="78"/>
        <v>0</v>
      </c>
    </row>
    <row r="187" spans="1:64" outlineLevel="2" x14ac:dyDescent="0.3">
      <c r="A187" s="81" t="s">
        <v>75</v>
      </c>
      <c r="B187" s="82"/>
      <c r="C187" s="83">
        <f t="shared" ref="C187:BL187" si="79">IFERROR(SUBTOTAL(1,C154:C184),"")</f>
        <v>37.29354838709677</v>
      </c>
      <c r="D187" s="84">
        <f t="shared" si="79"/>
        <v>37.335483870967735</v>
      </c>
      <c r="E187" s="84">
        <f t="shared" si="79"/>
        <v>37.193548387096776</v>
      </c>
      <c r="F187" s="84" t="str">
        <f t="shared" si="79"/>
        <v/>
      </c>
      <c r="G187" s="84" t="str">
        <f t="shared" si="79"/>
        <v/>
      </c>
      <c r="H187" s="84" t="str">
        <f t="shared" si="79"/>
        <v/>
      </c>
      <c r="I187" s="84" t="str">
        <f t="shared" si="79"/>
        <v/>
      </c>
      <c r="J187" s="84" t="str">
        <f t="shared" si="79"/>
        <v/>
      </c>
      <c r="K187" s="84" t="str">
        <f t="shared" si="79"/>
        <v/>
      </c>
      <c r="L187" s="85">
        <f t="shared" si="79"/>
        <v>8.2416666666666654</v>
      </c>
      <c r="M187" s="86">
        <f t="shared" si="79"/>
        <v>8.2316666666666656</v>
      </c>
      <c r="N187" s="86">
        <f t="shared" si="79"/>
        <v>8.2491666666666674</v>
      </c>
      <c r="O187" s="86" t="str">
        <f t="shared" si="79"/>
        <v/>
      </c>
      <c r="P187" s="86" t="str">
        <f t="shared" si="79"/>
        <v/>
      </c>
      <c r="Q187" s="86" t="str">
        <f t="shared" si="79"/>
        <v/>
      </c>
      <c r="R187" s="86" t="str">
        <f t="shared" si="79"/>
        <v/>
      </c>
      <c r="S187" s="86" t="str">
        <f t="shared" si="79"/>
        <v/>
      </c>
      <c r="T187" s="86" t="str">
        <f t="shared" si="79"/>
        <v/>
      </c>
      <c r="U187" s="87">
        <f t="shared" si="79"/>
        <v>1315.875</v>
      </c>
      <c r="V187" s="88">
        <f t="shared" si="79"/>
        <v>1324.1666666666667</v>
      </c>
      <c r="W187" s="88">
        <f t="shared" si="79"/>
        <v>1307.5833333333333</v>
      </c>
      <c r="X187" s="88" t="str">
        <f t="shared" si="79"/>
        <v/>
      </c>
      <c r="Y187" s="88" t="str">
        <f t="shared" si="79"/>
        <v/>
      </c>
      <c r="Z187" s="88" t="str">
        <f t="shared" si="79"/>
        <v/>
      </c>
      <c r="AA187" s="88" t="str">
        <f t="shared" si="79"/>
        <v/>
      </c>
      <c r="AB187" s="88" t="str">
        <f t="shared" si="79"/>
        <v/>
      </c>
      <c r="AC187" s="88" t="str">
        <f t="shared" si="79"/>
        <v/>
      </c>
      <c r="AD187" s="87">
        <f t="shared" si="79"/>
        <v>9470</v>
      </c>
      <c r="AE187" s="88">
        <f t="shared" si="79"/>
        <v>9420</v>
      </c>
      <c r="AF187" s="88">
        <f t="shared" si="79"/>
        <v>9520</v>
      </c>
      <c r="AG187" s="88" t="str">
        <f t="shared" si="79"/>
        <v/>
      </c>
      <c r="AH187" s="88" t="str">
        <f t="shared" si="79"/>
        <v/>
      </c>
      <c r="AI187" s="88" t="str">
        <f t="shared" si="79"/>
        <v/>
      </c>
      <c r="AJ187" s="88" t="str">
        <f t="shared" si="79"/>
        <v/>
      </c>
      <c r="AK187" s="88" t="str">
        <f t="shared" si="79"/>
        <v/>
      </c>
      <c r="AL187" s="88" t="str">
        <f t="shared" si="79"/>
        <v/>
      </c>
      <c r="AM187" s="88">
        <f t="shared" si="79"/>
        <v>40.870406495052961</v>
      </c>
      <c r="AN187" s="88">
        <f t="shared" si="79"/>
        <v>118.23870967741934</v>
      </c>
      <c r="AO187" s="89">
        <f t="shared" si="79"/>
        <v>20.8</v>
      </c>
      <c r="AP187" s="90">
        <f t="shared" si="79"/>
        <v>16.369600000000002</v>
      </c>
      <c r="AQ187" s="91">
        <f t="shared" si="79"/>
        <v>78.7</v>
      </c>
      <c r="AR187" s="91">
        <f t="shared" si="79"/>
        <v>21.299999999999997</v>
      </c>
      <c r="AS187" s="92">
        <f t="shared" si="79"/>
        <v>29</v>
      </c>
      <c r="AT187" s="93">
        <f t="shared" si="79"/>
        <v>14.108333333333334</v>
      </c>
      <c r="AU187" s="94">
        <f t="shared" si="79"/>
        <v>7.7700708333333326</v>
      </c>
      <c r="AV187" s="91">
        <f t="shared" si="79"/>
        <v>55.087963282743097</v>
      </c>
      <c r="AW187" s="91">
        <f t="shared" si="79"/>
        <v>44.91203671725691</v>
      </c>
      <c r="AX187" s="83">
        <f t="shared" si="79"/>
        <v>70.660611597181671</v>
      </c>
      <c r="AY187" s="95">
        <f t="shared" si="79"/>
        <v>75.216666666666669</v>
      </c>
      <c r="AZ187" s="96">
        <f t="shared" si="79"/>
        <v>62.851052631578952</v>
      </c>
      <c r="BA187" s="96" t="str">
        <f t="shared" si="79"/>
        <v/>
      </c>
      <c r="BB187" s="96">
        <f t="shared" si="79"/>
        <v>56.55263157894737</v>
      </c>
      <c r="BC187" s="96" t="str">
        <f t="shared" si="79"/>
        <v/>
      </c>
      <c r="BD187" s="97">
        <f>IFERROR(SUBTOTAL(1,BD154:BD184),"")</f>
        <v>118.23870967741934</v>
      </c>
      <c r="BE187" s="87">
        <f t="shared" si="79"/>
        <v>13454.741935483871</v>
      </c>
      <c r="BF187" s="88">
        <f t="shared" si="79"/>
        <v>410.80645161290323</v>
      </c>
      <c r="BG187" s="98">
        <f t="shared" si="79"/>
        <v>2346.5483870967741</v>
      </c>
      <c r="BH187" s="98">
        <f t="shared" si="79"/>
        <v>4843.4193548387093</v>
      </c>
      <c r="BI187" s="98">
        <f t="shared" si="79"/>
        <v>5853.9677419354839</v>
      </c>
      <c r="BJ187" s="98" t="str">
        <f t="shared" si="79"/>
        <v/>
      </c>
      <c r="BK187" s="98" t="str">
        <f t="shared" si="79"/>
        <v/>
      </c>
      <c r="BL187" s="97" t="str">
        <f t="shared" si="79"/>
        <v/>
      </c>
    </row>
    <row r="188" spans="1:64" ht="17.25" outlineLevel="1" thickBot="1" x14ac:dyDescent="0.35">
      <c r="A188" s="99" t="s">
        <v>76</v>
      </c>
      <c r="B188" s="100"/>
      <c r="C188" s="101"/>
      <c r="D188" s="102"/>
      <c r="E188" s="102"/>
      <c r="F188" s="102"/>
      <c r="G188" s="102"/>
      <c r="H188" s="102"/>
      <c r="I188" s="102"/>
      <c r="J188" s="102"/>
      <c r="K188" s="102"/>
      <c r="L188" s="103"/>
      <c r="M188" s="104"/>
      <c r="N188" s="104"/>
      <c r="O188" s="104"/>
      <c r="P188" s="104"/>
      <c r="Q188" s="104"/>
      <c r="R188" s="104"/>
      <c r="S188" s="104"/>
      <c r="T188" s="104"/>
      <c r="U188" s="105"/>
      <c r="V188" s="106"/>
      <c r="W188" s="106"/>
      <c r="X188" s="106"/>
      <c r="Y188" s="106"/>
      <c r="Z188" s="106"/>
      <c r="AA188" s="106"/>
      <c r="AB188" s="106"/>
      <c r="AC188" s="106"/>
      <c r="AD188" s="105"/>
      <c r="AE188" s="106"/>
      <c r="AF188" s="106"/>
      <c r="AG188" s="106"/>
      <c r="AH188" s="106"/>
      <c r="AI188" s="106"/>
      <c r="AJ188" s="106"/>
      <c r="AK188" s="106"/>
      <c r="AL188" s="106"/>
      <c r="AM188" s="106"/>
      <c r="AN188" s="107">
        <f>SUBTOTAL(9,AN154:AN184)</f>
        <v>3665.3999999999996</v>
      </c>
      <c r="AO188" s="108"/>
      <c r="AP188" s="109"/>
      <c r="AQ188" s="110"/>
      <c r="AR188" s="110"/>
      <c r="AS188" s="111">
        <f>SUBTOTAL(9,AS154:AS184)</f>
        <v>899</v>
      </c>
      <c r="AT188" s="112"/>
      <c r="AU188" s="113"/>
      <c r="AV188" s="110"/>
      <c r="AW188" s="110"/>
      <c r="AX188" s="101"/>
      <c r="AY188" s="114"/>
      <c r="AZ188" s="115"/>
      <c r="BA188" s="115"/>
      <c r="BB188" s="115"/>
      <c r="BC188" s="115"/>
      <c r="BD188" s="116">
        <f>SUBTOTAL(9,BD154:BD184)</f>
        <v>3665.3999999999996</v>
      </c>
      <c r="BE188" s="117">
        <f t="shared" ref="BE188:BL188" si="80">SUBTOTAL(9,BE154:BE184)</f>
        <v>417097</v>
      </c>
      <c r="BF188" s="107">
        <f t="shared" si="80"/>
        <v>12735</v>
      </c>
      <c r="BG188" s="118">
        <f t="shared" si="80"/>
        <v>72743</v>
      </c>
      <c r="BH188" s="118">
        <f t="shared" si="80"/>
        <v>150146</v>
      </c>
      <c r="BI188" s="118">
        <f t="shared" si="80"/>
        <v>181473</v>
      </c>
      <c r="BJ188" s="118">
        <f t="shared" si="80"/>
        <v>0</v>
      </c>
      <c r="BK188" s="118">
        <f t="shared" si="80"/>
        <v>0</v>
      </c>
      <c r="BL188" s="116">
        <f t="shared" si="80"/>
        <v>0</v>
      </c>
    </row>
    <row r="189" spans="1:64" outlineLevel="5" x14ac:dyDescent="0.3">
      <c r="A189" s="136">
        <f t="shared" si="76"/>
        <v>6</v>
      </c>
      <c r="B189" s="165">
        <f>B184+1</f>
        <v>45078</v>
      </c>
      <c r="C189" s="138">
        <f t="shared" ref="C189:C218" si="81">IFERROR(ROUND(AVERAGE(D189:K189),1),"")</f>
        <v>37.799999999999997</v>
      </c>
      <c r="D189" s="84">
        <v>37.9</v>
      </c>
      <c r="E189" s="84">
        <v>37.700000000000003</v>
      </c>
      <c r="F189" s="84"/>
      <c r="G189" s="84"/>
      <c r="H189" s="84"/>
      <c r="I189" s="84"/>
      <c r="J189" s="84"/>
      <c r="K189" s="84"/>
      <c r="L189" s="140">
        <f t="shared" ref="L189:L218" si="82">IFERROR(ROUND(AVERAGE(M189:T189),1),"")</f>
        <v>8.1999999999999993</v>
      </c>
      <c r="M189" s="86">
        <v>8.2200000000000006</v>
      </c>
      <c r="N189" s="86">
        <v>8.17</v>
      </c>
      <c r="O189" s="86"/>
      <c r="P189" s="86"/>
      <c r="Q189" s="86"/>
      <c r="R189" s="86"/>
      <c r="S189" s="86"/>
      <c r="T189" s="86"/>
      <c r="U189" s="142">
        <f t="shared" ref="U189:U218" si="83">IFERROR(ROUND(AVERAGE(V189:AC189),1),"")</f>
        <v>1319</v>
      </c>
      <c r="V189" s="88">
        <v>1092</v>
      </c>
      <c r="W189" s="88">
        <v>1546</v>
      </c>
      <c r="X189" s="88"/>
      <c r="Y189" s="88"/>
      <c r="Z189" s="88"/>
      <c r="AA189" s="88"/>
      <c r="AB189" s="88"/>
      <c r="AC189" s="88"/>
      <c r="AD189" s="142" t="str">
        <f t="shared" ref="AD189:AD218" si="84">IFERROR(ROUND(AVERAGE(AE189:AL189),1),"")</f>
        <v/>
      </c>
      <c r="AE189" s="88"/>
      <c r="AF189" s="88"/>
      <c r="AG189" s="88"/>
      <c r="AH189" s="88"/>
      <c r="AI189" s="88"/>
      <c r="AJ189" s="88"/>
      <c r="AK189" s="88"/>
      <c r="AL189" s="88"/>
      <c r="AM189" s="88">
        <v>39.939075985784392</v>
      </c>
      <c r="AN189" s="88">
        <v>118.18</v>
      </c>
      <c r="AO189" s="89"/>
      <c r="AP189" s="90"/>
      <c r="AQ189" s="146" t="str">
        <f t="shared" ref="AQ189:AQ218" si="85">IFERROR(AP189/AO189*100,"")</f>
        <v/>
      </c>
      <c r="AR189" s="146" t="str">
        <f t="shared" ref="AR189:AR218" si="86">IFERROR(100-AQ189,"")</f>
        <v/>
      </c>
      <c r="AS189" s="147">
        <v>40</v>
      </c>
      <c r="AT189" s="148">
        <v>14.45</v>
      </c>
      <c r="AU189" s="149">
        <v>8.1705500000000004</v>
      </c>
      <c r="AV189" s="146">
        <f t="shared" ref="AV189:AV218" si="87">IFERROR(AU189/AT189*100,"")</f>
        <v>56.543598615916956</v>
      </c>
      <c r="AW189" s="146">
        <f t="shared" ref="AW189:AW218" si="88">IFERROR(100-AV189,"")</f>
        <v>43.456401384083044</v>
      </c>
      <c r="AX189" s="138" t="str">
        <f t="shared" ref="AX189:AX218" si="89">IFERROR((1-((AV189*AR189)/(AW189*AQ189)))*100,"")</f>
        <v/>
      </c>
      <c r="AY189" s="95">
        <v>73.900000000000006</v>
      </c>
      <c r="AZ189" s="96">
        <v>61.61</v>
      </c>
      <c r="BA189" s="96"/>
      <c r="BB189" s="96">
        <v>58</v>
      </c>
      <c r="BC189" s="96"/>
      <c r="BD189" s="97">
        <v>118.18</v>
      </c>
      <c r="BE189" s="142">
        <f t="shared" ref="BE189:BE218" si="90">IF(SUM(BF189:BL189)=0,"",SUM(BF189:BL189))</f>
        <v>15495</v>
      </c>
      <c r="BF189" s="98">
        <v>1147</v>
      </c>
      <c r="BG189" s="98">
        <v>2205</v>
      </c>
      <c r="BH189" s="98">
        <v>6038</v>
      </c>
      <c r="BI189" s="98">
        <v>6105</v>
      </c>
      <c r="BJ189" s="98"/>
      <c r="BK189" s="98"/>
      <c r="BL189" s="98"/>
    </row>
    <row r="190" spans="1:64" outlineLevel="5" x14ac:dyDescent="0.3">
      <c r="A190" s="152">
        <f t="shared" si="76"/>
        <v>6</v>
      </c>
      <c r="B190" s="153">
        <f t="shared" si="75"/>
        <v>45079</v>
      </c>
      <c r="C190" s="138">
        <f t="shared" si="81"/>
        <v>38</v>
      </c>
      <c r="D190" s="84">
        <v>38.1</v>
      </c>
      <c r="E190" s="84">
        <v>37.9</v>
      </c>
      <c r="F190" s="84"/>
      <c r="G190" s="84"/>
      <c r="H190" s="84"/>
      <c r="I190" s="84"/>
      <c r="J190" s="84"/>
      <c r="K190" s="84"/>
      <c r="L190" s="140" t="str">
        <f t="shared" si="82"/>
        <v/>
      </c>
      <c r="M190" s="86"/>
      <c r="N190" s="86"/>
      <c r="O190" s="86"/>
      <c r="P190" s="86"/>
      <c r="Q190" s="86"/>
      <c r="R190" s="86"/>
      <c r="S190" s="86"/>
      <c r="T190" s="86"/>
      <c r="U190" s="142" t="str">
        <f t="shared" si="83"/>
        <v/>
      </c>
      <c r="V190" s="88"/>
      <c r="W190" s="88"/>
      <c r="X190" s="88"/>
      <c r="Y190" s="88"/>
      <c r="Z190" s="88"/>
      <c r="AA190" s="88"/>
      <c r="AB190" s="88"/>
      <c r="AC190" s="88"/>
      <c r="AD190" s="142" t="str">
        <f t="shared" si="84"/>
        <v/>
      </c>
      <c r="AE190" s="88"/>
      <c r="AF190" s="88"/>
      <c r="AG190" s="88"/>
      <c r="AH190" s="88"/>
      <c r="AI190" s="88"/>
      <c r="AJ190" s="88"/>
      <c r="AK190" s="88"/>
      <c r="AL190" s="88"/>
      <c r="AM190" s="88">
        <v>50.37353255069371</v>
      </c>
      <c r="AN190" s="88">
        <v>93.699999999999989</v>
      </c>
      <c r="AO190" s="89"/>
      <c r="AP190" s="90"/>
      <c r="AQ190" s="146" t="str">
        <f t="shared" si="85"/>
        <v/>
      </c>
      <c r="AR190" s="146" t="str">
        <f t="shared" si="86"/>
        <v/>
      </c>
      <c r="AS190" s="147">
        <v>43</v>
      </c>
      <c r="AT190" s="148"/>
      <c r="AU190" s="149"/>
      <c r="AV190" s="146" t="str">
        <f t="shared" si="87"/>
        <v/>
      </c>
      <c r="AW190" s="146" t="str">
        <f t="shared" si="88"/>
        <v/>
      </c>
      <c r="AX190" s="138" t="str">
        <f t="shared" si="89"/>
        <v/>
      </c>
      <c r="AY190" s="95"/>
      <c r="AZ190" s="96">
        <v>62.275000000000006</v>
      </c>
      <c r="BA190" s="96"/>
      <c r="BB190" s="96">
        <v>65</v>
      </c>
      <c r="BC190" s="96"/>
      <c r="BD190" s="97">
        <v>93.699999999999989</v>
      </c>
      <c r="BE190" s="142">
        <f t="shared" si="90"/>
        <v>13661</v>
      </c>
      <c r="BF190" s="98">
        <v>899</v>
      </c>
      <c r="BG190" s="98">
        <v>2721</v>
      </c>
      <c r="BH190" s="98">
        <v>4135</v>
      </c>
      <c r="BI190" s="98">
        <v>5906</v>
      </c>
      <c r="BJ190" s="98"/>
      <c r="BK190" s="98"/>
      <c r="BL190" s="98"/>
    </row>
    <row r="191" spans="1:64" outlineLevel="5" x14ac:dyDescent="0.3">
      <c r="A191" s="152">
        <f t="shared" si="76"/>
        <v>6</v>
      </c>
      <c r="B191" s="153">
        <f t="shared" si="75"/>
        <v>45080</v>
      </c>
      <c r="C191" s="138">
        <f t="shared" si="81"/>
        <v>38.5</v>
      </c>
      <c r="D191" s="84">
        <v>38.6</v>
      </c>
      <c r="E191" s="84">
        <v>38.299999999999997</v>
      </c>
      <c r="F191" s="84"/>
      <c r="G191" s="84"/>
      <c r="H191" s="84"/>
      <c r="I191" s="84"/>
      <c r="J191" s="84"/>
      <c r="K191" s="84"/>
      <c r="L191" s="140" t="str">
        <f t="shared" si="82"/>
        <v/>
      </c>
      <c r="M191" s="86"/>
      <c r="N191" s="86"/>
      <c r="O191" s="86"/>
      <c r="P191" s="86"/>
      <c r="Q191" s="86"/>
      <c r="R191" s="86"/>
      <c r="S191" s="86"/>
      <c r="T191" s="86"/>
      <c r="U191" s="142" t="str">
        <f t="shared" si="83"/>
        <v/>
      </c>
      <c r="V191" s="88"/>
      <c r="W191" s="88"/>
      <c r="X191" s="88"/>
      <c r="Y191" s="88"/>
      <c r="Z191" s="88"/>
      <c r="AA191" s="88"/>
      <c r="AB191" s="88"/>
      <c r="AC191" s="88"/>
      <c r="AD191" s="142" t="str">
        <f t="shared" si="84"/>
        <v/>
      </c>
      <c r="AE191" s="88"/>
      <c r="AF191" s="88"/>
      <c r="AG191" s="88"/>
      <c r="AH191" s="88"/>
      <c r="AI191" s="88"/>
      <c r="AJ191" s="88"/>
      <c r="AK191" s="88"/>
      <c r="AL191" s="88"/>
      <c r="AM191" s="88">
        <v>37.501986334021929</v>
      </c>
      <c r="AN191" s="88">
        <v>125.86</v>
      </c>
      <c r="AO191" s="89"/>
      <c r="AP191" s="90"/>
      <c r="AQ191" s="146" t="str">
        <f t="shared" si="85"/>
        <v/>
      </c>
      <c r="AR191" s="146" t="str">
        <f t="shared" si="86"/>
        <v/>
      </c>
      <c r="AS191" s="147">
        <v>10</v>
      </c>
      <c r="AT191" s="148"/>
      <c r="AU191" s="149"/>
      <c r="AV191" s="146" t="str">
        <f t="shared" si="87"/>
        <v/>
      </c>
      <c r="AW191" s="146" t="str">
        <f t="shared" si="88"/>
        <v/>
      </c>
      <c r="AX191" s="138" t="str">
        <f t="shared" si="89"/>
        <v/>
      </c>
      <c r="AY191" s="95"/>
      <c r="AZ191" s="96"/>
      <c r="BA191" s="96"/>
      <c r="BB191" s="96"/>
      <c r="BC191" s="96"/>
      <c r="BD191" s="97">
        <v>125.86</v>
      </c>
      <c r="BE191" s="142">
        <f t="shared" si="90"/>
        <v>7053</v>
      </c>
      <c r="BF191" s="98">
        <v>772</v>
      </c>
      <c r="BG191" s="98">
        <v>478</v>
      </c>
      <c r="BH191" s="98">
        <v>0</v>
      </c>
      <c r="BI191" s="98">
        <v>5803</v>
      </c>
      <c r="BJ191" s="98"/>
      <c r="BK191" s="98"/>
      <c r="BL191" s="98"/>
    </row>
    <row r="192" spans="1:64" outlineLevel="5" x14ac:dyDescent="0.3">
      <c r="A192" s="152">
        <f t="shared" si="76"/>
        <v>6</v>
      </c>
      <c r="B192" s="153">
        <f t="shared" si="75"/>
        <v>45081</v>
      </c>
      <c r="C192" s="138">
        <f t="shared" si="81"/>
        <v>39</v>
      </c>
      <c r="D192" s="84">
        <v>39.1</v>
      </c>
      <c r="E192" s="84">
        <v>38.799999999999997</v>
      </c>
      <c r="F192" s="84"/>
      <c r="G192" s="84"/>
      <c r="H192" s="84"/>
      <c r="I192" s="84"/>
      <c r="J192" s="84"/>
      <c r="K192" s="84"/>
      <c r="L192" s="140" t="str">
        <f t="shared" si="82"/>
        <v/>
      </c>
      <c r="M192" s="86"/>
      <c r="N192" s="86"/>
      <c r="O192" s="86"/>
      <c r="P192" s="86"/>
      <c r="Q192" s="86"/>
      <c r="R192" s="86"/>
      <c r="S192" s="86"/>
      <c r="T192" s="86"/>
      <c r="U192" s="142" t="str">
        <f t="shared" si="83"/>
        <v/>
      </c>
      <c r="V192" s="88"/>
      <c r="W192" s="88"/>
      <c r="X192" s="88"/>
      <c r="Y192" s="88"/>
      <c r="Z192" s="88"/>
      <c r="AA192" s="88"/>
      <c r="AB192" s="88"/>
      <c r="AC192" s="88"/>
      <c r="AD192" s="142" t="str">
        <f t="shared" si="84"/>
        <v/>
      </c>
      <c r="AE192" s="88"/>
      <c r="AF192" s="88"/>
      <c r="AG192" s="88"/>
      <c r="AH192" s="88"/>
      <c r="AI192" s="88"/>
      <c r="AJ192" s="88"/>
      <c r="AK192" s="88"/>
      <c r="AL192" s="88"/>
      <c r="AM192" s="88">
        <v>37.76</v>
      </c>
      <c r="AN192" s="88">
        <v>125</v>
      </c>
      <c r="AO192" s="89"/>
      <c r="AP192" s="90"/>
      <c r="AQ192" s="146" t="str">
        <f t="shared" si="85"/>
        <v/>
      </c>
      <c r="AR192" s="146" t="str">
        <f t="shared" si="86"/>
        <v/>
      </c>
      <c r="AS192" s="147">
        <v>15</v>
      </c>
      <c r="AT192" s="148"/>
      <c r="AU192" s="149"/>
      <c r="AV192" s="146" t="str">
        <f t="shared" si="87"/>
        <v/>
      </c>
      <c r="AW192" s="146" t="str">
        <f t="shared" si="88"/>
        <v/>
      </c>
      <c r="AX192" s="138" t="str">
        <f t="shared" si="89"/>
        <v/>
      </c>
      <c r="AY192" s="95"/>
      <c r="AZ192" s="96"/>
      <c r="BA192" s="96"/>
      <c r="BB192" s="96"/>
      <c r="BC192" s="96"/>
      <c r="BD192" s="97">
        <v>125</v>
      </c>
      <c r="BE192" s="142">
        <f t="shared" si="90"/>
        <v>5544</v>
      </c>
      <c r="BF192" s="98">
        <v>0</v>
      </c>
      <c r="BG192" s="98">
        <v>0</v>
      </c>
      <c r="BH192" s="98">
        <v>0</v>
      </c>
      <c r="BI192" s="98">
        <v>5544</v>
      </c>
      <c r="BJ192" s="98"/>
      <c r="BK192" s="98"/>
      <c r="BL192" s="98"/>
    </row>
    <row r="193" spans="1:64" outlineLevel="5" x14ac:dyDescent="0.3">
      <c r="A193" s="152">
        <f t="shared" si="76"/>
        <v>6</v>
      </c>
      <c r="B193" s="153">
        <f t="shared" si="75"/>
        <v>45082</v>
      </c>
      <c r="C193" s="138">
        <f t="shared" si="81"/>
        <v>38.4</v>
      </c>
      <c r="D193" s="84">
        <v>38.5</v>
      </c>
      <c r="E193" s="84">
        <v>38.200000000000003</v>
      </c>
      <c r="F193" s="84"/>
      <c r="G193" s="84"/>
      <c r="H193" s="84"/>
      <c r="I193" s="84"/>
      <c r="J193" s="84"/>
      <c r="K193" s="84"/>
      <c r="L193" s="140">
        <f t="shared" si="82"/>
        <v>8.1999999999999993</v>
      </c>
      <c r="M193" s="86">
        <v>8.16</v>
      </c>
      <c r="N193" s="86">
        <v>8.2200000000000006</v>
      </c>
      <c r="O193" s="86"/>
      <c r="P193" s="86"/>
      <c r="Q193" s="86"/>
      <c r="R193" s="86"/>
      <c r="S193" s="86"/>
      <c r="T193" s="86"/>
      <c r="U193" s="142">
        <f t="shared" si="83"/>
        <v>1432.5</v>
      </c>
      <c r="V193" s="88">
        <v>1189</v>
      </c>
      <c r="W193" s="88">
        <v>1676</v>
      </c>
      <c r="X193" s="88"/>
      <c r="Y193" s="88"/>
      <c r="Z193" s="88"/>
      <c r="AA193" s="88"/>
      <c r="AB193" s="88"/>
      <c r="AC193" s="88"/>
      <c r="AD193" s="142" t="str">
        <f t="shared" si="84"/>
        <v/>
      </c>
      <c r="AE193" s="88"/>
      <c r="AF193" s="88"/>
      <c r="AG193" s="88"/>
      <c r="AH193" s="88"/>
      <c r="AI193" s="88"/>
      <c r="AJ193" s="88"/>
      <c r="AK193" s="88"/>
      <c r="AL193" s="88"/>
      <c r="AM193" s="88">
        <v>37.914691943127963</v>
      </c>
      <c r="AN193" s="88">
        <v>124.49000000000001</v>
      </c>
      <c r="AO193" s="89">
        <v>19.8</v>
      </c>
      <c r="AP193" s="90">
        <v>15.8796</v>
      </c>
      <c r="AQ193" s="146">
        <f t="shared" si="85"/>
        <v>80.199999999999989</v>
      </c>
      <c r="AR193" s="146">
        <f t="shared" si="86"/>
        <v>19.800000000000011</v>
      </c>
      <c r="AS193" s="147">
        <v>0</v>
      </c>
      <c r="AT193" s="148">
        <v>14.15</v>
      </c>
      <c r="AU193" s="149">
        <v>7.7486000000000015</v>
      </c>
      <c r="AV193" s="146">
        <f t="shared" si="87"/>
        <v>54.760424028268559</v>
      </c>
      <c r="AW193" s="146">
        <f t="shared" si="88"/>
        <v>45.239575971731441</v>
      </c>
      <c r="AX193" s="138">
        <f t="shared" si="89"/>
        <v>70.115974474723274</v>
      </c>
      <c r="AY193" s="95">
        <v>74.099999999999994</v>
      </c>
      <c r="AZ193" s="96"/>
      <c r="BA193" s="96"/>
      <c r="BB193" s="96"/>
      <c r="BC193" s="96"/>
      <c r="BD193" s="97">
        <v>124.49000000000001</v>
      </c>
      <c r="BE193" s="142">
        <f t="shared" si="90"/>
        <v>8891</v>
      </c>
      <c r="BF193" s="98">
        <v>0</v>
      </c>
      <c r="BG193" s="98">
        <v>1790</v>
      </c>
      <c r="BH193" s="98">
        <v>941</v>
      </c>
      <c r="BI193" s="98">
        <v>6160</v>
      </c>
      <c r="BJ193" s="98"/>
      <c r="BK193" s="98"/>
      <c r="BL193" s="98"/>
    </row>
    <row r="194" spans="1:64" outlineLevel="5" x14ac:dyDescent="0.3">
      <c r="A194" s="152">
        <f t="shared" si="76"/>
        <v>6</v>
      </c>
      <c r="B194" s="153">
        <f t="shared" si="75"/>
        <v>45083</v>
      </c>
      <c r="C194" s="138">
        <f t="shared" si="81"/>
        <v>38.200000000000003</v>
      </c>
      <c r="D194" s="84">
        <v>38.299999999999997</v>
      </c>
      <c r="E194" s="84">
        <v>38</v>
      </c>
      <c r="F194" s="84"/>
      <c r="G194" s="84"/>
      <c r="H194" s="84"/>
      <c r="I194" s="84"/>
      <c r="J194" s="84"/>
      <c r="K194" s="84"/>
      <c r="L194" s="140" t="str">
        <f t="shared" si="82"/>
        <v/>
      </c>
      <c r="M194" s="86"/>
      <c r="N194" s="86"/>
      <c r="O194" s="86"/>
      <c r="P194" s="86"/>
      <c r="Q194" s="86"/>
      <c r="R194" s="86"/>
      <c r="S194" s="86"/>
      <c r="T194" s="86"/>
      <c r="U194" s="142" t="str">
        <f t="shared" si="83"/>
        <v/>
      </c>
      <c r="V194" s="88"/>
      <c r="W194" s="88"/>
      <c r="X194" s="88"/>
      <c r="Y194" s="88"/>
      <c r="Z194" s="88"/>
      <c r="AA194" s="88"/>
      <c r="AB194" s="88"/>
      <c r="AC194" s="88"/>
      <c r="AD194" s="142" t="str">
        <f t="shared" si="84"/>
        <v/>
      </c>
      <c r="AE194" s="88"/>
      <c r="AF194" s="88"/>
      <c r="AG194" s="88"/>
      <c r="AH194" s="88"/>
      <c r="AI194" s="88"/>
      <c r="AJ194" s="88"/>
      <c r="AK194" s="88"/>
      <c r="AL194" s="88"/>
      <c r="AM194" s="88">
        <v>34.968143428656091</v>
      </c>
      <c r="AN194" s="88">
        <v>134.98000000000002</v>
      </c>
      <c r="AO194" s="89"/>
      <c r="AP194" s="90"/>
      <c r="AQ194" s="146" t="str">
        <f t="shared" si="85"/>
        <v/>
      </c>
      <c r="AR194" s="146" t="str">
        <f t="shared" si="86"/>
        <v/>
      </c>
      <c r="AS194" s="147">
        <v>0</v>
      </c>
      <c r="AT194" s="148"/>
      <c r="AU194" s="149"/>
      <c r="AV194" s="146" t="str">
        <f t="shared" si="87"/>
        <v/>
      </c>
      <c r="AW194" s="146" t="str">
        <f t="shared" si="88"/>
        <v/>
      </c>
      <c r="AX194" s="138" t="str">
        <f t="shared" si="89"/>
        <v/>
      </c>
      <c r="AY194" s="95"/>
      <c r="AZ194" s="96"/>
      <c r="BA194" s="96"/>
      <c r="BB194" s="96"/>
      <c r="BC194" s="96"/>
      <c r="BD194" s="97">
        <v>134.98000000000002</v>
      </c>
      <c r="BE194" s="142">
        <f t="shared" si="90"/>
        <v>15787</v>
      </c>
      <c r="BF194" s="98">
        <v>0</v>
      </c>
      <c r="BG194" s="98">
        <v>3304</v>
      </c>
      <c r="BH194" s="98">
        <v>6512</v>
      </c>
      <c r="BI194" s="98">
        <v>5971</v>
      </c>
      <c r="BJ194" s="98"/>
      <c r="BK194" s="98"/>
      <c r="BL194" s="98"/>
    </row>
    <row r="195" spans="1:64" outlineLevel="5" x14ac:dyDescent="0.3">
      <c r="A195" s="152">
        <f t="shared" si="76"/>
        <v>6</v>
      </c>
      <c r="B195" s="153">
        <f t="shared" si="75"/>
        <v>45084</v>
      </c>
      <c r="C195" s="138">
        <f t="shared" si="81"/>
        <v>37.6</v>
      </c>
      <c r="D195" s="84">
        <v>37.5</v>
      </c>
      <c r="E195" s="84">
        <v>37.700000000000003</v>
      </c>
      <c r="F195" s="84"/>
      <c r="G195" s="84"/>
      <c r="H195" s="84"/>
      <c r="I195" s="84"/>
      <c r="J195" s="84"/>
      <c r="K195" s="84"/>
      <c r="L195" s="140">
        <f t="shared" si="82"/>
        <v>8.1999999999999993</v>
      </c>
      <c r="M195" s="86">
        <v>8.19</v>
      </c>
      <c r="N195" s="86">
        <v>8.16</v>
      </c>
      <c r="O195" s="86"/>
      <c r="P195" s="86"/>
      <c r="Q195" s="86"/>
      <c r="R195" s="86"/>
      <c r="S195" s="86"/>
      <c r="T195" s="86"/>
      <c r="U195" s="142">
        <f t="shared" si="83"/>
        <v>1349.5</v>
      </c>
      <c r="V195" s="88">
        <v>1188</v>
      </c>
      <c r="W195" s="88">
        <v>1511</v>
      </c>
      <c r="X195" s="88"/>
      <c r="Y195" s="88"/>
      <c r="Z195" s="88"/>
      <c r="AA195" s="88"/>
      <c r="AB195" s="88"/>
      <c r="AC195" s="88"/>
      <c r="AD195" s="142">
        <f t="shared" si="84"/>
        <v>9595</v>
      </c>
      <c r="AE195" s="88">
        <v>9510</v>
      </c>
      <c r="AF195" s="88">
        <v>9680</v>
      </c>
      <c r="AG195" s="88"/>
      <c r="AH195" s="88"/>
      <c r="AI195" s="88"/>
      <c r="AJ195" s="88"/>
      <c r="AK195" s="88"/>
      <c r="AL195" s="88"/>
      <c r="AM195" s="88">
        <v>37.077769049489397</v>
      </c>
      <c r="AN195" s="88">
        <v>127.29999999999998</v>
      </c>
      <c r="AO195" s="89"/>
      <c r="AP195" s="90"/>
      <c r="AQ195" s="146" t="str">
        <f t="shared" si="85"/>
        <v/>
      </c>
      <c r="AR195" s="146" t="str">
        <f t="shared" si="86"/>
        <v/>
      </c>
      <c r="AS195" s="147">
        <v>44</v>
      </c>
      <c r="AT195" s="148">
        <v>13.95</v>
      </c>
      <c r="AU195" s="149">
        <v>7.7053500000000001</v>
      </c>
      <c r="AV195" s="146">
        <f t="shared" si="87"/>
        <v>55.235483870967748</v>
      </c>
      <c r="AW195" s="146">
        <f t="shared" si="88"/>
        <v>44.764516129032252</v>
      </c>
      <c r="AX195" s="138" t="str">
        <f t="shared" si="89"/>
        <v/>
      </c>
      <c r="AY195" s="95">
        <v>73.650000000000006</v>
      </c>
      <c r="AZ195" s="96"/>
      <c r="BA195" s="96"/>
      <c r="BB195" s="96"/>
      <c r="BC195" s="96"/>
      <c r="BD195" s="97">
        <v>127.29999999999998</v>
      </c>
      <c r="BE195" s="142">
        <f t="shared" si="90"/>
        <v>15685</v>
      </c>
      <c r="BF195" s="98">
        <v>0</v>
      </c>
      <c r="BG195" s="98">
        <v>3397</v>
      </c>
      <c r="BH195" s="98">
        <v>6464</v>
      </c>
      <c r="BI195" s="98">
        <v>5824</v>
      </c>
      <c r="BJ195" s="98"/>
      <c r="BK195" s="98"/>
      <c r="BL195" s="98"/>
    </row>
    <row r="196" spans="1:64" outlineLevel="5" x14ac:dyDescent="0.3">
      <c r="A196" s="152">
        <f t="shared" si="76"/>
        <v>6</v>
      </c>
      <c r="B196" s="153">
        <f t="shared" si="75"/>
        <v>45085</v>
      </c>
      <c r="C196" s="138">
        <f t="shared" si="81"/>
        <v>37.4</v>
      </c>
      <c r="D196" s="84">
        <v>37.299999999999997</v>
      </c>
      <c r="E196" s="84">
        <v>37.5</v>
      </c>
      <c r="F196" s="84"/>
      <c r="G196" s="84"/>
      <c r="H196" s="84"/>
      <c r="I196" s="84"/>
      <c r="J196" s="84"/>
      <c r="K196" s="84"/>
      <c r="L196" s="140">
        <f t="shared" si="82"/>
        <v>8.1</v>
      </c>
      <c r="M196" s="86">
        <v>8.11</v>
      </c>
      <c r="N196" s="86">
        <v>8.08</v>
      </c>
      <c r="O196" s="86"/>
      <c r="P196" s="86"/>
      <c r="Q196" s="86"/>
      <c r="R196" s="86"/>
      <c r="S196" s="86"/>
      <c r="T196" s="86"/>
      <c r="U196" s="142">
        <f t="shared" si="83"/>
        <v>1320.5</v>
      </c>
      <c r="V196" s="88">
        <v>1240</v>
      </c>
      <c r="W196" s="88">
        <v>1401</v>
      </c>
      <c r="X196" s="88"/>
      <c r="Y196" s="88"/>
      <c r="Z196" s="88"/>
      <c r="AA196" s="88"/>
      <c r="AB196" s="88"/>
      <c r="AC196" s="88"/>
      <c r="AD196" s="142" t="str">
        <f t="shared" si="84"/>
        <v/>
      </c>
      <c r="AE196" s="88"/>
      <c r="AF196" s="88"/>
      <c r="AG196" s="88"/>
      <c r="AH196" s="88"/>
      <c r="AI196" s="88"/>
      <c r="AJ196" s="88"/>
      <c r="AK196" s="88"/>
      <c r="AL196" s="88"/>
      <c r="AM196" s="88">
        <v>47.657512116316639</v>
      </c>
      <c r="AN196" s="88">
        <v>99.04</v>
      </c>
      <c r="AO196" s="89"/>
      <c r="AP196" s="90"/>
      <c r="AQ196" s="146" t="str">
        <f t="shared" si="85"/>
        <v/>
      </c>
      <c r="AR196" s="146" t="str">
        <f t="shared" si="86"/>
        <v/>
      </c>
      <c r="AS196" s="147">
        <v>40</v>
      </c>
      <c r="AT196" s="148">
        <v>13.6</v>
      </c>
      <c r="AU196" s="149">
        <v>7.5930999999999997</v>
      </c>
      <c r="AV196" s="146">
        <f t="shared" si="87"/>
        <v>55.83161764705882</v>
      </c>
      <c r="AW196" s="146">
        <f t="shared" si="88"/>
        <v>44.16838235294118</v>
      </c>
      <c r="AX196" s="138" t="str">
        <f t="shared" si="89"/>
        <v/>
      </c>
      <c r="AY196" s="95">
        <v>74.3</v>
      </c>
      <c r="AZ196" s="96">
        <v>66.09</v>
      </c>
      <c r="BA196" s="96"/>
      <c r="BB196" s="96">
        <v>50</v>
      </c>
      <c r="BC196" s="96"/>
      <c r="BD196" s="97">
        <v>99.04</v>
      </c>
      <c r="BE196" s="142">
        <f t="shared" si="90"/>
        <v>7369</v>
      </c>
      <c r="BF196" s="98">
        <v>201</v>
      </c>
      <c r="BG196" s="98">
        <v>1984</v>
      </c>
      <c r="BH196" s="98">
        <v>2226</v>
      </c>
      <c r="BI196" s="98">
        <v>2958</v>
      </c>
      <c r="BJ196" s="98"/>
      <c r="BK196" s="98"/>
      <c r="BL196" s="98"/>
    </row>
    <row r="197" spans="1:64" outlineLevel="5" x14ac:dyDescent="0.3">
      <c r="A197" s="152">
        <f t="shared" si="76"/>
        <v>6</v>
      </c>
      <c r="B197" s="153">
        <f t="shared" si="75"/>
        <v>45086</v>
      </c>
      <c r="C197" s="138">
        <f t="shared" si="81"/>
        <v>37.6</v>
      </c>
      <c r="D197" s="84">
        <v>37.4</v>
      </c>
      <c r="E197" s="84">
        <v>37.700000000000003</v>
      </c>
      <c r="F197" s="84"/>
      <c r="G197" s="84"/>
      <c r="H197" s="84"/>
      <c r="I197" s="84"/>
      <c r="J197" s="84"/>
      <c r="K197" s="84"/>
      <c r="L197" s="140" t="str">
        <f t="shared" si="82"/>
        <v/>
      </c>
      <c r="M197" s="86"/>
      <c r="N197" s="86"/>
      <c r="O197" s="86"/>
      <c r="P197" s="86"/>
      <c r="Q197" s="86"/>
      <c r="R197" s="86"/>
      <c r="S197" s="86"/>
      <c r="T197" s="86"/>
      <c r="U197" s="142" t="str">
        <f t="shared" si="83"/>
        <v/>
      </c>
      <c r="V197" s="88"/>
      <c r="W197" s="88"/>
      <c r="X197" s="88"/>
      <c r="Y197" s="88"/>
      <c r="Z197" s="88"/>
      <c r="AA197" s="88"/>
      <c r="AB197" s="88"/>
      <c r="AC197" s="88"/>
      <c r="AD197" s="142" t="str">
        <f t="shared" si="84"/>
        <v/>
      </c>
      <c r="AE197" s="88"/>
      <c r="AF197" s="88"/>
      <c r="AG197" s="88"/>
      <c r="AH197" s="88"/>
      <c r="AI197" s="88"/>
      <c r="AJ197" s="88"/>
      <c r="AK197" s="88"/>
      <c r="AL197" s="88"/>
      <c r="AM197" s="88">
        <v>45.48959136468774</v>
      </c>
      <c r="AN197" s="88">
        <v>103.76</v>
      </c>
      <c r="AO197" s="89"/>
      <c r="AP197" s="90"/>
      <c r="AQ197" s="146" t="str">
        <f t="shared" si="85"/>
        <v/>
      </c>
      <c r="AR197" s="146" t="str">
        <f t="shared" si="86"/>
        <v/>
      </c>
      <c r="AS197" s="147">
        <v>25</v>
      </c>
      <c r="AT197" s="148"/>
      <c r="AU197" s="149"/>
      <c r="AV197" s="146" t="str">
        <f t="shared" si="87"/>
        <v/>
      </c>
      <c r="AW197" s="146" t="str">
        <f t="shared" si="88"/>
        <v/>
      </c>
      <c r="AX197" s="138" t="str">
        <f t="shared" si="89"/>
        <v/>
      </c>
      <c r="AY197" s="95"/>
      <c r="AZ197" s="96"/>
      <c r="BA197" s="96"/>
      <c r="BB197" s="96"/>
      <c r="BC197" s="96"/>
      <c r="BD197" s="97">
        <v>103.76</v>
      </c>
      <c r="BE197" s="142">
        <f t="shared" si="90"/>
        <v>9971</v>
      </c>
      <c r="BF197" s="98">
        <v>753</v>
      </c>
      <c r="BG197" s="98">
        <v>385</v>
      </c>
      <c r="BH197" s="98">
        <v>2990</v>
      </c>
      <c r="BI197" s="98">
        <v>5843</v>
      </c>
      <c r="BJ197" s="98"/>
      <c r="BK197" s="98"/>
      <c r="BL197" s="98"/>
    </row>
    <row r="198" spans="1:64" outlineLevel="5" x14ac:dyDescent="0.3">
      <c r="A198" s="152">
        <f t="shared" si="76"/>
        <v>6</v>
      </c>
      <c r="B198" s="153">
        <f t="shared" si="75"/>
        <v>45087</v>
      </c>
      <c r="C198" s="138" t="str">
        <f t="shared" si="81"/>
        <v/>
      </c>
      <c r="D198" s="84"/>
      <c r="E198" s="84"/>
      <c r="F198" s="84"/>
      <c r="G198" s="84"/>
      <c r="H198" s="84"/>
      <c r="I198" s="84"/>
      <c r="J198" s="84"/>
      <c r="K198" s="84"/>
      <c r="L198" s="140" t="str">
        <f t="shared" si="82"/>
        <v/>
      </c>
      <c r="M198" s="86"/>
      <c r="N198" s="86"/>
      <c r="O198" s="86"/>
      <c r="P198" s="86"/>
      <c r="Q198" s="86"/>
      <c r="R198" s="86"/>
      <c r="S198" s="86"/>
      <c r="T198" s="86"/>
      <c r="U198" s="142" t="str">
        <f t="shared" si="83"/>
        <v/>
      </c>
      <c r="V198" s="88"/>
      <c r="W198" s="88"/>
      <c r="X198" s="88"/>
      <c r="Y198" s="88"/>
      <c r="Z198" s="88"/>
      <c r="AA198" s="88"/>
      <c r="AB198" s="88"/>
      <c r="AC198" s="88"/>
      <c r="AD198" s="142" t="str">
        <f t="shared" si="84"/>
        <v/>
      </c>
      <c r="AE198" s="88"/>
      <c r="AF198" s="88"/>
      <c r="AG198" s="88"/>
      <c r="AH198" s="88"/>
      <c r="AI198" s="88"/>
      <c r="AJ198" s="88"/>
      <c r="AK198" s="88"/>
      <c r="AL198" s="88"/>
      <c r="AM198" s="88">
        <v>68.824730242053079</v>
      </c>
      <c r="AN198" s="88">
        <v>68.58</v>
      </c>
      <c r="AO198" s="89"/>
      <c r="AP198" s="90"/>
      <c r="AQ198" s="146" t="str">
        <f t="shared" si="85"/>
        <v/>
      </c>
      <c r="AR198" s="146" t="str">
        <f t="shared" si="86"/>
        <v/>
      </c>
      <c r="AS198" s="147">
        <v>10</v>
      </c>
      <c r="AT198" s="148"/>
      <c r="AU198" s="149"/>
      <c r="AV198" s="146" t="str">
        <f t="shared" si="87"/>
        <v/>
      </c>
      <c r="AW198" s="146" t="str">
        <f t="shared" si="88"/>
        <v/>
      </c>
      <c r="AX198" s="138" t="str">
        <f t="shared" si="89"/>
        <v/>
      </c>
      <c r="AY198" s="95"/>
      <c r="AZ198" s="96"/>
      <c r="BA198" s="96"/>
      <c r="BB198" s="96"/>
      <c r="BC198" s="96"/>
      <c r="BD198" s="97">
        <v>68.58</v>
      </c>
      <c r="BE198" s="142">
        <f t="shared" si="90"/>
        <v>8846</v>
      </c>
      <c r="BF198" s="98">
        <v>0</v>
      </c>
      <c r="BG198" s="98">
        <v>0</v>
      </c>
      <c r="BH198" s="98">
        <v>2947</v>
      </c>
      <c r="BI198" s="98">
        <v>5899</v>
      </c>
      <c r="BJ198" s="98"/>
      <c r="BK198" s="98"/>
      <c r="BL198" s="98"/>
    </row>
    <row r="199" spans="1:64" outlineLevel="5" x14ac:dyDescent="0.3">
      <c r="A199" s="152">
        <f t="shared" si="76"/>
        <v>6</v>
      </c>
      <c r="B199" s="153">
        <f t="shared" si="75"/>
        <v>45088</v>
      </c>
      <c r="C199" s="138">
        <f t="shared" si="81"/>
        <v>38</v>
      </c>
      <c r="D199" s="84">
        <v>38</v>
      </c>
      <c r="E199" s="84">
        <v>37.9</v>
      </c>
      <c r="F199" s="84"/>
      <c r="G199" s="84"/>
      <c r="H199" s="84"/>
      <c r="I199" s="84"/>
      <c r="J199" s="84"/>
      <c r="K199" s="84"/>
      <c r="L199" s="140" t="str">
        <f t="shared" si="82"/>
        <v/>
      </c>
      <c r="M199" s="86"/>
      <c r="N199" s="86"/>
      <c r="O199" s="86"/>
      <c r="P199" s="86"/>
      <c r="Q199" s="86"/>
      <c r="R199" s="86"/>
      <c r="S199" s="86"/>
      <c r="T199" s="86"/>
      <c r="U199" s="142" t="str">
        <f t="shared" si="83"/>
        <v/>
      </c>
      <c r="V199" s="88"/>
      <c r="W199" s="88"/>
      <c r="X199" s="88"/>
      <c r="Y199" s="88"/>
      <c r="Z199" s="88"/>
      <c r="AA199" s="88"/>
      <c r="AB199" s="88"/>
      <c r="AC199" s="88"/>
      <c r="AD199" s="142" t="str">
        <f t="shared" si="84"/>
        <v/>
      </c>
      <c r="AE199" s="88"/>
      <c r="AF199" s="88"/>
      <c r="AG199" s="88"/>
      <c r="AH199" s="88"/>
      <c r="AI199" s="88"/>
      <c r="AJ199" s="88"/>
      <c r="AK199" s="88"/>
      <c r="AL199" s="88"/>
      <c r="AM199" s="88">
        <v>33.714285714285715</v>
      </c>
      <c r="AN199" s="88">
        <v>140</v>
      </c>
      <c r="AO199" s="89"/>
      <c r="AP199" s="90"/>
      <c r="AQ199" s="146" t="str">
        <f t="shared" si="85"/>
        <v/>
      </c>
      <c r="AR199" s="146" t="str">
        <f t="shared" si="86"/>
        <v/>
      </c>
      <c r="AS199" s="147">
        <v>10</v>
      </c>
      <c r="AT199" s="148"/>
      <c r="AU199" s="149"/>
      <c r="AV199" s="146" t="str">
        <f t="shared" si="87"/>
        <v/>
      </c>
      <c r="AW199" s="146" t="str">
        <f t="shared" si="88"/>
        <v/>
      </c>
      <c r="AX199" s="138" t="str">
        <f t="shared" si="89"/>
        <v/>
      </c>
      <c r="AY199" s="95"/>
      <c r="AZ199" s="96"/>
      <c r="BA199" s="96"/>
      <c r="BB199" s="96"/>
      <c r="BC199" s="96"/>
      <c r="BD199" s="97">
        <v>140</v>
      </c>
      <c r="BE199" s="142">
        <f t="shared" si="90"/>
        <v>5838</v>
      </c>
      <c r="BF199" s="98">
        <v>0</v>
      </c>
      <c r="BG199" s="98">
        <v>0</v>
      </c>
      <c r="BH199" s="98">
        <v>0</v>
      </c>
      <c r="BI199" s="98">
        <v>5838</v>
      </c>
      <c r="BJ199" s="98"/>
      <c r="BK199" s="98"/>
      <c r="BL199" s="98"/>
    </row>
    <row r="200" spans="1:64" outlineLevel="5" x14ac:dyDescent="0.3">
      <c r="A200" s="152">
        <f t="shared" si="76"/>
        <v>6</v>
      </c>
      <c r="B200" s="153">
        <f t="shared" si="75"/>
        <v>45089</v>
      </c>
      <c r="C200" s="138">
        <f t="shared" si="81"/>
        <v>37.5</v>
      </c>
      <c r="D200" s="84">
        <v>37.6</v>
      </c>
      <c r="E200" s="84">
        <v>37.299999999999997</v>
      </c>
      <c r="F200" s="84"/>
      <c r="G200" s="84"/>
      <c r="H200" s="84"/>
      <c r="I200" s="84"/>
      <c r="J200" s="84"/>
      <c r="K200" s="84"/>
      <c r="L200" s="140">
        <f t="shared" si="82"/>
        <v>8.1</v>
      </c>
      <c r="M200" s="86">
        <v>8.11</v>
      </c>
      <c r="N200" s="86">
        <v>8.08</v>
      </c>
      <c r="O200" s="86"/>
      <c r="P200" s="86"/>
      <c r="Q200" s="86"/>
      <c r="R200" s="86"/>
      <c r="S200" s="86"/>
      <c r="T200" s="86"/>
      <c r="U200" s="142">
        <f t="shared" si="83"/>
        <v>1335.5</v>
      </c>
      <c r="V200" s="88">
        <v>1103</v>
      </c>
      <c r="W200" s="88">
        <v>1568</v>
      </c>
      <c r="X200" s="88"/>
      <c r="Y200" s="88"/>
      <c r="Z200" s="88"/>
      <c r="AA200" s="88"/>
      <c r="AB200" s="88"/>
      <c r="AC200" s="88"/>
      <c r="AD200" s="142" t="str">
        <f t="shared" si="84"/>
        <v/>
      </c>
      <c r="AE200" s="88"/>
      <c r="AF200" s="88"/>
      <c r="AG200" s="88"/>
      <c r="AH200" s="88"/>
      <c r="AI200" s="88"/>
      <c r="AJ200" s="88"/>
      <c r="AK200" s="88"/>
      <c r="AL200" s="88"/>
      <c r="AM200" s="88">
        <v>56.452577442889606</v>
      </c>
      <c r="AN200" s="88">
        <v>83.61</v>
      </c>
      <c r="AO200" s="89">
        <v>16.8</v>
      </c>
      <c r="AP200" s="90">
        <v>13.977600000000002</v>
      </c>
      <c r="AQ200" s="146">
        <f t="shared" si="85"/>
        <v>83.2</v>
      </c>
      <c r="AR200" s="146">
        <f t="shared" si="86"/>
        <v>16.799999999999997</v>
      </c>
      <c r="AS200" s="147">
        <v>45</v>
      </c>
      <c r="AT200" s="148">
        <v>13.8</v>
      </c>
      <c r="AU200" s="149">
        <v>7.3611000000000004</v>
      </c>
      <c r="AV200" s="146">
        <f t="shared" si="87"/>
        <v>53.341304347826089</v>
      </c>
      <c r="AW200" s="146">
        <f t="shared" si="88"/>
        <v>46.658695652173911</v>
      </c>
      <c r="AX200" s="138">
        <f t="shared" si="89"/>
        <v>76.915684953354429</v>
      </c>
      <c r="AY200" s="95">
        <v>76.25</v>
      </c>
      <c r="AZ200" s="96">
        <v>64.61</v>
      </c>
      <c r="BA200" s="96"/>
      <c r="BB200" s="96">
        <v>43</v>
      </c>
      <c r="BC200" s="96"/>
      <c r="BD200" s="97">
        <v>83.61</v>
      </c>
      <c r="BE200" s="142">
        <f t="shared" si="90"/>
        <v>6532</v>
      </c>
      <c r="BF200" s="98">
        <v>0</v>
      </c>
      <c r="BG200" s="98">
        <v>1434</v>
      </c>
      <c r="BH200" s="98">
        <v>47</v>
      </c>
      <c r="BI200" s="98">
        <v>5051</v>
      </c>
      <c r="BJ200" s="98"/>
      <c r="BK200" s="98"/>
      <c r="BL200" s="98"/>
    </row>
    <row r="201" spans="1:64" outlineLevel="5" x14ac:dyDescent="0.3">
      <c r="A201" s="152">
        <f t="shared" si="76"/>
        <v>6</v>
      </c>
      <c r="B201" s="153">
        <f t="shared" si="75"/>
        <v>45090</v>
      </c>
      <c r="C201" s="138">
        <f t="shared" si="81"/>
        <v>37.6</v>
      </c>
      <c r="D201" s="84">
        <v>37.799999999999997</v>
      </c>
      <c r="E201" s="84">
        <v>37.4</v>
      </c>
      <c r="F201" s="84"/>
      <c r="G201" s="84"/>
      <c r="H201" s="84"/>
      <c r="I201" s="84"/>
      <c r="J201" s="84"/>
      <c r="K201" s="84"/>
      <c r="L201" s="140" t="str">
        <f t="shared" si="82"/>
        <v/>
      </c>
      <c r="M201" s="86"/>
      <c r="N201" s="86"/>
      <c r="O201" s="86"/>
      <c r="P201" s="86"/>
      <c r="Q201" s="86"/>
      <c r="R201" s="86"/>
      <c r="S201" s="86"/>
      <c r="T201" s="86"/>
      <c r="U201" s="142" t="str">
        <f t="shared" si="83"/>
        <v/>
      </c>
      <c r="V201" s="88"/>
      <c r="W201" s="88"/>
      <c r="X201" s="88"/>
      <c r="Y201" s="88"/>
      <c r="Z201" s="88"/>
      <c r="AA201" s="88"/>
      <c r="AB201" s="88"/>
      <c r="AC201" s="88"/>
      <c r="AD201" s="142" t="str">
        <f t="shared" si="84"/>
        <v/>
      </c>
      <c r="AE201" s="88"/>
      <c r="AF201" s="88"/>
      <c r="AG201" s="88"/>
      <c r="AH201" s="88"/>
      <c r="AI201" s="88"/>
      <c r="AJ201" s="88"/>
      <c r="AK201" s="88"/>
      <c r="AL201" s="88"/>
      <c r="AM201" s="88">
        <v>33.122807017543863</v>
      </c>
      <c r="AN201" s="88">
        <v>142.5</v>
      </c>
      <c r="AO201" s="89"/>
      <c r="AP201" s="90"/>
      <c r="AQ201" s="146" t="str">
        <f t="shared" si="85"/>
        <v/>
      </c>
      <c r="AR201" s="146" t="str">
        <f t="shared" si="86"/>
        <v/>
      </c>
      <c r="AS201" s="147">
        <v>44</v>
      </c>
      <c r="AT201" s="148"/>
      <c r="AU201" s="149"/>
      <c r="AV201" s="146" t="str">
        <f t="shared" si="87"/>
        <v/>
      </c>
      <c r="AW201" s="146" t="str">
        <f t="shared" si="88"/>
        <v/>
      </c>
      <c r="AX201" s="138" t="str">
        <f t="shared" si="89"/>
        <v/>
      </c>
      <c r="AY201" s="95"/>
      <c r="AZ201" s="96">
        <v>62.734999999999999</v>
      </c>
      <c r="BA201" s="96"/>
      <c r="BB201" s="96">
        <v>55.5</v>
      </c>
      <c r="BC201" s="96"/>
      <c r="BD201" s="97">
        <v>142.5</v>
      </c>
      <c r="BE201" s="142">
        <f t="shared" si="90"/>
        <v>10666</v>
      </c>
      <c r="BF201" s="98">
        <v>1935</v>
      </c>
      <c r="BG201" s="98">
        <v>2744</v>
      </c>
      <c r="BH201" s="98">
        <v>0</v>
      </c>
      <c r="BI201" s="98">
        <v>5987</v>
      </c>
      <c r="BJ201" s="98"/>
      <c r="BK201" s="98"/>
      <c r="BL201" s="98"/>
    </row>
    <row r="202" spans="1:64" outlineLevel="5" x14ac:dyDescent="0.3">
      <c r="A202" s="152">
        <f t="shared" si="76"/>
        <v>6</v>
      </c>
      <c r="B202" s="153">
        <f t="shared" si="75"/>
        <v>45091</v>
      </c>
      <c r="C202" s="138">
        <f t="shared" si="81"/>
        <v>38.4</v>
      </c>
      <c r="D202" s="84">
        <v>38.5</v>
      </c>
      <c r="E202" s="84">
        <v>38.299999999999997</v>
      </c>
      <c r="F202" s="84"/>
      <c r="G202" s="84"/>
      <c r="H202" s="84"/>
      <c r="I202" s="84"/>
      <c r="J202" s="84"/>
      <c r="K202" s="84"/>
      <c r="L202" s="140">
        <f t="shared" si="82"/>
        <v>8.1</v>
      </c>
      <c r="M202" s="86">
        <v>8.08</v>
      </c>
      <c r="N202" s="86">
        <v>8.19</v>
      </c>
      <c r="O202" s="86"/>
      <c r="P202" s="86"/>
      <c r="Q202" s="86"/>
      <c r="R202" s="86"/>
      <c r="S202" s="86"/>
      <c r="T202" s="86"/>
      <c r="U202" s="142">
        <f t="shared" si="83"/>
        <v>1254.5</v>
      </c>
      <c r="V202" s="88">
        <v>1087</v>
      </c>
      <c r="W202" s="88">
        <v>1422</v>
      </c>
      <c r="X202" s="88"/>
      <c r="Y202" s="88"/>
      <c r="Z202" s="88"/>
      <c r="AA202" s="88"/>
      <c r="AB202" s="88"/>
      <c r="AC202" s="88"/>
      <c r="AD202" s="142" t="str">
        <f t="shared" si="84"/>
        <v/>
      </c>
      <c r="AE202" s="88"/>
      <c r="AF202" s="88"/>
      <c r="AG202" s="88"/>
      <c r="AH202" s="88"/>
      <c r="AI202" s="88"/>
      <c r="AJ202" s="88"/>
      <c r="AK202" s="88"/>
      <c r="AL202" s="88"/>
      <c r="AM202" s="88">
        <v>29.752899646999499</v>
      </c>
      <c r="AN202" s="88">
        <v>158.63999999999999</v>
      </c>
      <c r="AO202" s="89"/>
      <c r="AP202" s="90"/>
      <c r="AQ202" s="146" t="str">
        <f t="shared" si="85"/>
        <v/>
      </c>
      <c r="AR202" s="146" t="str">
        <f t="shared" si="86"/>
        <v/>
      </c>
      <c r="AS202" s="147">
        <v>40</v>
      </c>
      <c r="AT202" s="148">
        <v>13.649999999999999</v>
      </c>
      <c r="AU202" s="149">
        <v>7.6332000000000004</v>
      </c>
      <c r="AV202" s="146">
        <f t="shared" si="87"/>
        <v>55.920879120879128</v>
      </c>
      <c r="AW202" s="146">
        <f t="shared" si="88"/>
        <v>44.079120879120872</v>
      </c>
      <c r="AX202" s="138" t="str">
        <f t="shared" si="89"/>
        <v/>
      </c>
      <c r="AY202" s="95">
        <v>75.599999999999994</v>
      </c>
      <c r="AZ202" s="96">
        <v>62.504999999999995</v>
      </c>
      <c r="BA202" s="96"/>
      <c r="BB202" s="96">
        <v>71</v>
      </c>
      <c r="BC202" s="96"/>
      <c r="BD202" s="97">
        <v>158.63999999999999</v>
      </c>
      <c r="BE202" s="142">
        <f t="shared" si="90"/>
        <v>6819</v>
      </c>
      <c r="BF202" s="98">
        <v>894</v>
      </c>
      <c r="BG202" s="98">
        <v>0</v>
      </c>
      <c r="BH202" s="98">
        <v>0</v>
      </c>
      <c r="BI202" s="98">
        <v>5925</v>
      </c>
      <c r="BJ202" s="98"/>
      <c r="BK202" s="98"/>
      <c r="BL202" s="98"/>
    </row>
    <row r="203" spans="1:64" outlineLevel="5" x14ac:dyDescent="0.3">
      <c r="A203" s="152">
        <f t="shared" si="76"/>
        <v>6</v>
      </c>
      <c r="B203" s="153">
        <f t="shared" si="75"/>
        <v>45092</v>
      </c>
      <c r="C203" s="138">
        <f t="shared" si="81"/>
        <v>38.799999999999997</v>
      </c>
      <c r="D203" s="84">
        <v>38.9</v>
      </c>
      <c r="E203" s="84">
        <v>38.700000000000003</v>
      </c>
      <c r="F203" s="84"/>
      <c r="G203" s="84"/>
      <c r="H203" s="84"/>
      <c r="I203" s="84"/>
      <c r="J203" s="84"/>
      <c r="K203" s="84"/>
      <c r="L203" s="140">
        <f t="shared" si="82"/>
        <v>8.1999999999999993</v>
      </c>
      <c r="M203" s="86">
        <v>8.19</v>
      </c>
      <c r="N203" s="86">
        <v>8.17</v>
      </c>
      <c r="O203" s="86"/>
      <c r="P203" s="86"/>
      <c r="Q203" s="86"/>
      <c r="R203" s="86"/>
      <c r="S203" s="86"/>
      <c r="T203" s="86"/>
      <c r="U203" s="142">
        <f t="shared" si="83"/>
        <v>1283</v>
      </c>
      <c r="V203" s="88">
        <v>1107</v>
      </c>
      <c r="W203" s="88">
        <v>1459</v>
      </c>
      <c r="X203" s="88"/>
      <c r="Y203" s="88"/>
      <c r="Z203" s="88"/>
      <c r="AA203" s="88"/>
      <c r="AB203" s="88"/>
      <c r="AC203" s="88"/>
      <c r="AD203" s="142" t="str">
        <f t="shared" si="84"/>
        <v/>
      </c>
      <c r="AE203" s="88"/>
      <c r="AF203" s="88"/>
      <c r="AG203" s="88"/>
      <c r="AH203" s="88"/>
      <c r="AI203" s="88"/>
      <c r="AJ203" s="88"/>
      <c r="AK203" s="88"/>
      <c r="AL203" s="88"/>
      <c r="AM203" s="88">
        <v>37.335864578389497</v>
      </c>
      <c r="AN203" s="88">
        <v>126.42</v>
      </c>
      <c r="AO203" s="89"/>
      <c r="AP203" s="90"/>
      <c r="AQ203" s="146" t="str">
        <f t="shared" si="85"/>
        <v/>
      </c>
      <c r="AR203" s="146" t="str">
        <f t="shared" si="86"/>
        <v/>
      </c>
      <c r="AS203" s="147">
        <v>40</v>
      </c>
      <c r="AT203" s="148">
        <v>13.85</v>
      </c>
      <c r="AU203" s="149">
        <v>7.6850000000000005</v>
      </c>
      <c r="AV203" s="146">
        <f t="shared" si="87"/>
        <v>55.487364620938628</v>
      </c>
      <c r="AW203" s="146">
        <f t="shared" si="88"/>
        <v>44.512635379061372</v>
      </c>
      <c r="AX203" s="138" t="str">
        <f t="shared" si="89"/>
        <v/>
      </c>
      <c r="AY203" s="95">
        <v>74.25</v>
      </c>
      <c r="AZ203" s="96">
        <v>62.01</v>
      </c>
      <c r="BA203" s="96"/>
      <c r="BB203" s="96">
        <v>75</v>
      </c>
      <c r="BC203" s="96"/>
      <c r="BD203" s="97">
        <v>126.42</v>
      </c>
      <c r="BE203" s="142">
        <f t="shared" si="90"/>
        <v>7714</v>
      </c>
      <c r="BF203" s="98">
        <v>1761</v>
      </c>
      <c r="BG203" s="98">
        <v>0</v>
      </c>
      <c r="BH203" s="98">
        <v>0</v>
      </c>
      <c r="BI203" s="98">
        <v>5953</v>
      </c>
      <c r="BJ203" s="98"/>
      <c r="BK203" s="98"/>
      <c r="BL203" s="98"/>
    </row>
    <row r="204" spans="1:64" outlineLevel="5" x14ac:dyDescent="0.3">
      <c r="A204" s="152">
        <f t="shared" si="76"/>
        <v>6</v>
      </c>
      <c r="B204" s="153">
        <f t="shared" si="75"/>
        <v>45093</v>
      </c>
      <c r="C204" s="138">
        <f t="shared" si="81"/>
        <v>39.4</v>
      </c>
      <c r="D204" s="84">
        <v>39.299999999999997</v>
      </c>
      <c r="E204" s="84">
        <v>39.5</v>
      </c>
      <c r="F204" s="84"/>
      <c r="G204" s="84"/>
      <c r="H204" s="84"/>
      <c r="I204" s="84"/>
      <c r="J204" s="84"/>
      <c r="K204" s="84"/>
      <c r="L204" s="140" t="str">
        <f t="shared" si="82"/>
        <v/>
      </c>
      <c r="M204" s="86"/>
      <c r="N204" s="86"/>
      <c r="O204" s="86"/>
      <c r="P204" s="86"/>
      <c r="Q204" s="86"/>
      <c r="R204" s="86"/>
      <c r="S204" s="86"/>
      <c r="T204" s="86"/>
      <c r="U204" s="142" t="str">
        <f t="shared" si="83"/>
        <v/>
      </c>
      <c r="V204" s="88"/>
      <c r="W204" s="88"/>
      <c r="X204" s="88"/>
      <c r="Y204" s="88"/>
      <c r="Z204" s="88"/>
      <c r="AA204" s="88"/>
      <c r="AB204" s="88"/>
      <c r="AC204" s="88"/>
      <c r="AD204" s="142" t="str">
        <f t="shared" si="84"/>
        <v/>
      </c>
      <c r="AE204" s="88"/>
      <c r="AF204" s="88"/>
      <c r="AG204" s="88"/>
      <c r="AH204" s="88"/>
      <c r="AI204" s="88"/>
      <c r="AJ204" s="88"/>
      <c r="AK204" s="88"/>
      <c r="AL204" s="88"/>
      <c r="AM204" s="88">
        <v>49.248747913188645</v>
      </c>
      <c r="AN204" s="88">
        <v>95.84</v>
      </c>
      <c r="AO204" s="89"/>
      <c r="AP204" s="90"/>
      <c r="AQ204" s="146" t="str">
        <f t="shared" si="85"/>
        <v/>
      </c>
      <c r="AR204" s="146" t="str">
        <f t="shared" si="86"/>
        <v/>
      </c>
      <c r="AS204" s="147">
        <v>25</v>
      </c>
      <c r="AT204" s="148"/>
      <c r="AU204" s="149"/>
      <c r="AV204" s="146" t="str">
        <f t="shared" si="87"/>
        <v/>
      </c>
      <c r="AW204" s="146" t="str">
        <f t="shared" si="88"/>
        <v/>
      </c>
      <c r="AX204" s="138" t="str">
        <f t="shared" si="89"/>
        <v/>
      </c>
      <c r="AY204" s="95"/>
      <c r="AZ204" s="96">
        <v>64.95</v>
      </c>
      <c r="BA204" s="96"/>
      <c r="BB204" s="96">
        <v>70.5</v>
      </c>
      <c r="BC204" s="96"/>
      <c r="BD204" s="97">
        <v>95.84</v>
      </c>
      <c r="BE204" s="142">
        <f t="shared" si="90"/>
        <v>6379</v>
      </c>
      <c r="BF204" s="98">
        <v>910</v>
      </c>
      <c r="BG204" s="98">
        <v>0</v>
      </c>
      <c r="BH204" s="98">
        <v>0</v>
      </c>
      <c r="BI204" s="98">
        <v>5469</v>
      </c>
      <c r="BJ204" s="98"/>
      <c r="BK204" s="98"/>
      <c r="BL204" s="98"/>
    </row>
    <row r="205" spans="1:64" outlineLevel="5" x14ac:dyDescent="0.3">
      <c r="A205" s="152">
        <f t="shared" si="76"/>
        <v>6</v>
      </c>
      <c r="B205" s="153">
        <f t="shared" si="75"/>
        <v>45094</v>
      </c>
      <c r="C205" s="138" t="str">
        <f t="shared" si="81"/>
        <v/>
      </c>
      <c r="D205" s="84"/>
      <c r="E205" s="84"/>
      <c r="F205" s="84"/>
      <c r="G205" s="84"/>
      <c r="H205" s="84"/>
      <c r="I205" s="84"/>
      <c r="J205" s="84"/>
      <c r="K205" s="84"/>
      <c r="L205" s="140" t="str">
        <f t="shared" si="82"/>
        <v/>
      </c>
      <c r="M205" s="86"/>
      <c r="N205" s="86"/>
      <c r="O205" s="86"/>
      <c r="P205" s="86"/>
      <c r="Q205" s="86"/>
      <c r="R205" s="86"/>
      <c r="S205" s="86"/>
      <c r="T205" s="86"/>
      <c r="U205" s="142" t="str">
        <f t="shared" si="83"/>
        <v/>
      </c>
      <c r="V205" s="88"/>
      <c r="W205" s="88"/>
      <c r="X205" s="88"/>
      <c r="Y205" s="88"/>
      <c r="Z205" s="88"/>
      <c r="AA205" s="88"/>
      <c r="AB205" s="88"/>
      <c r="AC205" s="88"/>
      <c r="AD205" s="142" t="str">
        <f t="shared" si="84"/>
        <v/>
      </c>
      <c r="AE205" s="88"/>
      <c r="AF205" s="88"/>
      <c r="AG205" s="88"/>
      <c r="AH205" s="88"/>
      <c r="AI205" s="88"/>
      <c r="AJ205" s="88"/>
      <c r="AK205" s="88"/>
      <c r="AL205" s="88"/>
      <c r="AM205" s="88">
        <v>46.4110127826942</v>
      </c>
      <c r="AN205" s="88">
        <v>101.7</v>
      </c>
      <c r="AO205" s="89"/>
      <c r="AP205" s="90"/>
      <c r="AQ205" s="146" t="str">
        <f t="shared" si="85"/>
        <v/>
      </c>
      <c r="AR205" s="146" t="str">
        <f t="shared" si="86"/>
        <v/>
      </c>
      <c r="AS205" s="147">
        <v>12</v>
      </c>
      <c r="AT205" s="148"/>
      <c r="AU205" s="149"/>
      <c r="AV205" s="146" t="str">
        <f t="shared" si="87"/>
        <v/>
      </c>
      <c r="AW205" s="146" t="str">
        <f t="shared" si="88"/>
        <v/>
      </c>
      <c r="AX205" s="138" t="str">
        <f t="shared" si="89"/>
        <v/>
      </c>
      <c r="AY205" s="95"/>
      <c r="AZ205" s="96"/>
      <c r="BA205" s="96"/>
      <c r="BB205" s="96"/>
      <c r="BC205" s="96"/>
      <c r="BD205" s="97">
        <v>101.7</v>
      </c>
      <c r="BE205" s="142">
        <f t="shared" si="90"/>
        <v>5820</v>
      </c>
      <c r="BF205" s="98">
        <v>0</v>
      </c>
      <c r="BG205" s="98">
        <v>0</v>
      </c>
      <c r="BH205" s="98">
        <v>0</v>
      </c>
      <c r="BI205" s="98">
        <v>5820</v>
      </c>
      <c r="BJ205" s="98"/>
      <c r="BK205" s="98"/>
      <c r="BL205" s="98"/>
    </row>
    <row r="206" spans="1:64" outlineLevel="5" x14ac:dyDescent="0.3">
      <c r="A206" s="152">
        <f t="shared" si="76"/>
        <v>6</v>
      </c>
      <c r="B206" s="153">
        <f t="shared" si="75"/>
        <v>45095</v>
      </c>
      <c r="C206" s="138" t="str">
        <f t="shared" si="81"/>
        <v/>
      </c>
      <c r="D206" s="84"/>
      <c r="E206" s="84"/>
      <c r="F206" s="84"/>
      <c r="G206" s="84"/>
      <c r="H206" s="84"/>
      <c r="I206" s="84"/>
      <c r="J206" s="84"/>
      <c r="K206" s="84"/>
      <c r="L206" s="140" t="str">
        <f t="shared" si="82"/>
        <v/>
      </c>
      <c r="M206" s="86"/>
      <c r="N206" s="86"/>
      <c r="O206" s="86"/>
      <c r="P206" s="86"/>
      <c r="Q206" s="86"/>
      <c r="R206" s="86"/>
      <c r="S206" s="86"/>
      <c r="T206" s="86"/>
      <c r="U206" s="142" t="str">
        <f t="shared" si="83"/>
        <v/>
      </c>
      <c r="V206" s="88"/>
      <c r="W206" s="88"/>
      <c r="X206" s="88"/>
      <c r="Y206" s="88"/>
      <c r="Z206" s="88"/>
      <c r="AA206" s="88"/>
      <c r="AB206" s="88"/>
      <c r="AC206" s="88"/>
      <c r="AD206" s="142" t="str">
        <f t="shared" si="84"/>
        <v/>
      </c>
      <c r="AE206" s="88"/>
      <c r="AF206" s="88"/>
      <c r="AG206" s="88"/>
      <c r="AH206" s="88"/>
      <c r="AI206" s="88"/>
      <c r="AJ206" s="88"/>
      <c r="AK206" s="88"/>
      <c r="AL206" s="88"/>
      <c r="AM206" s="88">
        <v>39.333333333333336</v>
      </c>
      <c r="AN206" s="88">
        <v>120</v>
      </c>
      <c r="AO206" s="89"/>
      <c r="AP206" s="90"/>
      <c r="AQ206" s="146" t="str">
        <f t="shared" si="85"/>
        <v/>
      </c>
      <c r="AR206" s="146" t="str">
        <f t="shared" si="86"/>
        <v/>
      </c>
      <c r="AS206" s="147">
        <v>15</v>
      </c>
      <c r="AT206" s="148"/>
      <c r="AU206" s="149"/>
      <c r="AV206" s="146" t="str">
        <f t="shared" si="87"/>
        <v/>
      </c>
      <c r="AW206" s="146" t="str">
        <f t="shared" si="88"/>
        <v/>
      </c>
      <c r="AX206" s="138" t="str">
        <f t="shared" si="89"/>
        <v/>
      </c>
      <c r="AY206" s="95"/>
      <c r="AZ206" s="96"/>
      <c r="BA206" s="96"/>
      <c r="BB206" s="96"/>
      <c r="BC206" s="96"/>
      <c r="BD206" s="97">
        <v>120</v>
      </c>
      <c r="BE206" s="142">
        <f t="shared" si="90"/>
        <v>5794</v>
      </c>
      <c r="BF206" s="98">
        <v>0</v>
      </c>
      <c r="BG206" s="98">
        <v>0</v>
      </c>
      <c r="BH206" s="98">
        <v>0</v>
      </c>
      <c r="BI206" s="98">
        <v>5794</v>
      </c>
      <c r="BJ206" s="98"/>
      <c r="BK206" s="98"/>
      <c r="BL206" s="98"/>
    </row>
    <row r="207" spans="1:64" outlineLevel="5" x14ac:dyDescent="0.3">
      <c r="A207" s="152">
        <f t="shared" si="76"/>
        <v>6</v>
      </c>
      <c r="B207" s="153">
        <f t="shared" si="75"/>
        <v>45096</v>
      </c>
      <c r="C207" s="138">
        <f t="shared" si="81"/>
        <v>39.299999999999997</v>
      </c>
      <c r="D207" s="84">
        <v>39.4</v>
      </c>
      <c r="E207" s="84">
        <v>39.200000000000003</v>
      </c>
      <c r="F207" s="84"/>
      <c r="G207" s="84"/>
      <c r="H207" s="84"/>
      <c r="I207" s="84"/>
      <c r="J207" s="84"/>
      <c r="K207" s="84"/>
      <c r="L207" s="140">
        <f t="shared" si="82"/>
        <v>8.1999999999999993</v>
      </c>
      <c r="M207" s="86">
        <v>8.19</v>
      </c>
      <c r="N207" s="86">
        <v>8.14</v>
      </c>
      <c r="O207" s="86"/>
      <c r="P207" s="86"/>
      <c r="Q207" s="86"/>
      <c r="R207" s="86"/>
      <c r="S207" s="86"/>
      <c r="T207" s="86"/>
      <c r="U207" s="142">
        <f t="shared" si="83"/>
        <v>1097.5</v>
      </c>
      <c r="V207" s="88">
        <v>1330</v>
      </c>
      <c r="W207" s="88">
        <v>865</v>
      </c>
      <c r="X207" s="88"/>
      <c r="Y207" s="88"/>
      <c r="Z207" s="88"/>
      <c r="AA207" s="88"/>
      <c r="AB207" s="88"/>
      <c r="AC207" s="88"/>
      <c r="AD207" s="142" t="str">
        <f t="shared" si="84"/>
        <v/>
      </c>
      <c r="AE207" s="88"/>
      <c r="AF207" s="88"/>
      <c r="AG207" s="88"/>
      <c r="AH207" s="88"/>
      <c r="AI207" s="88"/>
      <c r="AJ207" s="88"/>
      <c r="AK207" s="88"/>
      <c r="AL207" s="88"/>
      <c r="AM207" s="88">
        <v>52.784611943636769</v>
      </c>
      <c r="AN207" s="88">
        <v>89.42</v>
      </c>
      <c r="AO207" s="89">
        <v>16.5</v>
      </c>
      <c r="AP207" s="90">
        <v>13.7775</v>
      </c>
      <c r="AQ207" s="146">
        <f t="shared" si="85"/>
        <v>83.5</v>
      </c>
      <c r="AR207" s="146">
        <f t="shared" si="86"/>
        <v>16.5</v>
      </c>
      <c r="AS207" s="147">
        <v>45</v>
      </c>
      <c r="AT207" s="148">
        <v>14.35</v>
      </c>
      <c r="AU207" s="149">
        <v>7.57165</v>
      </c>
      <c r="AV207" s="146">
        <f t="shared" si="87"/>
        <v>52.76411149825784</v>
      </c>
      <c r="AW207" s="146">
        <f t="shared" si="88"/>
        <v>47.23588850174216</v>
      </c>
      <c r="AX207" s="138">
        <f t="shared" si="89"/>
        <v>77.926865514804561</v>
      </c>
      <c r="AY207" s="95">
        <v>76.2</v>
      </c>
      <c r="AZ207" s="96">
        <v>62.61</v>
      </c>
      <c r="BA207" s="96"/>
      <c r="BB207" s="96">
        <v>65.5</v>
      </c>
      <c r="BC207" s="96"/>
      <c r="BD207" s="97">
        <v>89.42</v>
      </c>
      <c r="BE207" s="142">
        <f t="shared" si="90"/>
        <v>5789</v>
      </c>
      <c r="BF207" s="98">
        <v>0</v>
      </c>
      <c r="BG207" s="98">
        <v>0</v>
      </c>
      <c r="BH207" s="98">
        <v>0</v>
      </c>
      <c r="BI207" s="98">
        <v>5789</v>
      </c>
      <c r="BJ207" s="98"/>
      <c r="BK207" s="98"/>
      <c r="BL207" s="98"/>
    </row>
    <row r="208" spans="1:64" outlineLevel="5" x14ac:dyDescent="0.3">
      <c r="A208" s="152">
        <f t="shared" si="76"/>
        <v>6</v>
      </c>
      <c r="B208" s="153">
        <f t="shared" si="75"/>
        <v>45097</v>
      </c>
      <c r="C208" s="138">
        <f t="shared" si="81"/>
        <v>39.200000000000003</v>
      </c>
      <c r="D208" s="84">
        <v>39.4</v>
      </c>
      <c r="E208" s="84">
        <v>39</v>
      </c>
      <c r="F208" s="84"/>
      <c r="G208" s="84"/>
      <c r="H208" s="84"/>
      <c r="I208" s="84"/>
      <c r="J208" s="84"/>
      <c r="K208" s="84"/>
      <c r="L208" s="140" t="str">
        <f t="shared" si="82"/>
        <v/>
      </c>
      <c r="M208" s="86"/>
      <c r="N208" s="86"/>
      <c r="O208" s="86"/>
      <c r="P208" s="86"/>
      <c r="Q208" s="86"/>
      <c r="R208" s="86"/>
      <c r="S208" s="86"/>
      <c r="T208" s="86"/>
      <c r="U208" s="142" t="str">
        <f t="shared" si="83"/>
        <v/>
      </c>
      <c r="V208" s="88"/>
      <c r="W208" s="88"/>
      <c r="X208" s="88"/>
      <c r="Y208" s="88"/>
      <c r="Z208" s="88"/>
      <c r="AA208" s="88"/>
      <c r="AB208" s="88"/>
      <c r="AC208" s="88"/>
      <c r="AD208" s="142" t="str">
        <f t="shared" si="84"/>
        <v/>
      </c>
      <c r="AE208" s="88"/>
      <c r="AF208" s="88"/>
      <c r="AG208" s="88"/>
      <c r="AH208" s="88"/>
      <c r="AI208" s="88"/>
      <c r="AJ208" s="88"/>
      <c r="AK208" s="88"/>
      <c r="AL208" s="88"/>
      <c r="AM208" s="88">
        <v>32.560706401766012</v>
      </c>
      <c r="AN208" s="88">
        <v>144.95999999999998</v>
      </c>
      <c r="AO208" s="89"/>
      <c r="AP208" s="90"/>
      <c r="AQ208" s="146" t="str">
        <f t="shared" si="85"/>
        <v/>
      </c>
      <c r="AR208" s="146" t="str">
        <f t="shared" si="86"/>
        <v/>
      </c>
      <c r="AS208" s="147">
        <v>45</v>
      </c>
      <c r="AT208" s="148"/>
      <c r="AU208" s="149"/>
      <c r="AV208" s="146" t="str">
        <f t="shared" si="87"/>
        <v/>
      </c>
      <c r="AW208" s="146" t="str">
        <f t="shared" si="88"/>
        <v/>
      </c>
      <c r="AX208" s="138" t="str">
        <f t="shared" si="89"/>
        <v/>
      </c>
      <c r="AY208" s="95"/>
      <c r="AZ208" s="96">
        <v>62.12</v>
      </c>
      <c r="BA208" s="96"/>
      <c r="BB208" s="96">
        <v>74.5</v>
      </c>
      <c r="BC208" s="96"/>
      <c r="BD208" s="97">
        <v>144.95999999999998</v>
      </c>
      <c r="BE208" s="142">
        <f t="shared" si="90"/>
        <v>6160</v>
      </c>
      <c r="BF208" s="98">
        <v>0</v>
      </c>
      <c r="BG208" s="98">
        <v>0</v>
      </c>
      <c r="BH208" s="98">
        <v>257</v>
      </c>
      <c r="BI208" s="98">
        <v>5903</v>
      </c>
      <c r="BJ208" s="98"/>
      <c r="BK208" s="98"/>
      <c r="BL208" s="98"/>
    </row>
    <row r="209" spans="1:64" outlineLevel="5" x14ac:dyDescent="0.3">
      <c r="A209" s="152">
        <f t="shared" si="76"/>
        <v>6</v>
      </c>
      <c r="B209" s="153">
        <f t="shared" si="75"/>
        <v>45098</v>
      </c>
      <c r="C209" s="138">
        <f t="shared" si="81"/>
        <v>39.1</v>
      </c>
      <c r="D209" s="84">
        <v>39.200000000000003</v>
      </c>
      <c r="E209" s="84">
        <v>39</v>
      </c>
      <c r="F209" s="84"/>
      <c r="G209" s="84"/>
      <c r="H209" s="84"/>
      <c r="I209" s="84"/>
      <c r="J209" s="84"/>
      <c r="K209" s="84"/>
      <c r="L209" s="140">
        <f t="shared" si="82"/>
        <v>8.1</v>
      </c>
      <c r="M209" s="86">
        <v>8.17</v>
      </c>
      <c r="N209" s="86">
        <v>8.09</v>
      </c>
      <c r="O209" s="86"/>
      <c r="P209" s="86"/>
      <c r="Q209" s="86"/>
      <c r="R209" s="86"/>
      <c r="S209" s="86"/>
      <c r="T209" s="86"/>
      <c r="U209" s="142">
        <f t="shared" si="83"/>
        <v>1155</v>
      </c>
      <c r="V209" s="88">
        <v>1312</v>
      </c>
      <c r="W209" s="88">
        <v>998</v>
      </c>
      <c r="X209" s="88"/>
      <c r="Y209" s="88"/>
      <c r="Z209" s="88"/>
      <c r="AA209" s="88"/>
      <c r="AB209" s="88"/>
      <c r="AC209" s="88"/>
      <c r="AD209" s="142" t="str">
        <f t="shared" si="84"/>
        <v/>
      </c>
      <c r="AE209" s="88"/>
      <c r="AF209" s="88"/>
      <c r="AG209" s="88"/>
      <c r="AH209" s="88"/>
      <c r="AI209" s="88"/>
      <c r="AJ209" s="88"/>
      <c r="AK209" s="88"/>
      <c r="AL209" s="88"/>
      <c r="AM209" s="88">
        <v>28.180786912651499</v>
      </c>
      <c r="AN209" s="88">
        <v>167.49</v>
      </c>
      <c r="AO209" s="89"/>
      <c r="AP209" s="90"/>
      <c r="AQ209" s="146" t="str">
        <f t="shared" si="85"/>
        <v/>
      </c>
      <c r="AR209" s="146" t="str">
        <f t="shared" si="86"/>
        <v/>
      </c>
      <c r="AS209" s="147">
        <v>41</v>
      </c>
      <c r="AT209" s="148">
        <v>13.8</v>
      </c>
      <c r="AU209" s="149">
        <v>7.51065</v>
      </c>
      <c r="AV209" s="146">
        <f t="shared" si="87"/>
        <v>54.425000000000004</v>
      </c>
      <c r="AW209" s="146">
        <f t="shared" si="88"/>
        <v>45.574999999999996</v>
      </c>
      <c r="AX209" s="138" t="str">
        <f t="shared" si="89"/>
        <v/>
      </c>
      <c r="AY209" s="95">
        <v>74.650000000000006</v>
      </c>
      <c r="AZ209" s="96"/>
      <c r="BA209" s="96"/>
      <c r="BB209" s="96"/>
      <c r="BC209" s="96"/>
      <c r="BD209" s="97">
        <v>167.49</v>
      </c>
      <c r="BE209" s="142">
        <f t="shared" si="90"/>
        <v>8781</v>
      </c>
      <c r="BF209" s="98">
        <v>0</v>
      </c>
      <c r="BG209" s="98">
        <v>0</v>
      </c>
      <c r="BH209" s="98">
        <v>2705</v>
      </c>
      <c r="BI209" s="98">
        <v>6076</v>
      </c>
      <c r="BJ209" s="98"/>
      <c r="BK209" s="98"/>
      <c r="BL209" s="98"/>
    </row>
    <row r="210" spans="1:64" outlineLevel="5" x14ac:dyDescent="0.3">
      <c r="A210" s="152">
        <f t="shared" si="76"/>
        <v>6</v>
      </c>
      <c r="B210" s="153">
        <f t="shared" si="75"/>
        <v>45099</v>
      </c>
      <c r="C210" s="138">
        <f t="shared" si="81"/>
        <v>38.9</v>
      </c>
      <c r="D210" s="84">
        <v>39</v>
      </c>
      <c r="E210" s="84">
        <v>38.799999999999997</v>
      </c>
      <c r="F210" s="84"/>
      <c r="G210" s="84"/>
      <c r="H210" s="84"/>
      <c r="I210" s="84"/>
      <c r="J210" s="84"/>
      <c r="K210" s="84"/>
      <c r="L210" s="140">
        <f t="shared" si="82"/>
        <v>8.1</v>
      </c>
      <c r="M210" s="86">
        <v>8.11</v>
      </c>
      <c r="N210" s="86">
        <v>8.18</v>
      </c>
      <c r="O210" s="86"/>
      <c r="P210" s="86"/>
      <c r="Q210" s="86"/>
      <c r="R210" s="86"/>
      <c r="S210" s="86"/>
      <c r="T210" s="86"/>
      <c r="U210" s="142">
        <f t="shared" si="83"/>
        <v>1186.5</v>
      </c>
      <c r="V210" s="88">
        <v>1323</v>
      </c>
      <c r="W210" s="88">
        <v>1050</v>
      </c>
      <c r="X210" s="88"/>
      <c r="Y210" s="88"/>
      <c r="Z210" s="88"/>
      <c r="AA210" s="88"/>
      <c r="AB210" s="88"/>
      <c r="AC210" s="88"/>
      <c r="AD210" s="142" t="str">
        <f t="shared" si="84"/>
        <v/>
      </c>
      <c r="AE210" s="88"/>
      <c r="AF210" s="88"/>
      <c r="AG210" s="88"/>
      <c r="AH210" s="88"/>
      <c r="AI210" s="88"/>
      <c r="AJ210" s="88"/>
      <c r="AK210" s="88"/>
      <c r="AL210" s="88"/>
      <c r="AM210" s="88">
        <v>31.472961258918449</v>
      </c>
      <c r="AN210" s="88">
        <v>149.97</v>
      </c>
      <c r="AO210" s="89"/>
      <c r="AP210" s="90"/>
      <c r="AQ210" s="146" t="str">
        <f t="shared" si="85"/>
        <v/>
      </c>
      <c r="AR210" s="146" t="str">
        <f t="shared" si="86"/>
        <v/>
      </c>
      <c r="AS210" s="147">
        <v>45</v>
      </c>
      <c r="AT210" s="148">
        <v>14.8</v>
      </c>
      <c r="AU210" s="149">
        <v>8.6584000000000003</v>
      </c>
      <c r="AV210" s="146">
        <f t="shared" si="87"/>
        <v>58.502702702702706</v>
      </c>
      <c r="AW210" s="146">
        <f t="shared" si="88"/>
        <v>41.497297297297294</v>
      </c>
      <c r="AX210" s="138" t="str">
        <f t="shared" si="89"/>
        <v/>
      </c>
      <c r="AY210" s="95">
        <v>75.400000000000006</v>
      </c>
      <c r="AZ210" s="96">
        <v>62.35</v>
      </c>
      <c r="BA210" s="96"/>
      <c r="BB210" s="96">
        <v>69.5</v>
      </c>
      <c r="BC210" s="96"/>
      <c r="BD210" s="97">
        <v>149.97</v>
      </c>
      <c r="BE210" s="142">
        <f t="shared" si="90"/>
        <v>12054</v>
      </c>
      <c r="BF210" s="98">
        <v>0</v>
      </c>
      <c r="BG210" s="98">
        <v>0</v>
      </c>
      <c r="BH210" s="98">
        <v>6127</v>
      </c>
      <c r="BI210" s="98">
        <v>5927</v>
      </c>
      <c r="BJ210" s="98"/>
      <c r="BK210" s="98"/>
      <c r="BL210" s="98"/>
    </row>
    <row r="211" spans="1:64" outlineLevel="5" x14ac:dyDescent="0.3">
      <c r="A211" s="152">
        <f t="shared" si="76"/>
        <v>6</v>
      </c>
      <c r="B211" s="153">
        <f t="shared" si="75"/>
        <v>45100</v>
      </c>
      <c r="C211" s="138">
        <f t="shared" si="81"/>
        <v>38.9</v>
      </c>
      <c r="D211" s="84">
        <v>38.9</v>
      </c>
      <c r="E211" s="84">
        <v>38.799999999999997</v>
      </c>
      <c r="F211" s="84"/>
      <c r="G211" s="84"/>
      <c r="H211" s="84"/>
      <c r="I211" s="84"/>
      <c r="J211" s="84"/>
      <c r="K211" s="84"/>
      <c r="L211" s="140" t="str">
        <f t="shared" si="82"/>
        <v/>
      </c>
      <c r="M211" s="86"/>
      <c r="N211" s="86"/>
      <c r="O211" s="86"/>
      <c r="P211" s="86"/>
      <c r="Q211" s="86"/>
      <c r="R211" s="86"/>
      <c r="S211" s="86"/>
      <c r="T211" s="86"/>
      <c r="U211" s="142" t="str">
        <f t="shared" si="83"/>
        <v/>
      </c>
      <c r="V211" s="88"/>
      <c r="W211" s="88"/>
      <c r="X211" s="88"/>
      <c r="Y211" s="88"/>
      <c r="Z211" s="88"/>
      <c r="AA211" s="88"/>
      <c r="AB211" s="88"/>
      <c r="AC211" s="88"/>
      <c r="AD211" s="142" t="str">
        <f t="shared" si="84"/>
        <v/>
      </c>
      <c r="AE211" s="88"/>
      <c r="AF211" s="88"/>
      <c r="AG211" s="88"/>
      <c r="AH211" s="88"/>
      <c r="AI211" s="88"/>
      <c r="AJ211" s="88"/>
      <c r="AK211" s="88"/>
      <c r="AL211" s="88"/>
      <c r="AM211" s="88">
        <v>40.047513999660616</v>
      </c>
      <c r="AN211" s="88">
        <v>117.86</v>
      </c>
      <c r="AO211" s="89"/>
      <c r="AP211" s="90"/>
      <c r="AQ211" s="146" t="str">
        <f t="shared" si="85"/>
        <v/>
      </c>
      <c r="AR211" s="146" t="str">
        <f t="shared" si="86"/>
        <v/>
      </c>
      <c r="AS211" s="147">
        <v>25</v>
      </c>
      <c r="AT211" s="148"/>
      <c r="AU211" s="149"/>
      <c r="AV211" s="146" t="str">
        <f t="shared" si="87"/>
        <v/>
      </c>
      <c r="AW211" s="146" t="str">
        <f t="shared" si="88"/>
        <v/>
      </c>
      <c r="AX211" s="138" t="str">
        <f t="shared" si="89"/>
        <v/>
      </c>
      <c r="AY211" s="95"/>
      <c r="AZ211" s="96">
        <v>62.85</v>
      </c>
      <c r="BA211" s="96"/>
      <c r="BB211" s="96">
        <v>65</v>
      </c>
      <c r="BC211" s="96"/>
      <c r="BD211" s="97">
        <v>117.86</v>
      </c>
      <c r="BE211" s="142">
        <f t="shared" si="90"/>
        <v>10979</v>
      </c>
      <c r="BF211" s="98">
        <v>89</v>
      </c>
      <c r="BG211" s="98">
        <v>0</v>
      </c>
      <c r="BH211" s="98">
        <v>5072</v>
      </c>
      <c r="BI211" s="98">
        <v>5818</v>
      </c>
      <c r="BJ211" s="98"/>
      <c r="BK211" s="98"/>
      <c r="BL211" s="98"/>
    </row>
    <row r="212" spans="1:64" outlineLevel="5" x14ac:dyDescent="0.3">
      <c r="A212" s="152">
        <f t="shared" si="76"/>
        <v>6</v>
      </c>
      <c r="B212" s="153">
        <f t="shared" si="75"/>
        <v>45101</v>
      </c>
      <c r="C212" s="138">
        <f t="shared" si="81"/>
        <v>38.700000000000003</v>
      </c>
      <c r="D212" s="84">
        <v>38.700000000000003</v>
      </c>
      <c r="E212" s="84">
        <v>38.6</v>
      </c>
      <c r="F212" s="84"/>
      <c r="G212" s="84"/>
      <c r="H212" s="84"/>
      <c r="I212" s="84"/>
      <c r="J212" s="84"/>
      <c r="K212" s="84"/>
      <c r="L212" s="140" t="str">
        <f t="shared" si="82"/>
        <v/>
      </c>
      <c r="M212" s="86"/>
      <c r="N212" s="86"/>
      <c r="O212" s="86"/>
      <c r="P212" s="86"/>
      <c r="Q212" s="86"/>
      <c r="R212" s="86"/>
      <c r="S212" s="86"/>
      <c r="T212" s="86"/>
      <c r="U212" s="142" t="str">
        <f t="shared" si="83"/>
        <v/>
      </c>
      <c r="V212" s="88"/>
      <c r="W212" s="88"/>
      <c r="X212" s="88"/>
      <c r="Y212" s="88"/>
      <c r="Z212" s="88"/>
      <c r="AA212" s="88"/>
      <c r="AB212" s="88"/>
      <c r="AC212" s="88"/>
      <c r="AD212" s="142" t="str">
        <f t="shared" si="84"/>
        <v/>
      </c>
      <c r="AE212" s="88"/>
      <c r="AF212" s="88"/>
      <c r="AG212" s="88"/>
      <c r="AH212" s="88"/>
      <c r="AI212" s="88"/>
      <c r="AJ212" s="88"/>
      <c r="AK212" s="88"/>
      <c r="AL212" s="88"/>
      <c r="AM212" s="88">
        <v>46.654146486112481</v>
      </c>
      <c r="AN212" s="88">
        <v>101.17</v>
      </c>
      <c r="AO212" s="89"/>
      <c r="AP212" s="90"/>
      <c r="AQ212" s="146" t="str">
        <f t="shared" si="85"/>
        <v/>
      </c>
      <c r="AR212" s="146" t="str">
        <f t="shared" si="86"/>
        <v/>
      </c>
      <c r="AS212" s="147">
        <v>10</v>
      </c>
      <c r="AT212" s="148"/>
      <c r="AU212" s="149"/>
      <c r="AV212" s="146" t="str">
        <f t="shared" si="87"/>
        <v/>
      </c>
      <c r="AW212" s="146" t="str">
        <f t="shared" si="88"/>
        <v/>
      </c>
      <c r="AX212" s="138" t="str">
        <f t="shared" si="89"/>
        <v/>
      </c>
      <c r="AY212" s="95"/>
      <c r="AZ212" s="96"/>
      <c r="BA212" s="96"/>
      <c r="BB212" s="96"/>
      <c r="BC212" s="96"/>
      <c r="BD212" s="97">
        <v>101.17</v>
      </c>
      <c r="BE212" s="142">
        <f t="shared" si="90"/>
        <v>11730</v>
      </c>
      <c r="BF212" s="98">
        <v>0</v>
      </c>
      <c r="BG212" s="98">
        <v>0</v>
      </c>
      <c r="BH212" s="98">
        <v>5463</v>
      </c>
      <c r="BI212" s="98">
        <v>6267</v>
      </c>
      <c r="BJ212" s="98"/>
      <c r="BK212" s="98"/>
      <c r="BL212" s="98"/>
    </row>
    <row r="213" spans="1:64" outlineLevel="5" x14ac:dyDescent="0.3">
      <c r="A213" s="152">
        <f t="shared" si="76"/>
        <v>6</v>
      </c>
      <c r="B213" s="153">
        <f t="shared" si="75"/>
        <v>45102</v>
      </c>
      <c r="C213" s="138" t="str">
        <f t="shared" si="81"/>
        <v/>
      </c>
      <c r="D213" s="84"/>
      <c r="E213" s="84"/>
      <c r="F213" s="84"/>
      <c r="G213" s="84"/>
      <c r="H213" s="84"/>
      <c r="I213" s="84"/>
      <c r="J213" s="84"/>
      <c r="K213" s="84"/>
      <c r="L213" s="140" t="str">
        <f t="shared" si="82"/>
        <v/>
      </c>
      <c r="M213" s="86"/>
      <c r="N213" s="86"/>
      <c r="O213" s="86"/>
      <c r="P213" s="86"/>
      <c r="Q213" s="86"/>
      <c r="R213" s="86"/>
      <c r="S213" s="86"/>
      <c r="T213" s="86"/>
      <c r="U213" s="142" t="str">
        <f t="shared" si="83"/>
        <v/>
      </c>
      <c r="V213" s="88"/>
      <c r="W213" s="88"/>
      <c r="X213" s="88"/>
      <c r="Y213" s="88"/>
      <c r="Z213" s="88"/>
      <c r="AA213" s="88"/>
      <c r="AB213" s="88"/>
      <c r="AC213" s="88"/>
      <c r="AD213" s="142" t="str">
        <f t="shared" si="84"/>
        <v/>
      </c>
      <c r="AE213" s="88"/>
      <c r="AF213" s="88"/>
      <c r="AG213" s="88"/>
      <c r="AH213" s="88"/>
      <c r="AI213" s="88"/>
      <c r="AJ213" s="88"/>
      <c r="AK213" s="88"/>
      <c r="AL213" s="88"/>
      <c r="AM213" s="88">
        <v>47.2</v>
      </c>
      <c r="AN213" s="88">
        <v>100</v>
      </c>
      <c r="AO213" s="89"/>
      <c r="AP213" s="90"/>
      <c r="AQ213" s="146" t="str">
        <f t="shared" si="85"/>
        <v/>
      </c>
      <c r="AR213" s="146" t="str">
        <f t="shared" si="86"/>
        <v/>
      </c>
      <c r="AS213" s="147">
        <v>15</v>
      </c>
      <c r="AT213" s="148"/>
      <c r="AU213" s="149"/>
      <c r="AV213" s="146" t="str">
        <f t="shared" si="87"/>
        <v/>
      </c>
      <c r="AW213" s="146" t="str">
        <f t="shared" si="88"/>
        <v/>
      </c>
      <c r="AX213" s="138" t="str">
        <f t="shared" si="89"/>
        <v/>
      </c>
      <c r="AY213" s="95"/>
      <c r="AZ213" s="96"/>
      <c r="BA213" s="96"/>
      <c r="BB213" s="96"/>
      <c r="BC213" s="96"/>
      <c r="BD213" s="97">
        <v>100</v>
      </c>
      <c r="BE213" s="142">
        <f t="shared" si="90"/>
        <v>10566</v>
      </c>
      <c r="BF213" s="98">
        <v>0</v>
      </c>
      <c r="BG213" s="98">
        <v>0</v>
      </c>
      <c r="BH213" s="98">
        <v>5694</v>
      </c>
      <c r="BI213" s="98">
        <v>4872</v>
      </c>
      <c r="BJ213" s="98"/>
      <c r="BK213" s="98"/>
      <c r="BL213" s="98"/>
    </row>
    <row r="214" spans="1:64" outlineLevel="5" x14ac:dyDescent="0.3">
      <c r="A214" s="152">
        <f t="shared" si="76"/>
        <v>6</v>
      </c>
      <c r="B214" s="153">
        <f t="shared" si="75"/>
        <v>45103</v>
      </c>
      <c r="C214" s="138">
        <f t="shared" si="81"/>
        <v>38.299999999999997</v>
      </c>
      <c r="D214" s="84">
        <v>38.4</v>
      </c>
      <c r="E214" s="84">
        <v>38.200000000000003</v>
      </c>
      <c r="F214" s="84"/>
      <c r="G214" s="84"/>
      <c r="H214" s="84"/>
      <c r="I214" s="84"/>
      <c r="J214" s="84"/>
      <c r="K214" s="84"/>
      <c r="L214" s="140">
        <f t="shared" si="82"/>
        <v>8.1999999999999993</v>
      </c>
      <c r="M214" s="86">
        <v>8.2200000000000006</v>
      </c>
      <c r="N214" s="86">
        <v>8.16</v>
      </c>
      <c r="O214" s="86"/>
      <c r="P214" s="86"/>
      <c r="Q214" s="86"/>
      <c r="R214" s="86"/>
      <c r="S214" s="86"/>
      <c r="T214" s="86"/>
      <c r="U214" s="142">
        <f t="shared" si="83"/>
        <v>1130</v>
      </c>
      <c r="V214" s="88">
        <v>1125</v>
      </c>
      <c r="W214" s="88">
        <v>1135</v>
      </c>
      <c r="X214" s="88"/>
      <c r="Y214" s="88"/>
      <c r="Z214" s="88"/>
      <c r="AA214" s="88"/>
      <c r="AB214" s="88"/>
      <c r="AC214" s="88"/>
      <c r="AD214" s="142" t="str">
        <f t="shared" si="84"/>
        <v/>
      </c>
      <c r="AE214" s="88"/>
      <c r="AF214" s="88"/>
      <c r="AG214" s="88"/>
      <c r="AH214" s="88"/>
      <c r="AI214" s="88"/>
      <c r="AJ214" s="88"/>
      <c r="AK214" s="88"/>
      <c r="AL214" s="88"/>
      <c r="AM214" s="88">
        <v>52.796420581655475</v>
      </c>
      <c r="AN214" s="88">
        <v>89.4</v>
      </c>
      <c r="AO214" s="89">
        <v>15.1</v>
      </c>
      <c r="AP214" s="90">
        <v>12.819900000000001</v>
      </c>
      <c r="AQ214" s="146">
        <f t="shared" si="85"/>
        <v>84.9</v>
      </c>
      <c r="AR214" s="146">
        <f t="shared" si="86"/>
        <v>15.099999999999994</v>
      </c>
      <c r="AS214" s="147">
        <v>0</v>
      </c>
      <c r="AT214" s="148">
        <v>14.55</v>
      </c>
      <c r="AU214" s="149">
        <v>7.8895999999999997</v>
      </c>
      <c r="AV214" s="146">
        <f t="shared" si="87"/>
        <v>54.224054982817862</v>
      </c>
      <c r="AW214" s="146">
        <f t="shared" si="88"/>
        <v>45.775945017182138</v>
      </c>
      <c r="AX214" s="138">
        <f t="shared" si="89"/>
        <v>78.931969903299233</v>
      </c>
      <c r="AY214" s="95">
        <v>74.400000000000006</v>
      </c>
      <c r="AZ214" s="96">
        <v>64.67</v>
      </c>
      <c r="BA214" s="96"/>
      <c r="BB214" s="96">
        <v>59.5</v>
      </c>
      <c r="BC214" s="96"/>
      <c r="BD214" s="97">
        <v>89.4</v>
      </c>
      <c r="BE214" s="142">
        <f t="shared" si="90"/>
        <v>9741</v>
      </c>
      <c r="BF214" s="98">
        <v>0</v>
      </c>
      <c r="BG214" s="98">
        <v>0</v>
      </c>
      <c r="BH214" s="98">
        <v>4480</v>
      </c>
      <c r="BI214" s="98">
        <v>5261</v>
      </c>
      <c r="BJ214" s="98"/>
      <c r="BK214" s="98"/>
      <c r="BL214" s="98"/>
    </row>
    <row r="215" spans="1:64" outlineLevel="5" x14ac:dyDescent="0.3">
      <c r="A215" s="152">
        <f t="shared" si="76"/>
        <v>6</v>
      </c>
      <c r="B215" s="153">
        <f t="shared" si="75"/>
        <v>45104</v>
      </c>
      <c r="C215" s="138" t="str">
        <f t="shared" si="81"/>
        <v/>
      </c>
      <c r="D215" s="84"/>
      <c r="E215" s="84"/>
      <c r="F215" s="84"/>
      <c r="G215" s="84"/>
      <c r="H215" s="84"/>
      <c r="I215" s="84"/>
      <c r="J215" s="84"/>
      <c r="K215" s="84"/>
      <c r="L215" s="140" t="str">
        <f t="shared" si="82"/>
        <v/>
      </c>
      <c r="M215" s="86"/>
      <c r="N215" s="86"/>
      <c r="O215" s="86"/>
      <c r="P215" s="86"/>
      <c r="Q215" s="86"/>
      <c r="R215" s="86"/>
      <c r="S215" s="86"/>
      <c r="T215" s="86"/>
      <c r="U215" s="142" t="str">
        <f t="shared" si="83"/>
        <v/>
      </c>
      <c r="V215" s="88"/>
      <c r="W215" s="88"/>
      <c r="X215" s="88"/>
      <c r="Y215" s="88"/>
      <c r="Z215" s="88"/>
      <c r="AA215" s="88"/>
      <c r="AB215" s="88"/>
      <c r="AC215" s="88"/>
      <c r="AD215" s="142" t="str">
        <f t="shared" si="84"/>
        <v/>
      </c>
      <c r="AE215" s="88"/>
      <c r="AF215" s="88"/>
      <c r="AG215" s="88"/>
      <c r="AH215" s="88"/>
      <c r="AI215" s="88"/>
      <c r="AJ215" s="88"/>
      <c r="AK215" s="88"/>
      <c r="AL215" s="88"/>
      <c r="AM215" s="88">
        <v>33.733562035448827</v>
      </c>
      <c r="AN215" s="88">
        <v>139.92000000000002</v>
      </c>
      <c r="AO215" s="89"/>
      <c r="AP215" s="90"/>
      <c r="AQ215" s="146" t="str">
        <f t="shared" si="85"/>
        <v/>
      </c>
      <c r="AR215" s="146" t="str">
        <f t="shared" si="86"/>
        <v/>
      </c>
      <c r="AS215" s="147">
        <v>0</v>
      </c>
      <c r="AT215" s="148"/>
      <c r="AU215" s="149"/>
      <c r="AV215" s="146" t="str">
        <f t="shared" si="87"/>
        <v/>
      </c>
      <c r="AW215" s="146" t="str">
        <f t="shared" si="88"/>
        <v/>
      </c>
      <c r="AX215" s="138" t="str">
        <f t="shared" si="89"/>
        <v/>
      </c>
      <c r="AY215" s="95"/>
      <c r="AZ215" s="96">
        <v>61.040000000000006</v>
      </c>
      <c r="BA215" s="96"/>
      <c r="BB215" s="96">
        <v>74.5</v>
      </c>
      <c r="BC215" s="96"/>
      <c r="BD215" s="97">
        <v>139.92000000000002</v>
      </c>
      <c r="BE215" s="142">
        <f t="shared" si="90"/>
        <v>11966</v>
      </c>
      <c r="BF215" s="98">
        <v>0</v>
      </c>
      <c r="BG215" s="98">
        <v>0</v>
      </c>
      <c r="BH215" s="98">
        <v>5733</v>
      </c>
      <c r="BI215" s="98">
        <v>6233</v>
      </c>
      <c r="BJ215" s="98"/>
      <c r="BK215" s="98"/>
      <c r="BL215" s="98"/>
    </row>
    <row r="216" spans="1:64" outlineLevel="5" x14ac:dyDescent="0.3">
      <c r="A216" s="152">
        <f t="shared" si="76"/>
        <v>6</v>
      </c>
      <c r="B216" s="153">
        <f t="shared" si="75"/>
        <v>45105</v>
      </c>
      <c r="C216" s="138">
        <f t="shared" si="81"/>
        <v>37.700000000000003</v>
      </c>
      <c r="D216" s="84">
        <v>37.799999999999997</v>
      </c>
      <c r="E216" s="84">
        <v>37.6</v>
      </c>
      <c r="F216" s="84"/>
      <c r="G216" s="84"/>
      <c r="H216" s="84"/>
      <c r="I216" s="84"/>
      <c r="J216" s="84"/>
      <c r="K216" s="84"/>
      <c r="L216" s="140" t="str">
        <f t="shared" si="82"/>
        <v/>
      </c>
      <c r="M216" s="86"/>
      <c r="N216" s="86"/>
      <c r="O216" s="86"/>
      <c r="P216" s="86"/>
      <c r="Q216" s="86"/>
      <c r="R216" s="86"/>
      <c r="S216" s="86"/>
      <c r="T216" s="86"/>
      <c r="U216" s="142" t="str">
        <f t="shared" si="83"/>
        <v/>
      </c>
      <c r="V216" s="88"/>
      <c r="W216" s="88"/>
      <c r="X216" s="88"/>
      <c r="Y216" s="88"/>
      <c r="Z216" s="88"/>
      <c r="AA216" s="88"/>
      <c r="AB216" s="88"/>
      <c r="AC216" s="88"/>
      <c r="AD216" s="142" t="str">
        <f t="shared" si="84"/>
        <v/>
      </c>
      <c r="AE216" s="88"/>
      <c r="AF216" s="88"/>
      <c r="AG216" s="88"/>
      <c r="AH216" s="88"/>
      <c r="AI216" s="88"/>
      <c r="AJ216" s="88"/>
      <c r="AK216" s="88"/>
      <c r="AL216" s="88"/>
      <c r="AM216" s="88">
        <v>31.799501448494237</v>
      </c>
      <c r="AN216" s="88">
        <v>148.43</v>
      </c>
      <c r="AO216" s="89"/>
      <c r="AP216" s="90"/>
      <c r="AQ216" s="146" t="str">
        <f t="shared" si="85"/>
        <v/>
      </c>
      <c r="AR216" s="146" t="str">
        <f t="shared" si="86"/>
        <v/>
      </c>
      <c r="AS216" s="147">
        <v>0</v>
      </c>
      <c r="AT216" s="148"/>
      <c r="AU216" s="149"/>
      <c r="AV216" s="146" t="str">
        <f t="shared" si="87"/>
        <v/>
      </c>
      <c r="AW216" s="146" t="str">
        <f t="shared" si="88"/>
        <v/>
      </c>
      <c r="AX216" s="138" t="str">
        <f t="shared" si="89"/>
        <v/>
      </c>
      <c r="AY216" s="95"/>
      <c r="AZ216" s="96">
        <v>60.76</v>
      </c>
      <c r="BA216" s="96"/>
      <c r="BB216" s="96">
        <v>68.5</v>
      </c>
      <c r="BC216" s="96"/>
      <c r="BD216" s="97">
        <v>148.43</v>
      </c>
      <c r="BE216" s="142">
        <f t="shared" si="90"/>
        <v>10762</v>
      </c>
      <c r="BF216" s="98">
        <v>0</v>
      </c>
      <c r="BG216" s="98">
        <v>0</v>
      </c>
      <c r="BH216" s="98">
        <v>4646</v>
      </c>
      <c r="BI216" s="98">
        <v>6116</v>
      </c>
      <c r="BJ216" s="98"/>
      <c r="BK216" s="98"/>
      <c r="BL216" s="98"/>
    </row>
    <row r="217" spans="1:64" outlineLevel="5" x14ac:dyDescent="0.3">
      <c r="A217" s="152">
        <f t="shared" si="76"/>
        <v>6</v>
      </c>
      <c r="B217" s="153">
        <f t="shared" si="75"/>
        <v>45106</v>
      </c>
      <c r="C217" s="138">
        <f t="shared" si="81"/>
        <v>37.700000000000003</v>
      </c>
      <c r="D217" s="84">
        <v>37.799999999999997</v>
      </c>
      <c r="E217" s="84">
        <v>37.6</v>
      </c>
      <c r="F217" s="84"/>
      <c r="G217" s="84"/>
      <c r="H217" s="84"/>
      <c r="I217" s="84"/>
      <c r="J217" s="84"/>
      <c r="K217" s="84"/>
      <c r="L217" s="140">
        <f t="shared" si="82"/>
        <v>8.1</v>
      </c>
      <c r="M217" s="86">
        <v>8.17</v>
      </c>
      <c r="N217" s="86">
        <v>8.1199999999999992</v>
      </c>
      <c r="O217" s="86"/>
      <c r="P217" s="86"/>
      <c r="Q217" s="86"/>
      <c r="R217" s="86"/>
      <c r="S217" s="86"/>
      <c r="T217" s="86"/>
      <c r="U217" s="142">
        <f t="shared" si="83"/>
        <v>1199.5</v>
      </c>
      <c r="V217" s="88">
        <v>1174</v>
      </c>
      <c r="W217" s="88">
        <v>1225</v>
      </c>
      <c r="X217" s="88"/>
      <c r="Y217" s="88"/>
      <c r="Z217" s="88"/>
      <c r="AA217" s="88"/>
      <c r="AB217" s="88"/>
      <c r="AC217" s="88"/>
      <c r="AD217" s="142" t="str">
        <f t="shared" si="84"/>
        <v/>
      </c>
      <c r="AE217" s="88"/>
      <c r="AF217" s="88"/>
      <c r="AG217" s="88"/>
      <c r="AH217" s="88"/>
      <c r="AI217" s="88"/>
      <c r="AJ217" s="88"/>
      <c r="AK217" s="88"/>
      <c r="AL217" s="88"/>
      <c r="AM217" s="88">
        <v>29.989198805514967</v>
      </c>
      <c r="AN217" s="88">
        <v>157.38999999999999</v>
      </c>
      <c r="AO217" s="89"/>
      <c r="AP217" s="90"/>
      <c r="AQ217" s="146" t="str">
        <f t="shared" si="85"/>
        <v/>
      </c>
      <c r="AR217" s="146" t="str">
        <f t="shared" si="86"/>
        <v/>
      </c>
      <c r="AS217" s="147">
        <v>25</v>
      </c>
      <c r="AT217" s="148">
        <v>14.25</v>
      </c>
      <c r="AU217" s="149">
        <v>7.6356999999999999</v>
      </c>
      <c r="AV217" s="146">
        <f t="shared" si="87"/>
        <v>53.583859649122815</v>
      </c>
      <c r="AW217" s="146">
        <f t="shared" si="88"/>
        <v>46.416140350877185</v>
      </c>
      <c r="AX217" s="138" t="str">
        <f t="shared" si="89"/>
        <v/>
      </c>
      <c r="AY217" s="95">
        <v>72.650000000000006</v>
      </c>
      <c r="AZ217" s="96">
        <v>61.644999999999996</v>
      </c>
      <c r="BA217" s="96"/>
      <c r="BB217" s="96">
        <v>55</v>
      </c>
      <c r="BC217" s="96"/>
      <c r="BD217" s="97">
        <v>157.38999999999999</v>
      </c>
      <c r="BE217" s="142">
        <f t="shared" si="90"/>
        <v>13729</v>
      </c>
      <c r="BF217" s="98">
        <v>721</v>
      </c>
      <c r="BG217" s="98">
        <v>2297</v>
      </c>
      <c r="BH217" s="98">
        <v>4534</v>
      </c>
      <c r="BI217" s="98">
        <v>6177</v>
      </c>
      <c r="BJ217" s="98"/>
      <c r="BK217" s="98"/>
      <c r="BL217" s="98"/>
    </row>
    <row r="218" spans="1:64" ht="17.25" outlineLevel="5" thickBot="1" x14ac:dyDescent="0.35">
      <c r="A218" s="154">
        <f t="shared" si="76"/>
        <v>6</v>
      </c>
      <c r="B218" s="155">
        <f t="shared" si="75"/>
        <v>45107</v>
      </c>
      <c r="C218" s="138">
        <f t="shared" si="81"/>
        <v>37.799999999999997</v>
      </c>
      <c r="D218" s="84">
        <v>37.9</v>
      </c>
      <c r="E218" s="84">
        <v>37.700000000000003</v>
      </c>
      <c r="F218" s="84"/>
      <c r="G218" s="84"/>
      <c r="H218" s="84"/>
      <c r="I218" s="84"/>
      <c r="J218" s="84"/>
      <c r="K218" s="84"/>
      <c r="L218" s="140" t="str">
        <f t="shared" si="82"/>
        <v/>
      </c>
      <c r="M218" s="86"/>
      <c r="N218" s="86"/>
      <c r="O218" s="86"/>
      <c r="P218" s="86"/>
      <c r="Q218" s="86"/>
      <c r="R218" s="86"/>
      <c r="S218" s="86"/>
      <c r="T218" s="86"/>
      <c r="U218" s="142" t="str">
        <f t="shared" si="83"/>
        <v/>
      </c>
      <c r="V218" s="88"/>
      <c r="W218" s="88"/>
      <c r="X218" s="88"/>
      <c r="Y218" s="88"/>
      <c r="Z218" s="88"/>
      <c r="AA218" s="88"/>
      <c r="AB218" s="88"/>
      <c r="AC218" s="88"/>
      <c r="AD218" s="142" t="str">
        <f t="shared" si="84"/>
        <v/>
      </c>
      <c r="AE218" s="88"/>
      <c r="AF218" s="88"/>
      <c r="AG218" s="88"/>
      <c r="AH218" s="88"/>
      <c r="AI218" s="88"/>
      <c r="AJ218" s="88"/>
      <c r="AK218" s="88"/>
      <c r="AL218" s="88"/>
      <c r="AM218" s="88">
        <v>41.843971631205669</v>
      </c>
      <c r="AN218" s="88">
        <v>112.80000000000001</v>
      </c>
      <c r="AO218" s="89"/>
      <c r="AP218" s="90"/>
      <c r="AQ218" s="146" t="str">
        <f t="shared" si="85"/>
        <v/>
      </c>
      <c r="AR218" s="146" t="str">
        <f t="shared" si="86"/>
        <v/>
      </c>
      <c r="AS218" s="147">
        <v>25</v>
      </c>
      <c r="AT218" s="148"/>
      <c r="AU218" s="149"/>
      <c r="AV218" s="146" t="str">
        <f t="shared" si="87"/>
        <v/>
      </c>
      <c r="AW218" s="146" t="str">
        <f t="shared" si="88"/>
        <v/>
      </c>
      <c r="AX218" s="138" t="str">
        <f t="shared" si="89"/>
        <v/>
      </c>
      <c r="AY218" s="95"/>
      <c r="AZ218" s="96">
        <v>63.66</v>
      </c>
      <c r="BA218" s="96"/>
      <c r="BB218" s="96">
        <v>50.5</v>
      </c>
      <c r="BC218" s="96"/>
      <c r="BD218" s="97">
        <v>112.80000000000001</v>
      </c>
      <c r="BE218" s="142">
        <f t="shared" si="90"/>
        <v>14840</v>
      </c>
      <c r="BF218" s="98">
        <v>0</v>
      </c>
      <c r="BG218" s="98">
        <v>3832</v>
      </c>
      <c r="BH218" s="98">
        <v>4824</v>
      </c>
      <c r="BI218" s="98">
        <v>6184</v>
      </c>
      <c r="BJ218" s="98"/>
      <c r="BK218" s="98"/>
      <c r="BL218" s="98"/>
    </row>
    <row r="219" spans="1:64" outlineLevel="4" x14ac:dyDescent="0.3">
      <c r="A219" s="63" t="s">
        <v>77</v>
      </c>
      <c r="B219" s="64"/>
      <c r="C219" s="65">
        <f t="shared" ref="C219:BL219" si="91">SUBTOTAL(4,C189:C218)</f>
        <v>39.4</v>
      </c>
      <c r="D219" s="66">
        <f t="shared" si="91"/>
        <v>39.4</v>
      </c>
      <c r="E219" s="66">
        <f t="shared" si="91"/>
        <v>39.5</v>
      </c>
      <c r="F219" s="66">
        <f t="shared" si="91"/>
        <v>0</v>
      </c>
      <c r="G219" s="66">
        <f t="shared" si="91"/>
        <v>0</v>
      </c>
      <c r="H219" s="66">
        <f t="shared" si="91"/>
        <v>0</v>
      </c>
      <c r="I219" s="66">
        <f t="shared" si="91"/>
        <v>0</v>
      </c>
      <c r="J219" s="66">
        <f t="shared" si="91"/>
        <v>0</v>
      </c>
      <c r="K219" s="66">
        <f t="shared" si="91"/>
        <v>0</v>
      </c>
      <c r="L219" s="67">
        <f t="shared" si="91"/>
        <v>8.1999999999999993</v>
      </c>
      <c r="M219" s="68">
        <f t="shared" si="91"/>
        <v>8.2200000000000006</v>
      </c>
      <c r="N219" s="68">
        <f t="shared" si="91"/>
        <v>8.2200000000000006</v>
      </c>
      <c r="O219" s="68">
        <f t="shared" si="91"/>
        <v>0</v>
      </c>
      <c r="P219" s="68">
        <f t="shared" si="91"/>
        <v>0</v>
      </c>
      <c r="Q219" s="68">
        <f t="shared" si="91"/>
        <v>0</v>
      </c>
      <c r="R219" s="68">
        <f t="shared" si="91"/>
        <v>0</v>
      </c>
      <c r="S219" s="68">
        <f t="shared" si="91"/>
        <v>0</v>
      </c>
      <c r="T219" s="68">
        <f t="shared" si="91"/>
        <v>0</v>
      </c>
      <c r="U219" s="69">
        <f t="shared" si="91"/>
        <v>1432.5</v>
      </c>
      <c r="V219" s="70">
        <f t="shared" si="91"/>
        <v>1330</v>
      </c>
      <c r="W219" s="70">
        <f t="shared" si="91"/>
        <v>1676</v>
      </c>
      <c r="X219" s="70">
        <f t="shared" si="91"/>
        <v>0</v>
      </c>
      <c r="Y219" s="70">
        <f t="shared" si="91"/>
        <v>0</v>
      </c>
      <c r="Z219" s="70">
        <f t="shared" si="91"/>
        <v>0</v>
      </c>
      <c r="AA219" s="70">
        <f t="shared" si="91"/>
        <v>0</v>
      </c>
      <c r="AB219" s="70">
        <f t="shared" si="91"/>
        <v>0</v>
      </c>
      <c r="AC219" s="70">
        <f t="shared" si="91"/>
        <v>0</v>
      </c>
      <c r="AD219" s="69">
        <f t="shared" si="91"/>
        <v>9595</v>
      </c>
      <c r="AE219" s="70">
        <f t="shared" si="91"/>
        <v>9510</v>
      </c>
      <c r="AF219" s="70">
        <f t="shared" si="91"/>
        <v>9680</v>
      </c>
      <c r="AG219" s="70">
        <f t="shared" si="91"/>
        <v>0</v>
      </c>
      <c r="AH219" s="70">
        <f t="shared" si="91"/>
        <v>0</v>
      </c>
      <c r="AI219" s="70">
        <f t="shared" si="91"/>
        <v>0</v>
      </c>
      <c r="AJ219" s="70">
        <f t="shared" si="91"/>
        <v>0</v>
      </c>
      <c r="AK219" s="70">
        <f t="shared" si="91"/>
        <v>0</v>
      </c>
      <c r="AL219" s="70">
        <f t="shared" si="91"/>
        <v>0</v>
      </c>
      <c r="AM219" s="70">
        <f t="shared" si="91"/>
        <v>68.824730242053079</v>
      </c>
      <c r="AN219" s="70">
        <f t="shared" si="91"/>
        <v>167.49</v>
      </c>
      <c r="AO219" s="71">
        <f t="shared" si="91"/>
        <v>19.8</v>
      </c>
      <c r="AP219" s="72">
        <f t="shared" si="91"/>
        <v>15.8796</v>
      </c>
      <c r="AQ219" s="73">
        <f t="shared" si="91"/>
        <v>84.9</v>
      </c>
      <c r="AR219" s="73">
        <f t="shared" si="91"/>
        <v>19.800000000000011</v>
      </c>
      <c r="AS219" s="74">
        <f t="shared" si="91"/>
        <v>45</v>
      </c>
      <c r="AT219" s="75">
        <f t="shared" si="91"/>
        <v>14.8</v>
      </c>
      <c r="AU219" s="76">
        <f t="shared" si="91"/>
        <v>8.6584000000000003</v>
      </c>
      <c r="AV219" s="73">
        <f t="shared" si="91"/>
        <v>58.502702702702706</v>
      </c>
      <c r="AW219" s="73">
        <f t="shared" si="91"/>
        <v>47.23588850174216</v>
      </c>
      <c r="AX219" s="65">
        <f t="shared" si="91"/>
        <v>78.931969903299233</v>
      </c>
      <c r="AY219" s="77">
        <f t="shared" si="91"/>
        <v>76.25</v>
      </c>
      <c r="AZ219" s="78">
        <f t="shared" si="91"/>
        <v>66.09</v>
      </c>
      <c r="BA219" s="78">
        <f t="shared" si="91"/>
        <v>0</v>
      </c>
      <c r="BB219" s="78">
        <f t="shared" si="91"/>
        <v>75</v>
      </c>
      <c r="BC219" s="78">
        <f t="shared" si="91"/>
        <v>0</v>
      </c>
      <c r="BD219" s="79">
        <f t="shared" si="91"/>
        <v>167.49</v>
      </c>
      <c r="BE219" s="69">
        <f t="shared" si="91"/>
        <v>15787</v>
      </c>
      <c r="BF219" s="70">
        <f t="shared" si="91"/>
        <v>1935</v>
      </c>
      <c r="BG219" s="80">
        <f t="shared" si="91"/>
        <v>3832</v>
      </c>
      <c r="BH219" s="80">
        <f t="shared" si="91"/>
        <v>6512</v>
      </c>
      <c r="BI219" s="80">
        <f t="shared" si="91"/>
        <v>6267</v>
      </c>
      <c r="BJ219" s="80">
        <f t="shared" si="91"/>
        <v>0</v>
      </c>
      <c r="BK219" s="80">
        <f t="shared" si="91"/>
        <v>0</v>
      </c>
      <c r="BL219" s="79">
        <f t="shared" si="91"/>
        <v>0</v>
      </c>
    </row>
    <row r="220" spans="1:64" outlineLevel="3" x14ac:dyDescent="0.3">
      <c r="A220" s="81" t="s">
        <v>78</v>
      </c>
      <c r="B220" s="82"/>
      <c r="C220" s="83">
        <f t="shared" ref="C220:BL220" si="92">SUBTOTAL(5,C189:C218)</f>
        <v>37.4</v>
      </c>
      <c r="D220" s="84">
        <f t="shared" si="92"/>
        <v>37.299999999999997</v>
      </c>
      <c r="E220" s="84">
        <f t="shared" si="92"/>
        <v>37.299999999999997</v>
      </c>
      <c r="F220" s="84">
        <f t="shared" si="92"/>
        <v>0</v>
      </c>
      <c r="G220" s="84">
        <f t="shared" si="92"/>
        <v>0</v>
      </c>
      <c r="H220" s="84">
        <f t="shared" si="92"/>
        <v>0</v>
      </c>
      <c r="I220" s="84">
        <f t="shared" si="92"/>
        <v>0</v>
      </c>
      <c r="J220" s="84">
        <f t="shared" si="92"/>
        <v>0</v>
      </c>
      <c r="K220" s="84">
        <f t="shared" si="92"/>
        <v>0</v>
      </c>
      <c r="L220" s="85">
        <f t="shared" si="92"/>
        <v>8.1</v>
      </c>
      <c r="M220" s="86">
        <f t="shared" si="92"/>
        <v>8.08</v>
      </c>
      <c r="N220" s="86">
        <f t="shared" si="92"/>
        <v>8.08</v>
      </c>
      <c r="O220" s="86">
        <f t="shared" si="92"/>
        <v>0</v>
      </c>
      <c r="P220" s="86">
        <f t="shared" si="92"/>
        <v>0</v>
      </c>
      <c r="Q220" s="86">
        <f t="shared" si="92"/>
        <v>0</v>
      </c>
      <c r="R220" s="86">
        <f t="shared" si="92"/>
        <v>0</v>
      </c>
      <c r="S220" s="86">
        <f t="shared" si="92"/>
        <v>0</v>
      </c>
      <c r="T220" s="86">
        <f t="shared" si="92"/>
        <v>0</v>
      </c>
      <c r="U220" s="87">
        <f t="shared" si="92"/>
        <v>1097.5</v>
      </c>
      <c r="V220" s="88">
        <f t="shared" si="92"/>
        <v>1087</v>
      </c>
      <c r="W220" s="88">
        <f t="shared" si="92"/>
        <v>865</v>
      </c>
      <c r="X220" s="88">
        <f t="shared" si="92"/>
        <v>0</v>
      </c>
      <c r="Y220" s="88">
        <f t="shared" si="92"/>
        <v>0</v>
      </c>
      <c r="Z220" s="88">
        <f t="shared" si="92"/>
        <v>0</v>
      </c>
      <c r="AA220" s="88">
        <f t="shared" si="92"/>
        <v>0</v>
      </c>
      <c r="AB220" s="88">
        <f t="shared" si="92"/>
        <v>0</v>
      </c>
      <c r="AC220" s="88">
        <f t="shared" si="92"/>
        <v>0</v>
      </c>
      <c r="AD220" s="87">
        <f t="shared" si="92"/>
        <v>9595</v>
      </c>
      <c r="AE220" s="88">
        <f t="shared" si="92"/>
        <v>9510</v>
      </c>
      <c r="AF220" s="88">
        <f t="shared" si="92"/>
        <v>9680</v>
      </c>
      <c r="AG220" s="88">
        <f t="shared" si="92"/>
        <v>0</v>
      </c>
      <c r="AH220" s="88">
        <f t="shared" si="92"/>
        <v>0</v>
      </c>
      <c r="AI220" s="88">
        <f t="shared" si="92"/>
        <v>0</v>
      </c>
      <c r="AJ220" s="88">
        <f t="shared" si="92"/>
        <v>0</v>
      </c>
      <c r="AK220" s="88">
        <f t="shared" si="92"/>
        <v>0</v>
      </c>
      <c r="AL220" s="88">
        <f t="shared" si="92"/>
        <v>0</v>
      </c>
      <c r="AM220" s="88">
        <f t="shared" si="92"/>
        <v>28.180786912651499</v>
      </c>
      <c r="AN220" s="88">
        <f t="shared" si="92"/>
        <v>68.58</v>
      </c>
      <c r="AO220" s="89">
        <f t="shared" si="92"/>
        <v>15.1</v>
      </c>
      <c r="AP220" s="90">
        <f t="shared" si="92"/>
        <v>12.819900000000001</v>
      </c>
      <c r="AQ220" s="91">
        <f t="shared" si="92"/>
        <v>80.199999999999989</v>
      </c>
      <c r="AR220" s="91">
        <f t="shared" si="92"/>
        <v>15.099999999999994</v>
      </c>
      <c r="AS220" s="92">
        <f t="shared" si="92"/>
        <v>0</v>
      </c>
      <c r="AT220" s="93">
        <f t="shared" si="92"/>
        <v>13.6</v>
      </c>
      <c r="AU220" s="94">
        <f t="shared" si="92"/>
        <v>7.3611000000000004</v>
      </c>
      <c r="AV220" s="91">
        <f t="shared" si="92"/>
        <v>52.76411149825784</v>
      </c>
      <c r="AW220" s="91">
        <f t="shared" si="92"/>
        <v>41.497297297297294</v>
      </c>
      <c r="AX220" s="83">
        <f t="shared" si="92"/>
        <v>70.115974474723274</v>
      </c>
      <c r="AY220" s="95">
        <f t="shared" si="92"/>
        <v>72.650000000000006</v>
      </c>
      <c r="AZ220" s="96">
        <f t="shared" si="92"/>
        <v>60.76</v>
      </c>
      <c r="BA220" s="96">
        <f t="shared" si="92"/>
        <v>0</v>
      </c>
      <c r="BB220" s="96">
        <f t="shared" si="92"/>
        <v>43</v>
      </c>
      <c r="BC220" s="96">
        <f t="shared" si="92"/>
        <v>0</v>
      </c>
      <c r="BD220" s="97">
        <f t="shared" si="92"/>
        <v>68.58</v>
      </c>
      <c r="BE220" s="87">
        <f t="shared" si="92"/>
        <v>5544</v>
      </c>
      <c r="BF220" s="88">
        <f t="shared" si="92"/>
        <v>0</v>
      </c>
      <c r="BG220" s="98">
        <f t="shared" si="92"/>
        <v>0</v>
      </c>
      <c r="BH220" s="98">
        <f t="shared" si="92"/>
        <v>0</v>
      </c>
      <c r="BI220" s="98">
        <f t="shared" si="92"/>
        <v>2958</v>
      </c>
      <c r="BJ220" s="98">
        <f t="shared" si="92"/>
        <v>0</v>
      </c>
      <c r="BK220" s="98">
        <f t="shared" si="92"/>
        <v>0</v>
      </c>
      <c r="BL220" s="97">
        <f t="shared" si="92"/>
        <v>0</v>
      </c>
    </row>
    <row r="221" spans="1:64" outlineLevel="2" x14ac:dyDescent="0.3">
      <c r="A221" s="81" t="s">
        <v>79</v>
      </c>
      <c r="B221" s="82"/>
      <c r="C221" s="83">
        <f t="shared" ref="C221:BL221" si="93">IFERROR(SUBTOTAL(1,C189:C218),"")</f>
        <v>38.312000000000005</v>
      </c>
      <c r="D221" s="84">
        <f t="shared" si="93"/>
        <v>38.371999999999993</v>
      </c>
      <c r="E221" s="84">
        <f t="shared" si="93"/>
        <v>38.216000000000001</v>
      </c>
      <c r="F221" s="84" t="str">
        <f t="shared" si="93"/>
        <v/>
      </c>
      <c r="G221" s="84" t="str">
        <f t="shared" si="93"/>
        <v/>
      </c>
      <c r="H221" s="84" t="str">
        <f t="shared" si="93"/>
        <v/>
      </c>
      <c r="I221" s="84" t="str">
        <f t="shared" si="93"/>
        <v/>
      </c>
      <c r="J221" s="84" t="str">
        <f t="shared" si="93"/>
        <v/>
      </c>
      <c r="K221" s="84" t="str">
        <f t="shared" si="93"/>
        <v/>
      </c>
      <c r="L221" s="85">
        <f t="shared" si="93"/>
        <v>8.1499999999999986</v>
      </c>
      <c r="M221" s="86">
        <f t="shared" si="93"/>
        <v>8.16</v>
      </c>
      <c r="N221" s="86">
        <f t="shared" si="93"/>
        <v>8.1466666666666683</v>
      </c>
      <c r="O221" s="86" t="str">
        <f t="shared" si="93"/>
        <v/>
      </c>
      <c r="P221" s="86" t="str">
        <f t="shared" si="93"/>
        <v/>
      </c>
      <c r="Q221" s="86" t="str">
        <f t="shared" si="93"/>
        <v/>
      </c>
      <c r="R221" s="86" t="str">
        <f t="shared" si="93"/>
        <v/>
      </c>
      <c r="S221" s="86" t="str">
        <f t="shared" si="93"/>
        <v/>
      </c>
      <c r="T221" s="86" t="str">
        <f t="shared" si="93"/>
        <v/>
      </c>
      <c r="U221" s="87">
        <f t="shared" si="93"/>
        <v>1255.25</v>
      </c>
      <c r="V221" s="88">
        <f t="shared" si="93"/>
        <v>1189.1666666666667</v>
      </c>
      <c r="W221" s="88">
        <f t="shared" si="93"/>
        <v>1321.3333333333333</v>
      </c>
      <c r="X221" s="88" t="str">
        <f t="shared" si="93"/>
        <v/>
      </c>
      <c r="Y221" s="88" t="str">
        <f t="shared" si="93"/>
        <v/>
      </c>
      <c r="Z221" s="88" t="str">
        <f t="shared" si="93"/>
        <v/>
      </c>
      <c r="AA221" s="88" t="str">
        <f t="shared" si="93"/>
        <v/>
      </c>
      <c r="AB221" s="88" t="str">
        <f t="shared" si="93"/>
        <v/>
      </c>
      <c r="AC221" s="88" t="str">
        <f t="shared" si="93"/>
        <v/>
      </c>
      <c r="AD221" s="87">
        <f t="shared" si="93"/>
        <v>9595</v>
      </c>
      <c r="AE221" s="88">
        <f t="shared" si="93"/>
        <v>9510</v>
      </c>
      <c r="AF221" s="88">
        <f t="shared" si="93"/>
        <v>9680</v>
      </c>
      <c r="AG221" s="88" t="str">
        <f t="shared" si="93"/>
        <v/>
      </c>
      <c r="AH221" s="88" t="str">
        <f t="shared" si="93"/>
        <v/>
      </c>
      <c r="AI221" s="88" t="str">
        <f t="shared" si="93"/>
        <v/>
      </c>
      <c r="AJ221" s="88" t="str">
        <f t="shared" si="93"/>
        <v/>
      </c>
      <c r="AK221" s="88" t="str">
        <f t="shared" si="93"/>
        <v/>
      </c>
      <c r="AL221" s="88" t="str">
        <f t="shared" si="93"/>
        <v/>
      </c>
      <c r="AM221" s="88">
        <f t="shared" si="93"/>
        <v>41.064731431640674</v>
      </c>
      <c r="AN221" s="88">
        <f t="shared" si="93"/>
        <v>120.28033333333335</v>
      </c>
      <c r="AO221" s="89">
        <f t="shared" si="93"/>
        <v>17.05</v>
      </c>
      <c r="AP221" s="90">
        <f t="shared" si="93"/>
        <v>14.11365</v>
      </c>
      <c r="AQ221" s="91">
        <f t="shared" si="93"/>
        <v>82.949999999999989</v>
      </c>
      <c r="AR221" s="91">
        <f t="shared" si="93"/>
        <v>17.05</v>
      </c>
      <c r="AS221" s="92">
        <f t="shared" si="93"/>
        <v>24.466666666666665</v>
      </c>
      <c r="AT221" s="93">
        <f t="shared" si="93"/>
        <v>14.1</v>
      </c>
      <c r="AU221" s="94">
        <f t="shared" si="93"/>
        <v>7.7635750000000003</v>
      </c>
      <c r="AV221" s="91">
        <f t="shared" si="93"/>
        <v>55.05170009039643</v>
      </c>
      <c r="AW221" s="91">
        <f t="shared" si="93"/>
        <v>44.948299909603577</v>
      </c>
      <c r="AX221" s="83">
        <f t="shared" si="93"/>
        <v>75.972623711545367</v>
      </c>
      <c r="AY221" s="95">
        <f t="shared" si="93"/>
        <v>74.612499999999997</v>
      </c>
      <c r="AZ221" s="96">
        <f t="shared" si="93"/>
        <v>62.85235294117647</v>
      </c>
      <c r="BA221" s="96" t="str">
        <f t="shared" si="93"/>
        <v/>
      </c>
      <c r="BB221" s="96">
        <f t="shared" si="93"/>
        <v>62.970588235294116</v>
      </c>
      <c r="BC221" s="96" t="str">
        <f t="shared" si="93"/>
        <v/>
      </c>
      <c r="BD221" s="97">
        <f>IFERROR(SUBTOTAL(1,BD189:BD218),"")</f>
        <v>120.28033333333335</v>
      </c>
      <c r="BE221" s="87">
        <f t="shared" si="93"/>
        <v>9698.7000000000007</v>
      </c>
      <c r="BF221" s="88">
        <f t="shared" si="93"/>
        <v>336.06666666666666</v>
      </c>
      <c r="BG221" s="98">
        <f t="shared" si="93"/>
        <v>885.7</v>
      </c>
      <c r="BH221" s="98">
        <f t="shared" si="93"/>
        <v>2727.8333333333335</v>
      </c>
      <c r="BI221" s="98">
        <f t="shared" si="93"/>
        <v>5749.1</v>
      </c>
      <c r="BJ221" s="98" t="str">
        <f t="shared" si="93"/>
        <v/>
      </c>
      <c r="BK221" s="98" t="str">
        <f t="shared" si="93"/>
        <v/>
      </c>
      <c r="BL221" s="97" t="str">
        <f t="shared" si="93"/>
        <v/>
      </c>
    </row>
    <row r="222" spans="1:64" ht="17.25" outlineLevel="1" thickBot="1" x14ac:dyDescent="0.35">
      <c r="A222" s="99" t="s">
        <v>80</v>
      </c>
      <c r="B222" s="100"/>
      <c r="C222" s="101"/>
      <c r="D222" s="102"/>
      <c r="E222" s="102"/>
      <c r="F222" s="102"/>
      <c r="G222" s="102"/>
      <c r="H222" s="102"/>
      <c r="I222" s="102"/>
      <c r="J222" s="102"/>
      <c r="K222" s="102"/>
      <c r="L222" s="103"/>
      <c r="M222" s="104"/>
      <c r="N222" s="104"/>
      <c r="O222" s="104"/>
      <c r="P222" s="104"/>
      <c r="Q222" s="104"/>
      <c r="R222" s="104"/>
      <c r="S222" s="104"/>
      <c r="T222" s="104"/>
      <c r="U222" s="105"/>
      <c r="V222" s="106"/>
      <c r="W222" s="106"/>
      <c r="X222" s="106"/>
      <c r="Y222" s="106"/>
      <c r="Z222" s="106"/>
      <c r="AA222" s="106"/>
      <c r="AB222" s="106"/>
      <c r="AC222" s="106"/>
      <c r="AD222" s="105"/>
      <c r="AE222" s="106"/>
      <c r="AF222" s="106"/>
      <c r="AG222" s="106"/>
      <c r="AH222" s="106"/>
      <c r="AI222" s="106"/>
      <c r="AJ222" s="106"/>
      <c r="AK222" s="106"/>
      <c r="AL222" s="106"/>
      <c r="AM222" s="106"/>
      <c r="AN222" s="107">
        <f>SUBTOTAL(9,AN189:AN218)</f>
        <v>3608.4100000000003</v>
      </c>
      <c r="AO222" s="108"/>
      <c r="AP222" s="109"/>
      <c r="AQ222" s="110"/>
      <c r="AR222" s="110"/>
      <c r="AS222" s="111">
        <f>SUBTOTAL(9,AS189:AS218)</f>
        <v>734</v>
      </c>
      <c r="AT222" s="112"/>
      <c r="AU222" s="113"/>
      <c r="AV222" s="110"/>
      <c r="AW222" s="110"/>
      <c r="AX222" s="101"/>
      <c r="AY222" s="114"/>
      <c r="AZ222" s="115"/>
      <c r="BA222" s="115"/>
      <c r="BB222" s="115"/>
      <c r="BC222" s="115"/>
      <c r="BD222" s="116">
        <f>SUBTOTAL(9,BD189:BD218)</f>
        <v>3608.4100000000003</v>
      </c>
      <c r="BE222" s="117">
        <f t="shared" ref="BE222:BL222" si="94">SUBTOTAL(9,BE189:BE218)</f>
        <v>290961</v>
      </c>
      <c r="BF222" s="107">
        <f t="shared" si="94"/>
        <v>10082</v>
      </c>
      <c r="BG222" s="118">
        <f t="shared" si="94"/>
        <v>26571</v>
      </c>
      <c r="BH222" s="118">
        <f t="shared" si="94"/>
        <v>81835</v>
      </c>
      <c r="BI222" s="118">
        <f t="shared" si="94"/>
        <v>172473</v>
      </c>
      <c r="BJ222" s="118">
        <f t="shared" si="94"/>
        <v>0</v>
      </c>
      <c r="BK222" s="118">
        <f t="shared" si="94"/>
        <v>0</v>
      </c>
      <c r="BL222" s="116">
        <f t="shared" si="94"/>
        <v>0</v>
      </c>
    </row>
    <row r="223" spans="1:64" outlineLevel="5" x14ac:dyDescent="0.3">
      <c r="A223" s="136">
        <f t="shared" si="76"/>
        <v>7</v>
      </c>
      <c r="B223" s="165">
        <f>B218+1</f>
        <v>45108</v>
      </c>
      <c r="C223" s="138" t="str">
        <f t="shared" ref="C223:C253" si="95">IFERROR(ROUND(AVERAGE(D223:K223),1),"")</f>
        <v/>
      </c>
      <c r="D223" s="84"/>
      <c r="E223" s="84"/>
      <c r="F223" s="84"/>
      <c r="G223" s="84"/>
      <c r="H223" s="84"/>
      <c r="I223" s="84"/>
      <c r="J223" s="84"/>
      <c r="K223" s="84"/>
      <c r="L223" s="140" t="str">
        <f t="shared" ref="L223:L253" si="96">IFERROR(ROUND(AVERAGE(M223:T223),1),"")</f>
        <v/>
      </c>
      <c r="M223" s="86"/>
      <c r="N223" s="86"/>
      <c r="O223" s="86"/>
      <c r="P223" s="86"/>
      <c r="Q223" s="86"/>
      <c r="R223" s="86"/>
      <c r="S223" s="86"/>
      <c r="T223" s="86"/>
      <c r="U223" s="142" t="str">
        <f t="shared" ref="U223:U253" si="97">IFERROR(ROUND(AVERAGE(V223:AC223),1),"")</f>
        <v/>
      </c>
      <c r="V223" s="88"/>
      <c r="W223" s="88"/>
      <c r="X223" s="88"/>
      <c r="Y223" s="88"/>
      <c r="Z223" s="88"/>
      <c r="AA223" s="88"/>
      <c r="AB223" s="88"/>
      <c r="AC223" s="88"/>
      <c r="AD223" s="142" t="str">
        <f t="shared" ref="AD223:AD253" si="98">IFERROR(ROUND(AVERAGE(AE223:AL223),1),"")</f>
        <v/>
      </c>
      <c r="AE223" s="88"/>
      <c r="AF223" s="88"/>
      <c r="AG223" s="88"/>
      <c r="AH223" s="88"/>
      <c r="AI223" s="88"/>
      <c r="AJ223" s="88"/>
      <c r="AK223" s="88"/>
      <c r="AL223" s="88"/>
      <c r="AM223" s="88">
        <v>37.034131031777171</v>
      </c>
      <c r="AN223" s="88">
        <v>127.44999999999999</v>
      </c>
      <c r="AO223" s="89"/>
      <c r="AP223" s="90"/>
      <c r="AQ223" s="146" t="str">
        <f t="shared" ref="AQ223:AQ253" si="99">IFERROR(AP223/AO223*100,"")</f>
        <v/>
      </c>
      <c r="AR223" s="146" t="str">
        <f t="shared" ref="AR223:AR253" si="100">IFERROR(100-AQ223,"")</f>
        <v/>
      </c>
      <c r="AS223" s="147">
        <v>10</v>
      </c>
      <c r="AT223" s="148"/>
      <c r="AU223" s="149"/>
      <c r="AV223" s="146" t="str">
        <f t="shared" ref="AV223:AV253" si="101">IFERROR(AU223/AT223*100,"")</f>
        <v/>
      </c>
      <c r="AW223" s="146" t="str">
        <f t="shared" ref="AW223:AW253" si="102">IFERROR(100-AV223,"")</f>
        <v/>
      </c>
      <c r="AX223" s="168" t="str">
        <f t="shared" ref="AX223:AX253" si="103">IFERROR((1-((AV223*AR223)/(AW223*AQ223)))*100,"")</f>
        <v/>
      </c>
      <c r="AY223" s="95"/>
      <c r="AZ223" s="96"/>
      <c r="BA223" s="96"/>
      <c r="BB223" s="96"/>
      <c r="BC223" s="96"/>
      <c r="BD223" s="97">
        <v>127.44999999999999</v>
      </c>
      <c r="BE223" s="142">
        <f t="shared" ref="BE223:BE253" si="104">IF(SUM(BF223:BL223)=0,"",SUM(BF223:BL223))</f>
        <v>8582</v>
      </c>
      <c r="BF223" s="98">
        <v>0</v>
      </c>
      <c r="BG223" s="98">
        <v>0</v>
      </c>
      <c r="BH223" s="98">
        <v>2915</v>
      </c>
      <c r="BI223" s="98">
        <v>5667</v>
      </c>
      <c r="BJ223" s="98"/>
      <c r="BK223" s="98"/>
      <c r="BL223" s="97"/>
    </row>
    <row r="224" spans="1:64" outlineLevel="5" x14ac:dyDescent="0.3">
      <c r="A224" s="152">
        <f t="shared" si="76"/>
        <v>7</v>
      </c>
      <c r="B224" s="153">
        <f t="shared" ref="B224:B287" si="105">B223+1</f>
        <v>45109</v>
      </c>
      <c r="C224" s="138">
        <f t="shared" si="95"/>
        <v>37.6</v>
      </c>
      <c r="D224" s="84">
        <v>37.700000000000003</v>
      </c>
      <c r="E224" s="84">
        <v>37.5</v>
      </c>
      <c r="F224" s="84"/>
      <c r="G224" s="84"/>
      <c r="H224" s="84"/>
      <c r="I224" s="84"/>
      <c r="J224" s="84"/>
      <c r="K224" s="84"/>
      <c r="L224" s="140" t="str">
        <f t="shared" si="96"/>
        <v/>
      </c>
      <c r="M224" s="86"/>
      <c r="N224" s="86"/>
      <c r="O224" s="86"/>
      <c r="P224" s="86"/>
      <c r="Q224" s="86"/>
      <c r="R224" s="86"/>
      <c r="S224" s="86"/>
      <c r="T224" s="86"/>
      <c r="U224" s="142" t="str">
        <f t="shared" si="97"/>
        <v/>
      </c>
      <c r="V224" s="88"/>
      <c r="W224" s="88"/>
      <c r="X224" s="88"/>
      <c r="Y224" s="88"/>
      <c r="Z224" s="88"/>
      <c r="AA224" s="88"/>
      <c r="AB224" s="88"/>
      <c r="AC224" s="88"/>
      <c r="AD224" s="142" t="str">
        <f t="shared" si="98"/>
        <v/>
      </c>
      <c r="AE224" s="88"/>
      <c r="AF224" s="88"/>
      <c r="AG224" s="88"/>
      <c r="AH224" s="88"/>
      <c r="AI224" s="88"/>
      <c r="AJ224" s="88"/>
      <c r="AK224" s="88"/>
      <c r="AL224" s="88"/>
      <c r="AM224" s="88">
        <v>47.2</v>
      </c>
      <c r="AN224" s="88">
        <v>100</v>
      </c>
      <c r="AO224" s="89"/>
      <c r="AP224" s="90"/>
      <c r="AQ224" s="146" t="str">
        <f t="shared" si="99"/>
        <v/>
      </c>
      <c r="AR224" s="146" t="str">
        <f t="shared" si="100"/>
        <v/>
      </c>
      <c r="AS224" s="147">
        <v>15</v>
      </c>
      <c r="AT224" s="148"/>
      <c r="AU224" s="149"/>
      <c r="AV224" s="146" t="str">
        <f t="shared" si="101"/>
        <v/>
      </c>
      <c r="AW224" s="146" t="str">
        <f t="shared" si="102"/>
        <v/>
      </c>
      <c r="AX224" s="168" t="str">
        <f t="shared" si="103"/>
        <v/>
      </c>
      <c r="AY224" s="95"/>
      <c r="AZ224" s="96"/>
      <c r="BA224" s="96"/>
      <c r="BB224" s="96"/>
      <c r="BC224" s="96"/>
      <c r="BD224" s="97">
        <v>100</v>
      </c>
      <c r="BE224" s="142">
        <f t="shared" si="104"/>
        <v>7515</v>
      </c>
      <c r="BF224" s="98">
        <v>0</v>
      </c>
      <c r="BG224" s="98">
        <v>0</v>
      </c>
      <c r="BH224" s="98">
        <v>2181</v>
      </c>
      <c r="BI224" s="98">
        <v>5334</v>
      </c>
      <c r="BJ224" s="98"/>
      <c r="BK224" s="98"/>
      <c r="BL224" s="97"/>
    </row>
    <row r="225" spans="1:64" outlineLevel="5" x14ac:dyDescent="0.3">
      <c r="A225" s="152">
        <f t="shared" si="76"/>
        <v>7</v>
      </c>
      <c r="B225" s="153">
        <f t="shared" si="105"/>
        <v>45110</v>
      </c>
      <c r="C225" s="138">
        <f t="shared" si="95"/>
        <v>37.4</v>
      </c>
      <c r="D225" s="84">
        <v>37.299999999999997</v>
      </c>
      <c r="E225" s="84">
        <v>37.4</v>
      </c>
      <c r="F225" s="84"/>
      <c r="G225" s="84"/>
      <c r="H225" s="84"/>
      <c r="I225" s="84"/>
      <c r="J225" s="84"/>
      <c r="K225" s="84"/>
      <c r="L225" s="140">
        <f t="shared" si="96"/>
        <v>8.1</v>
      </c>
      <c r="M225" s="86">
        <v>8.1999999999999993</v>
      </c>
      <c r="N225" s="86">
        <v>8.09</v>
      </c>
      <c r="O225" s="86"/>
      <c r="P225" s="86"/>
      <c r="Q225" s="86"/>
      <c r="R225" s="86"/>
      <c r="S225" s="86"/>
      <c r="T225" s="86"/>
      <c r="U225" s="142">
        <f t="shared" si="97"/>
        <v>1070.5</v>
      </c>
      <c r="V225" s="88">
        <v>1027</v>
      </c>
      <c r="W225" s="88">
        <v>1114</v>
      </c>
      <c r="X225" s="88"/>
      <c r="Y225" s="88"/>
      <c r="Z225" s="88"/>
      <c r="AA225" s="88"/>
      <c r="AB225" s="88"/>
      <c r="AC225" s="88"/>
      <c r="AD225" s="142" t="str">
        <f t="shared" si="98"/>
        <v/>
      </c>
      <c r="AE225" s="88"/>
      <c r="AF225" s="88"/>
      <c r="AG225" s="88"/>
      <c r="AH225" s="88"/>
      <c r="AI225" s="88"/>
      <c r="AJ225" s="88"/>
      <c r="AK225" s="88"/>
      <c r="AL225" s="88"/>
      <c r="AM225" s="88">
        <v>43.294808292056508</v>
      </c>
      <c r="AN225" s="88">
        <v>109.02</v>
      </c>
      <c r="AO225" s="89">
        <v>14.8</v>
      </c>
      <c r="AP225" s="90">
        <v>11.766000000000002</v>
      </c>
      <c r="AQ225" s="146">
        <f t="shared" si="99"/>
        <v>79.5</v>
      </c>
      <c r="AR225" s="146">
        <f t="shared" si="100"/>
        <v>20.5</v>
      </c>
      <c r="AS225" s="147">
        <v>47</v>
      </c>
      <c r="AT225" s="148">
        <v>14.55</v>
      </c>
      <c r="AU225" s="149">
        <v>8.1849500000000006</v>
      </c>
      <c r="AV225" s="146">
        <f t="shared" si="101"/>
        <v>56.253951890034372</v>
      </c>
      <c r="AW225" s="146">
        <f t="shared" si="102"/>
        <v>43.746048109965628</v>
      </c>
      <c r="AX225" s="168">
        <f t="shared" si="103"/>
        <v>66.84103673663256</v>
      </c>
      <c r="AY225" s="95">
        <v>72.650000000000006</v>
      </c>
      <c r="AZ225" s="96">
        <v>62.599999999999994</v>
      </c>
      <c r="BA225" s="96"/>
      <c r="BB225" s="96">
        <v>77.5</v>
      </c>
      <c r="BC225" s="96"/>
      <c r="BD225" s="97">
        <v>109.02</v>
      </c>
      <c r="BE225" s="142">
        <f t="shared" si="104"/>
        <v>8131</v>
      </c>
      <c r="BF225" s="98">
        <v>0</v>
      </c>
      <c r="BG225" s="98">
        <v>1926</v>
      </c>
      <c r="BH225" s="98">
        <v>0</v>
      </c>
      <c r="BI225" s="98">
        <v>6205</v>
      </c>
      <c r="BJ225" s="98"/>
      <c r="BK225" s="98"/>
      <c r="BL225" s="97"/>
    </row>
    <row r="226" spans="1:64" outlineLevel="5" x14ac:dyDescent="0.3">
      <c r="A226" s="152">
        <f t="shared" si="76"/>
        <v>7</v>
      </c>
      <c r="B226" s="153">
        <f t="shared" si="105"/>
        <v>45111</v>
      </c>
      <c r="C226" s="138" t="str">
        <f t="shared" si="95"/>
        <v/>
      </c>
      <c r="D226" s="84"/>
      <c r="E226" s="84"/>
      <c r="F226" s="84"/>
      <c r="G226" s="84"/>
      <c r="H226" s="84"/>
      <c r="I226" s="84"/>
      <c r="J226" s="84"/>
      <c r="K226" s="84"/>
      <c r="L226" s="140" t="str">
        <f t="shared" si="96"/>
        <v/>
      </c>
      <c r="M226" s="86"/>
      <c r="N226" s="86"/>
      <c r="O226" s="86"/>
      <c r="P226" s="86"/>
      <c r="Q226" s="86"/>
      <c r="R226" s="86"/>
      <c r="S226" s="86"/>
      <c r="T226" s="86"/>
      <c r="U226" s="142" t="str">
        <f t="shared" si="97"/>
        <v/>
      </c>
      <c r="V226" s="88"/>
      <c r="W226" s="88"/>
      <c r="X226" s="88"/>
      <c r="Y226" s="88"/>
      <c r="Z226" s="88"/>
      <c r="AA226" s="88"/>
      <c r="AB226" s="88"/>
      <c r="AC226" s="88"/>
      <c r="AD226" s="142" t="str">
        <f t="shared" si="98"/>
        <v/>
      </c>
      <c r="AE226" s="88"/>
      <c r="AF226" s="88"/>
      <c r="AG226" s="88"/>
      <c r="AH226" s="88"/>
      <c r="AI226" s="88"/>
      <c r="AJ226" s="88"/>
      <c r="AK226" s="88"/>
      <c r="AL226" s="88"/>
      <c r="AM226" s="88">
        <v>30.167454940559885</v>
      </c>
      <c r="AN226" s="88">
        <v>156.46</v>
      </c>
      <c r="AO226" s="89"/>
      <c r="AP226" s="90"/>
      <c r="AQ226" s="146" t="str">
        <f t="shared" si="99"/>
        <v/>
      </c>
      <c r="AR226" s="146" t="str">
        <f t="shared" si="100"/>
        <v/>
      </c>
      <c r="AS226" s="147">
        <v>45</v>
      </c>
      <c r="AT226" s="148"/>
      <c r="AU226" s="149"/>
      <c r="AV226" s="146" t="str">
        <f t="shared" si="101"/>
        <v/>
      </c>
      <c r="AW226" s="146" t="str">
        <f t="shared" si="102"/>
        <v/>
      </c>
      <c r="AX226" s="168" t="str">
        <f t="shared" si="103"/>
        <v/>
      </c>
      <c r="AY226" s="95"/>
      <c r="AZ226" s="96"/>
      <c r="BA226" s="96"/>
      <c r="BB226" s="96"/>
      <c r="BC226" s="96"/>
      <c r="BD226" s="97">
        <v>156.46</v>
      </c>
      <c r="BE226" s="142">
        <f t="shared" si="104"/>
        <v>8373</v>
      </c>
      <c r="BF226" s="98">
        <v>0</v>
      </c>
      <c r="BG226" s="98">
        <v>1272</v>
      </c>
      <c r="BH226" s="98">
        <v>876</v>
      </c>
      <c r="BI226" s="98">
        <v>6225</v>
      </c>
      <c r="BJ226" s="98"/>
      <c r="BK226" s="98"/>
      <c r="BL226" s="97"/>
    </row>
    <row r="227" spans="1:64" outlineLevel="5" x14ac:dyDescent="0.3">
      <c r="A227" s="152">
        <f t="shared" si="76"/>
        <v>7</v>
      </c>
      <c r="B227" s="153">
        <f t="shared" si="105"/>
        <v>45112</v>
      </c>
      <c r="C227" s="138">
        <f t="shared" si="95"/>
        <v>37.299999999999997</v>
      </c>
      <c r="D227" s="84">
        <v>37.4</v>
      </c>
      <c r="E227" s="84">
        <v>37.1</v>
      </c>
      <c r="F227" s="84"/>
      <c r="G227" s="84"/>
      <c r="H227" s="84"/>
      <c r="I227" s="84"/>
      <c r="J227" s="84"/>
      <c r="K227" s="84"/>
      <c r="L227" s="140">
        <f t="shared" si="96"/>
        <v>8.1999999999999993</v>
      </c>
      <c r="M227" s="86">
        <v>8.23</v>
      </c>
      <c r="N227" s="86">
        <v>8.16</v>
      </c>
      <c r="O227" s="86"/>
      <c r="P227" s="86"/>
      <c r="Q227" s="86"/>
      <c r="R227" s="86"/>
      <c r="S227" s="86"/>
      <c r="T227" s="86"/>
      <c r="U227" s="142">
        <f t="shared" si="97"/>
        <v>1241.5</v>
      </c>
      <c r="V227" s="88">
        <v>1298</v>
      </c>
      <c r="W227" s="88">
        <v>1185</v>
      </c>
      <c r="X227" s="88"/>
      <c r="Y227" s="88"/>
      <c r="Z227" s="88"/>
      <c r="AA227" s="88"/>
      <c r="AB227" s="88"/>
      <c r="AC227" s="88"/>
      <c r="AD227" s="142">
        <f t="shared" si="98"/>
        <v>9480</v>
      </c>
      <c r="AE227" s="88">
        <v>9640</v>
      </c>
      <c r="AF227" s="88">
        <v>9320</v>
      </c>
      <c r="AG227" s="88"/>
      <c r="AH227" s="88"/>
      <c r="AI227" s="88"/>
      <c r="AJ227" s="88"/>
      <c r="AK227" s="88"/>
      <c r="AL227" s="88"/>
      <c r="AM227" s="88">
        <v>29.128610219698842</v>
      </c>
      <c r="AN227" s="88">
        <v>162.04</v>
      </c>
      <c r="AO227" s="89"/>
      <c r="AP227" s="90"/>
      <c r="AQ227" s="146" t="str">
        <f t="shared" si="99"/>
        <v/>
      </c>
      <c r="AR227" s="146" t="str">
        <f t="shared" si="100"/>
        <v/>
      </c>
      <c r="AS227" s="147">
        <v>46</v>
      </c>
      <c r="AT227" s="148">
        <v>15.25</v>
      </c>
      <c r="AU227" s="149">
        <v>7.9778500000000001</v>
      </c>
      <c r="AV227" s="146">
        <f t="shared" si="101"/>
        <v>52.313770491803282</v>
      </c>
      <c r="AW227" s="146">
        <f t="shared" si="102"/>
        <v>47.686229508196718</v>
      </c>
      <c r="AX227" s="168" t="str">
        <f t="shared" si="103"/>
        <v/>
      </c>
      <c r="AY227" s="95">
        <v>72.45</v>
      </c>
      <c r="AZ227" s="96">
        <v>61.164999999999999</v>
      </c>
      <c r="BA227" s="96"/>
      <c r="BB227" s="96">
        <v>85.5</v>
      </c>
      <c r="BC227" s="96"/>
      <c r="BD227" s="97">
        <v>162.04</v>
      </c>
      <c r="BE227" s="142">
        <f t="shared" si="104"/>
        <v>8828</v>
      </c>
      <c r="BF227" s="98">
        <v>0</v>
      </c>
      <c r="BG227" s="98">
        <v>0</v>
      </c>
      <c r="BH227" s="98">
        <v>2740</v>
      </c>
      <c r="BI227" s="98">
        <v>6088</v>
      </c>
      <c r="BJ227" s="98"/>
      <c r="BK227" s="98"/>
      <c r="BL227" s="97"/>
    </row>
    <row r="228" spans="1:64" outlineLevel="5" x14ac:dyDescent="0.3">
      <c r="A228" s="152">
        <f t="shared" si="76"/>
        <v>7</v>
      </c>
      <c r="B228" s="153">
        <f t="shared" si="105"/>
        <v>45113</v>
      </c>
      <c r="C228" s="138">
        <f t="shared" si="95"/>
        <v>37.1</v>
      </c>
      <c r="D228" s="84">
        <v>37.1</v>
      </c>
      <c r="E228" s="84">
        <v>37</v>
      </c>
      <c r="F228" s="84"/>
      <c r="G228" s="84"/>
      <c r="H228" s="84"/>
      <c r="I228" s="84"/>
      <c r="J228" s="84"/>
      <c r="K228" s="84"/>
      <c r="L228" s="140">
        <f t="shared" si="96"/>
        <v>8.1</v>
      </c>
      <c r="M228" s="86">
        <v>8.07</v>
      </c>
      <c r="N228" s="86">
        <v>8.1</v>
      </c>
      <c r="O228" s="86"/>
      <c r="P228" s="86"/>
      <c r="Q228" s="86"/>
      <c r="R228" s="86"/>
      <c r="S228" s="86"/>
      <c r="T228" s="86"/>
      <c r="U228" s="142">
        <f t="shared" si="97"/>
        <v>1311.5</v>
      </c>
      <c r="V228" s="88">
        <v>1345</v>
      </c>
      <c r="W228" s="88">
        <v>1278</v>
      </c>
      <c r="X228" s="88"/>
      <c r="Y228" s="88"/>
      <c r="Z228" s="88"/>
      <c r="AA228" s="88"/>
      <c r="AB228" s="88"/>
      <c r="AC228" s="88"/>
      <c r="AD228" s="142" t="str">
        <f t="shared" si="98"/>
        <v/>
      </c>
      <c r="AE228" s="88"/>
      <c r="AF228" s="88"/>
      <c r="AG228" s="88"/>
      <c r="AH228" s="88"/>
      <c r="AI228" s="88"/>
      <c r="AJ228" s="88"/>
      <c r="AK228" s="88"/>
      <c r="AL228" s="88"/>
      <c r="AM228" s="88">
        <v>35.547522217201383</v>
      </c>
      <c r="AN228" s="88">
        <v>132.78</v>
      </c>
      <c r="AO228" s="89"/>
      <c r="AP228" s="90"/>
      <c r="AQ228" s="146" t="str">
        <f t="shared" si="99"/>
        <v/>
      </c>
      <c r="AR228" s="146" t="str">
        <f t="shared" si="100"/>
        <v/>
      </c>
      <c r="AS228" s="147">
        <v>47</v>
      </c>
      <c r="AT228" s="148">
        <v>15</v>
      </c>
      <c r="AU228" s="149">
        <v>8.3617999999999988</v>
      </c>
      <c r="AV228" s="146">
        <f t="shared" si="101"/>
        <v>55.745333333333328</v>
      </c>
      <c r="AW228" s="146">
        <f t="shared" si="102"/>
        <v>44.254666666666672</v>
      </c>
      <c r="AX228" s="168" t="str">
        <f t="shared" si="103"/>
        <v/>
      </c>
      <c r="AY228" s="95">
        <v>72.099999999999994</v>
      </c>
      <c r="AZ228" s="96">
        <v>61.644999999999996</v>
      </c>
      <c r="BA228" s="96"/>
      <c r="BB228" s="96">
        <v>64</v>
      </c>
      <c r="BC228" s="96"/>
      <c r="BD228" s="97">
        <v>132.78</v>
      </c>
      <c r="BE228" s="142">
        <f t="shared" si="104"/>
        <v>8046</v>
      </c>
      <c r="BF228" s="98">
        <v>0</v>
      </c>
      <c r="BG228" s="98">
        <v>1005</v>
      </c>
      <c r="BH228" s="98">
        <v>3341</v>
      </c>
      <c r="BI228" s="98">
        <v>3700</v>
      </c>
      <c r="BJ228" s="98"/>
      <c r="BK228" s="98"/>
      <c r="BL228" s="97"/>
    </row>
    <row r="229" spans="1:64" outlineLevel="5" x14ac:dyDescent="0.3">
      <c r="A229" s="152">
        <f t="shared" si="76"/>
        <v>7</v>
      </c>
      <c r="B229" s="153">
        <f t="shared" si="105"/>
        <v>45114</v>
      </c>
      <c r="C229" s="138">
        <f t="shared" si="95"/>
        <v>37</v>
      </c>
      <c r="D229" s="84">
        <v>37</v>
      </c>
      <c r="E229" s="84">
        <v>37</v>
      </c>
      <c r="F229" s="84"/>
      <c r="G229" s="84"/>
      <c r="H229" s="84"/>
      <c r="I229" s="84"/>
      <c r="J229" s="84"/>
      <c r="K229" s="84"/>
      <c r="L229" s="140" t="str">
        <f t="shared" si="96"/>
        <v/>
      </c>
      <c r="M229" s="86"/>
      <c r="N229" s="86"/>
      <c r="O229" s="86"/>
      <c r="P229" s="86"/>
      <c r="Q229" s="86"/>
      <c r="R229" s="86"/>
      <c r="S229" s="86"/>
      <c r="T229" s="86"/>
      <c r="U229" s="142" t="str">
        <f t="shared" si="97"/>
        <v/>
      </c>
      <c r="V229" s="88"/>
      <c r="W229" s="88"/>
      <c r="X229" s="88"/>
      <c r="Y229" s="88"/>
      <c r="Z229" s="88"/>
      <c r="AA229" s="88"/>
      <c r="AB229" s="88"/>
      <c r="AC229" s="88"/>
      <c r="AD229" s="142" t="str">
        <f t="shared" si="98"/>
        <v/>
      </c>
      <c r="AE229" s="88"/>
      <c r="AF229" s="88"/>
      <c r="AG229" s="88"/>
      <c r="AH229" s="88"/>
      <c r="AI229" s="88"/>
      <c r="AJ229" s="88"/>
      <c r="AK229" s="88"/>
      <c r="AL229" s="88"/>
      <c r="AM229" s="88">
        <v>45.683313975996903</v>
      </c>
      <c r="AN229" s="88">
        <v>103.32</v>
      </c>
      <c r="AO229" s="89"/>
      <c r="AP229" s="90"/>
      <c r="AQ229" s="146" t="str">
        <f t="shared" si="99"/>
        <v/>
      </c>
      <c r="AR229" s="146" t="str">
        <f t="shared" si="100"/>
        <v/>
      </c>
      <c r="AS229" s="147">
        <v>23</v>
      </c>
      <c r="AT229" s="148"/>
      <c r="AU229" s="149"/>
      <c r="AV229" s="146" t="str">
        <f t="shared" si="101"/>
        <v/>
      </c>
      <c r="AW229" s="146" t="str">
        <f t="shared" si="102"/>
        <v/>
      </c>
      <c r="AX229" s="168" t="str">
        <f t="shared" si="103"/>
        <v/>
      </c>
      <c r="AY229" s="95"/>
      <c r="AZ229" s="96"/>
      <c r="BA229" s="96"/>
      <c r="BB229" s="96"/>
      <c r="BC229" s="96"/>
      <c r="BD229" s="97">
        <v>103.32</v>
      </c>
      <c r="BE229" s="142">
        <f t="shared" si="104"/>
        <v>8718</v>
      </c>
      <c r="BF229" s="98">
        <v>0</v>
      </c>
      <c r="BG229" s="98">
        <v>2230</v>
      </c>
      <c r="BH229" s="98">
        <v>0</v>
      </c>
      <c r="BI229" s="98">
        <v>6488</v>
      </c>
      <c r="BJ229" s="98"/>
      <c r="BK229" s="98"/>
      <c r="BL229" s="97"/>
    </row>
    <row r="230" spans="1:64" outlineLevel="5" x14ac:dyDescent="0.3">
      <c r="A230" s="152">
        <f t="shared" si="76"/>
        <v>7</v>
      </c>
      <c r="B230" s="153">
        <f t="shared" si="105"/>
        <v>45115</v>
      </c>
      <c r="C230" s="138" t="str">
        <f t="shared" si="95"/>
        <v/>
      </c>
      <c r="D230" s="84"/>
      <c r="E230" s="84"/>
      <c r="F230" s="84"/>
      <c r="G230" s="84"/>
      <c r="H230" s="84"/>
      <c r="I230" s="84"/>
      <c r="J230" s="84"/>
      <c r="K230" s="84"/>
      <c r="L230" s="140" t="str">
        <f t="shared" si="96"/>
        <v/>
      </c>
      <c r="M230" s="86"/>
      <c r="N230" s="86"/>
      <c r="O230" s="86"/>
      <c r="P230" s="86"/>
      <c r="Q230" s="86"/>
      <c r="R230" s="86"/>
      <c r="S230" s="86"/>
      <c r="T230" s="86"/>
      <c r="U230" s="142" t="str">
        <f t="shared" si="97"/>
        <v/>
      </c>
      <c r="V230" s="88"/>
      <c r="W230" s="88"/>
      <c r="X230" s="88"/>
      <c r="Y230" s="88"/>
      <c r="Z230" s="88"/>
      <c r="AA230" s="88"/>
      <c r="AB230" s="88"/>
      <c r="AC230" s="88"/>
      <c r="AD230" s="142" t="str">
        <f t="shared" si="98"/>
        <v/>
      </c>
      <c r="AE230" s="88"/>
      <c r="AF230" s="88"/>
      <c r="AG230" s="88"/>
      <c r="AH230" s="88"/>
      <c r="AI230" s="88"/>
      <c r="AJ230" s="88"/>
      <c r="AK230" s="88"/>
      <c r="AL230" s="88"/>
      <c r="AM230" s="88">
        <v>35.904457629697241</v>
      </c>
      <c r="AN230" s="88">
        <v>131.46</v>
      </c>
      <c r="AO230" s="89"/>
      <c r="AP230" s="90"/>
      <c r="AQ230" s="146" t="str">
        <f t="shared" si="99"/>
        <v/>
      </c>
      <c r="AR230" s="146" t="str">
        <f t="shared" si="100"/>
        <v/>
      </c>
      <c r="AS230" s="147">
        <v>10</v>
      </c>
      <c r="AT230" s="148"/>
      <c r="AU230" s="149"/>
      <c r="AV230" s="146" t="str">
        <f t="shared" si="101"/>
        <v/>
      </c>
      <c r="AW230" s="146" t="str">
        <f t="shared" si="102"/>
        <v/>
      </c>
      <c r="AX230" s="168" t="str">
        <f t="shared" si="103"/>
        <v/>
      </c>
      <c r="AY230" s="95"/>
      <c r="AZ230" s="96"/>
      <c r="BA230" s="96"/>
      <c r="BB230" s="96"/>
      <c r="BC230" s="96"/>
      <c r="BD230" s="97">
        <v>131.46</v>
      </c>
      <c r="BE230" s="142">
        <f t="shared" si="104"/>
        <v>10014</v>
      </c>
      <c r="BF230" s="98">
        <v>0</v>
      </c>
      <c r="BG230" s="98">
        <v>3653</v>
      </c>
      <c r="BH230" s="98">
        <v>0</v>
      </c>
      <c r="BI230" s="98">
        <v>6361</v>
      </c>
      <c r="BJ230" s="98"/>
      <c r="BK230" s="98"/>
      <c r="BL230" s="97"/>
    </row>
    <row r="231" spans="1:64" outlineLevel="5" x14ac:dyDescent="0.3">
      <c r="A231" s="152">
        <f t="shared" si="76"/>
        <v>7</v>
      </c>
      <c r="B231" s="153">
        <f t="shared" si="105"/>
        <v>45116</v>
      </c>
      <c r="C231" s="138">
        <f t="shared" si="95"/>
        <v>36.9</v>
      </c>
      <c r="D231" s="84">
        <v>36.9</v>
      </c>
      <c r="E231" s="84">
        <v>36.799999999999997</v>
      </c>
      <c r="F231" s="84"/>
      <c r="G231" s="84"/>
      <c r="H231" s="84"/>
      <c r="I231" s="84"/>
      <c r="J231" s="84"/>
      <c r="K231" s="84"/>
      <c r="L231" s="140" t="str">
        <f t="shared" si="96"/>
        <v/>
      </c>
      <c r="M231" s="86"/>
      <c r="N231" s="86"/>
      <c r="O231" s="86"/>
      <c r="P231" s="86"/>
      <c r="Q231" s="86"/>
      <c r="R231" s="86"/>
      <c r="S231" s="86"/>
      <c r="T231" s="86"/>
      <c r="U231" s="142" t="str">
        <f t="shared" si="97"/>
        <v/>
      </c>
      <c r="V231" s="88"/>
      <c r="W231" s="88"/>
      <c r="X231" s="88"/>
      <c r="Y231" s="88"/>
      <c r="Z231" s="88"/>
      <c r="AA231" s="88"/>
      <c r="AB231" s="88"/>
      <c r="AC231" s="88"/>
      <c r="AD231" s="142" t="str">
        <f t="shared" si="98"/>
        <v/>
      </c>
      <c r="AE231" s="88"/>
      <c r="AF231" s="88"/>
      <c r="AG231" s="88"/>
      <c r="AH231" s="88"/>
      <c r="AI231" s="88"/>
      <c r="AJ231" s="88"/>
      <c r="AK231" s="88"/>
      <c r="AL231" s="88"/>
      <c r="AM231" s="88">
        <v>39.333333333333336</v>
      </c>
      <c r="AN231" s="88">
        <v>120</v>
      </c>
      <c r="AO231" s="89"/>
      <c r="AP231" s="90"/>
      <c r="AQ231" s="146" t="str">
        <f t="shared" si="99"/>
        <v/>
      </c>
      <c r="AR231" s="146" t="str">
        <f t="shared" si="100"/>
        <v/>
      </c>
      <c r="AS231" s="147">
        <v>18</v>
      </c>
      <c r="AT231" s="148"/>
      <c r="AU231" s="149"/>
      <c r="AV231" s="146" t="str">
        <f t="shared" si="101"/>
        <v/>
      </c>
      <c r="AW231" s="146" t="str">
        <f t="shared" si="102"/>
        <v/>
      </c>
      <c r="AX231" s="168" t="str">
        <f t="shared" si="103"/>
        <v/>
      </c>
      <c r="AY231" s="95"/>
      <c r="AZ231" s="96"/>
      <c r="BA231" s="96"/>
      <c r="BB231" s="96"/>
      <c r="BC231" s="96"/>
      <c r="BD231" s="97">
        <v>120</v>
      </c>
      <c r="BE231" s="142">
        <f t="shared" si="104"/>
        <v>6475</v>
      </c>
      <c r="BF231" s="98">
        <v>0</v>
      </c>
      <c r="BG231" s="98">
        <v>0</v>
      </c>
      <c r="BH231" s="98">
        <v>0</v>
      </c>
      <c r="BI231" s="98">
        <v>6475</v>
      </c>
      <c r="BJ231" s="98"/>
      <c r="BK231" s="98"/>
      <c r="BL231" s="97"/>
    </row>
    <row r="232" spans="1:64" outlineLevel="5" x14ac:dyDescent="0.3">
      <c r="A232" s="152">
        <f t="shared" si="76"/>
        <v>7</v>
      </c>
      <c r="B232" s="153">
        <f t="shared" si="105"/>
        <v>45117</v>
      </c>
      <c r="C232" s="138">
        <f t="shared" si="95"/>
        <v>36.799999999999997</v>
      </c>
      <c r="D232" s="84">
        <v>36.9</v>
      </c>
      <c r="E232" s="84">
        <v>36.6</v>
      </c>
      <c r="F232" s="84"/>
      <c r="G232" s="84"/>
      <c r="H232" s="84"/>
      <c r="I232" s="84"/>
      <c r="J232" s="84"/>
      <c r="K232" s="84"/>
      <c r="L232" s="140">
        <f t="shared" si="96"/>
        <v>8.1</v>
      </c>
      <c r="M232" s="86">
        <v>8.15</v>
      </c>
      <c r="N232" s="86">
        <v>8.11</v>
      </c>
      <c r="O232" s="86"/>
      <c r="P232" s="86"/>
      <c r="Q232" s="86"/>
      <c r="R232" s="86"/>
      <c r="S232" s="86"/>
      <c r="T232" s="86"/>
      <c r="U232" s="142">
        <f t="shared" si="97"/>
        <v>1201</v>
      </c>
      <c r="V232" s="88">
        <v>1155</v>
      </c>
      <c r="W232" s="88">
        <v>1247</v>
      </c>
      <c r="X232" s="88"/>
      <c r="Y232" s="88"/>
      <c r="Z232" s="88"/>
      <c r="AA232" s="88"/>
      <c r="AB232" s="88"/>
      <c r="AC232" s="88"/>
      <c r="AD232" s="142" t="str">
        <f t="shared" si="98"/>
        <v/>
      </c>
      <c r="AE232" s="88"/>
      <c r="AF232" s="88"/>
      <c r="AG232" s="88"/>
      <c r="AH232" s="88"/>
      <c r="AI232" s="88"/>
      <c r="AJ232" s="88"/>
      <c r="AK232" s="88"/>
      <c r="AL232" s="88"/>
      <c r="AM232" s="88">
        <v>41.381728914606349</v>
      </c>
      <c r="AN232" s="88">
        <v>114.06</v>
      </c>
      <c r="AO232" s="89">
        <v>15.5</v>
      </c>
      <c r="AP232" s="90">
        <v>12.121000000000002</v>
      </c>
      <c r="AQ232" s="146">
        <f t="shared" si="99"/>
        <v>78.200000000000017</v>
      </c>
      <c r="AR232" s="146">
        <f t="shared" si="100"/>
        <v>21.799999999999983</v>
      </c>
      <c r="AS232" s="147">
        <v>25</v>
      </c>
      <c r="AT232" s="148">
        <v>14.35</v>
      </c>
      <c r="AU232" s="149">
        <v>8.0391499999999994</v>
      </c>
      <c r="AV232" s="146">
        <f t="shared" si="101"/>
        <v>56.021951219512189</v>
      </c>
      <c r="AW232" s="146">
        <f t="shared" si="102"/>
        <v>43.978048780487811</v>
      </c>
      <c r="AX232" s="168">
        <f t="shared" si="103"/>
        <v>64.488254882433978</v>
      </c>
      <c r="AY232" s="95">
        <v>71.849999999999994</v>
      </c>
      <c r="AZ232" s="96">
        <v>60.734999999999999</v>
      </c>
      <c r="BA232" s="96"/>
      <c r="BB232" s="96">
        <v>113.5</v>
      </c>
      <c r="BC232" s="96"/>
      <c r="BD232" s="97">
        <v>114.06</v>
      </c>
      <c r="BE232" s="142">
        <f t="shared" si="104"/>
        <v>8826</v>
      </c>
      <c r="BF232" s="98">
        <v>0</v>
      </c>
      <c r="BG232" s="98">
        <v>1920</v>
      </c>
      <c r="BH232" s="98">
        <v>0</v>
      </c>
      <c r="BI232" s="98">
        <v>6906</v>
      </c>
      <c r="BJ232" s="98"/>
      <c r="BK232" s="98"/>
      <c r="BL232" s="97"/>
    </row>
    <row r="233" spans="1:64" outlineLevel="5" x14ac:dyDescent="0.3">
      <c r="A233" s="152">
        <f t="shared" si="76"/>
        <v>7</v>
      </c>
      <c r="B233" s="153">
        <f t="shared" si="105"/>
        <v>45118</v>
      </c>
      <c r="C233" s="138" t="str">
        <f t="shared" si="95"/>
        <v/>
      </c>
      <c r="D233" s="84"/>
      <c r="E233" s="84"/>
      <c r="F233" s="84"/>
      <c r="G233" s="84"/>
      <c r="H233" s="84"/>
      <c r="I233" s="84"/>
      <c r="J233" s="84"/>
      <c r="K233" s="84"/>
      <c r="L233" s="140" t="str">
        <f t="shared" si="96"/>
        <v/>
      </c>
      <c r="M233" s="86"/>
      <c r="N233" s="86"/>
      <c r="O233" s="86"/>
      <c r="P233" s="86"/>
      <c r="Q233" s="86"/>
      <c r="R233" s="86"/>
      <c r="S233" s="86"/>
      <c r="T233" s="86"/>
      <c r="U233" s="142" t="str">
        <f t="shared" si="97"/>
        <v/>
      </c>
      <c r="V233" s="88"/>
      <c r="W233" s="88"/>
      <c r="X233" s="88"/>
      <c r="Y233" s="88"/>
      <c r="Z233" s="88"/>
      <c r="AA233" s="88"/>
      <c r="AB233" s="88"/>
      <c r="AC233" s="88"/>
      <c r="AD233" s="142" t="str">
        <f t="shared" si="98"/>
        <v/>
      </c>
      <c r="AE233" s="88"/>
      <c r="AF233" s="88"/>
      <c r="AG233" s="88"/>
      <c r="AH233" s="88"/>
      <c r="AI233" s="88"/>
      <c r="AJ233" s="88"/>
      <c r="AK233" s="88"/>
      <c r="AL233" s="88"/>
      <c r="AM233" s="88">
        <v>31.971821445505658</v>
      </c>
      <c r="AN233" s="88">
        <v>147.63</v>
      </c>
      <c r="AO233" s="89"/>
      <c r="AP233" s="90"/>
      <c r="AQ233" s="146" t="str">
        <f t="shared" si="99"/>
        <v/>
      </c>
      <c r="AR233" s="146" t="str">
        <f t="shared" si="100"/>
        <v/>
      </c>
      <c r="AS233" s="147">
        <v>30</v>
      </c>
      <c r="AT233" s="148"/>
      <c r="AU233" s="149"/>
      <c r="AV233" s="146" t="str">
        <f t="shared" si="101"/>
        <v/>
      </c>
      <c r="AW233" s="146" t="str">
        <f t="shared" si="102"/>
        <v/>
      </c>
      <c r="AX233" s="168" t="str">
        <f t="shared" si="103"/>
        <v/>
      </c>
      <c r="AY233" s="95"/>
      <c r="AZ233" s="96">
        <v>62.875</v>
      </c>
      <c r="BA233" s="96"/>
      <c r="BB233" s="96">
        <v>60.5</v>
      </c>
      <c r="BC233" s="96"/>
      <c r="BD233" s="97">
        <v>147.63</v>
      </c>
      <c r="BE233" s="142">
        <f t="shared" si="104"/>
        <v>9841</v>
      </c>
      <c r="BF233" s="98">
        <v>0</v>
      </c>
      <c r="BG233" s="98">
        <v>3105</v>
      </c>
      <c r="BH233" s="98">
        <v>48</v>
      </c>
      <c r="BI233" s="98">
        <v>6688</v>
      </c>
      <c r="BJ233" s="98"/>
      <c r="BK233" s="98"/>
      <c r="BL233" s="97"/>
    </row>
    <row r="234" spans="1:64" outlineLevel="5" x14ac:dyDescent="0.3">
      <c r="A234" s="152">
        <f t="shared" si="76"/>
        <v>7</v>
      </c>
      <c r="B234" s="153">
        <f t="shared" si="105"/>
        <v>45119</v>
      </c>
      <c r="C234" s="138">
        <f t="shared" si="95"/>
        <v>36.4</v>
      </c>
      <c r="D234" s="84">
        <v>36.6</v>
      </c>
      <c r="E234" s="84">
        <v>36.200000000000003</v>
      </c>
      <c r="F234" s="84"/>
      <c r="G234" s="84"/>
      <c r="H234" s="84"/>
      <c r="I234" s="84"/>
      <c r="J234" s="84"/>
      <c r="K234" s="84"/>
      <c r="L234" s="140">
        <f t="shared" si="96"/>
        <v>8.1</v>
      </c>
      <c r="M234" s="86">
        <v>8.14</v>
      </c>
      <c r="N234" s="86">
        <v>8.1</v>
      </c>
      <c r="O234" s="86"/>
      <c r="P234" s="86"/>
      <c r="Q234" s="86"/>
      <c r="R234" s="86"/>
      <c r="S234" s="86"/>
      <c r="T234" s="86"/>
      <c r="U234" s="142">
        <f t="shared" si="97"/>
        <v>1155.5</v>
      </c>
      <c r="V234" s="88">
        <v>1089</v>
      </c>
      <c r="W234" s="88">
        <v>1222</v>
      </c>
      <c r="X234" s="88"/>
      <c r="Y234" s="88"/>
      <c r="Z234" s="88"/>
      <c r="AA234" s="88"/>
      <c r="AB234" s="88"/>
      <c r="AC234" s="88"/>
      <c r="AD234" s="142">
        <f t="shared" si="98"/>
        <v>9570</v>
      </c>
      <c r="AE234" s="88">
        <v>9710</v>
      </c>
      <c r="AF234" s="88">
        <v>9430</v>
      </c>
      <c r="AG234" s="88"/>
      <c r="AH234" s="88"/>
      <c r="AI234" s="88"/>
      <c r="AJ234" s="88"/>
      <c r="AK234" s="88"/>
      <c r="AL234" s="88"/>
      <c r="AM234" s="88">
        <v>36.456321927859733</v>
      </c>
      <c r="AN234" s="88">
        <v>129.47</v>
      </c>
      <c r="AO234" s="89"/>
      <c r="AP234" s="90"/>
      <c r="AQ234" s="146" t="str">
        <f t="shared" si="99"/>
        <v/>
      </c>
      <c r="AR234" s="146" t="str">
        <f t="shared" si="100"/>
        <v/>
      </c>
      <c r="AS234" s="147">
        <v>23</v>
      </c>
      <c r="AT234" s="148">
        <v>14.350000000000001</v>
      </c>
      <c r="AU234" s="149">
        <v>7.6250499999999999</v>
      </c>
      <c r="AV234" s="146">
        <f t="shared" si="101"/>
        <v>53.136236933797896</v>
      </c>
      <c r="AW234" s="146">
        <f t="shared" si="102"/>
        <v>46.863763066202104</v>
      </c>
      <c r="AX234" s="168" t="str">
        <f t="shared" si="103"/>
        <v/>
      </c>
      <c r="AY234" s="95">
        <v>72.45</v>
      </c>
      <c r="AZ234" s="96">
        <v>62.984999999999999</v>
      </c>
      <c r="BA234" s="96"/>
      <c r="BB234" s="96">
        <v>75.5</v>
      </c>
      <c r="BC234" s="96"/>
      <c r="BD234" s="97">
        <v>129.47</v>
      </c>
      <c r="BE234" s="142">
        <f t="shared" si="104"/>
        <v>8690</v>
      </c>
      <c r="BF234" s="98">
        <v>886</v>
      </c>
      <c r="BG234" s="98">
        <v>658</v>
      </c>
      <c r="BH234" s="98">
        <v>433</v>
      </c>
      <c r="BI234" s="98">
        <v>6713</v>
      </c>
      <c r="BJ234" s="98"/>
      <c r="BK234" s="98"/>
      <c r="BL234" s="97"/>
    </row>
    <row r="235" spans="1:64" outlineLevel="5" x14ac:dyDescent="0.3">
      <c r="A235" s="152">
        <f t="shared" ref="A235:A306" si="106">MONTH(B235)</f>
        <v>7</v>
      </c>
      <c r="B235" s="153">
        <f t="shared" si="105"/>
        <v>45120</v>
      </c>
      <c r="C235" s="138">
        <f t="shared" si="95"/>
        <v>36.799999999999997</v>
      </c>
      <c r="D235" s="84">
        <v>36.9</v>
      </c>
      <c r="E235" s="84">
        <v>36.700000000000003</v>
      </c>
      <c r="F235" s="84"/>
      <c r="G235" s="84"/>
      <c r="H235" s="84"/>
      <c r="I235" s="84"/>
      <c r="J235" s="84"/>
      <c r="K235" s="84"/>
      <c r="L235" s="140">
        <f t="shared" si="96"/>
        <v>8.1</v>
      </c>
      <c r="M235" s="86">
        <v>8.14</v>
      </c>
      <c r="N235" s="86">
        <v>8.11</v>
      </c>
      <c r="O235" s="86"/>
      <c r="P235" s="86"/>
      <c r="Q235" s="86"/>
      <c r="R235" s="86"/>
      <c r="S235" s="86"/>
      <c r="T235" s="86"/>
      <c r="U235" s="142">
        <f t="shared" si="97"/>
        <v>1140.5</v>
      </c>
      <c r="V235" s="88">
        <v>1095</v>
      </c>
      <c r="W235" s="88">
        <v>1186</v>
      </c>
      <c r="X235" s="88"/>
      <c r="Y235" s="88"/>
      <c r="Z235" s="88"/>
      <c r="AA235" s="88"/>
      <c r="AB235" s="88"/>
      <c r="AC235" s="88"/>
      <c r="AD235" s="142" t="str">
        <f t="shared" si="98"/>
        <v/>
      </c>
      <c r="AE235" s="88"/>
      <c r="AF235" s="88"/>
      <c r="AG235" s="88"/>
      <c r="AH235" s="88"/>
      <c r="AI235" s="88"/>
      <c r="AJ235" s="88"/>
      <c r="AK235" s="88"/>
      <c r="AL235" s="88"/>
      <c r="AM235" s="88">
        <v>35.803686566032013</v>
      </c>
      <c r="AN235" s="88">
        <v>131.82999999999998</v>
      </c>
      <c r="AO235" s="89"/>
      <c r="AP235" s="90"/>
      <c r="AQ235" s="146" t="str">
        <f t="shared" si="99"/>
        <v/>
      </c>
      <c r="AR235" s="146" t="str">
        <f t="shared" si="100"/>
        <v/>
      </c>
      <c r="AS235" s="147">
        <v>45</v>
      </c>
      <c r="AT235" s="148">
        <v>14.7</v>
      </c>
      <c r="AU235" s="149">
        <v>7.7830500000000011</v>
      </c>
      <c r="AV235" s="146">
        <f t="shared" si="101"/>
        <v>52.945918367346948</v>
      </c>
      <c r="AW235" s="146">
        <f t="shared" si="102"/>
        <v>47.054081632653052</v>
      </c>
      <c r="AX235" s="168" t="str">
        <f t="shared" si="103"/>
        <v/>
      </c>
      <c r="AY235" s="95">
        <v>72.55</v>
      </c>
      <c r="AZ235" s="96">
        <v>60.540000000000006</v>
      </c>
      <c r="BA235" s="96"/>
      <c r="BB235" s="96">
        <v>58.5</v>
      </c>
      <c r="BC235" s="96"/>
      <c r="BD235" s="97">
        <v>131.82999999999998</v>
      </c>
      <c r="BE235" s="142">
        <f t="shared" si="104"/>
        <v>8928</v>
      </c>
      <c r="BF235" s="98">
        <v>1859</v>
      </c>
      <c r="BG235" s="98">
        <v>254</v>
      </c>
      <c r="BH235" s="98">
        <v>0</v>
      </c>
      <c r="BI235" s="98">
        <v>6815</v>
      </c>
      <c r="BJ235" s="98"/>
      <c r="BK235" s="98"/>
      <c r="BL235" s="97"/>
    </row>
    <row r="236" spans="1:64" outlineLevel="5" x14ac:dyDescent="0.3">
      <c r="A236" s="152">
        <f t="shared" si="106"/>
        <v>7</v>
      </c>
      <c r="B236" s="153">
        <f t="shared" si="105"/>
        <v>45121</v>
      </c>
      <c r="C236" s="138">
        <f t="shared" si="95"/>
        <v>36.9</v>
      </c>
      <c r="D236" s="84">
        <v>37</v>
      </c>
      <c r="E236" s="84">
        <v>36.700000000000003</v>
      </c>
      <c r="F236" s="84"/>
      <c r="G236" s="84"/>
      <c r="H236" s="84"/>
      <c r="I236" s="84"/>
      <c r="J236" s="84"/>
      <c r="K236" s="84"/>
      <c r="L236" s="140" t="str">
        <f t="shared" si="96"/>
        <v/>
      </c>
      <c r="M236" s="86"/>
      <c r="N236" s="86"/>
      <c r="O236" s="86"/>
      <c r="P236" s="86"/>
      <c r="Q236" s="86"/>
      <c r="R236" s="86"/>
      <c r="S236" s="86"/>
      <c r="T236" s="86"/>
      <c r="U236" s="142" t="str">
        <f t="shared" si="97"/>
        <v/>
      </c>
      <c r="V236" s="88"/>
      <c r="W236" s="88"/>
      <c r="X236" s="88"/>
      <c r="Y236" s="88"/>
      <c r="Z236" s="88"/>
      <c r="AA236" s="88"/>
      <c r="AB236" s="88"/>
      <c r="AC236" s="88"/>
      <c r="AD236" s="142" t="str">
        <f t="shared" si="98"/>
        <v/>
      </c>
      <c r="AE236" s="88"/>
      <c r="AF236" s="88"/>
      <c r="AG236" s="88"/>
      <c r="AH236" s="88"/>
      <c r="AI236" s="88"/>
      <c r="AJ236" s="88"/>
      <c r="AK236" s="88"/>
      <c r="AL236" s="88"/>
      <c r="AM236" s="88">
        <v>35.679189659082319</v>
      </c>
      <c r="AN236" s="88">
        <v>132.29</v>
      </c>
      <c r="AO236" s="89"/>
      <c r="AP236" s="90"/>
      <c r="AQ236" s="146" t="str">
        <f t="shared" si="99"/>
        <v/>
      </c>
      <c r="AR236" s="146" t="str">
        <f t="shared" si="100"/>
        <v/>
      </c>
      <c r="AS236" s="147">
        <v>26</v>
      </c>
      <c r="AT236" s="148"/>
      <c r="AU236" s="149"/>
      <c r="AV236" s="146" t="str">
        <f t="shared" si="101"/>
        <v/>
      </c>
      <c r="AW236" s="146" t="str">
        <f t="shared" si="102"/>
        <v/>
      </c>
      <c r="AX236" s="168" t="str">
        <f t="shared" si="103"/>
        <v/>
      </c>
      <c r="AY236" s="95"/>
      <c r="AZ236" s="96"/>
      <c r="BA236" s="96"/>
      <c r="BB236" s="96"/>
      <c r="BC236" s="96"/>
      <c r="BD236" s="97">
        <v>132.29</v>
      </c>
      <c r="BE236" s="142">
        <f t="shared" si="104"/>
        <v>7251</v>
      </c>
      <c r="BF236" s="98">
        <v>912</v>
      </c>
      <c r="BG236" s="98">
        <v>0</v>
      </c>
      <c r="BH236" s="98">
        <v>0</v>
      </c>
      <c r="BI236" s="98">
        <v>6339</v>
      </c>
      <c r="BJ236" s="98"/>
      <c r="BK236" s="98"/>
      <c r="BL236" s="97"/>
    </row>
    <row r="237" spans="1:64" outlineLevel="5" x14ac:dyDescent="0.3">
      <c r="A237" s="152">
        <f t="shared" si="106"/>
        <v>7</v>
      </c>
      <c r="B237" s="153">
        <f t="shared" si="105"/>
        <v>45122</v>
      </c>
      <c r="C237" s="138">
        <f t="shared" si="95"/>
        <v>36.5</v>
      </c>
      <c r="D237" s="84">
        <v>36.799999999999997</v>
      </c>
      <c r="E237" s="84">
        <v>36.200000000000003</v>
      </c>
      <c r="F237" s="84"/>
      <c r="G237" s="84"/>
      <c r="H237" s="84"/>
      <c r="I237" s="84"/>
      <c r="J237" s="84"/>
      <c r="K237" s="84"/>
      <c r="L237" s="140" t="str">
        <f t="shared" si="96"/>
        <v/>
      </c>
      <c r="M237" s="86"/>
      <c r="N237" s="86"/>
      <c r="O237" s="86"/>
      <c r="P237" s="86"/>
      <c r="Q237" s="86"/>
      <c r="R237" s="86"/>
      <c r="S237" s="86"/>
      <c r="T237" s="86"/>
      <c r="U237" s="142" t="str">
        <f t="shared" si="97"/>
        <v/>
      </c>
      <c r="V237" s="88"/>
      <c r="W237" s="88"/>
      <c r="X237" s="88"/>
      <c r="Y237" s="88"/>
      <c r="Z237" s="88"/>
      <c r="AA237" s="88"/>
      <c r="AB237" s="88"/>
      <c r="AC237" s="88"/>
      <c r="AD237" s="142" t="str">
        <f t="shared" si="98"/>
        <v/>
      </c>
      <c r="AE237" s="88"/>
      <c r="AF237" s="88"/>
      <c r="AG237" s="88"/>
      <c r="AH237" s="88"/>
      <c r="AI237" s="88"/>
      <c r="AJ237" s="88"/>
      <c r="AK237" s="88"/>
      <c r="AL237" s="88"/>
      <c r="AM237" s="88">
        <v>38.67901335737114</v>
      </c>
      <c r="AN237" s="88">
        <v>122.03</v>
      </c>
      <c r="AO237" s="89"/>
      <c r="AP237" s="90"/>
      <c r="AQ237" s="146" t="str">
        <f t="shared" si="99"/>
        <v/>
      </c>
      <c r="AR237" s="146" t="str">
        <f t="shared" si="100"/>
        <v/>
      </c>
      <c r="AS237" s="147">
        <v>12</v>
      </c>
      <c r="AT237" s="148"/>
      <c r="AU237" s="149"/>
      <c r="AV237" s="146" t="str">
        <f t="shared" si="101"/>
        <v/>
      </c>
      <c r="AW237" s="146" t="str">
        <f t="shared" si="102"/>
        <v/>
      </c>
      <c r="AX237" s="168" t="str">
        <f t="shared" si="103"/>
        <v/>
      </c>
      <c r="AY237" s="95"/>
      <c r="AZ237" s="96"/>
      <c r="BA237" s="96"/>
      <c r="BB237" s="96"/>
      <c r="BC237" s="96"/>
      <c r="BD237" s="97">
        <v>122.03</v>
      </c>
      <c r="BE237" s="142">
        <f t="shared" si="104"/>
        <v>6531</v>
      </c>
      <c r="BF237" s="98">
        <v>0</v>
      </c>
      <c r="BG237" s="98">
        <v>0</v>
      </c>
      <c r="BH237" s="98">
        <v>0</v>
      </c>
      <c r="BI237" s="98">
        <v>6531</v>
      </c>
      <c r="BJ237" s="98"/>
      <c r="BK237" s="98"/>
      <c r="BL237" s="97"/>
    </row>
    <row r="238" spans="1:64" outlineLevel="5" x14ac:dyDescent="0.3">
      <c r="A238" s="152">
        <f t="shared" si="106"/>
        <v>7</v>
      </c>
      <c r="B238" s="153">
        <f t="shared" si="105"/>
        <v>45123</v>
      </c>
      <c r="C238" s="138" t="str">
        <f t="shared" si="95"/>
        <v/>
      </c>
      <c r="D238" s="84"/>
      <c r="E238" s="84"/>
      <c r="F238" s="84"/>
      <c r="G238" s="84"/>
      <c r="H238" s="84"/>
      <c r="I238" s="84"/>
      <c r="J238" s="84"/>
      <c r="K238" s="84"/>
      <c r="L238" s="140" t="str">
        <f t="shared" si="96"/>
        <v/>
      </c>
      <c r="M238" s="86"/>
      <c r="N238" s="86"/>
      <c r="O238" s="86"/>
      <c r="P238" s="86"/>
      <c r="Q238" s="86"/>
      <c r="R238" s="86"/>
      <c r="S238" s="86"/>
      <c r="T238" s="86"/>
      <c r="U238" s="142" t="str">
        <f t="shared" si="97"/>
        <v/>
      </c>
      <c r="V238" s="88"/>
      <c r="W238" s="88"/>
      <c r="X238" s="88"/>
      <c r="Y238" s="88"/>
      <c r="Z238" s="88"/>
      <c r="AA238" s="88"/>
      <c r="AB238" s="88"/>
      <c r="AC238" s="88"/>
      <c r="AD238" s="142" t="str">
        <f t="shared" si="98"/>
        <v/>
      </c>
      <c r="AE238" s="88"/>
      <c r="AF238" s="88"/>
      <c r="AG238" s="88"/>
      <c r="AH238" s="88"/>
      <c r="AI238" s="88"/>
      <c r="AJ238" s="88"/>
      <c r="AK238" s="88"/>
      <c r="AL238" s="88"/>
      <c r="AM238" s="88">
        <v>36.307692307692307</v>
      </c>
      <c r="AN238" s="88">
        <v>130</v>
      </c>
      <c r="AO238" s="89"/>
      <c r="AP238" s="90"/>
      <c r="AQ238" s="146" t="str">
        <f t="shared" si="99"/>
        <v/>
      </c>
      <c r="AR238" s="146" t="str">
        <f t="shared" si="100"/>
        <v/>
      </c>
      <c r="AS238" s="147">
        <v>10</v>
      </c>
      <c r="AT238" s="148"/>
      <c r="AU238" s="149"/>
      <c r="AV238" s="146" t="str">
        <f t="shared" si="101"/>
        <v/>
      </c>
      <c r="AW238" s="146" t="str">
        <f t="shared" si="102"/>
        <v/>
      </c>
      <c r="AX238" s="168" t="str">
        <f t="shared" si="103"/>
        <v/>
      </c>
      <c r="AY238" s="95"/>
      <c r="AZ238" s="96"/>
      <c r="BA238" s="96"/>
      <c r="BB238" s="96"/>
      <c r="BC238" s="96"/>
      <c r="BD238" s="97">
        <v>130</v>
      </c>
      <c r="BE238" s="142">
        <f t="shared" si="104"/>
        <v>6456</v>
      </c>
      <c r="BF238" s="98">
        <v>0</v>
      </c>
      <c r="BG238" s="98">
        <v>0</v>
      </c>
      <c r="BH238" s="98">
        <v>0</v>
      </c>
      <c r="BI238" s="98">
        <v>6456</v>
      </c>
      <c r="BJ238" s="98"/>
      <c r="BK238" s="98"/>
      <c r="BL238" s="97"/>
    </row>
    <row r="239" spans="1:64" outlineLevel="5" x14ac:dyDescent="0.3">
      <c r="A239" s="152">
        <f t="shared" si="106"/>
        <v>7</v>
      </c>
      <c r="B239" s="153">
        <f t="shared" si="105"/>
        <v>45124</v>
      </c>
      <c r="C239" s="138">
        <f t="shared" si="95"/>
        <v>37.700000000000003</v>
      </c>
      <c r="D239" s="84">
        <v>37.799999999999997</v>
      </c>
      <c r="E239" s="84">
        <v>37.6</v>
      </c>
      <c r="F239" s="84"/>
      <c r="G239" s="84"/>
      <c r="H239" s="84"/>
      <c r="I239" s="84"/>
      <c r="J239" s="84"/>
      <c r="K239" s="84"/>
      <c r="L239" s="140">
        <f t="shared" si="96"/>
        <v>8.1</v>
      </c>
      <c r="M239" s="86">
        <v>8.02</v>
      </c>
      <c r="N239" s="86">
        <v>8.1300000000000008</v>
      </c>
      <c r="O239" s="86"/>
      <c r="P239" s="86"/>
      <c r="Q239" s="86"/>
      <c r="R239" s="86"/>
      <c r="S239" s="86"/>
      <c r="T239" s="86"/>
      <c r="U239" s="142">
        <f t="shared" si="97"/>
        <v>1227</v>
      </c>
      <c r="V239" s="88">
        <v>919</v>
      </c>
      <c r="W239" s="88">
        <v>1535</v>
      </c>
      <c r="X239" s="88"/>
      <c r="Y239" s="88"/>
      <c r="Z239" s="88"/>
      <c r="AA239" s="88"/>
      <c r="AB239" s="88"/>
      <c r="AC239" s="88"/>
      <c r="AD239" s="142" t="str">
        <f t="shared" si="98"/>
        <v/>
      </c>
      <c r="AE239" s="88"/>
      <c r="AF239" s="88"/>
      <c r="AG239" s="88"/>
      <c r="AH239" s="88"/>
      <c r="AI239" s="88"/>
      <c r="AJ239" s="88"/>
      <c r="AK239" s="88"/>
      <c r="AL239" s="88"/>
      <c r="AM239" s="88">
        <v>38.707561095620797</v>
      </c>
      <c r="AN239" s="88">
        <v>121.94</v>
      </c>
      <c r="AO239" s="89">
        <v>14.6</v>
      </c>
      <c r="AP239" s="90">
        <v>11.5924</v>
      </c>
      <c r="AQ239" s="146">
        <f t="shared" si="99"/>
        <v>79.400000000000006</v>
      </c>
      <c r="AR239" s="146">
        <f t="shared" si="100"/>
        <v>20.599999999999994</v>
      </c>
      <c r="AS239" s="147">
        <v>45</v>
      </c>
      <c r="AT239" s="148">
        <v>14.1</v>
      </c>
      <c r="AU239" s="149">
        <v>7.2462499999999999</v>
      </c>
      <c r="AV239" s="146">
        <f t="shared" si="101"/>
        <v>51.391843971631204</v>
      </c>
      <c r="AW239" s="146">
        <f t="shared" si="102"/>
        <v>48.608156028368796</v>
      </c>
      <c r="AX239" s="168">
        <f t="shared" si="103"/>
        <v>72.569623259619505</v>
      </c>
      <c r="AY239" s="95">
        <v>73</v>
      </c>
      <c r="AZ239" s="96">
        <v>61.3</v>
      </c>
      <c r="BA239" s="96"/>
      <c r="BB239" s="96">
        <v>72.5</v>
      </c>
      <c r="BC239" s="96"/>
      <c r="BD239" s="97">
        <v>121.94</v>
      </c>
      <c r="BE239" s="142">
        <f t="shared" si="104"/>
        <v>7705</v>
      </c>
      <c r="BF239" s="98">
        <v>953</v>
      </c>
      <c r="BG239" s="98">
        <v>0</v>
      </c>
      <c r="BH239" s="98">
        <v>0</v>
      </c>
      <c r="BI239" s="98">
        <v>6752</v>
      </c>
      <c r="BJ239" s="98"/>
      <c r="BK239" s="98"/>
      <c r="BL239" s="97"/>
    </row>
    <row r="240" spans="1:64" outlineLevel="5" x14ac:dyDescent="0.3">
      <c r="A240" s="152">
        <f t="shared" si="106"/>
        <v>7</v>
      </c>
      <c r="B240" s="153">
        <f t="shared" si="105"/>
        <v>45125</v>
      </c>
      <c r="C240" s="138">
        <f t="shared" si="95"/>
        <v>38</v>
      </c>
      <c r="D240" s="84">
        <v>38</v>
      </c>
      <c r="E240" s="84">
        <v>37.9</v>
      </c>
      <c r="F240" s="84"/>
      <c r="G240" s="84"/>
      <c r="H240" s="84"/>
      <c r="I240" s="84"/>
      <c r="J240" s="84"/>
      <c r="K240" s="84"/>
      <c r="L240" s="140" t="str">
        <f t="shared" si="96"/>
        <v/>
      </c>
      <c r="M240" s="86"/>
      <c r="N240" s="86"/>
      <c r="O240" s="86"/>
      <c r="P240" s="86"/>
      <c r="Q240" s="86"/>
      <c r="R240" s="86"/>
      <c r="S240" s="86"/>
      <c r="T240" s="86"/>
      <c r="U240" s="142" t="str">
        <f t="shared" si="97"/>
        <v/>
      </c>
      <c r="V240" s="88"/>
      <c r="W240" s="88"/>
      <c r="X240" s="88"/>
      <c r="Y240" s="88"/>
      <c r="Z240" s="88"/>
      <c r="AA240" s="88"/>
      <c r="AB240" s="88"/>
      <c r="AC240" s="88"/>
      <c r="AD240" s="142" t="str">
        <f t="shared" si="98"/>
        <v/>
      </c>
      <c r="AE240" s="88"/>
      <c r="AF240" s="88"/>
      <c r="AG240" s="88"/>
      <c r="AH240" s="88"/>
      <c r="AI240" s="88"/>
      <c r="AJ240" s="88"/>
      <c r="AK240" s="88"/>
      <c r="AL240" s="88"/>
      <c r="AM240" s="88">
        <v>32.388663967611336</v>
      </c>
      <c r="AN240" s="88">
        <v>145.72999999999999</v>
      </c>
      <c r="AO240" s="89"/>
      <c r="AP240" s="90"/>
      <c r="AQ240" s="146" t="str">
        <f t="shared" si="99"/>
        <v/>
      </c>
      <c r="AR240" s="146" t="str">
        <f t="shared" si="100"/>
        <v/>
      </c>
      <c r="AS240" s="147">
        <v>40</v>
      </c>
      <c r="AT240" s="148"/>
      <c r="AU240" s="149"/>
      <c r="AV240" s="146" t="str">
        <f t="shared" si="101"/>
        <v/>
      </c>
      <c r="AW240" s="146" t="str">
        <f t="shared" si="102"/>
        <v/>
      </c>
      <c r="AX240" s="168" t="str">
        <f t="shared" si="103"/>
        <v/>
      </c>
      <c r="AY240" s="95"/>
      <c r="AZ240" s="96">
        <v>61.915000000000006</v>
      </c>
      <c r="BA240" s="96"/>
      <c r="BB240" s="96">
        <v>69</v>
      </c>
      <c r="BC240" s="96"/>
      <c r="BD240" s="97">
        <v>145.72999999999999</v>
      </c>
      <c r="BE240" s="142">
        <f t="shared" si="104"/>
        <v>7699</v>
      </c>
      <c r="BF240" s="98">
        <v>1003</v>
      </c>
      <c r="BG240" s="98">
        <v>0</v>
      </c>
      <c r="BH240" s="98">
        <v>0</v>
      </c>
      <c r="BI240" s="98">
        <v>6696</v>
      </c>
      <c r="BJ240" s="98"/>
      <c r="BK240" s="98"/>
      <c r="BL240" s="97"/>
    </row>
    <row r="241" spans="1:64" outlineLevel="5" x14ac:dyDescent="0.3">
      <c r="A241" s="152">
        <f t="shared" si="106"/>
        <v>7</v>
      </c>
      <c r="B241" s="153">
        <f t="shared" si="105"/>
        <v>45126</v>
      </c>
      <c r="C241" s="138">
        <f t="shared" si="95"/>
        <v>38.200000000000003</v>
      </c>
      <c r="D241" s="84">
        <v>38.1</v>
      </c>
      <c r="E241" s="84">
        <v>38.200000000000003</v>
      </c>
      <c r="F241" s="84"/>
      <c r="G241" s="84"/>
      <c r="H241" s="84"/>
      <c r="I241" s="84"/>
      <c r="J241" s="84"/>
      <c r="K241" s="84"/>
      <c r="L241" s="140">
        <f t="shared" si="96"/>
        <v>8.1</v>
      </c>
      <c r="M241" s="86">
        <v>8.07</v>
      </c>
      <c r="N241" s="86">
        <v>8.1199999999999992</v>
      </c>
      <c r="O241" s="86"/>
      <c r="P241" s="86"/>
      <c r="Q241" s="86"/>
      <c r="R241" s="86"/>
      <c r="S241" s="86"/>
      <c r="T241" s="86"/>
      <c r="U241" s="142">
        <f t="shared" si="97"/>
        <v>1164</v>
      </c>
      <c r="V241" s="88">
        <v>988</v>
      </c>
      <c r="W241" s="88">
        <v>1340</v>
      </c>
      <c r="X241" s="88"/>
      <c r="Y241" s="88"/>
      <c r="Z241" s="88"/>
      <c r="AA241" s="88"/>
      <c r="AB241" s="88"/>
      <c r="AC241" s="88"/>
      <c r="AD241" s="142">
        <f t="shared" si="98"/>
        <v>9515</v>
      </c>
      <c r="AE241" s="88">
        <v>9360</v>
      </c>
      <c r="AF241" s="88">
        <v>9670</v>
      </c>
      <c r="AG241" s="88"/>
      <c r="AH241" s="88"/>
      <c r="AI241" s="88"/>
      <c r="AJ241" s="88"/>
      <c r="AK241" s="88"/>
      <c r="AL241" s="88"/>
      <c r="AM241" s="88">
        <v>31.735359376050557</v>
      </c>
      <c r="AN241" s="88">
        <v>148.73000000000002</v>
      </c>
      <c r="AO241" s="89"/>
      <c r="AP241" s="90"/>
      <c r="AQ241" s="146" t="str">
        <f t="shared" si="99"/>
        <v/>
      </c>
      <c r="AR241" s="146" t="str">
        <f t="shared" si="100"/>
        <v/>
      </c>
      <c r="AS241" s="147">
        <v>42</v>
      </c>
      <c r="AT241" s="148">
        <v>14.5</v>
      </c>
      <c r="AU241" s="149">
        <v>7.609</v>
      </c>
      <c r="AV241" s="146">
        <f t="shared" si="101"/>
        <v>52.475862068965519</v>
      </c>
      <c r="AW241" s="146">
        <f t="shared" si="102"/>
        <v>47.524137931034481</v>
      </c>
      <c r="AX241" s="168" t="str">
        <f t="shared" si="103"/>
        <v/>
      </c>
      <c r="AY241" s="95">
        <v>73.05</v>
      </c>
      <c r="AZ241" s="96">
        <v>62.155000000000001</v>
      </c>
      <c r="BA241" s="96"/>
      <c r="BB241" s="96">
        <v>65</v>
      </c>
      <c r="BC241" s="96"/>
      <c r="BD241" s="97">
        <v>148.73000000000002</v>
      </c>
      <c r="BE241" s="142">
        <f t="shared" si="104"/>
        <v>6647</v>
      </c>
      <c r="BF241" s="98">
        <v>0</v>
      </c>
      <c r="BG241" s="98">
        <v>0</v>
      </c>
      <c r="BH241" s="98">
        <v>0</v>
      </c>
      <c r="BI241" s="98">
        <v>6647</v>
      </c>
      <c r="BJ241" s="98"/>
      <c r="BK241" s="98"/>
      <c r="BL241" s="97"/>
    </row>
    <row r="242" spans="1:64" outlineLevel="5" x14ac:dyDescent="0.3">
      <c r="A242" s="152">
        <f t="shared" si="106"/>
        <v>7</v>
      </c>
      <c r="B242" s="153">
        <f t="shared" si="105"/>
        <v>45127</v>
      </c>
      <c r="C242" s="138">
        <f t="shared" si="95"/>
        <v>37.9</v>
      </c>
      <c r="D242" s="84">
        <v>38</v>
      </c>
      <c r="E242" s="84">
        <v>37.799999999999997</v>
      </c>
      <c r="F242" s="84"/>
      <c r="G242" s="84"/>
      <c r="H242" s="84"/>
      <c r="I242" s="84"/>
      <c r="J242" s="84"/>
      <c r="K242" s="84"/>
      <c r="L242" s="140">
        <f t="shared" si="96"/>
        <v>8</v>
      </c>
      <c r="M242" s="86">
        <v>8.02</v>
      </c>
      <c r="N242" s="86">
        <v>8.0500000000000007</v>
      </c>
      <c r="O242" s="86"/>
      <c r="P242" s="86"/>
      <c r="Q242" s="86"/>
      <c r="R242" s="86"/>
      <c r="S242" s="86"/>
      <c r="T242" s="86"/>
      <c r="U242" s="142">
        <f t="shared" si="97"/>
        <v>1114.5</v>
      </c>
      <c r="V242" s="88">
        <v>1025</v>
      </c>
      <c r="W242" s="88">
        <v>1204</v>
      </c>
      <c r="X242" s="88"/>
      <c r="Y242" s="88"/>
      <c r="Z242" s="88"/>
      <c r="AA242" s="88"/>
      <c r="AB242" s="88"/>
      <c r="AC242" s="88"/>
      <c r="AD242" s="142" t="str">
        <f t="shared" si="98"/>
        <v/>
      </c>
      <c r="AE242" s="88"/>
      <c r="AF242" s="88"/>
      <c r="AG242" s="88"/>
      <c r="AH242" s="88"/>
      <c r="AI242" s="88"/>
      <c r="AJ242" s="88"/>
      <c r="AK242" s="88"/>
      <c r="AL242" s="88"/>
      <c r="AM242" s="88">
        <v>41.247924495324654</v>
      </c>
      <c r="AN242" s="88">
        <v>114.43</v>
      </c>
      <c r="AO242" s="89"/>
      <c r="AP242" s="90"/>
      <c r="AQ242" s="146" t="str">
        <f t="shared" si="99"/>
        <v/>
      </c>
      <c r="AR242" s="146" t="str">
        <f t="shared" si="100"/>
        <v/>
      </c>
      <c r="AS242" s="147">
        <v>40</v>
      </c>
      <c r="AT242" s="148">
        <v>15.100000000000001</v>
      </c>
      <c r="AU242" s="149">
        <v>7.8218999999999994</v>
      </c>
      <c r="AV242" s="146">
        <f t="shared" si="101"/>
        <v>51.800662251655616</v>
      </c>
      <c r="AW242" s="146">
        <f t="shared" si="102"/>
        <v>48.199337748344384</v>
      </c>
      <c r="AX242" s="168" t="str">
        <f t="shared" si="103"/>
        <v/>
      </c>
      <c r="AY242" s="95">
        <v>73.55</v>
      </c>
      <c r="AZ242" s="96">
        <v>62.18</v>
      </c>
      <c r="BA242" s="96"/>
      <c r="BB242" s="96">
        <v>65.5</v>
      </c>
      <c r="BC242" s="96"/>
      <c r="BD242" s="97">
        <v>114.43</v>
      </c>
      <c r="BE242" s="142">
        <f t="shared" si="104"/>
        <v>6631</v>
      </c>
      <c r="BF242" s="98">
        <v>0</v>
      </c>
      <c r="BG242" s="98">
        <v>0</v>
      </c>
      <c r="BH242" s="98">
        <v>0</v>
      </c>
      <c r="BI242" s="98">
        <v>6631</v>
      </c>
      <c r="BJ242" s="98"/>
      <c r="BK242" s="98"/>
      <c r="BL242" s="97"/>
    </row>
    <row r="243" spans="1:64" outlineLevel="5" x14ac:dyDescent="0.3">
      <c r="A243" s="152">
        <f t="shared" si="106"/>
        <v>7</v>
      </c>
      <c r="B243" s="153">
        <f t="shared" si="105"/>
        <v>45128</v>
      </c>
      <c r="C243" s="138" t="str">
        <f t="shared" si="95"/>
        <v/>
      </c>
      <c r="D243" s="84"/>
      <c r="E243" s="84"/>
      <c r="F243" s="84"/>
      <c r="G243" s="84"/>
      <c r="H243" s="84"/>
      <c r="I243" s="84"/>
      <c r="J243" s="84"/>
      <c r="K243" s="84"/>
      <c r="L243" s="140" t="str">
        <f t="shared" si="96"/>
        <v/>
      </c>
      <c r="M243" s="86"/>
      <c r="N243" s="86"/>
      <c r="O243" s="86"/>
      <c r="P243" s="86"/>
      <c r="Q243" s="86"/>
      <c r="R243" s="86"/>
      <c r="S243" s="86"/>
      <c r="T243" s="86"/>
      <c r="U243" s="142" t="str">
        <f t="shared" si="97"/>
        <v/>
      </c>
      <c r="V243" s="88"/>
      <c r="W243" s="88"/>
      <c r="X243" s="88"/>
      <c r="Y243" s="88"/>
      <c r="Z243" s="88"/>
      <c r="AA243" s="88"/>
      <c r="AB243" s="88"/>
      <c r="AC243" s="88"/>
      <c r="AD243" s="142" t="str">
        <f t="shared" si="98"/>
        <v/>
      </c>
      <c r="AE243" s="88"/>
      <c r="AF243" s="88"/>
      <c r="AG243" s="88"/>
      <c r="AH243" s="88"/>
      <c r="AI243" s="88"/>
      <c r="AJ243" s="88"/>
      <c r="AK243" s="88"/>
      <c r="AL243" s="88"/>
      <c r="AM243" s="88">
        <v>34.272436828347374</v>
      </c>
      <c r="AN243" s="88">
        <v>137.72</v>
      </c>
      <c r="AO243" s="89"/>
      <c r="AP243" s="90"/>
      <c r="AQ243" s="146" t="str">
        <f t="shared" si="99"/>
        <v/>
      </c>
      <c r="AR243" s="146" t="str">
        <f t="shared" si="100"/>
        <v/>
      </c>
      <c r="AS243" s="147">
        <v>25</v>
      </c>
      <c r="AT243" s="148"/>
      <c r="AU243" s="149"/>
      <c r="AV243" s="146" t="str">
        <f t="shared" si="101"/>
        <v/>
      </c>
      <c r="AW243" s="146" t="str">
        <f t="shared" si="102"/>
        <v/>
      </c>
      <c r="AX243" s="168" t="str">
        <f t="shared" si="103"/>
        <v/>
      </c>
      <c r="AY243" s="95"/>
      <c r="AZ243" s="96">
        <v>63.995000000000005</v>
      </c>
      <c r="BA243" s="96"/>
      <c r="BB243" s="96">
        <v>67</v>
      </c>
      <c r="BC243" s="96"/>
      <c r="BD243" s="97">
        <v>137.72</v>
      </c>
      <c r="BE243" s="142">
        <f t="shared" si="104"/>
        <v>6616</v>
      </c>
      <c r="BF243" s="98">
        <v>0</v>
      </c>
      <c r="BG243" s="98">
        <v>0</v>
      </c>
      <c r="BH243" s="98">
        <v>0</v>
      </c>
      <c r="BI243" s="98">
        <v>6616</v>
      </c>
      <c r="BJ243" s="98"/>
      <c r="BK243" s="98"/>
      <c r="BL243" s="97"/>
    </row>
    <row r="244" spans="1:64" outlineLevel="5" x14ac:dyDescent="0.3">
      <c r="A244" s="152">
        <f t="shared" si="106"/>
        <v>7</v>
      </c>
      <c r="B244" s="153">
        <f t="shared" si="105"/>
        <v>45129</v>
      </c>
      <c r="C244" s="138">
        <f t="shared" si="95"/>
        <v>37</v>
      </c>
      <c r="D244" s="84">
        <v>36.9</v>
      </c>
      <c r="E244" s="84">
        <v>37</v>
      </c>
      <c r="F244" s="84"/>
      <c r="G244" s="84"/>
      <c r="H244" s="84"/>
      <c r="I244" s="84"/>
      <c r="J244" s="84"/>
      <c r="K244" s="84"/>
      <c r="L244" s="140" t="str">
        <f t="shared" si="96"/>
        <v/>
      </c>
      <c r="M244" s="86"/>
      <c r="N244" s="86"/>
      <c r="O244" s="86"/>
      <c r="P244" s="86"/>
      <c r="Q244" s="86"/>
      <c r="R244" s="86"/>
      <c r="S244" s="86"/>
      <c r="T244" s="86"/>
      <c r="U244" s="142" t="str">
        <f t="shared" si="97"/>
        <v/>
      </c>
      <c r="V244" s="88"/>
      <c r="W244" s="88"/>
      <c r="X244" s="88"/>
      <c r="Y244" s="88"/>
      <c r="Z244" s="88"/>
      <c r="AA244" s="88"/>
      <c r="AB244" s="88"/>
      <c r="AC244" s="88"/>
      <c r="AD244" s="142" t="str">
        <f t="shared" si="98"/>
        <v/>
      </c>
      <c r="AE244" s="88"/>
      <c r="AF244" s="88"/>
      <c r="AG244" s="88"/>
      <c r="AH244" s="88"/>
      <c r="AI244" s="88"/>
      <c r="AJ244" s="88"/>
      <c r="AK244" s="88"/>
      <c r="AL244" s="88"/>
      <c r="AM244" s="88">
        <v>37.61855423607237</v>
      </c>
      <c r="AN244" s="88">
        <v>125.47</v>
      </c>
      <c r="AO244" s="89"/>
      <c r="AP244" s="90"/>
      <c r="AQ244" s="146" t="str">
        <f t="shared" si="99"/>
        <v/>
      </c>
      <c r="AR244" s="146" t="str">
        <f t="shared" si="100"/>
        <v/>
      </c>
      <c r="AS244" s="147">
        <v>13</v>
      </c>
      <c r="AT244" s="148"/>
      <c r="AU244" s="149"/>
      <c r="AV244" s="146" t="str">
        <f t="shared" si="101"/>
        <v/>
      </c>
      <c r="AW244" s="146" t="str">
        <f t="shared" si="102"/>
        <v/>
      </c>
      <c r="AX244" s="168" t="str">
        <f t="shared" si="103"/>
        <v/>
      </c>
      <c r="AY244" s="95"/>
      <c r="AZ244" s="96"/>
      <c r="BA244" s="96"/>
      <c r="BB244" s="96"/>
      <c r="BC244" s="96"/>
      <c r="BD244" s="97">
        <v>125.47</v>
      </c>
      <c r="BE244" s="142">
        <f t="shared" si="104"/>
        <v>6417</v>
      </c>
      <c r="BF244" s="98">
        <v>0</v>
      </c>
      <c r="BG244" s="98">
        <v>0</v>
      </c>
      <c r="BH244" s="98">
        <v>0</v>
      </c>
      <c r="BI244" s="98">
        <v>6417</v>
      </c>
      <c r="BJ244" s="98"/>
      <c r="BK244" s="98"/>
      <c r="BL244" s="97"/>
    </row>
    <row r="245" spans="1:64" outlineLevel="5" x14ac:dyDescent="0.3">
      <c r="A245" s="152">
        <f t="shared" si="106"/>
        <v>7</v>
      </c>
      <c r="B245" s="153">
        <f t="shared" si="105"/>
        <v>45130</v>
      </c>
      <c r="C245" s="138" t="str">
        <f t="shared" si="95"/>
        <v/>
      </c>
      <c r="D245" s="84"/>
      <c r="E245" s="84"/>
      <c r="F245" s="84"/>
      <c r="G245" s="84"/>
      <c r="H245" s="84"/>
      <c r="I245" s="84"/>
      <c r="J245" s="84"/>
      <c r="K245" s="84"/>
      <c r="L245" s="140" t="str">
        <f t="shared" si="96"/>
        <v/>
      </c>
      <c r="M245" s="86"/>
      <c r="N245" s="86"/>
      <c r="O245" s="86"/>
      <c r="P245" s="86"/>
      <c r="Q245" s="86"/>
      <c r="R245" s="86"/>
      <c r="S245" s="86"/>
      <c r="T245" s="86"/>
      <c r="U245" s="142" t="str">
        <f t="shared" si="97"/>
        <v/>
      </c>
      <c r="V245" s="88"/>
      <c r="W245" s="88"/>
      <c r="X245" s="88"/>
      <c r="Y245" s="88"/>
      <c r="Z245" s="88"/>
      <c r="AA245" s="88"/>
      <c r="AB245" s="88"/>
      <c r="AC245" s="88"/>
      <c r="AD245" s="142" t="str">
        <f t="shared" si="98"/>
        <v/>
      </c>
      <c r="AE245" s="88"/>
      <c r="AF245" s="88"/>
      <c r="AG245" s="88"/>
      <c r="AH245" s="88"/>
      <c r="AI245" s="88"/>
      <c r="AJ245" s="88"/>
      <c r="AK245" s="88"/>
      <c r="AL245" s="88"/>
      <c r="AM245" s="88">
        <v>37.76</v>
      </c>
      <c r="AN245" s="88">
        <v>125</v>
      </c>
      <c r="AO245" s="89"/>
      <c r="AP245" s="90"/>
      <c r="AQ245" s="146" t="str">
        <f t="shared" si="99"/>
        <v/>
      </c>
      <c r="AR245" s="146" t="str">
        <f t="shared" si="100"/>
        <v/>
      </c>
      <c r="AS245" s="147">
        <v>11</v>
      </c>
      <c r="AT245" s="148"/>
      <c r="AU245" s="149"/>
      <c r="AV245" s="146" t="str">
        <f t="shared" si="101"/>
        <v/>
      </c>
      <c r="AW245" s="146" t="str">
        <f t="shared" si="102"/>
        <v/>
      </c>
      <c r="AX245" s="168" t="str">
        <f t="shared" si="103"/>
        <v/>
      </c>
      <c r="AY245" s="95"/>
      <c r="AZ245" s="96"/>
      <c r="BA245" s="96"/>
      <c r="BB245" s="96"/>
      <c r="BC245" s="96"/>
      <c r="BD245" s="97">
        <v>125</v>
      </c>
      <c r="BE245" s="142">
        <f t="shared" si="104"/>
        <v>6453</v>
      </c>
      <c r="BF245" s="98">
        <v>0</v>
      </c>
      <c r="BG245" s="98">
        <v>0</v>
      </c>
      <c r="BH245" s="98">
        <v>0</v>
      </c>
      <c r="BI245" s="98">
        <v>6453</v>
      </c>
      <c r="BJ245" s="98"/>
      <c r="BK245" s="98"/>
      <c r="BL245" s="97"/>
    </row>
    <row r="246" spans="1:64" outlineLevel="5" x14ac:dyDescent="0.3">
      <c r="A246" s="152">
        <f t="shared" si="106"/>
        <v>7</v>
      </c>
      <c r="B246" s="153">
        <f t="shared" si="105"/>
        <v>45131</v>
      </c>
      <c r="C246" s="138" t="str">
        <f t="shared" si="95"/>
        <v/>
      </c>
      <c r="D246" s="84"/>
      <c r="E246" s="84"/>
      <c r="F246" s="84"/>
      <c r="G246" s="84"/>
      <c r="H246" s="84"/>
      <c r="I246" s="84"/>
      <c r="J246" s="84"/>
      <c r="K246" s="84"/>
      <c r="L246" s="140" t="str">
        <f t="shared" si="96"/>
        <v/>
      </c>
      <c r="M246" s="86"/>
      <c r="N246" s="86"/>
      <c r="O246" s="86"/>
      <c r="P246" s="86"/>
      <c r="Q246" s="86"/>
      <c r="R246" s="86"/>
      <c r="S246" s="86"/>
      <c r="T246" s="86"/>
      <c r="U246" s="142" t="str">
        <f t="shared" si="97"/>
        <v/>
      </c>
      <c r="V246" s="88"/>
      <c r="W246" s="88"/>
      <c r="X246" s="88"/>
      <c r="Y246" s="88"/>
      <c r="Z246" s="88"/>
      <c r="AA246" s="88"/>
      <c r="AB246" s="88"/>
      <c r="AC246" s="88"/>
      <c r="AD246" s="142" t="str">
        <f t="shared" si="98"/>
        <v/>
      </c>
      <c r="AE246" s="88"/>
      <c r="AF246" s="88"/>
      <c r="AG246" s="88"/>
      <c r="AH246" s="88"/>
      <c r="AI246" s="88"/>
      <c r="AJ246" s="88"/>
      <c r="AK246" s="88"/>
      <c r="AL246" s="88"/>
      <c r="AM246" s="88">
        <v>35.855363111516262</v>
      </c>
      <c r="AN246" s="88">
        <v>131.63999999999999</v>
      </c>
      <c r="AO246" s="89"/>
      <c r="AP246" s="90"/>
      <c r="AQ246" s="146" t="str">
        <f t="shared" si="99"/>
        <v/>
      </c>
      <c r="AR246" s="146" t="str">
        <f t="shared" si="100"/>
        <v/>
      </c>
      <c r="AS246" s="147">
        <v>42</v>
      </c>
      <c r="AT246" s="148"/>
      <c r="AU246" s="149"/>
      <c r="AV246" s="146" t="str">
        <f t="shared" si="101"/>
        <v/>
      </c>
      <c r="AW246" s="146" t="str">
        <f t="shared" si="102"/>
        <v/>
      </c>
      <c r="AX246" s="168" t="str">
        <f t="shared" si="103"/>
        <v/>
      </c>
      <c r="AY246" s="95"/>
      <c r="AZ246" s="96">
        <v>59.980000000000004</v>
      </c>
      <c r="BA246" s="96"/>
      <c r="BB246" s="96">
        <v>96</v>
      </c>
      <c r="BC246" s="96"/>
      <c r="BD246" s="97">
        <v>131.63999999999999</v>
      </c>
      <c r="BE246" s="142">
        <f t="shared" si="104"/>
        <v>7042</v>
      </c>
      <c r="BF246" s="98">
        <v>0</v>
      </c>
      <c r="BG246" s="98">
        <v>0</v>
      </c>
      <c r="BH246" s="98">
        <v>0</v>
      </c>
      <c r="BI246" s="98">
        <v>7042</v>
      </c>
      <c r="BJ246" s="98"/>
      <c r="BK246" s="98"/>
      <c r="BL246" s="97"/>
    </row>
    <row r="247" spans="1:64" outlineLevel="5" x14ac:dyDescent="0.3">
      <c r="A247" s="152">
        <f t="shared" si="106"/>
        <v>7</v>
      </c>
      <c r="B247" s="153">
        <f t="shared" si="105"/>
        <v>45132</v>
      </c>
      <c r="C247" s="138">
        <f t="shared" si="95"/>
        <v>37.799999999999997</v>
      </c>
      <c r="D247" s="84">
        <v>37.9</v>
      </c>
      <c r="E247" s="84">
        <v>37.6</v>
      </c>
      <c r="F247" s="84"/>
      <c r="G247" s="84"/>
      <c r="H247" s="84"/>
      <c r="I247" s="84"/>
      <c r="J247" s="84"/>
      <c r="K247" s="84"/>
      <c r="L247" s="140" t="str">
        <f t="shared" si="96"/>
        <v/>
      </c>
      <c r="M247" s="86"/>
      <c r="N247" s="86"/>
      <c r="O247" s="86"/>
      <c r="P247" s="86"/>
      <c r="Q247" s="86"/>
      <c r="R247" s="86"/>
      <c r="S247" s="86"/>
      <c r="T247" s="86"/>
      <c r="U247" s="142" t="str">
        <f t="shared" si="97"/>
        <v/>
      </c>
      <c r="V247" s="88"/>
      <c r="W247" s="88"/>
      <c r="X247" s="88"/>
      <c r="Y247" s="88"/>
      <c r="Z247" s="88"/>
      <c r="AA247" s="88"/>
      <c r="AB247" s="88"/>
      <c r="AC247" s="88"/>
      <c r="AD247" s="142" t="str">
        <f t="shared" si="98"/>
        <v/>
      </c>
      <c r="AE247" s="88"/>
      <c r="AF247" s="88"/>
      <c r="AG247" s="88"/>
      <c r="AH247" s="88"/>
      <c r="AI247" s="88"/>
      <c r="AJ247" s="88"/>
      <c r="AK247" s="88"/>
      <c r="AL247" s="88"/>
      <c r="AM247" s="88">
        <v>30.289417955464291</v>
      </c>
      <c r="AN247" s="88">
        <v>155.82999999999998</v>
      </c>
      <c r="AO247" s="89"/>
      <c r="AP247" s="90"/>
      <c r="AQ247" s="146" t="str">
        <f t="shared" si="99"/>
        <v/>
      </c>
      <c r="AR247" s="146" t="str">
        <f t="shared" si="100"/>
        <v/>
      </c>
      <c r="AS247" s="147">
        <v>20</v>
      </c>
      <c r="AT247" s="148"/>
      <c r="AU247" s="149"/>
      <c r="AV247" s="146" t="str">
        <f t="shared" si="101"/>
        <v/>
      </c>
      <c r="AW247" s="146" t="str">
        <f t="shared" si="102"/>
        <v/>
      </c>
      <c r="AX247" s="168" t="str">
        <f t="shared" si="103"/>
        <v/>
      </c>
      <c r="AY247" s="95"/>
      <c r="AZ247" s="96">
        <v>59.629999999999995</v>
      </c>
      <c r="BA247" s="96"/>
      <c r="BB247" s="96">
        <v>99</v>
      </c>
      <c r="BC247" s="96"/>
      <c r="BD247" s="97">
        <v>155.82999999999998</v>
      </c>
      <c r="BE247" s="142">
        <f t="shared" si="104"/>
        <v>7565</v>
      </c>
      <c r="BF247" s="98">
        <v>702</v>
      </c>
      <c r="BG247" s="98">
        <v>0</v>
      </c>
      <c r="BH247" s="98">
        <v>0</v>
      </c>
      <c r="BI247" s="98">
        <v>6863</v>
      </c>
      <c r="BJ247" s="98"/>
      <c r="BK247" s="98"/>
      <c r="BL247" s="97"/>
    </row>
    <row r="248" spans="1:64" outlineLevel="5" x14ac:dyDescent="0.3">
      <c r="A248" s="152">
        <f t="shared" si="106"/>
        <v>7</v>
      </c>
      <c r="B248" s="153">
        <f t="shared" si="105"/>
        <v>45133</v>
      </c>
      <c r="C248" s="138">
        <f t="shared" si="95"/>
        <v>37.9</v>
      </c>
      <c r="D248" s="84">
        <v>38</v>
      </c>
      <c r="E248" s="84">
        <v>37.799999999999997</v>
      </c>
      <c r="F248" s="84"/>
      <c r="G248" s="84"/>
      <c r="H248" s="84"/>
      <c r="I248" s="84"/>
      <c r="J248" s="84"/>
      <c r="K248" s="84"/>
      <c r="L248" s="140">
        <f t="shared" si="96"/>
        <v>8.1999999999999993</v>
      </c>
      <c r="M248" s="86">
        <v>8.1300000000000008</v>
      </c>
      <c r="N248" s="86">
        <v>8.17</v>
      </c>
      <c r="O248" s="86"/>
      <c r="P248" s="86"/>
      <c r="Q248" s="86"/>
      <c r="R248" s="86"/>
      <c r="S248" s="86"/>
      <c r="T248" s="86"/>
      <c r="U248" s="142">
        <f t="shared" si="97"/>
        <v>1069.5</v>
      </c>
      <c r="V248" s="88">
        <v>1114</v>
      </c>
      <c r="W248" s="88">
        <v>1025</v>
      </c>
      <c r="X248" s="88"/>
      <c r="Y248" s="88"/>
      <c r="Z248" s="88"/>
      <c r="AA248" s="88"/>
      <c r="AB248" s="88"/>
      <c r="AC248" s="88"/>
      <c r="AD248" s="142">
        <f t="shared" si="98"/>
        <v>9340</v>
      </c>
      <c r="AE248" s="88">
        <v>9450</v>
      </c>
      <c r="AF248" s="88">
        <v>9230</v>
      </c>
      <c r="AG248" s="88"/>
      <c r="AH248" s="88"/>
      <c r="AI248" s="88"/>
      <c r="AJ248" s="88"/>
      <c r="AK248" s="88"/>
      <c r="AL248" s="88"/>
      <c r="AM248" s="88">
        <v>29.044366500523047</v>
      </c>
      <c r="AN248" s="88">
        <v>162.51</v>
      </c>
      <c r="AO248" s="89">
        <v>14.4</v>
      </c>
      <c r="AP248" s="90">
        <v>11.361600000000001</v>
      </c>
      <c r="AQ248" s="146">
        <f t="shared" si="99"/>
        <v>78.900000000000006</v>
      </c>
      <c r="AR248" s="146">
        <f t="shared" si="100"/>
        <v>21.099999999999994</v>
      </c>
      <c r="AS248" s="147">
        <v>45</v>
      </c>
      <c r="AT248" s="148">
        <v>14.5</v>
      </c>
      <c r="AU248" s="149">
        <v>7.8866999999999994</v>
      </c>
      <c r="AV248" s="146">
        <f t="shared" si="101"/>
        <v>54.391034482758613</v>
      </c>
      <c r="AW248" s="146">
        <f t="shared" si="102"/>
        <v>45.608965517241387</v>
      </c>
      <c r="AX248" s="168">
        <f t="shared" si="103"/>
        <v>68.107941716022324</v>
      </c>
      <c r="AY248" s="95">
        <v>73.349999999999994</v>
      </c>
      <c r="AZ248" s="96">
        <v>59.81</v>
      </c>
      <c r="BA248" s="96"/>
      <c r="BB248" s="96">
        <v>129.5</v>
      </c>
      <c r="BC248" s="96"/>
      <c r="BD248" s="97">
        <v>162.51</v>
      </c>
      <c r="BE248" s="142">
        <f t="shared" si="104"/>
        <v>6694</v>
      </c>
      <c r="BF248" s="98">
        <v>0</v>
      </c>
      <c r="BG248" s="98">
        <v>0</v>
      </c>
      <c r="BH248" s="98">
        <v>0</v>
      </c>
      <c r="BI248" s="98">
        <v>6694</v>
      </c>
      <c r="BJ248" s="98"/>
      <c r="BK248" s="98"/>
      <c r="BL248" s="97"/>
    </row>
    <row r="249" spans="1:64" outlineLevel="5" x14ac:dyDescent="0.3">
      <c r="A249" s="152">
        <f t="shared" si="106"/>
        <v>7</v>
      </c>
      <c r="B249" s="153">
        <f t="shared" si="105"/>
        <v>45134</v>
      </c>
      <c r="C249" s="138">
        <f t="shared" si="95"/>
        <v>37.700000000000003</v>
      </c>
      <c r="D249" s="84">
        <v>37.6</v>
      </c>
      <c r="E249" s="84">
        <v>37.700000000000003</v>
      </c>
      <c r="F249" s="84"/>
      <c r="G249" s="84"/>
      <c r="H249" s="84"/>
      <c r="I249" s="84"/>
      <c r="J249" s="84"/>
      <c r="K249" s="84"/>
      <c r="L249" s="140">
        <f t="shared" si="96"/>
        <v>8.1</v>
      </c>
      <c r="M249" s="86">
        <v>8.11</v>
      </c>
      <c r="N249" s="86">
        <v>8.08</v>
      </c>
      <c r="O249" s="86"/>
      <c r="P249" s="86"/>
      <c r="Q249" s="86"/>
      <c r="R249" s="86"/>
      <c r="S249" s="86"/>
      <c r="T249" s="86"/>
      <c r="U249" s="142">
        <f t="shared" si="97"/>
        <v>1052.5</v>
      </c>
      <c r="V249" s="88">
        <v>988</v>
      </c>
      <c r="W249" s="88">
        <v>1117</v>
      </c>
      <c r="X249" s="88"/>
      <c r="Y249" s="88"/>
      <c r="Z249" s="88"/>
      <c r="AA249" s="88"/>
      <c r="AB249" s="88"/>
      <c r="AC249" s="88"/>
      <c r="AD249" s="142" t="str">
        <f t="shared" si="98"/>
        <v/>
      </c>
      <c r="AE249" s="88"/>
      <c r="AF249" s="88"/>
      <c r="AG249" s="88"/>
      <c r="AH249" s="88"/>
      <c r="AI249" s="88"/>
      <c r="AJ249" s="88"/>
      <c r="AK249" s="88"/>
      <c r="AL249" s="88"/>
      <c r="AM249" s="88">
        <v>34.859675036927619</v>
      </c>
      <c r="AN249" s="88">
        <v>135.4</v>
      </c>
      <c r="AO249" s="89"/>
      <c r="AP249" s="90"/>
      <c r="AQ249" s="146" t="str">
        <f t="shared" si="99"/>
        <v/>
      </c>
      <c r="AR249" s="146" t="str">
        <f t="shared" si="100"/>
        <v/>
      </c>
      <c r="AS249" s="147">
        <v>23</v>
      </c>
      <c r="AT249" s="148">
        <v>14.45</v>
      </c>
      <c r="AU249" s="149">
        <v>7.4639000000000006</v>
      </c>
      <c r="AV249" s="146">
        <f t="shared" si="101"/>
        <v>51.653287197231847</v>
      </c>
      <c r="AW249" s="146">
        <f t="shared" si="102"/>
        <v>48.346712802768153</v>
      </c>
      <c r="AX249" s="168" t="str">
        <f t="shared" si="103"/>
        <v/>
      </c>
      <c r="AY249" s="95">
        <v>72.75</v>
      </c>
      <c r="AZ249" s="96">
        <v>61.724999999999994</v>
      </c>
      <c r="BA249" s="96"/>
      <c r="BB249" s="96">
        <v>112</v>
      </c>
      <c r="BC249" s="96"/>
      <c r="BD249" s="97">
        <v>135.4</v>
      </c>
      <c r="BE249" s="142">
        <f t="shared" si="104"/>
        <v>6683</v>
      </c>
      <c r="BF249" s="98">
        <v>0</v>
      </c>
      <c r="BG249" s="98">
        <v>0</v>
      </c>
      <c r="BH249" s="98">
        <v>0</v>
      </c>
      <c r="BI249" s="98">
        <v>6683</v>
      </c>
      <c r="BJ249" s="98"/>
      <c r="BK249" s="98"/>
      <c r="BL249" s="97"/>
    </row>
    <row r="250" spans="1:64" outlineLevel="5" x14ac:dyDescent="0.3">
      <c r="A250" s="152">
        <f t="shared" si="106"/>
        <v>7</v>
      </c>
      <c r="B250" s="153">
        <f t="shared" si="105"/>
        <v>45135</v>
      </c>
      <c r="C250" s="138" t="str">
        <f t="shared" si="95"/>
        <v/>
      </c>
      <c r="D250" s="84"/>
      <c r="E250" s="84"/>
      <c r="F250" s="84"/>
      <c r="G250" s="84"/>
      <c r="H250" s="84"/>
      <c r="I250" s="84"/>
      <c r="J250" s="84"/>
      <c r="K250" s="84"/>
      <c r="L250" s="140" t="str">
        <f t="shared" si="96"/>
        <v/>
      </c>
      <c r="M250" s="86"/>
      <c r="N250" s="86"/>
      <c r="O250" s="86"/>
      <c r="P250" s="86"/>
      <c r="Q250" s="86"/>
      <c r="R250" s="86"/>
      <c r="S250" s="86"/>
      <c r="T250" s="86"/>
      <c r="U250" s="142" t="str">
        <f t="shared" si="97"/>
        <v/>
      </c>
      <c r="V250" s="88"/>
      <c r="W250" s="88"/>
      <c r="X250" s="88"/>
      <c r="Y250" s="88"/>
      <c r="Z250" s="88"/>
      <c r="AA250" s="88"/>
      <c r="AB250" s="88"/>
      <c r="AC250" s="88"/>
      <c r="AD250" s="142" t="str">
        <f t="shared" si="98"/>
        <v/>
      </c>
      <c r="AE250" s="88"/>
      <c r="AF250" s="88"/>
      <c r="AG250" s="88"/>
      <c r="AH250" s="88"/>
      <c r="AI250" s="88"/>
      <c r="AJ250" s="88"/>
      <c r="AK250" s="88"/>
      <c r="AL250" s="88"/>
      <c r="AM250" s="88">
        <v>33.31921502188338</v>
      </c>
      <c r="AN250" s="88">
        <v>141.66000000000003</v>
      </c>
      <c r="AO250" s="89"/>
      <c r="AP250" s="90"/>
      <c r="AQ250" s="146" t="str">
        <f t="shared" si="99"/>
        <v/>
      </c>
      <c r="AR250" s="146" t="str">
        <f t="shared" si="100"/>
        <v/>
      </c>
      <c r="AS250" s="147">
        <v>10</v>
      </c>
      <c r="AT250" s="148"/>
      <c r="AU250" s="149"/>
      <c r="AV250" s="146" t="str">
        <f t="shared" si="101"/>
        <v/>
      </c>
      <c r="AW250" s="146" t="str">
        <f t="shared" si="102"/>
        <v/>
      </c>
      <c r="AX250" s="168" t="str">
        <f t="shared" si="103"/>
        <v/>
      </c>
      <c r="AY250" s="95"/>
      <c r="AZ250" s="96">
        <v>60.95</v>
      </c>
      <c r="BA250" s="96"/>
      <c r="BB250" s="96">
        <v>51</v>
      </c>
      <c r="BC250" s="96"/>
      <c r="BD250" s="97">
        <v>141.66000000000003</v>
      </c>
      <c r="BE250" s="142">
        <f t="shared" si="104"/>
        <v>6665</v>
      </c>
      <c r="BF250" s="98">
        <v>0</v>
      </c>
      <c r="BG250" s="98">
        <v>0</v>
      </c>
      <c r="BH250" s="98">
        <v>0</v>
      </c>
      <c r="BI250" s="98">
        <v>6665</v>
      </c>
      <c r="BJ250" s="98"/>
      <c r="BK250" s="98"/>
      <c r="BL250" s="97"/>
    </row>
    <row r="251" spans="1:64" outlineLevel="5" x14ac:dyDescent="0.3">
      <c r="A251" s="152">
        <f t="shared" si="106"/>
        <v>7</v>
      </c>
      <c r="B251" s="153">
        <f t="shared" si="105"/>
        <v>45136</v>
      </c>
      <c r="C251" s="138" t="str">
        <f t="shared" si="95"/>
        <v/>
      </c>
      <c r="D251" s="84"/>
      <c r="E251" s="84"/>
      <c r="F251" s="84"/>
      <c r="G251" s="84"/>
      <c r="H251" s="84"/>
      <c r="I251" s="84"/>
      <c r="J251" s="84"/>
      <c r="K251" s="84"/>
      <c r="L251" s="140" t="str">
        <f t="shared" si="96"/>
        <v/>
      </c>
      <c r="M251" s="86"/>
      <c r="N251" s="86"/>
      <c r="O251" s="86"/>
      <c r="P251" s="86"/>
      <c r="Q251" s="86"/>
      <c r="R251" s="86"/>
      <c r="S251" s="86"/>
      <c r="T251" s="86"/>
      <c r="U251" s="142" t="str">
        <f t="shared" si="97"/>
        <v/>
      </c>
      <c r="V251" s="88"/>
      <c r="W251" s="88"/>
      <c r="X251" s="88"/>
      <c r="Y251" s="88"/>
      <c r="Z251" s="88"/>
      <c r="AA251" s="88"/>
      <c r="AB251" s="88"/>
      <c r="AC251" s="88"/>
      <c r="AD251" s="142" t="str">
        <f t="shared" si="98"/>
        <v/>
      </c>
      <c r="AE251" s="88"/>
      <c r="AF251" s="88"/>
      <c r="AG251" s="88"/>
      <c r="AH251" s="88"/>
      <c r="AI251" s="88"/>
      <c r="AJ251" s="88"/>
      <c r="AK251" s="88"/>
      <c r="AL251" s="88"/>
      <c r="AM251" s="88">
        <v>45.137228650664632</v>
      </c>
      <c r="AN251" s="88">
        <v>104.57</v>
      </c>
      <c r="AO251" s="89"/>
      <c r="AP251" s="90"/>
      <c r="AQ251" s="146" t="str">
        <f t="shared" si="99"/>
        <v/>
      </c>
      <c r="AR251" s="146" t="str">
        <f t="shared" si="100"/>
        <v/>
      </c>
      <c r="AS251" s="147">
        <v>0</v>
      </c>
      <c r="AT251" s="148"/>
      <c r="AU251" s="149"/>
      <c r="AV251" s="146" t="str">
        <f t="shared" si="101"/>
        <v/>
      </c>
      <c r="AW251" s="146" t="str">
        <f t="shared" si="102"/>
        <v/>
      </c>
      <c r="AX251" s="168" t="str">
        <f t="shared" si="103"/>
        <v/>
      </c>
      <c r="AY251" s="95"/>
      <c r="AZ251" s="96"/>
      <c r="BA251" s="96"/>
      <c r="BB251" s="96"/>
      <c r="BC251" s="96"/>
      <c r="BD251" s="97">
        <v>104.57</v>
      </c>
      <c r="BE251" s="142">
        <f t="shared" si="104"/>
        <v>6566</v>
      </c>
      <c r="BF251" s="98">
        <v>0</v>
      </c>
      <c r="BG251" s="98">
        <v>0</v>
      </c>
      <c r="BH251" s="98">
        <v>0</v>
      </c>
      <c r="BI251" s="98">
        <v>6566</v>
      </c>
      <c r="BJ251" s="98"/>
      <c r="BK251" s="98"/>
      <c r="BL251" s="97"/>
    </row>
    <row r="252" spans="1:64" outlineLevel="5" x14ac:dyDescent="0.3">
      <c r="A252" s="152">
        <f t="shared" si="106"/>
        <v>7</v>
      </c>
      <c r="B252" s="153">
        <f t="shared" si="105"/>
        <v>45137</v>
      </c>
      <c r="C252" s="138" t="str">
        <f t="shared" si="95"/>
        <v/>
      </c>
      <c r="D252" s="84"/>
      <c r="E252" s="84"/>
      <c r="F252" s="84"/>
      <c r="G252" s="84"/>
      <c r="H252" s="84"/>
      <c r="I252" s="84"/>
      <c r="J252" s="84"/>
      <c r="K252" s="84"/>
      <c r="L252" s="140" t="str">
        <f t="shared" si="96"/>
        <v/>
      </c>
      <c r="M252" s="86"/>
      <c r="N252" s="86"/>
      <c r="O252" s="86"/>
      <c r="P252" s="86"/>
      <c r="Q252" s="86"/>
      <c r="R252" s="86"/>
      <c r="S252" s="86"/>
      <c r="T252" s="86"/>
      <c r="U252" s="142" t="str">
        <f t="shared" si="97"/>
        <v/>
      </c>
      <c r="V252" s="88"/>
      <c r="W252" s="88"/>
      <c r="X252" s="88"/>
      <c r="Y252" s="88"/>
      <c r="Z252" s="88"/>
      <c r="AA252" s="88"/>
      <c r="AB252" s="88"/>
      <c r="AC252" s="88"/>
      <c r="AD252" s="142" t="str">
        <f t="shared" si="98"/>
        <v/>
      </c>
      <c r="AE252" s="88"/>
      <c r="AF252" s="88"/>
      <c r="AG252" s="88"/>
      <c r="AH252" s="88"/>
      <c r="AI252" s="88"/>
      <c r="AJ252" s="88"/>
      <c r="AK252" s="88"/>
      <c r="AL252" s="88"/>
      <c r="AM252" s="88">
        <v>33.714285714285715</v>
      </c>
      <c r="AN252" s="88">
        <v>140</v>
      </c>
      <c r="AO252" s="89"/>
      <c r="AP252" s="90"/>
      <c r="AQ252" s="146" t="str">
        <f t="shared" si="99"/>
        <v/>
      </c>
      <c r="AR252" s="146" t="str">
        <f t="shared" si="100"/>
        <v/>
      </c>
      <c r="AS252" s="147">
        <v>0</v>
      </c>
      <c r="AT252" s="148"/>
      <c r="AU252" s="149"/>
      <c r="AV252" s="146" t="str">
        <f t="shared" si="101"/>
        <v/>
      </c>
      <c r="AW252" s="146" t="str">
        <f t="shared" si="102"/>
        <v/>
      </c>
      <c r="AX252" s="168" t="str">
        <f t="shared" si="103"/>
        <v/>
      </c>
      <c r="AY252" s="95"/>
      <c r="AZ252" s="96"/>
      <c r="BA252" s="96"/>
      <c r="BB252" s="96"/>
      <c r="BC252" s="96"/>
      <c r="BD252" s="97">
        <v>140</v>
      </c>
      <c r="BE252" s="142">
        <f t="shared" si="104"/>
        <v>6439</v>
      </c>
      <c r="BF252" s="98">
        <v>0</v>
      </c>
      <c r="BG252" s="98">
        <v>0</v>
      </c>
      <c r="BH252" s="98">
        <v>0</v>
      </c>
      <c r="BI252" s="98">
        <v>6439</v>
      </c>
      <c r="BJ252" s="98"/>
      <c r="BK252" s="98"/>
      <c r="BL252" s="97"/>
    </row>
    <row r="253" spans="1:64" ht="17.25" outlineLevel="5" thickBot="1" x14ac:dyDescent="0.35">
      <c r="A253" s="154">
        <f t="shared" si="106"/>
        <v>7</v>
      </c>
      <c r="B253" s="155">
        <f t="shared" si="105"/>
        <v>45138</v>
      </c>
      <c r="C253" s="138">
        <f t="shared" si="95"/>
        <v>37</v>
      </c>
      <c r="D253" s="84">
        <v>37</v>
      </c>
      <c r="E253" s="84">
        <v>37</v>
      </c>
      <c r="F253" s="84"/>
      <c r="G253" s="84"/>
      <c r="H253" s="84"/>
      <c r="I253" s="84"/>
      <c r="J253" s="84"/>
      <c r="K253" s="84"/>
      <c r="L253" s="140">
        <f t="shared" si="96"/>
        <v>8.1</v>
      </c>
      <c r="M253" s="86">
        <v>8.1199999999999992</v>
      </c>
      <c r="N253" s="86">
        <v>8.17</v>
      </c>
      <c r="O253" s="86"/>
      <c r="P253" s="86"/>
      <c r="Q253" s="86"/>
      <c r="R253" s="86"/>
      <c r="S253" s="86"/>
      <c r="T253" s="86"/>
      <c r="U253" s="142">
        <f t="shared" si="97"/>
        <v>1223.5</v>
      </c>
      <c r="V253" s="88">
        <v>1105</v>
      </c>
      <c r="W253" s="88">
        <v>1342</v>
      </c>
      <c r="X253" s="88"/>
      <c r="Y253" s="88"/>
      <c r="Z253" s="88"/>
      <c r="AA253" s="88"/>
      <c r="AB253" s="88"/>
      <c r="AC253" s="88"/>
      <c r="AD253" s="142" t="str">
        <f t="shared" si="98"/>
        <v/>
      </c>
      <c r="AE253" s="88"/>
      <c r="AF253" s="88"/>
      <c r="AG253" s="88"/>
      <c r="AH253" s="88"/>
      <c r="AI253" s="88"/>
      <c r="AJ253" s="88"/>
      <c r="AK253" s="88"/>
      <c r="AL253" s="88"/>
      <c r="AM253" s="88">
        <v>35.868987005091569</v>
      </c>
      <c r="AN253" s="88">
        <v>131.59</v>
      </c>
      <c r="AO253" s="89">
        <v>14.6</v>
      </c>
      <c r="AP253" s="90">
        <v>11.5924</v>
      </c>
      <c r="AQ253" s="146">
        <f t="shared" si="99"/>
        <v>79.400000000000006</v>
      </c>
      <c r="AR253" s="146">
        <f t="shared" si="100"/>
        <v>20.599999999999994</v>
      </c>
      <c r="AS253" s="147">
        <v>50</v>
      </c>
      <c r="AT253" s="148">
        <v>14.6</v>
      </c>
      <c r="AU253" s="149">
        <v>7.8255499999999998</v>
      </c>
      <c r="AV253" s="146">
        <f t="shared" si="101"/>
        <v>53.599657534246568</v>
      </c>
      <c r="AW253" s="146">
        <f t="shared" si="102"/>
        <v>46.400342465753432</v>
      </c>
      <c r="AX253" s="168">
        <f t="shared" si="103"/>
        <v>70.029944524296411</v>
      </c>
      <c r="AY253" s="95">
        <v>73.5</v>
      </c>
      <c r="AZ253" s="96"/>
      <c r="BA253" s="96"/>
      <c r="BB253" s="96"/>
      <c r="BC253" s="96"/>
      <c r="BD253" s="97">
        <v>131.59</v>
      </c>
      <c r="BE253" s="142">
        <f t="shared" si="104"/>
        <v>6859</v>
      </c>
      <c r="BF253" s="98">
        <v>0</v>
      </c>
      <c r="BG253" s="98">
        <v>7</v>
      </c>
      <c r="BH253" s="98">
        <v>0</v>
      </c>
      <c r="BI253" s="98">
        <v>6852</v>
      </c>
      <c r="BJ253" s="98"/>
      <c r="BK253" s="98"/>
      <c r="BL253" s="97"/>
    </row>
    <row r="254" spans="1:64" outlineLevel="4" x14ac:dyDescent="0.3">
      <c r="A254" s="63" t="s">
        <v>81</v>
      </c>
      <c r="B254" s="64"/>
      <c r="C254" s="65">
        <f t="shared" ref="C254:BL254" si="107">SUBTOTAL(4,C223:C253)</f>
        <v>38.200000000000003</v>
      </c>
      <c r="D254" s="66">
        <f t="shared" si="107"/>
        <v>38.1</v>
      </c>
      <c r="E254" s="66">
        <f t="shared" si="107"/>
        <v>38.200000000000003</v>
      </c>
      <c r="F254" s="66">
        <f t="shared" si="107"/>
        <v>0</v>
      </c>
      <c r="G254" s="66">
        <f t="shared" si="107"/>
        <v>0</v>
      </c>
      <c r="H254" s="66">
        <f t="shared" si="107"/>
        <v>0</v>
      </c>
      <c r="I254" s="66">
        <f t="shared" si="107"/>
        <v>0</v>
      </c>
      <c r="J254" s="66">
        <f t="shared" si="107"/>
        <v>0</v>
      </c>
      <c r="K254" s="66">
        <f t="shared" si="107"/>
        <v>0</v>
      </c>
      <c r="L254" s="67">
        <f t="shared" si="107"/>
        <v>8.1999999999999993</v>
      </c>
      <c r="M254" s="68">
        <f t="shared" si="107"/>
        <v>8.23</v>
      </c>
      <c r="N254" s="68">
        <f t="shared" si="107"/>
        <v>8.17</v>
      </c>
      <c r="O254" s="68">
        <f t="shared" si="107"/>
        <v>0</v>
      </c>
      <c r="P254" s="68">
        <f t="shared" si="107"/>
        <v>0</v>
      </c>
      <c r="Q254" s="68">
        <f t="shared" si="107"/>
        <v>0</v>
      </c>
      <c r="R254" s="68">
        <f t="shared" si="107"/>
        <v>0</v>
      </c>
      <c r="S254" s="68">
        <f t="shared" si="107"/>
        <v>0</v>
      </c>
      <c r="T254" s="68">
        <f t="shared" si="107"/>
        <v>0</v>
      </c>
      <c r="U254" s="69">
        <f t="shared" si="107"/>
        <v>1311.5</v>
      </c>
      <c r="V254" s="70">
        <f t="shared" si="107"/>
        <v>1345</v>
      </c>
      <c r="W254" s="70">
        <f t="shared" si="107"/>
        <v>1535</v>
      </c>
      <c r="X254" s="70">
        <f t="shared" si="107"/>
        <v>0</v>
      </c>
      <c r="Y254" s="70">
        <f t="shared" si="107"/>
        <v>0</v>
      </c>
      <c r="Z254" s="70">
        <f t="shared" si="107"/>
        <v>0</v>
      </c>
      <c r="AA254" s="70">
        <f t="shared" si="107"/>
        <v>0</v>
      </c>
      <c r="AB254" s="70">
        <f t="shared" si="107"/>
        <v>0</v>
      </c>
      <c r="AC254" s="70">
        <f t="shared" si="107"/>
        <v>0</v>
      </c>
      <c r="AD254" s="69">
        <f t="shared" si="107"/>
        <v>9570</v>
      </c>
      <c r="AE254" s="70">
        <f t="shared" si="107"/>
        <v>9710</v>
      </c>
      <c r="AF254" s="70">
        <f t="shared" si="107"/>
        <v>9670</v>
      </c>
      <c r="AG254" s="70">
        <f t="shared" si="107"/>
        <v>0</v>
      </c>
      <c r="AH254" s="70">
        <f t="shared" si="107"/>
        <v>0</v>
      </c>
      <c r="AI254" s="70">
        <f t="shared" si="107"/>
        <v>0</v>
      </c>
      <c r="AJ254" s="70">
        <f t="shared" si="107"/>
        <v>0</v>
      </c>
      <c r="AK254" s="70">
        <f t="shared" si="107"/>
        <v>0</v>
      </c>
      <c r="AL254" s="70">
        <f t="shared" si="107"/>
        <v>0</v>
      </c>
      <c r="AM254" s="70">
        <f t="shared" si="107"/>
        <v>47.2</v>
      </c>
      <c r="AN254" s="70">
        <f t="shared" si="107"/>
        <v>162.51</v>
      </c>
      <c r="AO254" s="71">
        <f t="shared" si="107"/>
        <v>15.5</v>
      </c>
      <c r="AP254" s="72">
        <f t="shared" si="107"/>
        <v>12.121000000000002</v>
      </c>
      <c r="AQ254" s="73">
        <f t="shared" si="107"/>
        <v>79.5</v>
      </c>
      <c r="AR254" s="73">
        <f t="shared" si="107"/>
        <v>21.799999999999983</v>
      </c>
      <c r="AS254" s="74">
        <f t="shared" si="107"/>
        <v>50</v>
      </c>
      <c r="AT254" s="75">
        <f t="shared" si="107"/>
        <v>15.25</v>
      </c>
      <c r="AU254" s="76">
        <f t="shared" si="107"/>
        <v>8.3617999999999988</v>
      </c>
      <c r="AV254" s="73">
        <f t="shared" si="107"/>
        <v>56.253951890034372</v>
      </c>
      <c r="AW254" s="73">
        <f t="shared" si="107"/>
        <v>48.608156028368796</v>
      </c>
      <c r="AX254" s="65">
        <f t="shared" si="107"/>
        <v>72.569623259619505</v>
      </c>
      <c r="AY254" s="77">
        <f t="shared" si="107"/>
        <v>73.55</v>
      </c>
      <c r="AZ254" s="78">
        <f t="shared" si="107"/>
        <v>63.995000000000005</v>
      </c>
      <c r="BA254" s="78">
        <f t="shared" si="107"/>
        <v>0</v>
      </c>
      <c r="BB254" s="78">
        <f t="shared" si="107"/>
        <v>129.5</v>
      </c>
      <c r="BC254" s="78">
        <f t="shared" si="107"/>
        <v>0</v>
      </c>
      <c r="BD254" s="79">
        <f t="shared" si="107"/>
        <v>162.51</v>
      </c>
      <c r="BE254" s="69">
        <f t="shared" si="107"/>
        <v>10014</v>
      </c>
      <c r="BF254" s="70">
        <f t="shared" si="107"/>
        <v>1859</v>
      </c>
      <c r="BG254" s="80">
        <f t="shared" si="107"/>
        <v>3653</v>
      </c>
      <c r="BH254" s="80">
        <f t="shared" si="107"/>
        <v>3341</v>
      </c>
      <c r="BI254" s="80">
        <f t="shared" si="107"/>
        <v>7042</v>
      </c>
      <c r="BJ254" s="80">
        <f t="shared" si="107"/>
        <v>0</v>
      </c>
      <c r="BK254" s="80">
        <f t="shared" si="107"/>
        <v>0</v>
      </c>
      <c r="BL254" s="79">
        <f t="shared" si="107"/>
        <v>0</v>
      </c>
    </row>
    <row r="255" spans="1:64" outlineLevel="3" x14ac:dyDescent="0.3">
      <c r="A255" s="81" t="s">
        <v>82</v>
      </c>
      <c r="B255" s="82"/>
      <c r="C255" s="83">
        <f t="shared" ref="C255:BL255" si="108">SUBTOTAL(5,C223:C253)</f>
        <v>36.4</v>
      </c>
      <c r="D255" s="84">
        <f t="shared" si="108"/>
        <v>36.6</v>
      </c>
      <c r="E255" s="84">
        <f t="shared" si="108"/>
        <v>36.200000000000003</v>
      </c>
      <c r="F255" s="84">
        <f t="shared" si="108"/>
        <v>0</v>
      </c>
      <c r="G255" s="84">
        <f t="shared" si="108"/>
        <v>0</v>
      </c>
      <c r="H255" s="84">
        <f t="shared" si="108"/>
        <v>0</v>
      </c>
      <c r="I255" s="84">
        <f t="shared" si="108"/>
        <v>0</v>
      </c>
      <c r="J255" s="84">
        <f t="shared" si="108"/>
        <v>0</v>
      </c>
      <c r="K255" s="84">
        <f t="shared" si="108"/>
        <v>0</v>
      </c>
      <c r="L255" s="85">
        <f t="shared" si="108"/>
        <v>8</v>
      </c>
      <c r="M255" s="86">
        <f t="shared" si="108"/>
        <v>8.02</v>
      </c>
      <c r="N255" s="86">
        <f t="shared" si="108"/>
        <v>8.0500000000000007</v>
      </c>
      <c r="O255" s="86">
        <f t="shared" si="108"/>
        <v>0</v>
      </c>
      <c r="P255" s="86">
        <f t="shared" si="108"/>
        <v>0</v>
      </c>
      <c r="Q255" s="86">
        <f t="shared" si="108"/>
        <v>0</v>
      </c>
      <c r="R255" s="86">
        <f t="shared" si="108"/>
        <v>0</v>
      </c>
      <c r="S255" s="86">
        <f t="shared" si="108"/>
        <v>0</v>
      </c>
      <c r="T255" s="86">
        <f t="shared" si="108"/>
        <v>0</v>
      </c>
      <c r="U255" s="87">
        <f t="shared" si="108"/>
        <v>1052.5</v>
      </c>
      <c r="V255" s="88">
        <f t="shared" si="108"/>
        <v>919</v>
      </c>
      <c r="W255" s="88">
        <f t="shared" si="108"/>
        <v>1025</v>
      </c>
      <c r="X255" s="88">
        <f t="shared" si="108"/>
        <v>0</v>
      </c>
      <c r="Y255" s="88">
        <f t="shared" si="108"/>
        <v>0</v>
      </c>
      <c r="Z255" s="88">
        <f t="shared" si="108"/>
        <v>0</v>
      </c>
      <c r="AA255" s="88">
        <f t="shared" si="108"/>
        <v>0</v>
      </c>
      <c r="AB255" s="88">
        <f t="shared" si="108"/>
        <v>0</v>
      </c>
      <c r="AC255" s="88">
        <f t="shared" si="108"/>
        <v>0</v>
      </c>
      <c r="AD255" s="87">
        <f t="shared" si="108"/>
        <v>9340</v>
      </c>
      <c r="AE255" s="88">
        <f t="shared" si="108"/>
        <v>9360</v>
      </c>
      <c r="AF255" s="88">
        <f t="shared" si="108"/>
        <v>9230</v>
      </c>
      <c r="AG255" s="88">
        <f t="shared" si="108"/>
        <v>0</v>
      </c>
      <c r="AH255" s="88">
        <f t="shared" si="108"/>
        <v>0</v>
      </c>
      <c r="AI255" s="88">
        <f t="shared" si="108"/>
        <v>0</v>
      </c>
      <c r="AJ255" s="88">
        <f t="shared" si="108"/>
        <v>0</v>
      </c>
      <c r="AK255" s="88">
        <f t="shared" si="108"/>
        <v>0</v>
      </c>
      <c r="AL255" s="88">
        <f t="shared" si="108"/>
        <v>0</v>
      </c>
      <c r="AM255" s="88">
        <f t="shared" si="108"/>
        <v>29.044366500523047</v>
      </c>
      <c r="AN255" s="88">
        <f t="shared" si="108"/>
        <v>100</v>
      </c>
      <c r="AO255" s="89">
        <f t="shared" si="108"/>
        <v>14.4</v>
      </c>
      <c r="AP255" s="90">
        <f t="shared" si="108"/>
        <v>11.361600000000001</v>
      </c>
      <c r="AQ255" s="91">
        <f t="shared" si="108"/>
        <v>78.200000000000017</v>
      </c>
      <c r="AR255" s="91">
        <f t="shared" si="108"/>
        <v>20.5</v>
      </c>
      <c r="AS255" s="92">
        <f t="shared" si="108"/>
        <v>0</v>
      </c>
      <c r="AT255" s="93">
        <f t="shared" si="108"/>
        <v>14.1</v>
      </c>
      <c r="AU255" s="94">
        <f t="shared" si="108"/>
        <v>7.2462499999999999</v>
      </c>
      <c r="AV255" s="91">
        <f t="shared" si="108"/>
        <v>51.391843971631204</v>
      </c>
      <c r="AW255" s="91">
        <f t="shared" si="108"/>
        <v>43.746048109965628</v>
      </c>
      <c r="AX255" s="83">
        <f t="shared" si="108"/>
        <v>64.488254882433978</v>
      </c>
      <c r="AY255" s="95">
        <f t="shared" si="108"/>
        <v>71.849999999999994</v>
      </c>
      <c r="AZ255" s="96">
        <f t="shared" si="108"/>
        <v>59.629999999999995</v>
      </c>
      <c r="BA255" s="96">
        <f t="shared" si="108"/>
        <v>0</v>
      </c>
      <c r="BB255" s="96">
        <f t="shared" si="108"/>
        <v>51</v>
      </c>
      <c r="BC255" s="96">
        <f t="shared" si="108"/>
        <v>0</v>
      </c>
      <c r="BD255" s="97">
        <f t="shared" si="108"/>
        <v>100</v>
      </c>
      <c r="BE255" s="87">
        <f t="shared" si="108"/>
        <v>6417</v>
      </c>
      <c r="BF255" s="88">
        <f t="shared" si="108"/>
        <v>0</v>
      </c>
      <c r="BG255" s="98">
        <f t="shared" si="108"/>
        <v>0</v>
      </c>
      <c r="BH255" s="98">
        <f t="shared" si="108"/>
        <v>0</v>
      </c>
      <c r="BI255" s="98">
        <f t="shared" si="108"/>
        <v>3700</v>
      </c>
      <c r="BJ255" s="98">
        <f t="shared" si="108"/>
        <v>0</v>
      </c>
      <c r="BK255" s="98">
        <f t="shared" si="108"/>
        <v>0</v>
      </c>
      <c r="BL255" s="97">
        <f t="shared" si="108"/>
        <v>0</v>
      </c>
    </row>
    <row r="256" spans="1:64" outlineLevel="2" x14ac:dyDescent="0.3">
      <c r="A256" s="81" t="s">
        <v>83</v>
      </c>
      <c r="B256" s="82"/>
      <c r="C256" s="83">
        <f t="shared" ref="C256:BL256" si="109">IFERROR(SUBTOTAL(1,C223:C253),"")</f>
        <v>37.295000000000002</v>
      </c>
      <c r="D256" s="84">
        <f t="shared" si="109"/>
        <v>37.344999999999999</v>
      </c>
      <c r="E256" s="84">
        <f t="shared" si="109"/>
        <v>37.19</v>
      </c>
      <c r="F256" s="84" t="str">
        <f t="shared" si="109"/>
        <v/>
      </c>
      <c r="G256" s="84" t="str">
        <f t="shared" si="109"/>
        <v/>
      </c>
      <c r="H256" s="84" t="str">
        <f t="shared" si="109"/>
        <v/>
      </c>
      <c r="I256" s="84" t="str">
        <f t="shared" si="109"/>
        <v/>
      </c>
      <c r="J256" s="84" t="str">
        <f t="shared" si="109"/>
        <v/>
      </c>
      <c r="K256" s="84" t="str">
        <f t="shared" si="109"/>
        <v/>
      </c>
      <c r="L256" s="85">
        <f t="shared" si="109"/>
        <v>8.1083333333333325</v>
      </c>
      <c r="M256" s="86">
        <f t="shared" si="109"/>
        <v>8.1166666666666671</v>
      </c>
      <c r="N256" s="86">
        <f t="shared" si="109"/>
        <v>8.1158333333333328</v>
      </c>
      <c r="O256" s="86" t="str">
        <f t="shared" si="109"/>
        <v/>
      </c>
      <c r="P256" s="86" t="str">
        <f t="shared" si="109"/>
        <v/>
      </c>
      <c r="Q256" s="86" t="str">
        <f t="shared" si="109"/>
        <v/>
      </c>
      <c r="R256" s="86" t="str">
        <f t="shared" si="109"/>
        <v/>
      </c>
      <c r="S256" s="86" t="str">
        <f t="shared" si="109"/>
        <v/>
      </c>
      <c r="T256" s="86" t="str">
        <f t="shared" si="109"/>
        <v/>
      </c>
      <c r="U256" s="87">
        <f t="shared" si="109"/>
        <v>1164.2916666666667</v>
      </c>
      <c r="V256" s="88">
        <f t="shared" si="109"/>
        <v>1095.6666666666667</v>
      </c>
      <c r="W256" s="88">
        <f t="shared" si="109"/>
        <v>1232.9166666666667</v>
      </c>
      <c r="X256" s="88" t="str">
        <f t="shared" si="109"/>
        <v/>
      </c>
      <c r="Y256" s="88" t="str">
        <f t="shared" si="109"/>
        <v/>
      </c>
      <c r="Z256" s="88" t="str">
        <f t="shared" si="109"/>
        <v/>
      </c>
      <c r="AA256" s="88" t="str">
        <f t="shared" si="109"/>
        <v/>
      </c>
      <c r="AB256" s="88" t="str">
        <f t="shared" si="109"/>
        <v/>
      </c>
      <c r="AC256" s="88" t="str">
        <f t="shared" si="109"/>
        <v/>
      </c>
      <c r="AD256" s="87">
        <f t="shared" si="109"/>
        <v>9476.25</v>
      </c>
      <c r="AE256" s="88">
        <f t="shared" si="109"/>
        <v>9540</v>
      </c>
      <c r="AF256" s="88">
        <f t="shared" si="109"/>
        <v>9412.5</v>
      </c>
      <c r="AG256" s="88" t="str">
        <f t="shared" si="109"/>
        <v/>
      </c>
      <c r="AH256" s="88" t="str">
        <f t="shared" si="109"/>
        <v/>
      </c>
      <c r="AI256" s="88" t="str">
        <f t="shared" si="109"/>
        <v/>
      </c>
      <c r="AJ256" s="88" t="str">
        <f t="shared" si="109"/>
        <v/>
      </c>
      <c r="AK256" s="88" t="str">
        <f t="shared" si="109"/>
        <v/>
      </c>
      <c r="AL256" s="88" t="str">
        <f t="shared" si="109"/>
        <v/>
      </c>
      <c r="AM256" s="88">
        <f t="shared" si="109"/>
        <v>36.49652015528563</v>
      </c>
      <c r="AN256" s="88">
        <f t="shared" si="109"/>
        <v>131.35677419354838</v>
      </c>
      <c r="AO256" s="89">
        <f t="shared" si="109"/>
        <v>14.779999999999998</v>
      </c>
      <c r="AP256" s="90">
        <f t="shared" si="109"/>
        <v>11.686680000000001</v>
      </c>
      <c r="AQ256" s="91">
        <f t="shared" si="109"/>
        <v>79.08</v>
      </c>
      <c r="AR256" s="91">
        <f t="shared" si="109"/>
        <v>20.919999999999995</v>
      </c>
      <c r="AS256" s="92">
        <f t="shared" si="109"/>
        <v>27.032258064516128</v>
      </c>
      <c r="AT256" s="93">
        <f t="shared" si="109"/>
        <v>14.620833333333332</v>
      </c>
      <c r="AU256" s="94">
        <f t="shared" si="109"/>
        <v>7.8187625000000009</v>
      </c>
      <c r="AV256" s="91">
        <f t="shared" si="109"/>
        <v>53.477459145193116</v>
      </c>
      <c r="AW256" s="91">
        <f t="shared" si="109"/>
        <v>46.522540854806884</v>
      </c>
      <c r="AX256" s="83">
        <f t="shared" si="109"/>
        <v>68.407360223800964</v>
      </c>
      <c r="AY256" s="95">
        <f t="shared" si="109"/>
        <v>72.770833333333329</v>
      </c>
      <c r="AZ256" s="96">
        <f t="shared" si="109"/>
        <v>61.540294117647058</v>
      </c>
      <c r="BA256" s="96" t="str">
        <f t="shared" si="109"/>
        <v/>
      </c>
      <c r="BB256" s="96">
        <f t="shared" si="109"/>
        <v>80.088235294117652</v>
      </c>
      <c r="BC256" s="96" t="str">
        <f t="shared" si="109"/>
        <v/>
      </c>
      <c r="BD256" s="97">
        <f>IFERROR(SUBTOTAL(1,BD223:BD253),"")</f>
        <v>131.35677419354838</v>
      </c>
      <c r="BE256" s="87">
        <f t="shared" si="109"/>
        <v>7544.7096774193551</v>
      </c>
      <c r="BF256" s="88">
        <f t="shared" si="109"/>
        <v>203.70967741935485</v>
      </c>
      <c r="BG256" s="98">
        <f t="shared" si="109"/>
        <v>517.09677419354841</v>
      </c>
      <c r="BH256" s="98">
        <f t="shared" si="109"/>
        <v>404.32258064516128</v>
      </c>
      <c r="BI256" s="98">
        <f t="shared" si="109"/>
        <v>6419.5806451612907</v>
      </c>
      <c r="BJ256" s="98" t="str">
        <f t="shared" si="109"/>
        <v/>
      </c>
      <c r="BK256" s="98" t="str">
        <f t="shared" si="109"/>
        <v/>
      </c>
      <c r="BL256" s="97" t="str">
        <f t="shared" si="109"/>
        <v/>
      </c>
    </row>
    <row r="257" spans="1:64" ht="17.25" outlineLevel="1" thickBot="1" x14ac:dyDescent="0.35">
      <c r="A257" s="99" t="s">
        <v>84</v>
      </c>
      <c r="B257" s="100"/>
      <c r="C257" s="101"/>
      <c r="D257" s="102"/>
      <c r="E257" s="102"/>
      <c r="F257" s="102"/>
      <c r="G257" s="102"/>
      <c r="H257" s="102"/>
      <c r="I257" s="102"/>
      <c r="J257" s="102"/>
      <c r="K257" s="102"/>
      <c r="L257" s="103"/>
      <c r="M257" s="104"/>
      <c r="N257" s="104"/>
      <c r="O257" s="104"/>
      <c r="P257" s="104"/>
      <c r="Q257" s="104"/>
      <c r="R257" s="104"/>
      <c r="S257" s="104"/>
      <c r="T257" s="104"/>
      <c r="U257" s="105"/>
      <c r="V257" s="106"/>
      <c r="W257" s="106"/>
      <c r="X257" s="106"/>
      <c r="Y257" s="106"/>
      <c r="Z257" s="106"/>
      <c r="AA257" s="106"/>
      <c r="AB257" s="106"/>
      <c r="AC257" s="106"/>
      <c r="AD257" s="105"/>
      <c r="AE257" s="106"/>
      <c r="AF257" s="106"/>
      <c r="AG257" s="106"/>
      <c r="AH257" s="106"/>
      <c r="AI257" s="106"/>
      <c r="AJ257" s="106"/>
      <c r="AK257" s="106"/>
      <c r="AL257" s="106"/>
      <c r="AM257" s="106"/>
      <c r="AN257" s="107">
        <f>SUBTOTAL(9,AN223:AN253)</f>
        <v>4072.0599999999995</v>
      </c>
      <c r="AO257" s="108"/>
      <c r="AP257" s="109"/>
      <c r="AQ257" s="110"/>
      <c r="AR257" s="110"/>
      <c r="AS257" s="111">
        <f>SUBTOTAL(9,AS223:AS253)</f>
        <v>838</v>
      </c>
      <c r="AT257" s="112"/>
      <c r="AU257" s="113"/>
      <c r="AV257" s="110"/>
      <c r="AW257" s="110"/>
      <c r="AX257" s="101"/>
      <c r="AY257" s="114"/>
      <c r="AZ257" s="115"/>
      <c r="BA257" s="115"/>
      <c r="BB257" s="115"/>
      <c r="BC257" s="115"/>
      <c r="BD257" s="116">
        <f>SUBTOTAL(9,BD223:BD253)</f>
        <v>4072.0599999999995</v>
      </c>
      <c r="BE257" s="117">
        <f t="shared" ref="BE257:BL257" si="110">SUBTOTAL(9,BE223:BE253)</f>
        <v>233886</v>
      </c>
      <c r="BF257" s="107">
        <f t="shared" si="110"/>
        <v>6315</v>
      </c>
      <c r="BG257" s="118">
        <f t="shared" si="110"/>
        <v>16030</v>
      </c>
      <c r="BH257" s="118">
        <f t="shared" si="110"/>
        <v>12534</v>
      </c>
      <c r="BI257" s="118">
        <f t="shared" si="110"/>
        <v>199007</v>
      </c>
      <c r="BJ257" s="118">
        <f t="shared" si="110"/>
        <v>0</v>
      </c>
      <c r="BK257" s="118">
        <f t="shared" si="110"/>
        <v>0</v>
      </c>
      <c r="BL257" s="116">
        <f t="shared" si="110"/>
        <v>0</v>
      </c>
    </row>
    <row r="258" spans="1:64" outlineLevel="5" x14ac:dyDescent="0.3">
      <c r="A258" s="136">
        <f t="shared" si="106"/>
        <v>8</v>
      </c>
      <c r="B258" s="165">
        <f>B253+1</f>
        <v>45139</v>
      </c>
      <c r="C258" s="138" t="str">
        <f t="shared" ref="C258:C288" si="111">IFERROR(ROUND(AVERAGE(D258:K258),1),"")</f>
        <v/>
      </c>
      <c r="D258" s="84"/>
      <c r="E258" s="84"/>
      <c r="F258" s="84"/>
      <c r="G258" s="84"/>
      <c r="H258" s="84"/>
      <c r="I258" s="84"/>
      <c r="J258" s="84"/>
      <c r="K258" s="84"/>
      <c r="L258" s="140" t="str">
        <f t="shared" ref="L258:L288" si="112">IFERROR(ROUND(AVERAGE(M258:T258),1),"")</f>
        <v/>
      </c>
      <c r="M258" s="86"/>
      <c r="N258" s="86"/>
      <c r="O258" s="86"/>
      <c r="P258" s="86"/>
      <c r="Q258" s="86"/>
      <c r="R258" s="86"/>
      <c r="S258" s="86"/>
      <c r="T258" s="86"/>
      <c r="U258" s="142" t="str">
        <f t="shared" ref="U258:U288" si="113">IFERROR(ROUND(AVERAGE(V258:AC258),1),"")</f>
        <v/>
      </c>
      <c r="V258" s="88"/>
      <c r="W258" s="88"/>
      <c r="X258" s="88"/>
      <c r="Y258" s="88"/>
      <c r="Z258" s="88"/>
      <c r="AA258" s="88"/>
      <c r="AB258" s="88"/>
      <c r="AC258" s="88"/>
      <c r="AD258" s="142" t="str">
        <f t="shared" ref="AD258:AD288" si="114">IFERROR(ROUND(AVERAGE(AE258:AL258),1),"")</f>
        <v/>
      </c>
      <c r="AE258" s="88"/>
      <c r="AF258" s="88"/>
      <c r="AG258" s="88"/>
      <c r="AH258" s="88"/>
      <c r="AI258" s="88"/>
      <c r="AJ258" s="88"/>
      <c r="AK258" s="88"/>
      <c r="AL258" s="88"/>
      <c r="AM258" s="88">
        <v>29.262244265344076</v>
      </c>
      <c r="AN258" s="88">
        <v>161.30000000000001</v>
      </c>
      <c r="AO258" s="89"/>
      <c r="AP258" s="90"/>
      <c r="AQ258" s="146" t="str">
        <f t="shared" ref="AQ258:AQ288" si="115">IFERROR(AP258/AO258*100,"")</f>
        <v/>
      </c>
      <c r="AR258" s="146" t="str">
        <f t="shared" ref="AR258:AR288" si="116">IFERROR(100-AQ258,"")</f>
        <v/>
      </c>
      <c r="AS258" s="147">
        <v>48</v>
      </c>
      <c r="AT258" s="148"/>
      <c r="AU258" s="149"/>
      <c r="AV258" s="146" t="str">
        <f t="shared" ref="AV258:AV288" si="117">IFERROR(AU258/AT258*100,"")</f>
        <v/>
      </c>
      <c r="AW258" s="146" t="str">
        <f t="shared" ref="AW258:AW288" si="118">IFERROR(100-AV258,"")</f>
        <v/>
      </c>
      <c r="AX258" s="138" t="str">
        <f t="shared" ref="AX258:AX288" si="119">IFERROR((1-((AV258*AR258)/(AW258*AQ258)))*100,"")</f>
        <v/>
      </c>
      <c r="AY258" s="95"/>
      <c r="AZ258" s="96">
        <v>62.03</v>
      </c>
      <c r="BA258" s="96"/>
      <c r="BB258" s="96"/>
      <c r="BC258" s="96"/>
      <c r="BD258" s="97">
        <v>161.30000000000001</v>
      </c>
      <c r="BE258" s="142">
        <f t="shared" ref="BE258:BE288" si="120">IF(SUM(BF258:BL258)=0,"",SUM(BF258:BL258))</f>
        <v>6700</v>
      </c>
      <c r="BF258" s="98">
        <v>0</v>
      </c>
      <c r="BG258" s="98">
        <v>0</v>
      </c>
      <c r="BH258" s="98">
        <v>0</v>
      </c>
      <c r="BI258" s="98">
        <v>6700</v>
      </c>
      <c r="BJ258" s="98"/>
      <c r="BK258" s="98"/>
      <c r="BL258" s="97"/>
    </row>
    <row r="259" spans="1:64" outlineLevel="5" x14ac:dyDescent="0.3">
      <c r="A259" s="152">
        <f t="shared" si="106"/>
        <v>8</v>
      </c>
      <c r="B259" s="153">
        <f t="shared" si="105"/>
        <v>45140</v>
      </c>
      <c r="C259" s="138">
        <f t="shared" si="111"/>
        <v>38</v>
      </c>
      <c r="D259" s="84">
        <v>38.200000000000003</v>
      </c>
      <c r="E259" s="84">
        <v>37.799999999999997</v>
      </c>
      <c r="F259" s="84"/>
      <c r="G259" s="84"/>
      <c r="H259" s="84"/>
      <c r="I259" s="84"/>
      <c r="J259" s="84"/>
      <c r="K259" s="84"/>
      <c r="L259" s="140">
        <f t="shared" si="112"/>
        <v>8</v>
      </c>
      <c r="M259" s="86">
        <v>8.0299999999999994</v>
      </c>
      <c r="N259" s="86">
        <v>8</v>
      </c>
      <c r="O259" s="86"/>
      <c r="P259" s="86"/>
      <c r="Q259" s="86"/>
      <c r="R259" s="86"/>
      <c r="S259" s="86"/>
      <c r="T259" s="86"/>
      <c r="U259" s="142" t="str">
        <f t="shared" si="113"/>
        <v/>
      </c>
      <c r="V259" s="88"/>
      <c r="W259" s="88"/>
      <c r="X259" s="88"/>
      <c r="Y259" s="88"/>
      <c r="Z259" s="88"/>
      <c r="AA259" s="88"/>
      <c r="AB259" s="88"/>
      <c r="AC259" s="88"/>
      <c r="AD259" s="142" t="str">
        <f t="shared" si="114"/>
        <v/>
      </c>
      <c r="AE259" s="88"/>
      <c r="AF259" s="88"/>
      <c r="AG259" s="88"/>
      <c r="AH259" s="88"/>
      <c r="AI259" s="88"/>
      <c r="AJ259" s="88"/>
      <c r="AK259" s="88"/>
      <c r="AL259" s="88"/>
      <c r="AM259" s="88">
        <v>33.762517882689551</v>
      </c>
      <c r="AN259" s="88">
        <v>139.80000000000001</v>
      </c>
      <c r="AO259" s="89">
        <v>19.7</v>
      </c>
      <c r="AP259" s="90">
        <v>17.600000000000001</v>
      </c>
      <c r="AQ259" s="146">
        <f t="shared" si="115"/>
        <v>89.340101522842659</v>
      </c>
      <c r="AR259" s="146">
        <f t="shared" si="116"/>
        <v>10.659898477157341</v>
      </c>
      <c r="AS259" s="147">
        <v>48</v>
      </c>
      <c r="AT259" s="148">
        <v>14.45</v>
      </c>
      <c r="AU259" s="149">
        <v>7.8014500000000009</v>
      </c>
      <c r="AV259" s="146">
        <f t="shared" si="117"/>
        <v>53.989273356401391</v>
      </c>
      <c r="AW259" s="146">
        <f t="shared" si="118"/>
        <v>46.010726643598609</v>
      </c>
      <c r="AX259" s="138">
        <f t="shared" si="119"/>
        <v>85.999130193118006</v>
      </c>
      <c r="AY259" s="95">
        <v>73.25</v>
      </c>
      <c r="AZ259" s="96">
        <v>58.685000000000002</v>
      </c>
      <c r="BA259" s="96"/>
      <c r="BB259" s="96">
        <v>95</v>
      </c>
      <c r="BC259" s="96"/>
      <c r="BD259" s="97">
        <v>139.80000000000001</v>
      </c>
      <c r="BE259" s="142">
        <f t="shared" si="120"/>
        <v>5567</v>
      </c>
      <c r="BF259" s="98">
        <v>0</v>
      </c>
      <c r="BG259" s="98">
        <v>349</v>
      </c>
      <c r="BH259" s="98">
        <v>0</v>
      </c>
      <c r="BI259" s="98">
        <v>5218</v>
      </c>
      <c r="BJ259" s="98"/>
      <c r="BK259" s="98"/>
      <c r="BL259" s="97"/>
    </row>
    <row r="260" spans="1:64" outlineLevel="5" x14ac:dyDescent="0.3">
      <c r="A260" s="152">
        <f t="shared" si="106"/>
        <v>8</v>
      </c>
      <c r="B260" s="153">
        <f t="shared" si="105"/>
        <v>45141</v>
      </c>
      <c r="C260" s="138">
        <f t="shared" si="111"/>
        <v>37.799999999999997</v>
      </c>
      <c r="D260" s="84">
        <v>38</v>
      </c>
      <c r="E260" s="84">
        <v>37.6</v>
      </c>
      <c r="F260" s="84"/>
      <c r="G260" s="84"/>
      <c r="H260" s="84"/>
      <c r="I260" s="84"/>
      <c r="J260" s="84"/>
      <c r="K260" s="84"/>
      <c r="L260" s="140" t="str">
        <f t="shared" si="112"/>
        <v/>
      </c>
      <c r="M260" s="86"/>
      <c r="N260" s="86"/>
      <c r="O260" s="86"/>
      <c r="P260" s="86"/>
      <c r="Q260" s="86"/>
      <c r="R260" s="86"/>
      <c r="S260" s="86"/>
      <c r="T260" s="86"/>
      <c r="U260" s="142" t="str">
        <f t="shared" si="113"/>
        <v/>
      </c>
      <c r="V260" s="88"/>
      <c r="W260" s="88"/>
      <c r="X260" s="88"/>
      <c r="Y260" s="88"/>
      <c r="Z260" s="88"/>
      <c r="AA260" s="88"/>
      <c r="AB260" s="88"/>
      <c r="AC260" s="88"/>
      <c r="AD260" s="142" t="str">
        <f t="shared" si="114"/>
        <v/>
      </c>
      <c r="AE260" s="88"/>
      <c r="AF260" s="88"/>
      <c r="AG260" s="88"/>
      <c r="AH260" s="88"/>
      <c r="AI260" s="88"/>
      <c r="AJ260" s="88"/>
      <c r="AK260" s="88"/>
      <c r="AL260" s="88"/>
      <c r="AM260" s="88">
        <v>34.780045685653235</v>
      </c>
      <c r="AN260" s="88">
        <v>135.70999999999998</v>
      </c>
      <c r="AO260" s="89">
        <v>15.7</v>
      </c>
      <c r="AP260" s="90">
        <v>12.9368</v>
      </c>
      <c r="AQ260" s="146">
        <f t="shared" si="115"/>
        <v>82.4</v>
      </c>
      <c r="AR260" s="146">
        <f t="shared" si="116"/>
        <v>17.599999999999994</v>
      </c>
      <c r="AS260" s="147">
        <v>35</v>
      </c>
      <c r="AT260" s="148">
        <v>17.95</v>
      </c>
      <c r="AU260" s="149">
        <v>10.1936</v>
      </c>
      <c r="AV260" s="146">
        <f t="shared" si="117"/>
        <v>56.788857938718664</v>
      </c>
      <c r="AW260" s="146">
        <f t="shared" si="118"/>
        <v>43.211142061281336</v>
      </c>
      <c r="AX260" s="138">
        <f t="shared" si="119"/>
        <v>71.929325635504014</v>
      </c>
      <c r="AY260" s="95">
        <v>77.3</v>
      </c>
      <c r="AZ260" s="96">
        <v>61.695</v>
      </c>
      <c r="BA260" s="96"/>
      <c r="BB260" s="96"/>
      <c r="BC260" s="96"/>
      <c r="BD260" s="97">
        <v>135.70999999999998</v>
      </c>
      <c r="BE260" s="142">
        <f t="shared" si="120"/>
        <v>6556</v>
      </c>
      <c r="BF260" s="98">
        <v>0</v>
      </c>
      <c r="BG260" s="98">
        <v>0</v>
      </c>
      <c r="BH260" s="98">
        <v>0</v>
      </c>
      <c r="BI260" s="98">
        <v>6556</v>
      </c>
      <c r="BJ260" s="98"/>
      <c r="BK260" s="98"/>
      <c r="BL260" s="97"/>
    </row>
    <row r="261" spans="1:64" outlineLevel="5" x14ac:dyDescent="0.3">
      <c r="A261" s="152">
        <f t="shared" si="106"/>
        <v>8</v>
      </c>
      <c r="B261" s="153">
        <f t="shared" si="105"/>
        <v>45142</v>
      </c>
      <c r="C261" s="138" t="str">
        <f t="shared" si="111"/>
        <v/>
      </c>
      <c r="D261" s="84"/>
      <c r="E261" s="84"/>
      <c r="F261" s="84"/>
      <c r="G261" s="84"/>
      <c r="H261" s="84"/>
      <c r="I261" s="84"/>
      <c r="J261" s="84"/>
      <c r="K261" s="84"/>
      <c r="L261" s="140" t="str">
        <f t="shared" si="112"/>
        <v/>
      </c>
      <c r="M261" s="86"/>
      <c r="N261" s="86"/>
      <c r="O261" s="86"/>
      <c r="P261" s="86"/>
      <c r="Q261" s="86"/>
      <c r="R261" s="86"/>
      <c r="S261" s="86"/>
      <c r="T261" s="86"/>
      <c r="U261" s="142" t="str">
        <f t="shared" si="113"/>
        <v/>
      </c>
      <c r="V261" s="88"/>
      <c r="W261" s="88"/>
      <c r="X261" s="88"/>
      <c r="Y261" s="88"/>
      <c r="Z261" s="88"/>
      <c r="AA261" s="88"/>
      <c r="AB261" s="88"/>
      <c r="AC261" s="88"/>
      <c r="AD261" s="142" t="str">
        <f t="shared" si="114"/>
        <v/>
      </c>
      <c r="AE261" s="88"/>
      <c r="AF261" s="88"/>
      <c r="AG261" s="88"/>
      <c r="AH261" s="88"/>
      <c r="AI261" s="88"/>
      <c r="AJ261" s="88"/>
      <c r="AK261" s="88"/>
      <c r="AL261" s="88"/>
      <c r="AM261" s="88">
        <v>39.908683520757592</v>
      </c>
      <c r="AN261" s="88">
        <v>118.27</v>
      </c>
      <c r="AO261" s="89"/>
      <c r="AP261" s="90"/>
      <c r="AQ261" s="146" t="str">
        <f t="shared" si="115"/>
        <v/>
      </c>
      <c r="AR261" s="146" t="str">
        <f t="shared" si="116"/>
        <v/>
      </c>
      <c r="AS261" s="147">
        <v>0</v>
      </c>
      <c r="AT261" s="148"/>
      <c r="AU261" s="149"/>
      <c r="AV261" s="146" t="str">
        <f t="shared" si="117"/>
        <v/>
      </c>
      <c r="AW261" s="146" t="str">
        <f t="shared" si="118"/>
        <v/>
      </c>
      <c r="AX261" s="138" t="str">
        <f t="shared" si="119"/>
        <v/>
      </c>
      <c r="AY261" s="95"/>
      <c r="AZ261" s="96"/>
      <c r="BA261" s="96"/>
      <c r="BB261" s="96"/>
      <c r="BC261" s="96"/>
      <c r="BD261" s="97">
        <v>118.27</v>
      </c>
      <c r="BE261" s="142">
        <f t="shared" si="120"/>
        <v>6591</v>
      </c>
      <c r="BF261" s="98">
        <v>0</v>
      </c>
      <c r="BG261" s="98">
        <v>0</v>
      </c>
      <c r="BH261" s="98">
        <v>1</v>
      </c>
      <c r="BI261" s="98">
        <v>6590</v>
      </c>
      <c r="BJ261" s="98"/>
      <c r="BK261" s="98"/>
      <c r="BL261" s="97"/>
    </row>
    <row r="262" spans="1:64" outlineLevel="5" x14ac:dyDescent="0.3">
      <c r="A262" s="152">
        <f t="shared" si="106"/>
        <v>8</v>
      </c>
      <c r="B262" s="153">
        <f t="shared" si="105"/>
        <v>45143</v>
      </c>
      <c r="C262" s="138" t="str">
        <f t="shared" si="111"/>
        <v/>
      </c>
      <c r="D262" s="84"/>
      <c r="E262" s="84"/>
      <c r="F262" s="84"/>
      <c r="G262" s="84"/>
      <c r="H262" s="84"/>
      <c r="I262" s="84"/>
      <c r="J262" s="84"/>
      <c r="K262" s="84"/>
      <c r="L262" s="140" t="str">
        <f t="shared" si="112"/>
        <v/>
      </c>
      <c r="M262" s="86"/>
      <c r="N262" s="86"/>
      <c r="O262" s="86"/>
      <c r="P262" s="86"/>
      <c r="Q262" s="86"/>
      <c r="R262" s="86"/>
      <c r="S262" s="86"/>
      <c r="T262" s="86"/>
      <c r="U262" s="142" t="str">
        <f t="shared" si="113"/>
        <v/>
      </c>
      <c r="V262" s="88"/>
      <c r="W262" s="88"/>
      <c r="X262" s="88"/>
      <c r="Y262" s="88"/>
      <c r="Z262" s="88"/>
      <c r="AA262" s="88"/>
      <c r="AB262" s="88"/>
      <c r="AC262" s="88"/>
      <c r="AD262" s="142" t="str">
        <f t="shared" si="114"/>
        <v/>
      </c>
      <c r="AE262" s="88"/>
      <c r="AF262" s="88"/>
      <c r="AG262" s="88"/>
      <c r="AH262" s="88"/>
      <c r="AI262" s="88"/>
      <c r="AJ262" s="88"/>
      <c r="AK262" s="88"/>
      <c r="AL262" s="88"/>
      <c r="AM262" s="88">
        <v>56.331304451605206</v>
      </c>
      <c r="AN262" s="88">
        <v>83.789999999999992</v>
      </c>
      <c r="AO262" s="89"/>
      <c r="AP262" s="90"/>
      <c r="AQ262" s="146" t="str">
        <f t="shared" si="115"/>
        <v/>
      </c>
      <c r="AR262" s="146" t="str">
        <f t="shared" si="116"/>
        <v/>
      </c>
      <c r="AS262" s="147">
        <v>12</v>
      </c>
      <c r="AT262" s="148"/>
      <c r="AU262" s="149"/>
      <c r="AV262" s="146" t="str">
        <f t="shared" si="117"/>
        <v/>
      </c>
      <c r="AW262" s="146" t="str">
        <f t="shared" si="118"/>
        <v/>
      </c>
      <c r="AX262" s="138" t="str">
        <f t="shared" si="119"/>
        <v/>
      </c>
      <c r="AY262" s="95"/>
      <c r="AZ262" s="96"/>
      <c r="BA262" s="96"/>
      <c r="BB262" s="96"/>
      <c r="BC262" s="96"/>
      <c r="BD262" s="97">
        <v>83.789999999999992</v>
      </c>
      <c r="BE262" s="142">
        <f t="shared" si="120"/>
        <v>6593</v>
      </c>
      <c r="BF262" s="98">
        <v>0</v>
      </c>
      <c r="BG262" s="98">
        <v>0</v>
      </c>
      <c r="BH262" s="98">
        <v>0</v>
      </c>
      <c r="BI262" s="98">
        <v>6593</v>
      </c>
      <c r="BJ262" s="98"/>
      <c r="BK262" s="98"/>
      <c r="BL262" s="97"/>
    </row>
    <row r="263" spans="1:64" outlineLevel="5" x14ac:dyDescent="0.3">
      <c r="A263" s="152">
        <f t="shared" si="106"/>
        <v>8</v>
      </c>
      <c r="B263" s="153">
        <f t="shared" si="105"/>
        <v>45144</v>
      </c>
      <c r="C263" s="138" t="str">
        <f t="shared" si="111"/>
        <v/>
      </c>
      <c r="D263" s="84"/>
      <c r="E263" s="84"/>
      <c r="F263" s="84"/>
      <c r="G263" s="84"/>
      <c r="H263" s="84"/>
      <c r="I263" s="84"/>
      <c r="J263" s="84"/>
      <c r="K263" s="84"/>
      <c r="L263" s="140" t="str">
        <f t="shared" si="112"/>
        <v/>
      </c>
      <c r="M263" s="86"/>
      <c r="N263" s="86"/>
      <c r="O263" s="86"/>
      <c r="P263" s="86"/>
      <c r="Q263" s="86"/>
      <c r="R263" s="86"/>
      <c r="S263" s="86"/>
      <c r="T263" s="86"/>
      <c r="U263" s="142" t="str">
        <f t="shared" si="113"/>
        <v/>
      </c>
      <c r="V263" s="88"/>
      <c r="W263" s="88"/>
      <c r="X263" s="88"/>
      <c r="Y263" s="88"/>
      <c r="Z263" s="88"/>
      <c r="AA263" s="88"/>
      <c r="AB263" s="88"/>
      <c r="AC263" s="88"/>
      <c r="AD263" s="142" t="str">
        <f t="shared" si="114"/>
        <v/>
      </c>
      <c r="AE263" s="88"/>
      <c r="AF263" s="88"/>
      <c r="AG263" s="88"/>
      <c r="AH263" s="88"/>
      <c r="AI263" s="88"/>
      <c r="AJ263" s="88"/>
      <c r="AK263" s="88"/>
      <c r="AL263" s="88"/>
      <c r="AM263" s="88">
        <v>39.333333333333336</v>
      </c>
      <c r="AN263" s="88">
        <v>120</v>
      </c>
      <c r="AO263" s="89"/>
      <c r="AP263" s="90"/>
      <c r="AQ263" s="146" t="str">
        <f t="shared" si="115"/>
        <v/>
      </c>
      <c r="AR263" s="146" t="str">
        <f t="shared" si="116"/>
        <v/>
      </c>
      <c r="AS263" s="147">
        <v>12</v>
      </c>
      <c r="AT263" s="148"/>
      <c r="AU263" s="149"/>
      <c r="AV263" s="146" t="str">
        <f t="shared" si="117"/>
        <v/>
      </c>
      <c r="AW263" s="146" t="str">
        <f t="shared" si="118"/>
        <v/>
      </c>
      <c r="AX263" s="138" t="str">
        <f t="shared" si="119"/>
        <v/>
      </c>
      <c r="AY263" s="95"/>
      <c r="AZ263" s="96"/>
      <c r="BA263" s="96"/>
      <c r="BB263" s="96"/>
      <c r="BC263" s="96"/>
      <c r="BD263" s="97">
        <v>120</v>
      </c>
      <c r="BE263" s="142">
        <f t="shared" si="120"/>
        <v>6440</v>
      </c>
      <c r="BF263" s="98">
        <v>0</v>
      </c>
      <c r="BG263" s="98">
        <v>0</v>
      </c>
      <c r="BH263" s="98">
        <v>0</v>
      </c>
      <c r="BI263" s="98">
        <v>6440</v>
      </c>
      <c r="BJ263" s="98"/>
      <c r="BK263" s="98"/>
      <c r="BL263" s="97"/>
    </row>
    <row r="264" spans="1:64" outlineLevel="5" x14ac:dyDescent="0.3">
      <c r="A264" s="152">
        <f t="shared" si="106"/>
        <v>8</v>
      </c>
      <c r="B264" s="153">
        <f t="shared" si="105"/>
        <v>45145</v>
      </c>
      <c r="C264" s="138">
        <f t="shared" si="111"/>
        <v>37</v>
      </c>
      <c r="D264" s="84">
        <v>37</v>
      </c>
      <c r="E264" s="84">
        <v>37</v>
      </c>
      <c r="F264" s="84"/>
      <c r="G264" s="84"/>
      <c r="H264" s="84"/>
      <c r="I264" s="84"/>
      <c r="J264" s="84"/>
      <c r="K264" s="84"/>
      <c r="L264" s="140">
        <f t="shared" si="112"/>
        <v>8</v>
      </c>
      <c r="M264" s="86">
        <v>8.01</v>
      </c>
      <c r="N264" s="86">
        <v>8.0399999999999991</v>
      </c>
      <c r="O264" s="86"/>
      <c r="P264" s="86"/>
      <c r="Q264" s="86"/>
      <c r="R264" s="86"/>
      <c r="S264" s="86"/>
      <c r="T264" s="86"/>
      <c r="U264" s="142">
        <f t="shared" si="113"/>
        <v>508</v>
      </c>
      <c r="V264" s="88">
        <v>497</v>
      </c>
      <c r="W264" s="88">
        <v>519</v>
      </c>
      <c r="X264" s="88"/>
      <c r="Y264" s="88"/>
      <c r="Z264" s="88"/>
      <c r="AA264" s="88"/>
      <c r="AB264" s="88"/>
      <c r="AC264" s="88"/>
      <c r="AD264" s="142" t="str">
        <f t="shared" si="114"/>
        <v/>
      </c>
      <c r="AE264" s="88"/>
      <c r="AF264" s="88"/>
      <c r="AG264" s="88"/>
      <c r="AH264" s="88"/>
      <c r="AI264" s="88"/>
      <c r="AJ264" s="88"/>
      <c r="AK264" s="88"/>
      <c r="AL264" s="88"/>
      <c r="AM264" s="88">
        <v>37.080681907455421</v>
      </c>
      <c r="AN264" s="88">
        <v>127.28999999999999</v>
      </c>
      <c r="AO264" s="89"/>
      <c r="AP264" s="90"/>
      <c r="AQ264" s="146" t="str">
        <f t="shared" si="115"/>
        <v/>
      </c>
      <c r="AR264" s="146" t="str">
        <f t="shared" si="116"/>
        <v/>
      </c>
      <c r="AS264" s="147">
        <v>46</v>
      </c>
      <c r="AT264" s="148">
        <v>13.45</v>
      </c>
      <c r="AU264" s="149">
        <v>7.1254000000000008</v>
      </c>
      <c r="AV264" s="146">
        <f t="shared" si="117"/>
        <v>52.976951672862462</v>
      </c>
      <c r="AW264" s="146">
        <f t="shared" si="118"/>
        <v>47.023048327137538</v>
      </c>
      <c r="AX264" s="138" t="str">
        <f t="shared" si="119"/>
        <v/>
      </c>
      <c r="AY264" s="95">
        <v>72.8</v>
      </c>
      <c r="AZ264" s="96">
        <v>58.614999999999995</v>
      </c>
      <c r="BA264" s="96"/>
      <c r="BB264" s="96">
        <v>187</v>
      </c>
      <c r="BC264" s="96"/>
      <c r="BD264" s="97">
        <v>127.28999999999999</v>
      </c>
      <c r="BE264" s="142">
        <f t="shared" si="120"/>
        <v>7022</v>
      </c>
      <c r="BF264" s="98">
        <v>0</v>
      </c>
      <c r="BG264" s="98">
        <v>0</v>
      </c>
      <c r="BH264" s="98">
        <v>0</v>
      </c>
      <c r="BI264" s="98">
        <v>7022</v>
      </c>
      <c r="BJ264" s="98"/>
      <c r="BK264" s="98"/>
      <c r="BL264" s="97"/>
    </row>
    <row r="265" spans="1:64" outlineLevel="5" x14ac:dyDescent="0.3">
      <c r="A265" s="152">
        <f t="shared" si="106"/>
        <v>8</v>
      </c>
      <c r="B265" s="153">
        <f t="shared" si="105"/>
        <v>45146</v>
      </c>
      <c r="C265" s="138">
        <f t="shared" si="111"/>
        <v>37</v>
      </c>
      <c r="D265" s="84">
        <v>37</v>
      </c>
      <c r="E265" s="84">
        <v>37</v>
      </c>
      <c r="F265" s="84"/>
      <c r="G265" s="84"/>
      <c r="H265" s="84"/>
      <c r="I265" s="84"/>
      <c r="J265" s="84"/>
      <c r="K265" s="84"/>
      <c r="L265" s="140" t="str">
        <f t="shared" si="112"/>
        <v/>
      </c>
      <c r="M265" s="86"/>
      <c r="N265" s="86"/>
      <c r="O265" s="86"/>
      <c r="P265" s="86"/>
      <c r="Q265" s="86"/>
      <c r="R265" s="86"/>
      <c r="S265" s="86"/>
      <c r="T265" s="86"/>
      <c r="U265" s="142" t="str">
        <f t="shared" si="113"/>
        <v/>
      </c>
      <c r="V265" s="88"/>
      <c r="W265" s="88"/>
      <c r="X265" s="88"/>
      <c r="Y265" s="88"/>
      <c r="Z265" s="88"/>
      <c r="AA265" s="88"/>
      <c r="AB265" s="88"/>
      <c r="AC265" s="88"/>
      <c r="AD265" s="142" t="str">
        <f t="shared" si="114"/>
        <v/>
      </c>
      <c r="AE265" s="88"/>
      <c r="AF265" s="88"/>
      <c r="AG265" s="88"/>
      <c r="AH265" s="88"/>
      <c r="AI265" s="88"/>
      <c r="AJ265" s="88"/>
      <c r="AK265" s="88"/>
      <c r="AL265" s="88"/>
      <c r="AM265" s="88">
        <v>31.237590999338188</v>
      </c>
      <c r="AN265" s="88">
        <v>151.1</v>
      </c>
      <c r="AO265" s="89"/>
      <c r="AP265" s="90"/>
      <c r="AQ265" s="146" t="str">
        <f t="shared" si="115"/>
        <v/>
      </c>
      <c r="AR265" s="146" t="str">
        <f t="shared" si="116"/>
        <v/>
      </c>
      <c r="AS265" s="147">
        <v>46</v>
      </c>
      <c r="AT265" s="148"/>
      <c r="AU265" s="149"/>
      <c r="AV265" s="146" t="str">
        <f t="shared" si="117"/>
        <v/>
      </c>
      <c r="AW265" s="146" t="str">
        <f t="shared" si="118"/>
        <v/>
      </c>
      <c r="AX265" s="138" t="str">
        <f t="shared" si="119"/>
        <v/>
      </c>
      <c r="AY265" s="95"/>
      <c r="AZ265" s="96">
        <v>61.39</v>
      </c>
      <c r="BA265" s="96"/>
      <c r="BB265" s="96">
        <v>89.5</v>
      </c>
      <c r="BC265" s="96"/>
      <c r="BD265" s="97">
        <v>151.1</v>
      </c>
      <c r="BE265" s="142">
        <f t="shared" si="120"/>
        <v>6919</v>
      </c>
      <c r="BF265" s="98">
        <v>0</v>
      </c>
      <c r="BG265" s="98">
        <v>392</v>
      </c>
      <c r="BH265" s="98">
        <v>0</v>
      </c>
      <c r="BI265" s="98">
        <v>6527</v>
      </c>
      <c r="BJ265" s="98"/>
      <c r="BK265" s="98"/>
      <c r="BL265" s="97"/>
    </row>
    <row r="266" spans="1:64" outlineLevel="5" x14ac:dyDescent="0.3">
      <c r="A266" s="152">
        <f t="shared" si="106"/>
        <v>8</v>
      </c>
      <c r="B266" s="153">
        <f t="shared" si="105"/>
        <v>45147</v>
      </c>
      <c r="C266" s="138">
        <f t="shared" si="111"/>
        <v>37</v>
      </c>
      <c r="D266" s="84">
        <v>37</v>
      </c>
      <c r="E266" s="84">
        <v>37</v>
      </c>
      <c r="F266" s="84"/>
      <c r="G266" s="84"/>
      <c r="H266" s="84"/>
      <c r="I266" s="84"/>
      <c r="J266" s="84"/>
      <c r="K266" s="84"/>
      <c r="L266" s="140">
        <f t="shared" si="112"/>
        <v>8.1</v>
      </c>
      <c r="M266" s="86">
        <v>8.0500000000000007</v>
      </c>
      <c r="N266" s="86">
        <v>8.1199999999999992</v>
      </c>
      <c r="O266" s="86"/>
      <c r="P266" s="86"/>
      <c r="Q266" s="86"/>
      <c r="R266" s="86"/>
      <c r="S266" s="86"/>
      <c r="T266" s="86"/>
      <c r="U266" s="142" t="str">
        <f t="shared" si="113"/>
        <v/>
      </c>
      <c r="V266" s="88"/>
      <c r="W266" s="88"/>
      <c r="X266" s="88"/>
      <c r="Y266" s="88"/>
      <c r="Z266" s="88"/>
      <c r="AA266" s="88"/>
      <c r="AB266" s="88"/>
      <c r="AC266" s="88"/>
      <c r="AD266" s="142" t="str">
        <f t="shared" si="114"/>
        <v/>
      </c>
      <c r="AE266" s="88"/>
      <c r="AF266" s="88"/>
      <c r="AG266" s="88"/>
      <c r="AH266" s="88"/>
      <c r="AI266" s="88"/>
      <c r="AJ266" s="88"/>
      <c r="AK266" s="88"/>
      <c r="AL266" s="88"/>
      <c r="AM266" s="88">
        <v>30.879947661105653</v>
      </c>
      <c r="AN266" s="88">
        <v>152.85000000000002</v>
      </c>
      <c r="AO266" s="89"/>
      <c r="AP266" s="90"/>
      <c r="AQ266" s="146" t="str">
        <f t="shared" si="115"/>
        <v/>
      </c>
      <c r="AR266" s="146" t="str">
        <f t="shared" si="116"/>
        <v/>
      </c>
      <c r="AS266" s="147">
        <v>30</v>
      </c>
      <c r="AT266" s="148">
        <v>14.2</v>
      </c>
      <c r="AU266" s="149">
        <v>8.4361999999999995</v>
      </c>
      <c r="AV266" s="146">
        <f t="shared" si="117"/>
        <v>59.409859154929578</v>
      </c>
      <c r="AW266" s="146">
        <f t="shared" si="118"/>
        <v>40.590140845070422</v>
      </c>
      <c r="AX266" s="138" t="str">
        <f t="shared" si="119"/>
        <v/>
      </c>
      <c r="AY266" s="95">
        <v>73.55</v>
      </c>
      <c r="AZ266" s="96"/>
      <c r="BA266" s="96"/>
      <c r="BB266" s="96"/>
      <c r="BC266" s="96"/>
      <c r="BD266" s="97">
        <v>152.85000000000002</v>
      </c>
      <c r="BE266" s="142">
        <f t="shared" si="120"/>
        <v>6429</v>
      </c>
      <c r="BF266" s="98">
        <v>0</v>
      </c>
      <c r="BG266" s="98">
        <v>0</v>
      </c>
      <c r="BH266" s="98">
        <v>0</v>
      </c>
      <c r="BI266" s="98">
        <v>6429</v>
      </c>
      <c r="BJ266" s="98"/>
      <c r="BK266" s="98"/>
      <c r="BL266" s="97"/>
    </row>
    <row r="267" spans="1:64" outlineLevel="5" x14ac:dyDescent="0.3">
      <c r="A267" s="152">
        <f t="shared" si="106"/>
        <v>8</v>
      </c>
      <c r="B267" s="153">
        <f t="shared" si="105"/>
        <v>45148</v>
      </c>
      <c r="C267" s="138">
        <f t="shared" si="111"/>
        <v>37.799999999999997</v>
      </c>
      <c r="D267" s="84">
        <v>38</v>
      </c>
      <c r="E267" s="84">
        <v>37.6</v>
      </c>
      <c r="F267" s="84"/>
      <c r="G267" s="84"/>
      <c r="H267" s="84"/>
      <c r="I267" s="84"/>
      <c r="J267" s="84"/>
      <c r="K267" s="84"/>
      <c r="L267" s="140" t="str">
        <f t="shared" si="112"/>
        <v/>
      </c>
      <c r="M267" s="86"/>
      <c r="N267" s="86"/>
      <c r="O267" s="86"/>
      <c r="P267" s="86"/>
      <c r="Q267" s="86"/>
      <c r="R267" s="86"/>
      <c r="S267" s="86"/>
      <c r="T267" s="86"/>
      <c r="U267" s="142" t="str">
        <f t="shared" si="113"/>
        <v/>
      </c>
      <c r="V267" s="88"/>
      <c r="W267" s="88"/>
      <c r="X267" s="88"/>
      <c r="Y267" s="88"/>
      <c r="Z267" s="88"/>
      <c r="AA267" s="88"/>
      <c r="AB267" s="88"/>
      <c r="AC267" s="88"/>
      <c r="AD267" s="142" t="str">
        <f t="shared" si="114"/>
        <v/>
      </c>
      <c r="AE267" s="88"/>
      <c r="AF267" s="88"/>
      <c r="AG267" s="88"/>
      <c r="AH267" s="88"/>
      <c r="AI267" s="88"/>
      <c r="AJ267" s="88"/>
      <c r="AK267" s="88"/>
      <c r="AL267" s="88"/>
      <c r="AM267" s="88">
        <v>67.428571428571431</v>
      </c>
      <c r="AN267" s="88">
        <v>70</v>
      </c>
      <c r="AO267" s="89"/>
      <c r="AP267" s="90"/>
      <c r="AQ267" s="146" t="str">
        <f t="shared" si="115"/>
        <v/>
      </c>
      <c r="AR267" s="146" t="str">
        <f t="shared" si="116"/>
        <v/>
      </c>
      <c r="AS267" s="147">
        <v>15</v>
      </c>
      <c r="AT267" s="148"/>
      <c r="AU267" s="149"/>
      <c r="AV267" s="146" t="str">
        <f t="shared" si="117"/>
        <v/>
      </c>
      <c r="AW267" s="146" t="str">
        <f t="shared" si="118"/>
        <v/>
      </c>
      <c r="AX267" s="138" t="str">
        <f t="shared" si="119"/>
        <v/>
      </c>
      <c r="AY267" s="95">
        <v>73.650000000000006</v>
      </c>
      <c r="AZ267" s="96"/>
      <c r="BA267" s="96"/>
      <c r="BB267" s="96"/>
      <c r="BC267" s="96"/>
      <c r="BD267" s="97">
        <v>70</v>
      </c>
      <c r="BE267" s="142">
        <f t="shared" si="120"/>
        <v>3676</v>
      </c>
      <c r="BF267" s="98">
        <v>0</v>
      </c>
      <c r="BG267" s="98">
        <v>0</v>
      </c>
      <c r="BH267" s="98">
        <v>0</v>
      </c>
      <c r="BI267" s="98">
        <v>3676</v>
      </c>
      <c r="BJ267" s="98"/>
      <c r="BK267" s="98"/>
      <c r="BL267" s="97"/>
    </row>
    <row r="268" spans="1:64" outlineLevel="5" x14ac:dyDescent="0.3">
      <c r="A268" s="152">
        <f t="shared" si="106"/>
        <v>8</v>
      </c>
      <c r="B268" s="153">
        <f t="shared" si="105"/>
        <v>45149</v>
      </c>
      <c r="C268" s="138" t="str">
        <f t="shared" si="111"/>
        <v/>
      </c>
      <c r="D268" s="84"/>
      <c r="E268" s="84"/>
      <c r="F268" s="84"/>
      <c r="G268" s="84"/>
      <c r="H268" s="84"/>
      <c r="I268" s="84"/>
      <c r="J268" s="84"/>
      <c r="K268" s="84"/>
      <c r="L268" s="140" t="str">
        <f t="shared" si="112"/>
        <v/>
      </c>
      <c r="M268" s="86"/>
      <c r="N268" s="86"/>
      <c r="O268" s="86"/>
      <c r="P268" s="86"/>
      <c r="Q268" s="86"/>
      <c r="R268" s="86"/>
      <c r="S268" s="86"/>
      <c r="T268" s="86"/>
      <c r="U268" s="142" t="str">
        <f t="shared" si="113"/>
        <v/>
      </c>
      <c r="V268" s="88"/>
      <c r="W268" s="88"/>
      <c r="X268" s="88"/>
      <c r="Y268" s="88"/>
      <c r="Z268" s="88"/>
      <c r="AA268" s="88"/>
      <c r="AB268" s="88"/>
      <c r="AC268" s="88"/>
      <c r="AD268" s="142" t="str">
        <f t="shared" si="114"/>
        <v/>
      </c>
      <c r="AE268" s="88"/>
      <c r="AF268" s="88"/>
      <c r="AG268" s="88"/>
      <c r="AH268" s="88"/>
      <c r="AI268" s="88"/>
      <c r="AJ268" s="88"/>
      <c r="AK268" s="88"/>
      <c r="AL268" s="88"/>
      <c r="AM268" s="88">
        <v>62.516556291390728</v>
      </c>
      <c r="AN268" s="88">
        <v>75.5</v>
      </c>
      <c r="AO268" s="89"/>
      <c r="AP268" s="90"/>
      <c r="AQ268" s="146" t="str">
        <f t="shared" si="115"/>
        <v/>
      </c>
      <c r="AR268" s="146" t="str">
        <f t="shared" si="116"/>
        <v/>
      </c>
      <c r="AS268" s="147">
        <v>30</v>
      </c>
      <c r="AT268" s="148"/>
      <c r="AU268" s="149"/>
      <c r="AV268" s="146" t="str">
        <f t="shared" si="117"/>
        <v/>
      </c>
      <c r="AW268" s="146" t="str">
        <f t="shared" si="118"/>
        <v/>
      </c>
      <c r="AX268" s="138" t="str">
        <f t="shared" si="119"/>
        <v/>
      </c>
      <c r="AY268" s="95"/>
      <c r="AZ268" s="96">
        <v>64.759999999999991</v>
      </c>
      <c r="BA268" s="96"/>
      <c r="BB268" s="96">
        <v>56</v>
      </c>
      <c r="BC268" s="96"/>
      <c r="BD268" s="97">
        <v>75.5</v>
      </c>
      <c r="BE268" s="142">
        <f t="shared" si="120"/>
        <v>5035</v>
      </c>
      <c r="BF268" s="98">
        <v>0</v>
      </c>
      <c r="BG268" s="98">
        <v>88</v>
      </c>
      <c r="BH268" s="98">
        <v>0</v>
      </c>
      <c r="BI268" s="98">
        <v>4947</v>
      </c>
      <c r="BJ268" s="98"/>
      <c r="BK268" s="98"/>
      <c r="BL268" s="97"/>
    </row>
    <row r="269" spans="1:64" outlineLevel="5" x14ac:dyDescent="0.3">
      <c r="A269" s="152">
        <f t="shared" si="106"/>
        <v>8</v>
      </c>
      <c r="B269" s="153">
        <f t="shared" si="105"/>
        <v>45150</v>
      </c>
      <c r="C269" s="138" t="str">
        <f t="shared" si="111"/>
        <v/>
      </c>
      <c r="D269" s="84"/>
      <c r="E269" s="84"/>
      <c r="F269" s="84"/>
      <c r="G269" s="84"/>
      <c r="H269" s="84"/>
      <c r="I269" s="84"/>
      <c r="J269" s="84"/>
      <c r="K269" s="84"/>
      <c r="L269" s="140" t="str">
        <f t="shared" si="112"/>
        <v/>
      </c>
      <c r="M269" s="86"/>
      <c r="N269" s="86"/>
      <c r="O269" s="86"/>
      <c r="P269" s="86"/>
      <c r="Q269" s="86"/>
      <c r="R269" s="86"/>
      <c r="S269" s="86"/>
      <c r="T269" s="86"/>
      <c r="U269" s="142" t="str">
        <f t="shared" si="113"/>
        <v/>
      </c>
      <c r="V269" s="88"/>
      <c r="W269" s="88"/>
      <c r="X269" s="88"/>
      <c r="Y269" s="88"/>
      <c r="Z269" s="88"/>
      <c r="AA269" s="88"/>
      <c r="AB269" s="88"/>
      <c r="AC269" s="88"/>
      <c r="AD269" s="142" t="str">
        <f t="shared" si="114"/>
        <v/>
      </c>
      <c r="AE269" s="88"/>
      <c r="AF269" s="88"/>
      <c r="AG269" s="88"/>
      <c r="AH269" s="88"/>
      <c r="AI269" s="88"/>
      <c r="AJ269" s="88"/>
      <c r="AK269" s="88"/>
      <c r="AL269" s="88"/>
      <c r="AM269" s="88">
        <v>56.581155598177894</v>
      </c>
      <c r="AN269" s="88">
        <v>83.42</v>
      </c>
      <c r="AO269" s="89"/>
      <c r="AP269" s="90"/>
      <c r="AQ269" s="146" t="str">
        <f t="shared" si="115"/>
        <v/>
      </c>
      <c r="AR269" s="146" t="str">
        <f t="shared" si="116"/>
        <v/>
      </c>
      <c r="AS269" s="147">
        <v>12</v>
      </c>
      <c r="AT269" s="148"/>
      <c r="AU269" s="149"/>
      <c r="AV269" s="146" t="str">
        <f t="shared" si="117"/>
        <v/>
      </c>
      <c r="AW269" s="146" t="str">
        <f t="shared" si="118"/>
        <v/>
      </c>
      <c r="AX269" s="138" t="str">
        <f t="shared" si="119"/>
        <v/>
      </c>
      <c r="AY269" s="95"/>
      <c r="AZ269" s="96"/>
      <c r="BA269" s="96"/>
      <c r="BB269" s="96"/>
      <c r="BC269" s="96"/>
      <c r="BD269" s="97">
        <v>83.42</v>
      </c>
      <c r="BE269" s="142">
        <f t="shared" si="120"/>
        <v>4355</v>
      </c>
      <c r="BF269" s="98">
        <v>0</v>
      </c>
      <c r="BG269" s="98">
        <v>0</v>
      </c>
      <c r="BH269" s="98">
        <v>0</v>
      </c>
      <c r="BI269" s="98">
        <v>4355</v>
      </c>
      <c r="BJ269" s="98"/>
      <c r="BK269" s="98"/>
      <c r="BL269" s="97"/>
    </row>
    <row r="270" spans="1:64" outlineLevel="5" x14ac:dyDescent="0.3">
      <c r="A270" s="152">
        <f t="shared" si="106"/>
        <v>8</v>
      </c>
      <c r="B270" s="153">
        <f t="shared" si="105"/>
        <v>45151</v>
      </c>
      <c r="C270" s="138" t="str">
        <f t="shared" si="111"/>
        <v/>
      </c>
      <c r="D270" s="84"/>
      <c r="E270" s="84"/>
      <c r="F270" s="84"/>
      <c r="G270" s="84"/>
      <c r="H270" s="84"/>
      <c r="I270" s="84"/>
      <c r="J270" s="84"/>
      <c r="K270" s="84"/>
      <c r="L270" s="140" t="str">
        <f t="shared" si="112"/>
        <v/>
      </c>
      <c r="M270" s="86"/>
      <c r="N270" s="86"/>
      <c r="O270" s="86"/>
      <c r="P270" s="86"/>
      <c r="Q270" s="86"/>
      <c r="R270" s="86"/>
      <c r="S270" s="86"/>
      <c r="T270" s="86"/>
      <c r="U270" s="142" t="str">
        <f t="shared" si="113"/>
        <v/>
      </c>
      <c r="V270" s="88"/>
      <c r="W270" s="88"/>
      <c r="X270" s="88"/>
      <c r="Y270" s="88"/>
      <c r="Z270" s="88"/>
      <c r="AA270" s="88"/>
      <c r="AB270" s="88"/>
      <c r="AC270" s="88"/>
      <c r="AD270" s="142" t="str">
        <f t="shared" si="114"/>
        <v/>
      </c>
      <c r="AE270" s="88"/>
      <c r="AF270" s="88"/>
      <c r="AG270" s="88"/>
      <c r="AH270" s="88"/>
      <c r="AI270" s="88"/>
      <c r="AJ270" s="88"/>
      <c r="AK270" s="88"/>
      <c r="AL270" s="88"/>
      <c r="AM270" s="88">
        <v>55.529411764705884</v>
      </c>
      <c r="AN270" s="88">
        <v>85</v>
      </c>
      <c r="AO270" s="89"/>
      <c r="AP270" s="90"/>
      <c r="AQ270" s="146" t="str">
        <f t="shared" si="115"/>
        <v/>
      </c>
      <c r="AR270" s="146" t="str">
        <f t="shared" si="116"/>
        <v/>
      </c>
      <c r="AS270" s="147">
        <v>12</v>
      </c>
      <c r="AT270" s="148"/>
      <c r="AU270" s="149"/>
      <c r="AV270" s="146" t="str">
        <f t="shared" si="117"/>
        <v/>
      </c>
      <c r="AW270" s="146" t="str">
        <f t="shared" si="118"/>
        <v/>
      </c>
      <c r="AX270" s="138" t="str">
        <f t="shared" si="119"/>
        <v/>
      </c>
      <c r="AY270" s="95"/>
      <c r="AZ270" s="96"/>
      <c r="BA270" s="96"/>
      <c r="BB270" s="96"/>
      <c r="BC270" s="96"/>
      <c r="BD270" s="97">
        <v>85</v>
      </c>
      <c r="BE270" s="142">
        <f t="shared" si="120"/>
        <v>6429</v>
      </c>
      <c r="BF270" s="98">
        <v>0</v>
      </c>
      <c r="BG270" s="98">
        <v>0</v>
      </c>
      <c r="BH270" s="98">
        <v>0</v>
      </c>
      <c r="BI270" s="98">
        <v>6429</v>
      </c>
      <c r="BJ270" s="98"/>
      <c r="BK270" s="98"/>
      <c r="BL270" s="97"/>
    </row>
    <row r="271" spans="1:64" outlineLevel="5" x14ac:dyDescent="0.3">
      <c r="A271" s="152">
        <f t="shared" si="106"/>
        <v>8</v>
      </c>
      <c r="B271" s="153">
        <f t="shared" si="105"/>
        <v>45152</v>
      </c>
      <c r="C271" s="138">
        <f t="shared" si="111"/>
        <v>37.4</v>
      </c>
      <c r="D271" s="84">
        <v>37.6</v>
      </c>
      <c r="E271" s="84">
        <v>37.200000000000003</v>
      </c>
      <c r="F271" s="84"/>
      <c r="G271" s="84"/>
      <c r="H271" s="84"/>
      <c r="I271" s="84"/>
      <c r="J271" s="84"/>
      <c r="K271" s="84"/>
      <c r="L271" s="140">
        <f t="shared" si="112"/>
        <v>7.9</v>
      </c>
      <c r="M271" s="86">
        <v>7.86</v>
      </c>
      <c r="N271" s="86">
        <v>7.89</v>
      </c>
      <c r="O271" s="86"/>
      <c r="P271" s="86"/>
      <c r="Q271" s="86"/>
      <c r="R271" s="86"/>
      <c r="S271" s="86"/>
      <c r="T271" s="86"/>
      <c r="U271" s="142">
        <f t="shared" si="113"/>
        <v>821.8</v>
      </c>
      <c r="V271" s="88">
        <v>919.1</v>
      </c>
      <c r="W271" s="88">
        <v>724.4</v>
      </c>
      <c r="X271" s="88"/>
      <c r="Y271" s="88"/>
      <c r="Z271" s="88"/>
      <c r="AA271" s="88"/>
      <c r="AB271" s="88"/>
      <c r="AC271" s="88"/>
      <c r="AD271" s="142" t="str">
        <f t="shared" si="114"/>
        <v/>
      </c>
      <c r="AE271" s="88"/>
      <c r="AF271" s="88"/>
      <c r="AG271" s="88"/>
      <c r="AH271" s="88"/>
      <c r="AI271" s="88"/>
      <c r="AJ271" s="88"/>
      <c r="AK271" s="88"/>
      <c r="AL271" s="88"/>
      <c r="AM271" s="88">
        <v>33.881271983346494</v>
      </c>
      <c r="AN271" s="88">
        <v>139.31</v>
      </c>
      <c r="AO271" s="89">
        <v>17</v>
      </c>
      <c r="AP271" s="90">
        <v>14.994000000000002</v>
      </c>
      <c r="AQ271" s="146">
        <f t="shared" si="115"/>
        <v>88.200000000000017</v>
      </c>
      <c r="AR271" s="146">
        <f t="shared" si="116"/>
        <v>11.799999999999983</v>
      </c>
      <c r="AS271" s="147">
        <v>44</v>
      </c>
      <c r="AT271" s="148">
        <v>13.55</v>
      </c>
      <c r="AU271" s="149">
        <v>7.2568499999999991</v>
      </c>
      <c r="AV271" s="146">
        <f t="shared" si="117"/>
        <v>53.556088560885598</v>
      </c>
      <c r="AW271" s="146">
        <f t="shared" si="118"/>
        <v>46.443911439114402</v>
      </c>
      <c r="AX271" s="138">
        <f t="shared" si="119"/>
        <v>84.572573537332289</v>
      </c>
      <c r="AY271" s="95">
        <v>74.3</v>
      </c>
      <c r="AZ271" s="96"/>
      <c r="BA271" s="96"/>
      <c r="BB271" s="96"/>
      <c r="BC271" s="96"/>
      <c r="BD271" s="97">
        <v>139.31</v>
      </c>
      <c r="BE271" s="142">
        <f t="shared" si="120"/>
        <v>6924</v>
      </c>
      <c r="BF271" s="98">
        <v>0</v>
      </c>
      <c r="BG271" s="98">
        <v>0</v>
      </c>
      <c r="BH271" s="98">
        <v>0</v>
      </c>
      <c r="BI271" s="98">
        <v>6924</v>
      </c>
      <c r="BJ271" s="98"/>
      <c r="BK271" s="98"/>
      <c r="BL271" s="97"/>
    </row>
    <row r="272" spans="1:64" outlineLevel="5" x14ac:dyDescent="0.3">
      <c r="A272" s="152">
        <f t="shared" si="106"/>
        <v>8</v>
      </c>
      <c r="B272" s="153">
        <f t="shared" si="105"/>
        <v>45153</v>
      </c>
      <c r="C272" s="138" t="str">
        <f t="shared" si="111"/>
        <v/>
      </c>
      <c r="D272" s="84"/>
      <c r="E272" s="84"/>
      <c r="F272" s="84"/>
      <c r="G272" s="84"/>
      <c r="H272" s="84"/>
      <c r="I272" s="84"/>
      <c r="J272" s="84"/>
      <c r="K272" s="84"/>
      <c r="L272" s="140" t="str">
        <f t="shared" si="112"/>
        <v/>
      </c>
      <c r="M272" s="86"/>
      <c r="N272" s="86"/>
      <c r="O272" s="86"/>
      <c r="P272" s="86"/>
      <c r="Q272" s="86"/>
      <c r="R272" s="86"/>
      <c r="S272" s="86"/>
      <c r="T272" s="86"/>
      <c r="U272" s="142" t="str">
        <f t="shared" si="113"/>
        <v/>
      </c>
      <c r="V272" s="88"/>
      <c r="W272" s="88"/>
      <c r="X272" s="88"/>
      <c r="Y272" s="88"/>
      <c r="Z272" s="88"/>
      <c r="AA272" s="88"/>
      <c r="AB272" s="88"/>
      <c r="AC272" s="88"/>
      <c r="AD272" s="142" t="str">
        <f t="shared" si="114"/>
        <v/>
      </c>
      <c r="AE272" s="88"/>
      <c r="AF272" s="88"/>
      <c r="AG272" s="88"/>
      <c r="AH272" s="88"/>
      <c r="AI272" s="88"/>
      <c r="AJ272" s="88"/>
      <c r="AK272" s="88"/>
      <c r="AL272" s="88"/>
      <c r="AM272" s="88">
        <v>38.777522182057183</v>
      </c>
      <c r="AN272" s="88">
        <v>121.72</v>
      </c>
      <c r="AO272" s="89"/>
      <c r="AP272" s="90"/>
      <c r="AQ272" s="146" t="str">
        <f t="shared" si="115"/>
        <v/>
      </c>
      <c r="AR272" s="146" t="str">
        <f t="shared" si="116"/>
        <v/>
      </c>
      <c r="AS272" s="147">
        <v>0</v>
      </c>
      <c r="AT272" s="148"/>
      <c r="AU272" s="149"/>
      <c r="AV272" s="146" t="str">
        <f t="shared" si="117"/>
        <v/>
      </c>
      <c r="AW272" s="146" t="str">
        <f t="shared" si="118"/>
        <v/>
      </c>
      <c r="AX272" s="138" t="str">
        <f t="shared" si="119"/>
        <v/>
      </c>
      <c r="AY272" s="95"/>
      <c r="AZ272" s="96"/>
      <c r="BA272" s="96"/>
      <c r="BB272" s="96"/>
      <c r="BC272" s="96"/>
      <c r="BD272" s="97">
        <v>121.72</v>
      </c>
      <c r="BE272" s="142">
        <f t="shared" si="120"/>
        <v>6425</v>
      </c>
      <c r="BF272" s="98">
        <v>0</v>
      </c>
      <c r="BG272" s="98">
        <v>0</v>
      </c>
      <c r="BH272" s="98">
        <v>0</v>
      </c>
      <c r="BI272" s="98">
        <v>6425</v>
      </c>
      <c r="BJ272" s="98"/>
      <c r="BK272" s="98"/>
      <c r="BL272" s="97"/>
    </row>
    <row r="273" spans="1:64" outlineLevel="5" x14ac:dyDescent="0.3">
      <c r="A273" s="152">
        <f t="shared" si="106"/>
        <v>8</v>
      </c>
      <c r="B273" s="153">
        <f t="shared" si="105"/>
        <v>45154</v>
      </c>
      <c r="C273" s="138">
        <f t="shared" si="111"/>
        <v>37</v>
      </c>
      <c r="D273" s="84">
        <v>37</v>
      </c>
      <c r="E273" s="84">
        <v>37</v>
      </c>
      <c r="F273" s="84"/>
      <c r="G273" s="84"/>
      <c r="H273" s="84"/>
      <c r="I273" s="84"/>
      <c r="J273" s="84"/>
      <c r="K273" s="84"/>
      <c r="L273" s="140">
        <f t="shared" si="112"/>
        <v>7.8</v>
      </c>
      <c r="M273" s="86">
        <v>7.83</v>
      </c>
      <c r="N273" s="86">
        <v>7.86</v>
      </c>
      <c r="O273" s="86"/>
      <c r="P273" s="86"/>
      <c r="Q273" s="86"/>
      <c r="R273" s="86"/>
      <c r="S273" s="86"/>
      <c r="T273" s="86"/>
      <c r="U273" s="142">
        <f t="shared" si="113"/>
        <v>865.1</v>
      </c>
      <c r="V273" s="88">
        <v>994.8</v>
      </c>
      <c r="W273" s="88">
        <v>735.3</v>
      </c>
      <c r="X273" s="88"/>
      <c r="Y273" s="88"/>
      <c r="Z273" s="88"/>
      <c r="AA273" s="88"/>
      <c r="AB273" s="88"/>
      <c r="AC273" s="88"/>
      <c r="AD273" s="142" t="str">
        <f t="shared" si="114"/>
        <v/>
      </c>
      <c r="AE273" s="88"/>
      <c r="AF273" s="88"/>
      <c r="AG273" s="88"/>
      <c r="AH273" s="88"/>
      <c r="AI273" s="88"/>
      <c r="AJ273" s="88"/>
      <c r="AK273" s="88"/>
      <c r="AL273" s="88"/>
      <c r="AM273" s="88">
        <v>31.671475541837214</v>
      </c>
      <c r="AN273" s="88">
        <v>149.03</v>
      </c>
      <c r="AO273" s="89"/>
      <c r="AP273" s="90"/>
      <c r="AQ273" s="146" t="str">
        <f t="shared" si="115"/>
        <v/>
      </c>
      <c r="AR273" s="146" t="str">
        <f t="shared" si="116"/>
        <v/>
      </c>
      <c r="AS273" s="147">
        <v>46</v>
      </c>
      <c r="AT273" s="148">
        <v>14.1</v>
      </c>
      <c r="AU273" s="149">
        <v>7.7113499999999995</v>
      </c>
      <c r="AV273" s="146">
        <f t="shared" si="117"/>
        <v>54.69042553191489</v>
      </c>
      <c r="AW273" s="146">
        <f t="shared" si="118"/>
        <v>45.30957446808511</v>
      </c>
      <c r="AX273" s="138" t="str">
        <f t="shared" si="119"/>
        <v/>
      </c>
      <c r="AY273" s="95">
        <v>75.400000000000006</v>
      </c>
      <c r="AZ273" s="96">
        <v>62.69</v>
      </c>
      <c r="BA273" s="96"/>
      <c r="BB273" s="96">
        <v>60</v>
      </c>
      <c r="BC273" s="96"/>
      <c r="BD273" s="97">
        <v>149.03</v>
      </c>
      <c r="BE273" s="142">
        <f t="shared" si="120"/>
        <v>6539</v>
      </c>
      <c r="BF273" s="98">
        <v>0</v>
      </c>
      <c r="BG273" s="98">
        <v>0</v>
      </c>
      <c r="BH273" s="98">
        <v>0</v>
      </c>
      <c r="BI273" s="98">
        <v>6539</v>
      </c>
      <c r="BJ273" s="98"/>
      <c r="BK273" s="98"/>
      <c r="BL273" s="97"/>
    </row>
    <row r="274" spans="1:64" outlineLevel="5" x14ac:dyDescent="0.3">
      <c r="A274" s="152">
        <f t="shared" si="106"/>
        <v>8</v>
      </c>
      <c r="B274" s="153">
        <f t="shared" si="105"/>
        <v>45155</v>
      </c>
      <c r="C274" s="138">
        <f t="shared" si="111"/>
        <v>37</v>
      </c>
      <c r="D274" s="84">
        <v>37</v>
      </c>
      <c r="E274" s="84">
        <v>37</v>
      </c>
      <c r="F274" s="84"/>
      <c r="G274" s="84"/>
      <c r="H274" s="84"/>
      <c r="I274" s="84"/>
      <c r="J274" s="84"/>
      <c r="K274" s="84"/>
      <c r="L274" s="140">
        <f t="shared" si="112"/>
        <v>7.8</v>
      </c>
      <c r="M274" s="86">
        <v>7.84</v>
      </c>
      <c r="N274" s="86">
        <v>7.85</v>
      </c>
      <c r="O274" s="86"/>
      <c r="P274" s="86"/>
      <c r="Q274" s="86"/>
      <c r="R274" s="86"/>
      <c r="S274" s="86"/>
      <c r="T274" s="86"/>
      <c r="U274" s="142">
        <f t="shared" si="113"/>
        <v>719.1</v>
      </c>
      <c r="V274" s="88">
        <v>832.6</v>
      </c>
      <c r="W274" s="88">
        <v>605.5</v>
      </c>
      <c r="X274" s="88"/>
      <c r="Y274" s="88"/>
      <c r="Z274" s="88"/>
      <c r="AA274" s="88"/>
      <c r="AB274" s="88"/>
      <c r="AC274" s="88"/>
      <c r="AD274" s="142" t="str">
        <f t="shared" si="114"/>
        <v/>
      </c>
      <c r="AE274" s="88"/>
      <c r="AF274" s="88"/>
      <c r="AG274" s="88"/>
      <c r="AH274" s="88"/>
      <c r="AI274" s="88"/>
      <c r="AJ274" s="88"/>
      <c r="AK274" s="88"/>
      <c r="AL274" s="88"/>
      <c r="AM274" s="88">
        <v>29.932145348468513</v>
      </c>
      <c r="AN274" s="88">
        <v>157.69</v>
      </c>
      <c r="AO274" s="89"/>
      <c r="AP274" s="90"/>
      <c r="AQ274" s="146" t="str">
        <f t="shared" si="115"/>
        <v/>
      </c>
      <c r="AR274" s="146" t="str">
        <f t="shared" si="116"/>
        <v/>
      </c>
      <c r="AS274" s="147">
        <v>50</v>
      </c>
      <c r="AT274" s="148">
        <v>14.350000000000001</v>
      </c>
      <c r="AU274" s="149">
        <v>7.3182500000000008</v>
      </c>
      <c r="AV274" s="146">
        <f t="shared" si="117"/>
        <v>50.998257839721248</v>
      </c>
      <c r="AW274" s="146">
        <f t="shared" si="118"/>
        <v>49.001742160278752</v>
      </c>
      <c r="AX274" s="138" t="str">
        <f t="shared" si="119"/>
        <v/>
      </c>
      <c r="AY274" s="95">
        <v>74.5</v>
      </c>
      <c r="AZ274" s="96">
        <v>61.685000000000002</v>
      </c>
      <c r="BA274" s="96"/>
      <c r="BB274" s="96">
        <v>93</v>
      </c>
      <c r="BC274" s="96"/>
      <c r="BD274" s="97">
        <v>157.69</v>
      </c>
      <c r="BE274" s="142">
        <f t="shared" si="120"/>
        <v>6551</v>
      </c>
      <c r="BF274" s="98">
        <v>0</v>
      </c>
      <c r="BG274" s="98">
        <v>0</v>
      </c>
      <c r="BH274" s="98">
        <v>0</v>
      </c>
      <c r="BI274" s="98">
        <v>6551</v>
      </c>
      <c r="BJ274" s="98"/>
      <c r="BK274" s="98"/>
      <c r="BL274" s="97"/>
    </row>
    <row r="275" spans="1:64" outlineLevel="5" x14ac:dyDescent="0.3">
      <c r="A275" s="152">
        <f t="shared" si="106"/>
        <v>8</v>
      </c>
      <c r="B275" s="153">
        <f t="shared" si="105"/>
        <v>45156</v>
      </c>
      <c r="C275" s="138">
        <f t="shared" si="111"/>
        <v>37.4</v>
      </c>
      <c r="D275" s="84">
        <v>37.5</v>
      </c>
      <c r="E275" s="84">
        <v>37.299999999999997</v>
      </c>
      <c r="F275" s="84"/>
      <c r="G275" s="84"/>
      <c r="H275" s="84"/>
      <c r="I275" s="84"/>
      <c r="J275" s="84"/>
      <c r="K275" s="84"/>
      <c r="L275" s="140" t="str">
        <f t="shared" si="112"/>
        <v/>
      </c>
      <c r="M275" s="86"/>
      <c r="N275" s="86"/>
      <c r="O275" s="86"/>
      <c r="P275" s="86"/>
      <c r="Q275" s="86"/>
      <c r="R275" s="86"/>
      <c r="S275" s="86"/>
      <c r="T275" s="86"/>
      <c r="U275" s="142" t="str">
        <f t="shared" si="113"/>
        <v/>
      </c>
      <c r="V275" s="88"/>
      <c r="W275" s="88"/>
      <c r="X275" s="88"/>
      <c r="Y275" s="88"/>
      <c r="Z275" s="88"/>
      <c r="AA275" s="88"/>
      <c r="AB275" s="88"/>
      <c r="AC275" s="88"/>
      <c r="AD275" s="142" t="str">
        <f t="shared" si="114"/>
        <v/>
      </c>
      <c r="AE275" s="88"/>
      <c r="AF275" s="88"/>
      <c r="AG275" s="88"/>
      <c r="AH275" s="88"/>
      <c r="AI275" s="88"/>
      <c r="AJ275" s="88"/>
      <c r="AK275" s="88"/>
      <c r="AL275" s="88"/>
      <c r="AM275" s="88">
        <v>44.19889502762431</v>
      </c>
      <c r="AN275" s="88">
        <v>106.78999999999999</v>
      </c>
      <c r="AO275" s="89"/>
      <c r="AP275" s="90"/>
      <c r="AQ275" s="146" t="str">
        <f t="shared" si="115"/>
        <v/>
      </c>
      <c r="AR275" s="146" t="str">
        <f t="shared" si="116"/>
        <v/>
      </c>
      <c r="AS275" s="147">
        <v>20</v>
      </c>
      <c r="AT275" s="148"/>
      <c r="AU275" s="149"/>
      <c r="AV275" s="146" t="str">
        <f t="shared" si="117"/>
        <v/>
      </c>
      <c r="AW275" s="146" t="str">
        <f t="shared" si="118"/>
        <v/>
      </c>
      <c r="AX275" s="138" t="str">
        <f t="shared" si="119"/>
        <v/>
      </c>
      <c r="AY275" s="95"/>
      <c r="AZ275" s="96">
        <v>61.704999999999998</v>
      </c>
      <c r="BA275" s="96"/>
      <c r="BB275" s="96">
        <v>87.5</v>
      </c>
      <c r="BC275" s="96"/>
      <c r="BD275" s="97">
        <v>106.78999999999999</v>
      </c>
      <c r="BE275" s="142">
        <f t="shared" si="120"/>
        <v>6452</v>
      </c>
      <c r="BF275" s="98">
        <v>0</v>
      </c>
      <c r="BG275" s="98">
        <v>0</v>
      </c>
      <c r="BH275" s="98">
        <v>0</v>
      </c>
      <c r="BI275" s="98">
        <v>6452</v>
      </c>
      <c r="BJ275" s="98"/>
      <c r="BK275" s="98"/>
      <c r="BL275" s="97"/>
    </row>
    <row r="276" spans="1:64" outlineLevel="5" x14ac:dyDescent="0.3">
      <c r="A276" s="152">
        <f t="shared" si="106"/>
        <v>8</v>
      </c>
      <c r="B276" s="153">
        <f t="shared" si="105"/>
        <v>45157</v>
      </c>
      <c r="C276" s="138" t="str">
        <f t="shared" si="111"/>
        <v/>
      </c>
      <c r="D276" s="84"/>
      <c r="E276" s="84"/>
      <c r="F276" s="84"/>
      <c r="G276" s="84"/>
      <c r="H276" s="84"/>
      <c r="I276" s="84"/>
      <c r="J276" s="84"/>
      <c r="K276" s="84"/>
      <c r="L276" s="140" t="str">
        <f t="shared" si="112"/>
        <v/>
      </c>
      <c r="M276" s="86"/>
      <c r="N276" s="86"/>
      <c r="O276" s="86"/>
      <c r="P276" s="86"/>
      <c r="Q276" s="86"/>
      <c r="R276" s="86"/>
      <c r="S276" s="86"/>
      <c r="T276" s="86"/>
      <c r="U276" s="142" t="str">
        <f t="shared" si="113"/>
        <v/>
      </c>
      <c r="V276" s="88"/>
      <c r="W276" s="88"/>
      <c r="X276" s="88"/>
      <c r="Y276" s="88"/>
      <c r="Z276" s="88"/>
      <c r="AA276" s="88"/>
      <c r="AB276" s="88"/>
      <c r="AC276" s="88"/>
      <c r="AD276" s="142" t="str">
        <f t="shared" si="114"/>
        <v/>
      </c>
      <c r="AE276" s="88"/>
      <c r="AF276" s="88"/>
      <c r="AG276" s="88"/>
      <c r="AH276" s="88"/>
      <c r="AI276" s="88"/>
      <c r="AJ276" s="88"/>
      <c r="AK276" s="88"/>
      <c r="AL276" s="88"/>
      <c r="AM276" s="88">
        <v>53.454133635334088</v>
      </c>
      <c r="AN276" s="88">
        <v>88.3</v>
      </c>
      <c r="AO276" s="89"/>
      <c r="AP276" s="90"/>
      <c r="AQ276" s="146" t="str">
        <f t="shared" si="115"/>
        <v/>
      </c>
      <c r="AR276" s="146" t="str">
        <f t="shared" si="116"/>
        <v/>
      </c>
      <c r="AS276" s="147">
        <v>10</v>
      </c>
      <c r="AT276" s="148"/>
      <c r="AU276" s="149"/>
      <c r="AV276" s="146" t="str">
        <f t="shared" si="117"/>
        <v/>
      </c>
      <c r="AW276" s="146" t="str">
        <f t="shared" si="118"/>
        <v/>
      </c>
      <c r="AX276" s="138" t="str">
        <f t="shared" si="119"/>
        <v/>
      </c>
      <c r="AY276" s="95"/>
      <c r="AZ276" s="96"/>
      <c r="BA276" s="96"/>
      <c r="BB276" s="96"/>
      <c r="BC276" s="96"/>
      <c r="BD276" s="97">
        <v>88.3</v>
      </c>
      <c r="BE276" s="142">
        <f t="shared" si="120"/>
        <v>6666</v>
      </c>
      <c r="BF276" s="98">
        <v>0</v>
      </c>
      <c r="BG276" s="98">
        <v>0</v>
      </c>
      <c r="BH276" s="98">
        <v>0</v>
      </c>
      <c r="BI276" s="98">
        <v>6666</v>
      </c>
      <c r="BJ276" s="98"/>
      <c r="BK276" s="98"/>
      <c r="BL276" s="97"/>
    </row>
    <row r="277" spans="1:64" outlineLevel="5" x14ac:dyDescent="0.3">
      <c r="A277" s="152">
        <f t="shared" si="106"/>
        <v>8</v>
      </c>
      <c r="B277" s="153">
        <f t="shared" si="105"/>
        <v>45158</v>
      </c>
      <c r="C277" s="138" t="str">
        <f t="shared" si="111"/>
        <v/>
      </c>
      <c r="D277" s="84"/>
      <c r="E277" s="84"/>
      <c r="F277" s="84"/>
      <c r="G277" s="84"/>
      <c r="H277" s="84"/>
      <c r="I277" s="84"/>
      <c r="J277" s="84"/>
      <c r="K277" s="84"/>
      <c r="L277" s="140" t="str">
        <f t="shared" si="112"/>
        <v/>
      </c>
      <c r="M277" s="86"/>
      <c r="N277" s="86"/>
      <c r="O277" s="86"/>
      <c r="P277" s="86"/>
      <c r="Q277" s="86"/>
      <c r="R277" s="86"/>
      <c r="S277" s="86"/>
      <c r="T277" s="86"/>
      <c r="U277" s="142" t="str">
        <f t="shared" si="113"/>
        <v/>
      </c>
      <c r="V277" s="88"/>
      <c r="W277" s="88"/>
      <c r="X277" s="88"/>
      <c r="Y277" s="88"/>
      <c r="Z277" s="88"/>
      <c r="AA277" s="88"/>
      <c r="AB277" s="88"/>
      <c r="AC277" s="88"/>
      <c r="AD277" s="142" t="str">
        <f t="shared" si="114"/>
        <v/>
      </c>
      <c r="AE277" s="88"/>
      <c r="AF277" s="88"/>
      <c r="AG277" s="88"/>
      <c r="AH277" s="88"/>
      <c r="AI277" s="88"/>
      <c r="AJ277" s="88"/>
      <c r="AK277" s="88"/>
      <c r="AL277" s="88"/>
      <c r="AM277" s="88">
        <v>52.444444444444443</v>
      </c>
      <c r="AN277" s="88">
        <v>90</v>
      </c>
      <c r="AO277" s="89"/>
      <c r="AP277" s="90"/>
      <c r="AQ277" s="146" t="str">
        <f t="shared" si="115"/>
        <v/>
      </c>
      <c r="AR277" s="146" t="str">
        <f t="shared" si="116"/>
        <v/>
      </c>
      <c r="AS277" s="147">
        <v>15</v>
      </c>
      <c r="AT277" s="148"/>
      <c r="AU277" s="149"/>
      <c r="AV277" s="146" t="str">
        <f t="shared" si="117"/>
        <v/>
      </c>
      <c r="AW277" s="146" t="str">
        <f t="shared" si="118"/>
        <v/>
      </c>
      <c r="AX277" s="138" t="str">
        <f t="shared" si="119"/>
        <v/>
      </c>
      <c r="AY277" s="95"/>
      <c r="AZ277" s="96"/>
      <c r="BA277" s="96"/>
      <c r="BB277" s="96"/>
      <c r="BC277" s="96"/>
      <c r="BD277" s="97">
        <v>90</v>
      </c>
      <c r="BE277" s="142">
        <f t="shared" si="120"/>
        <v>6455</v>
      </c>
      <c r="BF277" s="98">
        <v>0</v>
      </c>
      <c r="BG277" s="98">
        <v>0</v>
      </c>
      <c r="BH277" s="98">
        <v>0</v>
      </c>
      <c r="BI277" s="98">
        <v>6455</v>
      </c>
      <c r="BJ277" s="98"/>
      <c r="BK277" s="98"/>
      <c r="BL277" s="97"/>
    </row>
    <row r="278" spans="1:64" outlineLevel="5" x14ac:dyDescent="0.3">
      <c r="A278" s="152">
        <f t="shared" si="106"/>
        <v>8</v>
      </c>
      <c r="B278" s="153">
        <f t="shared" si="105"/>
        <v>45159</v>
      </c>
      <c r="C278" s="138">
        <f t="shared" si="111"/>
        <v>37.4</v>
      </c>
      <c r="D278" s="84">
        <v>37.5</v>
      </c>
      <c r="E278" s="84">
        <v>37.299999999999997</v>
      </c>
      <c r="F278" s="84"/>
      <c r="G278" s="84"/>
      <c r="H278" s="84"/>
      <c r="I278" s="84"/>
      <c r="J278" s="84"/>
      <c r="K278" s="84"/>
      <c r="L278" s="140">
        <f t="shared" si="112"/>
        <v>7.9</v>
      </c>
      <c r="M278" s="86">
        <v>7.93</v>
      </c>
      <c r="N278" s="86">
        <v>7.91</v>
      </c>
      <c r="O278" s="86"/>
      <c r="P278" s="86"/>
      <c r="Q278" s="86"/>
      <c r="R278" s="86"/>
      <c r="S278" s="86"/>
      <c r="T278" s="86"/>
      <c r="U278" s="142">
        <f t="shared" si="113"/>
        <v>707.8</v>
      </c>
      <c r="V278" s="88">
        <v>810</v>
      </c>
      <c r="W278" s="88">
        <v>605.5</v>
      </c>
      <c r="X278" s="88"/>
      <c r="Y278" s="88"/>
      <c r="Z278" s="88"/>
      <c r="AA278" s="88"/>
      <c r="AB278" s="88"/>
      <c r="AC278" s="88"/>
      <c r="AD278" s="142" t="str">
        <f t="shared" si="114"/>
        <v/>
      </c>
      <c r="AE278" s="88"/>
      <c r="AF278" s="88"/>
      <c r="AG278" s="88"/>
      <c r="AH278" s="88"/>
      <c r="AI278" s="88"/>
      <c r="AJ278" s="88"/>
      <c r="AK278" s="88"/>
      <c r="AL278" s="88"/>
      <c r="AM278" s="88">
        <v>33.750446907400786</v>
      </c>
      <c r="AN278" s="88">
        <v>139.85</v>
      </c>
      <c r="AO278" s="89">
        <v>15.2</v>
      </c>
      <c r="AP278" s="90">
        <v>12.281599999999999</v>
      </c>
      <c r="AQ278" s="146">
        <f t="shared" si="115"/>
        <v>80.8</v>
      </c>
      <c r="AR278" s="146">
        <f t="shared" si="116"/>
        <v>19.200000000000003</v>
      </c>
      <c r="AS278" s="147">
        <v>42</v>
      </c>
      <c r="AT278" s="148">
        <v>13.55</v>
      </c>
      <c r="AU278" s="149">
        <v>7.5871500000000003</v>
      </c>
      <c r="AV278" s="146">
        <f t="shared" si="117"/>
        <v>55.993726937269372</v>
      </c>
      <c r="AW278" s="146">
        <f t="shared" si="118"/>
        <v>44.006273062730628</v>
      </c>
      <c r="AX278" s="138">
        <f t="shared" si="119"/>
        <v>69.764674128766075</v>
      </c>
      <c r="AY278" s="95">
        <v>75.45</v>
      </c>
      <c r="AZ278" s="96">
        <v>59.71</v>
      </c>
      <c r="BA278" s="96"/>
      <c r="BB278" s="96">
        <v>98</v>
      </c>
      <c r="BC278" s="96"/>
      <c r="BD278" s="97">
        <v>139.85</v>
      </c>
      <c r="BE278" s="142">
        <f t="shared" si="120"/>
        <v>6864</v>
      </c>
      <c r="BF278" s="98">
        <v>0</v>
      </c>
      <c r="BG278" s="98">
        <v>0</v>
      </c>
      <c r="BH278" s="98">
        <v>0</v>
      </c>
      <c r="BI278" s="98">
        <v>6864</v>
      </c>
      <c r="BJ278" s="98"/>
      <c r="BK278" s="98"/>
      <c r="BL278" s="97"/>
    </row>
    <row r="279" spans="1:64" outlineLevel="5" x14ac:dyDescent="0.3">
      <c r="A279" s="152">
        <f t="shared" si="106"/>
        <v>8</v>
      </c>
      <c r="B279" s="153">
        <f t="shared" si="105"/>
        <v>45160</v>
      </c>
      <c r="C279" s="138" t="str">
        <f t="shared" si="111"/>
        <v/>
      </c>
      <c r="D279" s="84"/>
      <c r="E279" s="84"/>
      <c r="F279" s="84"/>
      <c r="G279" s="84"/>
      <c r="H279" s="84"/>
      <c r="I279" s="84"/>
      <c r="J279" s="84"/>
      <c r="K279" s="84"/>
      <c r="L279" s="140" t="str">
        <f t="shared" si="112"/>
        <v/>
      </c>
      <c r="M279" s="86"/>
      <c r="N279" s="86"/>
      <c r="O279" s="86"/>
      <c r="P279" s="86"/>
      <c r="Q279" s="86"/>
      <c r="R279" s="86"/>
      <c r="S279" s="86"/>
      <c r="T279" s="86"/>
      <c r="U279" s="142" t="str">
        <f t="shared" si="113"/>
        <v/>
      </c>
      <c r="V279" s="88"/>
      <c r="W279" s="88"/>
      <c r="X279" s="88"/>
      <c r="Y279" s="88"/>
      <c r="Z279" s="88"/>
      <c r="AA279" s="88"/>
      <c r="AB279" s="88"/>
      <c r="AC279" s="88"/>
      <c r="AD279" s="142" t="str">
        <f t="shared" si="114"/>
        <v/>
      </c>
      <c r="AE279" s="88"/>
      <c r="AF279" s="88"/>
      <c r="AG279" s="88"/>
      <c r="AH279" s="88"/>
      <c r="AI279" s="88"/>
      <c r="AJ279" s="88"/>
      <c r="AK279" s="88"/>
      <c r="AL279" s="88"/>
      <c r="AM279" s="88">
        <v>36.546651180797518</v>
      </c>
      <c r="AN279" s="88">
        <v>129.15</v>
      </c>
      <c r="AO279" s="89"/>
      <c r="AP279" s="90"/>
      <c r="AQ279" s="146" t="str">
        <f t="shared" si="115"/>
        <v/>
      </c>
      <c r="AR279" s="146" t="str">
        <f t="shared" si="116"/>
        <v/>
      </c>
      <c r="AS279" s="147">
        <v>45</v>
      </c>
      <c r="AT279" s="148"/>
      <c r="AU279" s="149"/>
      <c r="AV279" s="146" t="str">
        <f t="shared" si="117"/>
        <v/>
      </c>
      <c r="AW279" s="146" t="str">
        <f t="shared" si="118"/>
        <v/>
      </c>
      <c r="AX279" s="138" t="str">
        <f t="shared" si="119"/>
        <v/>
      </c>
      <c r="AY279" s="95"/>
      <c r="AZ279" s="96">
        <v>59.989999999999995</v>
      </c>
      <c r="BA279" s="96"/>
      <c r="BB279" s="96"/>
      <c r="BC279" s="96"/>
      <c r="BD279" s="97">
        <v>129.15</v>
      </c>
      <c r="BE279" s="142">
        <f t="shared" si="120"/>
        <v>6577</v>
      </c>
      <c r="BF279" s="98">
        <v>0</v>
      </c>
      <c r="BG279" s="98">
        <v>0</v>
      </c>
      <c r="BH279" s="98">
        <v>0</v>
      </c>
      <c r="BI279" s="98">
        <v>6577</v>
      </c>
      <c r="BJ279" s="98"/>
      <c r="BK279" s="98"/>
      <c r="BL279" s="97"/>
    </row>
    <row r="280" spans="1:64" outlineLevel="5" x14ac:dyDescent="0.3">
      <c r="A280" s="152">
        <f t="shared" si="106"/>
        <v>8</v>
      </c>
      <c r="B280" s="153">
        <f t="shared" si="105"/>
        <v>45161</v>
      </c>
      <c r="C280" s="138">
        <f t="shared" si="111"/>
        <v>37</v>
      </c>
      <c r="D280" s="84">
        <v>37</v>
      </c>
      <c r="E280" s="84">
        <v>37</v>
      </c>
      <c r="F280" s="84"/>
      <c r="G280" s="84"/>
      <c r="H280" s="84"/>
      <c r="I280" s="84"/>
      <c r="J280" s="84"/>
      <c r="K280" s="84"/>
      <c r="L280" s="140">
        <f t="shared" si="112"/>
        <v>7.9</v>
      </c>
      <c r="M280" s="86">
        <v>7.95</v>
      </c>
      <c r="N280" s="86">
        <v>7.92</v>
      </c>
      <c r="O280" s="86"/>
      <c r="P280" s="86"/>
      <c r="Q280" s="86"/>
      <c r="R280" s="86"/>
      <c r="S280" s="86"/>
      <c r="T280" s="86"/>
      <c r="U280" s="142">
        <f t="shared" si="113"/>
        <v>708.3</v>
      </c>
      <c r="V280" s="88">
        <v>767.7</v>
      </c>
      <c r="W280" s="88">
        <v>648.79999999999995</v>
      </c>
      <c r="X280" s="88"/>
      <c r="Y280" s="88"/>
      <c r="Z280" s="88"/>
      <c r="AA280" s="88"/>
      <c r="AB280" s="88"/>
      <c r="AC280" s="88"/>
      <c r="AD280" s="142" t="str">
        <f t="shared" si="114"/>
        <v/>
      </c>
      <c r="AE280" s="88"/>
      <c r="AF280" s="88"/>
      <c r="AG280" s="88"/>
      <c r="AH280" s="88"/>
      <c r="AI280" s="88"/>
      <c r="AJ280" s="88"/>
      <c r="AK280" s="88"/>
      <c r="AL280" s="88"/>
      <c r="AM280" s="88">
        <v>38.414584520224629</v>
      </c>
      <c r="AN280" s="88">
        <v>122.87</v>
      </c>
      <c r="AO280" s="89"/>
      <c r="AP280" s="90"/>
      <c r="AQ280" s="146" t="str">
        <f t="shared" si="115"/>
        <v/>
      </c>
      <c r="AR280" s="146" t="str">
        <f t="shared" si="116"/>
        <v/>
      </c>
      <c r="AS280" s="147">
        <v>50</v>
      </c>
      <c r="AT280" s="148">
        <v>13</v>
      </c>
      <c r="AU280" s="149">
        <v>8.1867999999999999</v>
      </c>
      <c r="AV280" s="146">
        <f t="shared" si="117"/>
        <v>62.975384615384613</v>
      </c>
      <c r="AW280" s="146">
        <f t="shared" si="118"/>
        <v>37.024615384615387</v>
      </c>
      <c r="AX280" s="138" t="str">
        <f t="shared" si="119"/>
        <v/>
      </c>
      <c r="AY280" s="95">
        <v>74.7</v>
      </c>
      <c r="AZ280" s="96">
        <v>63.239999999999995</v>
      </c>
      <c r="BA280" s="96"/>
      <c r="BB280" s="96">
        <v>60</v>
      </c>
      <c r="BC280" s="96"/>
      <c r="BD280" s="97">
        <v>122.87</v>
      </c>
      <c r="BE280" s="142">
        <f t="shared" si="120"/>
        <v>8856</v>
      </c>
      <c r="BF280" s="98">
        <v>0</v>
      </c>
      <c r="BG280" s="98">
        <v>728</v>
      </c>
      <c r="BH280" s="98">
        <v>1584</v>
      </c>
      <c r="BI280" s="98">
        <v>6544</v>
      </c>
      <c r="BJ280" s="98"/>
      <c r="BK280" s="98"/>
      <c r="BL280" s="97"/>
    </row>
    <row r="281" spans="1:64" outlineLevel="5" x14ac:dyDescent="0.3">
      <c r="A281" s="152">
        <f t="shared" si="106"/>
        <v>8</v>
      </c>
      <c r="B281" s="153">
        <f t="shared" si="105"/>
        <v>45162</v>
      </c>
      <c r="C281" s="138">
        <f t="shared" si="111"/>
        <v>37</v>
      </c>
      <c r="D281" s="84">
        <v>37</v>
      </c>
      <c r="E281" s="84">
        <v>37</v>
      </c>
      <c r="F281" s="84"/>
      <c r="G281" s="84"/>
      <c r="H281" s="84"/>
      <c r="I281" s="84"/>
      <c r="J281" s="84"/>
      <c r="K281" s="84"/>
      <c r="L281" s="140">
        <f t="shared" si="112"/>
        <v>7.9</v>
      </c>
      <c r="M281" s="86">
        <v>7.91</v>
      </c>
      <c r="N281" s="86">
        <v>7.89</v>
      </c>
      <c r="O281" s="86"/>
      <c r="P281" s="86"/>
      <c r="Q281" s="86"/>
      <c r="R281" s="86"/>
      <c r="S281" s="86"/>
      <c r="T281" s="86"/>
      <c r="U281" s="142">
        <f t="shared" si="113"/>
        <v>794.8</v>
      </c>
      <c r="V281" s="88">
        <v>843.4</v>
      </c>
      <c r="W281" s="88">
        <v>746.1</v>
      </c>
      <c r="X281" s="88"/>
      <c r="Y281" s="88"/>
      <c r="Z281" s="88"/>
      <c r="AA281" s="88"/>
      <c r="AB281" s="88"/>
      <c r="AC281" s="88"/>
      <c r="AD281" s="142" t="str">
        <f t="shared" si="114"/>
        <v/>
      </c>
      <c r="AE281" s="88"/>
      <c r="AF281" s="88"/>
      <c r="AG281" s="88"/>
      <c r="AH281" s="88"/>
      <c r="AI281" s="88"/>
      <c r="AJ281" s="88"/>
      <c r="AK281" s="88"/>
      <c r="AL281" s="88"/>
      <c r="AM281" s="88">
        <v>36.456321927859733</v>
      </c>
      <c r="AN281" s="88">
        <v>129.47</v>
      </c>
      <c r="AO281" s="89"/>
      <c r="AP281" s="90"/>
      <c r="AQ281" s="146" t="str">
        <f t="shared" si="115"/>
        <v/>
      </c>
      <c r="AR281" s="146" t="str">
        <f t="shared" si="116"/>
        <v/>
      </c>
      <c r="AS281" s="147">
        <v>44</v>
      </c>
      <c r="AT281" s="148">
        <v>13.2</v>
      </c>
      <c r="AU281" s="149">
        <v>7.1520000000000001</v>
      </c>
      <c r="AV281" s="146">
        <f t="shared" si="117"/>
        <v>54.181818181818187</v>
      </c>
      <c r="AW281" s="146">
        <f t="shared" si="118"/>
        <v>45.818181818181813</v>
      </c>
      <c r="AX281" s="138" t="str">
        <f t="shared" si="119"/>
        <v/>
      </c>
      <c r="AY281" s="95">
        <v>74.3</v>
      </c>
      <c r="AZ281" s="96">
        <v>61.625</v>
      </c>
      <c r="BA281" s="96"/>
      <c r="BB281" s="96">
        <v>63</v>
      </c>
      <c r="BC281" s="96"/>
      <c r="BD281" s="97">
        <v>129.47</v>
      </c>
      <c r="BE281" s="142">
        <f t="shared" si="120"/>
        <v>11719</v>
      </c>
      <c r="BF281" s="98">
        <v>0</v>
      </c>
      <c r="BG281" s="98">
        <v>0</v>
      </c>
      <c r="BH281" s="98">
        <v>5241</v>
      </c>
      <c r="BI281" s="98">
        <v>6478</v>
      </c>
      <c r="BJ281" s="98"/>
      <c r="BK281" s="98"/>
      <c r="BL281" s="97"/>
    </row>
    <row r="282" spans="1:64" outlineLevel="5" x14ac:dyDescent="0.3">
      <c r="A282" s="152">
        <f t="shared" si="106"/>
        <v>8</v>
      </c>
      <c r="B282" s="153">
        <f t="shared" si="105"/>
        <v>45163</v>
      </c>
      <c r="C282" s="138" t="str">
        <f t="shared" si="111"/>
        <v/>
      </c>
      <c r="D282" s="84"/>
      <c r="E282" s="84"/>
      <c r="F282" s="84"/>
      <c r="G282" s="84"/>
      <c r="H282" s="84"/>
      <c r="I282" s="84"/>
      <c r="J282" s="84"/>
      <c r="K282" s="84"/>
      <c r="L282" s="140" t="str">
        <f t="shared" si="112"/>
        <v/>
      </c>
      <c r="M282" s="86"/>
      <c r="N282" s="86"/>
      <c r="O282" s="86"/>
      <c r="P282" s="86"/>
      <c r="Q282" s="86"/>
      <c r="R282" s="86"/>
      <c r="S282" s="86"/>
      <c r="T282" s="86"/>
      <c r="U282" s="142" t="str">
        <f t="shared" si="113"/>
        <v/>
      </c>
      <c r="V282" s="88"/>
      <c r="W282" s="88"/>
      <c r="X282" s="88"/>
      <c r="Y282" s="88"/>
      <c r="Z282" s="88"/>
      <c r="AA282" s="88"/>
      <c r="AB282" s="88"/>
      <c r="AC282" s="88"/>
      <c r="AD282" s="142" t="str">
        <f t="shared" si="114"/>
        <v/>
      </c>
      <c r="AE282" s="88"/>
      <c r="AF282" s="88"/>
      <c r="AG282" s="88"/>
      <c r="AH282" s="88"/>
      <c r="AI282" s="88"/>
      <c r="AJ282" s="88"/>
      <c r="AK282" s="88"/>
      <c r="AL282" s="88"/>
      <c r="AM282" s="88">
        <v>42.415528396836805</v>
      </c>
      <c r="AN282" s="88">
        <v>111.28</v>
      </c>
      <c r="AO282" s="89"/>
      <c r="AP282" s="90"/>
      <c r="AQ282" s="146" t="str">
        <f t="shared" si="115"/>
        <v/>
      </c>
      <c r="AR282" s="146" t="str">
        <f t="shared" si="116"/>
        <v/>
      </c>
      <c r="AS282" s="147">
        <v>25</v>
      </c>
      <c r="AT282" s="148"/>
      <c r="AU282" s="149"/>
      <c r="AV282" s="146" t="str">
        <f t="shared" si="117"/>
        <v/>
      </c>
      <c r="AW282" s="146" t="str">
        <f t="shared" si="118"/>
        <v/>
      </c>
      <c r="AX282" s="138" t="str">
        <f t="shared" si="119"/>
        <v/>
      </c>
      <c r="AY282" s="95"/>
      <c r="AZ282" s="96">
        <v>62.32</v>
      </c>
      <c r="BA282" s="96"/>
      <c r="BB282" s="96">
        <v>69</v>
      </c>
      <c r="BC282" s="96"/>
      <c r="BD282" s="97">
        <v>111.28</v>
      </c>
      <c r="BE282" s="142">
        <f t="shared" si="120"/>
        <v>10466</v>
      </c>
      <c r="BF282" s="98">
        <v>1315</v>
      </c>
      <c r="BG282" s="98">
        <v>0</v>
      </c>
      <c r="BH282" s="98">
        <v>2658</v>
      </c>
      <c r="BI282" s="98">
        <v>6493</v>
      </c>
      <c r="BJ282" s="98"/>
      <c r="BK282" s="98"/>
      <c r="BL282" s="97"/>
    </row>
    <row r="283" spans="1:64" outlineLevel="5" x14ac:dyDescent="0.3">
      <c r="A283" s="152">
        <f t="shared" si="106"/>
        <v>8</v>
      </c>
      <c r="B283" s="153">
        <f t="shared" si="105"/>
        <v>45164</v>
      </c>
      <c r="C283" s="138" t="str">
        <f t="shared" si="111"/>
        <v/>
      </c>
      <c r="D283" s="84"/>
      <c r="E283" s="84"/>
      <c r="F283" s="84"/>
      <c r="G283" s="84"/>
      <c r="H283" s="84"/>
      <c r="I283" s="84"/>
      <c r="J283" s="84"/>
      <c r="K283" s="84"/>
      <c r="L283" s="140" t="str">
        <f t="shared" si="112"/>
        <v/>
      </c>
      <c r="M283" s="86"/>
      <c r="N283" s="86"/>
      <c r="O283" s="86"/>
      <c r="P283" s="86"/>
      <c r="Q283" s="86"/>
      <c r="R283" s="86"/>
      <c r="S283" s="86"/>
      <c r="T283" s="86"/>
      <c r="U283" s="142" t="str">
        <f t="shared" si="113"/>
        <v/>
      </c>
      <c r="V283" s="88"/>
      <c r="W283" s="88"/>
      <c r="X283" s="88"/>
      <c r="Y283" s="88"/>
      <c r="Z283" s="88"/>
      <c r="AA283" s="88"/>
      <c r="AB283" s="88"/>
      <c r="AC283" s="88"/>
      <c r="AD283" s="142" t="str">
        <f t="shared" si="114"/>
        <v/>
      </c>
      <c r="AE283" s="88"/>
      <c r="AF283" s="88"/>
      <c r="AG283" s="88"/>
      <c r="AH283" s="88"/>
      <c r="AI283" s="88"/>
      <c r="AJ283" s="88"/>
      <c r="AK283" s="88"/>
      <c r="AL283" s="88"/>
      <c r="AM283" s="88">
        <v>57.963895370256658</v>
      </c>
      <c r="AN283" s="88">
        <v>81.430000000000007</v>
      </c>
      <c r="AO283" s="89"/>
      <c r="AP283" s="90"/>
      <c r="AQ283" s="146" t="str">
        <f t="shared" si="115"/>
        <v/>
      </c>
      <c r="AR283" s="146" t="str">
        <f t="shared" si="116"/>
        <v/>
      </c>
      <c r="AS283" s="147">
        <v>10</v>
      </c>
      <c r="AT283" s="148"/>
      <c r="AU283" s="149"/>
      <c r="AV283" s="146" t="str">
        <f t="shared" si="117"/>
        <v/>
      </c>
      <c r="AW283" s="146" t="str">
        <f t="shared" si="118"/>
        <v/>
      </c>
      <c r="AX283" s="138" t="str">
        <f t="shared" si="119"/>
        <v/>
      </c>
      <c r="AY283" s="95"/>
      <c r="AZ283" s="96"/>
      <c r="BA283" s="96"/>
      <c r="BB283" s="96"/>
      <c r="BC283" s="96"/>
      <c r="BD283" s="97">
        <v>81.430000000000007</v>
      </c>
      <c r="BE283" s="142">
        <f t="shared" si="120"/>
        <v>7155</v>
      </c>
      <c r="BF283" s="98">
        <v>680</v>
      </c>
      <c r="BG283" s="98">
        <v>0</v>
      </c>
      <c r="BH283" s="98">
        <v>58</v>
      </c>
      <c r="BI283" s="98">
        <v>6417</v>
      </c>
      <c r="BJ283" s="98"/>
      <c r="BK283" s="98"/>
      <c r="BL283" s="97"/>
    </row>
    <row r="284" spans="1:64" outlineLevel="5" x14ac:dyDescent="0.3">
      <c r="A284" s="152">
        <f t="shared" si="106"/>
        <v>8</v>
      </c>
      <c r="B284" s="153">
        <f t="shared" si="105"/>
        <v>45165</v>
      </c>
      <c r="C284" s="138" t="str">
        <f t="shared" si="111"/>
        <v/>
      </c>
      <c r="D284" s="84"/>
      <c r="E284" s="84"/>
      <c r="F284" s="84"/>
      <c r="G284" s="84"/>
      <c r="H284" s="84"/>
      <c r="I284" s="84"/>
      <c r="J284" s="84"/>
      <c r="K284" s="84"/>
      <c r="L284" s="140" t="str">
        <f t="shared" si="112"/>
        <v/>
      </c>
      <c r="M284" s="86"/>
      <c r="N284" s="86"/>
      <c r="O284" s="86"/>
      <c r="P284" s="86"/>
      <c r="Q284" s="86"/>
      <c r="R284" s="86"/>
      <c r="S284" s="86"/>
      <c r="T284" s="86"/>
      <c r="U284" s="142" t="str">
        <f t="shared" si="113"/>
        <v/>
      </c>
      <c r="V284" s="88"/>
      <c r="W284" s="88"/>
      <c r="X284" s="88"/>
      <c r="Y284" s="88"/>
      <c r="Z284" s="88"/>
      <c r="AA284" s="88"/>
      <c r="AB284" s="88"/>
      <c r="AC284" s="88"/>
      <c r="AD284" s="142" t="str">
        <f t="shared" si="114"/>
        <v/>
      </c>
      <c r="AE284" s="88"/>
      <c r="AF284" s="88"/>
      <c r="AG284" s="88"/>
      <c r="AH284" s="88"/>
      <c r="AI284" s="88"/>
      <c r="AJ284" s="88"/>
      <c r="AK284" s="88"/>
      <c r="AL284" s="88"/>
      <c r="AM284" s="88">
        <v>55.529411764705884</v>
      </c>
      <c r="AN284" s="88">
        <v>85</v>
      </c>
      <c r="AO284" s="89"/>
      <c r="AP284" s="90"/>
      <c r="AQ284" s="146" t="str">
        <f t="shared" si="115"/>
        <v/>
      </c>
      <c r="AR284" s="146" t="str">
        <f t="shared" si="116"/>
        <v/>
      </c>
      <c r="AS284" s="147">
        <v>11</v>
      </c>
      <c r="AT284" s="148"/>
      <c r="AU284" s="149"/>
      <c r="AV284" s="146" t="str">
        <f t="shared" si="117"/>
        <v/>
      </c>
      <c r="AW284" s="146" t="str">
        <f t="shared" si="118"/>
        <v/>
      </c>
      <c r="AX284" s="138" t="str">
        <f t="shared" si="119"/>
        <v/>
      </c>
      <c r="AY284" s="95"/>
      <c r="AZ284" s="96"/>
      <c r="BA284" s="96"/>
      <c r="BB284" s="96"/>
      <c r="BC284" s="96"/>
      <c r="BD284" s="97">
        <v>85</v>
      </c>
      <c r="BE284" s="142">
        <f t="shared" si="120"/>
        <v>6136</v>
      </c>
      <c r="BF284" s="98">
        <v>0</v>
      </c>
      <c r="BG284" s="98">
        <v>0</v>
      </c>
      <c r="BH284" s="98">
        <v>0</v>
      </c>
      <c r="BI284" s="98">
        <v>6136</v>
      </c>
      <c r="BJ284" s="98"/>
      <c r="BK284" s="98"/>
      <c r="BL284" s="97"/>
    </row>
    <row r="285" spans="1:64" outlineLevel="5" x14ac:dyDescent="0.3">
      <c r="A285" s="152">
        <f t="shared" si="106"/>
        <v>8</v>
      </c>
      <c r="B285" s="153">
        <f t="shared" si="105"/>
        <v>45166</v>
      </c>
      <c r="C285" s="138">
        <f t="shared" si="111"/>
        <v>37.1</v>
      </c>
      <c r="D285" s="84">
        <v>37.1</v>
      </c>
      <c r="E285" s="84">
        <v>37</v>
      </c>
      <c r="F285" s="84"/>
      <c r="G285" s="84"/>
      <c r="H285" s="84"/>
      <c r="I285" s="84"/>
      <c r="J285" s="84"/>
      <c r="K285" s="84"/>
      <c r="L285" s="140">
        <f t="shared" si="112"/>
        <v>7.9</v>
      </c>
      <c r="M285" s="86">
        <v>7.91</v>
      </c>
      <c r="N285" s="86">
        <v>7.97</v>
      </c>
      <c r="O285" s="86"/>
      <c r="P285" s="86"/>
      <c r="Q285" s="86"/>
      <c r="R285" s="86"/>
      <c r="S285" s="86"/>
      <c r="T285" s="86"/>
      <c r="U285" s="142">
        <f t="shared" si="113"/>
        <v>562.29999999999995</v>
      </c>
      <c r="V285" s="88">
        <v>583.9</v>
      </c>
      <c r="W285" s="88">
        <v>540.6</v>
      </c>
      <c r="X285" s="88"/>
      <c r="Y285" s="88"/>
      <c r="Z285" s="88"/>
      <c r="AA285" s="88"/>
      <c r="AB285" s="88"/>
      <c r="AC285" s="88"/>
      <c r="AD285" s="142" t="str">
        <f t="shared" si="114"/>
        <v/>
      </c>
      <c r="AE285" s="88"/>
      <c r="AF285" s="88"/>
      <c r="AG285" s="88"/>
      <c r="AH285" s="88"/>
      <c r="AI285" s="88"/>
      <c r="AJ285" s="88"/>
      <c r="AK285" s="88"/>
      <c r="AL285" s="88"/>
      <c r="AM285" s="88">
        <v>42.169212900920215</v>
      </c>
      <c r="AN285" s="88">
        <v>111.93</v>
      </c>
      <c r="AO285" s="89"/>
      <c r="AP285" s="90"/>
      <c r="AQ285" s="146" t="str">
        <f t="shared" si="115"/>
        <v/>
      </c>
      <c r="AR285" s="146" t="str">
        <f t="shared" si="116"/>
        <v/>
      </c>
      <c r="AS285" s="147">
        <v>4</v>
      </c>
      <c r="AT285" s="148">
        <v>13.649999999999999</v>
      </c>
      <c r="AU285" s="149">
        <v>7.8886499999999993</v>
      </c>
      <c r="AV285" s="146">
        <f t="shared" si="117"/>
        <v>57.792307692307702</v>
      </c>
      <c r="AW285" s="146">
        <f t="shared" si="118"/>
        <v>42.207692307692298</v>
      </c>
      <c r="AX285" s="138" t="str">
        <f t="shared" si="119"/>
        <v/>
      </c>
      <c r="AY285" s="95">
        <v>75.55</v>
      </c>
      <c r="AZ285" s="96">
        <v>62.2</v>
      </c>
      <c r="BA285" s="96"/>
      <c r="BB285" s="96">
        <v>73</v>
      </c>
      <c r="BC285" s="96"/>
      <c r="BD285" s="97">
        <v>111.93</v>
      </c>
      <c r="BE285" s="142">
        <f t="shared" si="120"/>
        <v>4651</v>
      </c>
      <c r="BF285" s="98">
        <v>0</v>
      </c>
      <c r="BG285" s="98">
        <v>780</v>
      </c>
      <c r="BH285" s="98">
        <v>1019</v>
      </c>
      <c r="BI285" s="98">
        <v>2852</v>
      </c>
      <c r="BJ285" s="98"/>
      <c r="BK285" s="98"/>
      <c r="BL285" s="97"/>
    </row>
    <row r="286" spans="1:64" outlineLevel="5" x14ac:dyDescent="0.3">
      <c r="A286" s="152">
        <f t="shared" si="106"/>
        <v>8</v>
      </c>
      <c r="B286" s="153">
        <f t="shared" si="105"/>
        <v>45167</v>
      </c>
      <c r="C286" s="138" t="str">
        <f t="shared" si="111"/>
        <v/>
      </c>
      <c r="D286" s="84"/>
      <c r="E286" s="84"/>
      <c r="F286" s="84"/>
      <c r="G286" s="84"/>
      <c r="H286" s="84"/>
      <c r="I286" s="84"/>
      <c r="J286" s="84"/>
      <c r="K286" s="84"/>
      <c r="L286" s="140" t="str">
        <f t="shared" si="112"/>
        <v/>
      </c>
      <c r="M286" s="86"/>
      <c r="N286" s="86"/>
      <c r="O286" s="86"/>
      <c r="P286" s="86"/>
      <c r="Q286" s="86"/>
      <c r="R286" s="86"/>
      <c r="S286" s="86"/>
      <c r="T286" s="86"/>
      <c r="U286" s="142" t="str">
        <f t="shared" si="113"/>
        <v/>
      </c>
      <c r="V286" s="88"/>
      <c r="W286" s="88"/>
      <c r="X286" s="88"/>
      <c r="Y286" s="88"/>
      <c r="Z286" s="88"/>
      <c r="AA286" s="88"/>
      <c r="AB286" s="88"/>
      <c r="AC286" s="88"/>
      <c r="AD286" s="142" t="str">
        <f t="shared" si="114"/>
        <v/>
      </c>
      <c r="AE286" s="88"/>
      <c r="AF286" s="88"/>
      <c r="AG286" s="88"/>
      <c r="AH286" s="88"/>
      <c r="AI286" s="88"/>
      <c r="AJ286" s="88"/>
      <c r="AK286" s="88"/>
      <c r="AL286" s="88"/>
      <c r="AM286" s="88">
        <v>72.503840245775734</v>
      </c>
      <c r="AN286" s="88">
        <v>65.099999999999994</v>
      </c>
      <c r="AO286" s="89"/>
      <c r="AP286" s="90"/>
      <c r="AQ286" s="146" t="str">
        <f t="shared" si="115"/>
        <v/>
      </c>
      <c r="AR286" s="146" t="str">
        <f t="shared" si="116"/>
        <v/>
      </c>
      <c r="AS286" s="147">
        <v>30</v>
      </c>
      <c r="AT286" s="148"/>
      <c r="AU286" s="149"/>
      <c r="AV286" s="146" t="str">
        <f t="shared" si="117"/>
        <v/>
      </c>
      <c r="AW286" s="146" t="str">
        <f t="shared" si="118"/>
        <v/>
      </c>
      <c r="AX286" s="138" t="str">
        <f t="shared" si="119"/>
        <v/>
      </c>
      <c r="AY286" s="95"/>
      <c r="AZ286" s="96">
        <v>62.155000000000001</v>
      </c>
      <c r="BA286" s="96"/>
      <c r="BB286" s="96">
        <v>59.5</v>
      </c>
      <c r="BC286" s="96"/>
      <c r="BD286" s="97">
        <v>65.099999999999994</v>
      </c>
      <c r="BE286" s="142">
        <f t="shared" si="120"/>
        <v>9731</v>
      </c>
      <c r="BF286" s="98">
        <v>0</v>
      </c>
      <c r="BG286" s="98">
        <v>0</v>
      </c>
      <c r="BH286" s="98">
        <v>3057</v>
      </c>
      <c r="BI286" s="98">
        <v>6674</v>
      </c>
      <c r="BJ286" s="98"/>
      <c r="BK286" s="98"/>
      <c r="BL286" s="97"/>
    </row>
    <row r="287" spans="1:64" outlineLevel="5" x14ac:dyDescent="0.3">
      <c r="A287" s="152">
        <f t="shared" si="106"/>
        <v>8</v>
      </c>
      <c r="B287" s="153">
        <f t="shared" si="105"/>
        <v>45168</v>
      </c>
      <c r="C287" s="138">
        <f t="shared" si="111"/>
        <v>37.200000000000003</v>
      </c>
      <c r="D287" s="84">
        <v>37.200000000000003</v>
      </c>
      <c r="E287" s="84"/>
      <c r="F287" s="84"/>
      <c r="G287" s="84"/>
      <c r="H287" s="84"/>
      <c r="I287" s="84"/>
      <c r="J287" s="84"/>
      <c r="K287" s="84"/>
      <c r="L287" s="140">
        <f t="shared" si="112"/>
        <v>8</v>
      </c>
      <c r="M287" s="86">
        <v>8.01</v>
      </c>
      <c r="N287" s="86"/>
      <c r="O287" s="86"/>
      <c r="P287" s="86"/>
      <c r="Q287" s="86"/>
      <c r="R287" s="86"/>
      <c r="S287" s="86"/>
      <c r="T287" s="86"/>
      <c r="U287" s="142">
        <f t="shared" si="113"/>
        <v>1070.4000000000001</v>
      </c>
      <c r="V287" s="88">
        <v>1070.4000000000001</v>
      </c>
      <c r="W287" s="88"/>
      <c r="X287" s="88"/>
      <c r="Y287" s="88"/>
      <c r="Z287" s="88"/>
      <c r="AA287" s="88"/>
      <c r="AB287" s="88"/>
      <c r="AC287" s="88"/>
      <c r="AD287" s="142" t="str">
        <f t="shared" si="114"/>
        <v/>
      </c>
      <c r="AE287" s="88"/>
      <c r="AF287" s="88"/>
      <c r="AG287" s="88"/>
      <c r="AH287" s="88"/>
      <c r="AI287" s="88"/>
      <c r="AJ287" s="88"/>
      <c r="AK287" s="88"/>
      <c r="AL287" s="88"/>
      <c r="AM287" s="88">
        <v>50.758146037208306</v>
      </c>
      <c r="AN287" s="88">
        <v>92.99</v>
      </c>
      <c r="AO287" s="89"/>
      <c r="AP287" s="90"/>
      <c r="AQ287" s="146" t="str">
        <f t="shared" si="115"/>
        <v/>
      </c>
      <c r="AR287" s="146" t="str">
        <f t="shared" si="116"/>
        <v/>
      </c>
      <c r="AS287" s="147">
        <v>35</v>
      </c>
      <c r="AT287" s="148">
        <v>12.1</v>
      </c>
      <c r="AU287" s="149">
        <v>7.1389999999999993</v>
      </c>
      <c r="AV287" s="146">
        <f t="shared" si="117"/>
        <v>59</v>
      </c>
      <c r="AW287" s="146">
        <f t="shared" si="118"/>
        <v>41</v>
      </c>
      <c r="AX287" s="138" t="str">
        <f t="shared" si="119"/>
        <v/>
      </c>
      <c r="AY287" s="95">
        <v>73.900000000000006</v>
      </c>
      <c r="AZ287" s="96">
        <v>62.185000000000002</v>
      </c>
      <c r="BA287" s="96"/>
      <c r="BB287" s="96">
        <v>57.5</v>
      </c>
      <c r="BC287" s="96"/>
      <c r="BD287" s="97">
        <v>92.99</v>
      </c>
      <c r="BE287" s="142">
        <f t="shared" si="120"/>
        <v>8361</v>
      </c>
      <c r="BF287" s="98">
        <v>0</v>
      </c>
      <c r="BG287" s="98">
        <v>0</v>
      </c>
      <c r="BH287" s="98">
        <v>1760</v>
      </c>
      <c r="BI287" s="98">
        <v>6601</v>
      </c>
      <c r="BJ287" s="98"/>
      <c r="BK287" s="98"/>
      <c r="BL287" s="97"/>
    </row>
    <row r="288" spans="1:64" ht="17.25" outlineLevel="5" thickBot="1" x14ac:dyDescent="0.35">
      <c r="A288" s="154">
        <f t="shared" si="106"/>
        <v>8</v>
      </c>
      <c r="B288" s="155">
        <f t="shared" ref="B288:B351" si="121">B287+1</f>
        <v>45169</v>
      </c>
      <c r="C288" s="138">
        <f t="shared" si="111"/>
        <v>37</v>
      </c>
      <c r="D288" s="84">
        <v>37</v>
      </c>
      <c r="E288" s="84"/>
      <c r="F288" s="84"/>
      <c r="G288" s="84"/>
      <c r="H288" s="84"/>
      <c r="I288" s="84"/>
      <c r="J288" s="84"/>
      <c r="K288" s="84"/>
      <c r="L288" s="140">
        <f t="shared" si="112"/>
        <v>8</v>
      </c>
      <c r="M288" s="86">
        <v>8.0399999999999991</v>
      </c>
      <c r="N288" s="86"/>
      <c r="O288" s="86"/>
      <c r="P288" s="86"/>
      <c r="Q288" s="86"/>
      <c r="R288" s="86"/>
      <c r="S288" s="86"/>
      <c r="T288" s="86"/>
      <c r="U288" s="142">
        <f t="shared" si="113"/>
        <v>919.1</v>
      </c>
      <c r="V288" s="88">
        <v>919.1</v>
      </c>
      <c r="W288" s="88"/>
      <c r="X288" s="88"/>
      <c r="Y288" s="88"/>
      <c r="Z288" s="88"/>
      <c r="AA288" s="88"/>
      <c r="AB288" s="88"/>
      <c r="AC288" s="88"/>
      <c r="AD288" s="142" t="str">
        <f t="shared" si="114"/>
        <v/>
      </c>
      <c r="AE288" s="88"/>
      <c r="AF288" s="88"/>
      <c r="AG288" s="88"/>
      <c r="AH288" s="88"/>
      <c r="AI288" s="88"/>
      <c r="AJ288" s="88"/>
      <c r="AK288" s="88"/>
      <c r="AL288" s="88"/>
      <c r="AM288" s="88">
        <v>29.52952952952953</v>
      </c>
      <c r="AN288" s="88">
        <v>159.84</v>
      </c>
      <c r="AO288" s="89"/>
      <c r="AP288" s="90"/>
      <c r="AQ288" s="146" t="str">
        <f t="shared" si="115"/>
        <v/>
      </c>
      <c r="AR288" s="146" t="str">
        <f t="shared" si="116"/>
        <v/>
      </c>
      <c r="AS288" s="147">
        <v>20</v>
      </c>
      <c r="AT288" s="148">
        <v>13.1</v>
      </c>
      <c r="AU288" s="149">
        <v>7.4276999999999997</v>
      </c>
      <c r="AV288" s="146">
        <f t="shared" si="117"/>
        <v>56.699999999999996</v>
      </c>
      <c r="AW288" s="146">
        <f t="shared" si="118"/>
        <v>43.300000000000004</v>
      </c>
      <c r="AX288" s="138" t="str">
        <f t="shared" si="119"/>
        <v/>
      </c>
      <c r="AY288" s="95"/>
      <c r="AZ288" s="96">
        <v>61.22</v>
      </c>
      <c r="BA288" s="96"/>
      <c r="BB288" s="96">
        <v>56.5</v>
      </c>
      <c r="BC288" s="96"/>
      <c r="BD288" s="97">
        <v>159.84</v>
      </c>
      <c r="BE288" s="142">
        <f t="shared" si="120"/>
        <v>6754</v>
      </c>
      <c r="BF288" s="98">
        <v>0</v>
      </c>
      <c r="BG288" s="98">
        <v>0</v>
      </c>
      <c r="BH288" s="98">
        <v>0</v>
      </c>
      <c r="BI288" s="98">
        <v>6754</v>
      </c>
      <c r="BJ288" s="98"/>
      <c r="BK288" s="98"/>
      <c r="BL288" s="97"/>
    </row>
    <row r="289" spans="1:64" outlineLevel="4" x14ac:dyDescent="0.3">
      <c r="A289" s="63" t="s">
        <v>85</v>
      </c>
      <c r="B289" s="64"/>
      <c r="C289" s="65">
        <f t="shared" ref="C289:BL289" si="122">SUBTOTAL(4,C258:C288)</f>
        <v>38</v>
      </c>
      <c r="D289" s="66">
        <f t="shared" si="122"/>
        <v>38.200000000000003</v>
      </c>
      <c r="E289" s="66">
        <f t="shared" si="122"/>
        <v>37.799999999999997</v>
      </c>
      <c r="F289" s="66">
        <f t="shared" si="122"/>
        <v>0</v>
      </c>
      <c r="G289" s="66">
        <f t="shared" si="122"/>
        <v>0</v>
      </c>
      <c r="H289" s="66">
        <f t="shared" si="122"/>
        <v>0</v>
      </c>
      <c r="I289" s="66">
        <f t="shared" si="122"/>
        <v>0</v>
      </c>
      <c r="J289" s="66">
        <f t="shared" si="122"/>
        <v>0</v>
      </c>
      <c r="K289" s="66">
        <f t="shared" si="122"/>
        <v>0</v>
      </c>
      <c r="L289" s="67">
        <f t="shared" si="122"/>
        <v>8.1</v>
      </c>
      <c r="M289" s="68">
        <f t="shared" si="122"/>
        <v>8.0500000000000007</v>
      </c>
      <c r="N289" s="68">
        <f t="shared" si="122"/>
        <v>8.1199999999999992</v>
      </c>
      <c r="O289" s="68">
        <f t="shared" si="122"/>
        <v>0</v>
      </c>
      <c r="P289" s="68">
        <f t="shared" si="122"/>
        <v>0</v>
      </c>
      <c r="Q289" s="68">
        <f t="shared" si="122"/>
        <v>0</v>
      </c>
      <c r="R289" s="68">
        <f t="shared" si="122"/>
        <v>0</v>
      </c>
      <c r="S289" s="68">
        <f t="shared" si="122"/>
        <v>0</v>
      </c>
      <c r="T289" s="68">
        <f t="shared" si="122"/>
        <v>0</v>
      </c>
      <c r="U289" s="69">
        <f t="shared" si="122"/>
        <v>1070.4000000000001</v>
      </c>
      <c r="V289" s="70">
        <f t="shared" si="122"/>
        <v>1070.4000000000001</v>
      </c>
      <c r="W289" s="70">
        <f t="shared" si="122"/>
        <v>746.1</v>
      </c>
      <c r="X289" s="70">
        <f t="shared" si="122"/>
        <v>0</v>
      </c>
      <c r="Y289" s="70">
        <f t="shared" si="122"/>
        <v>0</v>
      </c>
      <c r="Z289" s="70">
        <f t="shared" si="122"/>
        <v>0</v>
      </c>
      <c r="AA289" s="70">
        <f t="shared" si="122"/>
        <v>0</v>
      </c>
      <c r="AB289" s="70">
        <f t="shared" si="122"/>
        <v>0</v>
      </c>
      <c r="AC289" s="70">
        <f t="shared" si="122"/>
        <v>0</v>
      </c>
      <c r="AD289" s="69">
        <f t="shared" si="122"/>
        <v>0</v>
      </c>
      <c r="AE289" s="70">
        <f t="shared" si="122"/>
        <v>0</v>
      </c>
      <c r="AF289" s="70">
        <f t="shared" si="122"/>
        <v>0</v>
      </c>
      <c r="AG289" s="70">
        <f t="shared" si="122"/>
        <v>0</v>
      </c>
      <c r="AH289" s="70">
        <f t="shared" si="122"/>
        <v>0</v>
      </c>
      <c r="AI289" s="70">
        <f t="shared" si="122"/>
        <v>0</v>
      </c>
      <c r="AJ289" s="70">
        <f t="shared" si="122"/>
        <v>0</v>
      </c>
      <c r="AK289" s="70">
        <f t="shared" si="122"/>
        <v>0</v>
      </c>
      <c r="AL289" s="70">
        <f t="shared" si="122"/>
        <v>0</v>
      </c>
      <c r="AM289" s="70">
        <f t="shared" si="122"/>
        <v>72.503840245775734</v>
      </c>
      <c r="AN289" s="70">
        <f t="shared" si="122"/>
        <v>161.30000000000001</v>
      </c>
      <c r="AO289" s="71">
        <f t="shared" si="122"/>
        <v>19.7</v>
      </c>
      <c r="AP289" s="72">
        <f t="shared" si="122"/>
        <v>17.600000000000001</v>
      </c>
      <c r="AQ289" s="73">
        <f t="shared" si="122"/>
        <v>89.340101522842659</v>
      </c>
      <c r="AR289" s="73">
        <f t="shared" si="122"/>
        <v>19.200000000000003</v>
      </c>
      <c r="AS289" s="74">
        <f t="shared" si="122"/>
        <v>50</v>
      </c>
      <c r="AT289" s="75">
        <f t="shared" si="122"/>
        <v>17.95</v>
      </c>
      <c r="AU289" s="76">
        <f t="shared" si="122"/>
        <v>10.1936</v>
      </c>
      <c r="AV289" s="73">
        <f t="shared" si="122"/>
        <v>62.975384615384613</v>
      </c>
      <c r="AW289" s="73">
        <f t="shared" si="122"/>
        <v>49.001742160278752</v>
      </c>
      <c r="AX289" s="65">
        <f t="shared" si="122"/>
        <v>85.999130193118006</v>
      </c>
      <c r="AY289" s="77">
        <f t="shared" si="122"/>
        <v>77.3</v>
      </c>
      <c r="AZ289" s="78">
        <f t="shared" si="122"/>
        <v>64.759999999999991</v>
      </c>
      <c r="BA289" s="78"/>
      <c r="BB289" s="78"/>
      <c r="BC289" s="78"/>
      <c r="BD289" s="79">
        <f t="shared" si="122"/>
        <v>161.30000000000001</v>
      </c>
      <c r="BE289" s="69">
        <f t="shared" si="122"/>
        <v>11719</v>
      </c>
      <c r="BF289" s="70">
        <f t="shared" si="122"/>
        <v>1315</v>
      </c>
      <c r="BG289" s="80">
        <f t="shared" si="122"/>
        <v>780</v>
      </c>
      <c r="BH289" s="80">
        <f t="shared" si="122"/>
        <v>5241</v>
      </c>
      <c r="BI289" s="80">
        <f t="shared" si="122"/>
        <v>7022</v>
      </c>
      <c r="BJ289" s="80">
        <f t="shared" si="122"/>
        <v>0</v>
      </c>
      <c r="BK289" s="80">
        <f t="shared" si="122"/>
        <v>0</v>
      </c>
      <c r="BL289" s="79">
        <f t="shared" si="122"/>
        <v>0</v>
      </c>
    </row>
    <row r="290" spans="1:64" outlineLevel="3" x14ac:dyDescent="0.3">
      <c r="A290" s="81" t="s">
        <v>86</v>
      </c>
      <c r="B290" s="82"/>
      <c r="C290" s="83">
        <f t="shared" ref="C290:BL290" si="123">SUBTOTAL(5,C258:C288)</f>
        <v>37</v>
      </c>
      <c r="D290" s="84">
        <f t="shared" si="123"/>
        <v>37</v>
      </c>
      <c r="E290" s="84">
        <f t="shared" si="123"/>
        <v>37</v>
      </c>
      <c r="F290" s="84">
        <f t="shared" si="123"/>
        <v>0</v>
      </c>
      <c r="G290" s="84">
        <f t="shared" si="123"/>
        <v>0</v>
      </c>
      <c r="H290" s="84">
        <f t="shared" si="123"/>
        <v>0</v>
      </c>
      <c r="I290" s="84">
        <f t="shared" si="123"/>
        <v>0</v>
      </c>
      <c r="J290" s="84">
        <f t="shared" si="123"/>
        <v>0</v>
      </c>
      <c r="K290" s="84">
        <f t="shared" si="123"/>
        <v>0</v>
      </c>
      <c r="L290" s="85">
        <f t="shared" si="123"/>
        <v>7.8</v>
      </c>
      <c r="M290" s="86">
        <f t="shared" si="123"/>
        <v>7.83</v>
      </c>
      <c r="N290" s="86">
        <f t="shared" si="123"/>
        <v>7.85</v>
      </c>
      <c r="O290" s="86">
        <f t="shared" si="123"/>
        <v>0</v>
      </c>
      <c r="P290" s="86">
        <f t="shared" si="123"/>
        <v>0</v>
      </c>
      <c r="Q290" s="86">
        <f t="shared" si="123"/>
        <v>0</v>
      </c>
      <c r="R290" s="86">
        <f t="shared" si="123"/>
        <v>0</v>
      </c>
      <c r="S290" s="86">
        <f t="shared" si="123"/>
        <v>0</v>
      </c>
      <c r="T290" s="86">
        <f t="shared" si="123"/>
        <v>0</v>
      </c>
      <c r="U290" s="87">
        <f t="shared" si="123"/>
        <v>508</v>
      </c>
      <c r="V290" s="88">
        <f t="shared" si="123"/>
        <v>497</v>
      </c>
      <c r="W290" s="88">
        <f t="shared" si="123"/>
        <v>519</v>
      </c>
      <c r="X290" s="88">
        <f t="shared" si="123"/>
        <v>0</v>
      </c>
      <c r="Y290" s="88">
        <f t="shared" si="123"/>
        <v>0</v>
      </c>
      <c r="Z290" s="88">
        <f t="shared" si="123"/>
        <v>0</v>
      </c>
      <c r="AA290" s="88">
        <f t="shared" si="123"/>
        <v>0</v>
      </c>
      <c r="AB290" s="88">
        <f t="shared" si="123"/>
        <v>0</v>
      </c>
      <c r="AC290" s="88">
        <f t="shared" si="123"/>
        <v>0</v>
      </c>
      <c r="AD290" s="87">
        <f t="shared" si="123"/>
        <v>0</v>
      </c>
      <c r="AE290" s="88">
        <f t="shared" si="123"/>
        <v>0</v>
      </c>
      <c r="AF290" s="88">
        <f t="shared" si="123"/>
        <v>0</v>
      </c>
      <c r="AG290" s="88">
        <f t="shared" si="123"/>
        <v>0</v>
      </c>
      <c r="AH290" s="88">
        <f t="shared" si="123"/>
        <v>0</v>
      </c>
      <c r="AI290" s="88">
        <f t="shared" si="123"/>
        <v>0</v>
      </c>
      <c r="AJ290" s="88">
        <f t="shared" si="123"/>
        <v>0</v>
      </c>
      <c r="AK290" s="88">
        <f t="shared" si="123"/>
        <v>0</v>
      </c>
      <c r="AL290" s="88">
        <f t="shared" si="123"/>
        <v>0</v>
      </c>
      <c r="AM290" s="88">
        <f t="shared" si="123"/>
        <v>29.262244265344076</v>
      </c>
      <c r="AN290" s="88">
        <f t="shared" si="123"/>
        <v>65.099999999999994</v>
      </c>
      <c r="AO290" s="89">
        <f t="shared" si="123"/>
        <v>15.2</v>
      </c>
      <c r="AP290" s="90">
        <f t="shared" si="123"/>
        <v>12.281599999999999</v>
      </c>
      <c r="AQ290" s="91">
        <f t="shared" si="123"/>
        <v>80.8</v>
      </c>
      <c r="AR290" s="91">
        <f t="shared" si="123"/>
        <v>10.659898477157341</v>
      </c>
      <c r="AS290" s="92">
        <f t="shared" si="123"/>
        <v>0</v>
      </c>
      <c r="AT290" s="93">
        <f t="shared" si="123"/>
        <v>12.1</v>
      </c>
      <c r="AU290" s="94">
        <f t="shared" si="123"/>
        <v>7.1254000000000008</v>
      </c>
      <c r="AV290" s="91">
        <f t="shared" si="123"/>
        <v>50.998257839721248</v>
      </c>
      <c r="AW290" s="91">
        <f t="shared" si="123"/>
        <v>37.024615384615387</v>
      </c>
      <c r="AX290" s="83">
        <f t="shared" si="123"/>
        <v>69.764674128766075</v>
      </c>
      <c r="AY290" s="95">
        <f t="shared" si="123"/>
        <v>72.8</v>
      </c>
      <c r="AZ290" s="96">
        <f t="shared" si="123"/>
        <v>58.614999999999995</v>
      </c>
      <c r="BA290" s="96"/>
      <c r="BB290" s="96"/>
      <c r="BC290" s="96"/>
      <c r="BD290" s="97">
        <f t="shared" si="123"/>
        <v>65.099999999999994</v>
      </c>
      <c r="BE290" s="87">
        <f t="shared" si="123"/>
        <v>3676</v>
      </c>
      <c r="BF290" s="88">
        <f t="shared" si="123"/>
        <v>0</v>
      </c>
      <c r="BG290" s="98">
        <f t="shared" si="123"/>
        <v>0</v>
      </c>
      <c r="BH290" s="98">
        <f t="shared" si="123"/>
        <v>0</v>
      </c>
      <c r="BI290" s="98">
        <f t="shared" si="123"/>
        <v>2852</v>
      </c>
      <c r="BJ290" s="98">
        <f t="shared" si="123"/>
        <v>0</v>
      </c>
      <c r="BK290" s="98">
        <f t="shared" si="123"/>
        <v>0</v>
      </c>
      <c r="BL290" s="97">
        <f t="shared" si="123"/>
        <v>0</v>
      </c>
    </row>
    <row r="291" spans="1:64" outlineLevel="2" x14ac:dyDescent="0.3">
      <c r="A291" s="81" t="s">
        <v>87</v>
      </c>
      <c r="B291" s="82"/>
      <c r="C291" s="83">
        <f t="shared" ref="C291:BL291" si="124">IFERROR(SUBTOTAL(1,C258:C288),"")</f>
        <v>37.256250000000001</v>
      </c>
      <c r="D291" s="84">
        <f t="shared" si="124"/>
        <v>37.318750000000001</v>
      </c>
      <c r="E291" s="84">
        <f t="shared" si="124"/>
        <v>37.199999999999996</v>
      </c>
      <c r="F291" s="84" t="str">
        <f t="shared" si="124"/>
        <v/>
      </c>
      <c r="G291" s="84" t="str">
        <f t="shared" si="124"/>
        <v/>
      </c>
      <c r="H291" s="84" t="str">
        <f t="shared" si="124"/>
        <v/>
      </c>
      <c r="I291" s="84" t="str">
        <f t="shared" si="124"/>
        <v/>
      </c>
      <c r="J291" s="84" t="str">
        <f t="shared" si="124"/>
        <v/>
      </c>
      <c r="K291" s="84" t="str">
        <f t="shared" si="124"/>
        <v/>
      </c>
      <c r="L291" s="85">
        <f t="shared" si="124"/>
        <v>7.9333333333333336</v>
      </c>
      <c r="M291" s="86">
        <f t="shared" si="124"/>
        <v>7.9475000000000007</v>
      </c>
      <c r="N291" s="86">
        <f t="shared" si="124"/>
        <v>7.9450000000000003</v>
      </c>
      <c r="O291" s="86" t="str">
        <f t="shared" si="124"/>
        <v/>
      </c>
      <c r="P291" s="86" t="str">
        <f t="shared" si="124"/>
        <v/>
      </c>
      <c r="Q291" s="86" t="str">
        <f t="shared" si="124"/>
        <v/>
      </c>
      <c r="R291" s="86" t="str">
        <f t="shared" si="124"/>
        <v/>
      </c>
      <c r="S291" s="86" t="str">
        <f t="shared" si="124"/>
        <v/>
      </c>
      <c r="T291" s="86" t="str">
        <f t="shared" si="124"/>
        <v/>
      </c>
      <c r="U291" s="87">
        <f t="shared" si="124"/>
        <v>767.67000000000007</v>
      </c>
      <c r="V291" s="88">
        <f t="shared" si="124"/>
        <v>823.8</v>
      </c>
      <c r="W291" s="88">
        <f t="shared" si="124"/>
        <v>640.65000000000009</v>
      </c>
      <c r="X291" s="88" t="str">
        <f t="shared" si="124"/>
        <v/>
      </c>
      <c r="Y291" s="88" t="str">
        <f t="shared" si="124"/>
        <v/>
      </c>
      <c r="Z291" s="88" t="str">
        <f t="shared" si="124"/>
        <v/>
      </c>
      <c r="AA291" s="88" t="str">
        <f t="shared" si="124"/>
        <v/>
      </c>
      <c r="AB291" s="88" t="str">
        <f t="shared" si="124"/>
        <v/>
      </c>
      <c r="AC291" s="88" t="str">
        <f t="shared" si="124"/>
        <v/>
      </c>
      <c r="AD291" s="87" t="str">
        <f t="shared" si="124"/>
        <v/>
      </c>
      <c r="AE291" s="88" t="str">
        <f t="shared" si="124"/>
        <v/>
      </c>
      <c r="AF291" s="88" t="str">
        <f t="shared" si="124"/>
        <v/>
      </c>
      <c r="AG291" s="88" t="str">
        <f t="shared" si="124"/>
        <v/>
      </c>
      <c r="AH291" s="88" t="str">
        <f t="shared" si="124"/>
        <v/>
      </c>
      <c r="AI291" s="88" t="str">
        <f t="shared" si="124"/>
        <v/>
      </c>
      <c r="AJ291" s="88" t="str">
        <f t="shared" si="124"/>
        <v/>
      </c>
      <c r="AK291" s="88" t="str">
        <f t="shared" si="124"/>
        <v/>
      </c>
      <c r="AL291" s="88" t="str">
        <f t="shared" si="124"/>
        <v/>
      </c>
      <c r="AM291" s="88">
        <f t="shared" si="124"/>
        <v>43.710629088217949</v>
      </c>
      <c r="AN291" s="88">
        <f t="shared" si="124"/>
        <v>115.67032258064515</v>
      </c>
      <c r="AO291" s="89">
        <f t="shared" si="124"/>
        <v>16.899999999999999</v>
      </c>
      <c r="AP291" s="90">
        <f t="shared" si="124"/>
        <v>14.453099999999999</v>
      </c>
      <c r="AQ291" s="91">
        <f t="shared" si="124"/>
        <v>85.185025380710684</v>
      </c>
      <c r="AR291" s="91">
        <f t="shared" si="124"/>
        <v>14.81497461928933</v>
      </c>
      <c r="AS291" s="92">
        <f t="shared" si="124"/>
        <v>27.322580645161292</v>
      </c>
      <c r="AT291" s="93">
        <f t="shared" si="124"/>
        <v>13.896153846153842</v>
      </c>
      <c r="AU291" s="94">
        <f t="shared" si="124"/>
        <v>7.786492307692308</v>
      </c>
      <c r="AV291" s="91">
        <f t="shared" si="124"/>
        <v>56.080996267862595</v>
      </c>
      <c r="AW291" s="91">
        <f t="shared" si="124"/>
        <v>43.919003732137405</v>
      </c>
      <c r="AX291" s="83">
        <f t="shared" si="124"/>
        <v>78.066425873680089</v>
      </c>
      <c r="AY291" s="95">
        <f t="shared" si="124"/>
        <v>74.511538461538464</v>
      </c>
      <c r="AZ291" s="96">
        <f t="shared" si="124"/>
        <v>61.550000000000004</v>
      </c>
      <c r="BA291" s="96" t="str">
        <f t="shared" si="124"/>
        <v/>
      </c>
      <c r="BB291" s="96">
        <f t="shared" si="124"/>
        <v>80.3</v>
      </c>
      <c r="BC291" s="96" t="str">
        <f t="shared" si="124"/>
        <v/>
      </c>
      <c r="BD291" s="97">
        <f>IFERROR(SUBTOTAL(1,BD258:BD288),"")</f>
        <v>115.67032258064515</v>
      </c>
      <c r="BE291" s="87">
        <f t="shared" si="124"/>
        <v>6825.6129032258068</v>
      </c>
      <c r="BF291" s="88">
        <f t="shared" si="124"/>
        <v>64.354838709677423</v>
      </c>
      <c r="BG291" s="98">
        <f t="shared" si="124"/>
        <v>75.387096774193552</v>
      </c>
      <c r="BH291" s="98">
        <f t="shared" si="124"/>
        <v>496.06451612903226</v>
      </c>
      <c r="BI291" s="98">
        <f t="shared" si="124"/>
        <v>6189.8064516129034</v>
      </c>
      <c r="BJ291" s="98" t="str">
        <f t="shared" si="124"/>
        <v/>
      </c>
      <c r="BK291" s="98" t="str">
        <f t="shared" si="124"/>
        <v/>
      </c>
      <c r="BL291" s="97" t="str">
        <f t="shared" si="124"/>
        <v/>
      </c>
    </row>
    <row r="292" spans="1:64" ht="17.25" outlineLevel="1" thickBot="1" x14ac:dyDescent="0.35">
      <c r="A292" s="99" t="s">
        <v>88</v>
      </c>
      <c r="B292" s="100"/>
      <c r="C292" s="101"/>
      <c r="D292" s="102"/>
      <c r="E292" s="102"/>
      <c r="F292" s="102"/>
      <c r="G292" s="102"/>
      <c r="H292" s="102"/>
      <c r="I292" s="102"/>
      <c r="J292" s="102"/>
      <c r="K292" s="102"/>
      <c r="L292" s="103"/>
      <c r="M292" s="104"/>
      <c r="N292" s="104"/>
      <c r="O292" s="104"/>
      <c r="P292" s="104"/>
      <c r="Q292" s="104"/>
      <c r="R292" s="104"/>
      <c r="S292" s="104"/>
      <c r="T292" s="104"/>
      <c r="U292" s="105"/>
      <c r="V292" s="106"/>
      <c r="W292" s="106"/>
      <c r="X292" s="106"/>
      <c r="Y292" s="106"/>
      <c r="Z292" s="106"/>
      <c r="AA292" s="106"/>
      <c r="AB292" s="106"/>
      <c r="AC292" s="106"/>
      <c r="AD292" s="105"/>
      <c r="AE292" s="106"/>
      <c r="AF292" s="106"/>
      <c r="AG292" s="106"/>
      <c r="AH292" s="106"/>
      <c r="AI292" s="106"/>
      <c r="AJ292" s="106"/>
      <c r="AK292" s="106"/>
      <c r="AL292" s="106"/>
      <c r="AM292" s="106"/>
      <c r="AN292" s="107">
        <f>SUBTOTAL(9,AN258:AN288)</f>
        <v>3585.7799999999997</v>
      </c>
      <c r="AO292" s="108"/>
      <c r="AP292" s="109"/>
      <c r="AQ292" s="110"/>
      <c r="AR292" s="110"/>
      <c r="AS292" s="111">
        <f>SUBTOTAL(9,AS258:AS288)</f>
        <v>847</v>
      </c>
      <c r="AT292" s="112"/>
      <c r="AU292" s="113"/>
      <c r="AV292" s="110"/>
      <c r="AW292" s="110"/>
      <c r="AX292" s="101"/>
      <c r="AY292" s="114"/>
      <c r="AZ292" s="115"/>
      <c r="BA292" s="115"/>
      <c r="BB292" s="115"/>
      <c r="BC292" s="115"/>
      <c r="BD292" s="116">
        <f>SUBTOTAL(9,BD258:BD288)</f>
        <v>3585.7799999999997</v>
      </c>
      <c r="BE292" s="117">
        <f t="shared" ref="BE292:BL292" si="125">SUBTOTAL(9,BE258:BE288)</f>
        <v>211594</v>
      </c>
      <c r="BF292" s="107">
        <f t="shared" si="125"/>
        <v>1995</v>
      </c>
      <c r="BG292" s="118">
        <f t="shared" si="125"/>
        <v>2337</v>
      </c>
      <c r="BH292" s="118">
        <f t="shared" si="125"/>
        <v>15378</v>
      </c>
      <c r="BI292" s="118">
        <f t="shared" si="125"/>
        <v>191884</v>
      </c>
      <c r="BJ292" s="118">
        <f t="shared" si="125"/>
        <v>0</v>
      </c>
      <c r="BK292" s="118">
        <f t="shared" si="125"/>
        <v>0</v>
      </c>
      <c r="BL292" s="116">
        <f t="shared" si="125"/>
        <v>0</v>
      </c>
    </row>
    <row r="293" spans="1:64" outlineLevel="5" x14ac:dyDescent="0.3">
      <c r="A293" s="136">
        <f t="shared" si="106"/>
        <v>9</v>
      </c>
      <c r="B293" s="165">
        <f>B288+1</f>
        <v>45170</v>
      </c>
      <c r="C293" s="138" t="str">
        <f t="shared" ref="C293:C322" si="126">IFERROR(ROUND(AVERAGE(D293:K293),1),"")</f>
        <v/>
      </c>
      <c r="D293" s="84"/>
      <c r="E293" s="84"/>
      <c r="F293" s="84"/>
      <c r="G293" s="84"/>
      <c r="H293" s="84"/>
      <c r="I293" s="84"/>
      <c r="J293" s="84"/>
      <c r="K293" s="84"/>
      <c r="L293" s="140" t="str">
        <f t="shared" ref="L293:L322" si="127">IFERROR(ROUND(AVERAGE(M293:T293),1),"")</f>
        <v/>
      </c>
      <c r="M293" s="86"/>
      <c r="N293" s="86"/>
      <c r="O293" s="86"/>
      <c r="P293" s="86"/>
      <c r="Q293" s="86"/>
      <c r="R293" s="86"/>
      <c r="S293" s="86"/>
      <c r="T293" s="86"/>
      <c r="U293" s="142" t="str">
        <f t="shared" ref="U293:U322" si="128">IFERROR(ROUND(AVERAGE(V293:AC293),1),"")</f>
        <v/>
      </c>
      <c r="V293" s="88"/>
      <c r="W293" s="88"/>
      <c r="X293" s="88"/>
      <c r="Y293" s="88"/>
      <c r="Z293" s="88"/>
      <c r="AA293" s="88"/>
      <c r="AB293" s="88"/>
      <c r="AC293" s="88"/>
      <c r="AD293" s="142" t="str">
        <f t="shared" ref="AD293:AD322" si="129">IFERROR(ROUND(AVERAGE(AE293:AL293),1),"")</f>
        <v/>
      </c>
      <c r="AE293" s="88"/>
      <c r="AF293" s="88"/>
      <c r="AG293" s="88"/>
      <c r="AH293" s="88"/>
      <c r="AI293" s="88"/>
      <c r="AJ293" s="88"/>
      <c r="AK293" s="88"/>
      <c r="AL293" s="88"/>
      <c r="AM293" s="88">
        <v>36.221318394597496</v>
      </c>
      <c r="AN293" s="88">
        <v>130.31</v>
      </c>
      <c r="AO293" s="89"/>
      <c r="AP293" s="90"/>
      <c r="AQ293" s="146" t="str">
        <f t="shared" ref="AQ293:AQ322" si="130">IFERROR(AP293/AO293*100,"")</f>
        <v/>
      </c>
      <c r="AR293" s="146" t="str">
        <f t="shared" ref="AR293:AR322" si="131">IFERROR(100-AQ293,"")</f>
        <v/>
      </c>
      <c r="AS293" s="147">
        <v>24</v>
      </c>
      <c r="AT293" s="148"/>
      <c r="AU293" s="149"/>
      <c r="AV293" s="146" t="str">
        <f t="shared" ref="AV293:AV322" si="132">IFERROR(AU293/AT293*100,"")</f>
        <v/>
      </c>
      <c r="AW293" s="146" t="str">
        <f t="shared" ref="AW293:AW322" si="133">IFERROR(100-AV293,"")</f>
        <v/>
      </c>
      <c r="AX293" s="138" t="str">
        <f t="shared" ref="AX293:AX322" si="134">IFERROR((1-((AV293*AR293)/(AW293*AQ293)))*100,"")</f>
        <v/>
      </c>
      <c r="AY293" s="95"/>
      <c r="AZ293" s="96">
        <v>58.97</v>
      </c>
      <c r="BA293" s="96"/>
      <c r="BB293" s="96">
        <v>100.5</v>
      </c>
      <c r="BC293" s="96"/>
      <c r="BD293" s="97">
        <v>130.31</v>
      </c>
      <c r="BE293" s="142">
        <f t="shared" ref="BE293:BE322" si="135">IF(SUM(BF293:BL293)=0,"",SUM(BF293:BL293))</f>
        <v>6925</v>
      </c>
      <c r="BF293" s="98">
        <v>0</v>
      </c>
      <c r="BG293" s="98">
        <v>0</v>
      </c>
      <c r="BH293" s="98">
        <v>0</v>
      </c>
      <c r="BI293" s="98">
        <v>6925</v>
      </c>
      <c r="BJ293" s="98"/>
      <c r="BK293" s="98"/>
      <c r="BL293" s="97"/>
    </row>
    <row r="294" spans="1:64" outlineLevel="5" x14ac:dyDescent="0.3">
      <c r="A294" s="152">
        <f t="shared" si="106"/>
        <v>9</v>
      </c>
      <c r="B294" s="153">
        <f t="shared" si="121"/>
        <v>45171</v>
      </c>
      <c r="C294" s="138" t="str">
        <f t="shared" si="126"/>
        <v/>
      </c>
      <c r="D294" s="84"/>
      <c r="E294" s="84"/>
      <c r="F294" s="84"/>
      <c r="G294" s="84"/>
      <c r="H294" s="84"/>
      <c r="I294" s="84"/>
      <c r="J294" s="84"/>
      <c r="K294" s="84"/>
      <c r="L294" s="140" t="str">
        <f t="shared" si="127"/>
        <v/>
      </c>
      <c r="M294" s="86"/>
      <c r="N294" s="86"/>
      <c r="O294" s="86"/>
      <c r="P294" s="86"/>
      <c r="Q294" s="86"/>
      <c r="R294" s="86"/>
      <c r="S294" s="86"/>
      <c r="T294" s="86"/>
      <c r="U294" s="142" t="str">
        <f t="shared" si="128"/>
        <v/>
      </c>
      <c r="V294" s="88"/>
      <c r="W294" s="88"/>
      <c r="X294" s="88"/>
      <c r="Y294" s="88"/>
      <c r="Z294" s="88"/>
      <c r="AA294" s="88"/>
      <c r="AB294" s="88"/>
      <c r="AC294" s="88"/>
      <c r="AD294" s="142" t="str">
        <f t="shared" si="129"/>
        <v/>
      </c>
      <c r="AE294" s="88"/>
      <c r="AF294" s="88"/>
      <c r="AG294" s="88"/>
      <c r="AH294" s="88"/>
      <c r="AI294" s="88"/>
      <c r="AJ294" s="88"/>
      <c r="AK294" s="88"/>
      <c r="AL294" s="88"/>
      <c r="AM294" s="88">
        <v>40.047513999660616</v>
      </c>
      <c r="AN294" s="88">
        <v>117.86</v>
      </c>
      <c r="AO294" s="89"/>
      <c r="AP294" s="90"/>
      <c r="AQ294" s="146" t="str">
        <f t="shared" si="130"/>
        <v/>
      </c>
      <c r="AR294" s="146" t="str">
        <f t="shared" si="131"/>
        <v/>
      </c>
      <c r="AS294" s="147">
        <v>15</v>
      </c>
      <c r="AT294" s="148"/>
      <c r="AU294" s="149"/>
      <c r="AV294" s="146" t="str">
        <f t="shared" si="132"/>
        <v/>
      </c>
      <c r="AW294" s="146" t="str">
        <f t="shared" si="133"/>
        <v/>
      </c>
      <c r="AX294" s="138" t="str">
        <f t="shared" si="134"/>
        <v/>
      </c>
      <c r="AY294" s="95"/>
      <c r="AZ294" s="96"/>
      <c r="BA294" s="96"/>
      <c r="BB294" s="96"/>
      <c r="BC294" s="96"/>
      <c r="BD294" s="97">
        <v>117.86</v>
      </c>
      <c r="BE294" s="142">
        <f t="shared" si="135"/>
        <v>6188</v>
      </c>
      <c r="BF294" s="98">
        <v>0</v>
      </c>
      <c r="BG294" s="98">
        <v>0</v>
      </c>
      <c r="BH294" s="98">
        <v>0</v>
      </c>
      <c r="BI294" s="98">
        <v>6188</v>
      </c>
      <c r="BJ294" s="98"/>
      <c r="BK294" s="98"/>
      <c r="BL294" s="97"/>
    </row>
    <row r="295" spans="1:64" outlineLevel="5" x14ac:dyDescent="0.3">
      <c r="A295" s="152">
        <f t="shared" si="106"/>
        <v>9</v>
      </c>
      <c r="B295" s="153">
        <f t="shared" si="121"/>
        <v>45172</v>
      </c>
      <c r="C295" s="138" t="str">
        <f t="shared" si="126"/>
        <v/>
      </c>
      <c r="D295" s="84"/>
      <c r="E295" s="84"/>
      <c r="F295" s="84"/>
      <c r="G295" s="84"/>
      <c r="H295" s="84"/>
      <c r="I295" s="84"/>
      <c r="J295" s="84"/>
      <c r="K295" s="84"/>
      <c r="L295" s="140" t="str">
        <f t="shared" si="127"/>
        <v/>
      </c>
      <c r="M295" s="86"/>
      <c r="N295" s="86"/>
      <c r="O295" s="86"/>
      <c r="P295" s="86"/>
      <c r="Q295" s="86"/>
      <c r="R295" s="86"/>
      <c r="S295" s="86"/>
      <c r="T295" s="86"/>
      <c r="U295" s="142" t="str">
        <f t="shared" si="128"/>
        <v/>
      </c>
      <c r="V295" s="88"/>
      <c r="W295" s="88"/>
      <c r="X295" s="88"/>
      <c r="Y295" s="88"/>
      <c r="Z295" s="88"/>
      <c r="AA295" s="88"/>
      <c r="AB295" s="88"/>
      <c r="AC295" s="88"/>
      <c r="AD295" s="142" t="str">
        <f t="shared" si="129"/>
        <v/>
      </c>
      <c r="AE295" s="88"/>
      <c r="AF295" s="88"/>
      <c r="AG295" s="88"/>
      <c r="AH295" s="88"/>
      <c r="AI295" s="88"/>
      <c r="AJ295" s="88"/>
      <c r="AK295" s="88"/>
      <c r="AL295" s="88"/>
      <c r="AM295" s="88">
        <v>42.909090909090907</v>
      </c>
      <c r="AN295" s="88">
        <v>110</v>
      </c>
      <c r="AO295" s="89"/>
      <c r="AP295" s="90"/>
      <c r="AQ295" s="146" t="str">
        <f t="shared" si="130"/>
        <v/>
      </c>
      <c r="AR295" s="146" t="str">
        <f t="shared" si="131"/>
        <v/>
      </c>
      <c r="AS295" s="147">
        <v>21</v>
      </c>
      <c r="AT295" s="148"/>
      <c r="AU295" s="149"/>
      <c r="AV295" s="146" t="str">
        <f t="shared" si="132"/>
        <v/>
      </c>
      <c r="AW295" s="146" t="str">
        <f t="shared" si="133"/>
        <v/>
      </c>
      <c r="AX295" s="138" t="str">
        <f t="shared" si="134"/>
        <v/>
      </c>
      <c r="AY295" s="95"/>
      <c r="AZ295" s="96"/>
      <c r="BA295" s="96"/>
      <c r="BB295" s="96"/>
      <c r="BC295" s="96"/>
      <c r="BD295" s="97">
        <v>110</v>
      </c>
      <c r="BE295" s="142">
        <f t="shared" si="135"/>
        <v>6335</v>
      </c>
      <c r="BF295" s="98">
        <v>0</v>
      </c>
      <c r="BG295" s="98">
        <v>0</v>
      </c>
      <c r="BH295" s="98">
        <v>0</v>
      </c>
      <c r="BI295" s="98">
        <v>6335</v>
      </c>
      <c r="BJ295" s="98"/>
      <c r="BK295" s="98"/>
      <c r="BL295" s="97"/>
    </row>
    <row r="296" spans="1:64" outlineLevel="5" x14ac:dyDescent="0.3">
      <c r="A296" s="152">
        <f t="shared" si="106"/>
        <v>9</v>
      </c>
      <c r="B296" s="153">
        <f t="shared" si="121"/>
        <v>45173</v>
      </c>
      <c r="C296" s="138" t="str">
        <f t="shared" si="126"/>
        <v/>
      </c>
      <c r="D296" s="84"/>
      <c r="E296" s="84"/>
      <c r="F296" s="84"/>
      <c r="G296" s="84"/>
      <c r="H296" s="84"/>
      <c r="I296" s="84"/>
      <c r="J296" s="84"/>
      <c r="K296" s="84"/>
      <c r="L296" s="140">
        <f t="shared" si="127"/>
        <v>8</v>
      </c>
      <c r="M296" s="86">
        <v>7.98</v>
      </c>
      <c r="N296" s="86">
        <v>8.01</v>
      </c>
      <c r="O296" s="86"/>
      <c r="P296" s="86"/>
      <c r="Q296" s="86"/>
      <c r="R296" s="86"/>
      <c r="S296" s="86"/>
      <c r="T296" s="86"/>
      <c r="U296" s="142">
        <f t="shared" si="128"/>
        <v>675.8</v>
      </c>
      <c r="V296" s="88">
        <v>724.4</v>
      </c>
      <c r="W296" s="88">
        <v>627.1</v>
      </c>
      <c r="X296" s="88"/>
      <c r="Y296" s="88"/>
      <c r="Z296" s="88"/>
      <c r="AA296" s="88"/>
      <c r="AB296" s="88"/>
      <c r="AC296" s="88"/>
      <c r="AD296" s="142" t="str">
        <f t="shared" si="129"/>
        <v/>
      </c>
      <c r="AE296" s="88"/>
      <c r="AF296" s="88"/>
      <c r="AG296" s="88"/>
      <c r="AH296" s="88"/>
      <c r="AI296" s="88"/>
      <c r="AJ296" s="88"/>
      <c r="AK296" s="88"/>
      <c r="AL296" s="88"/>
      <c r="AM296" s="88">
        <v>39.584032203958408</v>
      </c>
      <c r="AN296" s="88">
        <v>119.24</v>
      </c>
      <c r="AO296" s="89">
        <v>18.100000000000001</v>
      </c>
      <c r="AP296" s="90">
        <v>15.457400000000002</v>
      </c>
      <c r="AQ296" s="146">
        <f t="shared" si="130"/>
        <v>85.399999999999991</v>
      </c>
      <c r="AR296" s="146">
        <f t="shared" si="131"/>
        <v>14.600000000000009</v>
      </c>
      <c r="AS296" s="147">
        <v>44</v>
      </c>
      <c r="AT296" s="148">
        <v>13.5</v>
      </c>
      <c r="AU296" s="149">
        <v>7.2860999999999994</v>
      </c>
      <c r="AV296" s="146">
        <f t="shared" si="132"/>
        <v>53.971111111111099</v>
      </c>
      <c r="AW296" s="146">
        <f t="shared" si="133"/>
        <v>46.028888888888901</v>
      </c>
      <c r="AX296" s="138">
        <f t="shared" si="134"/>
        <v>79.95408646619218</v>
      </c>
      <c r="AY296" s="95">
        <v>77</v>
      </c>
      <c r="AZ296" s="96"/>
      <c r="BA296" s="96"/>
      <c r="BB296" s="96"/>
      <c r="BC296" s="96"/>
      <c r="BD296" s="97">
        <v>119.24</v>
      </c>
      <c r="BE296" s="142">
        <f t="shared" si="135"/>
        <v>6634</v>
      </c>
      <c r="BF296" s="98">
        <v>0</v>
      </c>
      <c r="BG296" s="98">
        <v>0</v>
      </c>
      <c r="BH296" s="98">
        <v>1</v>
      </c>
      <c r="BI296" s="98">
        <v>6633</v>
      </c>
      <c r="BJ296" s="98"/>
      <c r="BK296" s="98"/>
      <c r="BL296" s="97"/>
    </row>
    <row r="297" spans="1:64" outlineLevel="5" x14ac:dyDescent="0.3">
      <c r="A297" s="152">
        <f t="shared" si="106"/>
        <v>9</v>
      </c>
      <c r="B297" s="153">
        <f t="shared" si="121"/>
        <v>45174</v>
      </c>
      <c r="C297" s="138" t="str">
        <f t="shared" si="126"/>
        <v/>
      </c>
      <c r="D297" s="84"/>
      <c r="E297" s="84"/>
      <c r="F297" s="84"/>
      <c r="G297" s="84"/>
      <c r="H297" s="84"/>
      <c r="I297" s="84"/>
      <c r="J297" s="84"/>
      <c r="K297" s="84"/>
      <c r="L297" s="140" t="str">
        <f t="shared" si="127"/>
        <v/>
      </c>
      <c r="M297" s="86"/>
      <c r="N297" s="86"/>
      <c r="O297" s="86"/>
      <c r="P297" s="86"/>
      <c r="Q297" s="86"/>
      <c r="R297" s="86"/>
      <c r="S297" s="86"/>
      <c r="T297" s="86"/>
      <c r="U297" s="142" t="str">
        <f t="shared" si="128"/>
        <v/>
      </c>
      <c r="V297" s="88"/>
      <c r="W297" s="88"/>
      <c r="X297" s="88"/>
      <c r="Y297" s="88"/>
      <c r="Z297" s="88"/>
      <c r="AA297" s="88"/>
      <c r="AB297" s="88"/>
      <c r="AC297" s="88"/>
      <c r="AD297" s="142" t="str">
        <f t="shared" si="129"/>
        <v/>
      </c>
      <c r="AE297" s="88"/>
      <c r="AF297" s="88"/>
      <c r="AG297" s="88"/>
      <c r="AH297" s="88"/>
      <c r="AI297" s="88"/>
      <c r="AJ297" s="88"/>
      <c r="AK297" s="88"/>
      <c r="AL297" s="88"/>
      <c r="AM297" s="88">
        <v>41.011382396385436</v>
      </c>
      <c r="AN297" s="88">
        <v>115.09</v>
      </c>
      <c r="AO297" s="89"/>
      <c r="AP297" s="90"/>
      <c r="AQ297" s="146" t="str">
        <f t="shared" si="130"/>
        <v/>
      </c>
      <c r="AR297" s="146" t="str">
        <f t="shared" si="131"/>
        <v/>
      </c>
      <c r="AS297" s="147">
        <v>35</v>
      </c>
      <c r="AT297" s="148"/>
      <c r="AU297" s="149"/>
      <c r="AV297" s="146" t="str">
        <f t="shared" si="132"/>
        <v/>
      </c>
      <c r="AW297" s="146" t="str">
        <f t="shared" si="133"/>
        <v/>
      </c>
      <c r="AX297" s="138" t="str">
        <f t="shared" si="134"/>
        <v/>
      </c>
      <c r="AY297" s="95"/>
      <c r="AZ297" s="96">
        <v>59.695</v>
      </c>
      <c r="BA297" s="96"/>
      <c r="BB297" s="96">
        <v>34.5</v>
      </c>
      <c r="BC297" s="96"/>
      <c r="BD297" s="97">
        <v>115.09</v>
      </c>
      <c r="BE297" s="142">
        <f t="shared" si="135"/>
        <v>6243</v>
      </c>
      <c r="BF297" s="98">
        <v>0</v>
      </c>
      <c r="BG297" s="98">
        <v>0</v>
      </c>
      <c r="BH297" s="98">
        <v>0</v>
      </c>
      <c r="BI297" s="98">
        <v>6243</v>
      </c>
      <c r="BJ297" s="98"/>
      <c r="BK297" s="98"/>
      <c r="BL297" s="97"/>
    </row>
    <row r="298" spans="1:64" outlineLevel="5" x14ac:dyDescent="0.3">
      <c r="A298" s="152">
        <f t="shared" si="106"/>
        <v>9</v>
      </c>
      <c r="B298" s="153">
        <f t="shared" si="121"/>
        <v>45175</v>
      </c>
      <c r="C298" s="138" t="str">
        <f t="shared" si="126"/>
        <v/>
      </c>
      <c r="D298" s="84"/>
      <c r="E298" s="84"/>
      <c r="F298" s="84"/>
      <c r="G298" s="84"/>
      <c r="H298" s="84"/>
      <c r="I298" s="84"/>
      <c r="J298" s="84"/>
      <c r="K298" s="84"/>
      <c r="L298" s="140">
        <f t="shared" si="127"/>
        <v>8</v>
      </c>
      <c r="M298" s="86">
        <v>7.98</v>
      </c>
      <c r="N298" s="86">
        <v>8.02</v>
      </c>
      <c r="O298" s="86"/>
      <c r="P298" s="86"/>
      <c r="Q298" s="86"/>
      <c r="R298" s="86"/>
      <c r="S298" s="86"/>
      <c r="T298" s="86"/>
      <c r="U298" s="142">
        <f t="shared" si="128"/>
        <v>746.1</v>
      </c>
      <c r="V298" s="88">
        <v>810.9</v>
      </c>
      <c r="W298" s="88">
        <v>681.2</v>
      </c>
      <c r="X298" s="88"/>
      <c r="Y298" s="88"/>
      <c r="Z298" s="88"/>
      <c r="AA298" s="88"/>
      <c r="AB298" s="88"/>
      <c r="AC298" s="88"/>
      <c r="AD298" s="142" t="str">
        <f t="shared" si="129"/>
        <v/>
      </c>
      <c r="AE298" s="88"/>
      <c r="AF298" s="88"/>
      <c r="AG298" s="88"/>
      <c r="AH298" s="88"/>
      <c r="AI298" s="88"/>
      <c r="AJ298" s="88"/>
      <c r="AK298" s="88"/>
      <c r="AL298" s="88"/>
      <c r="AM298" s="88">
        <v>41.183142832213591</v>
      </c>
      <c r="AN298" s="88">
        <v>114.61</v>
      </c>
      <c r="AO298" s="89"/>
      <c r="AP298" s="90"/>
      <c r="AQ298" s="146" t="str">
        <f t="shared" si="130"/>
        <v/>
      </c>
      <c r="AR298" s="146" t="str">
        <f t="shared" si="131"/>
        <v/>
      </c>
      <c r="AS298" s="147">
        <v>26</v>
      </c>
      <c r="AT298" s="148">
        <v>12.8</v>
      </c>
      <c r="AU298" s="149">
        <v>7.3011999999999997</v>
      </c>
      <c r="AV298" s="146">
        <f t="shared" si="132"/>
        <v>57.040624999999991</v>
      </c>
      <c r="AW298" s="146">
        <f t="shared" si="133"/>
        <v>42.959375000000009</v>
      </c>
      <c r="AX298" s="138" t="str">
        <f t="shared" si="134"/>
        <v/>
      </c>
      <c r="AY298" s="95">
        <v>78.95</v>
      </c>
      <c r="AZ298" s="96">
        <v>61.224999999999994</v>
      </c>
      <c r="BA298" s="96"/>
      <c r="BB298" s="96">
        <v>37.5</v>
      </c>
      <c r="BC298" s="96"/>
      <c r="BD298" s="97">
        <v>114.61</v>
      </c>
      <c r="BE298" s="142">
        <f t="shared" si="135"/>
        <v>6327</v>
      </c>
      <c r="BF298" s="98">
        <v>0</v>
      </c>
      <c r="BG298" s="98">
        <v>0</v>
      </c>
      <c r="BH298" s="98">
        <v>0</v>
      </c>
      <c r="BI298" s="98">
        <v>6327</v>
      </c>
      <c r="BJ298" s="98"/>
      <c r="BK298" s="98"/>
      <c r="BL298" s="97"/>
    </row>
    <row r="299" spans="1:64" outlineLevel="5" x14ac:dyDescent="0.3">
      <c r="A299" s="152">
        <f t="shared" si="106"/>
        <v>9</v>
      </c>
      <c r="B299" s="153">
        <f t="shared" si="121"/>
        <v>45176</v>
      </c>
      <c r="C299" s="138">
        <f t="shared" si="126"/>
        <v>36.5</v>
      </c>
      <c r="D299" s="84">
        <v>36.5</v>
      </c>
      <c r="E299" s="84">
        <v>36.4</v>
      </c>
      <c r="F299" s="84"/>
      <c r="G299" s="84"/>
      <c r="H299" s="84"/>
      <c r="I299" s="84"/>
      <c r="J299" s="84"/>
      <c r="K299" s="84"/>
      <c r="L299" s="140">
        <f t="shared" si="127"/>
        <v>8</v>
      </c>
      <c r="M299" s="86">
        <v>7.95</v>
      </c>
      <c r="N299" s="86">
        <v>7.99</v>
      </c>
      <c r="O299" s="86"/>
      <c r="P299" s="86"/>
      <c r="Q299" s="86"/>
      <c r="R299" s="86"/>
      <c r="S299" s="86"/>
      <c r="T299" s="86"/>
      <c r="U299" s="142">
        <f t="shared" si="128"/>
        <v>746.1</v>
      </c>
      <c r="V299" s="88">
        <v>735.3</v>
      </c>
      <c r="W299" s="88">
        <v>756.9</v>
      </c>
      <c r="X299" s="88"/>
      <c r="Y299" s="88"/>
      <c r="Z299" s="88"/>
      <c r="AA299" s="88"/>
      <c r="AB299" s="88"/>
      <c r="AC299" s="88"/>
      <c r="AD299" s="142" t="str">
        <f t="shared" si="129"/>
        <v/>
      </c>
      <c r="AE299" s="88"/>
      <c r="AF299" s="88"/>
      <c r="AG299" s="88"/>
      <c r="AH299" s="88"/>
      <c r="AI299" s="88"/>
      <c r="AJ299" s="88"/>
      <c r="AK299" s="88"/>
      <c r="AL299" s="88"/>
      <c r="AM299" s="88">
        <v>42.026533701362297</v>
      </c>
      <c r="AN299" s="88">
        <v>112.31</v>
      </c>
      <c r="AO299" s="89"/>
      <c r="AP299" s="90"/>
      <c r="AQ299" s="146" t="str">
        <f t="shared" si="130"/>
        <v/>
      </c>
      <c r="AR299" s="146" t="str">
        <f t="shared" si="131"/>
        <v/>
      </c>
      <c r="AS299" s="147">
        <v>36</v>
      </c>
      <c r="AT299" s="148">
        <v>13.6</v>
      </c>
      <c r="AU299" s="149">
        <v>8.05335</v>
      </c>
      <c r="AV299" s="146">
        <f t="shared" si="132"/>
        <v>59.215808823529414</v>
      </c>
      <c r="AW299" s="146">
        <f t="shared" si="133"/>
        <v>40.784191176470586</v>
      </c>
      <c r="AX299" s="138" t="str">
        <f t="shared" si="134"/>
        <v/>
      </c>
      <c r="AY299" s="95">
        <v>77.05</v>
      </c>
      <c r="AZ299" s="96">
        <v>61.46</v>
      </c>
      <c r="BA299" s="96"/>
      <c r="BB299" s="96">
        <v>59.5</v>
      </c>
      <c r="BC299" s="96"/>
      <c r="BD299" s="97">
        <v>112.31</v>
      </c>
      <c r="BE299" s="142">
        <f t="shared" si="135"/>
        <v>6291</v>
      </c>
      <c r="BF299" s="98">
        <v>0</v>
      </c>
      <c r="BG299" s="98">
        <v>0</v>
      </c>
      <c r="BH299" s="98">
        <v>0</v>
      </c>
      <c r="BI299" s="98">
        <v>6291</v>
      </c>
      <c r="BJ299" s="98"/>
      <c r="BK299" s="98"/>
      <c r="BL299" s="97"/>
    </row>
    <row r="300" spans="1:64" outlineLevel="5" x14ac:dyDescent="0.3">
      <c r="A300" s="152">
        <f t="shared" si="106"/>
        <v>9</v>
      </c>
      <c r="B300" s="153">
        <f t="shared" si="121"/>
        <v>45177</v>
      </c>
      <c r="C300" s="138" t="str">
        <f t="shared" si="126"/>
        <v/>
      </c>
      <c r="D300" s="84"/>
      <c r="E300" s="84"/>
      <c r="F300" s="84"/>
      <c r="G300" s="84"/>
      <c r="H300" s="84"/>
      <c r="I300" s="84"/>
      <c r="J300" s="84"/>
      <c r="K300" s="84"/>
      <c r="L300" s="140" t="str">
        <f t="shared" si="127"/>
        <v/>
      </c>
      <c r="M300" s="86"/>
      <c r="N300" s="86"/>
      <c r="O300" s="86"/>
      <c r="P300" s="86"/>
      <c r="Q300" s="86"/>
      <c r="R300" s="86"/>
      <c r="S300" s="86"/>
      <c r="T300" s="86"/>
      <c r="U300" s="142" t="str">
        <f t="shared" si="128"/>
        <v/>
      </c>
      <c r="V300" s="88"/>
      <c r="W300" s="88"/>
      <c r="X300" s="88"/>
      <c r="Y300" s="88"/>
      <c r="Z300" s="88"/>
      <c r="AA300" s="88"/>
      <c r="AB300" s="88"/>
      <c r="AC300" s="88"/>
      <c r="AD300" s="142" t="str">
        <f t="shared" si="129"/>
        <v/>
      </c>
      <c r="AE300" s="88"/>
      <c r="AF300" s="88"/>
      <c r="AG300" s="88"/>
      <c r="AH300" s="88"/>
      <c r="AI300" s="88"/>
      <c r="AJ300" s="88"/>
      <c r="AK300" s="88"/>
      <c r="AL300" s="88"/>
      <c r="AM300" s="88">
        <v>37.76906457549812</v>
      </c>
      <c r="AN300" s="88">
        <v>124.97</v>
      </c>
      <c r="AO300" s="89"/>
      <c r="AP300" s="90"/>
      <c r="AQ300" s="146" t="str">
        <f t="shared" si="130"/>
        <v/>
      </c>
      <c r="AR300" s="146" t="str">
        <f t="shared" si="131"/>
        <v/>
      </c>
      <c r="AS300" s="147">
        <v>17</v>
      </c>
      <c r="AT300" s="148"/>
      <c r="AU300" s="149"/>
      <c r="AV300" s="146" t="str">
        <f t="shared" si="132"/>
        <v/>
      </c>
      <c r="AW300" s="146" t="str">
        <f t="shared" si="133"/>
        <v/>
      </c>
      <c r="AX300" s="138" t="str">
        <f t="shared" si="134"/>
        <v/>
      </c>
      <c r="AY300" s="95"/>
      <c r="AZ300" s="96">
        <v>61.745000000000005</v>
      </c>
      <c r="BA300" s="96"/>
      <c r="BB300" s="96">
        <v>49.5</v>
      </c>
      <c r="BC300" s="96"/>
      <c r="BD300" s="97">
        <v>124.97</v>
      </c>
      <c r="BE300" s="142">
        <f t="shared" si="135"/>
        <v>6131</v>
      </c>
      <c r="BF300" s="98">
        <v>0</v>
      </c>
      <c r="BG300" s="98">
        <v>0</v>
      </c>
      <c r="BH300" s="98">
        <v>0</v>
      </c>
      <c r="BI300" s="98">
        <v>6131</v>
      </c>
      <c r="BJ300" s="98"/>
      <c r="BK300" s="98"/>
      <c r="BL300" s="97"/>
    </row>
    <row r="301" spans="1:64" outlineLevel="5" x14ac:dyDescent="0.3">
      <c r="A301" s="152">
        <f t="shared" si="106"/>
        <v>9</v>
      </c>
      <c r="B301" s="153">
        <f t="shared" si="121"/>
        <v>45178</v>
      </c>
      <c r="C301" s="138" t="str">
        <f t="shared" si="126"/>
        <v/>
      </c>
      <c r="D301" s="84"/>
      <c r="E301" s="84"/>
      <c r="F301" s="84"/>
      <c r="G301" s="84"/>
      <c r="H301" s="84"/>
      <c r="I301" s="84"/>
      <c r="J301" s="84"/>
      <c r="K301" s="84"/>
      <c r="L301" s="140" t="str">
        <f t="shared" si="127"/>
        <v/>
      </c>
      <c r="M301" s="86"/>
      <c r="N301" s="86"/>
      <c r="O301" s="86"/>
      <c r="P301" s="86"/>
      <c r="Q301" s="86"/>
      <c r="R301" s="86"/>
      <c r="S301" s="86"/>
      <c r="T301" s="86"/>
      <c r="U301" s="142" t="str">
        <f t="shared" si="128"/>
        <v/>
      </c>
      <c r="V301" s="88"/>
      <c r="W301" s="88"/>
      <c r="X301" s="88"/>
      <c r="Y301" s="88"/>
      <c r="Z301" s="88"/>
      <c r="AA301" s="88"/>
      <c r="AB301" s="88"/>
      <c r="AC301" s="88"/>
      <c r="AD301" s="142" t="str">
        <f t="shared" si="129"/>
        <v/>
      </c>
      <c r="AE301" s="88"/>
      <c r="AF301" s="88"/>
      <c r="AG301" s="88"/>
      <c r="AH301" s="88"/>
      <c r="AI301" s="88"/>
      <c r="AJ301" s="88"/>
      <c r="AK301" s="88"/>
      <c r="AL301" s="88"/>
      <c r="AM301" s="88">
        <v>52.357182473655016</v>
      </c>
      <c r="AN301" s="88">
        <v>90.15</v>
      </c>
      <c r="AO301" s="89"/>
      <c r="AP301" s="90"/>
      <c r="AQ301" s="146" t="str">
        <f t="shared" si="130"/>
        <v/>
      </c>
      <c r="AR301" s="146" t="str">
        <f t="shared" si="131"/>
        <v/>
      </c>
      <c r="AS301" s="147">
        <v>15</v>
      </c>
      <c r="AT301" s="148"/>
      <c r="AU301" s="149"/>
      <c r="AV301" s="146" t="str">
        <f t="shared" si="132"/>
        <v/>
      </c>
      <c r="AW301" s="146" t="str">
        <f t="shared" si="133"/>
        <v/>
      </c>
      <c r="AX301" s="138" t="str">
        <f t="shared" si="134"/>
        <v/>
      </c>
      <c r="AY301" s="95"/>
      <c r="AZ301" s="96"/>
      <c r="BA301" s="96"/>
      <c r="BB301" s="96"/>
      <c r="BC301" s="96"/>
      <c r="BD301" s="97">
        <v>90.15</v>
      </c>
      <c r="BE301" s="142">
        <f t="shared" si="135"/>
        <v>6192</v>
      </c>
      <c r="BF301" s="98">
        <v>0</v>
      </c>
      <c r="BG301" s="98">
        <v>0</v>
      </c>
      <c r="BH301" s="98">
        <v>0</v>
      </c>
      <c r="BI301" s="98">
        <v>6192</v>
      </c>
      <c r="BJ301" s="98"/>
      <c r="BK301" s="98"/>
      <c r="BL301" s="97"/>
    </row>
    <row r="302" spans="1:64" outlineLevel="5" x14ac:dyDescent="0.3">
      <c r="A302" s="152">
        <f t="shared" si="106"/>
        <v>9</v>
      </c>
      <c r="B302" s="153">
        <f t="shared" si="121"/>
        <v>45179</v>
      </c>
      <c r="C302" s="138" t="str">
        <f t="shared" si="126"/>
        <v/>
      </c>
      <c r="D302" s="84"/>
      <c r="E302" s="84"/>
      <c r="F302" s="84"/>
      <c r="G302" s="84"/>
      <c r="H302" s="84"/>
      <c r="I302" s="84"/>
      <c r="J302" s="84"/>
      <c r="K302" s="84"/>
      <c r="L302" s="140" t="str">
        <f t="shared" si="127"/>
        <v/>
      </c>
      <c r="M302" s="86"/>
      <c r="N302" s="86"/>
      <c r="O302" s="86"/>
      <c r="P302" s="86"/>
      <c r="Q302" s="86"/>
      <c r="R302" s="86"/>
      <c r="S302" s="86"/>
      <c r="T302" s="86"/>
      <c r="U302" s="142" t="str">
        <f t="shared" si="128"/>
        <v/>
      </c>
      <c r="V302" s="88"/>
      <c r="W302" s="88"/>
      <c r="X302" s="88"/>
      <c r="Y302" s="88"/>
      <c r="Z302" s="88"/>
      <c r="AA302" s="88"/>
      <c r="AB302" s="88"/>
      <c r="AC302" s="88"/>
      <c r="AD302" s="142" t="str">
        <f t="shared" si="129"/>
        <v/>
      </c>
      <c r="AE302" s="88"/>
      <c r="AF302" s="88"/>
      <c r="AG302" s="88"/>
      <c r="AH302" s="88"/>
      <c r="AI302" s="88"/>
      <c r="AJ302" s="88"/>
      <c r="AK302" s="88"/>
      <c r="AL302" s="88"/>
      <c r="AM302" s="88">
        <v>62.93333333333333</v>
      </c>
      <c r="AN302" s="88">
        <v>75</v>
      </c>
      <c r="AO302" s="89"/>
      <c r="AP302" s="90"/>
      <c r="AQ302" s="146" t="str">
        <f t="shared" si="130"/>
        <v/>
      </c>
      <c r="AR302" s="146" t="str">
        <f t="shared" si="131"/>
        <v/>
      </c>
      <c r="AS302" s="147">
        <v>10</v>
      </c>
      <c r="AT302" s="148"/>
      <c r="AU302" s="149"/>
      <c r="AV302" s="146" t="str">
        <f t="shared" si="132"/>
        <v/>
      </c>
      <c r="AW302" s="146" t="str">
        <f t="shared" si="133"/>
        <v/>
      </c>
      <c r="AX302" s="138" t="str">
        <f t="shared" si="134"/>
        <v/>
      </c>
      <c r="AY302" s="95"/>
      <c r="AZ302" s="96"/>
      <c r="BA302" s="96"/>
      <c r="BB302" s="96"/>
      <c r="BC302" s="96"/>
      <c r="BD302" s="97">
        <v>75</v>
      </c>
      <c r="BE302" s="142">
        <f t="shared" si="135"/>
        <v>6256</v>
      </c>
      <c r="BF302" s="98">
        <v>0</v>
      </c>
      <c r="BG302" s="98">
        <v>0</v>
      </c>
      <c r="BH302" s="98">
        <v>0</v>
      </c>
      <c r="BI302" s="98">
        <v>6256</v>
      </c>
      <c r="BJ302" s="98"/>
      <c r="BK302" s="98"/>
      <c r="BL302" s="97"/>
    </row>
    <row r="303" spans="1:64" outlineLevel="5" x14ac:dyDescent="0.3">
      <c r="A303" s="152">
        <f t="shared" si="106"/>
        <v>9</v>
      </c>
      <c r="B303" s="153">
        <f t="shared" si="121"/>
        <v>45180</v>
      </c>
      <c r="C303" s="138">
        <f t="shared" si="126"/>
        <v>36.4</v>
      </c>
      <c r="D303" s="84">
        <v>36.5</v>
      </c>
      <c r="E303" s="84">
        <v>36.200000000000003</v>
      </c>
      <c r="F303" s="84"/>
      <c r="G303" s="84"/>
      <c r="H303" s="84"/>
      <c r="I303" s="84"/>
      <c r="J303" s="84"/>
      <c r="K303" s="84"/>
      <c r="L303" s="140">
        <f t="shared" si="127"/>
        <v>8</v>
      </c>
      <c r="M303" s="86">
        <v>8.01</v>
      </c>
      <c r="N303" s="86">
        <v>8.0299999999999994</v>
      </c>
      <c r="O303" s="86"/>
      <c r="P303" s="86"/>
      <c r="Q303" s="86"/>
      <c r="R303" s="86"/>
      <c r="S303" s="86"/>
      <c r="T303" s="86"/>
      <c r="U303" s="142">
        <f t="shared" si="128"/>
        <v>681.2</v>
      </c>
      <c r="V303" s="88">
        <v>702.8</v>
      </c>
      <c r="W303" s="88">
        <v>659.6</v>
      </c>
      <c r="X303" s="88"/>
      <c r="Y303" s="88"/>
      <c r="Z303" s="88"/>
      <c r="AA303" s="88"/>
      <c r="AB303" s="88"/>
      <c r="AC303" s="88"/>
      <c r="AD303" s="142" t="str">
        <f t="shared" si="129"/>
        <v/>
      </c>
      <c r="AE303" s="88"/>
      <c r="AF303" s="88"/>
      <c r="AG303" s="88"/>
      <c r="AH303" s="88"/>
      <c r="AI303" s="88"/>
      <c r="AJ303" s="88"/>
      <c r="AK303" s="88"/>
      <c r="AL303" s="88"/>
      <c r="AM303" s="88">
        <v>47.380044167837781</v>
      </c>
      <c r="AN303" s="88">
        <v>99.62</v>
      </c>
      <c r="AO303" s="89"/>
      <c r="AP303" s="90"/>
      <c r="AQ303" s="146" t="str">
        <f t="shared" si="130"/>
        <v/>
      </c>
      <c r="AR303" s="146" t="str">
        <f t="shared" si="131"/>
        <v/>
      </c>
      <c r="AS303" s="147">
        <v>30</v>
      </c>
      <c r="AT303" s="148">
        <v>12.45</v>
      </c>
      <c r="AU303" s="149">
        <v>7.3870499999999995</v>
      </c>
      <c r="AV303" s="146">
        <f t="shared" si="132"/>
        <v>59.333734939759033</v>
      </c>
      <c r="AW303" s="146">
        <f t="shared" si="133"/>
        <v>40.666265060240967</v>
      </c>
      <c r="AX303" s="138" t="str">
        <f t="shared" si="134"/>
        <v/>
      </c>
      <c r="AY303" s="95">
        <v>75.650000000000006</v>
      </c>
      <c r="AZ303" s="96">
        <v>60.884999999999998</v>
      </c>
      <c r="BA303" s="96"/>
      <c r="BB303" s="96">
        <v>64</v>
      </c>
      <c r="BC303" s="96"/>
      <c r="BD303" s="97">
        <v>99.62</v>
      </c>
      <c r="BE303" s="142">
        <f t="shared" si="135"/>
        <v>6418</v>
      </c>
      <c r="BF303" s="98">
        <v>0</v>
      </c>
      <c r="BG303" s="98">
        <v>0</v>
      </c>
      <c r="BH303" s="98">
        <v>0</v>
      </c>
      <c r="BI303" s="98">
        <v>6418</v>
      </c>
      <c r="BJ303" s="98"/>
      <c r="BK303" s="98"/>
      <c r="BL303" s="97"/>
    </row>
    <row r="304" spans="1:64" outlineLevel="5" x14ac:dyDescent="0.3">
      <c r="A304" s="152">
        <f t="shared" si="106"/>
        <v>9</v>
      </c>
      <c r="B304" s="153">
        <f t="shared" si="121"/>
        <v>45181</v>
      </c>
      <c r="C304" s="138" t="str">
        <f t="shared" si="126"/>
        <v/>
      </c>
      <c r="D304" s="84"/>
      <c r="E304" s="84"/>
      <c r="F304" s="84"/>
      <c r="G304" s="84"/>
      <c r="H304" s="84"/>
      <c r="I304" s="84"/>
      <c r="J304" s="84"/>
      <c r="K304" s="84"/>
      <c r="L304" s="140" t="str">
        <f t="shared" si="127"/>
        <v/>
      </c>
      <c r="M304" s="86"/>
      <c r="N304" s="86"/>
      <c r="O304" s="86"/>
      <c r="P304" s="86"/>
      <c r="Q304" s="86"/>
      <c r="R304" s="86"/>
      <c r="S304" s="86"/>
      <c r="T304" s="86"/>
      <c r="U304" s="142" t="str">
        <f t="shared" si="128"/>
        <v/>
      </c>
      <c r="V304" s="88"/>
      <c r="W304" s="88"/>
      <c r="X304" s="88"/>
      <c r="Y304" s="88"/>
      <c r="Z304" s="88"/>
      <c r="AA304" s="88"/>
      <c r="AB304" s="88"/>
      <c r="AC304" s="88"/>
      <c r="AD304" s="142" t="str">
        <f t="shared" si="129"/>
        <v/>
      </c>
      <c r="AE304" s="88"/>
      <c r="AF304" s="88"/>
      <c r="AG304" s="88"/>
      <c r="AH304" s="88"/>
      <c r="AI304" s="88"/>
      <c r="AJ304" s="88"/>
      <c r="AK304" s="88"/>
      <c r="AL304" s="88"/>
      <c r="AM304" s="88">
        <v>34.106510586025003</v>
      </c>
      <c r="AN304" s="88">
        <v>138.38999999999999</v>
      </c>
      <c r="AO304" s="89"/>
      <c r="AP304" s="90"/>
      <c r="AQ304" s="146" t="str">
        <f t="shared" si="130"/>
        <v/>
      </c>
      <c r="AR304" s="146" t="str">
        <f t="shared" si="131"/>
        <v/>
      </c>
      <c r="AS304" s="147">
        <v>40</v>
      </c>
      <c r="AT304" s="148"/>
      <c r="AU304" s="149"/>
      <c r="AV304" s="146" t="str">
        <f t="shared" si="132"/>
        <v/>
      </c>
      <c r="AW304" s="146" t="str">
        <f t="shared" si="133"/>
        <v/>
      </c>
      <c r="AX304" s="138" t="str">
        <f t="shared" si="134"/>
        <v/>
      </c>
      <c r="AY304" s="95"/>
      <c r="AZ304" s="96">
        <v>61.12</v>
      </c>
      <c r="BA304" s="96"/>
      <c r="BB304" s="96">
        <v>66.5</v>
      </c>
      <c r="BC304" s="96"/>
      <c r="BD304" s="97">
        <v>138.38999999999999</v>
      </c>
      <c r="BE304" s="142">
        <f t="shared" si="135"/>
        <v>6478</v>
      </c>
      <c r="BF304" s="98">
        <v>0</v>
      </c>
      <c r="BG304" s="98">
        <v>0</v>
      </c>
      <c r="BH304" s="98">
        <v>0</v>
      </c>
      <c r="BI304" s="98">
        <v>6478</v>
      </c>
      <c r="BJ304" s="98"/>
      <c r="BK304" s="98"/>
      <c r="BL304" s="97"/>
    </row>
    <row r="305" spans="1:64" outlineLevel="5" x14ac:dyDescent="0.3">
      <c r="A305" s="152">
        <f t="shared" si="106"/>
        <v>9</v>
      </c>
      <c r="B305" s="153">
        <f t="shared" si="121"/>
        <v>45182</v>
      </c>
      <c r="C305" s="138">
        <f t="shared" si="126"/>
        <v>36.200000000000003</v>
      </c>
      <c r="D305" s="84">
        <v>36.4</v>
      </c>
      <c r="E305" s="84">
        <v>36</v>
      </c>
      <c r="F305" s="84"/>
      <c r="G305" s="84"/>
      <c r="H305" s="84"/>
      <c r="I305" s="84"/>
      <c r="J305" s="84"/>
      <c r="K305" s="84"/>
      <c r="L305" s="140">
        <f t="shared" si="127"/>
        <v>8</v>
      </c>
      <c r="M305" s="86">
        <v>8.01</v>
      </c>
      <c r="N305" s="86">
        <v>8.0299999999999994</v>
      </c>
      <c r="O305" s="86"/>
      <c r="P305" s="86"/>
      <c r="Q305" s="86"/>
      <c r="R305" s="86"/>
      <c r="S305" s="86"/>
      <c r="T305" s="86"/>
      <c r="U305" s="142">
        <f t="shared" si="128"/>
        <v>740.7</v>
      </c>
      <c r="V305" s="88">
        <v>713.6</v>
      </c>
      <c r="W305" s="88">
        <v>767.7</v>
      </c>
      <c r="X305" s="88"/>
      <c r="Y305" s="88"/>
      <c r="Z305" s="88"/>
      <c r="AA305" s="88"/>
      <c r="AB305" s="88"/>
      <c r="AC305" s="88"/>
      <c r="AD305" s="142" t="str">
        <f t="shared" si="129"/>
        <v/>
      </c>
      <c r="AE305" s="88"/>
      <c r="AF305" s="88"/>
      <c r="AG305" s="88"/>
      <c r="AH305" s="88"/>
      <c r="AI305" s="88"/>
      <c r="AJ305" s="88"/>
      <c r="AK305" s="88"/>
      <c r="AL305" s="88"/>
      <c r="AM305" s="88">
        <v>32.37089362869488</v>
      </c>
      <c r="AN305" s="88">
        <v>145.81</v>
      </c>
      <c r="AO305" s="89"/>
      <c r="AP305" s="90"/>
      <c r="AQ305" s="146" t="str">
        <f t="shared" si="130"/>
        <v/>
      </c>
      <c r="AR305" s="146" t="str">
        <f t="shared" si="131"/>
        <v/>
      </c>
      <c r="AS305" s="147">
        <v>35</v>
      </c>
      <c r="AT305" s="148">
        <v>13.25</v>
      </c>
      <c r="AU305" s="149">
        <v>7.7364999999999995</v>
      </c>
      <c r="AV305" s="146">
        <f t="shared" si="132"/>
        <v>58.388679245283015</v>
      </c>
      <c r="AW305" s="146">
        <f t="shared" si="133"/>
        <v>41.611320754716985</v>
      </c>
      <c r="AX305" s="138" t="str">
        <f t="shared" si="134"/>
        <v/>
      </c>
      <c r="AY305" s="95">
        <v>75.150000000000006</v>
      </c>
      <c r="AZ305" s="96">
        <v>60.870000000000005</v>
      </c>
      <c r="BA305" s="96"/>
      <c r="BB305" s="96">
        <v>69.5</v>
      </c>
      <c r="BC305" s="96"/>
      <c r="BD305" s="97">
        <v>145.81</v>
      </c>
      <c r="BE305" s="142">
        <f t="shared" si="135"/>
        <v>6631</v>
      </c>
      <c r="BF305" s="98">
        <v>0</v>
      </c>
      <c r="BG305" s="98">
        <v>0</v>
      </c>
      <c r="BH305" s="98">
        <v>0</v>
      </c>
      <c r="BI305" s="98">
        <v>6631</v>
      </c>
      <c r="BJ305" s="98"/>
      <c r="BK305" s="98"/>
      <c r="BL305" s="97"/>
    </row>
    <row r="306" spans="1:64" outlineLevel="5" x14ac:dyDescent="0.3">
      <c r="A306" s="152">
        <f t="shared" si="106"/>
        <v>9</v>
      </c>
      <c r="B306" s="153">
        <f t="shared" si="121"/>
        <v>45183</v>
      </c>
      <c r="C306" s="138">
        <f t="shared" si="126"/>
        <v>36.200000000000003</v>
      </c>
      <c r="D306" s="84">
        <v>36.299999999999997</v>
      </c>
      <c r="E306" s="84">
        <v>36</v>
      </c>
      <c r="F306" s="84"/>
      <c r="G306" s="84"/>
      <c r="H306" s="84"/>
      <c r="I306" s="84"/>
      <c r="J306" s="84"/>
      <c r="K306" s="84"/>
      <c r="L306" s="140">
        <f t="shared" si="127"/>
        <v>7.9</v>
      </c>
      <c r="M306" s="86">
        <v>7.94</v>
      </c>
      <c r="N306" s="86">
        <v>7.94</v>
      </c>
      <c r="O306" s="86"/>
      <c r="P306" s="86"/>
      <c r="Q306" s="86"/>
      <c r="R306" s="86"/>
      <c r="S306" s="86"/>
      <c r="T306" s="86"/>
      <c r="U306" s="142">
        <f t="shared" si="128"/>
        <v>854.2</v>
      </c>
      <c r="V306" s="88">
        <v>983.9</v>
      </c>
      <c r="W306" s="88">
        <v>724.4</v>
      </c>
      <c r="X306" s="88"/>
      <c r="Y306" s="88"/>
      <c r="Z306" s="88"/>
      <c r="AA306" s="88"/>
      <c r="AB306" s="88"/>
      <c r="AC306" s="88"/>
      <c r="AD306" s="142" t="str">
        <f t="shared" si="129"/>
        <v/>
      </c>
      <c r="AE306" s="88"/>
      <c r="AF306" s="88"/>
      <c r="AG306" s="88"/>
      <c r="AH306" s="88"/>
      <c r="AI306" s="88"/>
      <c r="AJ306" s="88"/>
      <c r="AK306" s="88"/>
      <c r="AL306" s="88"/>
      <c r="AM306" s="88">
        <v>36.751537802694074</v>
      </c>
      <c r="AN306" s="88">
        <v>128.43</v>
      </c>
      <c r="AO306" s="89"/>
      <c r="AP306" s="90"/>
      <c r="AQ306" s="146" t="str">
        <f t="shared" si="130"/>
        <v/>
      </c>
      <c r="AR306" s="146" t="str">
        <f t="shared" si="131"/>
        <v/>
      </c>
      <c r="AS306" s="147">
        <v>27</v>
      </c>
      <c r="AT306" s="148">
        <v>12.2</v>
      </c>
      <c r="AU306" s="149">
        <v>7.6601999999999997</v>
      </c>
      <c r="AV306" s="146">
        <f t="shared" si="132"/>
        <v>62.788524590163931</v>
      </c>
      <c r="AW306" s="146">
        <f t="shared" si="133"/>
        <v>37.211475409836069</v>
      </c>
      <c r="AX306" s="138" t="str">
        <f t="shared" si="134"/>
        <v/>
      </c>
      <c r="AY306" s="95">
        <v>77.55</v>
      </c>
      <c r="AZ306" s="96">
        <v>62.204999999999998</v>
      </c>
      <c r="BA306" s="96"/>
      <c r="BB306" s="96">
        <v>63.5</v>
      </c>
      <c r="BC306" s="96"/>
      <c r="BD306" s="97">
        <v>128.43</v>
      </c>
      <c r="BE306" s="142">
        <f t="shared" si="135"/>
        <v>6307</v>
      </c>
      <c r="BF306" s="98">
        <v>0</v>
      </c>
      <c r="BG306" s="98">
        <v>0</v>
      </c>
      <c r="BH306" s="98">
        <v>0</v>
      </c>
      <c r="BI306" s="98">
        <v>6307</v>
      </c>
      <c r="BJ306" s="98"/>
      <c r="BK306" s="98"/>
      <c r="BL306" s="97"/>
    </row>
    <row r="307" spans="1:64" outlineLevel="5" x14ac:dyDescent="0.3">
      <c r="A307" s="152">
        <f t="shared" ref="A307:A378" si="136">MONTH(B307)</f>
        <v>9</v>
      </c>
      <c r="B307" s="153">
        <f t="shared" si="121"/>
        <v>45184</v>
      </c>
      <c r="C307" s="138" t="str">
        <f t="shared" si="126"/>
        <v/>
      </c>
      <c r="D307" s="84"/>
      <c r="E307" s="84"/>
      <c r="F307" s="84"/>
      <c r="G307" s="84"/>
      <c r="H307" s="84"/>
      <c r="I307" s="84"/>
      <c r="J307" s="84"/>
      <c r="K307" s="84"/>
      <c r="L307" s="140" t="str">
        <f t="shared" si="127"/>
        <v/>
      </c>
      <c r="M307" s="86"/>
      <c r="N307" s="86"/>
      <c r="O307" s="86"/>
      <c r="P307" s="86"/>
      <c r="Q307" s="86"/>
      <c r="R307" s="86"/>
      <c r="S307" s="86"/>
      <c r="T307" s="86"/>
      <c r="U307" s="142" t="str">
        <f t="shared" si="128"/>
        <v/>
      </c>
      <c r="V307" s="88"/>
      <c r="W307" s="88"/>
      <c r="X307" s="88"/>
      <c r="Y307" s="88"/>
      <c r="Z307" s="88"/>
      <c r="AA307" s="88"/>
      <c r="AB307" s="88"/>
      <c r="AC307" s="88"/>
      <c r="AD307" s="142" t="str">
        <f t="shared" si="129"/>
        <v/>
      </c>
      <c r="AE307" s="88"/>
      <c r="AF307" s="88"/>
      <c r="AG307" s="88"/>
      <c r="AH307" s="88"/>
      <c r="AI307" s="88"/>
      <c r="AJ307" s="88"/>
      <c r="AK307" s="88"/>
      <c r="AL307" s="88"/>
      <c r="AM307" s="88">
        <v>76.215081543678352</v>
      </c>
      <c r="AN307" s="88">
        <v>61.93</v>
      </c>
      <c r="AO307" s="89"/>
      <c r="AP307" s="90"/>
      <c r="AQ307" s="146" t="str">
        <f t="shared" si="130"/>
        <v/>
      </c>
      <c r="AR307" s="146" t="str">
        <f t="shared" si="131"/>
        <v/>
      </c>
      <c r="AS307" s="147">
        <v>30</v>
      </c>
      <c r="AT307" s="148"/>
      <c r="AU307" s="149"/>
      <c r="AV307" s="146" t="str">
        <f t="shared" si="132"/>
        <v/>
      </c>
      <c r="AW307" s="146" t="str">
        <f t="shared" si="133"/>
        <v/>
      </c>
      <c r="AX307" s="138" t="str">
        <f t="shared" si="134"/>
        <v/>
      </c>
      <c r="AY307" s="95"/>
      <c r="AZ307" s="96">
        <v>61.85</v>
      </c>
      <c r="BA307" s="96"/>
      <c r="BB307" s="96">
        <v>66</v>
      </c>
      <c r="BC307" s="96"/>
      <c r="BD307" s="97">
        <v>61.93</v>
      </c>
      <c r="BE307" s="142">
        <f t="shared" si="135"/>
        <v>6172</v>
      </c>
      <c r="BF307" s="98">
        <v>0</v>
      </c>
      <c r="BG307" s="98">
        <v>0</v>
      </c>
      <c r="BH307" s="98">
        <v>0</v>
      </c>
      <c r="BI307" s="98">
        <v>6172</v>
      </c>
      <c r="BJ307" s="98"/>
      <c r="BK307" s="98"/>
      <c r="BL307" s="97"/>
    </row>
    <row r="308" spans="1:64" outlineLevel="5" x14ac:dyDescent="0.3">
      <c r="A308" s="152">
        <f t="shared" si="136"/>
        <v>9</v>
      </c>
      <c r="B308" s="153">
        <f t="shared" si="121"/>
        <v>45185</v>
      </c>
      <c r="C308" s="138" t="str">
        <f t="shared" si="126"/>
        <v/>
      </c>
      <c r="D308" s="84"/>
      <c r="E308" s="84"/>
      <c r="F308" s="84"/>
      <c r="G308" s="84"/>
      <c r="H308" s="84"/>
      <c r="I308" s="84"/>
      <c r="J308" s="84"/>
      <c r="K308" s="84"/>
      <c r="L308" s="140" t="str">
        <f t="shared" si="127"/>
        <v/>
      </c>
      <c r="M308" s="86"/>
      <c r="N308" s="86"/>
      <c r="O308" s="86"/>
      <c r="P308" s="86"/>
      <c r="Q308" s="86"/>
      <c r="R308" s="86"/>
      <c r="S308" s="86"/>
      <c r="T308" s="86"/>
      <c r="U308" s="142" t="str">
        <f t="shared" si="128"/>
        <v/>
      </c>
      <c r="V308" s="88"/>
      <c r="W308" s="88"/>
      <c r="X308" s="88"/>
      <c r="Y308" s="88"/>
      <c r="Z308" s="88"/>
      <c r="AA308" s="88"/>
      <c r="AB308" s="88"/>
      <c r="AC308" s="88"/>
      <c r="AD308" s="142" t="str">
        <f t="shared" si="129"/>
        <v/>
      </c>
      <c r="AE308" s="88"/>
      <c r="AF308" s="88"/>
      <c r="AG308" s="88"/>
      <c r="AH308" s="88"/>
      <c r="AI308" s="88"/>
      <c r="AJ308" s="88"/>
      <c r="AK308" s="88"/>
      <c r="AL308" s="88"/>
      <c r="AM308" s="88">
        <v>38.985710745849509</v>
      </c>
      <c r="AN308" s="88">
        <v>121.07</v>
      </c>
      <c r="AO308" s="89"/>
      <c r="AP308" s="90"/>
      <c r="AQ308" s="146" t="str">
        <f t="shared" si="130"/>
        <v/>
      </c>
      <c r="AR308" s="146" t="str">
        <f t="shared" si="131"/>
        <v/>
      </c>
      <c r="AS308" s="147">
        <v>10</v>
      </c>
      <c r="AT308" s="148"/>
      <c r="AU308" s="149"/>
      <c r="AV308" s="146" t="str">
        <f t="shared" si="132"/>
        <v/>
      </c>
      <c r="AW308" s="146" t="str">
        <f t="shared" si="133"/>
        <v/>
      </c>
      <c r="AX308" s="138" t="str">
        <f t="shared" si="134"/>
        <v/>
      </c>
      <c r="AY308" s="95"/>
      <c r="AZ308" s="96"/>
      <c r="BA308" s="96"/>
      <c r="BB308" s="96"/>
      <c r="BC308" s="96"/>
      <c r="BD308" s="97">
        <v>121.07</v>
      </c>
      <c r="BE308" s="142">
        <f t="shared" si="135"/>
        <v>6390</v>
      </c>
      <c r="BF308" s="98">
        <v>0</v>
      </c>
      <c r="BG308" s="98">
        <v>0</v>
      </c>
      <c r="BH308" s="98">
        <v>0</v>
      </c>
      <c r="BI308" s="98">
        <v>6390</v>
      </c>
      <c r="BJ308" s="98"/>
      <c r="BK308" s="98"/>
      <c r="BL308" s="97"/>
    </row>
    <row r="309" spans="1:64" outlineLevel="5" x14ac:dyDescent="0.3">
      <c r="A309" s="152">
        <f t="shared" si="136"/>
        <v>9</v>
      </c>
      <c r="B309" s="153">
        <f t="shared" si="121"/>
        <v>45186</v>
      </c>
      <c r="C309" s="138" t="str">
        <f t="shared" si="126"/>
        <v/>
      </c>
      <c r="D309" s="84"/>
      <c r="E309" s="84"/>
      <c r="F309" s="84"/>
      <c r="G309" s="84"/>
      <c r="H309" s="84"/>
      <c r="I309" s="84"/>
      <c r="J309" s="84"/>
      <c r="K309" s="84"/>
      <c r="L309" s="140" t="str">
        <f t="shared" si="127"/>
        <v/>
      </c>
      <c r="M309" s="86"/>
      <c r="N309" s="86"/>
      <c r="O309" s="86"/>
      <c r="P309" s="86"/>
      <c r="Q309" s="86"/>
      <c r="R309" s="86"/>
      <c r="S309" s="86"/>
      <c r="T309" s="86"/>
      <c r="U309" s="142" t="str">
        <f t="shared" si="128"/>
        <v/>
      </c>
      <c r="V309" s="88"/>
      <c r="W309" s="88"/>
      <c r="X309" s="88"/>
      <c r="Y309" s="88"/>
      <c r="Z309" s="88"/>
      <c r="AA309" s="88"/>
      <c r="AB309" s="88"/>
      <c r="AC309" s="88"/>
      <c r="AD309" s="142" t="str">
        <f t="shared" si="129"/>
        <v/>
      </c>
      <c r="AE309" s="88"/>
      <c r="AF309" s="88"/>
      <c r="AG309" s="88"/>
      <c r="AH309" s="88"/>
      <c r="AI309" s="88"/>
      <c r="AJ309" s="88"/>
      <c r="AK309" s="88"/>
      <c r="AL309" s="88"/>
      <c r="AM309" s="88">
        <v>42.909090909090907</v>
      </c>
      <c r="AN309" s="88">
        <v>110</v>
      </c>
      <c r="AO309" s="89"/>
      <c r="AP309" s="90"/>
      <c r="AQ309" s="146" t="str">
        <f t="shared" si="130"/>
        <v/>
      </c>
      <c r="AR309" s="146" t="str">
        <f t="shared" si="131"/>
        <v/>
      </c>
      <c r="AS309" s="147">
        <v>10</v>
      </c>
      <c r="AT309" s="148"/>
      <c r="AU309" s="149"/>
      <c r="AV309" s="146" t="str">
        <f t="shared" si="132"/>
        <v/>
      </c>
      <c r="AW309" s="146" t="str">
        <f t="shared" si="133"/>
        <v/>
      </c>
      <c r="AX309" s="138" t="str">
        <f t="shared" si="134"/>
        <v/>
      </c>
      <c r="AY309" s="95"/>
      <c r="AZ309" s="96"/>
      <c r="BA309" s="96"/>
      <c r="BB309" s="96"/>
      <c r="BC309" s="96"/>
      <c r="BD309" s="97">
        <v>110</v>
      </c>
      <c r="BE309" s="142">
        <f t="shared" si="135"/>
        <v>4840</v>
      </c>
      <c r="BF309" s="98">
        <v>0</v>
      </c>
      <c r="BG309" s="98">
        <v>0</v>
      </c>
      <c r="BH309" s="98">
        <v>3</v>
      </c>
      <c r="BI309" s="98">
        <v>4837</v>
      </c>
      <c r="BJ309" s="98"/>
      <c r="BK309" s="98"/>
      <c r="BL309" s="97"/>
    </row>
    <row r="310" spans="1:64" outlineLevel="5" x14ac:dyDescent="0.3">
      <c r="A310" s="152">
        <f t="shared" si="136"/>
        <v>9</v>
      </c>
      <c r="B310" s="153">
        <f t="shared" si="121"/>
        <v>45187</v>
      </c>
      <c r="C310" s="138">
        <f t="shared" si="126"/>
        <v>36</v>
      </c>
      <c r="D310" s="84">
        <v>36</v>
      </c>
      <c r="E310" s="84">
        <v>36</v>
      </c>
      <c r="F310" s="84"/>
      <c r="G310" s="84"/>
      <c r="H310" s="84"/>
      <c r="I310" s="84"/>
      <c r="J310" s="84"/>
      <c r="K310" s="84"/>
      <c r="L310" s="140">
        <f t="shared" si="127"/>
        <v>8</v>
      </c>
      <c r="M310" s="86">
        <v>8.02</v>
      </c>
      <c r="N310" s="86">
        <v>8.01</v>
      </c>
      <c r="O310" s="86"/>
      <c r="P310" s="86"/>
      <c r="Q310" s="86"/>
      <c r="R310" s="86"/>
      <c r="S310" s="86"/>
      <c r="T310" s="86"/>
      <c r="U310" s="142">
        <f t="shared" si="128"/>
        <v>762.3</v>
      </c>
      <c r="V310" s="88">
        <v>735.3</v>
      </c>
      <c r="W310" s="88">
        <v>789.3</v>
      </c>
      <c r="X310" s="88"/>
      <c r="Y310" s="88"/>
      <c r="Z310" s="88"/>
      <c r="AA310" s="88"/>
      <c r="AB310" s="88"/>
      <c r="AC310" s="88"/>
      <c r="AD310" s="142" t="str">
        <f t="shared" si="129"/>
        <v/>
      </c>
      <c r="AE310" s="88"/>
      <c r="AF310" s="88"/>
      <c r="AG310" s="88"/>
      <c r="AH310" s="88"/>
      <c r="AI310" s="88"/>
      <c r="AJ310" s="88"/>
      <c r="AK310" s="88"/>
      <c r="AL310" s="88"/>
      <c r="AM310" s="88">
        <v>38.950321835286346</v>
      </c>
      <c r="AN310" s="88">
        <v>121.18</v>
      </c>
      <c r="AO310" s="89">
        <v>17.5</v>
      </c>
      <c r="AP310" s="90">
        <v>13.9125</v>
      </c>
      <c r="AQ310" s="146">
        <f t="shared" si="130"/>
        <v>79.5</v>
      </c>
      <c r="AR310" s="146">
        <f t="shared" si="131"/>
        <v>20.5</v>
      </c>
      <c r="AS310" s="147">
        <v>30</v>
      </c>
      <c r="AT310" s="148">
        <v>13.45</v>
      </c>
      <c r="AU310" s="149">
        <v>7.2725500000000007</v>
      </c>
      <c r="AV310" s="146">
        <f t="shared" si="132"/>
        <v>54.071003717472131</v>
      </c>
      <c r="AW310" s="146">
        <f t="shared" si="133"/>
        <v>45.928996282527869</v>
      </c>
      <c r="AX310" s="138">
        <f t="shared" si="134"/>
        <v>69.64262543249842</v>
      </c>
      <c r="AY310" s="95">
        <v>75.55</v>
      </c>
      <c r="AZ310" s="96">
        <v>62.730000000000004</v>
      </c>
      <c r="BA310" s="96"/>
      <c r="BB310" s="96">
        <v>57</v>
      </c>
      <c r="BC310" s="96"/>
      <c r="BD310" s="97">
        <v>121.18</v>
      </c>
      <c r="BE310" s="142">
        <f t="shared" si="135"/>
        <v>6521</v>
      </c>
      <c r="BF310" s="98">
        <v>0</v>
      </c>
      <c r="BG310" s="98">
        <v>0</v>
      </c>
      <c r="BH310" s="98">
        <v>0</v>
      </c>
      <c r="BI310" s="98">
        <v>6521</v>
      </c>
      <c r="BJ310" s="98"/>
      <c r="BK310" s="98"/>
      <c r="BL310" s="97"/>
    </row>
    <row r="311" spans="1:64" outlineLevel="5" x14ac:dyDescent="0.3">
      <c r="A311" s="152">
        <f t="shared" si="136"/>
        <v>9</v>
      </c>
      <c r="B311" s="153">
        <f t="shared" si="121"/>
        <v>45188</v>
      </c>
      <c r="C311" s="138" t="str">
        <f t="shared" si="126"/>
        <v/>
      </c>
      <c r="D311" s="84"/>
      <c r="E311" s="84"/>
      <c r="F311" s="84"/>
      <c r="G311" s="84"/>
      <c r="H311" s="84"/>
      <c r="I311" s="84"/>
      <c r="J311" s="84"/>
      <c r="K311" s="84"/>
      <c r="L311" s="140" t="str">
        <f t="shared" si="127"/>
        <v/>
      </c>
      <c r="M311" s="86"/>
      <c r="N311" s="86"/>
      <c r="O311" s="86"/>
      <c r="P311" s="86"/>
      <c r="Q311" s="86"/>
      <c r="R311" s="86"/>
      <c r="S311" s="86"/>
      <c r="T311" s="86"/>
      <c r="U311" s="142" t="str">
        <f t="shared" si="128"/>
        <v/>
      </c>
      <c r="V311" s="88"/>
      <c r="W311" s="88"/>
      <c r="X311" s="88"/>
      <c r="Y311" s="88"/>
      <c r="Z311" s="88"/>
      <c r="AA311" s="88"/>
      <c r="AB311" s="88"/>
      <c r="AC311" s="88"/>
      <c r="AD311" s="142" t="str">
        <f t="shared" si="129"/>
        <v/>
      </c>
      <c r="AE311" s="88"/>
      <c r="AF311" s="88"/>
      <c r="AG311" s="88"/>
      <c r="AH311" s="88"/>
      <c r="AI311" s="88"/>
      <c r="AJ311" s="88"/>
      <c r="AK311" s="88"/>
      <c r="AL311" s="88"/>
      <c r="AM311" s="88">
        <v>35.890806782754169</v>
      </c>
      <c r="AN311" s="88">
        <v>131.51</v>
      </c>
      <c r="AO311" s="89"/>
      <c r="AP311" s="90"/>
      <c r="AQ311" s="146" t="str">
        <f t="shared" si="130"/>
        <v/>
      </c>
      <c r="AR311" s="146" t="str">
        <f t="shared" si="131"/>
        <v/>
      </c>
      <c r="AS311" s="147">
        <v>31</v>
      </c>
      <c r="AT311" s="148"/>
      <c r="AU311" s="149"/>
      <c r="AV311" s="146" t="str">
        <f t="shared" si="132"/>
        <v/>
      </c>
      <c r="AW311" s="146" t="str">
        <f t="shared" si="133"/>
        <v/>
      </c>
      <c r="AX311" s="138" t="str">
        <f t="shared" si="134"/>
        <v/>
      </c>
      <c r="AY311" s="95"/>
      <c r="AZ311" s="96">
        <v>59.625</v>
      </c>
      <c r="BA311" s="96"/>
      <c r="BB311" s="96">
        <v>87</v>
      </c>
      <c r="BC311" s="96"/>
      <c r="BD311" s="97">
        <v>131.51</v>
      </c>
      <c r="BE311" s="142">
        <f t="shared" si="135"/>
        <v>4762</v>
      </c>
      <c r="BF311" s="98">
        <v>0</v>
      </c>
      <c r="BG311" s="98">
        <v>0</v>
      </c>
      <c r="BH311" s="98">
        <v>214</v>
      </c>
      <c r="BI311" s="98">
        <v>4548</v>
      </c>
      <c r="BJ311" s="98"/>
      <c r="BK311" s="98"/>
      <c r="BL311" s="97"/>
    </row>
    <row r="312" spans="1:64" outlineLevel="5" x14ac:dyDescent="0.3">
      <c r="A312" s="152">
        <f t="shared" si="136"/>
        <v>9</v>
      </c>
      <c r="B312" s="153">
        <f t="shared" si="121"/>
        <v>45189</v>
      </c>
      <c r="C312" s="138">
        <f t="shared" si="126"/>
        <v>35.799999999999997</v>
      </c>
      <c r="D312" s="84">
        <v>35.9</v>
      </c>
      <c r="E312" s="84">
        <v>35.700000000000003</v>
      </c>
      <c r="F312" s="84"/>
      <c r="G312" s="84"/>
      <c r="H312" s="84"/>
      <c r="I312" s="84"/>
      <c r="J312" s="84"/>
      <c r="K312" s="84"/>
      <c r="L312" s="140">
        <f t="shared" si="127"/>
        <v>8</v>
      </c>
      <c r="M312" s="86">
        <v>7.9630000000000001</v>
      </c>
      <c r="N312" s="86">
        <v>7.97</v>
      </c>
      <c r="O312" s="86"/>
      <c r="P312" s="86"/>
      <c r="Q312" s="86"/>
      <c r="R312" s="86"/>
      <c r="S312" s="86"/>
      <c r="T312" s="86"/>
      <c r="U312" s="142">
        <f t="shared" si="128"/>
        <v>1119.0999999999999</v>
      </c>
      <c r="V312" s="88">
        <v>1070.4000000000001</v>
      </c>
      <c r="W312" s="88">
        <v>1167.8</v>
      </c>
      <c r="X312" s="88"/>
      <c r="Y312" s="88"/>
      <c r="Z312" s="88"/>
      <c r="AA312" s="88"/>
      <c r="AB312" s="88"/>
      <c r="AC312" s="88"/>
      <c r="AD312" s="142" t="str">
        <f t="shared" si="129"/>
        <v/>
      </c>
      <c r="AE312" s="88"/>
      <c r="AF312" s="88"/>
      <c r="AG312" s="88"/>
      <c r="AH312" s="88"/>
      <c r="AI312" s="88"/>
      <c r="AJ312" s="88"/>
      <c r="AK312" s="88"/>
      <c r="AL312" s="88"/>
      <c r="AM312" s="88">
        <v>34.606642715741629</v>
      </c>
      <c r="AN312" s="88">
        <v>136.38999999999999</v>
      </c>
      <c r="AO312" s="89"/>
      <c r="AP312" s="90"/>
      <c r="AQ312" s="146" t="str">
        <f t="shared" si="130"/>
        <v/>
      </c>
      <c r="AR312" s="146" t="str">
        <f t="shared" si="131"/>
        <v/>
      </c>
      <c r="AS312" s="147">
        <v>0</v>
      </c>
      <c r="AT312" s="148">
        <v>14.549999999999999</v>
      </c>
      <c r="AU312" s="149">
        <v>8.2591499999999982</v>
      </c>
      <c r="AV312" s="146">
        <f t="shared" si="132"/>
        <v>56.763917525773188</v>
      </c>
      <c r="AW312" s="146">
        <f t="shared" si="133"/>
        <v>43.236082474226812</v>
      </c>
      <c r="AX312" s="138" t="str">
        <f t="shared" si="134"/>
        <v/>
      </c>
      <c r="AY312" s="95">
        <v>73.25</v>
      </c>
      <c r="AZ312" s="96">
        <v>61.260000000000005</v>
      </c>
      <c r="BA312" s="96"/>
      <c r="BB312" s="96">
        <v>68.5</v>
      </c>
      <c r="BC312" s="96"/>
      <c r="BD312" s="97">
        <v>136.38999999999999</v>
      </c>
      <c r="BE312" s="142">
        <f t="shared" si="135"/>
        <v>6134</v>
      </c>
      <c r="BF312" s="98">
        <v>0</v>
      </c>
      <c r="BG312" s="98">
        <v>0</v>
      </c>
      <c r="BH312" s="98">
        <v>4099</v>
      </c>
      <c r="BI312" s="98">
        <v>2035</v>
      </c>
      <c r="BJ312" s="98"/>
      <c r="BK312" s="98"/>
      <c r="BL312" s="97"/>
    </row>
    <row r="313" spans="1:64" outlineLevel="5" x14ac:dyDescent="0.3">
      <c r="A313" s="152">
        <f t="shared" si="136"/>
        <v>9</v>
      </c>
      <c r="B313" s="153">
        <f t="shared" si="121"/>
        <v>45190</v>
      </c>
      <c r="C313" s="138">
        <f t="shared" si="126"/>
        <v>35.5</v>
      </c>
      <c r="D313" s="84">
        <v>35.299999999999997</v>
      </c>
      <c r="E313" s="84">
        <v>35.6</v>
      </c>
      <c r="F313" s="84"/>
      <c r="G313" s="84"/>
      <c r="H313" s="84"/>
      <c r="I313" s="84"/>
      <c r="J313" s="84"/>
      <c r="K313" s="84"/>
      <c r="L313" s="140">
        <f t="shared" si="127"/>
        <v>8</v>
      </c>
      <c r="M313" s="86">
        <v>7.99</v>
      </c>
      <c r="N313" s="86">
        <v>7.97</v>
      </c>
      <c r="O313" s="86"/>
      <c r="P313" s="86"/>
      <c r="Q313" s="86"/>
      <c r="R313" s="86"/>
      <c r="S313" s="86"/>
      <c r="T313" s="86"/>
      <c r="U313" s="142">
        <f t="shared" si="128"/>
        <v>1297.5</v>
      </c>
      <c r="V313" s="88">
        <v>1265.0999999999999</v>
      </c>
      <c r="W313" s="88">
        <v>1329.9</v>
      </c>
      <c r="X313" s="88"/>
      <c r="Y313" s="88"/>
      <c r="Z313" s="88"/>
      <c r="AA313" s="88"/>
      <c r="AB313" s="88"/>
      <c r="AC313" s="88"/>
      <c r="AD313" s="142" t="str">
        <f t="shared" si="129"/>
        <v/>
      </c>
      <c r="AE313" s="88"/>
      <c r="AF313" s="88"/>
      <c r="AG313" s="88"/>
      <c r="AH313" s="88"/>
      <c r="AI313" s="88"/>
      <c r="AJ313" s="88"/>
      <c r="AK313" s="88"/>
      <c r="AL313" s="88"/>
      <c r="AM313" s="88">
        <v>37.159502440560544</v>
      </c>
      <c r="AN313" s="88">
        <v>127.02</v>
      </c>
      <c r="AO313" s="89"/>
      <c r="AP313" s="90"/>
      <c r="AQ313" s="146" t="str">
        <f t="shared" si="130"/>
        <v/>
      </c>
      <c r="AR313" s="146" t="str">
        <f t="shared" si="131"/>
        <v/>
      </c>
      <c r="AS313" s="147">
        <v>0</v>
      </c>
      <c r="AT313" s="148">
        <v>13.7</v>
      </c>
      <c r="AU313" s="149">
        <v>7.5262999999999991</v>
      </c>
      <c r="AV313" s="146">
        <f t="shared" si="132"/>
        <v>54.936496350364962</v>
      </c>
      <c r="AW313" s="146">
        <f t="shared" si="133"/>
        <v>45.063503649635038</v>
      </c>
      <c r="AX313" s="138" t="str">
        <f t="shared" si="134"/>
        <v/>
      </c>
      <c r="AY313" s="95">
        <v>74.25</v>
      </c>
      <c r="AZ313" s="96">
        <v>61.239999999999995</v>
      </c>
      <c r="BA313" s="96"/>
      <c r="BB313" s="96">
        <v>73.5</v>
      </c>
      <c r="BC313" s="96"/>
      <c r="BD313" s="97">
        <v>127.02</v>
      </c>
      <c r="BE313" s="142">
        <f t="shared" si="135"/>
        <v>9750</v>
      </c>
      <c r="BF313" s="98">
        <v>0</v>
      </c>
      <c r="BG313" s="98">
        <v>0</v>
      </c>
      <c r="BH313" s="98">
        <v>4027</v>
      </c>
      <c r="BI313" s="98">
        <v>5723</v>
      </c>
      <c r="BJ313" s="98"/>
      <c r="BK313" s="98"/>
      <c r="BL313" s="97"/>
    </row>
    <row r="314" spans="1:64" outlineLevel="5" x14ac:dyDescent="0.3">
      <c r="A314" s="152">
        <f t="shared" si="136"/>
        <v>9</v>
      </c>
      <c r="B314" s="153">
        <f t="shared" si="121"/>
        <v>45191</v>
      </c>
      <c r="C314" s="138" t="str">
        <f t="shared" si="126"/>
        <v/>
      </c>
      <c r="D314" s="84"/>
      <c r="E314" s="84"/>
      <c r="F314" s="84"/>
      <c r="G314" s="84"/>
      <c r="H314" s="84"/>
      <c r="I314" s="84"/>
      <c r="J314" s="84"/>
      <c r="K314" s="84"/>
      <c r="L314" s="140" t="str">
        <f t="shared" si="127"/>
        <v/>
      </c>
      <c r="M314" s="86"/>
      <c r="N314" s="86"/>
      <c r="O314" s="86"/>
      <c r="P314" s="86"/>
      <c r="Q314" s="86"/>
      <c r="R314" s="86"/>
      <c r="S314" s="86"/>
      <c r="T314" s="86"/>
      <c r="U314" s="142" t="str">
        <f t="shared" si="128"/>
        <v/>
      </c>
      <c r="V314" s="88"/>
      <c r="W314" s="88"/>
      <c r="X314" s="88"/>
      <c r="Y314" s="88"/>
      <c r="Z314" s="88"/>
      <c r="AA314" s="88"/>
      <c r="AB314" s="88"/>
      <c r="AC314" s="88"/>
      <c r="AD314" s="142" t="str">
        <f t="shared" si="129"/>
        <v/>
      </c>
      <c r="AE314" s="88"/>
      <c r="AF314" s="88"/>
      <c r="AG314" s="88"/>
      <c r="AH314" s="88"/>
      <c r="AI314" s="88"/>
      <c r="AJ314" s="88"/>
      <c r="AK314" s="88"/>
      <c r="AL314" s="88"/>
      <c r="AM314" s="88">
        <v>60.676179457513825</v>
      </c>
      <c r="AN314" s="88">
        <v>77.789999999999992</v>
      </c>
      <c r="AO314" s="89"/>
      <c r="AP314" s="90"/>
      <c r="AQ314" s="146" t="str">
        <f t="shared" si="130"/>
        <v/>
      </c>
      <c r="AR314" s="146" t="str">
        <f t="shared" si="131"/>
        <v/>
      </c>
      <c r="AS314" s="147">
        <v>0</v>
      </c>
      <c r="AT314" s="148"/>
      <c r="AU314" s="149"/>
      <c r="AV314" s="146" t="str">
        <f t="shared" si="132"/>
        <v/>
      </c>
      <c r="AW314" s="146" t="str">
        <f t="shared" si="133"/>
        <v/>
      </c>
      <c r="AX314" s="138" t="str">
        <f t="shared" si="134"/>
        <v/>
      </c>
      <c r="AY314" s="95"/>
      <c r="AZ314" s="96">
        <v>62.325000000000003</v>
      </c>
      <c r="BA314" s="96"/>
      <c r="BB314" s="96">
        <v>63</v>
      </c>
      <c r="BC314" s="96"/>
      <c r="BD314" s="97">
        <v>77.789999999999992</v>
      </c>
      <c r="BE314" s="142">
        <f t="shared" si="135"/>
        <v>8267</v>
      </c>
      <c r="BF314" s="98">
        <v>0</v>
      </c>
      <c r="BG314" s="98">
        <v>0</v>
      </c>
      <c r="BH314" s="98">
        <v>2500</v>
      </c>
      <c r="BI314" s="98">
        <v>5767</v>
      </c>
      <c r="BJ314" s="98"/>
      <c r="BK314" s="98"/>
      <c r="BL314" s="97"/>
    </row>
    <row r="315" spans="1:64" outlineLevel="5" x14ac:dyDescent="0.3">
      <c r="A315" s="152">
        <f t="shared" si="136"/>
        <v>9</v>
      </c>
      <c r="B315" s="153">
        <f t="shared" si="121"/>
        <v>45192</v>
      </c>
      <c r="C315" s="138" t="str">
        <f t="shared" si="126"/>
        <v/>
      </c>
      <c r="D315" s="84"/>
      <c r="E315" s="84"/>
      <c r="F315" s="84"/>
      <c r="G315" s="84"/>
      <c r="H315" s="84"/>
      <c r="I315" s="84"/>
      <c r="J315" s="84"/>
      <c r="K315" s="84"/>
      <c r="L315" s="140" t="str">
        <f t="shared" si="127"/>
        <v/>
      </c>
      <c r="M315" s="86"/>
      <c r="N315" s="86"/>
      <c r="O315" s="86"/>
      <c r="P315" s="86"/>
      <c r="Q315" s="86"/>
      <c r="R315" s="86"/>
      <c r="S315" s="86"/>
      <c r="T315" s="86"/>
      <c r="U315" s="142" t="str">
        <f t="shared" si="128"/>
        <v/>
      </c>
      <c r="V315" s="88"/>
      <c r="W315" s="88"/>
      <c r="X315" s="88"/>
      <c r="Y315" s="88"/>
      <c r="Z315" s="88"/>
      <c r="AA315" s="88"/>
      <c r="AB315" s="88"/>
      <c r="AC315" s="88"/>
      <c r="AD315" s="142" t="str">
        <f t="shared" si="129"/>
        <v/>
      </c>
      <c r="AE315" s="88"/>
      <c r="AF315" s="88"/>
      <c r="AG315" s="88"/>
      <c r="AH315" s="88"/>
      <c r="AI315" s="88"/>
      <c r="AJ315" s="88"/>
      <c r="AK315" s="88"/>
      <c r="AL315" s="88"/>
      <c r="AM315" s="88">
        <v>51.287623600999673</v>
      </c>
      <c r="AN315" s="88">
        <v>92.03</v>
      </c>
      <c r="AO315" s="89"/>
      <c r="AP315" s="90"/>
      <c r="AQ315" s="146" t="str">
        <f t="shared" si="130"/>
        <v/>
      </c>
      <c r="AR315" s="146" t="str">
        <f t="shared" si="131"/>
        <v/>
      </c>
      <c r="AS315" s="147">
        <v>0</v>
      </c>
      <c r="AT315" s="148"/>
      <c r="AU315" s="149"/>
      <c r="AV315" s="146" t="str">
        <f t="shared" si="132"/>
        <v/>
      </c>
      <c r="AW315" s="146" t="str">
        <f t="shared" si="133"/>
        <v/>
      </c>
      <c r="AX315" s="138" t="str">
        <f t="shared" si="134"/>
        <v/>
      </c>
      <c r="AY315" s="95"/>
      <c r="AZ315" s="96"/>
      <c r="BA315" s="96"/>
      <c r="BB315" s="96"/>
      <c r="BC315" s="96"/>
      <c r="BD315" s="97">
        <v>92.03</v>
      </c>
      <c r="BE315" s="142">
        <f t="shared" si="135"/>
        <v>7809</v>
      </c>
      <c r="BF315" s="98">
        <v>0</v>
      </c>
      <c r="BG315" s="98">
        <v>0</v>
      </c>
      <c r="BH315" s="98">
        <v>1925</v>
      </c>
      <c r="BI315" s="98">
        <v>5884</v>
      </c>
      <c r="BJ315" s="98"/>
      <c r="BK315" s="98"/>
      <c r="BL315" s="97"/>
    </row>
    <row r="316" spans="1:64" outlineLevel="5" x14ac:dyDescent="0.3">
      <c r="A316" s="152">
        <f t="shared" si="136"/>
        <v>9</v>
      </c>
      <c r="B316" s="153">
        <f t="shared" si="121"/>
        <v>45193</v>
      </c>
      <c r="C316" s="138" t="str">
        <f t="shared" si="126"/>
        <v/>
      </c>
      <c r="D316" s="84"/>
      <c r="E316" s="84"/>
      <c r="F316" s="84"/>
      <c r="G316" s="84"/>
      <c r="H316" s="84"/>
      <c r="I316" s="84"/>
      <c r="J316" s="84"/>
      <c r="K316" s="84"/>
      <c r="L316" s="140" t="str">
        <f t="shared" si="127"/>
        <v/>
      </c>
      <c r="M316" s="86"/>
      <c r="N316" s="86"/>
      <c r="O316" s="86"/>
      <c r="P316" s="86"/>
      <c r="Q316" s="86"/>
      <c r="R316" s="86"/>
      <c r="S316" s="86"/>
      <c r="T316" s="86"/>
      <c r="U316" s="142" t="str">
        <f t="shared" si="128"/>
        <v/>
      </c>
      <c r="V316" s="88"/>
      <c r="W316" s="88"/>
      <c r="X316" s="88"/>
      <c r="Y316" s="88"/>
      <c r="Z316" s="88"/>
      <c r="AA316" s="88"/>
      <c r="AB316" s="88"/>
      <c r="AC316" s="88"/>
      <c r="AD316" s="142" t="str">
        <f t="shared" si="129"/>
        <v/>
      </c>
      <c r="AE316" s="88"/>
      <c r="AF316" s="88"/>
      <c r="AG316" s="88"/>
      <c r="AH316" s="88"/>
      <c r="AI316" s="88"/>
      <c r="AJ316" s="88"/>
      <c r="AK316" s="88"/>
      <c r="AL316" s="88"/>
      <c r="AM316" s="88">
        <v>32.551724137931032</v>
      </c>
      <c r="AN316" s="88">
        <v>145</v>
      </c>
      <c r="AO316" s="89"/>
      <c r="AP316" s="90"/>
      <c r="AQ316" s="146" t="str">
        <f t="shared" si="130"/>
        <v/>
      </c>
      <c r="AR316" s="146" t="str">
        <f t="shared" si="131"/>
        <v/>
      </c>
      <c r="AS316" s="147">
        <v>0</v>
      </c>
      <c r="AT316" s="148"/>
      <c r="AU316" s="149"/>
      <c r="AV316" s="146" t="str">
        <f t="shared" si="132"/>
        <v/>
      </c>
      <c r="AW316" s="146" t="str">
        <f t="shared" si="133"/>
        <v/>
      </c>
      <c r="AX316" s="138" t="str">
        <f t="shared" si="134"/>
        <v/>
      </c>
      <c r="AY316" s="95"/>
      <c r="AZ316" s="96"/>
      <c r="BA316" s="96"/>
      <c r="BB316" s="96"/>
      <c r="BC316" s="96"/>
      <c r="BD316" s="97">
        <v>145</v>
      </c>
      <c r="BE316" s="142">
        <f t="shared" si="135"/>
        <v>5647</v>
      </c>
      <c r="BF316" s="98">
        <v>0</v>
      </c>
      <c r="BG316" s="98">
        <v>0</v>
      </c>
      <c r="BH316" s="98">
        <v>30</v>
      </c>
      <c r="BI316" s="98">
        <v>5617</v>
      </c>
      <c r="BJ316" s="98"/>
      <c r="BK316" s="98"/>
      <c r="BL316" s="97"/>
    </row>
    <row r="317" spans="1:64" outlineLevel="5" x14ac:dyDescent="0.3">
      <c r="A317" s="152">
        <f t="shared" si="136"/>
        <v>9</v>
      </c>
      <c r="B317" s="153">
        <f t="shared" si="121"/>
        <v>45194</v>
      </c>
      <c r="C317" s="138">
        <f t="shared" si="126"/>
        <v>35</v>
      </c>
      <c r="D317" s="84">
        <v>35</v>
      </c>
      <c r="E317" s="84">
        <v>35</v>
      </c>
      <c r="F317" s="84"/>
      <c r="G317" s="84"/>
      <c r="H317" s="84"/>
      <c r="I317" s="84"/>
      <c r="J317" s="84"/>
      <c r="K317" s="84"/>
      <c r="L317" s="140" t="str">
        <f t="shared" si="127"/>
        <v/>
      </c>
      <c r="M317" s="86"/>
      <c r="N317" s="86"/>
      <c r="O317" s="86"/>
      <c r="P317" s="86"/>
      <c r="Q317" s="86"/>
      <c r="R317" s="86"/>
      <c r="S317" s="86"/>
      <c r="T317" s="86"/>
      <c r="U317" s="142" t="str">
        <f t="shared" si="128"/>
        <v/>
      </c>
      <c r="V317" s="88"/>
      <c r="W317" s="88"/>
      <c r="X317" s="88"/>
      <c r="Y317" s="88"/>
      <c r="Z317" s="88"/>
      <c r="AA317" s="88"/>
      <c r="AB317" s="88"/>
      <c r="AC317" s="88"/>
      <c r="AD317" s="142" t="str">
        <f t="shared" si="129"/>
        <v/>
      </c>
      <c r="AE317" s="88"/>
      <c r="AF317" s="88"/>
      <c r="AG317" s="88"/>
      <c r="AH317" s="88"/>
      <c r="AI317" s="88"/>
      <c r="AJ317" s="88"/>
      <c r="AK317" s="88"/>
      <c r="AL317" s="88"/>
      <c r="AM317" s="88">
        <v>41.132897603485837</v>
      </c>
      <c r="AN317" s="88">
        <v>114.75</v>
      </c>
      <c r="AO317" s="89"/>
      <c r="AP317" s="90"/>
      <c r="AQ317" s="146" t="str">
        <f t="shared" si="130"/>
        <v/>
      </c>
      <c r="AR317" s="146" t="str">
        <f t="shared" si="131"/>
        <v/>
      </c>
      <c r="AS317" s="147">
        <v>0</v>
      </c>
      <c r="AT317" s="148"/>
      <c r="AU317" s="149"/>
      <c r="AV317" s="146" t="str">
        <f t="shared" si="132"/>
        <v/>
      </c>
      <c r="AW317" s="146" t="str">
        <f t="shared" si="133"/>
        <v/>
      </c>
      <c r="AX317" s="138" t="str">
        <f t="shared" si="134"/>
        <v/>
      </c>
      <c r="AY317" s="95"/>
      <c r="AZ317" s="96">
        <v>61.19</v>
      </c>
      <c r="BA317" s="96"/>
      <c r="BB317" s="96">
        <v>81</v>
      </c>
      <c r="BC317" s="96"/>
      <c r="BD317" s="97">
        <v>114.75</v>
      </c>
      <c r="BE317" s="142">
        <f t="shared" si="135"/>
        <v>6042</v>
      </c>
      <c r="BF317" s="98">
        <v>0</v>
      </c>
      <c r="BG317" s="98">
        <v>0</v>
      </c>
      <c r="BH317" s="98">
        <v>0</v>
      </c>
      <c r="BI317" s="98">
        <v>6042</v>
      </c>
      <c r="BJ317" s="98"/>
      <c r="BK317" s="98"/>
      <c r="BL317" s="97"/>
    </row>
    <row r="318" spans="1:64" outlineLevel="5" x14ac:dyDescent="0.3">
      <c r="A318" s="152">
        <f t="shared" si="136"/>
        <v>9</v>
      </c>
      <c r="B318" s="153">
        <f t="shared" si="121"/>
        <v>45195</v>
      </c>
      <c r="C318" s="138" t="str">
        <f t="shared" si="126"/>
        <v/>
      </c>
      <c r="D318" s="84"/>
      <c r="E318" s="84"/>
      <c r="F318" s="84"/>
      <c r="G318" s="84"/>
      <c r="H318" s="84"/>
      <c r="I318" s="84"/>
      <c r="J318" s="84"/>
      <c r="K318" s="84"/>
      <c r="L318" s="140">
        <f t="shared" si="127"/>
        <v>8.1</v>
      </c>
      <c r="M318" s="86">
        <v>8.11</v>
      </c>
      <c r="N318" s="86">
        <v>8.07</v>
      </c>
      <c r="O318" s="86"/>
      <c r="P318" s="86"/>
      <c r="Q318" s="86"/>
      <c r="R318" s="86"/>
      <c r="S318" s="86"/>
      <c r="T318" s="86"/>
      <c r="U318" s="142">
        <f t="shared" si="128"/>
        <v>827.2</v>
      </c>
      <c r="V318" s="88">
        <v>1070.4000000000001</v>
      </c>
      <c r="W318" s="88">
        <v>583.9</v>
      </c>
      <c r="X318" s="88"/>
      <c r="Y318" s="88"/>
      <c r="Z318" s="88"/>
      <c r="AA318" s="88"/>
      <c r="AB318" s="88"/>
      <c r="AC318" s="88"/>
      <c r="AD318" s="142" t="str">
        <f t="shared" si="129"/>
        <v/>
      </c>
      <c r="AE318" s="88"/>
      <c r="AF318" s="88"/>
      <c r="AG318" s="88"/>
      <c r="AH318" s="88"/>
      <c r="AI318" s="88"/>
      <c r="AJ318" s="88"/>
      <c r="AK318" s="88"/>
      <c r="AL318" s="88"/>
      <c r="AM318" s="88">
        <v>32.51808473992422</v>
      </c>
      <c r="AN318" s="88">
        <v>145.14999999999998</v>
      </c>
      <c r="AO318" s="89">
        <v>17.3</v>
      </c>
      <c r="AP318" s="90">
        <v>14.826100000000002</v>
      </c>
      <c r="AQ318" s="146">
        <f t="shared" si="130"/>
        <v>85.7</v>
      </c>
      <c r="AR318" s="146">
        <f t="shared" si="131"/>
        <v>14.299999999999997</v>
      </c>
      <c r="AS318" s="147">
        <v>0</v>
      </c>
      <c r="AT318" s="148">
        <v>14.75</v>
      </c>
      <c r="AU318" s="149">
        <v>8.4725000000000001</v>
      </c>
      <c r="AV318" s="146">
        <f t="shared" si="132"/>
        <v>57.440677966101696</v>
      </c>
      <c r="AW318" s="146">
        <f t="shared" si="133"/>
        <v>42.559322033898304</v>
      </c>
      <c r="AX318" s="138">
        <f t="shared" si="134"/>
        <v>77.479394050076976</v>
      </c>
      <c r="AY318" s="95">
        <v>73.45</v>
      </c>
      <c r="AZ318" s="96">
        <v>60.564999999999998</v>
      </c>
      <c r="BA318" s="96"/>
      <c r="BB318" s="96">
        <v>89</v>
      </c>
      <c r="BC318" s="96"/>
      <c r="BD318" s="97">
        <v>145.14999999999998</v>
      </c>
      <c r="BE318" s="142">
        <f t="shared" si="135"/>
        <v>7002</v>
      </c>
      <c r="BF318" s="98">
        <v>793</v>
      </c>
      <c r="BG318" s="98">
        <v>0</v>
      </c>
      <c r="BH318" s="98">
        <v>0</v>
      </c>
      <c r="BI318" s="98">
        <v>6209</v>
      </c>
      <c r="BJ318" s="98"/>
      <c r="BK318" s="98"/>
      <c r="BL318" s="97"/>
    </row>
    <row r="319" spans="1:64" outlineLevel="5" x14ac:dyDescent="0.3">
      <c r="A319" s="152">
        <f t="shared" si="136"/>
        <v>9</v>
      </c>
      <c r="B319" s="153">
        <f t="shared" si="121"/>
        <v>45196</v>
      </c>
      <c r="C319" s="138">
        <f t="shared" si="126"/>
        <v>35.4</v>
      </c>
      <c r="D319" s="84">
        <v>35.5</v>
      </c>
      <c r="E319" s="84">
        <v>35.299999999999997</v>
      </c>
      <c r="F319" s="84"/>
      <c r="G319" s="84"/>
      <c r="H319" s="84"/>
      <c r="I319" s="84"/>
      <c r="J319" s="84"/>
      <c r="K319" s="84"/>
      <c r="L319" s="140">
        <f t="shared" si="127"/>
        <v>8.1</v>
      </c>
      <c r="M319" s="86">
        <v>8.0500000000000007</v>
      </c>
      <c r="N319" s="86">
        <v>8.08</v>
      </c>
      <c r="O319" s="86"/>
      <c r="P319" s="86"/>
      <c r="Q319" s="86"/>
      <c r="R319" s="86"/>
      <c r="S319" s="86"/>
      <c r="T319" s="86"/>
      <c r="U319" s="142" t="str">
        <f t="shared" si="128"/>
        <v/>
      </c>
      <c r="V319" s="88"/>
      <c r="W319" s="88"/>
      <c r="X319" s="88"/>
      <c r="Y319" s="88"/>
      <c r="Z319" s="88"/>
      <c r="AA319" s="88"/>
      <c r="AB319" s="88"/>
      <c r="AC319" s="88"/>
      <c r="AD319" s="142" t="str">
        <f t="shared" si="129"/>
        <v/>
      </c>
      <c r="AE319" s="88"/>
      <c r="AF319" s="88"/>
      <c r="AG319" s="88"/>
      <c r="AH319" s="88"/>
      <c r="AI319" s="88"/>
      <c r="AJ319" s="88"/>
      <c r="AK319" s="88"/>
      <c r="AL319" s="88"/>
      <c r="AM319" s="88">
        <v>36.179671930093512</v>
      </c>
      <c r="AN319" s="88">
        <v>130.46</v>
      </c>
      <c r="AO319" s="89"/>
      <c r="AP319" s="90"/>
      <c r="AQ319" s="146" t="str">
        <f t="shared" si="130"/>
        <v/>
      </c>
      <c r="AR319" s="146" t="str">
        <f t="shared" si="131"/>
        <v/>
      </c>
      <c r="AS319" s="147">
        <v>16</v>
      </c>
      <c r="AT319" s="148">
        <v>13.95</v>
      </c>
      <c r="AU319" s="149">
        <v>7.6333500000000001</v>
      </c>
      <c r="AV319" s="146">
        <f t="shared" si="132"/>
        <v>54.719354838709677</v>
      </c>
      <c r="AW319" s="146">
        <f t="shared" si="133"/>
        <v>45.280645161290323</v>
      </c>
      <c r="AX319" s="138" t="str">
        <f t="shared" si="134"/>
        <v/>
      </c>
      <c r="AY319" s="95">
        <v>74.650000000000006</v>
      </c>
      <c r="AZ319" s="96">
        <v>60.945</v>
      </c>
      <c r="BA319" s="96"/>
      <c r="BB319" s="96">
        <v>84.5</v>
      </c>
      <c r="BC319" s="96"/>
      <c r="BD319" s="97">
        <v>130.46</v>
      </c>
      <c r="BE319" s="142">
        <f t="shared" si="135"/>
        <v>7520</v>
      </c>
      <c r="BF319" s="98">
        <v>1579</v>
      </c>
      <c r="BG319" s="98">
        <v>0</v>
      </c>
      <c r="BH319" s="98">
        <v>0</v>
      </c>
      <c r="BI319" s="98">
        <v>5941</v>
      </c>
      <c r="BJ319" s="98"/>
      <c r="BK319" s="98"/>
      <c r="BL319" s="97"/>
    </row>
    <row r="320" spans="1:64" outlineLevel="5" x14ac:dyDescent="0.3">
      <c r="A320" s="152">
        <f t="shared" si="136"/>
        <v>9</v>
      </c>
      <c r="B320" s="153">
        <f t="shared" si="121"/>
        <v>45197</v>
      </c>
      <c r="C320" s="138">
        <f t="shared" si="126"/>
        <v>36.799999999999997</v>
      </c>
      <c r="D320" s="84">
        <v>36.799999999999997</v>
      </c>
      <c r="E320" s="84">
        <v>36.700000000000003</v>
      </c>
      <c r="F320" s="84"/>
      <c r="G320" s="84"/>
      <c r="H320" s="84"/>
      <c r="I320" s="84"/>
      <c r="J320" s="84"/>
      <c r="K320" s="84"/>
      <c r="L320" s="140" t="str">
        <f t="shared" si="127"/>
        <v/>
      </c>
      <c r="M320" s="86"/>
      <c r="N320" s="86"/>
      <c r="O320" s="86"/>
      <c r="P320" s="86"/>
      <c r="Q320" s="86"/>
      <c r="R320" s="86"/>
      <c r="S320" s="86"/>
      <c r="T320" s="86"/>
      <c r="U320" s="142" t="str">
        <f t="shared" si="128"/>
        <v/>
      </c>
      <c r="V320" s="88"/>
      <c r="W320" s="88"/>
      <c r="X320" s="88"/>
      <c r="Y320" s="88"/>
      <c r="Z320" s="88"/>
      <c r="AA320" s="88"/>
      <c r="AB320" s="88"/>
      <c r="AC320" s="88"/>
      <c r="AD320" s="142" t="str">
        <f t="shared" si="129"/>
        <v/>
      </c>
      <c r="AE320" s="88"/>
      <c r="AF320" s="88"/>
      <c r="AG320" s="88"/>
      <c r="AH320" s="88"/>
      <c r="AI320" s="88"/>
      <c r="AJ320" s="88"/>
      <c r="AK320" s="88"/>
      <c r="AL320" s="88"/>
      <c r="AM320" s="88">
        <v>53.709604005461998</v>
      </c>
      <c r="AN320" s="88">
        <v>87.88</v>
      </c>
      <c r="AO320" s="89"/>
      <c r="AP320" s="90"/>
      <c r="AQ320" s="146" t="str">
        <f t="shared" si="130"/>
        <v/>
      </c>
      <c r="AR320" s="146" t="str">
        <f t="shared" si="131"/>
        <v/>
      </c>
      <c r="AS320" s="147">
        <v>0</v>
      </c>
      <c r="AT320" s="148"/>
      <c r="AU320" s="149"/>
      <c r="AV320" s="146" t="str">
        <f t="shared" si="132"/>
        <v/>
      </c>
      <c r="AW320" s="146" t="str">
        <f t="shared" si="133"/>
        <v/>
      </c>
      <c r="AX320" s="138" t="str">
        <f t="shared" si="134"/>
        <v/>
      </c>
      <c r="AY320" s="95"/>
      <c r="AZ320" s="96"/>
      <c r="BA320" s="96"/>
      <c r="BB320" s="96"/>
      <c r="BC320" s="96"/>
      <c r="BD320" s="97">
        <v>87.88</v>
      </c>
      <c r="BE320" s="142">
        <f t="shared" si="135"/>
        <v>6670</v>
      </c>
      <c r="BF320" s="98">
        <v>1024</v>
      </c>
      <c r="BG320" s="98">
        <v>0</v>
      </c>
      <c r="BH320" s="98">
        <v>0</v>
      </c>
      <c r="BI320" s="98">
        <v>5646</v>
      </c>
      <c r="BJ320" s="98"/>
      <c r="BK320" s="98"/>
      <c r="BL320" s="97"/>
    </row>
    <row r="321" spans="1:64" outlineLevel="5" x14ac:dyDescent="0.3">
      <c r="A321" s="152">
        <f t="shared" si="136"/>
        <v>9</v>
      </c>
      <c r="B321" s="153">
        <f t="shared" si="121"/>
        <v>45198</v>
      </c>
      <c r="C321" s="138">
        <f t="shared" si="126"/>
        <v>36</v>
      </c>
      <c r="D321" s="84">
        <v>36</v>
      </c>
      <c r="E321" s="84">
        <v>36</v>
      </c>
      <c r="F321" s="84"/>
      <c r="G321" s="84"/>
      <c r="H321" s="84"/>
      <c r="I321" s="84"/>
      <c r="J321" s="84"/>
      <c r="K321" s="84"/>
      <c r="L321" s="140" t="str">
        <f t="shared" si="127"/>
        <v/>
      </c>
      <c r="M321" s="86"/>
      <c r="N321" s="86"/>
      <c r="O321" s="86"/>
      <c r="P321" s="86"/>
      <c r="Q321" s="86"/>
      <c r="R321" s="86"/>
      <c r="S321" s="86"/>
      <c r="T321" s="86"/>
      <c r="U321" s="142" t="str">
        <f t="shared" si="128"/>
        <v/>
      </c>
      <c r="V321" s="88"/>
      <c r="W321" s="88"/>
      <c r="X321" s="88"/>
      <c r="Y321" s="88"/>
      <c r="Z321" s="88"/>
      <c r="AA321" s="88"/>
      <c r="AB321" s="88"/>
      <c r="AC321" s="88"/>
      <c r="AD321" s="142" t="str">
        <f t="shared" si="129"/>
        <v/>
      </c>
      <c r="AE321" s="88"/>
      <c r="AF321" s="88"/>
      <c r="AG321" s="88"/>
      <c r="AH321" s="88"/>
      <c r="AI321" s="88"/>
      <c r="AJ321" s="88"/>
      <c r="AK321" s="88"/>
      <c r="AL321" s="88"/>
      <c r="AM321" s="88">
        <v>55.529411764705884</v>
      </c>
      <c r="AN321" s="88">
        <v>85</v>
      </c>
      <c r="AO321" s="89"/>
      <c r="AP321" s="90"/>
      <c r="AQ321" s="146" t="str">
        <f t="shared" si="130"/>
        <v/>
      </c>
      <c r="AR321" s="146" t="str">
        <f t="shared" si="131"/>
        <v/>
      </c>
      <c r="AS321" s="147">
        <v>0</v>
      </c>
      <c r="AT321" s="148"/>
      <c r="AU321" s="149"/>
      <c r="AV321" s="146" t="str">
        <f t="shared" si="132"/>
        <v/>
      </c>
      <c r="AW321" s="146" t="str">
        <f t="shared" si="133"/>
        <v/>
      </c>
      <c r="AX321" s="138" t="str">
        <f t="shared" si="134"/>
        <v/>
      </c>
      <c r="AY321" s="95"/>
      <c r="AZ321" s="96"/>
      <c r="BA321" s="96"/>
      <c r="BB321" s="96"/>
      <c r="BC321" s="96"/>
      <c r="BD321" s="97">
        <v>85</v>
      </c>
      <c r="BE321" s="142">
        <f t="shared" si="135"/>
        <v>5669</v>
      </c>
      <c r="BF321" s="98">
        <v>0</v>
      </c>
      <c r="BG321" s="98">
        <v>0</v>
      </c>
      <c r="BH321" s="98">
        <v>0</v>
      </c>
      <c r="BI321" s="98">
        <v>5669</v>
      </c>
      <c r="BJ321" s="98"/>
      <c r="BK321" s="98"/>
      <c r="BL321" s="97"/>
    </row>
    <row r="322" spans="1:64" ht="17.25" outlineLevel="5" thickBot="1" x14ac:dyDescent="0.35">
      <c r="A322" s="154">
        <f t="shared" si="136"/>
        <v>9</v>
      </c>
      <c r="B322" s="155">
        <f t="shared" si="121"/>
        <v>45199</v>
      </c>
      <c r="C322" s="138" t="str">
        <f t="shared" si="126"/>
        <v/>
      </c>
      <c r="D322" s="84"/>
      <c r="E322" s="84"/>
      <c r="F322" s="84"/>
      <c r="G322" s="84"/>
      <c r="H322" s="84"/>
      <c r="I322" s="84"/>
      <c r="J322" s="84"/>
      <c r="K322" s="84"/>
      <c r="L322" s="140" t="str">
        <f t="shared" si="127"/>
        <v/>
      </c>
      <c r="M322" s="86"/>
      <c r="N322" s="86"/>
      <c r="O322" s="86"/>
      <c r="P322" s="86"/>
      <c r="Q322" s="86"/>
      <c r="R322" s="86"/>
      <c r="S322" s="86"/>
      <c r="T322" s="86"/>
      <c r="U322" s="142" t="str">
        <f t="shared" si="128"/>
        <v/>
      </c>
      <c r="V322" s="88"/>
      <c r="W322" s="88"/>
      <c r="X322" s="88"/>
      <c r="Y322" s="88"/>
      <c r="Z322" s="88"/>
      <c r="AA322" s="88"/>
      <c r="AB322" s="88"/>
      <c r="AC322" s="88"/>
      <c r="AD322" s="142" t="str">
        <f t="shared" si="129"/>
        <v/>
      </c>
      <c r="AE322" s="88"/>
      <c r="AF322" s="88"/>
      <c r="AG322" s="88"/>
      <c r="AH322" s="88"/>
      <c r="AI322" s="88"/>
      <c r="AJ322" s="88"/>
      <c r="AK322" s="88"/>
      <c r="AL322" s="88"/>
      <c r="AM322" s="158">
        <v>115.45988258317027</v>
      </c>
      <c r="AN322" s="88">
        <v>40.879999999999995</v>
      </c>
      <c r="AO322" s="89"/>
      <c r="AP322" s="90"/>
      <c r="AQ322" s="146" t="str">
        <f t="shared" si="130"/>
        <v/>
      </c>
      <c r="AR322" s="146" t="str">
        <f t="shared" si="131"/>
        <v/>
      </c>
      <c r="AS322" s="147">
        <v>0</v>
      </c>
      <c r="AT322" s="148"/>
      <c r="AU322" s="149"/>
      <c r="AV322" s="146" t="str">
        <f t="shared" si="132"/>
        <v/>
      </c>
      <c r="AW322" s="146" t="str">
        <f t="shared" si="133"/>
        <v/>
      </c>
      <c r="AX322" s="138" t="str">
        <f t="shared" si="134"/>
        <v/>
      </c>
      <c r="AY322" s="95"/>
      <c r="AZ322" s="96"/>
      <c r="BA322" s="96"/>
      <c r="BB322" s="96"/>
      <c r="BC322" s="96"/>
      <c r="BD322" s="97">
        <v>40.879999999999995</v>
      </c>
      <c r="BE322" s="142">
        <f t="shared" si="135"/>
        <v>5636</v>
      </c>
      <c r="BF322" s="98">
        <v>0</v>
      </c>
      <c r="BG322" s="98">
        <v>0</v>
      </c>
      <c r="BH322" s="98">
        <v>0</v>
      </c>
      <c r="BI322" s="98">
        <v>5636</v>
      </c>
      <c r="BJ322" s="98"/>
      <c r="BK322" s="98"/>
      <c r="BL322" s="97"/>
    </row>
    <row r="323" spans="1:64" outlineLevel="4" x14ac:dyDescent="0.3">
      <c r="A323" s="63" t="s">
        <v>89</v>
      </c>
      <c r="B323" s="64"/>
      <c r="C323" s="65">
        <f t="shared" ref="C323:BL323" si="137">SUBTOTAL(4,C293:C322)</f>
        <v>36.799999999999997</v>
      </c>
      <c r="D323" s="66">
        <f t="shared" si="137"/>
        <v>36.799999999999997</v>
      </c>
      <c r="E323" s="66">
        <f t="shared" si="137"/>
        <v>36.700000000000003</v>
      </c>
      <c r="F323" s="66">
        <f t="shared" si="137"/>
        <v>0</v>
      </c>
      <c r="G323" s="66">
        <f t="shared" si="137"/>
        <v>0</v>
      </c>
      <c r="H323" s="66">
        <f t="shared" si="137"/>
        <v>0</v>
      </c>
      <c r="I323" s="66">
        <f t="shared" si="137"/>
        <v>0</v>
      </c>
      <c r="J323" s="66">
        <f t="shared" si="137"/>
        <v>0</v>
      </c>
      <c r="K323" s="66">
        <f t="shared" si="137"/>
        <v>0</v>
      </c>
      <c r="L323" s="67">
        <f t="shared" si="137"/>
        <v>8.1</v>
      </c>
      <c r="M323" s="68">
        <f t="shared" si="137"/>
        <v>8.11</v>
      </c>
      <c r="N323" s="68">
        <f t="shared" si="137"/>
        <v>8.08</v>
      </c>
      <c r="O323" s="68">
        <f t="shared" si="137"/>
        <v>0</v>
      </c>
      <c r="P323" s="68">
        <f t="shared" si="137"/>
        <v>0</v>
      </c>
      <c r="Q323" s="68">
        <f t="shared" si="137"/>
        <v>0</v>
      </c>
      <c r="R323" s="68">
        <f t="shared" si="137"/>
        <v>0</v>
      </c>
      <c r="S323" s="68">
        <f t="shared" si="137"/>
        <v>0</v>
      </c>
      <c r="T323" s="68">
        <f t="shared" si="137"/>
        <v>0</v>
      </c>
      <c r="U323" s="69">
        <f t="shared" si="137"/>
        <v>1297.5</v>
      </c>
      <c r="V323" s="70">
        <f t="shared" si="137"/>
        <v>1265.0999999999999</v>
      </c>
      <c r="W323" s="70">
        <f t="shared" si="137"/>
        <v>1329.9</v>
      </c>
      <c r="X323" s="70">
        <f t="shared" si="137"/>
        <v>0</v>
      </c>
      <c r="Y323" s="70">
        <f t="shared" si="137"/>
        <v>0</v>
      </c>
      <c r="Z323" s="70">
        <f t="shared" si="137"/>
        <v>0</v>
      </c>
      <c r="AA323" s="70">
        <f t="shared" si="137"/>
        <v>0</v>
      </c>
      <c r="AB323" s="70">
        <f t="shared" si="137"/>
        <v>0</v>
      </c>
      <c r="AC323" s="70">
        <f t="shared" si="137"/>
        <v>0</v>
      </c>
      <c r="AD323" s="69">
        <f t="shared" si="137"/>
        <v>0</v>
      </c>
      <c r="AE323" s="70">
        <f t="shared" si="137"/>
        <v>0</v>
      </c>
      <c r="AF323" s="70">
        <f t="shared" si="137"/>
        <v>0</v>
      </c>
      <c r="AG323" s="70">
        <f t="shared" si="137"/>
        <v>0</v>
      </c>
      <c r="AH323" s="70">
        <f t="shared" si="137"/>
        <v>0</v>
      </c>
      <c r="AI323" s="70">
        <f t="shared" si="137"/>
        <v>0</v>
      </c>
      <c r="AJ323" s="70">
        <f t="shared" si="137"/>
        <v>0</v>
      </c>
      <c r="AK323" s="70">
        <f t="shared" si="137"/>
        <v>0</v>
      </c>
      <c r="AL323" s="70">
        <f t="shared" si="137"/>
        <v>0</v>
      </c>
      <c r="AM323" s="70">
        <f>SUBTOTAL(4,AM293:AM322)</f>
        <v>115.45988258317027</v>
      </c>
      <c r="AN323" s="70">
        <f t="shared" ref="AN323:AW323" si="138">SUBTOTAL(4,AN293:AN322)</f>
        <v>145.81</v>
      </c>
      <c r="AO323" s="71">
        <f t="shared" si="138"/>
        <v>18.100000000000001</v>
      </c>
      <c r="AP323" s="72">
        <f t="shared" si="138"/>
        <v>15.457400000000002</v>
      </c>
      <c r="AQ323" s="73">
        <f t="shared" si="138"/>
        <v>85.7</v>
      </c>
      <c r="AR323" s="73">
        <f t="shared" si="138"/>
        <v>20.5</v>
      </c>
      <c r="AS323" s="74">
        <f t="shared" si="138"/>
        <v>44</v>
      </c>
      <c r="AT323" s="75">
        <f t="shared" si="138"/>
        <v>14.75</v>
      </c>
      <c r="AU323" s="76">
        <f t="shared" si="138"/>
        <v>8.4725000000000001</v>
      </c>
      <c r="AV323" s="73">
        <f t="shared" si="138"/>
        <v>62.788524590163931</v>
      </c>
      <c r="AW323" s="73">
        <f t="shared" si="138"/>
        <v>46.028888888888901</v>
      </c>
      <c r="AX323" s="65">
        <f t="shared" si="137"/>
        <v>79.95408646619218</v>
      </c>
      <c r="AY323" s="77">
        <f t="shared" si="137"/>
        <v>78.95</v>
      </c>
      <c r="AZ323" s="78">
        <f t="shared" si="137"/>
        <v>62.730000000000004</v>
      </c>
      <c r="BA323" s="78">
        <f t="shared" si="137"/>
        <v>0</v>
      </c>
      <c r="BB323" s="78">
        <f t="shared" si="137"/>
        <v>100.5</v>
      </c>
      <c r="BC323" s="78">
        <f t="shared" si="137"/>
        <v>0</v>
      </c>
      <c r="BD323" s="79">
        <f t="shared" si="137"/>
        <v>145.81</v>
      </c>
      <c r="BE323" s="69">
        <f t="shared" si="137"/>
        <v>9750</v>
      </c>
      <c r="BF323" s="70">
        <f t="shared" si="137"/>
        <v>1579</v>
      </c>
      <c r="BG323" s="80">
        <f t="shared" si="137"/>
        <v>0</v>
      </c>
      <c r="BH323" s="80">
        <f t="shared" si="137"/>
        <v>4099</v>
      </c>
      <c r="BI323" s="80">
        <f t="shared" si="137"/>
        <v>6925</v>
      </c>
      <c r="BJ323" s="80">
        <f t="shared" si="137"/>
        <v>0</v>
      </c>
      <c r="BK323" s="80">
        <f t="shared" si="137"/>
        <v>0</v>
      </c>
      <c r="BL323" s="79">
        <f t="shared" si="137"/>
        <v>0</v>
      </c>
    </row>
    <row r="324" spans="1:64" outlineLevel="3" x14ac:dyDescent="0.3">
      <c r="A324" s="81" t="s">
        <v>90</v>
      </c>
      <c r="B324" s="82"/>
      <c r="C324" s="83">
        <f t="shared" ref="C324:BL324" si="139">SUBTOTAL(5,C293:C322)</f>
        <v>35</v>
      </c>
      <c r="D324" s="84">
        <f t="shared" si="139"/>
        <v>35</v>
      </c>
      <c r="E324" s="84">
        <f t="shared" si="139"/>
        <v>35</v>
      </c>
      <c r="F324" s="84">
        <f t="shared" si="139"/>
        <v>0</v>
      </c>
      <c r="G324" s="84">
        <f t="shared" si="139"/>
        <v>0</v>
      </c>
      <c r="H324" s="84">
        <f t="shared" si="139"/>
        <v>0</v>
      </c>
      <c r="I324" s="84">
        <f t="shared" si="139"/>
        <v>0</v>
      </c>
      <c r="J324" s="84">
        <f t="shared" si="139"/>
        <v>0</v>
      </c>
      <c r="K324" s="84">
        <f t="shared" si="139"/>
        <v>0</v>
      </c>
      <c r="L324" s="85">
        <f t="shared" si="139"/>
        <v>7.9</v>
      </c>
      <c r="M324" s="86">
        <f t="shared" si="139"/>
        <v>7.94</v>
      </c>
      <c r="N324" s="86">
        <f t="shared" si="139"/>
        <v>7.94</v>
      </c>
      <c r="O324" s="86">
        <f t="shared" si="139"/>
        <v>0</v>
      </c>
      <c r="P324" s="86">
        <f t="shared" si="139"/>
        <v>0</v>
      </c>
      <c r="Q324" s="86">
        <f t="shared" si="139"/>
        <v>0</v>
      </c>
      <c r="R324" s="86">
        <f t="shared" si="139"/>
        <v>0</v>
      </c>
      <c r="S324" s="86">
        <f t="shared" si="139"/>
        <v>0</v>
      </c>
      <c r="T324" s="86">
        <f t="shared" si="139"/>
        <v>0</v>
      </c>
      <c r="U324" s="87">
        <f t="shared" si="139"/>
        <v>675.8</v>
      </c>
      <c r="V324" s="88">
        <f t="shared" si="139"/>
        <v>702.8</v>
      </c>
      <c r="W324" s="88">
        <f t="shared" si="139"/>
        <v>583.9</v>
      </c>
      <c r="X324" s="88">
        <f t="shared" si="139"/>
        <v>0</v>
      </c>
      <c r="Y324" s="88">
        <f t="shared" si="139"/>
        <v>0</v>
      </c>
      <c r="Z324" s="88">
        <f t="shared" si="139"/>
        <v>0</v>
      </c>
      <c r="AA324" s="88">
        <f t="shared" si="139"/>
        <v>0</v>
      </c>
      <c r="AB324" s="88">
        <f t="shared" si="139"/>
        <v>0</v>
      </c>
      <c r="AC324" s="88">
        <f t="shared" si="139"/>
        <v>0</v>
      </c>
      <c r="AD324" s="87">
        <f t="shared" si="139"/>
        <v>0</v>
      </c>
      <c r="AE324" s="88">
        <f t="shared" si="139"/>
        <v>0</v>
      </c>
      <c r="AF324" s="88">
        <f t="shared" si="139"/>
        <v>0</v>
      </c>
      <c r="AG324" s="88">
        <f t="shared" si="139"/>
        <v>0</v>
      </c>
      <c r="AH324" s="88">
        <f t="shared" si="139"/>
        <v>0</v>
      </c>
      <c r="AI324" s="88">
        <f t="shared" si="139"/>
        <v>0</v>
      </c>
      <c r="AJ324" s="88">
        <f t="shared" si="139"/>
        <v>0</v>
      </c>
      <c r="AK324" s="88">
        <f t="shared" si="139"/>
        <v>0</v>
      </c>
      <c r="AL324" s="88">
        <f t="shared" si="139"/>
        <v>0</v>
      </c>
      <c r="AM324" s="88">
        <f>SUBTOTAL(5,AM293:AM322)</f>
        <v>32.37089362869488</v>
      </c>
      <c r="AN324" s="88">
        <f t="shared" ref="AN324:AW324" si="140">SUBTOTAL(5,AN293:AN322)</f>
        <v>40.879999999999995</v>
      </c>
      <c r="AO324" s="89">
        <f t="shared" si="140"/>
        <v>17.3</v>
      </c>
      <c r="AP324" s="90">
        <f t="shared" si="140"/>
        <v>13.9125</v>
      </c>
      <c r="AQ324" s="91">
        <f t="shared" si="140"/>
        <v>79.5</v>
      </c>
      <c r="AR324" s="91">
        <f t="shared" si="140"/>
        <v>14.299999999999997</v>
      </c>
      <c r="AS324" s="92">
        <f t="shared" si="140"/>
        <v>0</v>
      </c>
      <c r="AT324" s="93">
        <f t="shared" si="140"/>
        <v>12.2</v>
      </c>
      <c r="AU324" s="94">
        <f t="shared" si="140"/>
        <v>7.2725500000000007</v>
      </c>
      <c r="AV324" s="91">
        <f t="shared" si="140"/>
        <v>53.971111111111099</v>
      </c>
      <c r="AW324" s="91">
        <f t="shared" si="140"/>
        <v>37.211475409836069</v>
      </c>
      <c r="AX324" s="83">
        <f t="shared" si="139"/>
        <v>69.64262543249842</v>
      </c>
      <c r="AY324" s="95">
        <f t="shared" si="139"/>
        <v>73.25</v>
      </c>
      <c r="AZ324" s="96">
        <f t="shared" si="139"/>
        <v>58.97</v>
      </c>
      <c r="BA324" s="96">
        <f t="shared" si="139"/>
        <v>0</v>
      </c>
      <c r="BB324" s="96">
        <f t="shared" si="139"/>
        <v>34.5</v>
      </c>
      <c r="BC324" s="96">
        <f t="shared" si="139"/>
        <v>0</v>
      </c>
      <c r="BD324" s="97">
        <f t="shared" si="139"/>
        <v>40.879999999999995</v>
      </c>
      <c r="BE324" s="87">
        <f t="shared" si="139"/>
        <v>4762</v>
      </c>
      <c r="BF324" s="88">
        <f t="shared" si="139"/>
        <v>0</v>
      </c>
      <c r="BG324" s="98">
        <f t="shared" si="139"/>
        <v>0</v>
      </c>
      <c r="BH324" s="98">
        <f t="shared" si="139"/>
        <v>0</v>
      </c>
      <c r="BI324" s="98">
        <f t="shared" si="139"/>
        <v>2035</v>
      </c>
      <c r="BJ324" s="98">
        <f t="shared" si="139"/>
        <v>0</v>
      </c>
      <c r="BK324" s="98">
        <f t="shared" si="139"/>
        <v>0</v>
      </c>
      <c r="BL324" s="97">
        <f t="shared" si="139"/>
        <v>0</v>
      </c>
    </row>
    <row r="325" spans="1:64" outlineLevel="2" x14ac:dyDescent="0.3">
      <c r="A325" s="81" t="s">
        <v>91</v>
      </c>
      <c r="B325" s="82"/>
      <c r="C325" s="83">
        <f t="shared" ref="C325:BL325" si="141">IFERROR(SUBTOTAL(1,C293:C322),"")</f>
        <v>35.981818181818184</v>
      </c>
      <c r="D325" s="84">
        <f t="shared" si="141"/>
        <v>36.018181818181816</v>
      </c>
      <c r="E325" s="84">
        <f t="shared" si="141"/>
        <v>35.9</v>
      </c>
      <c r="F325" s="84" t="str">
        <f t="shared" si="141"/>
        <v/>
      </c>
      <c r="G325" s="84" t="str">
        <f t="shared" si="141"/>
        <v/>
      </c>
      <c r="H325" s="84" t="str">
        <f t="shared" si="141"/>
        <v/>
      </c>
      <c r="I325" s="84" t="str">
        <f t="shared" si="141"/>
        <v/>
      </c>
      <c r="J325" s="84" t="str">
        <f t="shared" si="141"/>
        <v/>
      </c>
      <c r="K325" s="84" t="str">
        <f t="shared" si="141"/>
        <v/>
      </c>
      <c r="L325" s="85">
        <f t="shared" si="141"/>
        <v>8.0090909090909079</v>
      </c>
      <c r="M325" s="86">
        <f t="shared" si="141"/>
        <v>8.0002727272727281</v>
      </c>
      <c r="N325" s="86">
        <f t="shared" si="141"/>
        <v>8.0109090909090899</v>
      </c>
      <c r="O325" s="86" t="str">
        <f t="shared" si="141"/>
        <v/>
      </c>
      <c r="P325" s="86" t="str">
        <f t="shared" si="141"/>
        <v/>
      </c>
      <c r="Q325" s="86" t="str">
        <f t="shared" si="141"/>
        <v/>
      </c>
      <c r="R325" s="86" t="str">
        <f t="shared" si="141"/>
        <v/>
      </c>
      <c r="S325" s="86" t="str">
        <f t="shared" si="141"/>
        <v/>
      </c>
      <c r="T325" s="86" t="str">
        <f t="shared" si="141"/>
        <v/>
      </c>
      <c r="U325" s="87">
        <f t="shared" si="141"/>
        <v>845.0200000000001</v>
      </c>
      <c r="V325" s="88">
        <f t="shared" si="141"/>
        <v>881.21</v>
      </c>
      <c r="W325" s="88">
        <f t="shared" si="141"/>
        <v>808.78</v>
      </c>
      <c r="X325" s="88" t="str">
        <f t="shared" si="141"/>
        <v/>
      </c>
      <c r="Y325" s="88" t="str">
        <f t="shared" si="141"/>
        <v/>
      </c>
      <c r="Z325" s="88" t="str">
        <f t="shared" si="141"/>
        <v/>
      </c>
      <c r="AA325" s="88" t="str">
        <f t="shared" si="141"/>
        <v/>
      </c>
      <c r="AB325" s="88" t="str">
        <f t="shared" si="141"/>
        <v/>
      </c>
      <c r="AC325" s="88" t="str">
        <f t="shared" si="141"/>
        <v/>
      </c>
      <c r="AD325" s="87" t="str">
        <f t="shared" si="141"/>
        <v/>
      </c>
      <c r="AE325" s="88" t="str">
        <f t="shared" si="141"/>
        <v/>
      </c>
      <c r="AF325" s="88" t="str">
        <f t="shared" si="141"/>
        <v/>
      </c>
      <c r="AG325" s="88" t="str">
        <f t="shared" si="141"/>
        <v/>
      </c>
      <c r="AH325" s="88" t="str">
        <f t="shared" si="141"/>
        <v/>
      </c>
      <c r="AI325" s="88" t="str">
        <f t="shared" si="141"/>
        <v/>
      </c>
      <c r="AJ325" s="88" t="str">
        <f t="shared" si="141"/>
        <v/>
      </c>
      <c r="AK325" s="88" t="str">
        <f t="shared" si="141"/>
        <v/>
      </c>
      <c r="AL325" s="88" t="str">
        <f t="shared" si="141"/>
        <v/>
      </c>
      <c r="AM325" s="88">
        <f>IFERROR(SUBTOTAL(1,AM293:AM322),"")</f>
        <v>45.680460593375152</v>
      </c>
      <c r="AN325" s="88">
        <f t="shared" si="141"/>
        <v>111.66100000000003</v>
      </c>
      <c r="AO325" s="89">
        <f t="shared" si="141"/>
        <v>17.633333333333336</v>
      </c>
      <c r="AP325" s="90">
        <f t="shared" si="141"/>
        <v>14.732000000000001</v>
      </c>
      <c r="AQ325" s="91">
        <f t="shared" si="141"/>
        <v>83.533333333333317</v>
      </c>
      <c r="AR325" s="91">
        <f t="shared" si="141"/>
        <v>16.466666666666669</v>
      </c>
      <c r="AS325" s="92">
        <f t="shared" si="141"/>
        <v>16.733333333333334</v>
      </c>
      <c r="AT325" s="93">
        <f t="shared" si="141"/>
        <v>13.472727272727271</v>
      </c>
      <c r="AU325" s="94">
        <f t="shared" si="141"/>
        <v>7.6898409090909103</v>
      </c>
      <c r="AV325" s="91">
        <f t="shared" si="141"/>
        <v>57.151812191660746</v>
      </c>
      <c r="AW325" s="91">
        <f t="shared" si="141"/>
        <v>42.848187808339254</v>
      </c>
      <c r="AX325" s="83">
        <f t="shared" si="141"/>
        <v>75.692035316255854</v>
      </c>
      <c r="AY325" s="95">
        <f t="shared" si="141"/>
        <v>75.681818181818187</v>
      </c>
      <c r="AZ325" s="96">
        <f t="shared" si="141"/>
        <v>61.105833333333344</v>
      </c>
      <c r="BA325" s="96" t="str">
        <f t="shared" si="141"/>
        <v/>
      </c>
      <c r="BB325" s="96">
        <f t="shared" si="141"/>
        <v>67.472222222222229</v>
      </c>
      <c r="BC325" s="96" t="str">
        <f t="shared" si="141"/>
        <v/>
      </c>
      <c r="BD325" s="97">
        <f>IFERROR(SUBTOTAL(1,BD293:BD322),"")</f>
        <v>111.66100000000003</v>
      </c>
      <c r="BE325" s="87">
        <f t="shared" si="141"/>
        <v>6472.9</v>
      </c>
      <c r="BF325" s="88">
        <f t="shared" si="141"/>
        <v>113.2</v>
      </c>
      <c r="BG325" s="98">
        <f t="shared" si="141"/>
        <v>0</v>
      </c>
      <c r="BH325" s="98">
        <f t="shared" si="141"/>
        <v>426.63333333333333</v>
      </c>
      <c r="BI325" s="98">
        <f t="shared" si="141"/>
        <v>5933.0666666666666</v>
      </c>
      <c r="BJ325" s="98" t="str">
        <f t="shared" si="141"/>
        <v/>
      </c>
      <c r="BK325" s="98" t="str">
        <f t="shared" si="141"/>
        <v/>
      </c>
      <c r="BL325" s="97" t="str">
        <f t="shared" si="141"/>
        <v/>
      </c>
    </row>
    <row r="326" spans="1:64" ht="17.25" outlineLevel="1" thickBot="1" x14ac:dyDescent="0.35">
      <c r="A326" s="99" t="s">
        <v>92</v>
      </c>
      <c r="B326" s="100"/>
      <c r="C326" s="101"/>
      <c r="D326" s="102"/>
      <c r="E326" s="102"/>
      <c r="F326" s="102"/>
      <c r="G326" s="102"/>
      <c r="H326" s="102"/>
      <c r="I326" s="102"/>
      <c r="J326" s="102"/>
      <c r="K326" s="102"/>
      <c r="L326" s="103"/>
      <c r="M326" s="104"/>
      <c r="N326" s="104"/>
      <c r="O326" s="104"/>
      <c r="P326" s="104"/>
      <c r="Q326" s="104"/>
      <c r="R326" s="104"/>
      <c r="S326" s="104"/>
      <c r="T326" s="104"/>
      <c r="U326" s="105"/>
      <c r="V326" s="106"/>
      <c r="W326" s="106"/>
      <c r="X326" s="106"/>
      <c r="Y326" s="106"/>
      <c r="Z326" s="106"/>
      <c r="AA326" s="106"/>
      <c r="AB326" s="106"/>
      <c r="AC326" s="106"/>
      <c r="AD326" s="105"/>
      <c r="AE326" s="106"/>
      <c r="AF326" s="106"/>
      <c r="AG326" s="106"/>
      <c r="AH326" s="106"/>
      <c r="AI326" s="106"/>
      <c r="AJ326" s="106"/>
      <c r="AK326" s="106"/>
      <c r="AL326" s="106"/>
      <c r="AM326" s="106"/>
      <c r="AN326" s="107">
        <f>SUBTOTAL(9,AN293:AN322)</f>
        <v>3349.8300000000008</v>
      </c>
      <c r="AO326" s="108"/>
      <c r="AP326" s="109"/>
      <c r="AQ326" s="110"/>
      <c r="AR326" s="110"/>
      <c r="AS326" s="111">
        <f>SUBTOTAL(9,AS293:AS322)</f>
        <v>502</v>
      </c>
      <c r="AT326" s="112"/>
      <c r="AU326" s="113"/>
      <c r="AV326" s="110"/>
      <c r="AW326" s="110"/>
      <c r="AX326" s="101"/>
      <c r="AY326" s="114"/>
      <c r="AZ326" s="115"/>
      <c r="BA326" s="115"/>
      <c r="BB326" s="115"/>
      <c r="BC326" s="115"/>
      <c r="BD326" s="116">
        <f>SUBTOTAL(9,BD293:BD322)</f>
        <v>3349.8300000000008</v>
      </c>
      <c r="BE326" s="117">
        <f t="shared" ref="BE326:BL326" si="142">SUBTOTAL(9,BE293:BE322)</f>
        <v>194187</v>
      </c>
      <c r="BF326" s="107">
        <f t="shared" si="142"/>
        <v>3396</v>
      </c>
      <c r="BG326" s="118">
        <f t="shared" si="142"/>
        <v>0</v>
      </c>
      <c r="BH326" s="118">
        <f t="shared" si="142"/>
        <v>12799</v>
      </c>
      <c r="BI326" s="118">
        <f t="shared" si="142"/>
        <v>177992</v>
      </c>
      <c r="BJ326" s="118">
        <f t="shared" si="142"/>
        <v>0</v>
      </c>
      <c r="BK326" s="118">
        <f t="shared" si="142"/>
        <v>0</v>
      </c>
      <c r="BL326" s="116">
        <f t="shared" si="142"/>
        <v>0</v>
      </c>
    </row>
    <row r="327" spans="1:64" outlineLevel="5" x14ac:dyDescent="0.3">
      <c r="A327" s="136">
        <f t="shared" si="136"/>
        <v>10</v>
      </c>
      <c r="B327" s="165">
        <f>B322+1</f>
        <v>45200</v>
      </c>
      <c r="C327" s="138" t="str">
        <f t="shared" ref="C327:C357" si="143">IFERROR(ROUND(AVERAGE(D327:K327),1),"")</f>
        <v/>
      </c>
      <c r="D327" s="84"/>
      <c r="E327" s="84"/>
      <c r="F327" s="84"/>
      <c r="G327" s="84"/>
      <c r="H327" s="84"/>
      <c r="I327" s="84"/>
      <c r="J327" s="84"/>
      <c r="K327" s="84"/>
      <c r="L327" s="140" t="str">
        <f t="shared" ref="L327:L357" si="144">IFERROR(ROUND(AVERAGE(M327:T327),1),"")</f>
        <v/>
      </c>
      <c r="M327" s="86"/>
      <c r="N327" s="86"/>
      <c r="O327" s="86"/>
      <c r="P327" s="86"/>
      <c r="Q327" s="86"/>
      <c r="R327" s="86"/>
      <c r="S327" s="86"/>
      <c r="T327" s="86"/>
      <c r="U327" s="142" t="str">
        <f t="shared" ref="U327:U357" si="145">IFERROR(ROUND(AVERAGE(V327:AC327),1),"")</f>
        <v/>
      </c>
      <c r="V327" s="88"/>
      <c r="W327" s="88"/>
      <c r="X327" s="88"/>
      <c r="Y327" s="88"/>
      <c r="Z327" s="88"/>
      <c r="AA327" s="88"/>
      <c r="AB327" s="88"/>
      <c r="AC327" s="88"/>
      <c r="AD327" s="142" t="str">
        <f t="shared" ref="AD327:AD357" si="146">IFERROR(ROUND(AVERAGE(AE327:AL327),1),"")</f>
        <v/>
      </c>
      <c r="AE327" s="88"/>
      <c r="AF327" s="88"/>
      <c r="AG327" s="88"/>
      <c r="AH327" s="88"/>
      <c r="AI327" s="88"/>
      <c r="AJ327" s="88"/>
      <c r="AK327" s="88"/>
      <c r="AL327" s="88"/>
      <c r="AM327" s="88">
        <v>41.043478260869563</v>
      </c>
      <c r="AN327" s="88">
        <v>115</v>
      </c>
      <c r="AO327" s="89"/>
      <c r="AP327" s="90"/>
      <c r="AQ327" s="146" t="str">
        <f t="shared" ref="AQ327:AQ357" si="147">IFERROR(AP327/AO327*100,"")</f>
        <v/>
      </c>
      <c r="AR327" s="146" t="str">
        <f t="shared" ref="AR327:AR357" si="148">IFERROR(100-AQ327,"")</f>
        <v/>
      </c>
      <c r="AS327" s="147">
        <v>0</v>
      </c>
      <c r="AT327" s="148"/>
      <c r="AU327" s="149"/>
      <c r="AV327" s="146" t="str">
        <f t="shared" ref="AV327:AV357" si="149">IFERROR(AU327/AT327*100,"")</f>
        <v/>
      </c>
      <c r="AW327" s="146" t="str">
        <f t="shared" ref="AW327:AW357" si="150">IFERROR(100-AV327,"")</f>
        <v/>
      </c>
      <c r="AX327" s="138" t="str">
        <f t="shared" ref="AX327:AX357" si="151">IFERROR((1-((AV327*AR327)/(AW327*AQ327)))*100,"")</f>
        <v/>
      </c>
      <c r="AY327" s="95"/>
      <c r="AZ327" s="96"/>
      <c r="BA327" s="96"/>
      <c r="BB327" s="96"/>
      <c r="BC327" s="96"/>
      <c r="BD327" s="97">
        <v>115</v>
      </c>
      <c r="BE327" s="142">
        <f t="shared" ref="BE327:BE357" si="152">IF(SUM(BF327:BL327)=0,"",SUM(BF327:BL327))</f>
        <v>5765</v>
      </c>
      <c r="BF327" s="88">
        <v>0</v>
      </c>
      <c r="BG327" s="98">
        <v>0</v>
      </c>
      <c r="BH327" s="98">
        <v>0</v>
      </c>
      <c r="BI327" s="98">
        <v>5765</v>
      </c>
      <c r="BJ327" s="98"/>
      <c r="BK327" s="98"/>
      <c r="BL327" s="97"/>
    </row>
    <row r="328" spans="1:64" outlineLevel="5" x14ac:dyDescent="0.3">
      <c r="A328" s="152">
        <f t="shared" si="136"/>
        <v>10</v>
      </c>
      <c r="B328" s="153">
        <f t="shared" si="121"/>
        <v>45201</v>
      </c>
      <c r="C328" s="138">
        <f t="shared" si="143"/>
        <v>36</v>
      </c>
      <c r="D328" s="84">
        <v>36</v>
      </c>
      <c r="E328" s="84">
        <v>36</v>
      </c>
      <c r="F328" s="84"/>
      <c r="G328" s="84"/>
      <c r="H328" s="84"/>
      <c r="I328" s="84"/>
      <c r="J328" s="84"/>
      <c r="K328" s="84"/>
      <c r="L328" s="140" t="str">
        <f t="shared" si="144"/>
        <v/>
      </c>
      <c r="M328" s="86"/>
      <c r="N328" s="86"/>
      <c r="O328" s="86"/>
      <c r="P328" s="86"/>
      <c r="Q328" s="86"/>
      <c r="R328" s="86"/>
      <c r="S328" s="86"/>
      <c r="T328" s="86"/>
      <c r="U328" s="142" t="str">
        <f t="shared" si="145"/>
        <v/>
      </c>
      <c r="V328" s="88"/>
      <c r="W328" s="88"/>
      <c r="X328" s="88"/>
      <c r="Y328" s="88"/>
      <c r="Z328" s="88"/>
      <c r="AA328" s="88"/>
      <c r="AB328" s="88"/>
      <c r="AC328" s="88"/>
      <c r="AD328" s="142" t="str">
        <f t="shared" si="146"/>
        <v/>
      </c>
      <c r="AE328" s="88"/>
      <c r="AF328" s="88"/>
      <c r="AG328" s="88"/>
      <c r="AH328" s="88"/>
      <c r="AI328" s="88"/>
      <c r="AJ328" s="88"/>
      <c r="AK328" s="88"/>
      <c r="AL328" s="88"/>
      <c r="AM328" s="88">
        <v>37.693659159878614</v>
      </c>
      <c r="AN328" s="88">
        <v>125.22</v>
      </c>
      <c r="AO328" s="89"/>
      <c r="AP328" s="90"/>
      <c r="AQ328" s="146" t="str">
        <f t="shared" si="147"/>
        <v/>
      </c>
      <c r="AR328" s="146" t="str">
        <f t="shared" si="148"/>
        <v/>
      </c>
      <c r="AS328" s="147">
        <v>0</v>
      </c>
      <c r="AT328" s="148"/>
      <c r="AU328" s="149"/>
      <c r="AV328" s="146" t="str">
        <f t="shared" si="149"/>
        <v/>
      </c>
      <c r="AW328" s="146" t="str">
        <f t="shared" si="150"/>
        <v/>
      </c>
      <c r="AX328" s="138" t="str">
        <f t="shared" si="151"/>
        <v/>
      </c>
      <c r="AY328" s="95"/>
      <c r="AZ328" s="96"/>
      <c r="BA328" s="96"/>
      <c r="BB328" s="96"/>
      <c r="BC328" s="96"/>
      <c r="BD328" s="97">
        <v>125.22</v>
      </c>
      <c r="BE328" s="142">
        <f t="shared" si="152"/>
        <v>6064</v>
      </c>
      <c r="BF328" s="88">
        <v>0</v>
      </c>
      <c r="BG328" s="98">
        <v>0</v>
      </c>
      <c r="BH328" s="98">
        <v>0</v>
      </c>
      <c r="BI328" s="98">
        <v>6064</v>
      </c>
      <c r="BJ328" s="98"/>
      <c r="BK328" s="98"/>
      <c r="BL328" s="97"/>
    </row>
    <row r="329" spans="1:64" outlineLevel="5" x14ac:dyDescent="0.3">
      <c r="A329" s="152">
        <f t="shared" si="136"/>
        <v>10</v>
      </c>
      <c r="B329" s="153">
        <f t="shared" si="121"/>
        <v>45202</v>
      </c>
      <c r="C329" s="138">
        <f t="shared" si="143"/>
        <v>36</v>
      </c>
      <c r="D329" s="84">
        <v>36</v>
      </c>
      <c r="E329" s="84">
        <v>36</v>
      </c>
      <c r="F329" s="84"/>
      <c r="G329" s="84"/>
      <c r="H329" s="84"/>
      <c r="I329" s="84"/>
      <c r="J329" s="84"/>
      <c r="K329" s="84"/>
      <c r="L329" s="140" t="str">
        <f t="shared" si="144"/>
        <v/>
      </c>
      <c r="M329" s="86"/>
      <c r="N329" s="86"/>
      <c r="O329" s="86"/>
      <c r="P329" s="86"/>
      <c r="Q329" s="86"/>
      <c r="R329" s="86"/>
      <c r="S329" s="86"/>
      <c r="T329" s="86"/>
      <c r="U329" s="142" t="str">
        <f t="shared" si="145"/>
        <v/>
      </c>
      <c r="V329" s="88"/>
      <c r="W329" s="88"/>
      <c r="X329" s="88"/>
      <c r="Y329" s="88"/>
      <c r="Z329" s="88"/>
      <c r="AA329" s="88"/>
      <c r="AB329" s="88"/>
      <c r="AC329" s="88"/>
      <c r="AD329" s="142" t="str">
        <f t="shared" si="146"/>
        <v/>
      </c>
      <c r="AE329" s="88"/>
      <c r="AF329" s="88"/>
      <c r="AG329" s="88"/>
      <c r="AH329" s="88"/>
      <c r="AI329" s="88"/>
      <c r="AJ329" s="88"/>
      <c r="AK329" s="88"/>
      <c r="AL329" s="88"/>
      <c r="AM329" s="88">
        <v>36.924039740280058</v>
      </c>
      <c r="AN329" s="88">
        <v>127.83000000000001</v>
      </c>
      <c r="AO329" s="89"/>
      <c r="AP329" s="90"/>
      <c r="AQ329" s="146" t="str">
        <f t="shared" si="147"/>
        <v/>
      </c>
      <c r="AR329" s="146" t="str">
        <f t="shared" si="148"/>
        <v/>
      </c>
      <c r="AS329" s="147">
        <v>0</v>
      </c>
      <c r="AT329" s="148"/>
      <c r="AU329" s="149"/>
      <c r="AV329" s="146" t="str">
        <f t="shared" si="149"/>
        <v/>
      </c>
      <c r="AW329" s="146" t="str">
        <f t="shared" si="150"/>
        <v/>
      </c>
      <c r="AX329" s="138" t="str">
        <f t="shared" si="151"/>
        <v/>
      </c>
      <c r="AY329" s="95"/>
      <c r="AZ329" s="96"/>
      <c r="BA329" s="96"/>
      <c r="BB329" s="96"/>
      <c r="BC329" s="96"/>
      <c r="BD329" s="97">
        <v>127.83000000000001</v>
      </c>
      <c r="BE329" s="142">
        <f t="shared" si="152"/>
        <v>7021</v>
      </c>
      <c r="BF329" s="88">
        <v>1478</v>
      </c>
      <c r="BG329" s="98">
        <v>0</v>
      </c>
      <c r="BH329" s="98">
        <v>0</v>
      </c>
      <c r="BI329" s="98">
        <v>5543</v>
      </c>
      <c r="BJ329" s="98"/>
      <c r="BK329" s="98"/>
      <c r="BL329" s="97"/>
    </row>
    <row r="330" spans="1:64" outlineLevel="5" x14ac:dyDescent="0.3">
      <c r="A330" s="152">
        <f t="shared" si="136"/>
        <v>10</v>
      </c>
      <c r="B330" s="153">
        <f t="shared" si="121"/>
        <v>45203</v>
      </c>
      <c r="C330" s="138">
        <f t="shared" si="143"/>
        <v>36</v>
      </c>
      <c r="D330" s="84">
        <v>36</v>
      </c>
      <c r="E330" s="84">
        <v>36</v>
      </c>
      <c r="F330" s="84"/>
      <c r="G330" s="84"/>
      <c r="H330" s="84"/>
      <c r="I330" s="84"/>
      <c r="J330" s="84"/>
      <c r="K330" s="84"/>
      <c r="L330" s="140">
        <f t="shared" si="144"/>
        <v>8</v>
      </c>
      <c r="M330" s="86">
        <v>8.01</v>
      </c>
      <c r="N330" s="86">
        <v>8.0500000000000007</v>
      </c>
      <c r="O330" s="86"/>
      <c r="P330" s="86"/>
      <c r="Q330" s="86"/>
      <c r="R330" s="86"/>
      <c r="S330" s="86"/>
      <c r="T330" s="86"/>
      <c r="U330" s="142">
        <f t="shared" si="145"/>
        <v>1135.3</v>
      </c>
      <c r="V330" s="88">
        <v>1308.3</v>
      </c>
      <c r="W330" s="88">
        <v>962.3</v>
      </c>
      <c r="X330" s="88"/>
      <c r="Y330" s="88"/>
      <c r="Z330" s="88"/>
      <c r="AA330" s="88"/>
      <c r="AB330" s="88"/>
      <c r="AC330" s="88"/>
      <c r="AD330" s="142" t="str">
        <f t="shared" si="146"/>
        <v/>
      </c>
      <c r="AE330" s="88"/>
      <c r="AF330" s="88"/>
      <c r="AG330" s="88"/>
      <c r="AH330" s="88"/>
      <c r="AI330" s="88"/>
      <c r="AJ330" s="88"/>
      <c r="AK330" s="88"/>
      <c r="AL330" s="88"/>
      <c r="AM330" s="88">
        <v>32.908038764554135</v>
      </c>
      <c r="AN330" s="88">
        <v>143.43</v>
      </c>
      <c r="AO330" s="89"/>
      <c r="AP330" s="90"/>
      <c r="AQ330" s="146" t="str">
        <f t="shared" si="147"/>
        <v/>
      </c>
      <c r="AR330" s="146" t="str">
        <f t="shared" si="148"/>
        <v/>
      </c>
      <c r="AS330" s="147">
        <v>36</v>
      </c>
      <c r="AT330" s="148">
        <v>13.9</v>
      </c>
      <c r="AU330" s="149">
        <v>7.1659000000000006</v>
      </c>
      <c r="AV330" s="146">
        <f t="shared" si="149"/>
        <v>51.553237410071951</v>
      </c>
      <c r="AW330" s="146">
        <f t="shared" si="150"/>
        <v>48.446762589928049</v>
      </c>
      <c r="AX330" s="138" t="str">
        <f t="shared" si="151"/>
        <v/>
      </c>
      <c r="AY330" s="95">
        <v>73</v>
      </c>
      <c r="AZ330" s="96">
        <v>61.33</v>
      </c>
      <c r="BA330" s="96"/>
      <c r="BB330" s="96">
        <v>54.5</v>
      </c>
      <c r="BC330" s="96"/>
      <c r="BD330" s="97">
        <v>143.43</v>
      </c>
      <c r="BE330" s="142">
        <f t="shared" si="152"/>
        <v>8029</v>
      </c>
      <c r="BF330" s="88">
        <v>2240</v>
      </c>
      <c r="BG330" s="98">
        <v>0</v>
      </c>
      <c r="BH330" s="98">
        <v>0</v>
      </c>
      <c r="BI330" s="98">
        <v>5789</v>
      </c>
      <c r="BJ330" s="98"/>
      <c r="BK330" s="98"/>
      <c r="BL330" s="97"/>
    </row>
    <row r="331" spans="1:64" outlineLevel="5" x14ac:dyDescent="0.3">
      <c r="A331" s="152">
        <f t="shared" si="136"/>
        <v>10</v>
      </c>
      <c r="B331" s="153">
        <f t="shared" si="121"/>
        <v>45204</v>
      </c>
      <c r="C331" s="138">
        <f t="shared" si="143"/>
        <v>36.9</v>
      </c>
      <c r="D331" s="84">
        <v>37</v>
      </c>
      <c r="E331" s="84">
        <v>36.799999999999997</v>
      </c>
      <c r="F331" s="84"/>
      <c r="G331" s="84"/>
      <c r="H331" s="84"/>
      <c r="I331" s="84"/>
      <c r="J331" s="84"/>
      <c r="K331" s="84"/>
      <c r="L331" s="140">
        <f t="shared" si="144"/>
        <v>8</v>
      </c>
      <c r="M331" s="86">
        <v>8.0299999999999994</v>
      </c>
      <c r="N331" s="86">
        <v>8.0500000000000007</v>
      </c>
      <c r="O331" s="86"/>
      <c r="P331" s="86"/>
      <c r="Q331" s="86"/>
      <c r="R331" s="86"/>
      <c r="S331" s="86"/>
      <c r="T331" s="86"/>
      <c r="U331" s="142">
        <f t="shared" si="145"/>
        <v>1286.7</v>
      </c>
      <c r="V331" s="88">
        <v>1405.6</v>
      </c>
      <c r="W331" s="88">
        <v>1167.8</v>
      </c>
      <c r="X331" s="88"/>
      <c r="Y331" s="88"/>
      <c r="Z331" s="88"/>
      <c r="AA331" s="88"/>
      <c r="AB331" s="88"/>
      <c r="AC331" s="88"/>
      <c r="AD331" s="142" t="str">
        <f t="shared" si="146"/>
        <v/>
      </c>
      <c r="AE331" s="88"/>
      <c r="AF331" s="88"/>
      <c r="AG331" s="88"/>
      <c r="AH331" s="88"/>
      <c r="AI331" s="88"/>
      <c r="AJ331" s="88"/>
      <c r="AK331" s="88"/>
      <c r="AL331" s="88"/>
      <c r="AM331" s="88">
        <v>33.401740853442782</v>
      </c>
      <c r="AN331" s="88">
        <v>141.31</v>
      </c>
      <c r="AO331" s="89"/>
      <c r="AP331" s="90"/>
      <c r="AQ331" s="146" t="str">
        <f t="shared" si="147"/>
        <v/>
      </c>
      <c r="AR331" s="146" t="str">
        <f t="shared" si="148"/>
        <v/>
      </c>
      <c r="AS331" s="147">
        <v>17</v>
      </c>
      <c r="AT331" s="148">
        <v>14.75</v>
      </c>
      <c r="AU331" s="149">
        <v>8.5519499999999997</v>
      </c>
      <c r="AV331" s="146">
        <f t="shared" si="149"/>
        <v>57.979322033898306</v>
      </c>
      <c r="AW331" s="146">
        <f t="shared" si="150"/>
        <v>42.020677966101694</v>
      </c>
      <c r="AX331" s="138" t="str">
        <f t="shared" si="151"/>
        <v/>
      </c>
      <c r="AY331" s="95">
        <v>75.75</v>
      </c>
      <c r="AZ331" s="96"/>
      <c r="BA331" s="96"/>
      <c r="BB331" s="96"/>
      <c r="BC331" s="96"/>
      <c r="BD331" s="97">
        <v>141.31</v>
      </c>
      <c r="BE331" s="142">
        <f t="shared" si="152"/>
        <v>7941</v>
      </c>
      <c r="BF331" s="88">
        <v>2368</v>
      </c>
      <c r="BG331" s="98">
        <v>0</v>
      </c>
      <c r="BH331" s="98">
        <v>0</v>
      </c>
      <c r="BI331" s="98">
        <v>5573</v>
      </c>
      <c r="BJ331" s="98"/>
      <c r="BK331" s="98"/>
      <c r="BL331" s="97"/>
    </row>
    <row r="332" spans="1:64" outlineLevel="5" x14ac:dyDescent="0.3">
      <c r="A332" s="152">
        <f t="shared" si="136"/>
        <v>10</v>
      </c>
      <c r="B332" s="153">
        <f t="shared" si="121"/>
        <v>45205</v>
      </c>
      <c r="C332" s="138" t="str">
        <f t="shared" si="143"/>
        <v/>
      </c>
      <c r="D332" s="84"/>
      <c r="E332" s="84"/>
      <c r="F332" s="84"/>
      <c r="G332" s="84"/>
      <c r="H332" s="84"/>
      <c r="I332" s="84"/>
      <c r="J332" s="84"/>
      <c r="K332" s="84"/>
      <c r="L332" s="140" t="str">
        <f t="shared" si="144"/>
        <v/>
      </c>
      <c r="M332" s="86"/>
      <c r="N332" s="86"/>
      <c r="O332" s="86"/>
      <c r="P332" s="86"/>
      <c r="Q332" s="86"/>
      <c r="R332" s="86"/>
      <c r="S332" s="86"/>
      <c r="T332" s="86"/>
      <c r="U332" s="142" t="str">
        <f t="shared" si="145"/>
        <v/>
      </c>
      <c r="V332" s="88"/>
      <c r="W332" s="88"/>
      <c r="X332" s="88"/>
      <c r="Y332" s="88"/>
      <c r="Z332" s="88"/>
      <c r="AA332" s="88"/>
      <c r="AB332" s="88"/>
      <c r="AC332" s="88"/>
      <c r="AD332" s="142" t="str">
        <f t="shared" si="146"/>
        <v/>
      </c>
      <c r="AE332" s="88"/>
      <c r="AF332" s="88"/>
      <c r="AG332" s="88"/>
      <c r="AH332" s="88"/>
      <c r="AI332" s="88"/>
      <c r="AJ332" s="88"/>
      <c r="AK332" s="88"/>
      <c r="AL332" s="88"/>
      <c r="AM332" s="88">
        <v>34.718646561235751</v>
      </c>
      <c r="AN332" s="88">
        <v>135.94999999999999</v>
      </c>
      <c r="AO332" s="89"/>
      <c r="AP332" s="90"/>
      <c r="AQ332" s="146" t="str">
        <f t="shared" si="147"/>
        <v/>
      </c>
      <c r="AR332" s="146" t="str">
        <f t="shared" si="148"/>
        <v/>
      </c>
      <c r="AS332" s="147">
        <v>16</v>
      </c>
      <c r="AT332" s="148"/>
      <c r="AU332" s="149"/>
      <c r="AV332" s="146" t="str">
        <f t="shared" si="149"/>
        <v/>
      </c>
      <c r="AW332" s="146" t="str">
        <f t="shared" si="150"/>
        <v/>
      </c>
      <c r="AX332" s="138" t="str">
        <f t="shared" si="151"/>
        <v/>
      </c>
      <c r="AY332" s="95"/>
      <c r="AZ332" s="96"/>
      <c r="BA332" s="96"/>
      <c r="BB332" s="96"/>
      <c r="BC332" s="96"/>
      <c r="BD332" s="97">
        <v>135.94999999999999</v>
      </c>
      <c r="BE332" s="142">
        <f t="shared" si="152"/>
        <v>7866</v>
      </c>
      <c r="BF332" s="88">
        <v>2252</v>
      </c>
      <c r="BG332" s="98">
        <v>0</v>
      </c>
      <c r="BH332" s="98">
        <v>0</v>
      </c>
      <c r="BI332" s="98">
        <v>5614</v>
      </c>
      <c r="BJ332" s="98"/>
      <c r="BK332" s="98"/>
      <c r="BL332" s="97"/>
    </row>
    <row r="333" spans="1:64" outlineLevel="5" x14ac:dyDescent="0.3">
      <c r="A333" s="152">
        <f t="shared" si="136"/>
        <v>10</v>
      </c>
      <c r="B333" s="153">
        <f t="shared" si="121"/>
        <v>45206</v>
      </c>
      <c r="C333" s="138" t="str">
        <f t="shared" si="143"/>
        <v/>
      </c>
      <c r="D333" s="84"/>
      <c r="E333" s="84"/>
      <c r="F333" s="84"/>
      <c r="G333" s="84"/>
      <c r="H333" s="84"/>
      <c r="I333" s="84"/>
      <c r="J333" s="84"/>
      <c r="K333" s="84"/>
      <c r="L333" s="140" t="str">
        <f t="shared" si="144"/>
        <v/>
      </c>
      <c r="M333" s="86"/>
      <c r="N333" s="86"/>
      <c r="O333" s="86"/>
      <c r="P333" s="86"/>
      <c r="Q333" s="86"/>
      <c r="R333" s="86"/>
      <c r="S333" s="86"/>
      <c r="T333" s="86"/>
      <c r="U333" s="142" t="str">
        <f t="shared" si="145"/>
        <v/>
      </c>
      <c r="V333" s="88"/>
      <c r="W333" s="88"/>
      <c r="X333" s="88"/>
      <c r="Y333" s="88"/>
      <c r="Z333" s="88"/>
      <c r="AA333" s="88"/>
      <c r="AB333" s="88"/>
      <c r="AC333" s="88"/>
      <c r="AD333" s="142" t="str">
        <f t="shared" si="146"/>
        <v/>
      </c>
      <c r="AE333" s="88"/>
      <c r="AF333" s="88"/>
      <c r="AG333" s="88"/>
      <c r="AH333" s="88"/>
      <c r="AI333" s="88"/>
      <c r="AJ333" s="88"/>
      <c r="AK333" s="88"/>
      <c r="AL333" s="88"/>
      <c r="AM333" s="88">
        <v>43.49027918547867</v>
      </c>
      <c r="AN333" s="88">
        <v>108.53</v>
      </c>
      <c r="AO333" s="89"/>
      <c r="AP333" s="90"/>
      <c r="AQ333" s="146" t="str">
        <f t="shared" si="147"/>
        <v/>
      </c>
      <c r="AR333" s="146" t="str">
        <f t="shared" si="148"/>
        <v/>
      </c>
      <c r="AS333" s="147">
        <v>10</v>
      </c>
      <c r="AT333" s="148"/>
      <c r="AU333" s="149"/>
      <c r="AV333" s="146" t="str">
        <f t="shared" si="149"/>
        <v/>
      </c>
      <c r="AW333" s="146" t="str">
        <f t="shared" si="150"/>
        <v/>
      </c>
      <c r="AX333" s="138" t="str">
        <f t="shared" si="151"/>
        <v/>
      </c>
      <c r="AY333" s="95"/>
      <c r="AZ333" s="96"/>
      <c r="BA333" s="96"/>
      <c r="BB333" s="96"/>
      <c r="BC333" s="96"/>
      <c r="BD333" s="97">
        <v>108.53</v>
      </c>
      <c r="BE333" s="142">
        <f t="shared" si="152"/>
        <v>6802</v>
      </c>
      <c r="BF333" s="88">
        <v>1281</v>
      </c>
      <c r="BG333" s="98">
        <v>0</v>
      </c>
      <c r="BH333" s="98">
        <v>0</v>
      </c>
      <c r="BI333" s="98">
        <v>5521</v>
      </c>
      <c r="BJ333" s="98"/>
      <c r="BK333" s="98"/>
      <c r="BL333" s="97"/>
    </row>
    <row r="334" spans="1:64" outlineLevel="5" x14ac:dyDescent="0.3">
      <c r="A334" s="152">
        <f t="shared" si="136"/>
        <v>10</v>
      </c>
      <c r="B334" s="153">
        <f t="shared" si="121"/>
        <v>45207</v>
      </c>
      <c r="C334" s="138" t="str">
        <f t="shared" si="143"/>
        <v/>
      </c>
      <c r="D334" s="84"/>
      <c r="E334" s="84"/>
      <c r="F334" s="84"/>
      <c r="G334" s="84"/>
      <c r="H334" s="84"/>
      <c r="I334" s="84"/>
      <c r="J334" s="84"/>
      <c r="K334" s="84"/>
      <c r="L334" s="140" t="str">
        <f t="shared" si="144"/>
        <v/>
      </c>
      <c r="M334" s="86"/>
      <c r="N334" s="86"/>
      <c r="O334" s="86"/>
      <c r="P334" s="86"/>
      <c r="Q334" s="86"/>
      <c r="R334" s="86"/>
      <c r="S334" s="86"/>
      <c r="T334" s="86"/>
      <c r="U334" s="142" t="str">
        <f t="shared" si="145"/>
        <v/>
      </c>
      <c r="V334" s="88"/>
      <c r="W334" s="88"/>
      <c r="X334" s="88"/>
      <c r="Y334" s="88"/>
      <c r="Z334" s="88"/>
      <c r="AA334" s="88"/>
      <c r="AB334" s="88"/>
      <c r="AC334" s="88"/>
      <c r="AD334" s="142" t="str">
        <f t="shared" si="146"/>
        <v/>
      </c>
      <c r="AE334" s="88"/>
      <c r="AF334" s="88"/>
      <c r="AG334" s="88"/>
      <c r="AH334" s="88"/>
      <c r="AI334" s="88"/>
      <c r="AJ334" s="88"/>
      <c r="AK334" s="88"/>
      <c r="AL334" s="88"/>
      <c r="AM334" s="88">
        <v>42.909090909090907</v>
      </c>
      <c r="AN334" s="88">
        <v>110</v>
      </c>
      <c r="AO334" s="89"/>
      <c r="AP334" s="90"/>
      <c r="AQ334" s="146" t="str">
        <f t="shared" si="147"/>
        <v/>
      </c>
      <c r="AR334" s="146" t="str">
        <f t="shared" si="148"/>
        <v/>
      </c>
      <c r="AS334" s="147">
        <v>8</v>
      </c>
      <c r="AT334" s="148"/>
      <c r="AU334" s="149"/>
      <c r="AV334" s="146" t="str">
        <f t="shared" si="149"/>
        <v/>
      </c>
      <c r="AW334" s="146" t="str">
        <f t="shared" si="150"/>
        <v/>
      </c>
      <c r="AX334" s="138" t="str">
        <f t="shared" si="151"/>
        <v/>
      </c>
      <c r="AY334" s="95"/>
      <c r="AZ334" s="96"/>
      <c r="BA334" s="96"/>
      <c r="BB334" s="96"/>
      <c r="BC334" s="96"/>
      <c r="BD334" s="97">
        <v>110</v>
      </c>
      <c r="BE334" s="142">
        <f t="shared" si="152"/>
        <v>5731</v>
      </c>
      <c r="BF334" s="88">
        <v>0</v>
      </c>
      <c r="BG334" s="98">
        <v>0</v>
      </c>
      <c r="BH334" s="98">
        <v>0</v>
      </c>
      <c r="BI334" s="98">
        <v>5731</v>
      </c>
      <c r="BJ334" s="98"/>
      <c r="BK334" s="98"/>
      <c r="BL334" s="97"/>
    </row>
    <row r="335" spans="1:64" outlineLevel="5" x14ac:dyDescent="0.3">
      <c r="A335" s="152">
        <f t="shared" si="136"/>
        <v>10</v>
      </c>
      <c r="B335" s="153">
        <f t="shared" si="121"/>
        <v>45208</v>
      </c>
      <c r="C335" s="138">
        <f t="shared" si="143"/>
        <v>37.200000000000003</v>
      </c>
      <c r="D335" s="84">
        <v>37.299999999999997</v>
      </c>
      <c r="E335" s="84">
        <v>37</v>
      </c>
      <c r="F335" s="84"/>
      <c r="G335" s="84"/>
      <c r="H335" s="84"/>
      <c r="I335" s="84"/>
      <c r="J335" s="84"/>
      <c r="K335" s="84"/>
      <c r="L335" s="140" t="str">
        <f t="shared" si="144"/>
        <v/>
      </c>
      <c r="M335" s="86"/>
      <c r="N335" s="86"/>
      <c r="O335" s="86"/>
      <c r="P335" s="86"/>
      <c r="Q335" s="86"/>
      <c r="R335" s="86"/>
      <c r="S335" s="86"/>
      <c r="T335" s="86"/>
      <c r="U335" s="142" t="str">
        <f t="shared" si="145"/>
        <v/>
      </c>
      <c r="V335" s="88"/>
      <c r="W335" s="88"/>
      <c r="X335" s="88"/>
      <c r="Y335" s="88"/>
      <c r="Z335" s="88"/>
      <c r="AA335" s="88"/>
      <c r="AB335" s="88"/>
      <c r="AC335" s="88"/>
      <c r="AD335" s="142" t="str">
        <f t="shared" si="146"/>
        <v/>
      </c>
      <c r="AE335" s="88"/>
      <c r="AF335" s="88"/>
      <c r="AG335" s="88"/>
      <c r="AH335" s="88"/>
      <c r="AI335" s="88"/>
      <c r="AJ335" s="88"/>
      <c r="AK335" s="88"/>
      <c r="AL335" s="88"/>
      <c r="AM335" s="88">
        <v>38.527467145539141</v>
      </c>
      <c r="AN335" s="88">
        <v>122.50999999999999</v>
      </c>
      <c r="AO335" s="89"/>
      <c r="AP335" s="90"/>
      <c r="AQ335" s="146" t="str">
        <f t="shared" si="147"/>
        <v/>
      </c>
      <c r="AR335" s="146" t="str">
        <f t="shared" si="148"/>
        <v/>
      </c>
      <c r="AS335" s="147">
        <v>0</v>
      </c>
      <c r="AT335" s="148"/>
      <c r="AU335" s="149"/>
      <c r="AV335" s="146" t="str">
        <f t="shared" si="149"/>
        <v/>
      </c>
      <c r="AW335" s="146" t="str">
        <f t="shared" si="150"/>
        <v/>
      </c>
      <c r="AX335" s="138" t="str">
        <f t="shared" si="151"/>
        <v/>
      </c>
      <c r="AY335" s="95"/>
      <c r="AZ335" s="96"/>
      <c r="BA335" s="96"/>
      <c r="BB335" s="96"/>
      <c r="BC335" s="96"/>
      <c r="BD335" s="97">
        <v>122.50999999999999</v>
      </c>
      <c r="BE335" s="142">
        <f t="shared" si="152"/>
        <v>5868</v>
      </c>
      <c r="BF335" s="88">
        <v>0</v>
      </c>
      <c r="BG335" s="98">
        <v>0</v>
      </c>
      <c r="BH335" s="98">
        <v>0</v>
      </c>
      <c r="BI335" s="98">
        <v>5868</v>
      </c>
      <c r="BJ335" s="98"/>
      <c r="BK335" s="98"/>
      <c r="BL335" s="97"/>
    </row>
    <row r="336" spans="1:64" outlineLevel="5" x14ac:dyDescent="0.3">
      <c r="A336" s="152">
        <f t="shared" si="136"/>
        <v>10</v>
      </c>
      <c r="B336" s="153">
        <f t="shared" si="121"/>
        <v>45209</v>
      </c>
      <c r="C336" s="138" t="str">
        <f t="shared" si="143"/>
        <v/>
      </c>
      <c r="D336" s="84"/>
      <c r="E336" s="84"/>
      <c r="F336" s="84"/>
      <c r="G336" s="84"/>
      <c r="H336" s="84"/>
      <c r="I336" s="84"/>
      <c r="J336" s="84"/>
      <c r="K336" s="84"/>
      <c r="L336" s="140" t="str">
        <f t="shared" si="144"/>
        <v/>
      </c>
      <c r="M336" s="86"/>
      <c r="N336" s="86"/>
      <c r="O336" s="86"/>
      <c r="P336" s="86"/>
      <c r="Q336" s="86"/>
      <c r="R336" s="86"/>
      <c r="S336" s="86"/>
      <c r="T336" s="86"/>
      <c r="U336" s="142" t="str">
        <f t="shared" si="145"/>
        <v/>
      </c>
      <c r="V336" s="88"/>
      <c r="W336" s="88"/>
      <c r="X336" s="88"/>
      <c r="Y336" s="88"/>
      <c r="Z336" s="88"/>
      <c r="AA336" s="88"/>
      <c r="AB336" s="88"/>
      <c r="AC336" s="88"/>
      <c r="AD336" s="142" t="str">
        <f t="shared" si="146"/>
        <v/>
      </c>
      <c r="AE336" s="88"/>
      <c r="AF336" s="88"/>
      <c r="AG336" s="88"/>
      <c r="AH336" s="88"/>
      <c r="AI336" s="88"/>
      <c r="AJ336" s="88"/>
      <c r="AK336" s="88"/>
      <c r="AL336" s="88"/>
      <c r="AM336" s="88">
        <v>32.453245324532453</v>
      </c>
      <c r="AN336" s="88">
        <v>145.44</v>
      </c>
      <c r="AO336" s="89"/>
      <c r="AP336" s="90"/>
      <c r="AQ336" s="146" t="str">
        <f t="shared" si="147"/>
        <v/>
      </c>
      <c r="AR336" s="146" t="str">
        <f t="shared" si="148"/>
        <v/>
      </c>
      <c r="AS336" s="147">
        <v>20</v>
      </c>
      <c r="AT336" s="148"/>
      <c r="AU336" s="149"/>
      <c r="AV336" s="146" t="str">
        <f t="shared" si="149"/>
        <v/>
      </c>
      <c r="AW336" s="146" t="str">
        <f t="shared" si="150"/>
        <v/>
      </c>
      <c r="AX336" s="138" t="str">
        <f t="shared" si="151"/>
        <v/>
      </c>
      <c r="AY336" s="95"/>
      <c r="AZ336" s="96"/>
      <c r="BA336" s="96"/>
      <c r="BB336" s="96"/>
      <c r="BC336" s="96"/>
      <c r="BD336" s="97">
        <v>145.44</v>
      </c>
      <c r="BE336" s="142">
        <f t="shared" si="152"/>
        <v>5995</v>
      </c>
      <c r="BF336" s="88">
        <v>202</v>
      </c>
      <c r="BG336" s="98">
        <v>0</v>
      </c>
      <c r="BH336" s="98">
        <v>0</v>
      </c>
      <c r="BI336" s="98">
        <v>5793</v>
      </c>
      <c r="BJ336" s="98"/>
      <c r="BK336" s="98"/>
      <c r="BL336" s="97"/>
    </row>
    <row r="337" spans="1:64" outlineLevel="5" x14ac:dyDescent="0.3">
      <c r="A337" s="152">
        <f t="shared" si="136"/>
        <v>10</v>
      </c>
      <c r="B337" s="153">
        <f t="shared" si="121"/>
        <v>45210</v>
      </c>
      <c r="C337" s="138">
        <f t="shared" si="143"/>
        <v>37</v>
      </c>
      <c r="D337" s="84">
        <v>37</v>
      </c>
      <c r="E337" s="84">
        <v>37</v>
      </c>
      <c r="F337" s="84"/>
      <c r="G337" s="84"/>
      <c r="H337" s="84"/>
      <c r="I337" s="84"/>
      <c r="J337" s="84"/>
      <c r="K337" s="84"/>
      <c r="L337" s="140" t="str">
        <f t="shared" si="144"/>
        <v/>
      </c>
      <c r="M337" s="86"/>
      <c r="N337" s="86"/>
      <c r="O337" s="86"/>
      <c r="P337" s="86"/>
      <c r="Q337" s="86"/>
      <c r="R337" s="86"/>
      <c r="S337" s="86"/>
      <c r="T337" s="86"/>
      <c r="U337" s="142" t="str">
        <f t="shared" si="145"/>
        <v/>
      </c>
      <c r="V337" s="88"/>
      <c r="W337" s="88"/>
      <c r="X337" s="88"/>
      <c r="Y337" s="88"/>
      <c r="Z337" s="88"/>
      <c r="AA337" s="88"/>
      <c r="AB337" s="88"/>
      <c r="AC337" s="88"/>
      <c r="AD337" s="142" t="str">
        <f t="shared" si="146"/>
        <v/>
      </c>
      <c r="AE337" s="88"/>
      <c r="AF337" s="88"/>
      <c r="AG337" s="88"/>
      <c r="AH337" s="88"/>
      <c r="AI337" s="88"/>
      <c r="AJ337" s="88"/>
      <c r="AK337" s="88"/>
      <c r="AL337" s="88"/>
      <c r="AM337" s="88">
        <v>42.901290674422832</v>
      </c>
      <c r="AN337" s="88">
        <v>110.02000000000001</v>
      </c>
      <c r="AO337" s="89"/>
      <c r="AP337" s="90"/>
      <c r="AQ337" s="146" t="str">
        <f t="shared" si="147"/>
        <v/>
      </c>
      <c r="AR337" s="146" t="str">
        <f t="shared" si="148"/>
        <v/>
      </c>
      <c r="AS337" s="147">
        <v>30</v>
      </c>
      <c r="AT337" s="148"/>
      <c r="AU337" s="149"/>
      <c r="AV337" s="146" t="str">
        <f t="shared" si="149"/>
        <v/>
      </c>
      <c r="AW337" s="146" t="str">
        <f t="shared" si="150"/>
        <v/>
      </c>
      <c r="AX337" s="138" t="str">
        <f t="shared" si="151"/>
        <v/>
      </c>
      <c r="AY337" s="95"/>
      <c r="AZ337" s="96"/>
      <c r="BA337" s="96"/>
      <c r="BB337" s="96"/>
      <c r="BC337" s="96"/>
      <c r="BD337" s="97">
        <v>110.02000000000001</v>
      </c>
      <c r="BE337" s="142">
        <f t="shared" si="152"/>
        <v>5064</v>
      </c>
      <c r="BF337" s="88">
        <v>1007</v>
      </c>
      <c r="BG337" s="98">
        <v>0</v>
      </c>
      <c r="BH337" s="98">
        <v>0</v>
      </c>
      <c r="BI337" s="98">
        <v>4057</v>
      </c>
      <c r="BJ337" s="98"/>
      <c r="BK337" s="98"/>
      <c r="BL337" s="97"/>
    </row>
    <row r="338" spans="1:64" outlineLevel="5" x14ac:dyDescent="0.3">
      <c r="A338" s="152">
        <f t="shared" si="136"/>
        <v>10</v>
      </c>
      <c r="B338" s="153">
        <f t="shared" si="121"/>
        <v>45211</v>
      </c>
      <c r="C338" s="138">
        <f t="shared" si="143"/>
        <v>38</v>
      </c>
      <c r="D338" s="84">
        <v>38</v>
      </c>
      <c r="E338" s="84">
        <v>38</v>
      </c>
      <c r="F338" s="84"/>
      <c r="G338" s="84"/>
      <c r="H338" s="84"/>
      <c r="I338" s="84"/>
      <c r="J338" s="84"/>
      <c r="K338" s="84"/>
      <c r="L338" s="140">
        <f t="shared" si="144"/>
        <v>8</v>
      </c>
      <c r="M338" s="86">
        <v>8.0500000000000007</v>
      </c>
      <c r="N338" s="86">
        <v>8.01</v>
      </c>
      <c r="O338" s="86"/>
      <c r="P338" s="86"/>
      <c r="Q338" s="86"/>
      <c r="R338" s="86"/>
      <c r="S338" s="86"/>
      <c r="T338" s="86"/>
      <c r="U338" s="142">
        <f t="shared" si="145"/>
        <v>1184</v>
      </c>
      <c r="V338" s="88">
        <v>1276</v>
      </c>
      <c r="W338" s="88">
        <v>1092</v>
      </c>
      <c r="X338" s="88"/>
      <c r="Y338" s="88"/>
      <c r="Z338" s="88"/>
      <c r="AA338" s="88"/>
      <c r="AB338" s="88"/>
      <c r="AC338" s="88"/>
      <c r="AD338" s="142" t="str">
        <f t="shared" si="146"/>
        <v/>
      </c>
      <c r="AE338" s="88"/>
      <c r="AF338" s="88"/>
      <c r="AG338" s="88"/>
      <c r="AH338" s="88"/>
      <c r="AI338" s="88"/>
      <c r="AJ338" s="88"/>
      <c r="AK338" s="88"/>
      <c r="AL338" s="88"/>
      <c r="AM338" s="88">
        <v>45.670053217223028</v>
      </c>
      <c r="AN338" s="88">
        <v>103.35</v>
      </c>
      <c r="AO338" s="89"/>
      <c r="AP338" s="90"/>
      <c r="AQ338" s="146" t="str">
        <f t="shared" si="147"/>
        <v/>
      </c>
      <c r="AR338" s="146" t="str">
        <f t="shared" si="148"/>
        <v/>
      </c>
      <c r="AS338" s="147">
        <v>22</v>
      </c>
      <c r="AT338" s="148">
        <v>14.25</v>
      </c>
      <c r="AU338" s="149">
        <v>8.2220000000000013</v>
      </c>
      <c r="AV338" s="146">
        <f t="shared" si="149"/>
        <v>57.698245614035095</v>
      </c>
      <c r="AW338" s="146">
        <f t="shared" si="150"/>
        <v>42.301754385964905</v>
      </c>
      <c r="AX338" s="138" t="str">
        <f t="shared" si="151"/>
        <v/>
      </c>
      <c r="AY338" s="95">
        <v>78.099999999999994</v>
      </c>
      <c r="AZ338" s="96"/>
      <c r="BA338" s="96"/>
      <c r="BB338" s="96"/>
      <c r="BC338" s="96"/>
      <c r="BD338" s="97">
        <v>103.35</v>
      </c>
      <c r="BE338" s="142">
        <f t="shared" si="152"/>
        <v>8572</v>
      </c>
      <c r="BF338" s="88">
        <v>2715</v>
      </c>
      <c r="BG338" s="98">
        <v>0</v>
      </c>
      <c r="BH338" s="98">
        <v>0</v>
      </c>
      <c r="BI338" s="98">
        <v>5857</v>
      </c>
      <c r="BJ338" s="98"/>
      <c r="BK338" s="98"/>
      <c r="BL338" s="97"/>
    </row>
    <row r="339" spans="1:64" outlineLevel="5" x14ac:dyDescent="0.3">
      <c r="A339" s="152">
        <f t="shared" si="136"/>
        <v>10</v>
      </c>
      <c r="B339" s="153">
        <f t="shared" si="121"/>
        <v>45212</v>
      </c>
      <c r="C339" s="138" t="str">
        <f t="shared" si="143"/>
        <v/>
      </c>
      <c r="D339" s="84"/>
      <c r="E339" s="84"/>
      <c r="F339" s="84"/>
      <c r="G339" s="84"/>
      <c r="H339" s="84"/>
      <c r="I339" s="84"/>
      <c r="J339" s="84"/>
      <c r="K339" s="84"/>
      <c r="L339" s="140" t="str">
        <f t="shared" si="144"/>
        <v/>
      </c>
      <c r="M339" s="86"/>
      <c r="N339" s="86"/>
      <c r="O339" s="86"/>
      <c r="P339" s="86"/>
      <c r="Q339" s="86"/>
      <c r="R339" s="86"/>
      <c r="S339" s="86"/>
      <c r="T339" s="86"/>
      <c r="U339" s="142" t="str">
        <f t="shared" si="145"/>
        <v/>
      </c>
      <c r="V339" s="88"/>
      <c r="W339" s="88"/>
      <c r="X339" s="88"/>
      <c r="Y339" s="88"/>
      <c r="Z339" s="88"/>
      <c r="AA339" s="88"/>
      <c r="AB339" s="88"/>
      <c r="AC339" s="88"/>
      <c r="AD339" s="142" t="str">
        <f t="shared" si="146"/>
        <v/>
      </c>
      <c r="AE339" s="88"/>
      <c r="AF339" s="88"/>
      <c r="AG339" s="88"/>
      <c r="AH339" s="88"/>
      <c r="AI339" s="88"/>
      <c r="AJ339" s="88"/>
      <c r="AK339" s="88"/>
      <c r="AL339" s="88"/>
      <c r="AM339" s="88">
        <v>72.929542645241042</v>
      </c>
      <c r="AN339" s="88">
        <v>64.72</v>
      </c>
      <c r="AO339" s="89"/>
      <c r="AP339" s="90"/>
      <c r="AQ339" s="146" t="str">
        <f t="shared" si="147"/>
        <v/>
      </c>
      <c r="AR339" s="146" t="str">
        <f t="shared" si="148"/>
        <v/>
      </c>
      <c r="AS339" s="147">
        <v>0</v>
      </c>
      <c r="AT339" s="148"/>
      <c r="AU339" s="149"/>
      <c r="AV339" s="146" t="str">
        <f t="shared" si="149"/>
        <v/>
      </c>
      <c r="AW339" s="146" t="str">
        <f t="shared" si="150"/>
        <v/>
      </c>
      <c r="AX339" s="138" t="str">
        <f t="shared" si="151"/>
        <v/>
      </c>
      <c r="AY339" s="95"/>
      <c r="AZ339" s="96"/>
      <c r="BA339" s="96"/>
      <c r="BB339" s="96"/>
      <c r="BC339" s="96"/>
      <c r="BD339" s="97">
        <v>64.72</v>
      </c>
      <c r="BE339" s="142">
        <f t="shared" si="152"/>
        <v>8037</v>
      </c>
      <c r="BF339" s="88">
        <v>2201</v>
      </c>
      <c r="BG339" s="98">
        <v>0</v>
      </c>
      <c r="BH339" s="98">
        <v>0</v>
      </c>
      <c r="BI339" s="98">
        <v>5836</v>
      </c>
      <c r="BJ339" s="98"/>
      <c r="BK339" s="98"/>
      <c r="BL339" s="97"/>
    </row>
    <row r="340" spans="1:64" outlineLevel="5" x14ac:dyDescent="0.3">
      <c r="A340" s="152">
        <f t="shared" si="136"/>
        <v>10</v>
      </c>
      <c r="B340" s="153">
        <f t="shared" si="121"/>
        <v>45213</v>
      </c>
      <c r="C340" s="138" t="str">
        <f t="shared" si="143"/>
        <v/>
      </c>
      <c r="D340" s="84"/>
      <c r="E340" s="84"/>
      <c r="F340" s="84"/>
      <c r="G340" s="84"/>
      <c r="H340" s="84"/>
      <c r="I340" s="84"/>
      <c r="J340" s="84"/>
      <c r="K340" s="84"/>
      <c r="L340" s="140" t="str">
        <f t="shared" si="144"/>
        <v/>
      </c>
      <c r="M340" s="86"/>
      <c r="N340" s="86"/>
      <c r="O340" s="86"/>
      <c r="P340" s="86"/>
      <c r="Q340" s="86"/>
      <c r="R340" s="86"/>
      <c r="S340" s="86"/>
      <c r="T340" s="86"/>
      <c r="U340" s="142" t="str">
        <f t="shared" si="145"/>
        <v/>
      </c>
      <c r="V340" s="88"/>
      <c r="W340" s="88"/>
      <c r="X340" s="88"/>
      <c r="Y340" s="88"/>
      <c r="Z340" s="88"/>
      <c r="AA340" s="88"/>
      <c r="AB340" s="88"/>
      <c r="AC340" s="88"/>
      <c r="AD340" s="142" t="str">
        <f t="shared" si="146"/>
        <v/>
      </c>
      <c r="AE340" s="88"/>
      <c r="AF340" s="88"/>
      <c r="AG340" s="88"/>
      <c r="AH340" s="88"/>
      <c r="AI340" s="88"/>
      <c r="AJ340" s="88"/>
      <c r="AK340" s="88"/>
      <c r="AL340" s="88"/>
      <c r="AM340" s="88">
        <v>183.44345122425185</v>
      </c>
      <c r="AN340" s="88">
        <v>25.73</v>
      </c>
      <c r="AO340" s="89"/>
      <c r="AP340" s="90"/>
      <c r="AQ340" s="146" t="str">
        <f t="shared" si="147"/>
        <v/>
      </c>
      <c r="AR340" s="146" t="str">
        <f t="shared" si="148"/>
        <v/>
      </c>
      <c r="AS340" s="147">
        <v>0</v>
      </c>
      <c r="AT340" s="148"/>
      <c r="AU340" s="149"/>
      <c r="AV340" s="146" t="str">
        <f t="shared" si="149"/>
        <v/>
      </c>
      <c r="AW340" s="146" t="str">
        <f t="shared" si="150"/>
        <v/>
      </c>
      <c r="AX340" s="138" t="str">
        <f t="shared" si="151"/>
        <v/>
      </c>
      <c r="AY340" s="95"/>
      <c r="AZ340" s="96"/>
      <c r="BA340" s="96"/>
      <c r="BB340" s="96"/>
      <c r="BC340" s="96"/>
      <c r="BD340" s="97">
        <v>25.73</v>
      </c>
      <c r="BE340" s="142">
        <f t="shared" si="152"/>
        <v>2378</v>
      </c>
      <c r="BF340" s="88">
        <v>128</v>
      </c>
      <c r="BG340" s="98">
        <v>0</v>
      </c>
      <c r="BH340" s="98">
        <v>0</v>
      </c>
      <c r="BI340" s="98">
        <v>2250</v>
      </c>
      <c r="BJ340" s="98"/>
      <c r="BK340" s="98"/>
      <c r="BL340" s="97"/>
    </row>
    <row r="341" spans="1:64" outlineLevel="5" x14ac:dyDescent="0.3">
      <c r="A341" s="152">
        <f t="shared" si="136"/>
        <v>10</v>
      </c>
      <c r="B341" s="153">
        <f t="shared" si="121"/>
        <v>45214</v>
      </c>
      <c r="C341" s="138" t="str">
        <f t="shared" si="143"/>
        <v/>
      </c>
      <c r="D341" s="84"/>
      <c r="E341" s="84"/>
      <c r="F341" s="84"/>
      <c r="G341" s="84"/>
      <c r="H341" s="84"/>
      <c r="I341" s="84"/>
      <c r="J341" s="84"/>
      <c r="K341" s="84"/>
      <c r="L341" s="140" t="str">
        <f t="shared" si="144"/>
        <v/>
      </c>
      <c r="M341" s="86"/>
      <c r="N341" s="86"/>
      <c r="O341" s="86"/>
      <c r="P341" s="86"/>
      <c r="Q341" s="86"/>
      <c r="R341" s="86"/>
      <c r="S341" s="86"/>
      <c r="T341" s="86"/>
      <c r="U341" s="142" t="str">
        <f t="shared" si="145"/>
        <v/>
      </c>
      <c r="V341" s="88"/>
      <c r="W341" s="88"/>
      <c r="X341" s="88"/>
      <c r="Y341" s="88"/>
      <c r="Z341" s="88"/>
      <c r="AA341" s="88"/>
      <c r="AB341" s="88"/>
      <c r="AC341" s="88"/>
      <c r="AD341" s="142" t="str">
        <f t="shared" si="146"/>
        <v/>
      </c>
      <c r="AE341" s="88"/>
      <c r="AF341" s="88"/>
      <c r="AG341" s="88"/>
      <c r="AH341" s="88"/>
      <c r="AI341" s="88"/>
      <c r="AJ341" s="88"/>
      <c r="AK341" s="88"/>
      <c r="AL341" s="88"/>
      <c r="AM341" s="88">
        <v>78.666666666666671</v>
      </c>
      <c r="AN341" s="88">
        <v>60</v>
      </c>
      <c r="AO341" s="89"/>
      <c r="AP341" s="90"/>
      <c r="AQ341" s="146" t="str">
        <f t="shared" si="147"/>
        <v/>
      </c>
      <c r="AR341" s="146" t="str">
        <f t="shared" si="148"/>
        <v/>
      </c>
      <c r="AS341" s="147">
        <v>20</v>
      </c>
      <c r="AT341" s="148"/>
      <c r="AU341" s="149"/>
      <c r="AV341" s="146" t="str">
        <f t="shared" si="149"/>
        <v/>
      </c>
      <c r="AW341" s="146" t="str">
        <f t="shared" si="150"/>
        <v/>
      </c>
      <c r="AX341" s="138" t="str">
        <f t="shared" si="151"/>
        <v/>
      </c>
      <c r="AY341" s="95"/>
      <c r="AZ341" s="96"/>
      <c r="BA341" s="96"/>
      <c r="BB341" s="96"/>
      <c r="BC341" s="96"/>
      <c r="BD341" s="97">
        <v>60</v>
      </c>
      <c r="BE341" s="142">
        <f t="shared" si="152"/>
        <v>5850</v>
      </c>
      <c r="BF341" s="88">
        <v>0</v>
      </c>
      <c r="BG341" s="98">
        <v>0</v>
      </c>
      <c r="BH341" s="98">
        <v>0</v>
      </c>
      <c r="BI341" s="98">
        <v>5850</v>
      </c>
      <c r="BJ341" s="98"/>
      <c r="BK341" s="98"/>
      <c r="BL341" s="97"/>
    </row>
    <row r="342" spans="1:64" outlineLevel="5" x14ac:dyDescent="0.3">
      <c r="A342" s="152">
        <f t="shared" si="136"/>
        <v>10</v>
      </c>
      <c r="B342" s="153">
        <f t="shared" si="121"/>
        <v>45215</v>
      </c>
      <c r="C342" s="138">
        <f t="shared" si="143"/>
        <v>38</v>
      </c>
      <c r="D342" s="84">
        <v>38</v>
      </c>
      <c r="E342" s="84"/>
      <c r="F342" s="84"/>
      <c r="G342" s="84"/>
      <c r="H342" s="84"/>
      <c r="I342" s="84"/>
      <c r="J342" s="84"/>
      <c r="K342" s="84"/>
      <c r="L342" s="140">
        <f t="shared" si="144"/>
        <v>8.1</v>
      </c>
      <c r="M342" s="86">
        <v>8.07</v>
      </c>
      <c r="N342" s="86"/>
      <c r="O342" s="86"/>
      <c r="P342" s="86"/>
      <c r="Q342" s="86"/>
      <c r="R342" s="86"/>
      <c r="S342" s="86"/>
      <c r="T342" s="86"/>
      <c r="U342" s="142">
        <f t="shared" si="145"/>
        <v>1135</v>
      </c>
      <c r="V342" s="88">
        <v>1135</v>
      </c>
      <c r="W342" s="88"/>
      <c r="X342" s="88"/>
      <c r="Y342" s="88"/>
      <c r="Z342" s="88"/>
      <c r="AA342" s="88"/>
      <c r="AB342" s="88"/>
      <c r="AC342" s="88"/>
      <c r="AD342" s="142" t="str">
        <f t="shared" si="146"/>
        <v/>
      </c>
      <c r="AE342" s="88"/>
      <c r="AF342" s="88"/>
      <c r="AG342" s="88"/>
      <c r="AH342" s="88"/>
      <c r="AI342" s="88"/>
      <c r="AJ342" s="88"/>
      <c r="AK342" s="88"/>
      <c r="AL342" s="88"/>
      <c r="AM342" s="88">
        <v>80.013561620613658</v>
      </c>
      <c r="AN342" s="88">
        <v>58.99</v>
      </c>
      <c r="AO342" s="89"/>
      <c r="AP342" s="90"/>
      <c r="AQ342" s="146" t="str">
        <f t="shared" si="147"/>
        <v/>
      </c>
      <c r="AR342" s="146" t="str">
        <f t="shared" si="148"/>
        <v/>
      </c>
      <c r="AS342" s="147">
        <v>20</v>
      </c>
      <c r="AT342" s="148">
        <v>12.7</v>
      </c>
      <c r="AU342" s="149">
        <v>6.5150999999999986</v>
      </c>
      <c r="AV342" s="146">
        <f t="shared" si="149"/>
        <v>51.29999999999999</v>
      </c>
      <c r="AW342" s="146">
        <f t="shared" si="150"/>
        <v>48.70000000000001</v>
      </c>
      <c r="AX342" s="138" t="str">
        <f t="shared" si="151"/>
        <v/>
      </c>
      <c r="AY342" s="95">
        <v>73</v>
      </c>
      <c r="AZ342" s="96"/>
      <c r="BA342" s="96"/>
      <c r="BB342" s="96"/>
      <c r="BC342" s="96"/>
      <c r="BD342" s="97">
        <v>58.99</v>
      </c>
      <c r="BE342" s="142">
        <f t="shared" si="152"/>
        <v>2760</v>
      </c>
      <c r="BF342" s="88">
        <v>1135</v>
      </c>
      <c r="BG342" s="98">
        <v>0</v>
      </c>
      <c r="BH342" s="98">
        <v>0</v>
      </c>
      <c r="BI342" s="98">
        <v>1625</v>
      </c>
      <c r="BJ342" s="98"/>
      <c r="BK342" s="98"/>
      <c r="BL342" s="97"/>
    </row>
    <row r="343" spans="1:64" outlineLevel="5" x14ac:dyDescent="0.3">
      <c r="A343" s="152">
        <f t="shared" si="136"/>
        <v>10</v>
      </c>
      <c r="B343" s="153">
        <f t="shared" si="121"/>
        <v>45216</v>
      </c>
      <c r="C343" s="138" t="str">
        <f t="shared" si="143"/>
        <v/>
      </c>
      <c r="D343" s="84"/>
      <c r="E343" s="84"/>
      <c r="F343" s="84"/>
      <c r="G343" s="84"/>
      <c r="H343" s="84"/>
      <c r="I343" s="84"/>
      <c r="J343" s="84"/>
      <c r="K343" s="84"/>
      <c r="L343" s="140" t="str">
        <f t="shared" si="144"/>
        <v/>
      </c>
      <c r="M343" s="86"/>
      <c r="N343" s="86"/>
      <c r="O343" s="86"/>
      <c r="P343" s="86"/>
      <c r="Q343" s="86"/>
      <c r="R343" s="86"/>
      <c r="S343" s="86"/>
      <c r="T343" s="86"/>
      <c r="U343" s="142" t="str">
        <f t="shared" si="145"/>
        <v/>
      </c>
      <c r="V343" s="88"/>
      <c r="W343" s="88"/>
      <c r="X343" s="88"/>
      <c r="Y343" s="88"/>
      <c r="Z343" s="88"/>
      <c r="AA343" s="88"/>
      <c r="AB343" s="88"/>
      <c r="AC343" s="88"/>
      <c r="AD343" s="142" t="str">
        <f t="shared" si="146"/>
        <v/>
      </c>
      <c r="AE343" s="88"/>
      <c r="AF343" s="88"/>
      <c r="AG343" s="88"/>
      <c r="AH343" s="88"/>
      <c r="AI343" s="88"/>
      <c r="AJ343" s="88"/>
      <c r="AK343" s="88"/>
      <c r="AL343" s="88"/>
      <c r="AM343" s="88">
        <v>65.701559020044542</v>
      </c>
      <c r="AN343" s="88">
        <v>71.84</v>
      </c>
      <c r="AO343" s="89"/>
      <c r="AP343" s="90"/>
      <c r="AQ343" s="146" t="str">
        <f t="shared" si="147"/>
        <v/>
      </c>
      <c r="AR343" s="146" t="str">
        <f t="shared" si="148"/>
        <v/>
      </c>
      <c r="AS343" s="147">
        <v>0</v>
      </c>
      <c r="AT343" s="148"/>
      <c r="AU343" s="149"/>
      <c r="AV343" s="146" t="str">
        <f t="shared" si="149"/>
        <v/>
      </c>
      <c r="AW343" s="146" t="str">
        <f t="shared" si="150"/>
        <v/>
      </c>
      <c r="AX343" s="138" t="str">
        <f t="shared" si="151"/>
        <v/>
      </c>
      <c r="AY343" s="95"/>
      <c r="AZ343" s="96"/>
      <c r="BA343" s="96"/>
      <c r="BB343" s="96"/>
      <c r="BC343" s="96"/>
      <c r="BD343" s="97">
        <v>71.84</v>
      </c>
      <c r="BE343" s="142">
        <f t="shared" si="152"/>
        <v>1940</v>
      </c>
      <c r="BF343" s="88">
        <v>1940</v>
      </c>
      <c r="BG343" s="98">
        <v>0</v>
      </c>
      <c r="BH343" s="98">
        <v>0</v>
      </c>
      <c r="BI343" s="98">
        <v>0</v>
      </c>
      <c r="BJ343" s="98"/>
      <c r="BK343" s="98"/>
      <c r="BL343" s="97"/>
    </row>
    <row r="344" spans="1:64" outlineLevel="5" x14ac:dyDescent="0.3">
      <c r="A344" s="152">
        <f t="shared" si="136"/>
        <v>10</v>
      </c>
      <c r="B344" s="153">
        <f t="shared" si="121"/>
        <v>45217</v>
      </c>
      <c r="C344" s="138">
        <f t="shared" si="143"/>
        <v>37</v>
      </c>
      <c r="D344" s="84">
        <v>37</v>
      </c>
      <c r="E344" s="84"/>
      <c r="F344" s="84"/>
      <c r="G344" s="84"/>
      <c r="H344" s="84"/>
      <c r="I344" s="84"/>
      <c r="J344" s="84"/>
      <c r="K344" s="84"/>
      <c r="L344" s="140">
        <f t="shared" si="144"/>
        <v>8.1</v>
      </c>
      <c r="M344" s="86">
        <v>8.0500000000000007</v>
      </c>
      <c r="N344" s="86"/>
      <c r="O344" s="86"/>
      <c r="P344" s="86"/>
      <c r="Q344" s="86"/>
      <c r="R344" s="86"/>
      <c r="S344" s="86"/>
      <c r="T344" s="86"/>
      <c r="U344" s="142">
        <f t="shared" si="145"/>
        <v>1352</v>
      </c>
      <c r="V344" s="88">
        <v>1352</v>
      </c>
      <c r="W344" s="88"/>
      <c r="X344" s="88"/>
      <c r="Y344" s="88"/>
      <c r="Z344" s="88"/>
      <c r="AA344" s="88"/>
      <c r="AB344" s="88"/>
      <c r="AC344" s="88"/>
      <c r="AD344" s="142" t="str">
        <f t="shared" si="146"/>
        <v/>
      </c>
      <c r="AE344" s="88"/>
      <c r="AF344" s="88"/>
      <c r="AG344" s="88"/>
      <c r="AH344" s="88"/>
      <c r="AI344" s="88"/>
      <c r="AJ344" s="88"/>
      <c r="AK344" s="88"/>
      <c r="AL344" s="88"/>
      <c r="AM344" s="88">
        <v>54.453161052145816</v>
      </c>
      <c r="AN344" s="88">
        <v>86.68</v>
      </c>
      <c r="AO344" s="89"/>
      <c r="AP344" s="90"/>
      <c r="AQ344" s="146" t="str">
        <f t="shared" si="147"/>
        <v/>
      </c>
      <c r="AR344" s="146" t="str">
        <f t="shared" si="148"/>
        <v/>
      </c>
      <c r="AS344" s="147">
        <v>20</v>
      </c>
      <c r="AT344" s="148">
        <v>13.5</v>
      </c>
      <c r="AU344" s="149">
        <v>7.1279999999999992</v>
      </c>
      <c r="AV344" s="146">
        <f t="shared" si="149"/>
        <v>52.79999999999999</v>
      </c>
      <c r="AW344" s="146">
        <f t="shared" si="150"/>
        <v>47.20000000000001</v>
      </c>
      <c r="AX344" s="138" t="str">
        <f t="shared" si="151"/>
        <v/>
      </c>
      <c r="AY344" s="95">
        <v>75.900000000000006</v>
      </c>
      <c r="AZ344" s="96"/>
      <c r="BA344" s="96"/>
      <c r="BB344" s="96"/>
      <c r="BC344" s="96"/>
      <c r="BD344" s="97">
        <v>86.68</v>
      </c>
      <c r="BE344" s="142">
        <f t="shared" si="152"/>
        <v>961</v>
      </c>
      <c r="BF344" s="88">
        <v>961</v>
      </c>
      <c r="BG344" s="98">
        <v>0</v>
      </c>
      <c r="BH344" s="98">
        <v>0</v>
      </c>
      <c r="BI344" s="98">
        <v>0</v>
      </c>
      <c r="BJ344" s="98"/>
      <c r="BK344" s="98"/>
      <c r="BL344" s="97"/>
    </row>
    <row r="345" spans="1:64" outlineLevel="5" x14ac:dyDescent="0.3">
      <c r="A345" s="152">
        <f t="shared" si="136"/>
        <v>10</v>
      </c>
      <c r="B345" s="153">
        <f t="shared" si="121"/>
        <v>45218</v>
      </c>
      <c r="C345" s="138">
        <f t="shared" si="143"/>
        <v>38</v>
      </c>
      <c r="D345" s="84">
        <v>38</v>
      </c>
      <c r="E345" s="84"/>
      <c r="F345" s="84"/>
      <c r="G345" s="84"/>
      <c r="H345" s="84"/>
      <c r="I345" s="84"/>
      <c r="J345" s="84"/>
      <c r="K345" s="84"/>
      <c r="L345" s="140">
        <f t="shared" si="144"/>
        <v>8</v>
      </c>
      <c r="M345" s="86">
        <v>8.02</v>
      </c>
      <c r="N345" s="86"/>
      <c r="O345" s="86"/>
      <c r="P345" s="86"/>
      <c r="Q345" s="86"/>
      <c r="R345" s="86"/>
      <c r="S345" s="86"/>
      <c r="T345" s="86"/>
      <c r="U345" s="142">
        <f t="shared" si="145"/>
        <v>1427</v>
      </c>
      <c r="V345" s="88">
        <v>1427</v>
      </c>
      <c r="W345" s="88"/>
      <c r="X345" s="88"/>
      <c r="Y345" s="88"/>
      <c r="Z345" s="88"/>
      <c r="AA345" s="88"/>
      <c r="AB345" s="88"/>
      <c r="AC345" s="88"/>
      <c r="AD345" s="142" t="str">
        <f t="shared" si="146"/>
        <v/>
      </c>
      <c r="AE345" s="88"/>
      <c r="AF345" s="88"/>
      <c r="AG345" s="88"/>
      <c r="AH345" s="88"/>
      <c r="AI345" s="88"/>
      <c r="AJ345" s="88"/>
      <c r="AK345" s="88"/>
      <c r="AL345" s="88"/>
      <c r="AM345" s="88">
        <v>64.008679142934639</v>
      </c>
      <c r="AN345" s="88">
        <v>73.739999999999995</v>
      </c>
      <c r="AO345" s="89"/>
      <c r="AP345" s="90"/>
      <c r="AQ345" s="146" t="str">
        <f t="shared" si="147"/>
        <v/>
      </c>
      <c r="AR345" s="146" t="str">
        <f t="shared" si="148"/>
        <v/>
      </c>
      <c r="AS345" s="147">
        <v>11</v>
      </c>
      <c r="AT345" s="148">
        <v>13.5</v>
      </c>
      <c r="AU345" s="149">
        <v>7.8435000000000006</v>
      </c>
      <c r="AV345" s="146">
        <f t="shared" si="149"/>
        <v>58.100000000000009</v>
      </c>
      <c r="AW345" s="146">
        <f t="shared" si="150"/>
        <v>41.899999999999991</v>
      </c>
      <c r="AX345" s="138" t="str">
        <f t="shared" si="151"/>
        <v/>
      </c>
      <c r="AY345" s="95">
        <v>77.900000000000006</v>
      </c>
      <c r="AZ345" s="96"/>
      <c r="BA345" s="96"/>
      <c r="BB345" s="96"/>
      <c r="BC345" s="96"/>
      <c r="BD345" s="97">
        <v>73.739999999999995</v>
      </c>
      <c r="BE345" s="142">
        <f t="shared" si="152"/>
        <v>1255</v>
      </c>
      <c r="BF345" s="88">
        <v>527</v>
      </c>
      <c r="BG345" s="98">
        <v>0</v>
      </c>
      <c r="BH345" s="98">
        <v>728</v>
      </c>
      <c r="BI345" s="98">
        <v>0</v>
      </c>
      <c r="BJ345" s="98"/>
      <c r="BK345" s="98"/>
      <c r="BL345" s="97"/>
    </row>
    <row r="346" spans="1:64" outlineLevel="5" x14ac:dyDescent="0.3">
      <c r="A346" s="152">
        <f t="shared" si="136"/>
        <v>10</v>
      </c>
      <c r="B346" s="153">
        <f t="shared" si="121"/>
        <v>45219</v>
      </c>
      <c r="C346" s="138" t="str">
        <f t="shared" si="143"/>
        <v/>
      </c>
      <c r="D346" s="84"/>
      <c r="E346" s="84"/>
      <c r="F346" s="84"/>
      <c r="G346" s="84"/>
      <c r="H346" s="84"/>
      <c r="I346" s="84"/>
      <c r="J346" s="84"/>
      <c r="K346" s="84"/>
      <c r="L346" s="140" t="str">
        <f t="shared" si="144"/>
        <v/>
      </c>
      <c r="M346" s="86"/>
      <c r="N346" s="86"/>
      <c r="O346" s="86"/>
      <c r="P346" s="86"/>
      <c r="Q346" s="86"/>
      <c r="R346" s="86"/>
      <c r="S346" s="86"/>
      <c r="T346" s="86"/>
      <c r="U346" s="142" t="str">
        <f t="shared" si="145"/>
        <v/>
      </c>
      <c r="V346" s="88"/>
      <c r="W346" s="88"/>
      <c r="X346" s="88"/>
      <c r="Y346" s="88"/>
      <c r="Z346" s="88"/>
      <c r="AA346" s="88"/>
      <c r="AB346" s="88"/>
      <c r="AC346" s="88"/>
      <c r="AD346" s="142" t="str">
        <f t="shared" si="146"/>
        <v/>
      </c>
      <c r="AE346" s="88"/>
      <c r="AF346" s="88"/>
      <c r="AG346" s="88"/>
      <c r="AH346" s="88"/>
      <c r="AI346" s="88"/>
      <c r="AJ346" s="88"/>
      <c r="AK346" s="88"/>
      <c r="AL346" s="88"/>
      <c r="AM346" s="88">
        <v>73.992788838375915</v>
      </c>
      <c r="AN346" s="88">
        <v>63.79</v>
      </c>
      <c r="AO346" s="89"/>
      <c r="AP346" s="90"/>
      <c r="AQ346" s="146" t="str">
        <f t="shared" si="147"/>
        <v/>
      </c>
      <c r="AR346" s="146" t="str">
        <f t="shared" si="148"/>
        <v/>
      </c>
      <c r="AS346" s="147">
        <v>0</v>
      </c>
      <c r="AT346" s="148"/>
      <c r="AU346" s="149"/>
      <c r="AV346" s="146" t="str">
        <f t="shared" si="149"/>
        <v/>
      </c>
      <c r="AW346" s="146" t="str">
        <f t="shared" si="150"/>
        <v/>
      </c>
      <c r="AX346" s="138" t="str">
        <f t="shared" si="151"/>
        <v/>
      </c>
      <c r="AY346" s="95"/>
      <c r="AZ346" s="96"/>
      <c r="BA346" s="96"/>
      <c r="BB346" s="96"/>
      <c r="BC346" s="96"/>
      <c r="BD346" s="97">
        <v>63.79</v>
      </c>
      <c r="BE346" s="142">
        <f t="shared" si="152"/>
        <v>1613</v>
      </c>
      <c r="BF346" s="88">
        <v>0</v>
      </c>
      <c r="BG346" s="98">
        <v>0</v>
      </c>
      <c r="BH346" s="98">
        <v>1613</v>
      </c>
      <c r="BI346" s="98">
        <v>0</v>
      </c>
      <c r="BJ346" s="98"/>
      <c r="BK346" s="98"/>
      <c r="BL346" s="97"/>
    </row>
    <row r="347" spans="1:64" outlineLevel="5" x14ac:dyDescent="0.3">
      <c r="A347" s="152">
        <f t="shared" si="136"/>
        <v>10</v>
      </c>
      <c r="B347" s="153">
        <f t="shared" si="121"/>
        <v>45220</v>
      </c>
      <c r="C347" s="138" t="str">
        <f t="shared" si="143"/>
        <v/>
      </c>
      <c r="D347" s="84"/>
      <c r="E347" s="84"/>
      <c r="F347" s="84"/>
      <c r="G347" s="84"/>
      <c r="H347" s="84"/>
      <c r="I347" s="84"/>
      <c r="J347" s="84"/>
      <c r="K347" s="84"/>
      <c r="L347" s="140" t="str">
        <f t="shared" si="144"/>
        <v/>
      </c>
      <c r="M347" s="86"/>
      <c r="N347" s="86"/>
      <c r="O347" s="86"/>
      <c r="P347" s="86"/>
      <c r="Q347" s="86"/>
      <c r="R347" s="86"/>
      <c r="S347" s="86"/>
      <c r="T347" s="86"/>
      <c r="U347" s="142" t="str">
        <f t="shared" si="145"/>
        <v/>
      </c>
      <c r="V347" s="88"/>
      <c r="W347" s="88"/>
      <c r="X347" s="88"/>
      <c r="Y347" s="88"/>
      <c r="Z347" s="88"/>
      <c r="AA347" s="88"/>
      <c r="AB347" s="88"/>
      <c r="AC347" s="88"/>
      <c r="AD347" s="142" t="str">
        <f t="shared" si="146"/>
        <v/>
      </c>
      <c r="AE347" s="88"/>
      <c r="AF347" s="88"/>
      <c r="AG347" s="88"/>
      <c r="AH347" s="88"/>
      <c r="AI347" s="88"/>
      <c r="AJ347" s="88"/>
      <c r="AK347" s="88"/>
      <c r="AL347" s="88"/>
      <c r="AM347" s="88">
        <v>72.760906428241086</v>
      </c>
      <c r="AN347" s="88">
        <v>64.87</v>
      </c>
      <c r="AO347" s="89"/>
      <c r="AP347" s="90"/>
      <c r="AQ347" s="146" t="str">
        <f t="shared" si="147"/>
        <v/>
      </c>
      <c r="AR347" s="146" t="str">
        <f t="shared" si="148"/>
        <v/>
      </c>
      <c r="AS347" s="147">
        <v>10</v>
      </c>
      <c r="AT347" s="148"/>
      <c r="AU347" s="149"/>
      <c r="AV347" s="146" t="str">
        <f t="shared" si="149"/>
        <v/>
      </c>
      <c r="AW347" s="146" t="str">
        <f t="shared" si="150"/>
        <v/>
      </c>
      <c r="AX347" s="138" t="str">
        <f t="shared" si="151"/>
        <v/>
      </c>
      <c r="AY347" s="95"/>
      <c r="AZ347" s="96"/>
      <c r="BA347" s="96"/>
      <c r="BB347" s="96"/>
      <c r="BC347" s="96"/>
      <c r="BD347" s="97">
        <v>64.87</v>
      </c>
      <c r="BE347" s="142">
        <f t="shared" si="152"/>
        <v>5112</v>
      </c>
      <c r="BF347" s="88">
        <v>0</v>
      </c>
      <c r="BG347" s="98">
        <v>0</v>
      </c>
      <c r="BH347" s="98">
        <v>5112</v>
      </c>
      <c r="BI347" s="98">
        <v>0</v>
      </c>
      <c r="BJ347" s="98"/>
      <c r="BK347" s="98"/>
      <c r="BL347" s="97"/>
    </row>
    <row r="348" spans="1:64" outlineLevel="5" x14ac:dyDescent="0.3">
      <c r="A348" s="152">
        <f t="shared" si="136"/>
        <v>10</v>
      </c>
      <c r="B348" s="153">
        <f t="shared" si="121"/>
        <v>45221</v>
      </c>
      <c r="C348" s="138" t="str">
        <f t="shared" si="143"/>
        <v/>
      </c>
      <c r="D348" s="84"/>
      <c r="E348" s="84"/>
      <c r="F348" s="84"/>
      <c r="G348" s="84"/>
      <c r="H348" s="84"/>
      <c r="I348" s="84"/>
      <c r="J348" s="84"/>
      <c r="K348" s="84"/>
      <c r="L348" s="140" t="str">
        <f t="shared" si="144"/>
        <v/>
      </c>
      <c r="M348" s="86"/>
      <c r="N348" s="86"/>
      <c r="O348" s="86"/>
      <c r="P348" s="86"/>
      <c r="Q348" s="86"/>
      <c r="R348" s="86"/>
      <c r="S348" s="86"/>
      <c r="T348" s="86"/>
      <c r="U348" s="142" t="str">
        <f t="shared" si="145"/>
        <v/>
      </c>
      <c r="V348" s="88"/>
      <c r="W348" s="88"/>
      <c r="X348" s="88"/>
      <c r="Y348" s="88"/>
      <c r="Z348" s="88"/>
      <c r="AA348" s="88"/>
      <c r="AB348" s="88"/>
      <c r="AC348" s="88"/>
      <c r="AD348" s="142" t="str">
        <f t="shared" si="146"/>
        <v/>
      </c>
      <c r="AE348" s="88"/>
      <c r="AF348" s="88"/>
      <c r="AG348" s="88"/>
      <c r="AH348" s="88"/>
      <c r="AI348" s="88"/>
      <c r="AJ348" s="88"/>
      <c r="AK348" s="88"/>
      <c r="AL348" s="88"/>
      <c r="AM348" s="88">
        <v>94.4</v>
      </c>
      <c r="AN348" s="88">
        <v>50</v>
      </c>
      <c r="AO348" s="89"/>
      <c r="AP348" s="90"/>
      <c r="AQ348" s="146" t="str">
        <f t="shared" si="147"/>
        <v/>
      </c>
      <c r="AR348" s="146" t="str">
        <f t="shared" si="148"/>
        <v/>
      </c>
      <c r="AS348" s="147">
        <v>20</v>
      </c>
      <c r="AT348" s="148"/>
      <c r="AU348" s="149"/>
      <c r="AV348" s="146" t="str">
        <f t="shared" si="149"/>
        <v/>
      </c>
      <c r="AW348" s="146" t="str">
        <f t="shared" si="150"/>
        <v/>
      </c>
      <c r="AX348" s="138" t="str">
        <f t="shared" si="151"/>
        <v/>
      </c>
      <c r="AY348" s="95"/>
      <c r="AZ348" s="96"/>
      <c r="BA348" s="96"/>
      <c r="BB348" s="96"/>
      <c r="BC348" s="96"/>
      <c r="BD348" s="97">
        <v>50</v>
      </c>
      <c r="BE348" s="142">
        <f t="shared" si="152"/>
        <v>2725</v>
      </c>
      <c r="BF348" s="88">
        <v>0</v>
      </c>
      <c r="BG348" s="98">
        <v>0</v>
      </c>
      <c r="BH348" s="98">
        <v>2725</v>
      </c>
      <c r="BI348" s="98">
        <v>0</v>
      </c>
      <c r="BJ348" s="98"/>
      <c r="BK348" s="98"/>
      <c r="BL348" s="97"/>
    </row>
    <row r="349" spans="1:64" outlineLevel="5" x14ac:dyDescent="0.3">
      <c r="A349" s="152">
        <f t="shared" si="136"/>
        <v>10</v>
      </c>
      <c r="B349" s="153">
        <f t="shared" si="121"/>
        <v>45222</v>
      </c>
      <c r="C349" s="138">
        <f t="shared" si="143"/>
        <v>37</v>
      </c>
      <c r="D349" s="84">
        <v>37</v>
      </c>
      <c r="E349" s="84"/>
      <c r="F349" s="84"/>
      <c r="G349" s="84"/>
      <c r="H349" s="84"/>
      <c r="I349" s="84"/>
      <c r="J349" s="84"/>
      <c r="K349" s="84"/>
      <c r="L349" s="140">
        <f t="shared" si="144"/>
        <v>8.1</v>
      </c>
      <c r="M349" s="86">
        <v>8.11</v>
      </c>
      <c r="N349" s="86"/>
      <c r="O349" s="86"/>
      <c r="P349" s="86"/>
      <c r="Q349" s="86"/>
      <c r="R349" s="86"/>
      <c r="S349" s="86"/>
      <c r="T349" s="86"/>
      <c r="U349" s="142">
        <f t="shared" si="145"/>
        <v>1665</v>
      </c>
      <c r="V349" s="88">
        <v>1665</v>
      </c>
      <c r="W349" s="88"/>
      <c r="X349" s="88"/>
      <c r="Y349" s="88"/>
      <c r="Z349" s="88"/>
      <c r="AA349" s="88"/>
      <c r="AB349" s="88"/>
      <c r="AC349" s="88"/>
      <c r="AD349" s="142" t="str">
        <f t="shared" si="146"/>
        <v/>
      </c>
      <c r="AE349" s="88"/>
      <c r="AF349" s="88"/>
      <c r="AG349" s="88"/>
      <c r="AH349" s="88"/>
      <c r="AI349" s="88"/>
      <c r="AJ349" s="88"/>
      <c r="AK349" s="88"/>
      <c r="AL349" s="88"/>
      <c r="AM349" s="88">
        <v>78.314252530280413</v>
      </c>
      <c r="AN349" s="88">
        <v>60.269999999999996</v>
      </c>
      <c r="AO349" s="89">
        <v>20.399999999999999</v>
      </c>
      <c r="AP349" s="90">
        <v>16.6464</v>
      </c>
      <c r="AQ349" s="146">
        <f t="shared" si="147"/>
        <v>81.600000000000009</v>
      </c>
      <c r="AR349" s="146">
        <f t="shared" si="148"/>
        <v>18.399999999999991</v>
      </c>
      <c r="AS349" s="147">
        <v>0</v>
      </c>
      <c r="AT349" s="148">
        <v>13.9</v>
      </c>
      <c r="AU349" s="149">
        <v>8.0063999999999993</v>
      </c>
      <c r="AV349" s="146">
        <f t="shared" si="149"/>
        <v>57.599999999999994</v>
      </c>
      <c r="AW349" s="146">
        <f t="shared" si="150"/>
        <v>42.400000000000006</v>
      </c>
      <c r="AX349" s="138">
        <f t="shared" si="151"/>
        <v>69.367369589345202</v>
      </c>
      <c r="AY349" s="95">
        <v>77.5</v>
      </c>
      <c r="AZ349" s="96"/>
      <c r="BA349" s="96"/>
      <c r="BB349" s="96"/>
      <c r="BC349" s="96"/>
      <c r="BD349" s="97">
        <v>60.269999999999996</v>
      </c>
      <c r="BE349" s="142">
        <f t="shared" si="152"/>
        <v>3480</v>
      </c>
      <c r="BF349" s="88">
        <v>579</v>
      </c>
      <c r="BG349" s="98">
        <v>0</v>
      </c>
      <c r="BH349" s="98">
        <v>1844</v>
      </c>
      <c r="BI349" s="98">
        <v>1057</v>
      </c>
      <c r="BJ349" s="98"/>
      <c r="BK349" s="98"/>
      <c r="BL349" s="97"/>
    </row>
    <row r="350" spans="1:64" outlineLevel="5" x14ac:dyDescent="0.3">
      <c r="A350" s="152">
        <f t="shared" si="136"/>
        <v>10</v>
      </c>
      <c r="B350" s="153">
        <f t="shared" si="121"/>
        <v>45223</v>
      </c>
      <c r="C350" s="138" t="str">
        <f t="shared" si="143"/>
        <v/>
      </c>
      <c r="D350" s="84"/>
      <c r="E350" s="84"/>
      <c r="F350" s="84"/>
      <c r="G350" s="84"/>
      <c r="H350" s="84"/>
      <c r="I350" s="84"/>
      <c r="J350" s="84"/>
      <c r="K350" s="84"/>
      <c r="L350" s="140" t="str">
        <f t="shared" si="144"/>
        <v/>
      </c>
      <c r="M350" s="86"/>
      <c r="N350" s="86"/>
      <c r="O350" s="86"/>
      <c r="P350" s="86"/>
      <c r="Q350" s="86"/>
      <c r="R350" s="86"/>
      <c r="S350" s="86"/>
      <c r="T350" s="86"/>
      <c r="U350" s="142" t="str">
        <f t="shared" si="145"/>
        <v/>
      </c>
      <c r="V350" s="88"/>
      <c r="W350" s="88"/>
      <c r="X350" s="88"/>
      <c r="Y350" s="88"/>
      <c r="Z350" s="88"/>
      <c r="AA350" s="88"/>
      <c r="AB350" s="88"/>
      <c r="AC350" s="88"/>
      <c r="AD350" s="142" t="str">
        <f t="shared" si="146"/>
        <v/>
      </c>
      <c r="AE350" s="88"/>
      <c r="AF350" s="88"/>
      <c r="AG350" s="88"/>
      <c r="AH350" s="88"/>
      <c r="AI350" s="88"/>
      <c r="AJ350" s="88"/>
      <c r="AK350" s="88"/>
      <c r="AL350" s="88"/>
      <c r="AM350" s="88">
        <v>82.215641874237946</v>
      </c>
      <c r="AN350" s="88">
        <v>57.41</v>
      </c>
      <c r="AO350" s="89"/>
      <c r="AP350" s="90"/>
      <c r="AQ350" s="146" t="str">
        <f t="shared" si="147"/>
        <v/>
      </c>
      <c r="AR350" s="146" t="str">
        <f t="shared" si="148"/>
        <v/>
      </c>
      <c r="AS350" s="147">
        <v>4</v>
      </c>
      <c r="AT350" s="148"/>
      <c r="AU350" s="149"/>
      <c r="AV350" s="146" t="str">
        <f t="shared" si="149"/>
        <v/>
      </c>
      <c r="AW350" s="146" t="str">
        <f t="shared" si="150"/>
        <v/>
      </c>
      <c r="AX350" s="138" t="str">
        <f t="shared" si="151"/>
        <v/>
      </c>
      <c r="AY350" s="95"/>
      <c r="AZ350" s="96"/>
      <c r="BA350" s="96"/>
      <c r="BB350" s="96"/>
      <c r="BC350" s="96"/>
      <c r="BD350" s="97">
        <v>57.41</v>
      </c>
      <c r="BE350" s="142">
        <f t="shared" si="152"/>
        <v>5981</v>
      </c>
      <c r="BF350" s="88">
        <v>677</v>
      </c>
      <c r="BG350" s="98">
        <v>0</v>
      </c>
      <c r="BH350" s="98">
        <v>0</v>
      </c>
      <c r="BI350" s="98">
        <v>5304</v>
      </c>
      <c r="BJ350" s="98"/>
      <c r="BK350" s="98"/>
      <c r="BL350" s="97"/>
    </row>
    <row r="351" spans="1:64" outlineLevel="5" x14ac:dyDescent="0.3">
      <c r="A351" s="152">
        <f t="shared" si="136"/>
        <v>10</v>
      </c>
      <c r="B351" s="153">
        <f t="shared" si="121"/>
        <v>45224</v>
      </c>
      <c r="C351" s="138" t="str">
        <f t="shared" si="143"/>
        <v/>
      </c>
      <c r="D351" s="84"/>
      <c r="E351" s="84"/>
      <c r="F351" s="84"/>
      <c r="G351" s="84"/>
      <c r="H351" s="84"/>
      <c r="I351" s="84"/>
      <c r="J351" s="84"/>
      <c r="K351" s="84"/>
      <c r="L351" s="140">
        <f t="shared" si="144"/>
        <v>8.1</v>
      </c>
      <c r="M351" s="86"/>
      <c r="N351" s="86">
        <v>8.08</v>
      </c>
      <c r="O351" s="86"/>
      <c r="P351" s="86"/>
      <c r="Q351" s="86"/>
      <c r="R351" s="86"/>
      <c r="S351" s="86"/>
      <c r="T351" s="86"/>
      <c r="U351" s="142">
        <f t="shared" si="145"/>
        <v>962</v>
      </c>
      <c r="V351" s="88"/>
      <c r="W351" s="88">
        <v>962</v>
      </c>
      <c r="X351" s="88"/>
      <c r="Y351" s="88"/>
      <c r="Z351" s="88"/>
      <c r="AA351" s="88"/>
      <c r="AB351" s="88"/>
      <c r="AC351" s="88"/>
      <c r="AD351" s="142" t="str">
        <f t="shared" si="146"/>
        <v/>
      </c>
      <c r="AE351" s="88"/>
      <c r="AF351" s="88"/>
      <c r="AG351" s="88"/>
      <c r="AH351" s="88"/>
      <c r="AI351" s="88"/>
      <c r="AJ351" s="88"/>
      <c r="AK351" s="88"/>
      <c r="AL351" s="88"/>
      <c r="AM351" s="88">
        <v>78.53577371048253</v>
      </c>
      <c r="AN351" s="88">
        <v>60.1</v>
      </c>
      <c r="AO351" s="89"/>
      <c r="AP351" s="90"/>
      <c r="AQ351" s="146" t="str">
        <f t="shared" si="147"/>
        <v/>
      </c>
      <c r="AR351" s="146" t="str">
        <f t="shared" si="148"/>
        <v/>
      </c>
      <c r="AS351" s="147">
        <v>1</v>
      </c>
      <c r="AT351" s="148">
        <v>15.8</v>
      </c>
      <c r="AU351" s="149">
        <v>7.9158000000000008</v>
      </c>
      <c r="AV351" s="146">
        <f t="shared" si="149"/>
        <v>50.1</v>
      </c>
      <c r="AW351" s="146">
        <f t="shared" si="150"/>
        <v>49.9</v>
      </c>
      <c r="AX351" s="138" t="str">
        <f t="shared" si="151"/>
        <v/>
      </c>
      <c r="AY351" s="95">
        <v>73.400000000000006</v>
      </c>
      <c r="AZ351" s="96"/>
      <c r="BA351" s="96"/>
      <c r="BB351" s="96"/>
      <c r="BC351" s="96"/>
      <c r="BD351" s="97">
        <v>60.1</v>
      </c>
      <c r="BE351" s="142">
        <f t="shared" si="152"/>
        <v>6306</v>
      </c>
      <c r="BF351" s="88">
        <v>0</v>
      </c>
      <c r="BG351" s="98">
        <v>0</v>
      </c>
      <c r="BH351" s="98">
        <v>1</v>
      </c>
      <c r="BI351" s="98">
        <v>6305</v>
      </c>
      <c r="BJ351" s="98"/>
      <c r="BK351" s="98"/>
      <c r="BL351" s="97"/>
    </row>
    <row r="352" spans="1:64" outlineLevel="5" x14ac:dyDescent="0.3">
      <c r="A352" s="152">
        <f t="shared" si="136"/>
        <v>10</v>
      </c>
      <c r="B352" s="153">
        <f t="shared" ref="B352:B415" si="153">B351+1</f>
        <v>45225</v>
      </c>
      <c r="C352" s="138">
        <f t="shared" si="143"/>
        <v>37</v>
      </c>
      <c r="D352" s="84"/>
      <c r="E352" s="84">
        <v>37</v>
      </c>
      <c r="F352" s="84"/>
      <c r="G352" s="84"/>
      <c r="H352" s="84"/>
      <c r="I352" s="84"/>
      <c r="J352" s="84"/>
      <c r="K352" s="84"/>
      <c r="L352" s="140">
        <f t="shared" si="144"/>
        <v>8.1</v>
      </c>
      <c r="M352" s="86"/>
      <c r="N352" s="86">
        <v>8.0500000000000007</v>
      </c>
      <c r="O352" s="86"/>
      <c r="P352" s="86"/>
      <c r="Q352" s="86"/>
      <c r="R352" s="86"/>
      <c r="S352" s="86"/>
      <c r="T352" s="86"/>
      <c r="U352" s="142">
        <f t="shared" si="145"/>
        <v>1092</v>
      </c>
      <c r="V352" s="88"/>
      <c r="W352" s="88">
        <v>1092</v>
      </c>
      <c r="X352" s="88"/>
      <c r="Y352" s="88"/>
      <c r="Z352" s="88"/>
      <c r="AA352" s="88"/>
      <c r="AB352" s="88"/>
      <c r="AC352" s="88"/>
      <c r="AD352" s="142" t="str">
        <f t="shared" si="146"/>
        <v/>
      </c>
      <c r="AE352" s="88"/>
      <c r="AF352" s="88"/>
      <c r="AG352" s="88"/>
      <c r="AH352" s="88"/>
      <c r="AI352" s="88"/>
      <c r="AJ352" s="88"/>
      <c r="AK352" s="88"/>
      <c r="AL352" s="88"/>
      <c r="AM352" s="88">
        <v>74.190506130147753</v>
      </c>
      <c r="AN352" s="88">
        <v>63.62</v>
      </c>
      <c r="AO352" s="89"/>
      <c r="AP352" s="90"/>
      <c r="AQ352" s="146" t="str">
        <f t="shared" si="147"/>
        <v/>
      </c>
      <c r="AR352" s="146" t="str">
        <f t="shared" si="148"/>
        <v/>
      </c>
      <c r="AS352" s="147">
        <v>20</v>
      </c>
      <c r="AT352" s="148">
        <v>14.7</v>
      </c>
      <c r="AU352" s="149">
        <v>8.4525000000000006</v>
      </c>
      <c r="AV352" s="146">
        <f t="shared" si="149"/>
        <v>57.500000000000007</v>
      </c>
      <c r="AW352" s="146">
        <f t="shared" si="150"/>
        <v>42.499999999999993</v>
      </c>
      <c r="AX352" s="138" t="str">
        <f t="shared" si="151"/>
        <v/>
      </c>
      <c r="AY352" s="95">
        <v>76.400000000000006</v>
      </c>
      <c r="AZ352" s="96"/>
      <c r="BA352" s="96"/>
      <c r="BB352" s="96"/>
      <c r="BC352" s="96"/>
      <c r="BD352" s="97">
        <v>63.62</v>
      </c>
      <c r="BE352" s="142">
        <f t="shared" si="152"/>
        <v>6112</v>
      </c>
      <c r="BF352" s="88">
        <v>0</v>
      </c>
      <c r="BG352" s="98">
        <v>0</v>
      </c>
      <c r="BH352" s="98">
        <v>0</v>
      </c>
      <c r="BI352" s="98">
        <v>6112</v>
      </c>
      <c r="BJ352" s="98"/>
      <c r="BK352" s="98"/>
      <c r="BL352" s="97"/>
    </row>
    <row r="353" spans="1:64" outlineLevel="5" x14ac:dyDescent="0.3">
      <c r="A353" s="152">
        <f t="shared" si="136"/>
        <v>10</v>
      </c>
      <c r="B353" s="153">
        <f t="shared" si="153"/>
        <v>45226</v>
      </c>
      <c r="C353" s="138">
        <f t="shared" si="143"/>
        <v>37</v>
      </c>
      <c r="D353" s="84"/>
      <c r="E353" s="84">
        <v>37</v>
      </c>
      <c r="F353" s="84"/>
      <c r="G353" s="84"/>
      <c r="H353" s="84"/>
      <c r="I353" s="84"/>
      <c r="J353" s="84"/>
      <c r="K353" s="84"/>
      <c r="L353" s="140" t="str">
        <f t="shared" si="144"/>
        <v/>
      </c>
      <c r="M353" s="86"/>
      <c r="N353" s="86"/>
      <c r="O353" s="86"/>
      <c r="P353" s="86"/>
      <c r="Q353" s="86"/>
      <c r="R353" s="86"/>
      <c r="S353" s="86"/>
      <c r="T353" s="86"/>
      <c r="U353" s="142" t="str">
        <f t="shared" si="145"/>
        <v/>
      </c>
      <c r="V353" s="88"/>
      <c r="W353" s="88"/>
      <c r="X353" s="88"/>
      <c r="Y353" s="88"/>
      <c r="Z353" s="88"/>
      <c r="AA353" s="88"/>
      <c r="AB353" s="88"/>
      <c r="AC353" s="88"/>
      <c r="AD353" s="142" t="str">
        <f t="shared" si="146"/>
        <v/>
      </c>
      <c r="AE353" s="88"/>
      <c r="AF353" s="88"/>
      <c r="AG353" s="88"/>
      <c r="AH353" s="88"/>
      <c r="AI353" s="88"/>
      <c r="AJ353" s="88"/>
      <c r="AK353" s="88"/>
      <c r="AL353" s="88"/>
      <c r="AM353" s="88">
        <v>67.074037231774895</v>
      </c>
      <c r="AN353" s="88">
        <v>70.37</v>
      </c>
      <c r="AO353" s="89"/>
      <c r="AP353" s="90"/>
      <c r="AQ353" s="146" t="str">
        <f t="shared" si="147"/>
        <v/>
      </c>
      <c r="AR353" s="146" t="str">
        <f t="shared" si="148"/>
        <v/>
      </c>
      <c r="AS353" s="147">
        <v>20</v>
      </c>
      <c r="AT353" s="148"/>
      <c r="AU353" s="149"/>
      <c r="AV353" s="146" t="str">
        <f t="shared" si="149"/>
        <v/>
      </c>
      <c r="AW353" s="146" t="str">
        <f t="shared" si="150"/>
        <v/>
      </c>
      <c r="AX353" s="138" t="str">
        <f t="shared" si="151"/>
        <v/>
      </c>
      <c r="AY353" s="95"/>
      <c r="AZ353" s="96"/>
      <c r="BA353" s="96"/>
      <c r="BB353" s="96"/>
      <c r="BC353" s="96"/>
      <c r="BD353" s="97">
        <v>70.37</v>
      </c>
      <c r="BE353" s="142">
        <f t="shared" si="152"/>
        <v>5729</v>
      </c>
      <c r="BF353" s="88">
        <v>0</v>
      </c>
      <c r="BG353" s="98">
        <v>0</v>
      </c>
      <c r="BH353" s="98">
        <v>0</v>
      </c>
      <c r="BI353" s="98">
        <v>5729</v>
      </c>
      <c r="BJ353" s="98"/>
      <c r="BK353" s="98"/>
      <c r="BL353" s="97"/>
    </row>
    <row r="354" spans="1:64" outlineLevel="5" x14ac:dyDescent="0.3">
      <c r="A354" s="152">
        <f t="shared" si="136"/>
        <v>10</v>
      </c>
      <c r="B354" s="153">
        <f t="shared" si="153"/>
        <v>45227</v>
      </c>
      <c r="C354" s="138" t="str">
        <f t="shared" si="143"/>
        <v/>
      </c>
      <c r="D354" s="84"/>
      <c r="E354" s="84"/>
      <c r="F354" s="84"/>
      <c r="G354" s="84"/>
      <c r="H354" s="84"/>
      <c r="I354" s="84"/>
      <c r="J354" s="84"/>
      <c r="K354" s="84"/>
      <c r="L354" s="140" t="str">
        <f t="shared" si="144"/>
        <v/>
      </c>
      <c r="M354" s="86"/>
      <c r="N354" s="86"/>
      <c r="O354" s="86"/>
      <c r="P354" s="86"/>
      <c r="Q354" s="86"/>
      <c r="R354" s="86"/>
      <c r="S354" s="86"/>
      <c r="T354" s="86"/>
      <c r="U354" s="142" t="str">
        <f t="shared" si="145"/>
        <v/>
      </c>
      <c r="V354" s="88"/>
      <c r="W354" s="88"/>
      <c r="X354" s="88"/>
      <c r="Y354" s="88"/>
      <c r="Z354" s="88"/>
      <c r="AA354" s="88"/>
      <c r="AB354" s="88"/>
      <c r="AC354" s="88"/>
      <c r="AD354" s="142" t="str">
        <f t="shared" si="146"/>
        <v/>
      </c>
      <c r="AE354" s="88"/>
      <c r="AF354" s="88"/>
      <c r="AG354" s="88"/>
      <c r="AH354" s="88"/>
      <c r="AI354" s="88"/>
      <c r="AJ354" s="88"/>
      <c r="AK354" s="88"/>
      <c r="AL354" s="88"/>
      <c r="AM354" s="88">
        <v>95.798660442459905</v>
      </c>
      <c r="AN354" s="88">
        <v>49.27</v>
      </c>
      <c r="AO354" s="89"/>
      <c r="AP354" s="90"/>
      <c r="AQ354" s="146" t="str">
        <f t="shared" si="147"/>
        <v/>
      </c>
      <c r="AR354" s="146" t="str">
        <f t="shared" si="148"/>
        <v/>
      </c>
      <c r="AS354" s="147">
        <v>0</v>
      </c>
      <c r="AT354" s="148"/>
      <c r="AU354" s="149"/>
      <c r="AV354" s="146" t="str">
        <f t="shared" si="149"/>
        <v/>
      </c>
      <c r="AW354" s="146" t="str">
        <f t="shared" si="150"/>
        <v/>
      </c>
      <c r="AX354" s="138" t="str">
        <f t="shared" si="151"/>
        <v/>
      </c>
      <c r="AY354" s="95"/>
      <c r="AZ354" s="96"/>
      <c r="BA354" s="96"/>
      <c r="BB354" s="96"/>
      <c r="BC354" s="96"/>
      <c r="BD354" s="97">
        <v>49.27</v>
      </c>
      <c r="BE354" s="142">
        <f t="shared" si="152"/>
        <v>6479</v>
      </c>
      <c r="BF354" s="88">
        <v>747</v>
      </c>
      <c r="BG354" s="98">
        <v>0</v>
      </c>
      <c r="BH354" s="98">
        <v>0</v>
      </c>
      <c r="BI354" s="98">
        <v>5732</v>
      </c>
      <c r="BJ354" s="98"/>
      <c r="BK354" s="98"/>
      <c r="BL354" s="97"/>
    </row>
    <row r="355" spans="1:64" outlineLevel="5" x14ac:dyDescent="0.3">
      <c r="A355" s="152">
        <f t="shared" si="136"/>
        <v>10</v>
      </c>
      <c r="B355" s="153">
        <f t="shared" si="153"/>
        <v>45228</v>
      </c>
      <c r="C355" s="138" t="str">
        <f t="shared" si="143"/>
        <v/>
      </c>
      <c r="D355" s="84"/>
      <c r="E355" s="84"/>
      <c r="F355" s="84"/>
      <c r="G355" s="84"/>
      <c r="H355" s="84"/>
      <c r="I355" s="84"/>
      <c r="J355" s="84"/>
      <c r="K355" s="84"/>
      <c r="L355" s="140" t="str">
        <f t="shared" si="144"/>
        <v/>
      </c>
      <c r="M355" s="86"/>
      <c r="N355" s="86"/>
      <c r="O355" s="86"/>
      <c r="P355" s="86"/>
      <c r="Q355" s="86"/>
      <c r="R355" s="86"/>
      <c r="S355" s="86"/>
      <c r="T355" s="86"/>
      <c r="U355" s="142" t="str">
        <f t="shared" si="145"/>
        <v/>
      </c>
      <c r="V355" s="88"/>
      <c r="W355" s="88"/>
      <c r="X355" s="88"/>
      <c r="Y355" s="88"/>
      <c r="Z355" s="88"/>
      <c r="AA355" s="88"/>
      <c r="AB355" s="88"/>
      <c r="AC355" s="88"/>
      <c r="AD355" s="142" t="str">
        <f t="shared" si="146"/>
        <v/>
      </c>
      <c r="AE355" s="88"/>
      <c r="AF355" s="88"/>
      <c r="AG355" s="88"/>
      <c r="AH355" s="88"/>
      <c r="AI355" s="88"/>
      <c r="AJ355" s="88"/>
      <c r="AK355" s="88"/>
      <c r="AL355" s="88"/>
      <c r="AM355" s="88">
        <v>118</v>
      </c>
      <c r="AN355" s="88">
        <v>40</v>
      </c>
      <c r="AO355" s="89"/>
      <c r="AP355" s="90"/>
      <c r="AQ355" s="146" t="str">
        <f t="shared" si="147"/>
        <v/>
      </c>
      <c r="AR355" s="146" t="str">
        <f t="shared" si="148"/>
        <v/>
      </c>
      <c r="AS355" s="147">
        <v>0</v>
      </c>
      <c r="AT355" s="148"/>
      <c r="AU355" s="149"/>
      <c r="AV355" s="146" t="str">
        <f t="shared" si="149"/>
        <v/>
      </c>
      <c r="AW355" s="146" t="str">
        <f t="shared" si="150"/>
        <v/>
      </c>
      <c r="AX355" s="138" t="str">
        <f t="shared" si="151"/>
        <v/>
      </c>
      <c r="AY355" s="95"/>
      <c r="AZ355" s="96"/>
      <c r="BA355" s="96"/>
      <c r="BB355" s="96"/>
      <c r="BC355" s="96"/>
      <c r="BD355" s="97">
        <v>40</v>
      </c>
      <c r="BE355" s="142">
        <f t="shared" si="152"/>
        <v>6065</v>
      </c>
      <c r="BF355" s="88">
        <v>563</v>
      </c>
      <c r="BG355" s="98">
        <v>0</v>
      </c>
      <c r="BH355" s="98">
        <v>0</v>
      </c>
      <c r="BI355" s="98">
        <v>5502</v>
      </c>
      <c r="BJ355" s="98"/>
      <c r="BK355" s="98"/>
      <c r="BL355" s="97"/>
    </row>
    <row r="356" spans="1:64" outlineLevel="5" x14ac:dyDescent="0.3">
      <c r="A356" s="152">
        <f t="shared" si="136"/>
        <v>10</v>
      </c>
      <c r="B356" s="153">
        <f t="shared" si="153"/>
        <v>45229</v>
      </c>
      <c r="C356" s="138">
        <f t="shared" si="143"/>
        <v>37</v>
      </c>
      <c r="D356" s="84"/>
      <c r="E356" s="84">
        <v>37</v>
      </c>
      <c r="F356" s="84"/>
      <c r="G356" s="84"/>
      <c r="H356" s="84"/>
      <c r="I356" s="84"/>
      <c r="J356" s="84"/>
      <c r="K356" s="84"/>
      <c r="L356" s="140">
        <f t="shared" si="144"/>
        <v>8.1</v>
      </c>
      <c r="M356" s="86"/>
      <c r="N356" s="86">
        <v>8.08</v>
      </c>
      <c r="O356" s="86"/>
      <c r="P356" s="86"/>
      <c r="Q356" s="86"/>
      <c r="R356" s="86"/>
      <c r="S356" s="86"/>
      <c r="T356" s="86"/>
      <c r="U356" s="142">
        <f t="shared" si="145"/>
        <v>1113.7</v>
      </c>
      <c r="V356" s="88"/>
      <c r="W356" s="88">
        <v>1113.7</v>
      </c>
      <c r="X356" s="88"/>
      <c r="Y356" s="88"/>
      <c r="Z356" s="88"/>
      <c r="AA356" s="88"/>
      <c r="AB356" s="88"/>
      <c r="AC356" s="88"/>
      <c r="AD356" s="142" t="str">
        <f t="shared" si="146"/>
        <v/>
      </c>
      <c r="AE356" s="88"/>
      <c r="AF356" s="88"/>
      <c r="AG356" s="88"/>
      <c r="AH356" s="88"/>
      <c r="AI356" s="88"/>
      <c r="AJ356" s="88"/>
      <c r="AK356" s="88"/>
      <c r="AL356" s="88"/>
      <c r="AM356" s="88">
        <v>78.197481776010605</v>
      </c>
      <c r="AN356" s="88">
        <v>60.36</v>
      </c>
      <c r="AO356" s="89">
        <v>20.8</v>
      </c>
      <c r="AP356" s="90">
        <v>18.0336</v>
      </c>
      <c r="AQ356" s="146">
        <f t="shared" si="147"/>
        <v>86.7</v>
      </c>
      <c r="AR356" s="146">
        <f t="shared" si="148"/>
        <v>13.299999999999997</v>
      </c>
      <c r="AS356" s="147">
        <v>30</v>
      </c>
      <c r="AT356" s="148">
        <v>16.5</v>
      </c>
      <c r="AU356" s="149">
        <v>9.636000000000001</v>
      </c>
      <c r="AV356" s="146">
        <f t="shared" si="149"/>
        <v>58.400000000000006</v>
      </c>
      <c r="AW356" s="146">
        <f t="shared" si="150"/>
        <v>41.599999999999994</v>
      </c>
      <c r="AX356" s="138">
        <f t="shared" si="151"/>
        <v>78.464643776062459</v>
      </c>
      <c r="AY356" s="95">
        <v>76.900000000000006</v>
      </c>
      <c r="AZ356" s="96">
        <v>63.86</v>
      </c>
      <c r="BA356" s="96"/>
      <c r="BB356" s="96">
        <v>66</v>
      </c>
      <c r="BC356" s="96"/>
      <c r="BD356" s="97">
        <v>60.36</v>
      </c>
      <c r="BE356" s="142">
        <f t="shared" si="152"/>
        <v>6336</v>
      </c>
      <c r="BF356" s="88">
        <v>927</v>
      </c>
      <c r="BG356" s="98">
        <v>0</v>
      </c>
      <c r="BH356" s="98">
        <v>0</v>
      </c>
      <c r="BI356" s="98">
        <v>5409</v>
      </c>
      <c r="BJ356" s="98"/>
      <c r="BK356" s="98"/>
      <c r="BL356" s="97"/>
    </row>
    <row r="357" spans="1:64" ht="17.25" outlineLevel="5" thickBot="1" x14ac:dyDescent="0.35">
      <c r="A357" s="154">
        <f t="shared" si="136"/>
        <v>10</v>
      </c>
      <c r="B357" s="155">
        <f t="shared" si="153"/>
        <v>45230</v>
      </c>
      <c r="C357" s="138" t="str">
        <f t="shared" si="143"/>
        <v/>
      </c>
      <c r="D357" s="84"/>
      <c r="E357" s="84"/>
      <c r="F357" s="84"/>
      <c r="G357" s="84"/>
      <c r="H357" s="84"/>
      <c r="I357" s="84"/>
      <c r="J357" s="84"/>
      <c r="K357" s="84"/>
      <c r="L357" s="140" t="str">
        <f t="shared" si="144"/>
        <v/>
      </c>
      <c r="M357" s="86"/>
      <c r="N357" s="86"/>
      <c r="O357" s="86"/>
      <c r="P357" s="86"/>
      <c r="Q357" s="86"/>
      <c r="R357" s="86"/>
      <c r="S357" s="86"/>
      <c r="T357" s="86"/>
      <c r="U357" s="142" t="str">
        <f t="shared" si="145"/>
        <v/>
      </c>
      <c r="V357" s="88"/>
      <c r="W357" s="88"/>
      <c r="X357" s="88"/>
      <c r="Y357" s="88"/>
      <c r="Z357" s="88"/>
      <c r="AA357" s="88"/>
      <c r="AB357" s="88"/>
      <c r="AC357" s="88"/>
      <c r="AD357" s="142" t="str">
        <f t="shared" si="146"/>
        <v/>
      </c>
      <c r="AE357" s="88"/>
      <c r="AF357" s="88"/>
      <c r="AG357" s="88"/>
      <c r="AH357" s="88"/>
      <c r="AI357" s="88"/>
      <c r="AJ357" s="88"/>
      <c r="AK357" s="88"/>
      <c r="AL357" s="88"/>
      <c r="AM357" s="88">
        <v>78.444407512049196</v>
      </c>
      <c r="AN357" s="88">
        <v>60.17</v>
      </c>
      <c r="AO357" s="89"/>
      <c r="AP357" s="90"/>
      <c r="AQ357" s="146" t="str">
        <f t="shared" si="147"/>
        <v/>
      </c>
      <c r="AR357" s="146" t="str">
        <f t="shared" si="148"/>
        <v/>
      </c>
      <c r="AS357" s="147">
        <v>0</v>
      </c>
      <c r="AT357" s="148"/>
      <c r="AU357" s="149"/>
      <c r="AV357" s="146" t="str">
        <f t="shared" si="149"/>
        <v/>
      </c>
      <c r="AW357" s="146" t="str">
        <f t="shared" si="150"/>
        <v/>
      </c>
      <c r="AX357" s="138" t="str">
        <f t="shared" si="151"/>
        <v/>
      </c>
      <c r="AY357" s="95"/>
      <c r="AZ357" s="96"/>
      <c r="BA357" s="96"/>
      <c r="BB357" s="96"/>
      <c r="BC357" s="96"/>
      <c r="BD357" s="97">
        <v>60.17</v>
      </c>
      <c r="BE357" s="142">
        <f t="shared" si="152"/>
        <v>6144</v>
      </c>
      <c r="BF357" s="88">
        <v>452</v>
      </c>
      <c r="BG357" s="98">
        <v>0</v>
      </c>
      <c r="BH357" s="98">
        <v>0</v>
      </c>
      <c r="BI357" s="98">
        <v>5692</v>
      </c>
      <c r="BJ357" s="98"/>
      <c r="BK357" s="98"/>
      <c r="BL357" s="97"/>
    </row>
    <row r="358" spans="1:64" outlineLevel="4" x14ac:dyDescent="0.3">
      <c r="A358" s="63" t="s">
        <v>93</v>
      </c>
      <c r="B358" s="64"/>
      <c r="C358" s="65">
        <f t="shared" ref="C358:BL358" si="154">SUBTOTAL(4,C327:C357)</f>
        <v>38</v>
      </c>
      <c r="D358" s="66">
        <f t="shared" si="154"/>
        <v>38</v>
      </c>
      <c r="E358" s="66">
        <f t="shared" si="154"/>
        <v>38</v>
      </c>
      <c r="F358" s="66">
        <f t="shared" si="154"/>
        <v>0</v>
      </c>
      <c r="G358" s="66">
        <f t="shared" si="154"/>
        <v>0</v>
      </c>
      <c r="H358" s="66">
        <f t="shared" si="154"/>
        <v>0</v>
      </c>
      <c r="I358" s="66">
        <f t="shared" si="154"/>
        <v>0</v>
      </c>
      <c r="J358" s="66">
        <f t="shared" si="154"/>
        <v>0</v>
      </c>
      <c r="K358" s="66">
        <f t="shared" si="154"/>
        <v>0</v>
      </c>
      <c r="L358" s="67">
        <f t="shared" si="154"/>
        <v>8.1</v>
      </c>
      <c r="M358" s="68">
        <f t="shared" si="154"/>
        <v>8.11</v>
      </c>
      <c r="N358" s="68">
        <f t="shared" si="154"/>
        <v>8.08</v>
      </c>
      <c r="O358" s="68">
        <f t="shared" si="154"/>
        <v>0</v>
      </c>
      <c r="P358" s="68">
        <f t="shared" si="154"/>
        <v>0</v>
      </c>
      <c r="Q358" s="68">
        <f t="shared" si="154"/>
        <v>0</v>
      </c>
      <c r="R358" s="68">
        <f t="shared" si="154"/>
        <v>0</v>
      </c>
      <c r="S358" s="68">
        <f t="shared" si="154"/>
        <v>0</v>
      </c>
      <c r="T358" s="68">
        <f t="shared" si="154"/>
        <v>0</v>
      </c>
      <c r="U358" s="69">
        <f t="shared" si="154"/>
        <v>1665</v>
      </c>
      <c r="V358" s="70">
        <f t="shared" si="154"/>
        <v>1665</v>
      </c>
      <c r="W358" s="70">
        <f t="shared" si="154"/>
        <v>1167.8</v>
      </c>
      <c r="X358" s="70">
        <f t="shared" si="154"/>
        <v>0</v>
      </c>
      <c r="Y358" s="70">
        <f t="shared" si="154"/>
        <v>0</v>
      </c>
      <c r="Z358" s="70">
        <f t="shared" si="154"/>
        <v>0</v>
      </c>
      <c r="AA358" s="70">
        <f t="shared" si="154"/>
        <v>0</v>
      </c>
      <c r="AB358" s="70">
        <f t="shared" si="154"/>
        <v>0</v>
      </c>
      <c r="AC358" s="70">
        <f t="shared" si="154"/>
        <v>0</v>
      </c>
      <c r="AD358" s="69">
        <f t="shared" si="154"/>
        <v>0</v>
      </c>
      <c r="AE358" s="70">
        <f t="shared" si="154"/>
        <v>0</v>
      </c>
      <c r="AF358" s="70">
        <f t="shared" si="154"/>
        <v>0</v>
      </c>
      <c r="AG358" s="70">
        <f t="shared" si="154"/>
        <v>0</v>
      </c>
      <c r="AH358" s="70">
        <f t="shared" si="154"/>
        <v>0</v>
      </c>
      <c r="AI358" s="70">
        <f t="shared" si="154"/>
        <v>0</v>
      </c>
      <c r="AJ358" s="70">
        <f t="shared" si="154"/>
        <v>0</v>
      </c>
      <c r="AK358" s="70">
        <f t="shared" si="154"/>
        <v>0</v>
      </c>
      <c r="AL358" s="70">
        <f t="shared" si="154"/>
        <v>0</v>
      </c>
      <c r="AM358" s="70">
        <f t="shared" si="154"/>
        <v>183.44345122425185</v>
      </c>
      <c r="AN358" s="70">
        <f t="shared" si="154"/>
        <v>145.44</v>
      </c>
      <c r="AO358" s="71">
        <f t="shared" si="154"/>
        <v>20.8</v>
      </c>
      <c r="AP358" s="72">
        <f t="shared" si="154"/>
        <v>18.0336</v>
      </c>
      <c r="AQ358" s="73">
        <f t="shared" si="154"/>
        <v>86.7</v>
      </c>
      <c r="AR358" s="73">
        <f t="shared" si="154"/>
        <v>18.399999999999991</v>
      </c>
      <c r="AS358" s="74">
        <f t="shared" si="154"/>
        <v>36</v>
      </c>
      <c r="AT358" s="75">
        <f t="shared" si="154"/>
        <v>16.5</v>
      </c>
      <c r="AU358" s="76">
        <f t="shared" si="154"/>
        <v>9.636000000000001</v>
      </c>
      <c r="AV358" s="73">
        <f t="shared" si="154"/>
        <v>58.400000000000006</v>
      </c>
      <c r="AW358" s="73">
        <f t="shared" si="154"/>
        <v>49.9</v>
      </c>
      <c r="AX358" s="65">
        <f t="shared" si="154"/>
        <v>78.464643776062459</v>
      </c>
      <c r="AY358" s="77">
        <f t="shared" si="154"/>
        <v>78.099999999999994</v>
      </c>
      <c r="AZ358" s="78">
        <f t="shared" si="154"/>
        <v>63.86</v>
      </c>
      <c r="BA358" s="78">
        <f t="shared" si="154"/>
        <v>0</v>
      </c>
      <c r="BB358" s="78">
        <f t="shared" si="154"/>
        <v>66</v>
      </c>
      <c r="BC358" s="78">
        <f t="shared" si="154"/>
        <v>0</v>
      </c>
      <c r="BD358" s="79">
        <f t="shared" si="154"/>
        <v>145.44</v>
      </c>
      <c r="BE358" s="69">
        <f t="shared" si="154"/>
        <v>8572</v>
      </c>
      <c r="BF358" s="70">
        <f t="shared" si="154"/>
        <v>2715</v>
      </c>
      <c r="BG358" s="80">
        <f t="shared" si="154"/>
        <v>0</v>
      </c>
      <c r="BH358" s="80">
        <f t="shared" si="154"/>
        <v>5112</v>
      </c>
      <c r="BI358" s="80">
        <f t="shared" si="154"/>
        <v>6305</v>
      </c>
      <c r="BJ358" s="80">
        <f t="shared" si="154"/>
        <v>0</v>
      </c>
      <c r="BK358" s="80">
        <f t="shared" si="154"/>
        <v>0</v>
      </c>
      <c r="BL358" s="79">
        <f t="shared" si="154"/>
        <v>0</v>
      </c>
    </row>
    <row r="359" spans="1:64" outlineLevel="3" x14ac:dyDescent="0.3">
      <c r="A359" s="81" t="s">
        <v>94</v>
      </c>
      <c r="B359" s="82"/>
      <c r="C359" s="83">
        <f t="shared" ref="C359:BL359" si="155">SUBTOTAL(5,C327:C357)</f>
        <v>36</v>
      </c>
      <c r="D359" s="84">
        <f t="shared" si="155"/>
        <v>36</v>
      </c>
      <c r="E359" s="84">
        <f t="shared" si="155"/>
        <v>36</v>
      </c>
      <c r="F359" s="84">
        <f t="shared" si="155"/>
        <v>0</v>
      </c>
      <c r="G359" s="84">
        <f t="shared" si="155"/>
        <v>0</v>
      </c>
      <c r="H359" s="84">
        <f t="shared" si="155"/>
        <v>0</v>
      </c>
      <c r="I359" s="84">
        <f t="shared" si="155"/>
        <v>0</v>
      </c>
      <c r="J359" s="84">
        <f t="shared" si="155"/>
        <v>0</v>
      </c>
      <c r="K359" s="84">
        <f t="shared" si="155"/>
        <v>0</v>
      </c>
      <c r="L359" s="85">
        <f t="shared" si="155"/>
        <v>8</v>
      </c>
      <c r="M359" s="86">
        <f t="shared" si="155"/>
        <v>8.01</v>
      </c>
      <c r="N359" s="86">
        <f t="shared" si="155"/>
        <v>8.01</v>
      </c>
      <c r="O359" s="86">
        <f t="shared" si="155"/>
        <v>0</v>
      </c>
      <c r="P359" s="86">
        <f t="shared" si="155"/>
        <v>0</v>
      </c>
      <c r="Q359" s="86">
        <f t="shared" si="155"/>
        <v>0</v>
      </c>
      <c r="R359" s="86">
        <f t="shared" si="155"/>
        <v>0</v>
      </c>
      <c r="S359" s="86">
        <f t="shared" si="155"/>
        <v>0</v>
      </c>
      <c r="T359" s="86">
        <f t="shared" si="155"/>
        <v>0</v>
      </c>
      <c r="U359" s="87">
        <f t="shared" si="155"/>
        <v>962</v>
      </c>
      <c r="V359" s="88">
        <f t="shared" si="155"/>
        <v>1135</v>
      </c>
      <c r="W359" s="88">
        <f t="shared" si="155"/>
        <v>962</v>
      </c>
      <c r="X359" s="88">
        <f t="shared" si="155"/>
        <v>0</v>
      </c>
      <c r="Y359" s="88">
        <f t="shared" si="155"/>
        <v>0</v>
      </c>
      <c r="Z359" s="88">
        <f t="shared" si="155"/>
        <v>0</v>
      </c>
      <c r="AA359" s="88">
        <f t="shared" si="155"/>
        <v>0</v>
      </c>
      <c r="AB359" s="88">
        <f t="shared" si="155"/>
        <v>0</v>
      </c>
      <c r="AC359" s="88">
        <f t="shared" si="155"/>
        <v>0</v>
      </c>
      <c r="AD359" s="87">
        <f t="shared" si="155"/>
        <v>0</v>
      </c>
      <c r="AE359" s="88">
        <f t="shared" si="155"/>
        <v>0</v>
      </c>
      <c r="AF359" s="88">
        <f t="shared" si="155"/>
        <v>0</v>
      </c>
      <c r="AG359" s="88">
        <f t="shared" si="155"/>
        <v>0</v>
      </c>
      <c r="AH359" s="88">
        <f t="shared" si="155"/>
        <v>0</v>
      </c>
      <c r="AI359" s="88">
        <f t="shared" si="155"/>
        <v>0</v>
      </c>
      <c r="AJ359" s="88">
        <f t="shared" si="155"/>
        <v>0</v>
      </c>
      <c r="AK359" s="88">
        <f t="shared" si="155"/>
        <v>0</v>
      </c>
      <c r="AL359" s="88">
        <f t="shared" si="155"/>
        <v>0</v>
      </c>
      <c r="AM359" s="88">
        <f t="shared" si="155"/>
        <v>32.453245324532453</v>
      </c>
      <c r="AN359" s="88">
        <f t="shared" si="155"/>
        <v>25.73</v>
      </c>
      <c r="AO359" s="89">
        <f t="shared" si="155"/>
        <v>20.399999999999999</v>
      </c>
      <c r="AP359" s="90">
        <f t="shared" si="155"/>
        <v>16.6464</v>
      </c>
      <c r="AQ359" s="91">
        <f t="shared" si="155"/>
        <v>81.600000000000009</v>
      </c>
      <c r="AR359" s="91">
        <f t="shared" si="155"/>
        <v>13.299999999999997</v>
      </c>
      <c r="AS359" s="92">
        <f t="shared" si="155"/>
        <v>0</v>
      </c>
      <c r="AT359" s="93">
        <f t="shared" si="155"/>
        <v>12.7</v>
      </c>
      <c r="AU359" s="94">
        <f t="shared" si="155"/>
        <v>6.5150999999999986</v>
      </c>
      <c r="AV359" s="91">
        <f t="shared" si="155"/>
        <v>50.1</v>
      </c>
      <c r="AW359" s="91">
        <f t="shared" si="155"/>
        <v>41.599999999999994</v>
      </c>
      <c r="AX359" s="83">
        <f t="shared" si="155"/>
        <v>69.367369589345202</v>
      </c>
      <c r="AY359" s="95">
        <f t="shared" si="155"/>
        <v>73</v>
      </c>
      <c r="AZ359" s="96">
        <f t="shared" si="155"/>
        <v>61.33</v>
      </c>
      <c r="BA359" s="96">
        <f t="shared" si="155"/>
        <v>0</v>
      </c>
      <c r="BB359" s="96">
        <f t="shared" si="155"/>
        <v>54.5</v>
      </c>
      <c r="BC359" s="96">
        <f t="shared" si="155"/>
        <v>0</v>
      </c>
      <c r="BD359" s="97">
        <f t="shared" si="155"/>
        <v>25.73</v>
      </c>
      <c r="BE359" s="87">
        <f t="shared" si="155"/>
        <v>961</v>
      </c>
      <c r="BF359" s="88">
        <f t="shared" si="155"/>
        <v>0</v>
      </c>
      <c r="BG359" s="98">
        <f t="shared" si="155"/>
        <v>0</v>
      </c>
      <c r="BH359" s="98">
        <f t="shared" si="155"/>
        <v>0</v>
      </c>
      <c r="BI359" s="98">
        <f t="shared" si="155"/>
        <v>0</v>
      </c>
      <c r="BJ359" s="98">
        <f t="shared" si="155"/>
        <v>0</v>
      </c>
      <c r="BK359" s="98">
        <f t="shared" si="155"/>
        <v>0</v>
      </c>
      <c r="BL359" s="97">
        <f t="shared" si="155"/>
        <v>0</v>
      </c>
    </row>
    <row r="360" spans="1:64" outlineLevel="2" x14ac:dyDescent="0.3">
      <c r="A360" s="81" t="s">
        <v>95</v>
      </c>
      <c r="B360" s="82"/>
      <c r="C360" s="83">
        <f t="shared" ref="C360:BL360" si="156">IFERROR(SUBTOTAL(1,C327:C357),"")</f>
        <v>37.00714285714286</v>
      </c>
      <c r="D360" s="84">
        <f t="shared" si="156"/>
        <v>37.027272727272731</v>
      </c>
      <c r="E360" s="84">
        <f t="shared" si="156"/>
        <v>36.78</v>
      </c>
      <c r="F360" s="84" t="str">
        <f t="shared" si="156"/>
        <v/>
      </c>
      <c r="G360" s="84" t="str">
        <f t="shared" si="156"/>
        <v/>
      </c>
      <c r="H360" s="84" t="str">
        <f t="shared" si="156"/>
        <v/>
      </c>
      <c r="I360" s="84" t="str">
        <f t="shared" si="156"/>
        <v/>
      </c>
      <c r="J360" s="84" t="str">
        <f t="shared" si="156"/>
        <v/>
      </c>
      <c r="K360" s="84" t="str">
        <f t="shared" si="156"/>
        <v/>
      </c>
      <c r="L360" s="85">
        <f t="shared" si="156"/>
        <v>8.0599999999999987</v>
      </c>
      <c r="M360" s="86">
        <f t="shared" si="156"/>
        <v>8.0485714285714263</v>
      </c>
      <c r="N360" s="86">
        <f t="shared" si="156"/>
        <v>8.0533333333333328</v>
      </c>
      <c r="O360" s="86" t="str">
        <f t="shared" si="156"/>
        <v/>
      </c>
      <c r="P360" s="86" t="str">
        <f t="shared" si="156"/>
        <v/>
      </c>
      <c r="Q360" s="86" t="str">
        <f t="shared" si="156"/>
        <v/>
      </c>
      <c r="R360" s="86" t="str">
        <f t="shared" si="156"/>
        <v/>
      </c>
      <c r="S360" s="86" t="str">
        <f t="shared" si="156"/>
        <v/>
      </c>
      <c r="T360" s="86" t="str">
        <f t="shared" si="156"/>
        <v/>
      </c>
      <c r="U360" s="87">
        <f t="shared" si="156"/>
        <v>1235.27</v>
      </c>
      <c r="V360" s="88">
        <f t="shared" si="156"/>
        <v>1366.9857142857143</v>
      </c>
      <c r="W360" s="88">
        <f t="shared" si="156"/>
        <v>1064.9666666666667</v>
      </c>
      <c r="X360" s="88" t="str">
        <f t="shared" si="156"/>
        <v/>
      </c>
      <c r="Y360" s="88" t="str">
        <f t="shared" si="156"/>
        <v/>
      </c>
      <c r="Z360" s="88" t="str">
        <f t="shared" si="156"/>
        <v/>
      </c>
      <c r="AA360" s="88" t="str">
        <f t="shared" si="156"/>
        <v/>
      </c>
      <c r="AB360" s="88" t="str">
        <f t="shared" si="156"/>
        <v/>
      </c>
      <c r="AC360" s="88" t="str">
        <f t="shared" si="156"/>
        <v/>
      </c>
      <c r="AD360" s="87" t="str">
        <f t="shared" si="156"/>
        <v/>
      </c>
      <c r="AE360" s="88" t="str">
        <f t="shared" si="156"/>
        <v/>
      </c>
      <c r="AF360" s="88" t="str">
        <f t="shared" si="156"/>
        <v/>
      </c>
      <c r="AG360" s="88" t="str">
        <f t="shared" si="156"/>
        <v/>
      </c>
      <c r="AH360" s="88" t="str">
        <f t="shared" si="156"/>
        <v/>
      </c>
      <c r="AI360" s="88" t="str">
        <f t="shared" si="156"/>
        <v/>
      </c>
      <c r="AJ360" s="88" t="str">
        <f t="shared" si="156"/>
        <v/>
      </c>
      <c r="AK360" s="88" t="str">
        <f t="shared" si="156"/>
        <v/>
      </c>
      <c r="AL360" s="88" t="str">
        <f t="shared" si="156"/>
        <v/>
      </c>
      <c r="AM360" s="88">
        <f t="shared" si="156"/>
        <v>66.25103573040343</v>
      </c>
      <c r="AN360" s="88">
        <f t="shared" si="156"/>
        <v>84.855483870967731</v>
      </c>
      <c r="AO360" s="89">
        <f t="shared" si="156"/>
        <v>20.6</v>
      </c>
      <c r="AP360" s="90">
        <f t="shared" si="156"/>
        <v>17.34</v>
      </c>
      <c r="AQ360" s="91">
        <f t="shared" si="156"/>
        <v>84.15</v>
      </c>
      <c r="AR360" s="91">
        <f t="shared" si="156"/>
        <v>15.849999999999994</v>
      </c>
      <c r="AS360" s="92">
        <f t="shared" si="156"/>
        <v>10.806451612903226</v>
      </c>
      <c r="AT360" s="93">
        <f t="shared" si="156"/>
        <v>14.35</v>
      </c>
      <c r="AU360" s="94">
        <f t="shared" si="156"/>
        <v>7.9437149999999992</v>
      </c>
      <c r="AV360" s="91">
        <f t="shared" si="156"/>
        <v>55.303080505800537</v>
      </c>
      <c r="AW360" s="91">
        <f t="shared" si="156"/>
        <v>44.69691949419947</v>
      </c>
      <c r="AX360" s="83">
        <f t="shared" si="156"/>
        <v>73.916006682703824</v>
      </c>
      <c r="AY360" s="95">
        <f t="shared" si="156"/>
        <v>75.784999999999997</v>
      </c>
      <c r="AZ360" s="96">
        <f t="shared" si="156"/>
        <v>62.594999999999999</v>
      </c>
      <c r="BA360" s="96" t="str">
        <f t="shared" si="156"/>
        <v/>
      </c>
      <c r="BB360" s="96">
        <f t="shared" si="156"/>
        <v>60.25</v>
      </c>
      <c r="BC360" s="96" t="str">
        <f t="shared" si="156"/>
        <v/>
      </c>
      <c r="BD360" s="97">
        <f>IFERROR(SUBTOTAL(1,BD327:BD357),"")</f>
        <v>84.855483870967731</v>
      </c>
      <c r="BE360" s="87">
        <f t="shared" si="156"/>
        <v>5354.2258064516127</v>
      </c>
      <c r="BF360" s="88">
        <f t="shared" si="156"/>
        <v>786.45161290322585</v>
      </c>
      <c r="BG360" s="98">
        <f t="shared" si="156"/>
        <v>0</v>
      </c>
      <c r="BH360" s="98">
        <f t="shared" si="156"/>
        <v>387.83870967741933</v>
      </c>
      <c r="BI360" s="98">
        <f t="shared" si="156"/>
        <v>4179.9354838709678</v>
      </c>
      <c r="BJ360" s="98" t="str">
        <f t="shared" si="156"/>
        <v/>
      </c>
      <c r="BK360" s="98" t="str">
        <f t="shared" si="156"/>
        <v/>
      </c>
      <c r="BL360" s="97" t="str">
        <f t="shared" si="156"/>
        <v/>
      </c>
    </row>
    <row r="361" spans="1:64" ht="17.25" outlineLevel="1" thickBot="1" x14ac:dyDescent="0.35">
      <c r="A361" s="99" t="s">
        <v>96</v>
      </c>
      <c r="B361" s="100"/>
      <c r="C361" s="101"/>
      <c r="D361" s="102"/>
      <c r="E361" s="102"/>
      <c r="F361" s="102"/>
      <c r="G361" s="102"/>
      <c r="H361" s="102"/>
      <c r="I361" s="102"/>
      <c r="J361" s="102"/>
      <c r="K361" s="102"/>
      <c r="L361" s="103"/>
      <c r="M361" s="104"/>
      <c r="N361" s="104"/>
      <c r="O361" s="104"/>
      <c r="P361" s="104"/>
      <c r="Q361" s="104"/>
      <c r="R361" s="104"/>
      <c r="S361" s="104"/>
      <c r="T361" s="104"/>
      <c r="U361" s="105"/>
      <c r="V361" s="106"/>
      <c r="W361" s="106"/>
      <c r="X361" s="106"/>
      <c r="Y361" s="106"/>
      <c r="Z361" s="106"/>
      <c r="AA361" s="106"/>
      <c r="AB361" s="106"/>
      <c r="AC361" s="106"/>
      <c r="AD361" s="105"/>
      <c r="AE361" s="106"/>
      <c r="AF361" s="106"/>
      <c r="AG361" s="106"/>
      <c r="AH361" s="106"/>
      <c r="AI361" s="106"/>
      <c r="AJ361" s="106"/>
      <c r="AK361" s="106"/>
      <c r="AL361" s="106"/>
      <c r="AM361" s="106"/>
      <c r="AN361" s="107">
        <f>SUBTOTAL(9,AN327:AN357)</f>
        <v>2630.5199999999995</v>
      </c>
      <c r="AO361" s="108"/>
      <c r="AP361" s="109"/>
      <c r="AQ361" s="110"/>
      <c r="AR361" s="110"/>
      <c r="AS361" s="111">
        <f>SUBTOTAL(9,AS327:AS357)</f>
        <v>335</v>
      </c>
      <c r="AT361" s="112"/>
      <c r="AU361" s="113"/>
      <c r="AV361" s="110"/>
      <c r="AW361" s="110"/>
      <c r="AX361" s="101"/>
      <c r="AY361" s="114"/>
      <c r="AZ361" s="115"/>
      <c r="BA361" s="115"/>
      <c r="BB361" s="115"/>
      <c r="BC361" s="115"/>
      <c r="BD361" s="116">
        <f>SUBTOTAL(9,BD327:BD357)</f>
        <v>2630.5199999999995</v>
      </c>
      <c r="BE361" s="117">
        <f t="shared" ref="BE361:BL361" si="157">SUBTOTAL(9,BE327:BE357)</f>
        <v>165981</v>
      </c>
      <c r="BF361" s="107">
        <f t="shared" si="157"/>
        <v>24380</v>
      </c>
      <c r="BG361" s="118">
        <f t="shared" si="157"/>
        <v>0</v>
      </c>
      <c r="BH361" s="118">
        <f t="shared" si="157"/>
        <v>12023</v>
      </c>
      <c r="BI361" s="118">
        <f t="shared" si="157"/>
        <v>129578</v>
      </c>
      <c r="BJ361" s="118">
        <f t="shared" si="157"/>
        <v>0</v>
      </c>
      <c r="BK361" s="118">
        <f t="shared" si="157"/>
        <v>0</v>
      </c>
      <c r="BL361" s="116">
        <f t="shared" si="157"/>
        <v>0</v>
      </c>
    </row>
    <row r="362" spans="1:64" outlineLevel="5" x14ac:dyDescent="0.3">
      <c r="A362" s="136">
        <f t="shared" si="136"/>
        <v>11</v>
      </c>
      <c r="B362" s="165">
        <f>B357+1</f>
        <v>45231</v>
      </c>
      <c r="C362" s="138">
        <f t="shared" ref="C362:C391" si="158">IFERROR(ROUND(AVERAGE(D362:K362),1),"")</f>
        <v>37.299999999999997</v>
      </c>
      <c r="D362" s="84"/>
      <c r="E362" s="84">
        <v>37.299999999999997</v>
      </c>
      <c r="F362" s="84"/>
      <c r="G362" s="84"/>
      <c r="H362" s="84"/>
      <c r="I362" s="84"/>
      <c r="J362" s="84"/>
      <c r="K362" s="84"/>
      <c r="L362" s="140">
        <f t="shared" ref="L362:L391" si="159">IFERROR(ROUND(AVERAGE(M362:T362),1),"")</f>
        <v>8.1</v>
      </c>
      <c r="M362" s="86"/>
      <c r="N362" s="86">
        <v>8.1199999999999992</v>
      </c>
      <c r="O362" s="86"/>
      <c r="P362" s="86"/>
      <c r="Q362" s="86"/>
      <c r="R362" s="86"/>
      <c r="S362" s="86"/>
      <c r="T362" s="86"/>
      <c r="U362" s="142">
        <f t="shared" ref="U362:U391" si="160">IFERROR(ROUND(AVERAGE(V362:AC362),1),"")</f>
        <v>1189.4000000000001</v>
      </c>
      <c r="V362" s="88"/>
      <c r="W362" s="88">
        <v>1189.4000000000001</v>
      </c>
      <c r="X362" s="88"/>
      <c r="Y362" s="88"/>
      <c r="Z362" s="88"/>
      <c r="AA362" s="88"/>
      <c r="AB362" s="88"/>
      <c r="AC362" s="88"/>
      <c r="AD362" s="142" t="str">
        <f t="shared" ref="AD362:AD391" si="161">IFERROR(ROUND(AVERAGE(AE362:AL362),1),"")</f>
        <v/>
      </c>
      <c r="AE362" s="88"/>
      <c r="AF362" s="88"/>
      <c r="AG362" s="88"/>
      <c r="AH362" s="88"/>
      <c r="AI362" s="88"/>
      <c r="AJ362" s="88"/>
      <c r="AK362" s="88"/>
      <c r="AL362" s="88"/>
      <c r="AM362" s="88">
        <v>287.2793670115642</v>
      </c>
      <c r="AN362" s="88">
        <v>16.43</v>
      </c>
      <c r="AO362" s="89"/>
      <c r="AP362" s="90"/>
      <c r="AQ362" s="146" t="str">
        <f t="shared" ref="AQ362:AQ391" si="162">IFERROR(AP362/AO362*100,"")</f>
        <v/>
      </c>
      <c r="AR362" s="146" t="str">
        <f t="shared" ref="AR362:AR391" si="163">IFERROR(100-AQ362,"")</f>
        <v/>
      </c>
      <c r="AS362" s="147">
        <v>15</v>
      </c>
      <c r="AT362" s="148">
        <v>15.6</v>
      </c>
      <c r="AU362" s="149">
        <v>8.3147999999999982</v>
      </c>
      <c r="AV362" s="146">
        <f t="shared" ref="AV362:AV391" si="164">IFERROR(AU362/AT362*100,"")</f>
        <v>53.29999999999999</v>
      </c>
      <c r="AW362" s="146">
        <f t="shared" ref="AW362:AW391" si="165">IFERROR(100-AV362,"")</f>
        <v>46.70000000000001</v>
      </c>
      <c r="AX362" s="138" t="str">
        <f t="shared" ref="AX362:AX391" si="166">IFERROR((1-((AV362*AR362)/(AW362*AQ362)))*100,"")</f>
        <v/>
      </c>
      <c r="AY362" s="95">
        <v>75.099999999999994</v>
      </c>
      <c r="AZ362" s="96">
        <v>62.55</v>
      </c>
      <c r="BA362" s="96"/>
      <c r="BB362" s="96">
        <v>84</v>
      </c>
      <c r="BC362" s="96"/>
      <c r="BD362" s="97">
        <v>16.43</v>
      </c>
      <c r="BE362" s="142">
        <f t="shared" ref="BE362:BE391" si="167">IF(SUM(BF362:BL362)=0,"",SUM(BF362:BL362))</f>
        <v>6085</v>
      </c>
      <c r="BF362" s="88">
        <v>205</v>
      </c>
      <c r="BG362" s="98">
        <v>0</v>
      </c>
      <c r="BH362" s="98">
        <v>1</v>
      </c>
      <c r="BI362" s="98">
        <v>5879</v>
      </c>
      <c r="BJ362" s="98"/>
      <c r="BK362" s="98"/>
      <c r="BL362" s="97"/>
    </row>
    <row r="363" spans="1:64" outlineLevel="5" x14ac:dyDescent="0.3">
      <c r="A363" s="152">
        <f t="shared" si="136"/>
        <v>11</v>
      </c>
      <c r="B363" s="153">
        <f t="shared" si="153"/>
        <v>45232</v>
      </c>
      <c r="C363" s="138">
        <f t="shared" si="158"/>
        <v>37.5</v>
      </c>
      <c r="D363" s="84"/>
      <c r="E363" s="84">
        <v>37.5</v>
      </c>
      <c r="F363" s="84"/>
      <c r="G363" s="84"/>
      <c r="H363" s="84"/>
      <c r="I363" s="84"/>
      <c r="J363" s="84"/>
      <c r="K363" s="84"/>
      <c r="L363" s="140">
        <f t="shared" si="159"/>
        <v>8.1</v>
      </c>
      <c r="M363" s="86"/>
      <c r="N363" s="86">
        <v>8.1</v>
      </c>
      <c r="O363" s="86"/>
      <c r="P363" s="86"/>
      <c r="Q363" s="86"/>
      <c r="R363" s="86"/>
      <c r="S363" s="86"/>
      <c r="T363" s="86"/>
      <c r="U363" s="142">
        <f t="shared" si="160"/>
        <v>1211</v>
      </c>
      <c r="V363" s="88"/>
      <c r="W363" s="88">
        <v>1211</v>
      </c>
      <c r="X363" s="88"/>
      <c r="Y363" s="88"/>
      <c r="Z363" s="88"/>
      <c r="AA363" s="88"/>
      <c r="AB363" s="88"/>
      <c r="AC363" s="88"/>
      <c r="AD363" s="142" t="str">
        <f t="shared" si="161"/>
        <v/>
      </c>
      <c r="AE363" s="88"/>
      <c r="AF363" s="88"/>
      <c r="AG363" s="88"/>
      <c r="AH363" s="88"/>
      <c r="AI363" s="88"/>
      <c r="AJ363" s="88"/>
      <c r="AK363" s="88"/>
      <c r="AL363" s="88"/>
      <c r="AM363" s="88">
        <v>81.365281847957249</v>
      </c>
      <c r="AN363" s="88">
        <v>58.01</v>
      </c>
      <c r="AO363" s="89"/>
      <c r="AP363" s="90"/>
      <c r="AQ363" s="146" t="str">
        <f t="shared" si="162"/>
        <v/>
      </c>
      <c r="AR363" s="146" t="str">
        <f t="shared" si="163"/>
        <v/>
      </c>
      <c r="AS363" s="147">
        <v>15</v>
      </c>
      <c r="AT363" s="148">
        <v>14.7</v>
      </c>
      <c r="AU363" s="149">
        <v>8.1731999999999996</v>
      </c>
      <c r="AV363" s="146">
        <f t="shared" si="164"/>
        <v>55.600000000000009</v>
      </c>
      <c r="AW363" s="146">
        <f t="shared" si="165"/>
        <v>44.399999999999991</v>
      </c>
      <c r="AX363" s="138" t="str">
        <f t="shared" si="166"/>
        <v/>
      </c>
      <c r="AY363" s="95">
        <v>75.599999999999994</v>
      </c>
      <c r="AZ363" s="96">
        <v>61.29</v>
      </c>
      <c r="BA363" s="96"/>
      <c r="BB363" s="96">
        <v>97</v>
      </c>
      <c r="BC363" s="96"/>
      <c r="BD363" s="97">
        <v>58.01</v>
      </c>
      <c r="BE363" s="142">
        <f t="shared" si="167"/>
        <v>6810</v>
      </c>
      <c r="BF363" s="88">
        <v>907</v>
      </c>
      <c r="BG363" s="98">
        <v>0</v>
      </c>
      <c r="BH363" s="98">
        <v>0</v>
      </c>
      <c r="BI363" s="98">
        <v>5903</v>
      </c>
      <c r="BJ363" s="98"/>
      <c r="BK363" s="98"/>
      <c r="BL363" s="97"/>
    </row>
    <row r="364" spans="1:64" outlineLevel="5" x14ac:dyDescent="0.3">
      <c r="A364" s="152">
        <f t="shared" si="136"/>
        <v>11</v>
      </c>
      <c r="B364" s="153">
        <f t="shared" si="153"/>
        <v>45233</v>
      </c>
      <c r="C364" s="138" t="str">
        <f t="shared" si="158"/>
        <v/>
      </c>
      <c r="D364" s="84"/>
      <c r="E364" s="84"/>
      <c r="F364" s="84"/>
      <c r="G364" s="84"/>
      <c r="H364" s="84"/>
      <c r="I364" s="84"/>
      <c r="J364" s="84"/>
      <c r="K364" s="84"/>
      <c r="L364" s="140" t="str">
        <f t="shared" si="159"/>
        <v/>
      </c>
      <c r="M364" s="86"/>
      <c r="N364" s="86"/>
      <c r="O364" s="86"/>
      <c r="P364" s="86"/>
      <c r="Q364" s="86"/>
      <c r="R364" s="86"/>
      <c r="S364" s="86"/>
      <c r="T364" s="86"/>
      <c r="U364" s="142" t="str">
        <f t="shared" si="160"/>
        <v/>
      </c>
      <c r="V364" s="88"/>
      <c r="W364" s="88"/>
      <c r="X364" s="88"/>
      <c r="Y364" s="88"/>
      <c r="Z364" s="88"/>
      <c r="AA364" s="88"/>
      <c r="AB364" s="88"/>
      <c r="AC364" s="88"/>
      <c r="AD364" s="142" t="str">
        <f t="shared" si="161"/>
        <v/>
      </c>
      <c r="AE364" s="88"/>
      <c r="AF364" s="88"/>
      <c r="AG364" s="88"/>
      <c r="AH364" s="88"/>
      <c r="AI364" s="88"/>
      <c r="AJ364" s="88"/>
      <c r="AK364" s="88"/>
      <c r="AL364" s="88"/>
      <c r="AM364" s="88">
        <v>79.891672308733916</v>
      </c>
      <c r="AN364" s="88">
        <v>59.08</v>
      </c>
      <c r="AO364" s="89"/>
      <c r="AP364" s="90"/>
      <c r="AQ364" s="146" t="str">
        <f t="shared" si="162"/>
        <v/>
      </c>
      <c r="AR364" s="146" t="str">
        <f t="shared" si="163"/>
        <v/>
      </c>
      <c r="AS364" s="147">
        <v>0</v>
      </c>
      <c r="AT364" s="148"/>
      <c r="AU364" s="149"/>
      <c r="AV364" s="146" t="str">
        <f t="shared" si="164"/>
        <v/>
      </c>
      <c r="AW364" s="146" t="str">
        <f t="shared" si="165"/>
        <v/>
      </c>
      <c r="AX364" s="138" t="str">
        <f t="shared" si="166"/>
        <v/>
      </c>
      <c r="AY364" s="95"/>
      <c r="AZ364" s="96"/>
      <c r="BA364" s="96"/>
      <c r="BB364" s="96"/>
      <c r="BC364" s="96"/>
      <c r="BD364" s="97">
        <v>59.08</v>
      </c>
      <c r="BE364" s="142">
        <f t="shared" si="167"/>
        <v>6884</v>
      </c>
      <c r="BF364" s="88">
        <v>851</v>
      </c>
      <c r="BG364" s="98">
        <v>0</v>
      </c>
      <c r="BH364" s="98">
        <v>0</v>
      </c>
      <c r="BI364" s="98">
        <v>6033</v>
      </c>
      <c r="BJ364" s="98"/>
      <c r="BK364" s="98"/>
      <c r="BL364" s="97"/>
    </row>
    <row r="365" spans="1:64" outlineLevel="5" x14ac:dyDescent="0.3">
      <c r="A365" s="152">
        <f t="shared" si="136"/>
        <v>11</v>
      </c>
      <c r="B365" s="153">
        <f t="shared" si="153"/>
        <v>45234</v>
      </c>
      <c r="C365" s="138" t="str">
        <f t="shared" si="158"/>
        <v/>
      </c>
      <c r="D365" s="84"/>
      <c r="E365" s="84"/>
      <c r="F365" s="84"/>
      <c r="G365" s="84"/>
      <c r="H365" s="84"/>
      <c r="I365" s="84"/>
      <c r="J365" s="84"/>
      <c r="K365" s="84"/>
      <c r="L365" s="140" t="str">
        <f t="shared" si="159"/>
        <v/>
      </c>
      <c r="M365" s="86"/>
      <c r="N365" s="86"/>
      <c r="O365" s="86"/>
      <c r="P365" s="86"/>
      <c r="Q365" s="86"/>
      <c r="R365" s="86"/>
      <c r="S365" s="86"/>
      <c r="T365" s="86"/>
      <c r="U365" s="142" t="str">
        <f t="shared" si="160"/>
        <v/>
      </c>
      <c r="V365" s="88"/>
      <c r="W365" s="88"/>
      <c r="X365" s="88"/>
      <c r="Y365" s="88"/>
      <c r="Z365" s="88"/>
      <c r="AA365" s="88"/>
      <c r="AB365" s="88"/>
      <c r="AC365" s="88"/>
      <c r="AD365" s="142" t="str">
        <f t="shared" si="161"/>
        <v/>
      </c>
      <c r="AE365" s="88"/>
      <c r="AF365" s="88"/>
      <c r="AG365" s="88"/>
      <c r="AH365" s="88"/>
      <c r="AI365" s="88"/>
      <c r="AJ365" s="88"/>
      <c r="AK365" s="88"/>
      <c r="AL365" s="88"/>
      <c r="AM365" s="88">
        <v>112.4077161228864</v>
      </c>
      <c r="AN365" s="88">
        <v>41.99</v>
      </c>
      <c r="AO365" s="89"/>
      <c r="AP365" s="90"/>
      <c r="AQ365" s="146" t="str">
        <f t="shared" si="162"/>
        <v/>
      </c>
      <c r="AR365" s="146" t="str">
        <f t="shared" si="163"/>
        <v/>
      </c>
      <c r="AS365" s="147">
        <v>0</v>
      </c>
      <c r="AT365" s="148"/>
      <c r="AU365" s="149"/>
      <c r="AV365" s="146" t="str">
        <f t="shared" si="164"/>
        <v/>
      </c>
      <c r="AW365" s="146" t="str">
        <f t="shared" si="165"/>
        <v/>
      </c>
      <c r="AX365" s="138" t="str">
        <f t="shared" si="166"/>
        <v/>
      </c>
      <c r="AY365" s="95"/>
      <c r="AZ365" s="96"/>
      <c r="BA365" s="96"/>
      <c r="BB365" s="96"/>
      <c r="BC365" s="96"/>
      <c r="BD365" s="97">
        <v>41.99</v>
      </c>
      <c r="BE365" s="142">
        <f t="shared" si="167"/>
        <v>4602</v>
      </c>
      <c r="BF365" s="88">
        <v>0</v>
      </c>
      <c r="BG365" s="98">
        <v>0</v>
      </c>
      <c r="BH365" s="98">
        <v>0</v>
      </c>
      <c r="BI365" s="98">
        <v>4602</v>
      </c>
      <c r="BJ365" s="98"/>
      <c r="BK365" s="98"/>
      <c r="BL365" s="97"/>
    </row>
    <row r="366" spans="1:64" outlineLevel="5" x14ac:dyDescent="0.3">
      <c r="A366" s="152">
        <f t="shared" si="136"/>
        <v>11</v>
      </c>
      <c r="B366" s="153">
        <f t="shared" si="153"/>
        <v>45235</v>
      </c>
      <c r="C366" s="138" t="str">
        <f t="shared" si="158"/>
        <v/>
      </c>
      <c r="D366" s="84"/>
      <c r="E366" s="84"/>
      <c r="F366" s="84"/>
      <c r="G366" s="84"/>
      <c r="H366" s="84"/>
      <c r="I366" s="84"/>
      <c r="J366" s="84"/>
      <c r="K366" s="84"/>
      <c r="L366" s="140" t="str">
        <f t="shared" si="159"/>
        <v/>
      </c>
      <c r="M366" s="86"/>
      <c r="N366" s="86"/>
      <c r="O366" s="86"/>
      <c r="P366" s="86"/>
      <c r="Q366" s="86"/>
      <c r="R366" s="86"/>
      <c r="S366" s="86"/>
      <c r="T366" s="86"/>
      <c r="U366" s="142" t="str">
        <f t="shared" si="160"/>
        <v/>
      </c>
      <c r="V366" s="88"/>
      <c r="W366" s="88"/>
      <c r="X366" s="88"/>
      <c r="Y366" s="88"/>
      <c r="Z366" s="88"/>
      <c r="AA366" s="88"/>
      <c r="AB366" s="88"/>
      <c r="AC366" s="88"/>
      <c r="AD366" s="142" t="str">
        <f t="shared" si="161"/>
        <v/>
      </c>
      <c r="AE366" s="88"/>
      <c r="AF366" s="88"/>
      <c r="AG366" s="88"/>
      <c r="AH366" s="88"/>
      <c r="AI366" s="88"/>
      <c r="AJ366" s="88"/>
      <c r="AK366" s="88"/>
      <c r="AL366" s="88"/>
      <c r="AM366" s="88">
        <v>157.33333333333334</v>
      </c>
      <c r="AN366" s="88">
        <v>30</v>
      </c>
      <c r="AO366" s="89"/>
      <c r="AP366" s="90"/>
      <c r="AQ366" s="146" t="str">
        <f t="shared" si="162"/>
        <v/>
      </c>
      <c r="AR366" s="146" t="str">
        <f t="shared" si="163"/>
        <v/>
      </c>
      <c r="AS366" s="147">
        <v>0</v>
      </c>
      <c r="AT366" s="148"/>
      <c r="AU366" s="149"/>
      <c r="AV366" s="146" t="str">
        <f t="shared" si="164"/>
        <v/>
      </c>
      <c r="AW366" s="146" t="str">
        <f t="shared" si="165"/>
        <v/>
      </c>
      <c r="AX366" s="138" t="str">
        <f t="shared" si="166"/>
        <v/>
      </c>
      <c r="AY366" s="95"/>
      <c r="AZ366" s="96"/>
      <c r="BA366" s="96"/>
      <c r="BB366" s="96"/>
      <c r="BC366" s="96"/>
      <c r="BD366" s="97">
        <v>30</v>
      </c>
      <c r="BE366" s="142">
        <f t="shared" si="167"/>
        <v>3468</v>
      </c>
      <c r="BF366" s="88">
        <v>0</v>
      </c>
      <c r="BG366" s="98">
        <v>0</v>
      </c>
      <c r="BH366" s="98">
        <v>0</v>
      </c>
      <c r="BI366" s="98">
        <v>3468</v>
      </c>
      <c r="BJ366" s="98"/>
      <c r="BK366" s="98"/>
      <c r="BL366" s="97"/>
    </row>
    <row r="367" spans="1:64" outlineLevel="5" x14ac:dyDescent="0.3">
      <c r="A367" s="152">
        <f t="shared" si="136"/>
        <v>11</v>
      </c>
      <c r="B367" s="153">
        <f t="shared" si="153"/>
        <v>45236</v>
      </c>
      <c r="C367" s="138">
        <f t="shared" si="158"/>
        <v>38</v>
      </c>
      <c r="D367" s="84"/>
      <c r="E367" s="84">
        <v>38</v>
      </c>
      <c r="F367" s="84"/>
      <c r="G367" s="84"/>
      <c r="H367" s="84"/>
      <c r="I367" s="84"/>
      <c r="J367" s="84"/>
      <c r="K367" s="84"/>
      <c r="L367" s="140">
        <f t="shared" si="159"/>
        <v>8</v>
      </c>
      <c r="M367" s="86"/>
      <c r="N367" s="86">
        <v>8.02</v>
      </c>
      <c r="O367" s="86"/>
      <c r="P367" s="86"/>
      <c r="Q367" s="86"/>
      <c r="R367" s="86"/>
      <c r="S367" s="86"/>
      <c r="T367" s="86"/>
      <c r="U367" s="142">
        <f t="shared" si="160"/>
        <v>1243.4000000000001</v>
      </c>
      <c r="V367" s="88"/>
      <c r="W367" s="88">
        <v>1243.4000000000001</v>
      </c>
      <c r="X367" s="88"/>
      <c r="Y367" s="88"/>
      <c r="Z367" s="88"/>
      <c r="AA367" s="88"/>
      <c r="AB367" s="88"/>
      <c r="AC367" s="88"/>
      <c r="AD367" s="142" t="str">
        <f t="shared" si="161"/>
        <v/>
      </c>
      <c r="AE367" s="88"/>
      <c r="AF367" s="88"/>
      <c r="AG367" s="88"/>
      <c r="AH367" s="88"/>
      <c r="AI367" s="88"/>
      <c r="AJ367" s="88"/>
      <c r="AK367" s="88"/>
      <c r="AL367" s="88"/>
      <c r="AM367" s="88">
        <v>58.257220439397685</v>
      </c>
      <c r="AN367" s="88">
        <v>81.02</v>
      </c>
      <c r="AO367" s="89">
        <v>18.3</v>
      </c>
      <c r="AP367" s="90">
        <v>14.658299999999999</v>
      </c>
      <c r="AQ367" s="146">
        <f t="shared" si="162"/>
        <v>80.099999999999994</v>
      </c>
      <c r="AR367" s="146">
        <f t="shared" si="163"/>
        <v>19.900000000000006</v>
      </c>
      <c r="AS367" s="147">
        <v>21</v>
      </c>
      <c r="AT367" s="148">
        <v>17.5</v>
      </c>
      <c r="AU367" s="149">
        <v>9.4849999999999994</v>
      </c>
      <c r="AV367" s="146">
        <f t="shared" si="164"/>
        <v>54.199999999999996</v>
      </c>
      <c r="AW367" s="146">
        <f t="shared" si="165"/>
        <v>45.800000000000004</v>
      </c>
      <c r="AX367" s="138">
        <f t="shared" si="166"/>
        <v>70.599523521362485</v>
      </c>
      <c r="AY367" s="95">
        <v>74.7</v>
      </c>
      <c r="AZ367" s="96"/>
      <c r="BA367" s="96"/>
      <c r="BB367" s="96"/>
      <c r="BC367" s="96"/>
      <c r="BD367" s="97">
        <v>81.02</v>
      </c>
      <c r="BE367" s="142">
        <f t="shared" si="167"/>
        <v>5514</v>
      </c>
      <c r="BF367" s="88">
        <v>0</v>
      </c>
      <c r="BG367" s="98">
        <v>0</v>
      </c>
      <c r="BH367" s="98">
        <v>0</v>
      </c>
      <c r="BI367" s="98">
        <v>5514</v>
      </c>
      <c r="BJ367" s="98"/>
      <c r="BK367" s="98"/>
      <c r="BL367" s="97"/>
    </row>
    <row r="368" spans="1:64" outlineLevel="5" x14ac:dyDescent="0.3">
      <c r="A368" s="152">
        <f t="shared" si="136"/>
        <v>11</v>
      </c>
      <c r="B368" s="153">
        <f t="shared" si="153"/>
        <v>45237</v>
      </c>
      <c r="C368" s="138" t="str">
        <f t="shared" si="158"/>
        <v/>
      </c>
      <c r="D368" s="84"/>
      <c r="E368" s="84"/>
      <c r="F368" s="84"/>
      <c r="G368" s="84"/>
      <c r="H368" s="84"/>
      <c r="I368" s="84"/>
      <c r="J368" s="84"/>
      <c r="K368" s="84"/>
      <c r="L368" s="140" t="str">
        <f t="shared" si="159"/>
        <v/>
      </c>
      <c r="M368" s="86"/>
      <c r="N368" s="86"/>
      <c r="O368" s="86"/>
      <c r="P368" s="86"/>
      <c r="Q368" s="86"/>
      <c r="R368" s="86"/>
      <c r="S368" s="86"/>
      <c r="T368" s="86"/>
      <c r="U368" s="142" t="str">
        <f t="shared" si="160"/>
        <v/>
      </c>
      <c r="V368" s="88"/>
      <c r="W368" s="88"/>
      <c r="X368" s="88"/>
      <c r="Y368" s="88"/>
      <c r="Z368" s="88"/>
      <c r="AA368" s="88"/>
      <c r="AB368" s="88"/>
      <c r="AC368" s="88"/>
      <c r="AD368" s="142" t="str">
        <f t="shared" si="161"/>
        <v/>
      </c>
      <c r="AE368" s="88"/>
      <c r="AF368" s="88"/>
      <c r="AG368" s="88"/>
      <c r="AH368" s="88"/>
      <c r="AI368" s="88"/>
      <c r="AJ368" s="88"/>
      <c r="AK368" s="88"/>
      <c r="AL368" s="88"/>
      <c r="AM368" s="88">
        <v>56.87432220749487</v>
      </c>
      <c r="AN368" s="88">
        <v>82.990000000000009</v>
      </c>
      <c r="AO368" s="89"/>
      <c r="AP368" s="90"/>
      <c r="AQ368" s="146" t="str">
        <f t="shared" si="162"/>
        <v/>
      </c>
      <c r="AR368" s="146" t="str">
        <f t="shared" si="163"/>
        <v/>
      </c>
      <c r="AS368" s="147">
        <v>0</v>
      </c>
      <c r="AT368" s="148"/>
      <c r="AU368" s="149"/>
      <c r="AV368" s="146" t="str">
        <f t="shared" si="164"/>
        <v/>
      </c>
      <c r="AW368" s="146" t="str">
        <f t="shared" si="165"/>
        <v/>
      </c>
      <c r="AX368" s="138" t="str">
        <f t="shared" si="166"/>
        <v/>
      </c>
      <c r="AY368" s="95"/>
      <c r="AZ368" s="96"/>
      <c r="BA368" s="96"/>
      <c r="BB368" s="96"/>
      <c r="BC368" s="96"/>
      <c r="BD368" s="97">
        <v>82.990000000000009</v>
      </c>
      <c r="BE368" s="142">
        <f t="shared" si="167"/>
        <v>5455</v>
      </c>
      <c r="BF368" s="88">
        <v>0</v>
      </c>
      <c r="BG368" s="98">
        <v>0</v>
      </c>
      <c r="BH368" s="98">
        <v>0</v>
      </c>
      <c r="BI368" s="98">
        <v>5455</v>
      </c>
      <c r="BJ368" s="98"/>
      <c r="BK368" s="98"/>
      <c r="BL368" s="97"/>
    </row>
    <row r="369" spans="1:64" outlineLevel="5" x14ac:dyDescent="0.3">
      <c r="A369" s="152">
        <f t="shared" si="136"/>
        <v>11</v>
      </c>
      <c r="B369" s="153">
        <f t="shared" si="153"/>
        <v>45238</v>
      </c>
      <c r="C369" s="138" t="str">
        <f t="shared" si="158"/>
        <v/>
      </c>
      <c r="D369" s="84"/>
      <c r="E369" s="84"/>
      <c r="F369" s="84"/>
      <c r="G369" s="84"/>
      <c r="H369" s="84"/>
      <c r="I369" s="84"/>
      <c r="J369" s="84"/>
      <c r="K369" s="84"/>
      <c r="L369" s="140">
        <f t="shared" si="159"/>
        <v>8</v>
      </c>
      <c r="M369" s="86"/>
      <c r="N369" s="86">
        <v>8.0299999999999994</v>
      </c>
      <c r="O369" s="86"/>
      <c r="P369" s="86"/>
      <c r="Q369" s="86"/>
      <c r="R369" s="86"/>
      <c r="S369" s="86"/>
      <c r="T369" s="86"/>
      <c r="U369" s="142">
        <f t="shared" si="160"/>
        <v>1351.6</v>
      </c>
      <c r="V369" s="88"/>
      <c r="W369" s="88">
        <v>1351.6</v>
      </c>
      <c r="X369" s="88"/>
      <c r="Y369" s="88"/>
      <c r="Z369" s="88"/>
      <c r="AA369" s="88"/>
      <c r="AB369" s="88"/>
      <c r="AC369" s="88"/>
      <c r="AD369" s="142" t="str">
        <f t="shared" si="161"/>
        <v/>
      </c>
      <c r="AE369" s="88"/>
      <c r="AF369" s="88"/>
      <c r="AG369" s="88"/>
      <c r="AH369" s="88"/>
      <c r="AI369" s="88"/>
      <c r="AJ369" s="88"/>
      <c r="AK369" s="88"/>
      <c r="AL369" s="88"/>
      <c r="AM369" s="88">
        <v>62.064431295200528</v>
      </c>
      <c r="AN369" s="88">
        <v>76.05</v>
      </c>
      <c r="AO369" s="89"/>
      <c r="AP369" s="90"/>
      <c r="AQ369" s="146" t="str">
        <f t="shared" si="162"/>
        <v/>
      </c>
      <c r="AR369" s="146" t="str">
        <f t="shared" si="163"/>
        <v/>
      </c>
      <c r="AS369" s="147">
        <v>27</v>
      </c>
      <c r="AT369" s="148">
        <v>14.3</v>
      </c>
      <c r="AU369" s="149">
        <v>8.1938999999999993</v>
      </c>
      <c r="AV369" s="146">
        <f t="shared" si="164"/>
        <v>57.3</v>
      </c>
      <c r="AW369" s="146">
        <f t="shared" si="165"/>
        <v>42.7</v>
      </c>
      <c r="AX369" s="138" t="str">
        <f t="shared" si="166"/>
        <v/>
      </c>
      <c r="AY369" s="95">
        <v>74.900000000000006</v>
      </c>
      <c r="AZ369" s="96"/>
      <c r="BA369" s="96"/>
      <c r="BB369" s="96"/>
      <c r="BC369" s="96"/>
      <c r="BD369" s="97">
        <v>76.05</v>
      </c>
      <c r="BE369" s="142">
        <f t="shared" si="167"/>
        <v>6647</v>
      </c>
      <c r="BF369" s="88">
        <v>614</v>
      </c>
      <c r="BG369" s="98">
        <v>0</v>
      </c>
      <c r="BH369" s="98">
        <v>0</v>
      </c>
      <c r="BI369" s="98">
        <v>6033</v>
      </c>
      <c r="BJ369" s="98"/>
      <c r="BK369" s="98"/>
      <c r="BL369" s="97"/>
    </row>
    <row r="370" spans="1:64" outlineLevel="5" x14ac:dyDescent="0.3">
      <c r="A370" s="152">
        <f t="shared" si="136"/>
        <v>11</v>
      </c>
      <c r="B370" s="153">
        <f t="shared" si="153"/>
        <v>45239</v>
      </c>
      <c r="C370" s="138">
        <f t="shared" si="158"/>
        <v>36.4</v>
      </c>
      <c r="D370" s="84">
        <v>35.700000000000003</v>
      </c>
      <c r="E370" s="84">
        <v>37.1</v>
      </c>
      <c r="F370" s="84"/>
      <c r="G370" s="84"/>
      <c r="H370" s="84"/>
      <c r="I370" s="84"/>
      <c r="J370" s="84"/>
      <c r="K370" s="84"/>
      <c r="L370" s="140">
        <f t="shared" si="159"/>
        <v>8.1</v>
      </c>
      <c r="M370" s="86">
        <v>8.15</v>
      </c>
      <c r="N370" s="86">
        <v>8.0399999999999991</v>
      </c>
      <c r="O370" s="86"/>
      <c r="P370" s="86"/>
      <c r="Q370" s="86"/>
      <c r="R370" s="86"/>
      <c r="S370" s="86"/>
      <c r="T370" s="86"/>
      <c r="U370" s="142">
        <f t="shared" si="160"/>
        <v>1221.8</v>
      </c>
      <c r="V370" s="88">
        <v>1059.5999999999999</v>
      </c>
      <c r="W370" s="88">
        <v>1384</v>
      </c>
      <c r="X370" s="88"/>
      <c r="Y370" s="88"/>
      <c r="Z370" s="88"/>
      <c r="AA370" s="88"/>
      <c r="AB370" s="88"/>
      <c r="AC370" s="88"/>
      <c r="AD370" s="142" t="str">
        <f t="shared" si="161"/>
        <v/>
      </c>
      <c r="AE370" s="88"/>
      <c r="AF370" s="88"/>
      <c r="AG370" s="88"/>
      <c r="AH370" s="88"/>
      <c r="AI370" s="88"/>
      <c r="AJ370" s="88"/>
      <c r="AK370" s="88"/>
      <c r="AL370" s="88"/>
      <c r="AM370" s="88">
        <v>114.03720705484416</v>
      </c>
      <c r="AN370" s="88">
        <v>41.39</v>
      </c>
      <c r="AO370" s="89"/>
      <c r="AP370" s="90"/>
      <c r="AQ370" s="146" t="str">
        <f t="shared" si="162"/>
        <v/>
      </c>
      <c r="AR370" s="146" t="str">
        <f t="shared" si="163"/>
        <v/>
      </c>
      <c r="AS370" s="147">
        <v>39</v>
      </c>
      <c r="AT370" s="148">
        <v>14.55</v>
      </c>
      <c r="AU370" s="149">
        <v>8.5450499999999998</v>
      </c>
      <c r="AV370" s="146">
        <f t="shared" si="164"/>
        <v>58.728865979381439</v>
      </c>
      <c r="AW370" s="146">
        <f t="shared" si="165"/>
        <v>41.271134020618561</v>
      </c>
      <c r="AX370" s="138" t="str">
        <f t="shared" si="166"/>
        <v/>
      </c>
      <c r="AY370" s="95">
        <v>70.599999999999994</v>
      </c>
      <c r="AZ370" s="96"/>
      <c r="BA370" s="96"/>
      <c r="BB370" s="96"/>
      <c r="BC370" s="96"/>
      <c r="BD370" s="97">
        <v>41.39</v>
      </c>
      <c r="BE370" s="142">
        <f t="shared" si="167"/>
        <v>6765</v>
      </c>
      <c r="BF370" s="88">
        <v>953</v>
      </c>
      <c r="BG370" s="98">
        <v>0</v>
      </c>
      <c r="BH370" s="98">
        <v>0</v>
      </c>
      <c r="BI370" s="98">
        <v>5812</v>
      </c>
      <c r="BJ370" s="98"/>
      <c r="BK370" s="98"/>
      <c r="BL370" s="97"/>
    </row>
    <row r="371" spans="1:64" outlineLevel="5" x14ac:dyDescent="0.3">
      <c r="A371" s="152">
        <f t="shared" si="136"/>
        <v>11</v>
      </c>
      <c r="B371" s="153">
        <f t="shared" si="153"/>
        <v>45240</v>
      </c>
      <c r="C371" s="138" t="str">
        <f t="shared" si="158"/>
        <v/>
      </c>
      <c r="D371" s="84"/>
      <c r="E371" s="84"/>
      <c r="F371" s="84"/>
      <c r="G371" s="84"/>
      <c r="H371" s="84"/>
      <c r="I371" s="84"/>
      <c r="J371" s="84"/>
      <c r="K371" s="84"/>
      <c r="L371" s="140" t="str">
        <f t="shared" si="159"/>
        <v/>
      </c>
      <c r="M371" s="86"/>
      <c r="N371" s="86"/>
      <c r="O371" s="86"/>
      <c r="P371" s="86"/>
      <c r="Q371" s="86"/>
      <c r="R371" s="86"/>
      <c r="S371" s="86"/>
      <c r="T371" s="86"/>
      <c r="U371" s="142" t="str">
        <f t="shared" si="160"/>
        <v/>
      </c>
      <c r="V371" s="88"/>
      <c r="W371" s="88"/>
      <c r="X371" s="88"/>
      <c r="Y371" s="88"/>
      <c r="Z371" s="88"/>
      <c r="AA371" s="88"/>
      <c r="AB371" s="88"/>
      <c r="AC371" s="88"/>
      <c r="AD371" s="142" t="str">
        <f t="shared" si="161"/>
        <v/>
      </c>
      <c r="AE371" s="88"/>
      <c r="AF371" s="88"/>
      <c r="AG371" s="88"/>
      <c r="AH371" s="88"/>
      <c r="AI371" s="88"/>
      <c r="AJ371" s="88"/>
      <c r="AK371" s="88"/>
      <c r="AL371" s="88"/>
      <c r="AM371" s="88">
        <v>128.61035422343323</v>
      </c>
      <c r="AN371" s="88">
        <v>36.700000000000003</v>
      </c>
      <c r="AO371" s="89"/>
      <c r="AP371" s="90"/>
      <c r="AQ371" s="146" t="str">
        <f t="shared" si="162"/>
        <v/>
      </c>
      <c r="AR371" s="146" t="str">
        <f t="shared" si="163"/>
        <v/>
      </c>
      <c r="AS371" s="147">
        <v>22</v>
      </c>
      <c r="AT371" s="148"/>
      <c r="AU371" s="149"/>
      <c r="AV371" s="146" t="str">
        <f t="shared" si="164"/>
        <v/>
      </c>
      <c r="AW371" s="146" t="str">
        <f t="shared" si="165"/>
        <v/>
      </c>
      <c r="AX371" s="138" t="str">
        <f t="shared" si="166"/>
        <v/>
      </c>
      <c r="AY371" s="95"/>
      <c r="AZ371" s="96">
        <v>59.44</v>
      </c>
      <c r="BA371" s="96"/>
      <c r="BB371" s="96">
        <v>165.5</v>
      </c>
      <c r="BC371" s="96"/>
      <c r="BD371" s="97">
        <v>36.700000000000003</v>
      </c>
      <c r="BE371" s="142">
        <f t="shared" si="167"/>
        <v>6803</v>
      </c>
      <c r="BF371" s="88">
        <v>770</v>
      </c>
      <c r="BG371" s="98">
        <v>0</v>
      </c>
      <c r="BH371" s="98">
        <v>0</v>
      </c>
      <c r="BI371" s="98">
        <v>6033</v>
      </c>
      <c r="BJ371" s="98"/>
      <c r="BK371" s="98"/>
      <c r="BL371" s="97"/>
    </row>
    <row r="372" spans="1:64" outlineLevel="5" x14ac:dyDescent="0.3">
      <c r="A372" s="152">
        <f t="shared" si="136"/>
        <v>11</v>
      </c>
      <c r="B372" s="153">
        <f t="shared" si="153"/>
        <v>45241</v>
      </c>
      <c r="C372" s="138" t="str">
        <f t="shared" si="158"/>
        <v/>
      </c>
      <c r="D372" s="84"/>
      <c r="E372" s="84"/>
      <c r="F372" s="84"/>
      <c r="G372" s="84"/>
      <c r="H372" s="84"/>
      <c r="I372" s="84"/>
      <c r="J372" s="84"/>
      <c r="K372" s="84"/>
      <c r="L372" s="140" t="str">
        <f t="shared" si="159"/>
        <v/>
      </c>
      <c r="M372" s="86"/>
      <c r="N372" s="86"/>
      <c r="O372" s="86"/>
      <c r="P372" s="86"/>
      <c r="Q372" s="86"/>
      <c r="R372" s="86"/>
      <c r="S372" s="86"/>
      <c r="T372" s="86"/>
      <c r="U372" s="142" t="str">
        <f t="shared" si="160"/>
        <v/>
      </c>
      <c r="V372" s="88"/>
      <c r="W372" s="88"/>
      <c r="X372" s="88"/>
      <c r="Y372" s="88"/>
      <c r="Z372" s="88"/>
      <c r="AA372" s="88"/>
      <c r="AB372" s="88"/>
      <c r="AC372" s="88"/>
      <c r="AD372" s="142" t="str">
        <f t="shared" si="161"/>
        <v/>
      </c>
      <c r="AE372" s="88"/>
      <c r="AF372" s="88"/>
      <c r="AG372" s="88"/>
      <c r="AH372" s="88"/>
      <c r="AI372" s="88"/>
      <c r="AJ372" s="88"/>
      <c r="AK372" s="88"/>
      <c r="AL372" s="88"/>
      <c r="AM372" s="88">
        <v>79.234514017122706</v>
      </c>
      <c r="AN372" s="88">
        <v>59.57</v>
      </c>
      <c r="AO372" s="89"/>
      <c r="AP372" s="90"/>
      <c r="AQ372" s="146" t="str">
        <f t="shared" si="162"/>
        <v/>
      </c>
      <c r="AR372" s="146" t="str">
        <f t="shared" si="163"/>
        <v/>
      </c>
      <c r="AS372" s="147">
        <v>0</v>
      </c>
      <c r="AT372" s="148"/>
      <c r="AU372" s="149"/>
      <c r="AV372" s="146" t="str">
        <f t="shared" si="164"/>
        <v/>
      </c>
      <c r="AW372" s="146" t="str">
        <f t="shared" si="165"/>
        <v/>
      </c>
      <c r="AX372" s="138" t="str">
        <f t="shared" si="166"/>
        <v/>
      </c>
      <c r="AY372" s="95"/>
      <c r="AZ372" s="96"/>
      <c r="BA372" s="96"/>
      <c r="BB372" s="96"/>
      <c r="BC372" s="96"/>
      <c r="BD372" s="97">
        <v>59.57</v>
      </c>
      <c r="BE372" s="142">
        <f t="shared" si="167"/>
        <v>3721</v>
      </c>
      <c r="BF372" s="88">
        <v>0</v>
      </c>
      <c r="BG372" s="98">
        <v>0</v>
      </c>
      <c r="BH372" s="98">
        <v>0</v>
      </c>
      <c r="BI372" s="98">
        <v>3721</v>
      </c>
      <c r="BJ372" s="98"/>
      <c r="BK372" s="98"/>
      <c r="BL372" s="97"/>
    </row>
    <row r="373" spans="1:64" outlineLevel="5" x14ac:dyDescent="0.3">
      <c r="A373" s="152">
        <f t="shared" si="136"/>
        <v>11</v>
      </c>
      <c r="B373" s="153">
        <f t="shared" si="153"/>
        <v>45242</v>
      </c>
      <c r="C373" s="138" t="str">
        <f t="shared" si="158"/>
        <v/>
      </c>
      <c r="D373" s="84"/>
      <c r="E373" s="84"/>
      <c r="F373" s="84"/>
      <c r="G373" s="84"/>
      <c r="H373" s="84"/>
      <c r="I373" s="84"/>
      <c r="J373" s="84"/>
      <c r="K373" s="84"/>
      <c r="L373" s="140" t="str">
        <f t="shared" si="159"/>
        <v/>
      </c>
      <c r="M373" s="86"/>
      <c r="N373" s="86"/>
      <c r="O373" s="86"/>
      <c r="P373" s="86"/>
      <c r="Q373" s="86"/>
      <c r="R373" s="86"/>
      <c r="S373" s="86"/>
      <c r="T373" s="86"/>
      <c r="U373" s="142" t="str">
        <f t="shared" si="160"/>
        <v/>
      </c>
      <c r="V373" s="88"/>
      <c r="W373" s="88"/>
      <c r="X373" s="88"/>
      <c r="Y373" s="88"/>
      <c r="Z373" s="88"/>
      <c r="AA373" s="88"/>
      <c r="AB373" s="88"/>
      <c r="AC373" s="88"/>
      <c r="AD373" s="142" t="str">
        <f t="shared" si="161"/>
        <v/>
      </c>
      <c r="AE373" s="88"/>
      <c r="AF373" s="88"/>
      <c r="AG373" s="88"/>
      <c r="AH373" s="88"/>
      <c r="AI373" s="88"/>
      <c r="AJ373" s="88"/>
      <c r="AK373" s="88"/>
      <c r="AL373" s="88"/>
      <c r="AM373" s="88">
        <v>78.666666666666671</v>
      </c>
      <c r="AN373" s="88">
        <v>60</v>
      </c>
      <c r="AO373" s="89"/>
      <c r="AP373" s="90"/>
      <c r="AQ373" s="146" t="str">
        <f t="shared" si="162"/>
        <v/>
      </c>
      <c r="AR373" s="146" t="str">
        <f t="shared" si="163"/>
        <v/>
      </c>
      <c r="AS373" s="147">
        <v>0</v>
      </c>
      <c r="AT373" s="148"/>
      <c r="AU373" s="149"/>
      <c r="AV373" s="146" t="str">
        <f t="shared" si="164"/>
        <v/>
      </c>
      <c r="AW373" s="146" t="str">
        <f t="shared" si="165"/>
        <v/>
      </c>
      <c r="AX373" s="138" t="str">
        <f t="shared" si="166"/>
        <v/>
      </c>
      <c r="AY373" s="95"/>
      <c r="AZ373" s="96"/>
      <c r="BA373" s="96"/>
      <c r="BB373" s="96"/>
      <c r="BC373" s="96"/>
      <c r="BD373" s="97">
        <v>60</v>
      </c>
      <c r="BE373" s="142">
        <f t="shared" si="167"/>
        <v>3588</v>
      </c>
      <c r="BF373" s="88">
        <v>64</v>
      </c>
      <c r="BG373" s="98">
        <v>0</v>
      </c>
      <c r="BH373" s="98">
        <v>0</v>
      </c>
      <c r="BI373" s="98">
        <v>3524</v>
      </c>
      <c r="BJ373" s="98"/>
      <c r="BK373" s="98"/>
      <c r="BL373" s="97"/>
    </row>
    <row r="374" spans="1:64" outlineLevel="5" x14ac:dyDescent="0.3">
      <c r="A374" s="152">
        <f t="shared" si="136"/>
        <v>11</v>
      </c>
      <c r="B374" s="153">
        <f t="shared" si="153"/>
        <v>45243</v>
      </c>
      <c r="C374" s="138">
        <f t="shared" si="158"/>
        <v>35</v>
      </c>
      <c r="D374" s="84">
        <v>35</v>
      </c>
      <c r="E374" s="84">
        <v>35</v>
      </c>
      <c r="F374" s="84"/>
      <c r="G374" s="84"/>
      <c r="H374" s="84"/>
      <c r="I374" s="84"/>
      <c r="J374" s="84"/>
      <c r="K374" s="84"/>
      <c r="L374" s="140">
        <f t="shared" si="159"/>
        <v>8</v>
      </c>
      <c r="M374" s="86">
        <v>8.01</v>
      </c>
      <c r="N374" s="86">
        <v>7.99</v>
      </c>
      <c r="O374" s="86"/>
      <c r="P374" s="86"/>
      <c r="Q374" s="86"/>
      <c r="R374" s="86"/>
      <c r="S374" s="86"/>
      <c r="T374" s="86"/>
      <c r="U374" s="142">
        <f t="shared" si="160"/>
        <v>1335.4</v>
      </c>
      <c r="V374" s="88">
        <v>1211</v>
      </c>
      <c r="W374" s="88">
        <v>1459.7</v>
      </c>
      <c r="X374" s="88"/>
      <c r="Y374" s="88"/>
      <c r="Z374" s="88"/>
      <c r="AA374" s="88"/>
      <c r="AB374" s="88"/>
      <c r="AC374" s="88"/>
      <c r="AD374" s="142" t="str">
        <f t="shared" si="161"/>
        <v/>
      </c>
      <c r="AE374" s="88"/>
      <c r="AF374" s="88"/>
      <c r="AG374" s="88"/>
      <c r="AH374" s="88"/>
      <c r="AI374" s="88"/>
      <c r="AJ374" s="88"/>
      <c r="AK374" s="88"/>
      <c r="AL374" s="88"/>
      <c r="AM374" s="88">
        <v>40.781060998790387</v>
      </c>
      <c r="AN374" s="88">
        <v>115.74000000000001</v>
      </c>
      <c r="AO374" s="89">
        <v>14.8</v>
      </c>
      <c r="AP374" s="90">
        <v>11.97</v>
      </c>
      <c r="AQ374" s="146">
        <v>80.900000000000006</v>
      </c>
      <c r="AR374" s="146">
        <f t="shared" si="163"/>
        <v>19.099999999999994</v>
      </c>
      <c r="AS374" s="147">
        <v>26</v>
      </c>
      <c r="AT374" s="148">
        <v>14.600000000000001</v>
      </c>
      <c r="AU374" s="149">
        <v>8.1458000000000013</v>
      </c>
      <c r="AV374" s="146">
        <f t="shared" si="164"/>
        <v>55.793150684931511</v>
      </c>
      <c r="AW374" s="146">
        <f t="shared" si="165"/>
        <v>44.206849315068489</v>
      </c>
      <c r="AX374" s="138">
        <f t="shared" si="166"/>
        <v>70.202751045409286</v>
      </c>
      <c r="AY374" s="95">
        <v>75.75</v>
      </c>
      <c r="AZ374" s="96">
        <v>48.5</v>
      </c>
      <c r="BA374" s="96"/>
      <c r="BB374" s="96">
        <v>165.5</v>
      </c>
      <c r="BC374" s="96"/>
      <c r="BD374" s="97">
        <v>115.74000000000001</v>
      </c>
      <c r="BE374" s="142">
        <f t="shared" si="167"/>
        <v>8384</v>
      </c>
      <c r="BF374" s="88">
        <v>446</v>
      </c>
      <c r="BG374" s="98">
        <v>0</v>
      </c>
      <c r="BH374" s="98">
        <v>1716</v>
      </c>
      <c r="BI374" s="98">
        <v>6222</v>
      </c>
      <c r="BJ374" s="98"/>
      <c r="BK374" s="98"/>
      <c r="BL374" s="97"/>
    </row>
    <row r="375" spans="1:64" outlineLevel="5" x14ac:dyDescent="0.3">
      <c r="A375" s="152">
        <f t="shared" si="136"/>
        <v>11</v>
      </c>
      <c r="B375" s="153">
        <f t="shared" si="153"/>
        <v>45244</v>
      </c>
      <c r="C375" s="138" t="str">
        <f t="shared" si="158"/>
        <v/>
      </c>
      <c r="D375" s="84"/>
      <c r="E375" s="84"/>
      <c r="F375" s="84"/>
      <c r="G375" s="84"/>
      <c r="H375" s="84"/>
      <c r="I375" s="84"/>
      <c r="J375" s="84"/>
      <c r="K375" s="84"/>
      <c r="L375" s="140" t="str">
        <f t="shared" si="159"/>
        <v/>
      </c>
      <c r="M375" s="86"/>
      <c r="N375" s="86"/>
      <c r="O375" s="86"/>
      <c r="P375" s="86"/>
      <c r="Q375" s="86"/>
      <c r="R375" s="86"/>
      <c r="S375" s="86"/>
      <c r="T375" s="86"/>
      <c r="U375" s="142" t="str">
        <f t="shared" si="160"/>
        <v/>
      </c>
      <c r="V375" s="88"/>
      <c r="W375" s="88"/>
      <c r="X375" s="88"/>
      <c r="Y375" s="88"/>
      <c r="Z375" s="88"/>
      <c r="AA375" s="88"/>
      <c r="AB375" s="88"/>
      <c r="AC375" s="88"/>
      <c r="AD375" s="142" t="str">
        <f t="shared" si="161"/>
        <v/>
      </c>
      <c r="AE375" s="88"/>
      <c r="AF375" s="88"/>
      <c r="AG375" s="88"/>
      <c r="AH375" s="88"/>
      <c r="AI375" s="88"/>
      <c r="AJ375" s="88"/>
      <c r="AK375" s="88"/>
      <c r="AL375" s="88"/>
      <c r="AM375" s="88">
        <v>46.383647798742146</v>
      </c>
      <c r="AN375" s="88">
        <v>101.75999999999999</v>
      </c>
      <c r="AO375" s="89"/>
      <c r="AP375" s="90"/>
      <c r="AQ375" s="146" t="str">
        <f t="shared" si="162"/>
        <v/>
      </c>
      <c r="AR375" s="146" t="str">
        <f t="shared" si="163"/>
        <v/>
      </c>
      <c r="AS375" s="147">
        <v>21</v>
      </c>
      <c r="AT375" s="148"/>
      <c r="AU375" s="149"/>
      <c r="AV375" s="146" t="str">
        <f t="shared" si="164"/>
        <v/>
      </c>
      <c r="AW375" s="146" t="str">
        <f t="shared" si="165"/>
        <v/>
      </c>
      <c r="AX375" s="138" t="str">
        <f t="shared" si="166"/>
        <v/>
      </c>
      <c r="AY375" s="95"/>
      <c r="AZ375" s="96">
        <v>64.38</v>
      </c>
      <c r="BA375" s="96"/>
      <c r="BB375" s="96">
        <v>75</v>
      </c>
      <c r="BC375" s="96"/>
      <c r="BD375" s="97">
        <v>101.75999999999999</v>
      </c>
      <c r="BE375" s="142">
        <f t="shared" si="167"/>
        <v>7583</v>
      </c>
      <c r="BF375" s="88">
        <v>1986</v>
      </c>
      <c r="BG375" s="98">
        <v>0</v>
      </c>
      <c r="BH375" s="98">
        <v>0</v>
      </c>
      <c r="BI375" s="98">
        <v>5597</v>
      </c>
      <c r="BJ375" s="98"/>
      <c r="BK375" s="98"/>
      <c r="BL375" s="97"/>
    </row>
    <row r="376" spans="1:64" outlineLevel="5" x14ac:dyDescent="0.3">
      <c r="A376" s="152">
        <f t="shared" si="136"/>
        <v>11</v>
      </c>
      <c r="B376" s="153">
        <f t="shared" si="153"/>
        <v>45245</v>
      </c>
      <c r="C376" s="138">
        <f t="shared" si="158"/>
        <v>36.1</v>
      </c>
      <c r="D376" s="84">
        <v>35.799999999999997</v>
      </c>
      <c r="E376" s="84">
        <v>36.299999999999997</v>
      </c>
      <c r="F376" s="84"/>
      <c r="G376" s="84"/>
      <c r="H376" s="84"/>
      <c r="I376" s="84"/>
      <c r="J376" s="84"/>
      <c r="K376" s="84"/>
      <c r="L376" s="140" t="str">
        <f t="shared" si="159"/>
        <v/>
      </c>
      <c r="M376" s="86"/>
      <c r="N376" s="86"/>
      <c r="O376" s="86"/>
      <c r="P376" s="86"/>
      <c r="Q376" s="86"/>
      <c r="R376" s="86"/>
      <c r="S376" s="86"/>
      <c r="T376" s="86"/>
      <c r="U376" s="142" t="str">
        <f t="shared" si="160"/>
        <v/>
      </c>
      <c r="V376" s="88"/>
      <c r="W376" s="88"/>
      <c r="X376" s="88"/>
      <c r="Y376" s="88"/>
      <c r="Z376" s="88"/>
      <c r="AA376" s="88"/>
      <c r="AB376" s="88"/>
      <c r="AC376" s="88"/>
      <c r="AD376" s="142" t="str">
        <f t="shared" si="161"/>
        <v/>
      </c>
      <c r="AE376" s="88"/>
      <c r="AF376" s="88"/>
      <c r="AG376" s="88"/>
      <c r="AH376" s="88"/>
      <c r="AI376" s="88"/>
      <c r="AJ376" s="88"/>
      <c r="AK376" s="88"/>
      <c r="AL376" s="88"/>
      <c r="AM376" s="88">
        <v>32.752758309624589</v>
      </c>
      <c r="AN376" s="88">
        <v>144.11000000000001</v>
      </c>
      <c r="AO376" s="89"/>
      <c r="AP376" s="90"/>
      <c r="AQ376" s="146" t="str">
        <f t="shared" si="162"/>
        <v/>
      </c>
      <c r="AR376" s="146" t="str">
        <f t="shared" si="163"/>
        <v/>
      </c>
      <c r="AS376" s="147">
        <v>37</v>
      </c>
      <c r="AT376" s="148"/>
      <c r="AU376" s="149"/>
      <c r="AV376" s="146" t="str">
        <f t="shared" si="164"/>
        <v/>
      </c>
      <c r="AW376" s="146" t="str">
        <f t="shared" si="165"/>
        <v/>
      </c>
      <c r="AX376" s="138" t="str">
        <f t="shared" si="166"/>
        <v/>
      </c>
      <c r="AY376" s="95"/>
      <c r="AZ376" s="96">
        <v>58.69</v>
      </c>
      <c r="BA376" s="96"/>
      <c r="BB376" s="96">
        <v>104</v>
      </c>
      <c r="BC376" s="96"/>
      <c r="BD376" s="97">
        <v>144.11000000000001</v>
      </c>
      <c r="BE376" s="142">
        <f t="shared" si="167"/>
        <v>8312</v>
      </c>
      <c r="BF376" s="88">
        <v>1889</v>
      </c>
      <c r="BG376" s="98">
        <v>0</v>
      </c>
      <c r="BH376" s="98">
        <v>0</v>
      </c>
      <c r="BI376" s="98">
        <v>6423</v>
      </c>
      <c r="BJ376" s="98"/>
      <c r="BK376" s="98"/>
      <c r="BL376" s="97"/>
    </row>
    <row r="377" spans="1:64" outlineLevel="5" x14ac:dyDescent="0.3">
      <c r="A377" s="152">
        <f t="shared" si="136"/>
        <v>11</v>
      </c>
      <c r="B377" s="153">
        <f t="shared" si="153"/>
        <v>45246</v>
      </c>
      <c r="C377" s="138">
        <f t="shared" si="158"/>
        <v>37.5</v>
      </c>
      <c r="D377" s="84"/>
      <c r="E377" s="84">
        <v>37.5</v>
      </c>
      <c r="F377" s="84"/>
      <c r="G377" s="84"/>
      <c r="H377" s="84"/>
      <c r="I377" s="84"/>
      <c r="J377" s="84"/>
      <c r="K377" s="84"/>
      <c r="L377" s="140">
        <f t="shared" si="159"/>
        <v>8.1</v>
      </c>
      <c r="M377" s="86"/>
      <c r="N377" s="86">
        <v>8.09</v>
      </c>
      <c r="O377" s="86"/>
      <c r="P377" s="86"/>
      <c r="Q377" s="86"/>
      <c r="R377" s="86"/>
      <c r="S377" s="86"/>
      <c r="T377" s="86"/>
      <c r="U377" s="142">
        <f t="shared" si="160"/>
        <v>1513.8</v>
      </c>
      <c r="V377" s="88"/>
      <c r="W377" s="88">
        <v>1513.8</v>
      </c>
      <c r="X377" s="88"/>
      <c r="Y377" s="88"/>
      <c r="Z377" s="88"/>
      <c r="AA377" s="88"/>
      <c r="AB377" s="88"/>
      <c r="AC377" s="88"/>
      <c r="AD377" s="142" t="str">
        <f t="shared" si="161"/>
        <v/>
      </c>
      <c r="AE377" s="88"/>
      <c r="AF377" s="88"/>
      <c r="AG377" s="88"/>
      <c r="AH377" s="88"/>
      <c r="AI377" s="88"/>
      <c r="AJ377" s="88"/>
      <c r="AK377" s="88"/>
      <c r="AL377" s="88"/>
      <c r="AM377" s="88">
        <v>33.434865764680879</v>
      </c>
      <c r="AN377" s="88">
        <v>141.17000000000002</v>
      </c>
      <c r="AO377" s="89"/>
      <c r="AP377" s="90"/>
      <c r="AQ377" s="146" t="str">
        <f t="shared" si="162"/>
        <v/>
      </c>
      <c r="AR377" s="146" t="str">
        <f t="shared" si="163"/>
        <v/>
      </c>
      <c r="AS377" s="147">
        <v>37</v>
      </c>
      <c r="AT377" s="148">
        <v>13.1</v>
      </c>
      <c r="AU377" s="149">
        <v>6.6940999999999997</v>
      </c>
      <c r="AV377" s="146">
        <f t="shared" si="164"/>
        <v>51.1</v>
      </c>
      <c r="AW377" s="146">
        <f t="shared" si="165"/>
        <v>48.9</v>
      </c>
      <c r="AX377" s="138" t="str">
        <f t="shared" si="166"/>
        <v/>
      </c>
      <c r="AY377" s="95">
        <v>73.099999999999994</v>
      </c>
      <c r="AZ377" s="96">
        <v>63.730000000000004</v>
      </c>
      <c r="BA377" s="96"/>
      <c r="BB377" s="96">
        <v>80</v>
      </c>
      <c r="BC377" s="96"/>
      <c r="BD377" s="97">
        <v>141.17000000000002</v>
      </c>
      <c r="BE377" s="142">
        <f t="shared" si="167"/>
        <v>6818</v>
      </c>
      <c r="BF377" s="88">
        <v>587</v>
      </c>
      <c r="BG377" s="98">
        <v>0</v>
      </c>
      <c r="BH377" s="98">
        <v>0</v>
      </c>
      <c r="BI377" s="98">
        <v>6231</v>
      </c>
      <c r="BJ377" s="98"/>
      <c r="BK377" s="98"/>
      <c r="BL377" s="97"/>
    </row>
    <row r="378" spans="1:64" outlineLevel="5" x14ac:dyDescent="0.3">
      <c r="A378" s="152">
        <f t="shared" si="136"/>
        <v>11</v>
      </c>
      <c r="B378" s="153">
        <f t="shared" si="153"/>
        <v>45247</v>
      </c>
      <c r="C378" s="138" t="str">
        <f t="shared" si="158"/>
        <v/>
      </c>
      <c r="D378" s="84"/>
      <c r="E378" s="84"/>
      <c r="F378" s="84"/>
      <c r="G378" s="84"/>
      <c r="H378" s="84"/>
      <c r="I378" s="84"/>
      <c r="J378" s="84"/>
      <c r="K378" s="84"/>
      <c r="L378" s="140" t="str">
        <f t="shared" si="159"/>
        <v/>
      </c>
      <c r="M378" s="86"/>
      <c r="N378" s="86"/>
      <c r="O378" s="86"/>
      <c r="P378" s="86"/>
      <c r="Q378" s="86"/>
      <c r="R378" s="86"/>
      <c r="S378" s="86"/>
      <c r="T378" s="86"/>
      <c r="U378" s="142" t="str">
        <f t="shared" si="160"/>
        <v/>
      </c>
      <c r="V378" s="88"/>
      <c r="W378" s="88"/>
      <c r="X378" s="88"/>
      <c r="Y378" s="88"/>
      <c r="Z378" s="88"/>
      <c r="AA378" s="88"/>
      <c r="AB378" s="88"/>
      <c r="AC378" s="88"/>
      <c r="AD378" s="142" t="str">
        <f t="shared" si="161"/>
        <v/>
      </c>
      <c r="AE378" s="88"/>
      <c r="AF378" s="88"/>
      <c r="AG378" s="88"/>
      <c r="AH378" s="88"/>
      <c r="AI378" s="88"/>
      <c r="AJ378" s="88"/>
      <c r="AK378" s="88"/>
      <c r="AL378" s="88"/>
      <c r="AM378" s="88">
        <v>45.098413911714125</v>
      </c>
      <c r="AN378" s="88">
        <v>104.66</v>
      </c>
      <c r="AO378" s="89"/>
      <c r="AP378" s="90"/>
      <c r="AQ378" s="146" t="str">
        <f t="shared" si="162"/>
        <v/>
      </c>
      <c r="AR378" s="146" t="str">
        <f t="shared" si="163"/>
        <v/>
      </c>
      <c r="AS378" s="147">
        <v>22</v>
      </c>
      <c r="AT378" s="148"/>
      <c r="AU378" s="149"/>
      <c r="AV378" s="146" t="str">
        <f t="shared" si="164"/>
        <v/>
      </c>
      <c r="AW378" s="146" t="str">
        <f t="shared" si="165"/>
        <v/>
      </c>
      <c r="AX378" s="138" t="str">
        <f t="shared" si="166"/>
        <v/>
      </c>
      <c r="AY378" s="95"/>
      <c r="AZ378" s="96">
        <v>59.67</v>
      </c>
      <c r="BA378" s="96"/>
      <c r="BB378" s="96">
        <v>106.5</v>
      </c>
      <c r="BC378" s="96"/>
      <c r="BD378" s="97">
        <v>104.66</v>
      </c>
      <c r="BE378" s="142">
        <f t="shared" si="167"/>
        <v>8444</v>
      </c>
      <c r="BF378" s="88">
        <v>2037</v>
      </c>
      <c r="BG378" s="98">
        <v>0</v>
      </c>
      <c r="BH378" s="98">
        <v>0</v>
      </c>
      <c r="BI378" s="98">
        <v>6407</v>
      </c>
      <c r="BJ378" s="98"/>
      <c r="BK378" s="98"/>
      <c r="BL378" s="97"/>
    </row>
    <row r="379" spans="1:64" outlineLevel="5" x14ac:dyDescent="0.3">
      <c r="A379" s="152">
        <f t="shared" ref="A379:A426" si="168">MONTH(B379)</f>
        <v>11</v>
      </c>
      <c r="B379" s="153">
        <f t="shared" si="153"/>
        <v>45248</v>
      </c>
      <c r="C379" s="138" t="str">
        <f t="shared" si="158"/>
        <v/>
      </c>
      <c r="D379" s="84"/>
      <c r="E379" s="84"/>
      <c r="F379" s="84"/>
      <c r="G379" s="84"/>
      <c r="H379" s="84"/>
      <c r="I379" s="84"/>
      <c r="J379" s="84"/>
      <c r="K379" s="84"/>
      <c r="L379" s="140" t="str">
        <f t="shared" si="159"/>
        <v/>
      </c>
      <c r="M379" s="86"/>
      <c r="N379" s="86"/>
      <c r="O379" s="86"/>
      <c r="P379" s="86"/>
      <c r="Q379" s="86"/>
      <c r="R379" s="86"/>
      <c r="S379" s="86"/>
      <c r="T379" s="86"/>
      <c r="U379" s="142" t="str">
        <f t="shared" si="160"/>
        <v/>
      </c>
      <c r="V379" s="88"/>
      <c r="W379" s="88"/>
      <c r="X379" s="88"/>
      <c r="Y379" s="88"/>
      <c r="Z379" s="88"/>
      <c r="AA379" s="88"/>
      <c r="AB379" s="88"/>
      <c r="AC379" s="88"/>
      <c r="AD379" s="142" t="str">
        <f t="shared" si="161"/>
        <v/>
      </c>
      <c r="AE379" s="88"/>
      <c r="AF379" s="88"/>
      <c r="AG379" s="88"/>
      <c r="AH379" s="88"/>
      <c r="AI379" s="88"/>
      <c r="AJ379" s="88"/>
      <c r="AK379" s="88"/>
      <c r="AL379" s="88"/>
      <c r="AM379" s="88">
        <v>51.132055031957535</v>
      </c>
      <c r="AN379" s="88">
        <v>92.31</v>
      </c>
      <c r="AO379" s="89"/>
      <c r="AP379" s="90"/>
      <c r="AQ379" s="146" t="str">
        <f t="shared" si="162"/>
        <v/>
      </c>
      <c r="AR379" s="146" t="str">
        <f t="shared" si="163"/>
        <v/>
      </c>
      <c r="AS379" s="147">
        <v>10</v>
      </c>
      <c r="AT379" s="148"/>
      <c r="AU379" s="149"/>
      <c r="AV379" s="146" t="str">
        <f t="shared" si="164"/>
        <v/>
      </c>
      <c r="AW379" s="146" t="str">
        <f t="shared" si="165"/>
        <v/>
      </c>
      <c r="AX379" s="138" t="str">
        <f t="shared" si="166"/>
        <v/>
      </c>
      <c r="AY379" s="95"/>
      <c r="AZ379" s="96"/>
      <c r="BA379" s="96"/>
      <c r="BB379" s="96"/>
      <c r="BC379" s="96"/>
      <c r="BD379" s="97">
        <v>92.31</v>
      </c>
      <c r="BE379" s="142">
        <f t="shared" si="167"/>
        <v>7722</v>
      </c>
      <c r="BF379" s="88">
        <v>2040</v>
      </c>
      <c r="BG379" s="98">
        <v>0</v>
      </c>
      <c r="BH379" s="98">
        <v>0</v>
      </c>
      <c r="BI379" s="98">
        <v>5682</v>
      </c>
      <c r="BJ379" s="98"/>
      <c r="BK379" s="98"/>
      <c r="BL379" s="97"/>
    </row>
    <row r="380" spans="1:64" outlineLevel="5" x14ac:dyDescent="0.3">
      <c r="A380" s="152">
        <f t="shared" si="168"/>
        <v>11</v>
      </c>
      <c r="B380" s="153">
        <f t="shared" si="153"/>
        <v>45249</v>
      </c>
      <c r="C380" s="138" t="str">
        <f t="shared" si="158"/>
        <v/>
      </c>
      <c r="D380" s="84"/>
      <c r="E380" s="84"/>
      <c r="F380" s="84"/>
      <c r="G380" s="84"/>
      <c r="H380" s="84"/>
      <c r="I380" s="84"/>
      <c r="J380" s="84"/>
      <c r="K380" s="84"/>
      <c r="L380" s="140" t="str">
        <f t="shared" si="159"/>
        <v/>
      </c>
      <c r="M380" s="86"/>
      <c r="N380" s="86"/>
      <c r="O380" s="86"/>
      <c r="P380" s="86"/>
      <c r="Q380" s="86"/>
      <c r="R380" s="86"/>
      <c r="S380" s="86"/>
      <c r="T380" s="86"/>
      <c r="U380" s="142" t="str">
        <f t="shared" si="160"/>
        <v/>
      </c>
      <c r="V380" s="88"/>
      <c r="W380" s="88"/>
      <c r="X380" s="88"/>
      <c r="Y380" s="88"/>
      <c r="Z380" s="88"/>
      <c r="AA380" s="88"/>
      <c r="AB380" s="88"/>
      <c r="AC380" s="88"/>
      <c r="AD380" s="142" t="str">
        <f t="shared" si="161"/>
        <v/>
      </c>
      <c r="AE380" s="88"/>
      <c r="AF380" s="88"/>
      <c r="AG380" s="88"/>
      <c r="AH380" s="88"/>
      <c r="AI380" s="88"/>
      <c r="AJ380" s="88"/>
      <c r="AK380" s="88"/>
      <c r="AL380" s="88"/>
      <c r="AM380" s="88">
        <v>37.76</v>
      </c>
      <c r="AN380" s="88">
        <v>125</v>
      </c>
      <c r="AO380" s="89"/>
      <c r="AP380" s="90"/>
      <c r="AQ380" s="146" t="str">
        <f t="shared" si="162"/>
        <v/>
      </c>
      <c r="AR380" s="146" t="str">
        <f t="shared" si="163"/>
        <v/>
      </c>
      <c r="AS380" s="147">
        <v>10</v>
      </c>
      <c r="AT380" s="148"/>
      <c r="AU380" s="149"/>
      <c r="AV380" s="146" t="str">
        <f t="shared" si="164"/>
        <v/>
      </c>
      <c r="AW380" s="146" t="str">
        <f t="shared" si="165"/>
        <v/>
      </c>
      <c r="AX380" s="138" t="str">
        <f t="shared" si="166"/>
        <v/>
      </c>
      <c r="AY380" s="95"/>
      <c r="AZ380" s="96"/>
      <c r="BA380" s="96"/>
      <c r="BB380" s="96"/>
      <c r="BC380" s="96"/>
      <c r="BD380" s="97">
        <v>125</v>
      </c>
      <c r="BE380" s="142">
        <f t="shared" si="167"/>
        <v>6379</v>
      </c>
      <c r="BF380" s="88">
        <v>963</v>
      </c>
      <c r="BG380" s="98">
        <v>0</v>
      </c>
      <c r="BH380" s="98">
        <v>0</v>
      </c>
      <c r="BI380" s="98">
        <v>5416</v>
      </c>
      <c r="BJ380" s="98"/>
      <c r="BK380" s="98"/>
      <c r="BL380" s="97"/>
    </row>
    <row r="381" spans="1:64" outlineLevel="5" x14ac:dyDescent="0.3">
      <c r="A381" s="152">
        <f t="shared" si="168"/>
        <v>11</v>
      </c>
      <c r="B381" s="153">
        <f t="shared" si="153"/>
        <v>45250</v>
      </c>
      <c r="C381" s="138">
        <f t="shared" si="158"/>
        <v>37.5</v>
      </c>
      <c r="D381" s="84">
        <v>37</v>
      </c>
      <c r="E381" s="84">
        <v>38</v>
      </c>
      <c r="F381" s="84"/>
      <c r="G381" s="84"/>
      <c r="H381" s="84"/>
      <c r="I381" s="84"/>
      <c r="J381" s="84"/>
      <c r="K381" s="84"/>
      <c r="L381" s="140" t="str">
        <f t="shared" si="159"/>
        <v/>
      </c>
      <c r="M381" s="86"/>
      <c r="N381" s="86"/>
      <c r="O381" s="86"/>
      <c r="P381" s="86"/>
      <c r="Q381" s="86"/>
      <c r="R381" s="86"/>
      <c r="S381" s="86"/>
      <c r="T381" s="86"/>
      <c r="U381" s="142" t="str">
        <f t="shared" si="160"/>
        <v/>
      </c>
      <c r="V381" s="88"/>
      <c r="W381" s="88"/>
      <c r="X381" s="88"/>
      <c r="Y381" s="88"/>
      <c r="Z381" s="88"/>
      <c r="AA381" s="88"/>
      <c r="AB381" s="88"/>
      <c r="AC381" s="88"/>
      <c r="AD381" s="142" t="str">
        <f t="shared" si="161"/>
        <v/>
      </c>
      <c r="AE381" s="88"/>
      <c r="AF381" s="88"/>
      <c r="AG381" s="88"/>
      <c r="AH381" s="88"/>
      <c r="AI381" s="88"/>
      <c r="AJ381" s="88"/>
      <c r="AK381" s="88"/>
      <c r="AL381" s="88"/>
      <c r="AM381" s="88">
        <v>38.231005993844157</v>
      </c>
      <c r="AN381" s="88">
        <v>123.46000000000001</v>
      </c>
      <c r="AO381" s="89"/>
      <c r="AP381" s="90"/>
      <c r="AQ381" s="146" t="str">
        <f t="shared" si="162"/>
        <v/>
      </c>
      <c r="AR381" s="146" t="str">
        <f t="shared" si="163"/>
        <v/>
      </c>
      <c r="AS381" s="147">
        <v>45</v>
      </c>
      <c r="AT381" s="148"/>
      <c r="AU381" s="149"/>
      <c r="AV381" s="146" t="str">
        <f t="shared" si="164"/>
        <v/>
      </c>
      <c r="AW381" s="146" t="str">
        <f t="shared" si="165"/>
        <v/>
      </c>
      <c r="AX381" s="138" t="str">
        <f t="shared" si="166"/>
        <v/>
      </c>
      <c r="AY381" s="95"/>
      <c r="AZ381" s="96">
        <v>58.894999999999996</v>
      </c>
      <c r="BA381" s="96"/>
      <c r="BB381" s="96">
        <v>103.5</v>
      </c>
      <c r="BC381" s="96"/>
      <c r="BD381" s="97">
        <v>123.46000000000001</v>
      </c>
      <c r="BE381" s="142">
        <f t="shared" si="167"/>
        <v>7756</v>
      </c>
      <c r="BF381" s="88">
        <v>1636</v>
      </c>
      <c r="BG381" s="98">
        <v>0</v>
      </c>
      <c r="BH381" s="98">
        <v>0</v>
      </c>
      <c r="BI381" s="98">
        <v>6120</v>
      </c>
      <c r="BJ381" s="98"/>
      <c r="BK381" s="98"/>
      <c r="BL381" s="97"/>
    </row>
    <row r="382" spans="1:64" outlineLevel="5" x14ac:dyDescent="0.3">
      <c r="A382" s="152">
        <f t="shared" si="168"/>
        <v>11</v>
      </c>
      <c r="B382" s="153">
        <f t="shared" si="153"/>
        <v>45251</v>
      </c>
      <c r="C382" s="138" t="str">
        <f t="shared" si="158"/>
        <v/>
      </c>
      <c r="D382" s="84"/>
      <c r="E382" s="84"/>
      <c r="F382" s="84"/>
      <c r="G382" s="84"/>
      <c r="H382" s="84"/>
      <c r="I382" s="84"/>
      <c r="J382" s="84"/>
      <c r="K382" s="84"/>
      <c r="L382" s="140" t="str">
        <f t="shared" si="159"/>
        <v/>
      </c>
      <c r="M382" s="86"/>
      <c r="N382" s="86"/>
      <c r="O382" s="86"/>
      <c r="P382" s="86"/>
      <c r="Q382" s="86"/>
      <c r="R382" s="86"/>
      <c r="S382" s="86"/>
      <c r="T382" s="86"/>
      <c r="U382" s="142" t="str">
        <f t="shared" si="160"/>
        <v/>
      </c>
      <c r="V382" s="88"/>
      <c r="W382" s="88"/>
      <c r="X382" s="88"/>
      <c r="Y382" s="88"/>
      <c r="Z382" s="88"/>
      <c r="AA382" s="88"/>
      <c r="AB382" s="88"/>
      <c r="AC382" s="88"/>
      <c r="AD382" s="142" t="str">
        <f t="shared" si="161"/>
        <v/>
      </c>
      <c r="AE382" s="88"/>
      <c r="AF382" s="88"/>
      <c r="AG382" s="88"/>
      <c r="AH382" s="88"/>
      <c r="AI382" s="88"/>
      <c r="AJ382" s="88"/>
      <c r="AK382" s="88"/>
      <c r="AL382" s="88"/>
      <c r="AM382" s="88">
        <v>33.908045977011497</v>
      </c>
      <c r="AN382" s="88">
        <v>139.19999999999999</v>
      </c>
      <c r="AO382" s="89"/>
      <c r="AP382" s="90"/>
      <c r="AQ382" s="146" t="str">
        <f t="shared" si="162"/>
        <v/>
      </c>
      <c r="AR382" s="146" t="str">
        <f t="shared" si="163"/>
        <v/>
      </c>
      <c r="AS382" s="147">
        <v>20</v>
      </c>
      <c r="AT382" s="148"/>
      <c r="AU382" s="149"/>
      <c r="AV382" s="146" t="str">
        <f t="shared" si="164"/>
        <v/>
      </c>
      <c r="AW382" s="146" t="str">
        <f t="shared" si="165"/>
        <v/>
      </c>
      <c r="AX382" s="138" t="str">
        <f t="shared" si="166"/>
        <v/>
      </c>
      <c r="AY382" s="95"/>
      <c r="AZ382" s="96">
        <v>55.614999999999995</v>
      </c>
      <c r="BA382" s="96"/>
      <c r="BB382" s="96">
        <v>99</v>
      </c>
      <c r="BC382" s="96"/>
      <c r="BD382" s="97">
        <v>139.19999999999999</v>
      </c>
      <c r="BE382" s="142">
        <f t="shared" si="167"/>
        <v>6763</v>
      </c>
      <c r="BF382" s="88">
        <v>0</v>
      </c>
      <c r="BG382" s="98">
        <v>0</v>
      </c>
      <c r="BH382" s="98">
        <v>0</v>
      </c>
      <c r="BI382" s="98">
        <v>6763</v>
      </c>
      <c r="BJ382" s="98"/>
      <c r="BK382" s="98"/>
      <c r="BL382" s="97"/>
    </row>
    <row r="383" spans="1:64" outlineLevel="5" x14ac:dyDescent="0.3">
      <c r="A383" s="152">
        <f t="shared" si="168"/>
        <v>11</v>
      </c>
      <c r="B383" s="153">
        <f t="shared" si="153"/>
        <v>45252</v>
      </c>
      <c r="C383" s="138">
        <f t="shared" si="158"/>
        <v>37.4</v>
      </c>
      <c r="D383" s="84">
        <v>36.5</v>
      </c>
      <c r="E383" s="84">
        <v>38.299999999999997</v>
      </c>
      <c r="F383" s="84"/>
      <c r="G383" s="84"/>
      <c r="H383" s="84"/>
      <c r="I383" s="84"/>
      <c r="J383" s="84"/>
      <c r="K383" s="84"/>
      <c r="L383" s="140">
        <f t="shared" si="159"/>
        <v>8.1999999999999993</v>
      </c>
      <c r="M383" s="86">
        <v>8.17</v>
      </c>
      <c r="N383" s="86">
        <v>8.19</v>
      </c>
      <c r="O383" s="86"/>
      <c r="P383" s="86"/>
      <c r="Q383" s="86"/>
      <c r="R383" s="86"/>
      <c r="S383" s="86"/>
      <c r="T383" s="86"/>
      <c r="U383" s="142">
        <f t="shared" si="160"/>
        <v>1227</v>
      </c>
      <c r="V383" s="88">
        <v>1070</v>
      </c>
      <c r="W383" s="88">
        <v>1384</v>
      </c>
      <c r="X383" s="88"/>
      <c r="Y383" s="88"/>
      <c r="Z383" s="88"/>
      <c r="AA383" s="88"/>
      <c r="AB383" s="88"/>
      <c r="AC383" s="88"/>
      <c r="AD383" s="142" t="str">
        <f t="shared" si="161"/>
        <v/>
      </c>
      <c r="AE383" s="88"/>
      <c r="AF383" s="88"/>
      <c r="AG383" s="88"/>
      <c r="AH383" s="88"/>
      <c r="AI383" s="88"/>
      <c r="AJ383" s="88"/>
      <c r="AK383" s="88"/>
      <c r="AL383" s="88"/>
      <c r="AM383" s="88">
        <v>29.087323596475009</v>
      </c>
      <c r="AN383" s="88">
        <v>162.27000000000001</v>
      </c>
      <c r="AO383" s="89">
        <v>18.5</v>
      </c>
      <c r="AP383" s="90">
        <v>14.781500000000001</v>
      </c>
      <c r="AQ383" s="146">
        <f t="shared" si="162"/>
        <v>79.900000000000006</v>
      </c>
      <c r="AR383" s="146">
        <f t="shared" si="163"/>
        <v>20.099999999999994</v>
      </c>
      <c r="AS383" s="147">
        <v>20</v>
      </c>
      <c r="AT383" s="148">
        <v>15.450000000000001</v>
      </c>
      <c r="AU383" s="149">
        <v>9.1285000000000007</v>
      </c>
      <c r="AV383" s="146">
        <f t="shared" si="164"/>
        <v>59.084142394822003</v>
      </c>
      <c r="AW383" s="146">
        <f t="shared" si="165"/>
        <v>40.915857605177997</v>
      </c>
      <c r="AX383" s="138">
        <f t="shared" si="166"/>
        <v>63.673081821310909</v>
      </c>
      <c r="AY383" s="95">
        <v>75.7</v>
      </c>
      <c r="AZ383" s="96">
        <v>58.415000000000006</v>
      </c>
      <c r="BA383" s="96"/>
      <c r="BB383" s="96">
        <v>108.5</v>
      </c>
      <c r="BC383" s="96"/>
      <c r="BD383" s="97">
        <v>162.27000000000001</v>
      </c>
      <c r="BE383" s="142">
        <f t="shared" si="167"/>
        <v>7184</v>
      </c>
      <c r="BF383" s="88">
        <v>564</v>
      </c>
      <c r="BG383" s="98">
        <v>0</v>
      </c>
      <c r="BH383" s="98">
        <v>0</v>
      </c>
      <c r="BI383" s="98">
        <v>6620</v>
      </c>
      <c r="BJ383" s="98"/>
      <c r="BK383" s="98"/>
      <c r="BL383" s="97"/>
    </row>
    <row r="384" spans="1:64" outlineLevel="5" x14ac:dyDescent="0.3">
      <c r="A384" s="152">
        <f t="shared" si="168"/>
        <v>11</v>
      </c>
      <c r="B384" s="153">
        <f t="shared" si="153"/>
        <v>45253</v>
      </c>
      <c r="C384" s="138">
        <f t="shared" si="158"/>
        <v>38.4</v>
      </c>
      <c r="D384" s="84">
        <v>38.4</v>
      </c>
      <c r="E384" s="84">
        <v>38.299999999999997</v>
      </c>
      <c r="F384" s="84"/>
      <c r="G384" s="84"/>
      <c r="H384" s="84"/>
      <c r="I384" s="84"/>
      <c r="J384" s="84"/>
      <c r="K384" s="84"/>
      <c r="L384" s="140">
        <f t="shared" si="159"/>
        <v>8.1999999999999993</v>
      </c>
      <c r="M384" s="86">
        <v>8.17</v>
      </c>
      <c r="N384" s="86">
        <v>8.19</v>
      </c>
      <c r="O384" s="86"/>
      <c r="P384" s="86"/>
      <c r="Q384" s="86"/>
      <c r="R384" s="86"/>
      <c r="S384" s="86"/>
      <c r="T384" s="86"/>
      <c r="U384" s="142">
        <f t="shared" si="160"/>
        <v>1583.9</v>
      </c>
      <c r="V384" s="88">
        <v>1708</v>
      </c>
      <c r="W384" s="88">
        <v>1459.7</v>
      </c>
      <c r="X384" s="88"/>
      <c r="Y384" s="88"/>
      <c r="Z384" s="88"/>
      <c r="AA384" s="88"/>
      <c r="AB384" s="88"/>
      <c r="AC384" s="88"/>
      <c r="AD384" s="142" t="str">
        <f t="shared" si="161"/>
        <v/>
      </c>
      <c r="AE384" s="88"/>
      <c r="AF384" s="88"/>
      <c r="AG384" s="88"/>
      <c r="AH384" s="88"/>
      <c r="AI384" s="88"/>
      <c r="AJ384" s="88"/>
      <c r="AK384" s="88"/>
      <c r="AL384" s="88"/>
      <c r="AM384" s="88">
        <v>44.038066803508116</v>
      </c>
      <c r="AN384" s="88">
        <v>107.18</v>
      </c>
      <c r="AO384" s="89">
        <v>17.3</v>
      </c>
      <c r="AP384" s="90">
        <v>13.84</v>
      </c>
      <c r="AQ384" s="146">
        <v>80</v>
      </c>
      <c r="AR384" s="146">
        <f t="shared" si="163"/>
        <v>20</v>
      </c>
      <c r="AS384" s="147">
        <v>23</v>
      </c>
      <c r="AT384" s="148">
        <v>15.95</v>
      </c>
      <c r="AU384" s="149">
        <v>9.0822000000000003</v>
      </c>
      <c r="AV384" s="146">
        <f t="shared" si="164"/>
        <v>56.941692789968656</v>
      </c>
      <c r="AW384" s="146">
        <f t="shared" si="165"/>
        <v>43.058307210031344</v>
      </c>
      <c r="AX384" s="138">
        <f t="shared" si="166"/>
        <v>66.939194501878333</v>
      </c>
      <c r="AY384" s="95">
        <v>77.349999999999994</v>
      </c>
      <c r="AZ384" s="96">
        <v>63.385000000000005</v>
      </c>
      <c r="BA384" s="96"/>
      <c r="BB384" s="96">
        <v>82.5</v>
      </c>
      <c r="BC384" s="96"/>
      <c r="BD384" s="97">
        <v>107.18</v>
      </c>
      <c r="BE384" s="142">
        <f t="shared" si="167"/>
        <v>6699</v>
      </c>
      <c r="BF384" s="88">
        <v>929</v>
      </c>
      <c r="BG384" s="98">
        <v>0</v>
      </c>
      <c r="BH384" s="98">
        <v>0</v>
      </c>
      <c r="BI384" s="98">
        <v>5770</v>
      </c>
      <c r="BJ384" s="98"/>
      <c r="BK384" s="98"/>
      <c r="BL384" s="97"/>
    </row>
    <row r="385" spans="1:64" outlineLevel="5" x14ac:dyDescent="0.3">
      <c r="A385" s="152">
        <f t="shared" si="168"/>
        <v>11</v>
      </c>
      <c r="B385" s="153">
        <f t="shared" si="153"/>
        <v>45254</v>
      </c>
      <c r="C385" s="138" t="str">
        <f t="shared" si="158"/>
        <v/>
      </c>
      <c r="D385" s="84"/>
      <c r="E385" s="84"/>
      <c r="F385" s="84"/>
      <c r="G385" s="84"/>
      <c r="H385" s="84"/>
      <c r="I385" s="84"/>
      <c r="J385" s="84"/>
      <c r="K385" s="84"/>
      <c r="L385" s="140" t="str">
        <f t="shared" si="159"/>
        <v/>
      </c>
      <c r="M385" s="86"/>
      <c r="N385" s="86"/>
      <c r="O385" s="86"/>
      <c r="P385" s="86"/>
      <c r="Q385" s="86"/>
      <c r="R385" s="86"/>
      <c r="S385" s="86"/>
      <c r="T385" s="86"/>
      <c r="U385" s="142" t="str">
        <f t="shared" si="160"/>
        <v/>
      </c>
      <c r="V385" s="88"/>
      <c r="W385" s="88"/>
      <c r="X385" s="88"/>
      <c r="Y385" s="88"/>
      <c r="Z385" s="88"/>
      <c r="AA385" s="88"/>
      <c r="AB385" s="88"/>
      <c r="AC385" s="88"/>
      <c r="AD385" s="142" t="str">
        <f t="shared" si="161"/>
        <v/>
      </c>
      <c r="AE385" s="88"/>
      <c r="AF385" s="88"/>
      <c r="AG385" s="88"/>
      <c r="AH385" s="88"/>
      <c r="AI385" s="88"/>
      <c r="AJ385" s="88"/>
      <c r="AK385" s="88"/>
      <c r="AL385" s="88"/>
      <c r="AM385" s="88">
        <v>33.074066288276924</v>
      </c>
      <c r="AN385" s="88">
        <v>142.71</v>
      </c>
      <c r="AO385" s="89"/>
      <c r="AP385" s="90"/>
      <c r="AQ385" s="146" t="str">
        <f t="shared" si="162"/>
        <v/>
      </c>
      <c r="AR385" s="146" t="str">
        <f t="shared" si="163"/>
        <v/>
      </c>
      <c r="AS385" s="147">
        <v>21</v>
      </c>
      <c r="AT385" s="148"/>
      <c r="AU385" s="149"/>
      <c r="AV385" s="146" t="str">
        <f t="shared" si="164"/>
        <v/>
      </c>
      <c r="AW385" s="146" t="str">
        <f t="shared" si="165"/>
        <v/>
      </c>
      <c r="AX385" s="138" t="str">
        <f t="shared" si="166"/>
        <v/>
      </c>
      <c r="AY385" s="95"/>
      <c r="AZ385" s="96">
        <v>61.66</v>
      </c>
      <c r="BA385" s="96"/>
      <c r="BB385" s="96">
        <v>111</v>
      </c>
      <c r="BC385" s="96"/>
      <c r="BD385" s="97">
        <v>142.71</v>
      </c>
      <c r="BE385" s="142">
        <f t="shared" si="167"/>
        <v>6351</v>
      </c>
      <c r="BF385" s="88">
        <v>787</v>
      </c>
      <c r="BG385" s="98">
        <v>0</v>
      </c>
      <c r="BH385" s="98">
        <v>0</v>
      </c>
      <c r="BI385" s="98">
        <v>5564</v>
      </c>
      <c r="BJ385" s="98"/>
      <c r="BK385" s="98"/>
      <c r="BL385" s="97"/>
    </row>
    <row r="386" spans="1:64" outlineLevel="5" x14ac:dyDescent="0.3">
      <c r="A386" s="152">
        <f t="shared" si="168"/>
        <v>11</v>
      </c>
      <c r="B386" s="153">
        <f t="shared" si="153"/>
        <v>45255</v>
      </c>
      <c r="C386" s="138" t="str">
        <f t="shared" si="158"/>
        <v/>
      </c>
      <c r="D386" s="84"/>
      <c r="E386" s="84"/>
      <c r="F386" s="84"/>
      <c r="G386" s="84"/>
      <c r="H386" s="84"/>
      <c r="I386" s="84"/>
      <c r="J386" s="84"/>
      <c r="K386" s="84"/>
      <c r="L386" s="140" t="str">
        <f t="shared" si="159"/>
        <v/>
      </c>
      <c r="M386" s="86"/>
      <c r="N386" s="86"/>
      <c r="O386" s="86"/>
      <c r="P386" s="86"/>
      <c r="Q386" s="86"/>
      <c r="R386" s="86"/>
      <c r="S386" s="86"/>
      <c r="T386" s="86"/>
      <c r="U386" s="142" t="str">
        <f t="shared" si="160"/>
        <v/>
      </c>
      <c r="V386" s="88"/>
      <c r="W386" s="88"/>
      <c r="X386" s="88"/>
      <c r="Y386" s="88"/>
      <c r="Z386" s="88"/>
      <c r="AA386" s="88"/>
      <c r="AB386" s="88"/>
      <c r="AC386" s="88"/>
      <c r="AD386" s="142" t="str">
        <f t="shared" si="161"/>
        <v/>
      </c>
      <c r="AE386" s="88"/>
      <c r="AF386" s="88"/>
      <c r="AG386" s="88"/>
      <c r="AH386" s="88"/>
      <c r="AI386" s="88"/>
      <c r="AJ386" s="88"/>
      <c r="AK386" s="88"/>
      <c r="AL386" s="88"/>
      <c r="AM386" s="88">
        <v>75.003972668043858</v>
      </c>
      <c r="AN386" s="88">
        <v>62.93</v>
      </c>
      <c r="AO386" s="89"/>
      <c r="AP386" s="90"/>
      <c r="AQ386" s="146" t="str">
        <f t="shared" si="162"/>
        <v/>
      </c>
      <c r="AR386" s="146" t="str">
        <f t="shared" si="163"/>
        <v/>
      </c>
      <c r="AS386" s="147">
        <v>10</v>
      </c>
      <c r="AT386" s="148"/>
      <c r="AU386" s="149"/>
      <c r="AV386" s="146" t="str">
        <f t="shared" si="164"/>
        <v/>
      </c>
      <c r="AW386" s="146" t="str">
        <f t="shared" si="165"/>
        <v/>
      </c>
      <c r="AX386" s="138" t="str">
        <f t="shared" si="166"/>
        <v/>
      </c>
      <c r="AY386" s="95"/>
      <c r="AZ386" s="96"/>
      <c r="BA386" s="96"/>
      <c r="BB386" s="96"/>
      <c r="BC386" s="96"/>
      <c r="BD386" s="97">
        <v>62.93</v>
      </c>
      <c r="BE386" s="142">
        <f t="shared" si="167"/>
        <v>6310</v>
      </c>
      <c r="BF386" s="88">
        <v>822</v>
      </c>
      <c r="BG386" s="98">
        <v>0</v>
      </c>
      <c r="BH386" s="98">
        <v>0</v>
      </c>
      <c r="BI386" s="98">
        <v>5488</v>
      </c>
      <c r="BJ386" s="98"/>
      <c r="BK386" s="98"/>
      <c r="BL386" s="97"/>
    </row>
    <row r="387" spans="1:64" outlineLevel="5" x14ac:dyDescent="0.3">
      <c r="A387" s="152">
        <f t="shared" si="168"/>
        <v>11</v>
      </c>
      <c r="B387" s="153">
        <f t="shared" si="153"/>
        <v>45256</v>
      </c>
      <c r="C387" s="138" t="str">
        <f t="shared" si="158"/>
        <v/>
      </c>
      <c r="D387" s="84"/>
      <c r="E387" s="84"/>
      <c r="F387" s="84"/>
      <c r="G387" s="84"/>
      <c r="H387" s="84"/>
      <c r="I387" s="84"/>
      <c r="J387" s="84"/>
      <c r="K387" s="84"/>
      <c r="L387" s="140" t="str">
        <f t="shared" si="159"/>
        <v/>
      </c>
      <c r="M387" s="86"/>
      <c r="N387" s="86"/>
      <c r="O387" s="86"/>
      <c r="P387" s="86"/>
      <c r="Q387" s="86"/>
      <c r="R387" s="86"/>
      <c r="S387" s="86"/>
      <c r="T387" s="86"/>
      <c r="U387" s="142" t="str">
        <f t="shared" si="160"/>
        <v/>
      </c>
      <c r="V387" s="88"/>
      <c r="W387" s="88"/>
      <c r="X387" s="88"/>
      <c r="Y387" s="88"/>
      <c r="Z387" s="88"/>
      <c r="AA387" s="88"/>
      <c r="AB387" s="88"/>
      <c r="AC387" s="88"/>
      <c r="AD387" s="142" t="str">
        <f t="shared" si="161"/>
        <v/>
      </c>
      <c r="AE387" s="88"/>
      <c r="AF387" s="88"/>
      <c r="AG387" s="88"/>
      <c r="AH387" s="88"/>
      <c r="AI387" s="88"/>
      <c r="AJ387" s="88"/>
      <c r="AK387" s="88"/>
      <c r="AL387" s="88"/>
      <c r="AM387" s="88">
        <v>34.962962962962962</v>
      </c>
      <c r="AN387" s="88">
        <v>135</v>
      </c>
      <c r="AO387" s="89"/>
      <c r="AP387" s="90"/>
      <c r="AQ387" s="146" t="str">
        <f t="shared" si="162"/>
        <v/>
      </c>
      <c r="AR387" s="146" t="str">
        <f t="shared" si="163"/>
        <v/>
      </c>
      <c r="AS387" s="147">
        <v>10</v>
      </c>
      <c r="AT387" s="148"/>
      <c r="AU387" s="149"/>
      <c r="AV387" s="146" t="str">
        <f t="shared" si="164"/>
        <v/>
      </c>
      <c r="AW387" s="146" t="str">
        <f t="shared" si="165"/>
        <v/>
      </c>
      <c r="AX387" s="138" t="str">
        <f t="shared" si="166"/>
        <v/>
      </c>
      <c r="AY387" s="95"/>
      <c r="AZ387" s="96"/>
      <c r="BA387" s="96"/>
      <c r="BB387" s="96"/>
      <c r="BC387" s="96"/>
      <c r="BD387" s="97">
        <v>135</v>
      </c>
      <c r="BE387" s="142">
        <f t="shared" si="167"/>
        <v>6661</v>
      </c>
      <c r="BF387" s="88">
        <v>927</v>
      </c>
      <c r="BG387" s="98">
        <v>0</v>
      </c>
      <c r="BH387" s="98">
        <v>0</v>
      </c>
      <c r="BI387" s="98">
        <v>5734</v>
      </c>
      <c r="BJ387" s="98"/>
      <c r="BK387" s="98"/>
      <c r="BL387" s="97"/>
    </row>
    <row r="388" spans="1:64" outlineLevel="5" x14ac:dyDescent="0.3">
      <c r="A388" s="152">
        <f t="shared" si="168"/>
        <v>11</v>
      </c>
      <c r="B388" s="153">
        <f t="shared" si="153"/>
        <v>45257</v>
      </c>
      <c r="C388" s="138" t="str">
        <f t="shared" si="158"/>
        <v/>
      </c>
      <c r="D388" s="84"/>
      <c r="E388" s="84"/>
      <c r="F388" s="84"/>
      <c r="G388" s="84"/>
      <c r="H388" s="84"/>
      <c r="I388" s="84"/>
      <c r="J388" s="84"/>
      <c r="K388" s="84"/>
      <c r="L388" s="140">
        <f t="shared" si="159"/>
        <v>8.1999999999999993</v>
      </c>
      <c r="M388" s="86">
        <v>8.18</v>
      </c>
      <c r="N388" s="86">
        <v>8.1999999999999993</v>
      </c>
      <c r="O388" s="86"/>
      <c r="P388" s="86"/>
      <c r="Q388" s="86"/>
      <c r="R388" s="86"/>
      <c r="S388" s="86"/>
      <c r="T388" s="86"/>
      <c r="U388" s="142">
        <f t="shared" si="160"/>
        <v>1789.5</v>
      </c>
      <c r="V388" s="88">
        <v>2032.8</v>
      </c>
      <c r="W388" s="88">
        <v>1546.2</v>
      </c>
      <c r="X388" s="88"/>
      <c r="Y388" s="88"/>
      <c r="Z388" s="88"/>
      <c r="AA388" s="88"/>
      <c r="AB388" s="88"/>
      <c r="AC388" s="88"/>
      <c r="AD388" s="142" t="str">
        <f t="shared" si="161"/>
        <v/>
      </c>
      <c r="AE388" s="88"/>
      <c r="AF388" s="88"/>
      <c r="AG388" s="88"/>
      <c r="AH388" s="88"/>
      <c r="AI388" s="88"/>
      <c r="AJ388" s="88"/>
      <c r="AK388" s="88"/>
      <c r="AL388" s="88"/>
      <c r="AM388" s="88">
        <v>35.920852359208524</v>
      </c>
      <c r="AN388" s="88">
        <v>131.4</v>
      </c>
      <c r="AO388" s="89">
        <v>18.399999999999999</v>
      </c>
      <c r="AP388" s="90">
        <v>15.198399999999998</v>
      </c>
      <c r="AQ388" s="146">
        <f t="shared" si="162"/>
        <v>82.6</v>
      </c>
      <c r="AR388" s="146">
        <f t="shared" si="163"/>
        <v>17.400000000000006</v>
      </c>
      <c r="AS388" s="147">
        <v>20</v>
      </c>
      <c r="AT388" s="148">
        <v>14.950000000000001</v>
      </c>
      <c r="AU388" s="149">
        <v>8.3141000000000016</v>
      </c>
      <c r="AV388" s="146">
        <f t="shared" si="164"/>
        <v>55.612709030100341</v>
      </c>
      <c r="AW388" s="146">
        <f t="shared" si="165"/>
        <v>44.387290969899659</v>
      </c>
      <c r="AX388" s="138">
        <f t="shared" si="166"/>
        <v>73.607251947154978</v>
      </c>
      <c r="AY388" s="95">
        <v>75.349999999999994</v>
      </c>
      <c r="AZ388" s="96">
        <v>62.475000000000001</v>
      </c>
      <c r="BA388" s="96"/>
      <c r="BB388" s="96">
        <v>62.524999999999999</v>
      </c>
      <c r="BC388" s="96"/>
      <c r="BD388" s="97">
        <v>131.4</v>
      </c>
      <c r="BE388" s="142">
        <f t="shared" si="167"/>
        <v>7666</v>
      </c>
      <c r="BF388" s="88">
        <v>918</v>
      </c>
      <c r="BG388" s="98">
        <v>0</v>
      </c>
      <c r="BH388" s="98">
        <v>827</v>
      </c>
      <c r="BI388" s="98">
        <v>5921</v>
      </c>
      <c r="BJ388" s="98"/>
      <c r="BK388" s="98"/>
      <c r="BL388" s="97"/>
    </row>
    <row r="389" spans="1:64" outlineLevel="5" x14ac:dyDescent="0.3">
      <c r="A389" s="152">
        <f t="shared" si="168"/>
        <v>11</v>
      </c>
      <c r="B389" s="153">
        <f t="shared" si="153"/>
        <v>45258</v>
      </c>
      <c r="C389" s="138" t="str">
        <f t="shared" si="158"/>
        <v/>
      </c>
      <c r="D389" s="84"/>
      <c r="E389" s="84"/>
      <c r="F389" s="84"/>
      <c r="G389" s="84"/>
      <c r="H389" s="84"/>
      <c r="I389" s="84"/>
      <c r="J389" s="84"/>
      <c r="K389" s="84"/>
      <c r="L389" s="140" t="str">
        <f t="shared" si="159"/>
        <v/>
      </c>
      <c r="M389" s="86"/>
      <c r="N389" s="86"/>
      <c r="O389" s="86"/>
      <c r="P389" s="86"/>
      <c r="Q389" s="86"/>
      <c r="R389" s="86"/>
      <c r="S389" s="86"/>
      <c r="T389" s="86"/>
      <c r="U389" s="142" t="str">
        <f t="shared" si="160"/>
        <v/>
      </c>
      <c r="V389" s="88"/>
      <c r="W389" s="88"/>
      <c r="X389" s="88"/>
      <c r="Y389" s="88"/>
      <c r="Z389" s="88"/>
      <c r="AA389" s="88"/>
      <c r="AB389" s="88"/>
      <c r="AC389" s="88"/>
      <c r="AD389" s="142" t="str">
        <f t="shared" si="161"/>
        <v/>
      </c>
      <c r="AE389" s="88"/>
      <c r="AF389" s="88"/>
      <c r="AG389" s="88"/>
      <c r="AH389" s="88"/>
      <c r="AI389" s="88"/>
      <c r="AJ389" s="88"/>
      <c r="AK389" s="88"/>
      <c r="AL389" s="88"/>
      <c r="AM389" s="88">
        <v>36.620373962293421</v>
      </c>
      <c r="AN389" s="88">
        <v>128.89000000000001</v>
      </c>
      <c r="AO389" s="89"/>
      <c r="AP389" s="90"/>
      <c r="AQ389" s="146" t="str">
        <f t="shared" si="162"/>
        <v/>
      </c>
      <c r="AR389" s="146" t="str">
        <f t="shared" si="163"/>
        <v/>
      </c>
      <c r="AS389" s="147">
        <v>21</v>
      </c>
      <c r="AT389" s="148"/>
      <c r="AU389" s="149"/>
      <c r="AV389" s="146" t="str">
        <f t="shared" si="164"/>
        <v/>
      </c>
      <c r="AW389" s="146" t="str">
        <f t="shared" si="165"/>
        <v/>
      </c>
      <c r="AX389" s="138" t="str">
        <f t="shared" si="166"/>
        <v/>
      </c>
      <c r="AY389" s="95"/>
      <c r="AZ389" s="96">
        <v>59.114999999999995</v>
      </c>
      <c r="BA389" s="96"/>
      <c r="BB389" s="96">
        <v>83.5</v>
      </c>
      <c r="BC389" s="96"/>
      <c r="BD389" s="97">
        <v>128.89000000000001</v>
      </c>
      <c r="BE389" s="142">
        <f t="shared" si="167"/>
        <v>9002</v>
      </c>
      <c r="BF389" s="88">
        <v>839</v>
      </c>
      <c r="BG389" s="98">
        <v>0</v>
      </c>
      <c r="BH389" s="98">
        <v>1800</v>
      </c>
      <c r="BI389" s="98">
        <v>6363</v>
      </c>
      <c r="BJ389" s="98"/>
      <c r="BK389" s="98"/>
      <c r="BL389" s="97"/>
    </row>
    <row r="390" spans="1:64" outlineLevel="5" x14ac:dyDescent="0.3">
      <c r="A390" s="152">
        <f t="shared" si="168"/>
        <v>11</v>
      </c>
      <c r="B390" s="153">
        <f t="shared" si="153"/>
        <v>45259</v>
      </c>
      <c r="C390" s="138" t="str">
        <f t="shared" si="158"/>
        <v/>
      </c>
      <c r="D390" s="84"/>
      <c r="E390" s="84"/>
      <c r="F390" s="84"/>
      <c r="G390" s="84"/>
      <c r="H390" s="84"/>
      <c r="I390" s="84"/>
      <c r="J390" s="84"/>
      <c r="K390" s="84"/>
      <c r="L390" s="140">
        <f t="shared" si="159"/>
        <v>8.1</v>
      </c>
      <c r="M390" s="86">
        <v>8.1199999999999992</v>
      </c>
      <c r="N390" s="86">
        <v>8.15</v>
      </c>
      <c r="O390" s="86"/>
      <c r="P390" s="86"/>
      <c r="Q390" s="86"/>
      <c r="R390" s="86"/>
      <c r="S390" s="86"/>
      <c r="T390" s="86"/>
      <c r="U390" s="142">
        <f t="shared" si="160"/>
        <v>1740.9</v>
      </c>
      <c r="V390" s="88">
        <v>1708.4</v>
      </c>
      <c r="W390" s="88">
        <v>1773.3</v>
      </c>
      <c r="X390" s="88"/>
      <c r="Y390" s="88"/>
      <c r="Z390" s="88"/>
      <c r="AA390" s="88"/>
      <c r="AB390" s="88"/>
      <c r="AC390" s="88"/>
      <c r="AD390" s="142" t="str">
        <f t="shared" si="161"/>
        <v/>
      </c>
      <c r="AE390" s="88"/>
      <c r="AF390" s="88"/>
      <c r="AG390" s="88"/>
      <c r="AH390" s="88"/>
      <c r="AI390" s="88"/>
      <c r="AJ390" s="88"/>
      <c r="AK390" s="88"/>
      <c r="AL390" s="88"/>
      <c r="AM390" s="88">
        <v>33.820578962453425</v>
      </c>
      <c r="AN390" s="88">
        <v>139.56</v>
      </c>
      <c r="AO390" s="89"/>
      <c r="AP390" s="90"/>
      <c r="AQ390" s="146" t="str">
        <f t="shared" si="162"/>
        <v/>
      </c>
      <c r="AR390" s="146" t="str">
        <f t="shared" si="163"/>
        <v/>
      </c>
      <c r="AS390" s="147">
        <v>23</v>
      </c>
      <c r="AT390" s="148">
        <v>15.65</v>
      </c>
      <c r="AU390" s="149">
        <v>7.3604500000000002</v>
      </c>
      <c r="AV390" s="146">
        <f t="shared" si="164"/>
        <v>47.031629392971247</v>
      </c>
      <c r="AW390" s="146">
        <f t="shared" si="165"/>
        <v>52.968370607028753</v>
      </c>
      <c r="AX390" s="138" t="str">
        <f t="shared" si="166"/>
        <v/>
      </c>
      <c r="AY390" s="95">
        <v>75.849999999999994</v>
      </c>
      <c r="AZ390" s="96">
        <v>56.46</v>
      </c>
      <c r="BA390" s="96"/>
      <c r="BB390" s="96">
        <v>116.5</v>
      </c>
      <c r="BC390" s="96"/>
      <c r="BD390" s="97">
        <v>139.56</v>
      </c>
      <c r="BE390" s="142">
        <f t="shared" si="167"/>
        <v>10155</v>
      </c>
      <c r="BF390" s="88">
        <v>962</v>
      </c>
      <c r="BG390" s="98">
        <v>0</v>
      </c>
      <c r="BH390" s="98">
        <v>2604</v>
      </c>
      <c r="BI390" s="98">
        <v>6589</v>
      </c>
      <c r="BJ390" s="98"/>
      <c r="BK390" s="98"/>
      <c r="BL390" s="97"/>
    </row>
    <row r="391" spans="1:64" ht="17.25" outlineLevel="5" thickBot="1" x14ac:dyDescent="0.35">
      <c r="A391" s="154">
        <f t="shared" si="168"/>
        <v>11</v>
      </c>
      <c r="B391" s="155">
        <f t="shared" si="153"/>
        <v>45260</v>
      </c>
      <c r="C391" s="138">
        <f t="shared" si="158"/>
        <v>37.9</v>
      </c>
      <c r="D391" s="84">
        <v>38.200000000000003</v>
      </c>
      <c r="E391" s="84">
        <v>37.6</v>
      </c>
      <c r="F391" s="84"/>
      <c r="G391" s="84"/>
      <c r="H391" s="84"/>
      <c r="I391" s="84"/>
      <c r="J391" s="84"/>
      <c r="K391" s="84"/>
      <c r="L391" s="140">
        <f t="shared" si="159"/>
        <v>8.1999999999999993</v>
      </c>
      <c r="M391" s="86">
        <v>8.15</v>
      </c>
      <c r="N391" s="86">
        <v>8.2100000000000009</v>
      </c>
      <c r="O391" s="86"/>
      <c r="P391" s="86"/>
      <c r="Q391" s="86"/>
      <c r="R391" s="86"/>
      <c r="S391" s="86"/>
      <c r="T391" s="86"/>
      <c r="U391" s="142">
        <f t="shared" si="160"/>
        <v>1789.5</v>
      </c>
      <c r="V391" s="88">
        <v>1903</v>
      </c>
      <c r="W391" s="88">
        <v>1675.9</v>
      </c>
      <c r="X391" s="88"/>
      <c r="Y391" s="88"/>
      <c r="Z391" s="88"/>
      <c r="AA391" s="88"/>
      <c r="AB391" s="88"/>
      <c r="AC391" s="88"/>
      <c r="AD391" s="142" t="str">
        <f t="shared" si="161"/>
        <v/>
      </c>
      <c r="AE391" s="88"/>
      <c r="AF391" s="88"/>
      <c r="AG391" s="88"/>
      <c r="AH391" s="88"/>
      <c r="AI391" s="88"/>
      <c r="AJ391" s="88"/>
      <c r="AK391" s="88"/>
      <c r="AL391" s="88"/>
      <c r="AM391" s="88">
        <v>33.498935415188072</v>
      </c>
      <c r="AN391" s="88">
        <v>140.9</v>
      </c>
      <c r="AO391" s="89"/>
      <c r="AP391" s="90"/>
      <c r="AQ391" s="146" t="str">
        <f t="shared" si="162"/>
        <v/>
      </c>
      <c r="AR391" s="146" t="str">
        <f t="shared" si="163"/>
        <v/>
      </c>
      <c r="AS391" s="147">
        <v>40</v>
      </c>
      <c r="AT391" s="148">
        <v>15.25</v>
      </c>
      <c r="AU391" s="149">
        <v>8.0481499999999997</v>
      </c>
      <c r="AV391" s="146">
        <f t="shared" si="164"/>
        <v>52.774754098360653</v>
      </c>
      <c r="AW391" s="146">
        <f t="shared" si="165"/>
        <v>47.225245901639347</v>
      </c>
      <c r="AX391" s="138" t="str">
        <f t="shared" si="166"/>
        <v/>
      </c>
      <c r="AY391" s="95">
        <v>75.400000000000006</v>
      </c>
      <c r="AZ391" s="96">
        <v>62.224999999999994</v>
      </c>
      <c r="BA391" s="96"/>
      <c r="BB391" s="96">
        <v>76</v>
      </c>
      <c r="BC391" s="96"/>
      <c r="BD391" s="97">
        <v>140.9</v>
      </c>
      <c r="BE391" s="142">
        <f t="shared" si="167"/>
        <v>8129</v>
      </c>
      <c r="BF391" s="88">
        <v>685</v>
      </c>
      <c r="BG391" s="98">
        <v>0</v>
      </c>
      <c r="BH391" s="98">
        <v>1680</v>
      </c>
      <c r="BI391" s="98">
        <v>5764</v>
      </c>
      <c r="BJ391" s="98"/>
      <c r="BK391" s="98"/>
      <c r="BL391" s="97"/>
    </row>
    <row r="392" spans="1:64" outlineLevel="4" x14ac:dyDescent="0.3">
      <c r="A392" s="63" t="s">
        <v>97</v>
      </c>
      <c r="B392" s="64"/>
      <c r="C392" s="65">
        <f t="shared" ref="C392:BL392" si="169">SUBTOTAL(4,C362:C391)</f>
        <v>38.4</v>
      </c>
      <c r="D392" s="66">
        <f t="shared" si="169"/>
        <v>38.4</v>
      </c>
      <c r="E392" s="66">
        <f t="shared" si="169"/>
        <v>38.299999999999997</v>
      </c>
      <c r="F392" s="66">
        <f t="shared" si="169"/>
        <v>0</v>
      </c>
      <c r="G392" s="66">
        <f t="shared" si="169"/>
        <v>0</v>
      </c>
      <c r="H392" s="66">
        <f t="shared" si="169"/>
        <v>0</v>
      </c>
      <c r="I392" s="66">
        <f t="shared" si="169"/>
        <v>0</v>
      </c>
      <c r="J392" s="66">
        <f t="shared" si="169"/>
        <v>0</v>
      </c>
      <c r="K392" s="66">
        <f t="shared" si="169"/>
        <v>0</v>
      </c>
      <c r="L392" s="67">
        <f t="shared" si="169"/>
        <v>8.1999999999999993</v>
      </c>
      <c r="M392" s="68">
        <f t="shared" si="169"/>
        <v>8.18</v>
      </c>
      <c r="N392" s="68">
        <f t="shared" si="169"/>
        <v>8.2100000000000009</v>
      </c>
      <c r="O392" s="68">
        <f t="shared" si="169"/>
        <v>0</v>
      </c>
      <c r="P392" s="68">
        <f t="shared" si="169"/>
        <v>0</v>
      </c>
      <c r="Q392" s="68">
        <f t="shared" si="169"/>
        <v>0</v>
      </c>
      <c r="R392" s="68">
        <f t="shared" si="169"/>
        <v>0</v>
      </c>
      <c r="S392" s="68">
        <f t="shared" si="169"/>
        <v>0</v>
      </c>
      <c r="T392" s="68">
        <f t="shared" si="169"/>
        <v>0</v>
      </c>
      <c r="U392" s="69">
        <f t="shared" si="169"/>
        <v>1789.5</v>
      </c>
      <c r="V392" s="70">
        <f t="shared" si="169"/>
        <v>2032.8</v>
      </c>
      <c r="W392" s="70">
        <f t="shared" si="169"/>
        <v>1773.3</v>
      </c>
      <c r="X392" s="70">
        <f t="shared" si="169"/>
        <v>0</v>
      </c>
      <c r="Y392" s="70">
        <f t="shared" si="169"/>
        <v>0</v>
      </c>
      <c r="Z392" s="70">
        <f t="shared" si="169"/>
        <v>0</v>
      </c>
      <c r="AA392" s="70">
        <f t="shared" si="169"/>
        <v>0</v>
      </c>
      <c r="AB392" s="70">
        <f t="shared" si="169"/>
        <v>0</v>
      </c>
      <c r="AC392" s="70">
        <f t="shared" si="169"/>
        <v>0</v>
      </c>
      <c r="AD392" s="69">
        <f t="shared" si="169"/>
        <v>0</v>
      </c>
      <c r="AE392" s="70">
        <f t="shared" si="169"/>
        <v>0</v>
      </c>
      <c r="AF392" s="70">
        <f t="shared" si="169"/>
        <v>0</v>
      </c>
      <c r="AG392" s="70">
        <f t="shared" si="169"/>
        <v>0</v>
      </c>
      <c r="AH392" s="70">
        <f t="shared" si="169"/>
        <v>0</v>
      </c>
      <c r="AI392" s="70">
        <f t="shared" si="169"/>
        <v>0</v>
      </c>
      <c r="AJ392" s="70">
        <f t="shared" si="169"/>
        <v>0</v>
      </c>
      <c r="AK392" s="70">
        <f t="shared" si="169"/>
        <v>0</v>
      </c>
      <c r="AL392" s="70">
        <f t="shared" si="169"/>
        <v>0</v>
      </c>
      <c r="AM392" s="70">
        <f t="shared" si="169"/>
        <v>287.2793670115642</v>
      </c>
      <c r="AN392" s="70">
        <f t="shared" si="169"/>
        <v>162.27000000000001</v>
      </c>
      <c r="AO392" s="71">
        <f t="shared" si="169"/>
        <v>18.5</v>
      </c>
      <c r="AP392" s="72">
        <f t="shared" si="169"/>
        <v>15.198399999999998</v>
      </c>
      <c r="AQ392" s="73">
        <f t="shared" si="169"/>
        <v>82.6</v>
      </c>
      <c r="AR392" s="73">
        <f t="shared" si="169"/>
        <v>20.099999999999994</v>
      </c>
      <c r="AS392" s="74">
        <f t="shared" si="169"/>
        <v>45</v>
      </c>
      <c r="AT392" s="75">
        <f t="shared" si="169"/>
        <v>17.5</v>
      </c>
      <c r="AU392" s="76">
        <f t="shared" si="169"/>
        <v>9.4849999999999994</v>
      </c>
      <c r="AV392" s="73">
        <f t="shared" si="169"/>
        <v>59.084142394822003</v>
      </c>
      <c r="AW392" s="73">
        <f t="shared" si="169"/>
        <v>52.968370607028753</v>
      </c>
      <c r="AX392" s="65">
        <f t="shared" si="169"/>
        <v>73.607251947154978</v>
      </c>
      <c r="AY392" s="77">
        <f t="shared" si="169"/>
        <v>77.349999999999994</v>
      </c>
      <c r="AZ392" s="78">
        <f t="shared" si="169"/>
        <v>64.38</v>
      </c>
      <c r="BA392" s="78">
        <f t="shared" si="169"/>
        <v>0</v>
      </c>
      <c r="BB392" s="78">
        <f t="shared" si="169"/>
        <v>165.5</v>
      </c>
      <c r="BC392" s="78">
        <f t="shared" si="169"/>
        <v>0</v>
      </c>
      <c r="BD392" s="79">
        <f t="shared" si="169"/>
        <v>162.27000000000001</v>
      </c>
      <c r="BE392" s="69">
        <f t="shared" si="169"/>
        <v>10155</v>
      </c>
      <c r="BF392" s="70">
        <f t="shared" si="169"/>
        <v>2040</v>
      </c>
      <c r="BG392" s="80">
        <f t="shared" si="169"/>
        <v>0</v>
      </c>
      <c r="BH392" s="80">
        <f t="shared" si="169"/>
        <v>2604</v>
      </c>
      <c r="BI392" s="80">
        <f t="shared" si="169"/>
        <v>6763</v>
      </c>
      <c r="BJ392" s="80">
        <f t="shared" si="169"/>
        <v>0</v>
      </c>
      <c r="BK392" s="80">
        <f t="shared" si="169"/>
        <v>0</v>
      </c>
      <c r="BL392" s="79">
        <f t="shared" si="169"/>
        <v>0</v>
      </c>
    </row>
    <row r="393" spans="1:64" outlineLevel="3" x14ac:dyDescent="0.3">
      <c r="A393" s="81" t="s">
        <v>98</v>
      </c>
      <c r="B393" s="82"/>
      <c r="C393" s="83">
        <f t="shared" ref="C393:BL393" si="170">SUBTOTAL(5,C362:C391)</f>
        <v>35</v>
      </c>
      <c r="D393" s="84">
        <f t="shared" si="170"/>
        <v>35</v>
      </c>
      <c r="E393" s="84">
        <f t="shared" si="170"/>
        <v>35</v>
      </c>
      <c r="F393" s="84">
        <f t="shared" si="170"/>
        <v>0</v>
      </c>
      <c r="G393" s="84">
        <f t="shared" si="170"/>
        <v>0</v>
      </c>
      <c r="H393" s="84">
        <f t="shared" si="170"/>
        <v>0</v>
      </c>
      <c r="I393" s="84">
        <f t="shared" si="170"/>
        <v>0</v>
      </c>
      <c r="J393" s="84">
        <f t="shared" si="170"/>
        <v>0</v>
      </c>
      <c r="K393" s="84">
        <f t="shared" si="170"/>
        <v>0</v>
      </c>
      <c r="L393" s="85">
        <f t="shared" si="170"/>
        <v>8</v>
      </c>
      <c r="M393" s="86">
        <f t="shared" si="170"/>
        <v>8.01</v>
      </c>
      <c r="N393" s="86">
        <f t="shared" si="170"/>
        <v>7.99</v>
      </c>
      <c r="O393" s="86">
        <f t="shared" si="170"/>
        <v>0</v>
      </c>
      <c r="P393" s="86">
        <f t="shared" si="170"/>
        <v>0</v>
      </c>
      <c r="Q393" s="86">
        <f t="shared" si="170"/>
        <v>0</v>
      </c>
      <c r="R393" s="86">
        <f t="shared" si="170"/>
        <v>0</v>
      </c>
      <c r="S393" s="86">
        <f t="shared" si="170"/>
        <v>0</v>
      </c>
      <c r="T393" s="86">
        <f t="shared" si="170"/>
        <v>0</v>
      </c>
      <c r="U393" s="87">
        <f t="shared" si="170"/>
        <v>1189.4000000000001</v>
      </c>
      <c r="V393" s="88">
        <f t="shared" si="170"/>
        <v>1059.5999999999999</v>
      </c>
      <c r="W393" s="88">
        <f t="shared" si="170"/>
        <v>1189.4000000000001</v>
      </c>
      <c r="X393" s="88">
        <f t="shared" si="170"/>
        <v>0</v>
      </c>
      <c r="Y393" s="88">
        <f t="shared" si="170"/>
        <v>0</v>
      </c>
      <c r="Z393" s="88">
        <f t="shared" si="170"/>
        <v>0</v>
      </c>
      <c r="AA393" s="88">
        <f t="shared" si="170"/>
        <v>0</v>
      </c>
      <c r="AB393" s="88">
        <f t="shared" si="170"/>
        <v>0</v>
      </c>
      <c r="AC393" s="88">
        <f t="shared" si="170"/>
        <v>0</v>
      </c>
      <c r="AD393" s="87">
        <f t="shared" si="170"/>
        <v>0</v>
      </c>
      <c r="AE393" s="88">
        <f t="shared" si="170"/>
        <v>0</v>
      </c>
      <c r="AF393" s="88">
        <f t="shared" si="170"/>
        <v>0</v>
      </c>
      <c r="AG393" s="88">
        <f t="shared" si="170"/>
        <v>0</v>
      </c>
      <c r="AH393" s="88">
        <f t="shared" si="170"/>
        <v>0</v>
      </c>
      <c r="AI393" s="88">
        <f t="shared" si="170"/>
        <v>0</v>
      </c>
      <c r="AJ393" s="88">
        <f t="shared" si="170"/>
        <v>0</v>
      </c>
      <c r="AK393" s="88">
        <f t="shared" si="170"/>
        <v>0</v>
      </c>
      <c r="AL393" s="88">
        <f t="shared" si="170"/>
        <v>0</v>
      </c>
      <c r="AM393" s="88">
        <f t="shared" si="170"/>
        <v>29.087323596475009</v>
      </c>
      <c r="AN393" s="88">
        <f t="shared" si="170"/>
        <v>16.43</v>
      </c>
      <c r="AO393" s="89">
        <f t="shared" si="170"/>
        <v>14.8</v>
      </c>
      <c r="AP393" s="90">
        <f t="shared" si="170"/>
        <v>11.97</v>
      </c>
      <c r="AQ393" s="91">
        <f t="shared" si="170"/>
        <v>79.900000000000006</v>
      </c>
      <c r="AR393" s="91">
        <f t="shared" si="170"/>
        <v>17.400000000000006</v>
      </c>
      <c r="AS393" s="92">
        <f t="shared" si="170"/>
        <v>0</v>
      </c>
      <c r="AT393" s="93">
        <f t="shared" si="170"/>
        <v>13.1</v>
      </c>
      <c r="AU393" s="94">
        <f t="shared" si="170"/>
        <v>6.6940999999999997</v>
      </c>
      <c r="AV393" s="91">
        <f t="shared" si="170"/>
        <v>47.031629392971247</v>
      </c>
      <c r="AW393" s="91">
        <f t="shared" si="170"/>
        <v>40.915857605177997</v>
      </c>
      <c r="AX393" s="83">
        <f t="shared" si="170"/>
        <v>63.673081821310909</v>
      </c>
      <c r="AY393" s="95">
        <f t="shared" si="170"/>
        <v>70.599999999999994</v>
      </c>
      <c r="AZ393" s="96">
        <f t="shared" si="170"/>
        <v>48.5</v>
      </c>
      <c r="BA393" s="96">
        <f t="shared" si="170"/>
        <v>0</v>
      </c>
      <c r="BB393" s="96">
        <f t="shared" si="170"/>
        <v>62.524999999999999</v>
      </c>
      <c r="BC393" s="96">
        <f t="shared" si="170"/>
        <v>0</v>
      </c>
      <c r="BD393" s="97">
        <f t="shared" si="170"/>
        <v>16.43</v>
      </c>
      <c r="BE393" s="87">
        <f t="shared" si="170"/>
        <v>3468</v>
      </c>
      <c r="BF393" s="88">
        <f t="shared" si="170"/>
        <v>0</v>
      </c>
      <c r="BG393" s="98">
        <f t="shared" si="170"/>
        <v>0</v>
      </c>
      <c r="BH393" s="98">
        <f t="shared" si="170"/>
        <v>0</v>
      </c>
      <c r="BI393" s="98">
        <f t="shared" si="170"/>
        <v>3468</v>
      </c>
      <c r="BJ393" s="98">
        <f t="shared" si="170"/>
        <v>0</v>
      </c>
      <c r="BK393" s="98">
        <f t="shared" si="170"/>
        <v>0</v>
      </c>
      <c r="BL393" s="97">
        <f t="shared" si="170"/>
        <v>0</v>
      </c>
    </row>
    <row r="394" spans="1:64" outlineLevel="2" x14ac:dyDescent="0.3">
      <c r="A394" s="81" t="s">
        <v>99</v>
      </c>
      <c r="B394" s="82"/>
      <c r="C394" s="83">
        <f t="shared" ref="C394:BL394" si="171">IFERROR(SUBTOTAL(1,C362:C391),"")</f>
        <v>37.181818181818173</v>
      </c>
      <c r="D394" s="84">
        <f t="shared" si="171"/>
        <v>36.657142857142858</v>
      </c>
      <c r="E394" s="84">
        <f t="shared" si="171"/>
        <v>37.354545454545459</v>
      </c>
      <c r="F394" s="84" t="str">
        <f t="shared" si="171"/>
        <v/>
      </c>
      <c r="G394" s="84" t="str">
        <f t="shared" si="171"/>
        <v/>
      </c>
      <c r="H394" s="84" t="str">
        <f t="shared" si="171"/>
        <v/>
      </c>
      <c r="I394" s="84" t="str">
        <f t="shared" si="171"/>
        <v/>
      </c>
      <c r="J394" s="84" t="str">
        <f t="shared" si="171"/>
        <v/>
      </c>
      <c r="K394" s="84" t="str">
        <f t="shared" si="171"/>
        <v/>
      </c>
      <c r="L394" s="85">
        <f t="shared" si="171"/>
        <v>8.1083333333333343</v>
      </c>
      <c r="M394" s="86">
        <f t="shared" si="171"/>
        <v>8.1357142857142843</v>
      </c>
      <c r="N394" s="86">
        <f t="shared" si="171"/>
        <v>8.1108333333333338</v>
      </c>
      <c r="O394" s="86" t="str">
        <f t="shared" si="171"/>
        <v/>
      </c>
      <c r="P394" s="86" t="str">
        <f t="shared" si="171"/>
        <v/>
      </c>
      <c r="Q394" s="86" t="str">
        <f t="shared" si="171"/>
        <v/>
      </c>
      <c r="R394" s="86" t="str">
        <f t="shared" si="171"/>
        <v/>
      </c>
      <c r="S394" s="86" t="str">
        <f t="shared" si="171"/>
        <v/>
      </c>
      <c r="T394" s="86" t="str">
        <f t="shared" si="171"/>
        <v/>
      </c>
      <c r="U394" s="87">
        <f t="shared" si="171"/>
        <v>1433.0999999999997</v>
      </c>
      <c r="V394" s="88">
        <f t="shared" si="171"/>
        <v>1527.5428571428572</v>
      </c>
      <c r="W394" s="88">
        <f t="shared" si="171"/>
        <v>1432.6666666666667</v>
      </c>
      <c r="X394" s="88" t="str">
        <f t="shared" si="171"/>
        <v/>
      </c>
      <c r="Y394" s="88" t="str">
        <f t="shared" si="171"/>
        <v/>
      </c>
      <c r="Z394" s="88" t="str">
        <f t="shared" si="171"/>
        <v/>
      </c>
      <c r="AA394" s="88" t="str">
        <f t="shared" si="171"/>
        <v/>
      </c>
      <c r="AB394" s="88" t="str">
        <f t="shared" si="171"/>
        <v/>
      </c>
      <c r="AC394" s="88" t="str">
        <f t="shared" si="171"/>
        <v/>
      </c>
      <c r="AD394" s="87" t="str">
        <f t="shared" si="171"/>
        <v/>
      </c>
      <c r="AE394" s="88" t="str">
        <f t="shared" si="171"/>
        <v/>
      </c>
      <c r="AF394" s="88" t="str">
        <f t="shared" si="171"/>
        <v/>
      </c>
      <c r="AG394" s="88" t="str">
        <f t="shared" si="171"/>
        <v/>
      </c>
      <c r="AH394" s="88" t="str">
        <f t="shared" si="171"/>
        <v/>
      </c>
      <c r="AI394" s="88" t="str">
        <f t="shared" si="171"/>
        <v/>
      </c>
      <c r="AJ394" s="88" t="str">
        <f t="shared" si="171"/>
        <v/>
      </c>
      <c r="AK394" s="88" t="str">
        <f t="shared" si="171"/>
        <v/>
      </c>
      <c r="AL394" s="88" t="str">
        <f t="shared" si="171"/>
        <v/>
      </c>
      <c r="AM394" s="88">
        <f t="shared" si="171"/>
        <v>67.051035777780342</v>
      </c>
      <c r="AN394" s="88">
        <f t="shared" si="171"/>
        <v>96.049333333333337</v>
      </c>
      <c r="AO394" s="89">
        <f t="shared" si="171"/>
        <v>17.46</v>
      </c>
      <c r="AP394" s="90">
        <f t="shared" si="171"/>
        <v>14.089639999999999</v>
      </c>
      <c r="AQ394" s="91">
        <f t="shared" si="171"/>
        <v>80.7</v>
      </c>
      <c r="AR394" s="91">
        <f t="shared" si="171"/>
        <v>19.3</v>
      </c>
      <c r="AS394" s="92">
        <f t="shared" si="171"/>
        <v>18.5</v>
      </c>
      <c r="AT394" s="93">
        <f t="shared" si="171"/>
        <v>15.133333333333333</v>
      </c>
      <c r="AU394" s="94">
        <f t="shared" si="171"/>
        <v>8.2904375000000012</v>
      </c>
      <c r="AV394" s="91">
        <f t="shared" si="171"/>
        <v>54.788912030877981</v>
      </c>
      <c r="AW394" s="91">
        <f t="shared" si="171"/>
        <v>45.211087969122012</v>
      </c>
      <c r="AX394" s="83">
        <f t="shared" si="171"/>
        <v>69.004360567423191</v>
      </c>
      <c r="AY394" s="95">
        <f t="shared" si="171"/>
        <v>74.95</v>
      </c>
      <c r="AZ394" s="96">
        <f t="shared" si="171"/>
        <v>59.793823529411767</v>
      </c>
      <c r="BA394" s="96" t="str">
        <f t="shared" si="171"/>
        <v/>
      </c>
      <c r="BB394" s="96">
        <f t="shared" si="171"/>
        <v>101.20735294117648</v>
      </c>
      <c r="BC394" s="96" t="str">
        <f t="shared" si="171"/>
        <v/>
      </c>
      <c r="BD394" s="97">
        <f>IFERROR(SUBTOTAL(1,BD362:BD391),"")</f>
        <v>96.049333333333337</v>
      </c>
      <c r="BE394" s="87">
        <f t="shared" si="171"/>
        <v>6755.333333333333</v>
      </c>
      <c r="BF394" s="88">
        <f t="shared" si="171"/>
        <v>779.36666666666667</v>
      </c>
      <c r="BG394" s="98">
        <f t="shared" si="171"/>
        <v>0</v>
      </c>
      <c r="BH394" s="98">
        <f t="shared" si="171"/>
        <v>287.60000000000002</v>
      </c>
      <c r="BI394" s="98">
        <f t="shared" si="171"/>
        <v>5688.3666666666668</v>
      </c>
      <c r="BJ394" s="98" t="str">
        <f t="shared" si="171"/>
        <v/>
      </c>
      <c r="BK394" s="98" t="str">
        <f t="shared" si="171"/>
        <v/>
      </c>
      <c r="BL394" s="97" t="str">
        <f t="shared" si="171"/>
        <v/>
      </c>
    </row>
    <row r="395" spans="1:64" ht="17.25" outlineLevel="1" thickBot="1" x14ac:dyDescent="0.35">
      <c r="A395" s="99" t="s">
        <v>100</v>
      </c>
      <c r="B395" s="100"/>
      <c r="C395" s="101"/>
      <c r="D395" s="102"/>
      <c r="E395" s="102"/>
      <c r="F395" s="102"/>
      <c r="G395" s="102"/>
      <c r="H395" s="102"/>
      <c r="I395" s="102"/>
      <c r="J395" s="102"/>
      <c r="K395" s="102"/>
      <c r="L395" s="103"/>
      <c r="M395" s="104"/>
      <c r="N395" s="104"/>
      <c r="O395" s="104"/>
      <c r="P395" s="104"/>
      <c r="Q395" s="104"/>
      <c r="R395" s="104"/>
      <c r="S395" s="104"/>
      <c r="T395" s="104"/>
      <c r="U395" s="105"/>
      <c r="V395" s="106"/>
      <c r="W395" s="106"/>
      <c r="X395" s="106"/>
      <c r="Y395" s="106"/>
      <c r="Z395" s="106"/>
      <c r="AA395" s="106"/>
      <c r="AB395" s="106"/>
      <c r="AC395" s="106"/>
      <c r="AD395" s="105"/>
      <c r="AE395" s="106"/>
      <c r="AF395" s="106"/>
      <c r="AG395" s="106"/>
      <c r="AH395" s="106"/>
      <c r="AI395" s="106"/>
      <c r="AJ395" s="106"/>
      <c r="AK395" s="106"/>
      <c r="AL395" s="106"/>
      <c r="AM395" s="106"/>
      <c r="AN395" s="107">
        <f>SUBTOTAL(9,AN362:AN391)</f>
        <v>2881.48</v>
      </c>
      <c r="AO395" s="108"/>
      <c r="AP395" s="109"/>
      <c r="AQ395" s="110"/>
      <c r="AR395" s="110"/>
      <c r="AS395" s="111">
        <f>SUBTOTAL(9,AS362:AS391)</f>
        <v>555</v>
      </c>
      <c r="AT395" s="112"/>
      <c r="AU395" s="113"/>
      <c r="AV395" s="110"/>
      <c r="AW395" s="110"/>
      <c r="AX395" s="101"/>
      <c r="AY395" s="114"/>
      <c r="AZ395" s="115"/>
      <c r="BA395" s="115"/>
      <c r="BB395" s="115"/>
      <c r="BC395" s="115"/>
      <c r="BD395" s="116">
        <f>SUBTOTAL(9,BD362:BD391)</f>
        <v>2881.48</v>
      </c>
      <c r="BE395" s="117">
        <f t="shared" ref="BE395:BL395" si="172">SUBTOTAL(9,BE362:BE391)</f>
        <v>202660</v>
      </c>
      <c r="BF395" s="107">
        <f t="shared" si="172"/>
        <v>23381</v>
      </c>
      <c r="BG395" s="118">
        <f t="shared" si="172"/>
        <v>0</v>
      </c>
      <c r="BH395" s="118">
        <f t="shared" si="172"/>
        <v>8628</v>
      </c>
      <c r="BI395" s="118">
        <f t="shared" si="172"/>
        <v>170651</v>
      </c>
      <c r="BJ395" s="118">
        <f t="shared" si="172"/>
        <v>0</v>
      </c>
      <c r="BK395" s="118">
        <f t="shared" si="172"/>
        <v>0</v>
      </c>
      <c r="BL395" s="116">
        <f t="shared" si="172"/>
        <v>0</v>
      </c>
    </row>
    <row r="396" spans="1:64" outlineLevel="5" x14ac:dyDescent="0.3">
      <c r="A396" s="136">
        <f t="shared" si="168"/>
        <v>12</v>
      </c>
      <c r="B396" s="165">
        <f>B391+1</f>
        <v>45261</v>
      </c>
      <c r="C396" s="138" t="str">
        <f t="shared" ref="C396:C426" si="173">IFERROR(ROUND(AVERAGE(D396:K396),1),"")</f>
        <v/>
      </c>
      <c r="D396" s="84"/>
      <c r="E396" s="84"/>
      <c r="F396" s="84"/>
      <c r="G396" s="84"/>
      <c r="H396" s="84"/>
      <c r="I396" s="84"/>
      <c r="J396" s="84"/>
      <c r="K396" s="84"/>
      <c r="L396" s="140" t="str">
        <f t="shared" ref="L396:L426" si="174">IFERROR(ROUND(AVERAGE(M396:T396),1),"")</f>
        <v/>
      </c>
      <c r="M396" s="86"/>
      <c r="N396" s="86"/>
      <c r="O396" s="86"/>
      <c r="P396" s="86"/>
      <c r="Q396" s="86"/>
      <c r="R396" s="86"/>
      <c r="S396" s="86"/>
      <c r="T396" s="86"/>
      <c r="U396" s="142" t="str">
        <f t="shared" ref="U396:U426" si="175">IFERROR(ROUND(AVERAGE(V396:AC396),1),"")</f>
        <v/>
      </c>
      <c r="V396" s="88"/>
      <c r="W396" s="88"/>
      <c r="X396" s="88"/>
      <c r="Y396" s="88"/>
      <c r="Z396" s="88"/>
      <c r="AA396" s="88"/>
      <c r="AB396" s="88"/>
      <c r="AC396" s="88"/>
      <c r="AD396" s="142" t="str">
        <f t="shared" ref="AD396:AD426" si="176">IFERROR(ROUND(AVERAGE(AE396:AL396),1),"")</f>
        <v/>
      </c>
      <c r="AE396" s="88"/>
      <c r="AF396" s="88"/>
      <c r="AG396" s="88"/>
      <c r="AH396" s="88"/>
      <c r="AI396" s="88"/>
      <c r="AJ396" s="88"/>
      <c r="AK396" s="88"/>
      <c r="AL396" s="88"/>
      <c r="AM396" s="88">
        <v>29.820571139752339</v>
      </c>
      <c r="AN396" s="88">
        <v>158.28</v>
      </c>
      <c r="AO396" s="89"/>
      <c r="AP396" s="90"/>
      <c r="AQ396" s="146" t="str">
        <f t="shared" ref="AQ396:AQ426" si="177">IFERROR(AP396/AO396*100,"")</f>
        <v/>
      </c>
      <c r="AR396" s="146" t="str">
        <f t="shared" ref="AR396:AR426" si="178">IFERROR(100-AQ396,"")</f>
        <v/>
      </c>
      <c r="AS396" s="147">
        <v>22</v>
      </c>
      <c r="AT396" s="148"/>
      <c r="AU396" s="149"/>
      <c r="AV396" s="146" t="str">
        <f t="shared" ref="AV396:AV426" si="179">IFERROR(AU396/AT396*100,"")</f>
        <v/>
      </c>
      <c r="AW396" s="146" t="str">
        <f t="shared" ref="AW396:AW426" si="180">IFERROR(100-AV396,"")</f>
        <v/>
      </c>
      <c r="AX396" s="138" t="str">
        <f t="shared" ref="AX396:AX426" si="181">IFERROR((1-((AV396*AR396)/(AW396*AQ396)))*100,"")</f>
        <v/>
      </c>
      <c r="AY396" s="95"/>
      <c r="AZ396" s="96"/>
      <c r="BA396" s="96"/>
      <c r="BB396" s="96"/>
      <c r="BC396" s="96"/>
      <c r="BD396" s="97">
        <v>158.28</v>
      </c>
      <c r="BE396" s="142">
        <f t="shared" ref="BE396:BE426" si="182">IF(SUM(BF396:BL396)=0,"",SUM(BF396:BL396))</f>
        <v>6818</v>
      </c>
      <c r="BF396" s="88">
        <v>892</v>
      </c>
      <c r="BG396" s="98">
        <v>0</v>
      </c>
      <c r="BH396" s="98">
        <v>162</v>
      </c>
      <c r="BI396" s="98">
        <v>5764</v>
      </c>
      <c r="BJ396" s="98"/>
      <c r="BK396" s="98"/>
      <c r="BL396" s="97"/>
    </row>
    <row r="397" spans="1:64" outlineLevel="5" x14ac:dyDescent="0.3">
      <c r="A397" s="152">
        <f t="shared" si="168"/>
        <v>12</v>
      </c>
      <c r="B397" s="153">
        <f t="shared" si="153"/>
        <v>45262</v>
      </c>
      <c r="C397" s="138" t="str">
        <f t="shared" si="173"/>
        <v/>
      </c>
      <c r="D397" s="84"/>
      <c r="E397" s="84"/>
      <c r="F397" s="84"/>
      <c r="G397" s="84"/>
      <c r="H397" s="84"/>
      <c r="I397" s="84"/>
      <c r="J397" s="84"/>
      <c r="K397" s="84"/>
      <c r="L397" s="140" t="str">
        <f t="shared" si="174"/>
        <v/>
      </c>
      <c r="M397" s="86"/>
      <c r="N397" s="86"/>
      <c r="O397" s="86"/>
      <c r="P397" s="86"/>
      <c r="Q397" s="86"/>
      <c r="R397" s="86"/>
      <c r="S397" s="86"/>
      <c r="T397" s="86"/>
      <c r="U397" s="142" t="str">
        <f t="shared" si="175"/>
        <v/>
      </c>
      <c r="V397" s="88"/>
      <c r="W397" s="88"/>
      <c r="X397" s="88"/>
      <c r="Y397" s="88"/>
      <c r="Z397" s="88"/>
      <c r="AA397" s="88"/>
      <c r="AB397" s="88"/>
      <c r="AC397" s="88"/>
      <c r="AD397" s="142" t="str">
        <f t="shared" si="176"/>
        <v/>
      </c>
      <c r="AE397" s="88"/>
      <c r="AF397" s="88"/>
      <c r="AG397" s="88"/>
      <c r="AH397" s="88"/>
      <c r="AI397" s="88"/>
      <c r="AJ397" s="88"/>
      <c r="AK397" s="88"/>
      <c r="AL397" s="88"/>
      <c r="AM397" s="88">
        <v>35.361102786934367</v>
      </c>
      <c r="AN397" s="88">
        <v>133.48000000000002</v>
      </c>
      <c r="AO397" s="89"/>
      <c r="AP397" s="90"/>
      <c r="AQ397" s="146" t="str">
        <f t="shared" si="177"/>
        <v/>
      </c>
      <c r="AR397" s="146" t="str">
        <f t="shared" si="178"/>
        <v/>
      </c>
      <c r="AS397" s="147">
        <v>10</v>
      </c>
      <c r="AT397" s="148"/>
      <c r="AU397" s="149"/>
      <c r="AV397" s="146" t="str">
        <f t="shared" si="179"/>
        <v/>
      </c>
      <c r="AW397" s="146" t="str">
        <f t="shared" si="180"/>
        <v/>
      </c>
      <c r="AX397" s="138" t="str">
        <f t="shared" si="181"/>
        <v/>
      </c>
      <c r="AY397" s="95"/>
      <c r="AZ397" s="96"/>
      <c r="BA397" s="96"/>
      <c r="BB397" s="96"/>
      <c r="BC397" s="96"/>
      <c r="BD397" s="97">
        <v>133.48000000000002</v>
      </c>
      <c r="BE397" s="142">
        <f t="shared" si="182"/>
        <v>5803</v>
      </c>
      <c r="BF397" s="88">
        <v>375</v>
      </c>
      <c r="BG397" s="98">
        <v>0</v>
      </c>
      <c r="BH397" s="98">
        <v>0</v>
      </c>
      <c r="BI397" s="98">
        <v>5428</v>
      </c>
      <c r="BJ397" s="98"/>
      <c r="BK397" s="98"/>
      <c r="BL397" s="97"/>
    </row>
    <row r="398" spans="1:64" outlineLevel="5" x14ac:dyDescent="0.3">
      <c r="A398" s="152">
        <f t="shared" si="168"/>
        <v>12</v>
      </c>
      <c r="B398" s="153">
        <f t="shared" si="153"/>
        <v>45263</v>
      </c>
      <c r="C398" s="138" t="str">
        <f t="shared" si="173"/>
        <v/>
      </c>
      <c r="D398" s="84"/>
      <c r="E398" s="84"/>
      <c r="F398" s="84"/>
      <c r="G398" s="84"/>
      <c r="H398" s="84"/>
      <c r="I398" s="84"/>
      <c r="J398" s="84"/>
      <c r="K398" s="84"/>
      <c r="L398" s="140" t="str">
        <f t="shared" si="174"/>
        <v/>
      </c>
      <c r="M398" s="86"/>
      <c r="N398" s="86"/>
      <c r="O398" s="86"/>
      <c r="P398" s="86"/>
      <c r="Q398" s="86"/>
      <c r="R398" s="86"/>
      <c r="S398" s="86"/>
      <c r="T398" s="86"/>
      <c r="U398" s="142" t="str">
        <f t="shared" si="175"/>
        <v/>
      </c>
      <c r="V398" s="88"/>
      <c r="W398" s="88"/>
      <c r="X398" s="88"/>
      <c r="Y398" s="88"/>
      <c r="Z398" s="88"/>
      <c r="AA398" s="88"/>
      <c r="AB398" s="88"/>
      <c r="AC398" s="88"/>
      <c r="AD398" s="142" t="str">
        <f t="shared" si="176"/>
        <v/>
      </c>
      <c r="AE398" s="88"/>
      <c r="AF398" s="88"/>
      <c r="AG398" s="88"/>
      <c r="AH398" s="88"/>
      <c r="AI398" s="88"/>
      <c r="AJ398" s="88"/>
      <c r="AK398" s="88"/>
      <c r="AL398" s="88"/>
      <c r="AM398" s="88">
        <v>52.444444444444443</v>
      </c>
      <c r="AN398" s="88">
        <v>90</v>
      </c>
      <c r="AO398" s="89"/>
      <c r="AP398" s="90"/>
      <c r="AQ398" s="146" t="str">
        <f t="shared" si="177"/>
        <v/>
      </c>
      <c r="AR398" s="146" t="str">
        <f t="shared" si="178"/>
        <v/>
      </c>
      <c r="AS398" s="147">
        <v>10</v>
      </c>
      <c r="AT398" s="148"/>
      <c r="AU398" s="149"/>
      <c r="AV398" s="146" t="str">
        <f t="shared" si="179"/>
        <v/>
      </c>
      <c r="AW398" s="146" t="str">
        <f t="shared" si="180"/>
        <v/>
      </c>
      <c r="AX398" s="138" t="str">
        <f t="shared" si="181"/>
        <v/>
      </c>
      <c r="AY398" s="95"/>
      <c r="AZ398" s="96"/>
      <c r="BA398" s="96"/>
      <c r="BB398" s="96"/>
      <c r="BC398" s="96"/>
      <c r="BD398" s="97">
        <v>90</v>
      </c>
      <c r="BE398" s="142">
        <f t="shared" si="182"/>
        <v>7336</v>
      </c>
      <c r="BF398" s="88">
        <v>1504</v>
      </c>
      <c r="BG398" s="98">
        <v>0</v>
      </c>
      <c r="BH398" s="98">
        <v>0</v>
      </c>
      <c r="BI398" s="98">
        <v>5832</v>
      </c>
      <c r="BJ398" s="98"/>
      <c r="BK398" s="98"/>
      <c r="BL398" s="97"/>
    </row>
    <row r="399" spans="1:64" outlineLevel="5" x14ac:dyDescent="0.3">
      <c r="A399" s="152">
        <f t="shared" si="168"/>
        <v>12</v>
      </c>
      <c r="B399" s="153">
        <f t="shared" si="153"/>
        <v>45264</v>
      </c>
      <c r="C399" s="138">
        <f t="shared" si="173"/>
        <v>36.299999999999997</v>
      </c>
      <c r="D399" s="84">
        <v>35.6</v>
      </c>
      <c r="E399" s="84">
        <v>36.9</v>
      </c>
      <c r="F399" s="84"/>
      <c r="G399" s="84"/>
      <c r="H399" s="84"/>
      <c r="I399" s="84"/>
      <c r="J399" s="84"/>
      <c r="K399" s="84"/>
      <c r="L399" s="140">
        <f t="shared" si="174"/>
        <v>8.1999999999999993</v>
      </c>
      <c r="M399" s="86">
        <v>8.1999999999999993</v>
      </c>
      <c r="N399" s="86">
        <v>8.17</v>
      </c>
      <c r="O399" s="86"/>
      <c r="P399" s="86"/>
      <c r="Q399" s="86"/>
      <c r="R399" s="86"/>
      <c r="S399" s="86"/>
      <c r="T399" s="86"/>
      <c r="U399" s="142">
        <f t="shared" si="175"/>
        <v>1394.8</v>
      </c>
      <c r="V399" s="88">
        <v>1329.9</v>
      </c>
      <c r="W399" s="88">
        <v>1459.7</v>
      </c>
      <c r="X399" s="88"/>
      <c r="Y399" s="88"/>
      <c r="Z399" s="88"/>
      <c r="AA399" s="88"/>
      <c r="AB399" s="88"/>
      <c r="AC399" s="88"/>
      <c r="AD399" s="142" t="str">
        <f t="shared" si="176"/>
        <v/>
      </c>
      <c r="AE399" s="88"/>
      <c r="AF399" s="88"/>
      <c r="AG399" s="88"/>
      <c r="AH399" s="88"/>
      <c r="AI399" s="88"/>
      <c r="AJ399" s="88"/>
      <c r="AK399" s="88"/>
      <c r="AL399" s="88"/>
      <c r="AM399" s="88">
        <v>36.628899580940562</v>
      </c>
      <c r="AN399" s="88">
        <v>128.85999999999999</v>
      </c>
      <c r="AO399" s="89">
        <v>21.7</v>
      </c>
      <c r="AP399" s="90">
        <v>18.401599999999998</v>
      </c>
      <c r="AQ399" s="146">
        <f t="shared" si="177"/>
        <v>84.8</v>
      </c>
      <c r="AR399" s="146">
        <f t="shared" si="178"/>
        <v>15.200000000000003</v>
      </c>
      <c r="AS399" s="147">
        <v>38</v>
      </c>
      <c r="AT399" s="148">
        <v>14.100000000000001</v>
      </c>
      <c r="AU399" s="149">
        <v>7.76145</v>
      </c>
      <c r="AV399" s="146">
        <f t="shared" si="179"/>
        <v>55.045744680851058</v>
      </c>
      <c r="AW399" s="146">
        <f t="shared" si="180"/>
        <v>44.954255319148942</v>
      </c>
      <c r="AX399" s="138">
        <f t="shared" si="181"/>
        <v>78.051710534952122</v>
      </c>
      <c r="AY399" s="95">
        <v>78.349999999999994</v>
      </c>
      <c r="AZ399" s="96">
        <v>59.204999999999998</v>
      </c>
      <c r="BA399" s="96"/>
      <c r="BB399" s="96">
        <v>90</v>
      </c>
      <c r="BC399" s="96"/>
      <c r="BD399" s="97">
        <v>128.85999999999999</v>
      </c>
      <c r="BE399" s="142">
        <f t="shared" si="182"/>
        <v>8230</v>
      </c>
      <c r="BF399" s="88">
        <v>1869</v>
      </c>
      <c r="BG399" s="98">
        <v>0</v>
      </c>
      <c r="BH399" s="98">
        <v>0</v>
      </c>
      <c r="BI399" s="98">
        <v>6361</v>
      </c>
      <c r="BJ399" s="98"/>
      <c r="BK399" s="98"/>
      <c r="BL399" s="97"/>
    </row>
    <row r="400" spans="1:64" outlineLevel="5" x14ac:dyDescent="0.3">
      <c r="A400" s="152">
        <f t="shared" si="168"/>
        <v>12</v>
      </c>
      <c r="B400" s="153">
        <f t="shared" si="153"/>
        <v>45265</v>
      </c>
      <c r="C400" s="138" t="str">
        <f t="shared" si="173"/>
        <v/>
      </c>
      <c r="D400" s="84"/>
      <c r="E400" s="84"/>
      <c r="F400" s="84"/>
      <c r="G400" s="84"/>
      <c r="H400" s="84"/>
      <c r="I400" s="84"/>
      <c r="J400" s="84"/>
      <c r="K400" s="84"/>
      <c r="L400" s="140" t="str">
        <f t="shared" si="174"/>
        <v/>
      </c>
      <c r="M400" s="86"/>
      <c r="N400" s="86"/>
      <c r="O400" s="86"/>
      <c r="P400" s="86"/>
      <c r="Q400" s="86"/>
      <c r="R400" s="86"/>
      <c r="S400" s="86"/>
      <c r="T400" s="86"/>
      <c r="U400" s="142" t="str">
        <f t="shared" si="175"/>
        <v/>
      </c>
      <c r="V400" s="88"/>
      <c r="W400" s="88"/>
      <c r="X400" s="88"/>
      <c r="Y400" s="88"/>
      <c r="Z400" s="88"/>
      <c r="AA400" s="88"/>
      <c r="AB400" s="88"/>
      <c r="AC400" s="88"/>
      <c r="AD400" s="142" t="str">
        <f t="shared" si="176"/>
        <v/>
      </c>
      <c r="AE400" s="88"/>
      <c r="AF400" s="88"/>
      <c r="AG400" s="88"/>
      <c r="AH400" s="88"/>
      <c r="AI400" s="88"/>
      <c r="AJ400" s="88"/>
      <c r="AK400" s="88"/>
      <c r="AL400" s="88"/>
      <c r="AM400" s="88">
        <v>30.43197936814958</v>
      </c>
      <c r="AN400" s="88">
        <v>155.1</v>
      </c>
      <c r="AO400" s="89"/>
      <c r="AP400" s="90"/>
      <c r="AQ400" s="146" t="str">
        <f t="shared" si="177"/>
        <v/>
      </c>
      <c r="AR400" s="146" t="str">
        <f t="shared" si="178"/>
        <v/>
      </c>
      <c r="AS400" s="147">
        <v>20</v>
      </c>
      <c r="AT400" s="148"/>
      <c r="AU400" s="149"/>
      <c r="AV400" s="146" t="str">
        <f t="shared" si="179"/>
        <v/>
      </c>
      <c r="AW400" s="146" t="str">
        <f t="shared" si="180"/>
        <v/>
      </c>
      <c r="AX400" s="138" t="str">
        <f t="shared" si="181"/>
        <v/>
      </c>
      <c r="AY400" s="95"/>
      <c r="AZ400" s="96"/>
      <c r="BA400" s="96"/>
      <c r="BB400" s="96"/>
      <c r="BC400" s="96"/>
      <c r="BD400" s="97">
        <v>155.1</v>
      </c>
      <c r="BE400" s="142">
        <f t="shared" si="182"/>
        <v>7405</v>
      </c>
      <c r="BF400" s="88">
        <v>823</v>
      </c>
      <c r="BG400" s="98">
        <v>0</v>
      </c>
      <c r="BH400" s="98">
        <v>1</v>
      </c>
      <c r="BI400" s="98">
        <v>6581</v>
      </c>
      <c r="BJ400" s="98"/>
      <c r="BK400" s="98"/>
      <c r="BL400" s="97"/>
    </row>
    <row r="401" spans="1:64" outlineLevel="5" x14ac:dyDescent="0.3">
      <c r="A401" s="152">
        <f t="shared" si="168"/>
        <v>12</v>
      </c>
      <c r="B401" s="153">
        <f t="shared" si="153"/>
        <v>45266</v>
      </c>
      <c r="C401" s="138">
        <f t="shared" si="173"/>
        <v>37</v>
      </c>
      <c r="D401" s="84">
        <v>37</v>
      </c>
      <c r="E401" s="84">
        <v>37</v>
      </c>
      <c r="F401" s="84"/>
      <c r="G401" s="84"/>
      <c r="H401" s="84"/>
      <c r="I401" s="84"/>
      <c r="J401" s="84"/>
      <c r="K401" s="84"/>
      <c r="L401" s="140">
        <f t="shared" si="174"/>
        <v>8.1</v>
      </c>
      <c r="M401" s="86">
        <v>8.11</v>
      </c>
      <c r="N401" s="86">
        <v>8.1199999999999992</v>
      </c>
      <c r="O401" s="86"/>
      <c r="P401" s="86"/>
      <c r="Q401" s="86"/>
      <c r="R401" s="86"/>
      <c r="S401" s="86"/>
      <c r="T401" s="86"/>
      <c r="U401" s="142">
        <f t="shared" si="175"/>
        <v>1611.1</v>
      </c>
      <c r="V401" s="88">
        <v>1578.6</v>
      </c>
      <c r="W401" s="88">
        <v>1643.5</v>
      </c>
      <c r="X401" s="88"/>
      <c r="Y401" s="88"/>
      <c r="Z401" s="88"/>
      <c r="AA401" s="88"/>
      <c r="AB401" s="88"/>
      <c r="AC401" s="88"/>
      <c r="AD401" s="142" t="str">
        <f t="shared" si="176"/>
        <v/>
      </c>
      <c r="AE401" s="88"/>
      <c r="AF401" s="88"/>
      <c r="AG401" s="88"/>
      <c r="AH401" s="88"/>
      <c r="AI401" s="88"/>
      <c r="AJ401" s="88"/>
      <c r="AK401" s="88"/>
      <c r="AL401" s="88"/>
      <c r="AM401" s="88">
        <v>30.418250950570343</v>
      </c>
      <c r="AN401" s="88">
        <v>155.16999999999999</v>
      </c>
      <c r="AO401" s="89"/>
      <c r="AP401" s="90"/>
      <c r="AQ401" s="146" t="str">
        <f t="shared" si="177"/>
        <v/>
      </c>
      <c r="AR401" s="146" t="str">
        <f t="shared" si="178"/>
        <v/>
      </c>
      <c r="AS401" s="147">
        <v>40</v>
      </c>
      <c r="AT401" s="148">
        <v>14.350000000000001</v>
      </c>
      <c r="AU401" s="149">
        <v>8.1823499999999996</v>
      </c>
      <c r="AV401" s="146">
        <f t="shared" si="179"/>
        <v>57.019860627177685</v>
      </c>
      <c r="AW401" s="146">
        <f t="shared" si="180"/>
        <v>42.980139372822315</v>
      </c>
      <c r="AX401" s="138" t="str">
        <f t="shared" si="181"/>
        <v/>
      </c>
      <c r="AY401" s="95">
        <v>76</v>
      </c>
      <c r="AZ401" s="96">
        <v>59.150000000000006</v>
      </c>
      <c r="BA401" s="96"/>
      <c r="BB401" s="96">
        <v>121.5</v>
      </c>
      <c r="BC401" s="96"/>
      <c r="BD401" s="97">
        <v>155.16999999999999</v>
      </c>
      <c r="BE401" s="142">
        <f t="shared" si="182"/>
        <v>5808</v>
      </c>
      <c r="BF401" s="88">
        <v>924</v>
      </c>
      <c r="BG401" s="98">
        <v>0</v>
      </c>
      <c r="BH401" s="98">
        <v>25</v>
      </c>
      <c r="BI401" s="98">
        <v>4859</v>
      </c>
      <c r="BJ401" s="98"/>
      <c r="BK401" s="98"/>
      <c r="BL401" s="97"/>
    </row>
    <row r="402" spans="1:64" outlineLevel="5" x14ac:dyDescent="0.3">
      <c r="A402" s="152">
        <f t="shared" si="168"/>
        <v>12</v>
      </c>
      <c r="B402" s="153">
        <f t="shared" si="153"/>
        <v>45267</v>
      </c>
      <c r="C402" s="138">
        <f t="shared" si="173"/>
        <v>36.5</v>
      </c>
      <c r="D402" s="84">
        <v>37</v>
      </c>
      <c r="E402" s="84">
        <v>36</v>
      </c>
      <c r="F402" s="84"/>
      <c r="G402" s="84"/>
      <c r="H402" s="84"/>
      <c r="I402" s="84"/>
      <c r="J402" s="84"/>
      <c r="K402" s="84"/>
      <c r="L402" s="140">
        <f t="shared" si="174"/>
        <v>8.1</v>
      </c>
      <c r="M402" s="86">
        <v>8.08</v>
      </c>
      <c r="N402" s="86">
        <v>8.11</v>
      </c>
      <c r="O402" s="86"/>
      <c r="P402" s="86"/>
      <c r="Q402" s="86"/>
      <c r="R402" s="86"/>
      <c r="S402" s="86"/>
      <c r="T402" s="86"/>
      <c r="U402" s="142">
        <f t="shared" si="175"/>
        <v>1751.7</v>
      </c>
      <c r="V402" s="88">
        <v>1708.4</v>
      </c>
      <c r="W402" s="88">
        <v>1794.9</v>
      </c>
      <c r="X402" s="88"/>
      <c r="Y402" s="88"/>
      <c r="Z402" s="88"/>
      <c r="AA402" s="88"/>
      <c r="AB402" s="88"/>
      <c r="AC402" s="88"/>
      <c r="AD402" s="142" t="str">
        <f t="shared" si="176"/>
        <v/>
      </c>
      <c r="AE402" s="88"/>
      <c r="AF402" s="88"/>
      <c r="AG402" s="88"/>
      <c r="AH402" s="88"/>
      <c r="AI402" s="88"/>
      <c r="AJ402" s="88"/>
      <c r="AK402" s="88"/>
      <c r="AL402" s="88"/>
      <c r="AM402" s="88">
        <v>36.524026928731715</v>
      </c>
      <c r="AN402" s="88">
        <v>129.23000000000002</v>
      </c>
      <c r="AO402" s="89"/>
      <c r="AP402" s="90"/>
      <c r="AQ402" s="146" t="str">
        <f t="shared" si="177"/>
        <v/>
      </c>
      <c r="AR402" s="146" t="str">
        <f t="shared" si="178"/>
        <v/>
      </c>
      <c r="AS402" s="147">
        <v>35</v>
      </c>
      <c r="AT402" s="148">
        <v>14.65</v>
      </c>
      <c r="AU402" s="149">
        <v>8.3026</v>
      </c>
      <c r="AV402" s="146">
        <f t="shared" si="179"/>
        <v>56.673037542662122</v>
      </c>
      <c r="AW402" s="146">
        <f t="shared" si="180"/>
        <v>43.326962457337878</v>
      </c>
      <c r="AX402" s="138" t="str">
        <f t="shared" si="181"/>
        <v/>
      </c>
      <c r="AY402" s="95">
        <v>76.349999999999994</v>
      </c>
      <c r="AZ402" s="96">
        <v>53.93</v>
      </c>
      <c r="BA402" s="96"/>
      <c r="BB402" s="96">
        <v>100.5</v>
      </c>
      <c r="BC402" s="96"/>
      <c r="BD402" s="97">
        <v>129.23000000000002</v>
      </c>
      <c r="BE402" s="142">
        <f t="shared" si="182"/>
        <v>8155</v>
      </c>
      <c r="BF402" s="88">
        <v>1744</v>
      </c>
      <c r="BG402" s="98">
        <v>0</v>
      </c>
      <c r="BH402" s="98">
        <v>456</v>
      </c>
      <c r="BI402" s="98">
        <v>5955</v>
      </c>
      <c r="BJ402" s="98"/>
      <c r="BK402" s="98"/>
      <c r="BL402" s="97"/>
    </row>
    <row r="403" spans="1:64" outlineLevel="5" x14ac:dyDescent="0.3">
      <c r="A403" s="152">
        <f t="shared" si="168"/>
        <v>12</v>
      </c>
      <c r="B403" s="153">
        <f t="shared" si="153"/>
        <v>45268</v>
      </c>
      <c r="C403" s="138" t="str">
        <f t="shared" si="173"/>
        <v/>
      </c>
      <c r="D403" s="84"/>
      <c r="E403" s="84"/>
      <c r="F403" s="84"/>
      <c r="G403" s="84"/>
      <c r="H403" s="84"/>
      <c r="I403" s="84"/>
      <c r="J403" s="84"/>
      <c r="K403" s="84"/>
      <c r="L403" s="140" t="str">
        <f t="shared" si="174"/>
        <v/>
      </c>
      <c r="M403" s="86"/>
      <c r="N403" s="86"/>
      <c r="O403" s="86"/>
      <c r="P403" s="86"/>
      <c r="Q403" s="86"/>
      <c r="R403" s="86"/>
      <c r="S403" s="86"/>
      <c r="T403" s="86"/>
      <c r="U403" s="142" t="str">
        <f t="shared" si="175"/>
        <v/>
      </c>
      <c r="V403" s="88"/>
      <c r="W403" s="88"/>
      <c r="X403" s="88"/>
      <c r="Y403" s="88"/>
      <c r="Z403" s="88"/>
      <c r="AA403" s="88"/>
      <c r="AB403" s="88"/>
      <c r="AC403" s="88"/>
      <c r="AD403" s="142" t="str">
        <f t="shared" si="176"/>
        <v/>
      </c>
      <c r="AE403" s="88"/>
      <c r="AF403" s="88"/>
      <c r="AG403" s="88"/>
      <c r="AH403" s="88"/>
      <c r="AI403" s="88"/>
      <c r="AJ403" s="88"/>
      <c r="AK403" s="88"/>
      <c r="AL403" s="88"/>
      <c r="AM403" s="88">
        <v>46.552914488608344</v>
      </c>
      <c r="AN403" s="88">
        <v>101.39</v>
      </c>
      <c r="AO403" s="89"/>
      <c r="AP403" s="90"/>
      <c r="AQ403" s="146" t="str">
        <f t="shared" si="177"/>
        <v/>
      </c>
      <c r="AR403" s="146" t="str">
        <f t="shared" si="178"/>
        <v/>
      </c>
      <c r="AS403" s="147">
        <v>20</v>
      </c>
      <c r="AT403" s="148"/>
      <c r="AU403" s="149"/>
      <c r="AV403" s="146" t="str">
        <f t="shared" si="179"/>
        <v/>
      </c>
      <c r="AW403" s="146" t="str">
        <f t="shared" si="180"/>
        <v/>
      </c>
      <c r="AX403" s="138" t="str">
        <f t="shared" si="181"/>
        <v/>
      </c>
      <c r="AY403" s="95"/>
      <c r="AZ403" s="96">
        <v>52.224999999999994</v>
      </c>
      <c r="BA403" s="96"/>
      <c r="BB403" s="96">
        <v>237.5</v>
      </c>
      <c r="BC403" s="96"/>
      <c r="BD403" s="97">
        <v>101.39</v>
      </c>
      <c r="BE403" s="142">
        <f t="shared" si="182"/>
        <v>10386</v>
      </c>
      <c r="BF403" s="88">
        <v>941</v>
      </c>
      <c r="BG403" s="98">
        <v>0</v>
      </c>
      <c r="BH403" s="98">
        <v>2390</v>
      </c>
      <c r="BI403" s="98">
        <v>7055</v>
      </c>
      <c r="BJ403" s="98"/>
      <c r="BK403" s="98"/>
      <c r="BL403" s="97"/>
    </row>
    <row r="404" spans="1:64" outlineLevel="5" x14ac:dyDescent="0.3">
      <c r="A404" s="152">
        <f t="shared" si="168"/>
        <v>12</v>
      </c>
      <c r="B404" s="153">
        <f t="shared" si="153"/>
        <v>45269</v>
      </c>
      <c r="C404" s="138" t="str">
        <f t="shared" si="173"/>
        <v/>
      </c>
      <c r="D404" s="84"/>
      <c r="E404" s="84"/>
      <c r="F404" s="84"/>
      <c r="G404" s="84"/>
      <c r="H404" s="84"/>
      <c r="I404" s="84"/>
      <c r="J404" s="84"/>
      <c r="K404" s="84"/>
      <c r="L404" s="140" t="str">
        <f t="shared" si="174"/>
        <v/>
      </c>
      <c r="M404" s="86"/>
      <c r="N404" s="86"/>
      <c r="O404" s="86"/>
      <c r="P404" s="86"/>
      <c r="Q404" s="86"/>
      <c r="R404" s="86"/>
      <c r="S404" s="86"/>
      <c r="T404" s="86"/>
      <c r="U404" s="142" t="str">
        <f t="shared" si="175"/>
        <v/>
      </c>
      <c r="V404" s="88"/>
      <c r="W404" s="88"/>
      <c r="X404" s="88"/>
      <c r="Y404" s="88"/>
      <c r="Z404" s="88"/>
      <c r="AA404" s="88"/>
      <c r="AB404" s="88"/>
      <c r="AC404" s="88"/>
      <c r="AD404" s="142" t="str">
        <f t="shared" si="176"/>
        <v/>
      </c>
      <c r="AE404" s="88"/>
      <c r="AF404" s="88"/>
      <c r="AG404" s="88"/>
      <c r="AH404" s="88"/>
      <c r="AI404" s="88"/>
      <c r="AJ404" s="88"/>
      <c r="AK404" s="88"/>
      <c r="AL404" s="88"/>
      <c r="AM404" s="88">
        <v>31.54447637505848</v>
      </c>
      <c r="AN404" s="88">
        <v>149.63</v>
      </c>
      <c r="AO404" s="89"/>
      <c r="AP404" s="90"/>
      <c r="AQ404" s="146" t="str">
        <f t="shared" si="177"/>
        <v/>
      </c>
      <c r="AR404" s="146" t="str">
        <f t="shared" si="178"/>
        <v/>
      </c>
      <c r="AS404" s="147">
        <v>30</v>
      </c>
      <c r="AT404" s="148"/>
      <c r="AU404" s="149"/>
      <c r="AV404" s="146" t="str">
        <f t="shared" si="179"/>
        <v/>
      </c>
      <c r="AW404" s="146" t="str">
        <f t="shared" si="180"/>
        <v/>
      </c>
      <c r="AX404" s="138" t="str">
        <f t="shared" si="181"/>
        <v/>
      </c>
      <c r="AY404" s="95"/>
      <c r="AZ404" s="96"/>
      <c r="BA404" s="96"/>
      <c r="BB404" s="96"/>
      <c r="BC404" s="96"/>
      <c r="BD404" s="97">
        <v>149.63</v>
      </c>
      <c r="BE404" s="142">
        <f t="shared" si="182"/>
        <v>6577</v>
      </c>
      <c r="BF404" s="88">
        <v>963</v>
      </c>
      <c r="BG404" s="98">
        <v>0</v>
      </c>
      <c r="BH404" s="98">
        <v>54</v>
      </c>
      <c r="BI404" s="98">
        <v>5560</v>
      </c>
      <c r="BJ404" s="98"/>
      <c r="BK404" s="98"/>
      <c r="BL404" s="97"/>
    </row>
    <row r="405" spans="1:64" outlineLevel="5" x14ac:dyDescent="0.3">
      <c r="A405" s="152">
        <f t="shared" si="168"/>
        <v>12</v>
      </c>
      <c r="B405" s="153">
        <f t="shared" si="153"/>
        <v>45270</v>
      </c>
      <c r="C405" s="138" t="str">
        <f t="shared" si="173"/>
        <v/>
      </c>
      <c r="D405" s="84"/>
      <c r="E405" s="84"/>
      <c r="F405" s="84"/>
      <c r="G405" s="84"/>
      <c r="H405" s="84"/>
      <c r="I405" s="84"/>
      <c r="J405" s="84"/>
      <c r="K405" s="84"/>
      <c r="L405" s="140" t="str">
        <f t="shared" si="174"/>
        <v/>
      </c>
      <c r="M405" s="86"/>
      <c r="N405" s="86"/>
      <c r="O405" s="86"/>
      <c r="P405" s="86"/>
      <c r="Q405" s="86"/>
      <c r="R405" s="86"/>
      <c r="S405" s="86"/>
      <c r="T405" s="86"/>
      <c r="U405" s="142" t="str">
        <f t="shared" si="175"/>
        <v/>
      </c>
      <c r="V405" s="88"/>
      <c r="W405" s="88"/>
      <c r="X405" s="88"/>
      <c r="Y405" s="88"/>
      <c r="Z405" s="88"/>
      <c r="AA405" s="88"/>
      <c r="AB405" s="88"/>
      <c r="AC405" s="88"/>
      <c r="AD405" s="142" t="str">
        <f t="shared" si="176"/>
        <v/>
      </c>
      <c r="AE405" s="88"/>
      <c r="AF405" s="88"/>
      <c r="AG405" s="88"/>
      <c r="AH405" s="88"/>
      <c r="AI405" s="88"/>
      <c r="AJ405" s="88"/>
      <c r="AK405" s="88"/>
      <c r="AL405" s="88"/>
      <c r="AM405" s="88">
        <v>36.307692307692307</v>
      </c>
      <c r="AN405" s="88">
        <v>130</v>
      </c>
      <c r="AO405" s="89"/>
      <c r="AP405" s="90"/>
      <c r="AQ405" s="146" t="str">
        <f t="shared" si="177"/>
        <v/>
      </c>
      <c r="AR405" s="146" t="str">
        <f t="shared" si="178"/>
        <v/>
      </c>
      <c r="AS405" s="147">
        <v>10</v>
      </c>
      <c r="AT405" s="148"/>
      <c r="AU405" s="149"/>
      <c r="AV405" s="146" t="str">
        <f t="shared" si="179"/>
        <v/>
      </c>
      <c r="AW405" s="146" t="str">
        <f t="shared" si="180"/>
        <v/>
      </c>
      <c r="AX405" s="138" t="str">
        <f t="shared" si="181"/>
        <v/>
      </c>
      <c r="AY405" s="95"/>
      <c r="AZ405" s="96"/>
      <c r="BA405" s="96"/>
      <c r="BB405" s="96"/>
      <c r="BC405" s="96"/>
      <c r="BD405" s="97">
        <v>130</v>
      </c>
      <c r="BE405" s="142">
        <f t="shared" si="182"/>
        <v>5455</v>
      </c>
      <c r="BF405" s="88">
        <v>0</v>
      </c>
      <c r="BG405" s="98">
        <v>0</v>
      </c>
      <c r="BH405" s="98">
        <v>0</v>
      </c>
      <c r="BI405" s="98">
        <v>5455</v>
      </c>
      <c r="BJ405" s="98"/>
      <c r="BK405" s="98"/>
      <c r="BL405" s="97"/>
    </row>
    <row r="406" spans="1:64" outlineLevel="5" x14ac:dyDescent="0.3">
      <c r="A406" s="152">
        <f t="shared" si="168"/>
        <v>12</v>
      </c>
      <c r="B406" s="153">
        <f t="shared" si="153"/>
        <v>45271</v>
      </c>
      <c r="C406" s="138">
        <f t="shared" si="173"/>
        <v>36.9</v>
      </c>
      <c r="D406" s="84">
        <v>36.200000000000003</v>
      </c>
      <c r="E406" s="84">
        <v>37.5</v>
      </c>
      <c r="F406" s="84"/>
      <c r="G406" s="84"/>
      <c r="H406" s="84"/>
      <c r="I406" s="84"/>
      <c r="J406" s="84"/>
      <c r="K406" s="84"/>
      <c r="L406" s="140" t="str">
        <f t="shared" si="174"/>
        <v/>
      </c>
      <c r="M406" s="86"/>
      <c r="N406" s="86"/>
      <c r="O406" s="86"/>
      <c r="P406" s="86"/>
      <c r="Q406" s="86"/>
      <c r="R406" s="86"/>
      <c r="S406" s="86"/>
      <c r="T406" s="86"/>
      <c r="U406" s="142" t="str">
        <f t="shared" si="175"/>
        <v/>
      </c>
      <c r="V406" s="88"/>
      <c r="W406" s="88"/>
      <c r="X406" s="88"/>
      <c r="Y406" s="88"/>
      <c r="Z406" s="88"/>
      <c r="AA406" s="88"/>
      <c r="AB406" s="88"/>
      <c r="AC406" s="88"/>
      <c r="AD406" s="142" t="str">
        <f t="shared" si="176"/>
        <v/>
      </c>
      <c r="AE406" s="88"/>
      <c r="AF406" s="88"/>
      <c r="AG406" s="88"/>
      <c r="AH406" s="88"/>
      <c r="AI406" s="88"/>
      <c r="AJ406" s="88"/>
      <c r="AK406" s="88"/>
      <c r="AL406" s="88"/>
      <c r="AM406" s="88">
        <v>45.634728802088368</v>
      </c>
      <c r="AN406" s="88">
        <v>103.43</v>
      </c>
      <c r="AO406" s="89"/>
      <c r="AP406" s="90"/>
      <c r="AQ406" s="146" t="str">
        <f t="shared" si="177"/>
        <v/>
      </c>
      <c r="AR406" s="146" t="str">
        <f t="shared" si="178"/>
        <v/>
      </c>
      <c r="AS406" s="147">
        <v>38</v>
      </c>
      <c r="AT406" s="148"/>
      <c r="AU406" s="149"/>
      <c r="AV406" s="146" t="str">
        <f t="shared" si="179"/>
        <v/>
      </c>
      <c r="AW406" s="146" t="str">
        <f t="shared" si="180"/>
        <v/>
      </c>
      <c r="AX406" s="138" t="str">
        <f t="shared" si="181"/>
        <v/>
      </c>
      <c r="AY406" s="95"/>
      <c r="AZ406" s="96">
        <v>60.099999999999994</v>
      </c>
      <c r="BA406" s="96"/>
      <c r="BB406" s="96">
        <v>207.5</v>
      </c>
      <c r="BC406" s="96"/>
      <c r="BD406" s="97">
        <v>103.43</v>
      </c>
      <c r="BE406" s="142">
        <f t="shared" si="182"/>
        <v>7636</v>
      </c>
      <c r="BF406" s="88">
        <v>954</v>
      </c>
      <c r="BG406" s="98">
        <v>0</v>
      </c>
      <c r="BH406" s="98">
        <v>533</v>
      </c>
      <c r="BI406" s="98">
        <v>6149</v>
      </c>
      <c r="BJ406" s="98"/>
      <c r="BK406" s="98"/>
      <c r="BL406" s="97"/>
    </row>
    <row r="407" spans="1:64" outlineLevel="5" x14ac:dyDescent="0.3">
      <c r="A407" s="152">
        <f t="shared" si="168"/>
        <v>12</v>
      </c>
      <c r="B407" s="153">
        <f t="shared" si="153"/>
        <v>45272</v>
      </c>
      <c r="C407" s="138" t="str">
        <f t="shared" si="173"/>
        <v/>
      </c>
      <c r="D407" s="84"/>
      <c r="E407" s="84"/>
      <c r="F407" s="84"/>
      <c r="G407" s="84"/>
      <c r="H407" s="84"/>
      <c r="I407" s="84"/>
      <c r="J407" s="84"/>
      <c r="K407" s="84"/>
      <c r="L407" s="140" t="str">
        <f t="shared" si="174"/>
        <v/>
      </c>
      <c r="M407" s="86"/>
      <c r="N407" s="86"/>
      <c r="O407" s="86"/>
      <c r="P407" s="86"/>
      <c r="Q407" s="86"/>
      <c r="R407" s="86"/>
      <c r="S407" s="86"/>
      <c r="T407" s="86"/>
      <c r="U407" s="142" t="str">
        <f t="shared" si="175"/>
        <v/>
      </c>
      <c r="V407" s="88"/>
      <c r="W407" s="88"/>
      <c r="X407" s="88"/>
      <c r="Y407" s="88"/>
      <c r="Z407" s="88"/>
      <c r="AA407" s="88"/>
      <c r="AB407" s="88"/>
      <c r="AC407" s="88"/>
      <c r="AD407" s="142" t="str">
        <f t="shared" si="176"/>
        <v/>
      </c>
      <c r="AE407" s="88"/>
      <c r="AF407" s="88"/>
      <c r="AG407" s="88"/>
      <c r="AH407" s="88"/>
      <c r="AI407" s="88"/>
      <c r="AJ407" s="88"/>
      <c r="AK407" s="88"/>
      <c r="AL407" s="88"/>
      <c r="AM407" s="88">
        <v>30.817445808305042</v>
      </c>
      <c r="AN407" s="88">
        <v>153.16</v>
      </c>
      <c r="AO407" s="89"/>
      <c r="AP407" s="90"/>
      <c r="AQ407" s="146" t="str">
        <f t="shared" si="177"/>
        <v/>
      </c>
      <c r="AR407" s="146" t="str">
        <f t="shared" si="178"/>
        <v/>
      </c>
      <c r="AS407" s="147">
        <v>31</v>
      </c>
      <c r="AT407" s="148"/>
      <c r="AU407" s="149"/>
      <c r="AV407" s="146" t="str">
        <f t="shared" si="179"/>
        <v/>
      </c>
      <c r="AW407" s="146" t="str">
        <f t="shared" si="180"/>
        <v/>
      </c>
      <c r="AX407" s="138" t="str">
        <f t="shared" si="181"/>
        <v/>
      </c>
      <c r="AY407" s="95"/>
      <c r="AZ407" s="96">
        <v>58.924999999999997</v>
      </c>
      <c r="BA407" s="96"/>
      <c r="BB407" s="96">
        <v>178.5</v>
      </c>
      <c r="BC407" s="96"/>
      <c r="BD407" s="97">
        <v>153.16</v>
      </c>
      <c r="BE407" s="142">
        <f t="shared" si="182"/>
        <v>9790</v>
      </c>
      <c r="BF407" s="88">
        <v>1042</v>
      </c>
      <c r="BG407" s="98">
        <v>0</v>
      </c>
      <c r="BH407" s="98">
        <v>2567</v>
      </c>
      <c r="BI407" s="98">
        <v>6181</v>
      </c>
      <c r="BJ407" s="98"/>
      <c r="BK407" s="98"/>
      <c r="BL407" s="97"/>
    </row>
    <row r="408" spans="1:64" outlineLevel="5" x14ac:dyDescent="0.3">
      <c r="A408" s="152">
        <f t="shared" si="168"/>
        <v>12</v>
      </c>
      <c r="B408" s="153">
        <f t="shared" si="153"/>
        <v>45273</v>
      </c>
      <c r="C408" s="138">
        <f t="shared" si="173"/>
        <v>36.5</v>
      </c>
      <c r="D408" s="84">
        <v>36</v>
      </c>
      <c r="E408" s="84">
        <v>37</v>
      </c>
      <c r="F408" s="84"/>
      <c r="G408" s="84"/>
      <c r="H408" s="84"/>
      <c r="I408" s="84"/>
      <c r="J408" s="84"/>
      <c r="K408" s="84"/>
      <c r="L408" s="140" t="str">
        <f t="shared" si="174"/>
        <v/>
      </c>
      <c r="M408" s="86"/>
      <c r="N408" s="86"/>
      <c r="O408" s="86"/>
      <c r="P408" s="86"/>
      <c r="Q408" s="86"/>
      <c r="R408" s="86"/>
      <c r="S408" s="86"/>
      <c r="T408" s="86"/>
      <c r="U408" s="142" t="str">
        <f t="shared" si="175"/>
        <v/>
      </c>
      <c r="V408" s="88"/>
      <c r="W408" s="88"/>
      <c r="X408" s="88"/>
      <c r="Y408" s="88"/>
      <c r="Z408" s="88"/>
      <c r="AA408" s="88"/>
      <c r="AB408" s="88"/>
      <c r="AC408" s="88"/>
      <c r="AD408" s="142" t="str">
        <f t="shared" si="176"/>
        <v/>
      </c>
      <c r="AE408" s="88"/>
      <c r="AF408" s="88"/>
      <c r="AG408" s="88"/>
      <c r="AH408" s="88"/>
      <c r="AI408" s="88"/>
      <c r="AJ408" s="88"/>
      <c r="AK408" s="88"/>
      <c r="AL408" s="88"/>
      <c r="AM408" s="88">
        <v>33.663790029241852</v>
      </c>
      <c r="AN408" s="88">
        <v>140.21</v>
      </c>
      <c r="AO408" s="89"/>
      <c r="AP408" s="90"/>
      <c r="AQ408" s="146" t="str">
        <f t="shared" si="177"/>
        <v/>
      </c>
      <c r="AR408" s="146" t="str">
        <f t="shared" si="178"/>
        <v/>
      </c>
      <c r="AS408" s="147">
        <v>27</v>
      </c>
      <c r="AT408" s="148"/>
      <c r="AU408" s="149"/>
      <c r="AV408" s="146" t="str">
        <f t="shared" si="179"/>
        <v/>
      </c>
      <c r="AW408" s="146" t="str">
        <f t="shared" si="180"/>
        <v/>
      </c>
      <c r="AX408" s="138" t="str">
        <f t="shared" si="181"/>
        <v/>
      </c>
      <c r="AY408" s="95"/>
      <c r="AZ408" s="96">
        <v>61.97</v>
      </c>
      <c r="BA408" s="96"/>
      <c r="BB408" s="96">
        <v>108.5</v>
      </c>
      <c r="BC408" s="96"/>
      <c r="BD408" s="97">
        <v>140.21</v>
      </c>
      <c r="BE408" s="142">
        <f t="shared" si="182"/>
        <v>8794</v>
      </c>
      <c r="BF408" s="88">
        <v>940</v>
      </c>
      <c r="BG408" s="98">
        <v>0</v>
      </c>
      <c r="BH408" s="98">
        <v>2059</v>
      </c>
      <c r="BI408" s="98">
        <v>5795</v>
      </c>
      <c r="BJ408" s="98"/>
      <c r="BK408" s="98"/>
      <c r="BL408" s="97"/>
    </row>
    <row r="409" spans="1:64" outlineLevel="5" x14ac:dyDescent="0.3">
      <c r="A409" s="152">
        <f t="shared" si="168"/>
        <v>12</v>
      </c>
      <c r="B409" s="153">
        <f t="shared" si="153"/>
        <v>45274</v>
      </c>
      <c r="C409" s="138">
        <f t="shared" si="173"/>
        <v>37</v>
      </c>
      <c r="D409" s="84">
        <v>37</v>
      </c>
      <c r="E409" s="84">
        <v>37</v>
      </c>
      <c r="F409" s="84"/>
      <c r="G409" s="84"/>
      <c r="H409" s="84"/>
      <c r="I409" s="84"/>
      <c r="J409" s="84"/>
      <c r="K409" s="84"/>
      <c r="L409" s="140" t="str">
        <f t="shared" si="174"/>
        <v/>
      </c>
      <c r="M409" s="86"/>
      <c r="N409" s="86"/>
      <c r="O409" s="86"/>
      <c r="P409" s="86"/>
      <c r="Q409" s="86"/>
      <c r="R409" s="86"/>
      <c r="S409" s="86"/>
      <c r="T409" s="86"/>
      <c r="U409" s="142" t="str">
        <f t="shared" si="175"/>
        <v/>
      </c>
      <c r="V409" s="88"/>
      <c r="W409" s="88"/>
      <c r="X409" s="88"/>
      <c r="Y409" s="88"/>
      <c r="Z409" s="88"/>
      <c r="AA409" s="88"/>
      <c r="AB409" s="88"/>
      <c r="AC409" s="88"/>
      <c r="AD409" s="142" t="str">
        <f t="shared" si="176"/>
        <v/>
      </c>
      <c r="AE409" s="88"/>
      <c r="AF409" s="88"/>
      <c r="AG409" s="88"/>
      <c r="AH409" s="88"/>
      <c r="AI409" s="88"/>
      <c r="AJ409" s="88"/>
      <c r="AK409" s="88"/>
      <c r="AL409" s="88"/>
      <c r="AM409" s="88">
        <v>31.013864248636573</v>
      </c>
      <c r="AN409" s="88">
        <v>152.19</v>
      </c>
      <c r="AO409" s="89"/>
      <c r="AP409" s="90"/>
      <c r="AQ409" s="146" t="str">
        <f t="shared" si="177"/>
        <v/>
      </c>
      <c r="AR409" s="146" t="str">
        <f t="shared" si="178"/>
        <v/>
      </c>
      <c r="AS409" s="147">
        <v>33</v>
      </c>
      <c r="AT409" s="148"/>
      <c r="AU409" s="149"/>
      <c r="AV409" s="146" t="str">
        <f t="shared" si="179"/>
        <v/>
      </c>
      <c r="AW409" s="146" t="str">
        <f t="shared" si="180"/>
        <v/>
      </c>
      <c r="AX409" s="138" t="str">
        <f t="shared" si="181"/>
        <v/>
      </c>
      <c r="AY409" s="95"/>
      <c r="AZ409" s="96">
        <v>59.505000000000003</v>
      </c>
      <c r="BA409" s="96"/>
      <c r="BB409" s="96">
        <v>106.5</v>
      </c>
      <c r="BC409" s="96"/>
      <c r="BD409" s="97">
        <v>152.19</v>
      </c>
      <c r="BE409" s="142">
        <f t="shared" si="182"/>
        <v>8001</v>
      </c>
      <c r="BF409" s="88">
        <v>902</v>
      </c>
      <c r="BG409" s="98">
        <v>0</v>
      </c>
      <c r="BH409" s="98">
        <v>1064</v>
      </c>
      <c r="BI409" s="98">
        <v>6035</v>
      </c>
      <c r="BJ409" s="98"/>
      <c r="BK409" s="98"/>
      <c r="BL409" s="97"/>
    </row>
    <row r="410" spans="1:64" outlineLevel="5" x14ac:dyDescent="0.3">
      <c r="A410" s="152">
        <f t="shared" si="168"/>
        <v>12</v>
      </c>
      <c r="B410" s="153">
        <f t="shared" si="153"/>
        <v>45275</v>
      </c>
      <c r="C410" s="138" t="str">
        <f t="shared" si="173"/>
        <v/>
      </c>
      <c r="D410" s="84"/>
      <c r="E410" s="84"/>
      <c r="F410" s="84"/>
      <c r="G410" s="84"/>
      <c r="H410" s="84"/>
      <c r="I410" s="84"/>
      <c r="J410" s="84"/>
      <c r="K410" s="84"/>
      <c r="L410" s="140" t="str">
        <f t="shared" si="174"/>
        <v/>
      </c>
      <c r="M410" s="86"/>
      <c r="N410" s="86"/>
      <c r="O410" s="86"/>
      <c r="P410" s="86"/>
      <c r="Q410" s="86"/>
      <c r="R410" s="86"/>
      <c r="S410" s="86"/>
      <c r="T410" s="86"/>
      <c r="U410" s="142" t="str">
        <f t="shared" si="175"/>
        <v/>
      </c>
      <c r="V410" s="88"/>
      <c r="W410" s="88"/>
      <c r="X410" s="88"/>
      <c r="Y410" s="88"/>
      <c r="Z410" s="88"/>
      <c r="AA410" s="88"/>
      <c r="AB410" s="88"/>
      <c r="AC410" s="88"/>
      <c r="AD410" s="142" t="str">
        <f t="shared" si="176"/>
        <v/>
      </c>
      <c r="AE410" s="88"/>
      <c r="AF410" s="88"/>
      <c r="AG410" s="88"/>
      <c r="AH410" s="88"/>
      <c r="AI410" s="88"/>
      <c r="AJ410" s="88"/>
      <c r="AK410" s="88"/>
      <c r="AL410" s="88"/>
      <c r="AM410" s="88">
        <v>61.482349876253735</v>
      </c>
      <c r="AN410" s="88">
        <v>76.77000000000001</v>
      </c>
      <c r="AO410" s="89"/>
      <c r="AP410" s="90"/>
      <c r="AQ410" s="146" t="str">
        <f t="shared" si="177"/>
        <v/>
      </c>
      <c r="AR410" s="146" t="str">
        <f t="shared" si="178"/>
        <v/>
      </c>
      <c r="AS410" s="147">
        <v>45</v>
      </c>
      <c r="AT410" s="148"/>
      <c r="AU410" s="149"/>
      <c r="AV410" s="146" t="str">
        <f t="shared" si="179"/>
        <v/>
      </c>
      <c r="AW410" s="146" t="str">
        <f t="shared" si="180"/>
        <v/>
      </c>
      <c r="AX410" s="138" t="str">
        <f t="shared" si="181"/>
        <v/>
      </c>
      <c r="AY410" s="95"/>
      <c r="AZ410" s="96">
        <v>62.23</v>
      </c>
      <c r="BA410" s="96"/>
      <c r="BB410" s="96">
        <v>74</v>
      </c>
      <c r="BC410" s="96"/>
      <c r="BD410" s="97">
        <v>76.77000000000001</v>
      </c>
      <c r="BE410" s="142">
        <f t="shared" si="182"/>
        <v>7709</v>
      </c>
      <c r="BF410" s="88">
        <v>1551</v>
      </c>
      <c r="BG410" s="98">
        <v>0</v>
      </c>
      <c r="BH410" s="98">
        <v>203</v>
      </c>
      <c r="BI410" s="98">
        <v>5955</v>
      </c>
      <c r="BJ410" s="98"/>
      <c r="BK410" s="98"/>
      <c r="BL410" s="97"/>
    </row>
    <row r="411" spans="1:64" outlineLevel="5" x14ac:dyDescent="0.3">
      <c r="A411" s="152">
        <f t="shared" si="168"/>
        <v>12</v>
      </c>
      <c r="B411" s="153">
        <f t="shared" si="153"/>
        <v>45276</v>
      </c>
      <c r="C411" s="138" t="str">
        <f t="shared" si="173"/>
        <v/>
      </c>
      <c r="D411" s="84"/>
      <c r="E411" s="84"/>
      <c r="F411" s="84"/>
      <c r="G411" s="84"/>
      <c r="H411" s="84"/>
      <c r="I411" s="84"/>
      <c r="J411" s="84"/>
      <c r="K411" s="84"/>
      <c r="L411" s="140" t="str">
        <f t="shared" si="174"/>
        <v/>
      </c>
      <c r="M411" s="86"/>
      <c r="N411" s="86"/>
      <c r="O411" s="86"/>
      <c r="P411" s="86"/>
      <c r="Q411" s="86"/>
      <c r="R411" s="86"/>
      <c r="S411" s="86"/>
      <c r="T411" s="86"/>
      <c r="U411" s="142" t="str">
        <f t="shared" si="175"/>
        <v/>
      </c>
      <c r="V411" s="88"/>
      <c r="W411" s="88"/>
      <c r="X411" s="88"/>
      <c r="Y411" s="88"/>
      <c r="Z411" s="88"/>
      <c r="AA411" s="88"/>
      <c r="AB411" s="88"/>
      <c r="AC411" s="88"/>
      <c r="AD411" s="142" t="str">
        <f t="shared" si="176"/>
        <v/>
      </c>
      <c r="AE411" s="88"/>
      <c r="AF411" s="88"/>
      <c r="AG411" s="88"/>
      <c r="AH411" s="88"/>
      <c r="AI411" s="88"/>
      <c r="AJ411" s="88"/>
      <c r="AK411" s="88"/>
      <c r="AL411" s="88"/>
      <c r="AM411" s="88">
        <v>54.072631458357208</v>
      </c>
      <c r="AN411" s="88">
        <v>87.289999999999992</v>
      </c>
      <c r="AO411" s="89"/>
      <c r="AP411" s="90"/>
      <c r="AQ411" s="146" t="str">
        <f t="shared" si="177"/>
        <v/>
      </c>
      <c r="AR411" s="146" t="str">
        <f t="shared" si="178"/>
        <v/>
      </c>
      <c r="AS411" s="147">
        <v>8</v>
      </c>
      <c r="AT411" s="148"/>
      <c r="AU411" s="149"/>
      <c r="AV411" s="146" t="str">
        <f t="shared" si="179"/>
        <v/>
      </c>
      <c r="AW411" s="146" t="str">
        <f t="shared" si="180"/>
        <v/>
      </c>
      <c r="AX411" s="138" t="str">
        <f t="shared" si="181"/>
        <v/>
      </c>
      <c r="AY411" s="95"/>
      <c r="AZ411" s="96"/>
      <c r="BA411" s="96"/>
      <c r="BB411" s="96"/>
      <c r="BC411" s="96"/>
      <c r="BD411" s="97">
        <v>87.289999999999992</v>
      </c>
      <c r="BE411" s="142">
        <f t="shared" si="182"/>
        <v>7201</v>
      </c>
      <c r="BF411" s="88">
        <v>1437</v>
      </c>
      <c r="BG411" s="98">
        <v>0</v>
      </c>
      <c r="BH411" s="98">
        <v>0</v>
      </c>
      <c r="BI411" s="98">
        <v>5764</v>
      </c>
      <c r="BJ411" s="98"/>
      <c r="BK411" s="98"/>
      <c r="BL411" s="97"/>
    </row>
    <row r="412" spans="1:64" outlineLevel="5" x14ac:dyDescent="0.3">
      <c r="A412" s="152">
        <f t="shared" si="168"/>
        <v>12</v>
      </c>
      <c r="B412" s="153">
        <f t="shared" si="153"/>
        <v>45277</v>
      </c>
      <c r="C412" s="138" t="str">
        <f t="shared" si="173"/>
        <v/>
      </c>
      <c r="D412" s="84"/>
      <c r="E412" s="84"/>
      <c r="F412" s="84"/>
      <c r="G412" s="84"/>
      <c r="H412" s="84"/>
      <c r="I412" s="84"/>
      <c r="J412" s="84"/>
      <c r="K412" s="84"/>
      <c r="L412" s="140" t="str">
        <f t="shared" si="174"/>
        <v/>
      </c>
      <c r="M412" s="86"/>
      <c r="N412" s="86"/>
      <c r="O412" s="86"/>
      <c r="P412" s="86"/>
      <c r="Q412" s="86"/>
      <c r="R412" s="86"/>
      <c r="S412" s="86"/>
      <c r="T412" s="86"/>
      <c r="U412" s="142" t="str">
        <f t="shared" si="175"/>
        <v/>
      </c>
      <c r="V412" s="88"/>
      <c r="W412" s="88"/>
      <c r="X412" s="88"/>
      <c r="Y412" s="88"/>
      <c r="Z412" s="88"/>
      <c r="AA412" s="88"/>
      <c r="AB412" s="88"/>
      <c r="AC412" s="88"/>
      <c r="AD412" s="142" t="str">
        <f t="shared" si="176"/>
        <v/>
      </c>
      <c r="AE412" s="88"/>
      <c r="AF412" s="88"/>
      <c r="AG412" s="88"/>
      <c r="AH412" s="88"/>
      <c r="AI412" s="88"/>
      <c r="AJ412" s="88"/>
      <c r="AK412" s="88"/>
      <c r="AL412" s="88"/>
      <c r="AM412" s="88">
        <v>42.909090909090907</v>
      </c>
      <c r="AN412" s="88">
        <v>110</v>
      </c>
      <c r="AO412" s="89"/>
      <c r="AP412" s="90"/>
      <c r="AQ412" s="146" t="str">
        <f t="shared" si="177"/>
        <v/>
      </c>
      <c r="AR412" s="146" t="str">
        <f t="shared" si="178"/>
        <v/>
      </c>
      <c r="AS412" s="147">
        <v>0</v>
      </c>
      <c r="AT412" s="148"/>
      <c r="AU412" s="149"/>
      <c r="AV412" s="146" t="str">
        <f t="shared" si="179"/>
        <v/>
      </c>
      <c r="AW412" s="146" t="str">
        <f t="shared" si="180"/>
        <v/>
      </c>
      <c r="AX412" s="138" t="str">
        <f t="shared" si="181"/>
        <v/>
      </c>
      <c r="AY412" s="95"/>
      <c r="AZ412" s="96"/>
      <c r="BA412" s="96"/>
      <c r="BB412" s="96"/>
      <c r="BC412" s="96"/>
      <c r="BD412" s="97">
        <v>110</v>
      </c>
      <c r="BE412" s="142">
        <f t="shared" si="182"/>
        <v>6552</v>
      </c>
      <c r="BF412" s="88">
        <v>948</v>
      </c>
      <c r="BG412" s="98">
        <v>0</v>
      </c>
      <c r="BH412" s="98">
        <v>0</v>
      </c>
      <c r="BI412" s="98">
        <v>5604</v>
      </c>
      <c r="BJ412" s="98"/>
      <c r="BK412" s="98"/>
      <c r="BL412" s="97"/>
    </row>
    <row r="413" spans="1:64" outlineLevel="5" x14ac:dyDescent="0.3">
      <c r="A413" s="152">
        <f t="shared" si="168"/>
        <v>12</v>
      </c>
      <c r="B413" s="153">
        <f t="shared" si="153"/>
        <v>45278</v>
      </c>
      <c r="C413" s="138" t="str">
        <f t="shared" si="173"/>
        <v/>
      </c>
      <c r="D413" s="84"/>
      <c r="E413" s="84"/>
      <c r="F413" s="84"/>
      <c r="G413" s="84"/>
      <c r="H413" s="84"/>
      <c r="I413" s="84"/>
      <c r="J413" s="84"/>
      <c r="K413" s="84"/>
      <c r="L413" s="140" t="str">
        <f t="shared" si="174"/>
        <v/>
      </c>
      <c r="M413" s="86"/>
      <c r="N413" s="86"/>
      <c r="O413" s="86"/>
      <c r="P413" s="86"/>
      <c r="Q413" s="86"/>
      <c r="R413" s="86"/>
      <c r="S413" s="86"/>
      <c r="T413" s="86"/>
      <c r="U413" s="142" t="str">
        <f t="shared" si="175"/>
        <v/>
      </c>
      <c r="V413" s="88"/>
      <c r="W413" s="88"/>
      <c r="X413" s="88"/>
      <c r="Y413" s="88"/>
      <c r="Z413" s="88"/>
      <c r="AA413" s="88"/>
      <c r="AB413" s="88"/>
      <c r="AC413" s="88"/>
      <c r="AD413" s="142" t="str">
        <f t="shared" si="176"/>
        <v/>
      </c>
      <c r="AE413" s="88"/>
      <c r="AF413" s="88"/>
      <c r="AG413" s="88"/>
      <c r="AH413" s="88"/>
      <c r="AI413" s="88"/>
      <c r="AJ413" s="88"/>
      <c r="AK413" s="88"/>
      <c r="AL413" s="88"/>
      <c r="AM413" s="88">
        <v>48.325995699805468</v>
      </c>
      <c r="AN413" s="88">
        <v>97.67</v>
      </c>
      <c r="AO413" s="89"/>
      <c r="AP413" s="90"/>
      <c r="AQ413" s="146" t="str">
        <f t="shared" si="177"/>
        <v/>
      </c>
      <c r="AR413" s="146" t="str">
        <f t="shared" si="178"/>
        <v/>
      </c>
      <c r="AS413" s="147">
        <v>10</v>
      </c>
      <c r="AT413" s="148"/>
      <c r="AU413" s="149"/>
      <c r="AV413" s="146" t="str">
        <f t="shared" si="179"/>
        <v/>
      </c>
      <c r="AW413" s="146" t="str">
        <f t="shared" si="180"/>
        <v/>
      </c>
      <c r="AX413" s="138" t="str">
        <f t="shared" si="181"/>
        <v/>
      </c>
      <c r="AY413" s="95"/>
      <c r="AZ413" s="96"/>
      <c r="BA413" s="96"/>
      <c r="BB413" s="96"/>
      <c r="BC413" s="96"/>
      <c r="BD413" s="97">
        <v>97.67</v>
      </c>
      <c r="BE413" s="142">
        <f t="shared" si="182"/>
        <v>7329</v>
      </c>
      <c r="BF413" s="88">
        <v>1117</v>
      </c>
      <c r="BG413" s="98">
        <v>0</v>
      </c>
      <c r="BH413" s="98">
        <v>704</v>
      </c>
      <c r="BI413" s="98">
        <v>5508</v>
      </c>
      <c r="BJ413" s="98"/>
      <c r="BK413" s="98"/>
      <c r="BL413" s="97"/>
    </row>
    <row r="414" spans="1:64" outlineLevel="5" x14ac:dyDescent="0.3">
      <c r="A414" s="152">
        <f t="shared" si="168"/>
        <v>12</v>
      </c>
      <c r="B414" s="153">
        <f t="shared" si="153"/>
        <v>45279</v>
      </c>
      <c r="C414" s="138" t="str">
        <f t="shared" si="173"/>
        <v/>
      </c>
      <c r="D414" s="84"/>
      <c r="E414" s="84"/>
      <c r="F414" s="84"/>
      <c r="G414" s="84"/>
      <c r="H414" s="84"/>
      <c r="I414" s="84"/>
      <c r="J414" s="84"/>
      <c r="K414" s="84"/>
      <c r="L414" s="140" t="str">
        <f t="shared" si="174"/>
        <v/>
      </c>
      <c r="M414" s="86"/>
      <c r="N414" s="86"/>
      <c r="O414" s="86"/>
      <c r="P414" s="86"/>
      <c r="Q414" s="86"/>
      <c r="R414" s="86"/>
      <c r="S414" s="86"/>
      <c r="T414" s="86"/>
      <c r="U414" s="142" t="str">
        <f t="shared" si="175"/>
        <v/>
      </c>
      <c r="V414" s="88"/>
      <c r="W414" s="88"/>
      <c r="X414" s="88"/>
      <c r="Y414" s="88"/>
      <c r="Z414" s="88"/>
      <c r="AA414" s="88"/>
      <c r="AB414" s="88"/>
      <c r="AC414" s="88"/>
      <c r="AD414" s="142" t="str">
        <f t="shared" si="176"/>
        <v/>
      </c>
      <c r="AE414" s="88"/>
      <c r="AF414" s="88"/>
      <c r="AG414" s="88"/>
      <c r="AH414" s="88"/>
      <c r="AI414" s="88"/>
      <c r="AJ414" s="88"/>
      <c r="AK414" s="88"/>
      <c r="AL414" s="88"/>
      <c r="AM414" s="88">
        <v>232.85643808584115</v>
      </c>
      <c r="AN414" s="88">
        <v>20.27</v>
      </c>
      <c r="AO414" s="89"/>
      <c r="AP414" s="90"/>
      <c r="AQ414" s="146" t="str">
        <f t="shared" si="177"/>
        <v/>
      </c>
      <c r="AR414" s="146" t="str">
        <f t="shared" si="178"/>
        <v/>
      </c>
      <c r="AS414" s="147">
        <v>17</v>
      </c>
      <c r="AT414" s="148"/>
      <c r="AU414" s="149"/>
      <c r="AV414" s="146" t="str">
        <f t="shared" si="179"/>
        <v/>
      </c>
      <c r="AW414" s="146" t="str">
        <f t="shared" si="180"/>
        <v/>
      </c>
      <c r="AX414" s="138" t="str">
        <f t="shared" si="181"/>
        <v/>
      </c>
      <c r="AY414" s="95"/>
      <c r="AZ414" s="96"/>
      <c r="BA414" s="96"/>
      <c r="BB414" s="96"/>
      <c r="BC414" s="96"/>
      <c r="BD414" s="97">
        <v>20.27</v>
      </c>
      <c r="BE414" s="142">
        <f t="shared" si="182"/>
        <v>8070</v>
      </c>
      <c r="BF414" s="88">
        <v>1027</v>
      </c>
      <c r="BG414" s="98">
        <v>0</v>
      </c>
      <c r="BH414" s="98">
        <v>2136</v>
      </c>
      <c r="BI414" s="98">
        <v>4907</v>
      </c>
      <c r="BJ414" s="98"/>
      <c r="BK414" s="98"/>
      <c r="BL414" s="97"/>
    </row>
    <row r="415" spans="1:64" outlineLevel="5" x14ac:dyDescent="0.3">
      <c r="A415" s="152">
        <f t="shared" si="168"/>
        <v>12</v>
      </c>
      <c r="B415" s="153">
        <f t="shared" si="153"/>
        <v>45280</v>
      </c>
      <c r="C415" s="138" t="str">
        <f t="shared" si="173"/>
        <v/>
      </c>
      <c r="D415" s="84"/>
      <c r="E415" s="84"/>
      <c r="F415" s="84"/>
      <c r="G415" s="84"/>
      <c r="H415" s="84"/>
      <c r="I415" s="84"/>
      <c r="J415" s="84"/>
      <c r="K415" s="84"/>
      <c r="L415" s="140">
        <f t="shared" si="174"/>
        <v>8.1</v>
      </c>
      <c r="M415" s="86">
        <v>8.08</v>
      </c>
      <c r="N415" s="86">
        <v>8.11</v>
      </c>
      <c r="O415" s="86"/>
      <c r="P415" s="86"/>
      <c r="Q415" s="86"/>
      <c r="R415" s="86"/>
      <c r="S415" s="86"/>
      <c r="T415" s="86"/>
      <c r="U415" s="142">
        <f t="shared" si="175"/>
        <v>2130.1</v>
      </c>
      <c r="V415" s="88">
        <v>2216.6</v>
      </c>
      <c r="W415" s="88">
        <v>2043.6</v>
      </c>
      <c r="X415" s="88"/>
      <c r="Y415" s="88"/>
      <c r="Z415" s="88"/>
      <c r="AA415" s="88"/>
      <c r="AB415" s="88"/>
      <c r="AC415" s="88"/>
      <c r="AD415" s="142" t="str">
        <f t="shared" si="176"/>
        <v/>
      </c>
      <c r="AE415" s="88"/>
      <c r="AF415" s="88"/>
      <c r="AG415" s="88"/>
      <c r="AH415" s="88"/>
      <c r="AI415" s="88"/>
      <c r="AJ415" s="88"/>
      <c r="AK415" s="88"/>
      <c r="AL415" s="88"/>
      <c r="AM415" s="88">
        <v>659.2178770949721</v>
      </c>
      <c r="AN415" s="88">
        <v>7.16</v>
      </c>
      <c r="AO415" s="89">
        <v>17.3</v>
      </c>
      <c r="AP415" s="90">
        <v>14.3071</v>
      </c>
      <c r="AQ415" s="146">
        <f t="shared" si="177"/>
        <v>82.699999999999989</v>
      </c>
      <c r="AR415" s="146">
        <f t="shared" si="178"/>
        <v>17.300000000000011</v>
      </c>
      <c r="AS415" s="147">
        <v>0</v>
      </c>
      <c r="AT415" s="148">
        <v>13.05</v>
      </c>
      <c r="AU415" s="149">
        <v>6.9927999999999999</v>
      </c>
      <c r="AV415" s="146">
        <f t="shared" si="179"/>
        <v>53.584674329501915</v>
      </c>
      <c r="AW415" s="146">
        <f t="shared" si="180"/>
        <v>46.415325670498085</v>
      </c>
      <c r="AX415" s="138">
        <f t="shared" si="181"/>
        <v>75.849852526430595</v>
      </c>
      <c r="AY415" s="95">
        <v>76</v>
      </c>
      <c r="AZ415" s="96"/>
      <c r="BA415" s="96"/>
      <c r="BB415" s="96"/>
      <c r="BC415" s="96"/>
      <c r="BD415" s="97">
        <v>7.16</v>
      </c>
      <c r="BE415" s="142">
        <f t="shared" si="182"/>
        <v>341</v>
      </c>
      <c r="BF415" s="88">
        <v>308</v>
      </c>
      <c r="BG415" s="98">
        <v>0</v>
      </c>
      <c r="BH415" s="98">
        <v>33</v>
      </c>
      <c r="BI415" s="98">
        <v>0</v>
      </c>
      <c r="BJ415" s="98"/>
      <c r="BK415" s="98"/>
      <c r="BL415" s="97"/>
    </row>
    <row r="416" spans="1:64" outlineLevel="5" x14ac:dyDescent="0.3">
      <c r="A416" s="152">
        <f t="shared" si="168"/>
        <v>12</v>
      </c>
      <c r="B416" s="153">
        <f t="shared" ref="B416:B426" si="183">B415+1</f>
        <v>45281</v>
      </c>
      <c r="C416" s="138" t="str">
        <f t="shared" si="173"/>
        <v/>
      </c>
      <c r="D416" s="84"/>
      <c r="E416" s="84"/>
      <c r="F416" s="84"/>
      <c r="G416" s="84"/>
      <c r="H416" s="84"/>
      <c r="I416" s="84"/>
      <c r="J416" s="84"/>
      <c r="K416" s="84"/>
      <c r="L416" s="140">
        <f t="shared" si="174"/>
        <v>8</v>
      </c>
      <c r="M416" s="86">
        <v>8.02</v>
      </c>
      <c r="N416" s="86"/>
      <c r="O416" s="86"/>
      <c r="P416" s="86"/>
      <c r="Q416" s="86"/>
      <c r="R416" s="86"/>
      <c r="S416" s="86"/>
      <c r="T416" s="86"/>
      <c r="U416" s="142">
        <f t="shared" si="175"/>
        <v>2292</v>
      </c>
      <c r="V416" s="88">
        <v>2292</v>
      </c>
      <c r="W416" s="88"/>
      <c r="X416" s="88"/>
      <c r="Y416" s="88"/>
      <c r="Z416" s="88"/>
      <c r="AA416" s="88"/>
      <c r="AB416" s="88"/>
      <c r="AC416" s="88"/>
      <c r="AD416" s="142" t="str">
        <f t="shared" si="176"/>
        <v/>
      </c>
      <c r="AE416" s="88"/>
      <c r="AF416" s="88"/>
      <c r="AG416" s="88"/>
      <c r="AH416" s="88"/>
      <c r="AI416" s="88"/>
      <c r="AJ416" s="88"/>
      <c r="AK416" s="88"/>
      <c r="AL416" s="88"/>
      <c r="AM416" s="88">
        <v>0</v>
      </c>
      <c r="AN416" s="88">
        <v>0</v>
      </c>
      <c r="AO416" s="89"/>
      <c r="AP416" s="90"/>
      <c r="AQ416" s="146" t="str">
        <f t="shared" si="177"/>
        <v/>
      </c>
      <c r="AR416" s="146" t="str">
        <f t="shared" si="178"/>
        <v/>
      </c>
      <c r="AS416" s="147"/>
      <c r="AT416" s="148">
        <v>11.2</v>
      </c>
      <c r="AU416" s="149">
        <v>6.5184000000000006</v>
      </c>
      <c r="AV416" s="146">
        <f t="shared" si="179"/>
        <v>58.20000000000001</v>
      </c>
      <c r="AW416" s="146">
        <f t="shared" si="180"/>
        <v>41.79999999999999</v>
      </c>
      <c r="AX416" s="138" t="str">
        <f t="shared" si="181"/>
        <v/>
      </c>
      <c r="AY416" s="95">
        <v>81.400000000000006</v>
      </c>
      <c r="AZ416" s="96"/>
      <c r="BA416" s="96"/>
      <c r="BB416" s="96"/>
      <c r="BC416" s="96"/>
      <c r="BD416" s="97">
        <v>0</v>
      </c>
      <c r="BE416" s="142">
        <f t="shared" si="182"/>
        <v>2286</v>
      </c>
      <c r="BF416" s="88">
        <v>2286</v>
      </c>
      <c r="BG416" s="98">
        <v>0</v>
      </c>
      <c r="BH416" s="98">
        <v>0</v>
      </c>
      <c r="BI416" s="98">
        <v>0</v>
      </c>
      <c r="BJ416" s="98"/>
      <c r="BK416" s="98"/>
      <c r="BL416" s="97"/>
    </row>
    <row r="417" spans="1:64" outlineLevel="5" x14ac:dyDescent="0.3">
      <c r="A417" s="152">
        <f t="shared" si="168"/>
        <v>12</v>
      </c>
      <c r="B417" s="153">
        <f t="shared" si="183"/>
        <v>45282</v>
      </c>
      <c r="C417" s="138" t="str">
        <f t="shared" si="173"/>
        <v/>
      </c>
      <c r="D417" s="84"/>
      <c r="E417" s="84"/>
      <c r="F417" s="84"/>
      <c r="G417" s="84"/>
      <c r="H417" s="84"/>
      <c r="I417" s="84"/>
      <c r="J417" s="84"/>
      <c r="K417" s="84"/>
      <c r="L417" s="140" t="str">
        <f t="shared" si="174"/>
        <v/>
      </c>
      <c r="M417" s="86"/>
      <c r="N417" s="86"/>
      <c r="O417" s="86"/>
      <c r="P417" s="86"/>
      <c r="Q417" s="86"/>
      <c r="R417" s="86"/>
      <c r="S417" s="86"/>
      <c r="T417" s="86"/>
      <c r="U417" s="142" t="str">
        <f t="shared" si="175"/>
        <v/>
      </c>
      <c r="V417" s="88"/>
      <c r="W417" s="88"/>
      <c r="X417" s="88"/>
      <c r="Y417" s="88"/>
      <c r="Z417" s="88"/>
      <c r="AA417" s="88"/>
      <c r="AB417" s="88"/>
      <c r="AC417" s="88"/>
      <c r="AD417" s="142" t="str">
        <f t="shared" si="176"/>
        <v/>
      </c>
      <c r="AE417" s="88"/>
      <c r="AF417" s="88"/>
      <c r="AG417" s="88"/>
      <c r="AH417" s="88"/>
      <c r="AI417" s="88"/>
      <c r="AJ417" s="88"/>
      <c r="AK417" s="88"/>
      <c r="AL417" s="88"/>
      <c r="AM417" s="88">
        <v>160.98226466575716</v>
      </c>
      <c r="AN417" s="88">
        <v>29.32</v>
      </c>
      <c r="AO417" s="89"/>
      <c r="AP417" s="90"/>
      <c r="AQ417" s="146" t="str">
        <f t="shared" si="177"/>
        <v/>
      </c>
      <c r="AR417" s="146" t="str">
        <f t="shared" si="178"/>
        <v/>
      </c>
      <c r="AS417" s="147">
        <v>15</v>
      </c>
      <c r="AT417" s="148"/>
      <c r="AU417" s="149"/>
      <c r="AV417" s="146" t="str">
        <f t="shared" si="179"/>
        <v/>
      </c>
      <c r="AW417" s="146" t="str">
        <f t="shared" si="180"/>
        <v/>
      </c>
      <c r="AX417" s="138" t="str">
        <f t="shared" si="181"/>
        <v/>
      </c>
      <c r="AY417" s="95"/>
      <c r="AZ417" s="96"/>
      <c r="BA417" s="96"/>
      <c r="BB417" s="96"/>
      <c r="BC417" s="96"/>
      <c r="BD417" s="97">
        <v>29.32</v>
      </c>
      <c r="BE417" s="142">
        <f t="shared" si="182"/>
        <v>1992</v>
      </c>
      <c r="BF417" s="88">
        <v>1992</v>
      </c>
      <c r="BG417" s="98">
        <v>0</v>
      </c>
      <c r="BH417" s="98">
        <v>0</v>
      </c>
      <c r="BI417" s="98">
        <v>0</v>
      </c>
      <c r="BJ417" s="98"/>
      <c r="BK417" s="98"/>
      <c r="BL417" s="97"/>
    </row>
    <row r="418" spans="1:64" outlineLevel="5" x14ac:dyDescent="0.3">
      <c r="A418" s="152">
        <f t="shared" si="168"/>
        <v>12</v>
      </c>
      <c r="B418" s="153">
        <f t="shared" si="183"/>
        <v>45283</v>
      </c>
      <c r="C418" s="138" t="str">
        <f t="shared" si="173"/>
        <v/>
      </c>
      <c r="D418" s="84"/>
      <c r="E418" s="84"/>
      <c r="F418" s="84"/>
      <c r="G418" s="84"/>
      <c r="H418" s="84"/>
      <c r="I418" s="84"/>
      <c r="J418" s="84"/>
      <c r="K418" s="84"/>
      <c r="L418" s="140" t="str">
        <f t="shared" si="174"/>
        <v/>
      </c>
      <c r="M418" s="86"/>
      <c r="N418" s="86"/>
      <c r="O418" s="86"/>
      <c r="P418" s="86"/>
      <c r="Q418" s="86"/>
      <c r="R418" s="86"/>
      <c r="S418" s="86"/>
      <c r="T418" s="86"/>
      <c r="U418" s="142" t="str">
        <f t="shared" si="175"/>
        <v/>
      </c>
      <c r="V418" s="88"/>
      <c r="W418" s="88"/>
      <c r="X418" s="88"/>
      <c r="Y418" s="88"/>
      <c r="Z418" s="88"/>
      <c r="AA418" s="88"/>
      <c r="AB418" s="88"/>
      <c r="AC418" s="88"/>
      <c r="AD418" s="142" t="str">
        <f t="shared" si="176"/>
        <v/>
      </c>
      <c r="AE418" s="88"/>
      <c r="AF418" s="88"/>
      <c r="AG418" s="88"/>
      <c r="AH418" s="88"/>
      <c r="AI418" s="88"/>
      <c r="AJ418" s="88"/>
      <c r="AK418" s="88"/>
      <c r="AL418" s="88"/>
      <c r="AM418" s="88">
        <v>122.75682704811443</v>
      </c>
      <c r="AN418" s="88">
        <v>38.450000000000003</v>
      </c>
      <c r="AO418" s="89"/>
      <c r="AP418" s="90"/>
      <c r="AQ418" s="146" t="str">
        <f t="shared" si="177"/>
        <v/>
      </c>
      <c r="AR418" s="146" t="str">
        <f t="shared" si="178"/>
        <v/>
      </c>
      <c r="AS418" s="147">
        <v>5</v>
      </c>
      <c r="AT418" s="148"/>
      <c r="AU418" s="149"/>
      <c r="AV418" s="146" t="str">
        <f t="shared" si="179"/>
        <v/>
      </c>
      <c r="AW418" s="146" t="str">
        <f t="shared" si="180"/>
        <v/>
      </c>
      <c r="AX418" s="138" t="str">
        <f t="shared" si="181"/>
        <v/>
      </c>
      <c r="AY418" s="95"/>
      <c r="AZ418" s="96"/>
      <c r="BA418" s="96"/>
      <c r="BB418" s="96"/>
      <c r="BC418" s="96"/>
      <c r="BD418" s="97">
        <v>38.450000000000003</v>
      </c>
      <c r="BE418" s="142">
        <f t="shared" si="182"/>
        <v>2652</v>
      </c>
      <c r="BF418" s="88">
        <v>2652</v>
      </c>
      <c r="BG418" s="98">
        <v>0</v>
      </c>
      <c r="BH418" s="98">
        <v>0</v>
      </c>
      <c r="BI418" s="98">
        <v>0</v>
      </c>
      <c r="BJ418" s="98"/>
      <c r="BK418" s="98"/>
      <c r="BL418" s="97"/>
    </row>
    <row r="419" spans="1:64" outlineLevel="5" x14ac:dyDescent="0.3">
      <c r="A419" s="152">
        <f t="shared" si="168"/>
        <v>12</v>
      </c>
      <c r="B419" s="153">
        <f t="shared" si="183"/>
        <v>45284</v>
      </c>
      <c r="C419" s="138" t="str">
        <f t="shared" si="173"/>
        <v/>
      </c>
      <c r="D419" s="84"/>
      <c r="E419" s="84"/>
      <c r="F419" s="84"/>
      <c r="G419" s="84"/>
      <c r="H419" s="84"/>
      <c r="I419" s="84"/>
      <c r="J419" s="84"/>
      <c r="K419" s="84"/>
      <c r="L419" s="140" t="str">
        <f t="shared" si="174"/>
        <v/>
      </c>
      <c r="M419" s="86"/>
      <c r="N419" s="86"/>
      <c r="O419" s="86"/>
      <c r="P419" s="86"/>
      <c r="Q419" s="86"/>
      <c r="R419" s="86"/>
      <c r="S419" s="86"/>
      <c r="T419" s="86"/>
      <c r="U419" s="142" t="str">
        <f t="shared" si="175"/>
        <v/>
      </c>
      <c r="V419" s="88"/>
      <c r="W419" s="88"/>
      <c r="X419" s="88"/>
      <c r="Y419" s="88"/>
      <c r="Z419" s="88"/>
      <c r="AA419" s="88"/>
      <c r="AB419" s="88"/>
      <c r="AC419" s="88"/>
      <c r="AD419" s="142" t="str">
        <f t="shared" si="176"/>
        <v/>
      </c>
      <c r="AE419" s="88"/>
      <c r="AF419" s="88"/>
      <c r="AG419" s="88"/>
      <c r="AH419" s="88"/>
      <c r="AI419" s="88"/>
      <c r="AJ419" s="88"/>
      <c r="AK419" s="88"/>
      <c r="AL419" s="88"/>
      <c r="AM419" s="88">
        <v>67.428571428571431</v>
      </c>
      <c r="AN419" s="88">
        <v>70</v>
      </c>
      <c r="AO419" s="89"/>
      <c r="AP419" s="90"/>
      <c r="AQ419" s="146" t="str">
        <f t="shared" si="177"/>
        <v/>
      </c>
      <c r="AR419" s="146" t="str">
        <f t="shared" si="178"/>
        <v/>
      </c>
      <c r="AS419" s="147">
        <v>0</v>
      </c>
      <c r="AT419" s="148"/>
      <c r="AU419" s="149"/>
      <c r="AV419" s="146" t="str">
        <f t="shared" si="179"/>
        <v/>
      </c>
      <c r="AW419" s="146" t="str">
        <f t="shared" si="180"/>
        <v/>
      </c>
      <c r="AX419" s="138" t="str">
        <f t="shared" si="181"/>
        <v/>
      </c>
      <c r="AY419" s="95"/>
      <c r="AZ419" s="96"/>
      <c r="BA419" s="96"/>
      <c r="BB419" s="96"/>
      <c r="BC419" s="96"/>
      <c r="BD419" s="97">
        <v>70</v>
      </c>
      <c r="BE419" s="142">
        <f t="shared" si="182"/>
        <v>2395</v>
      </c>
      <c r="BF419" s="88">
        <v>2395</v>
      </c>
      <c r="BG419" s="98">
        <v>0</v>
      </c>
      <c r="BH419" s="98">
        <v>0</v>
      </c>
      <c r="BI419" s="98">
        <v>0</v>
      </c>
      <c r="BJ419" s="98"/>
      <c r="BK419" s="98"/>
      <c r="BL419" s="97"/>
    </row>
    <row r="420" spans="1:64" outlineLevel="5" x14ac:dyDescent="0.3">
      <c r="A420" s="152">
        <f t="shared" si="168"/>
        <v>12</v>
      </c>
      <c r="B420" s="153">
        <f t="shared" si="183"/>
        <v>45285</v>
      </c>
      <c r="C420" s="138">
        <f t="shared" si="173"/>
        <v>37.6</v>
      </c>
      <c r="D420" s="84">
        <v>37.6</v>
      </c>
      <c r="E420" s="84">
        <v>37.6</v>
      </c>
      <c r="F420" s="84"/>
      <c r="G420" s="84"/>
      <c r="H420" s="84"/>
      <c r="I420" s="84"/>
      <c r="J420" s="84"/>
      <c r="K420" s="84"/>
      <c r="L420" s="140" t="str">
        <f t="shared" si="174"/>
        <v/>
      </c>
      <c r="M420" s="86"/>
      <c r="N420" s="86"/>
      <c r="O420" s="86"/>
      <c r="P420" s="86"/>
      <c r="Q420" s="86"/>
      <c r="R420" s="86"/>
      <c r="S420" s="86"/>
      <c r="T420" s="86"/>
      <c r="U420" s="142" t="str">
        <f t="shared" si="175"/>
        <v/>
      </c>
      <c r="V420" s="88"/>
      <c r="W420" s="88"/>
      <c r="X420" s="88"/>
      <c r="Y420" s="88"/>
      <c r="Z420" s="88"/>
      <c r="AA420" s="88"/>
      <c r="AB420" s="88"/>
      <c r="AC420" s="88"/>
      <c r="AD420" s="142" t="str">
        <f t="shared" si="176"/>
        <v/>
      </c>
      <c r="AE420" s="88"/>
      <c r="AF420" s="88"/>
      <c r="AG420" s="88"/>
      <c r="AH420" s="88"/>
      <c r="AI420" s="88"/>
      <c r="AJ420" s="88"/>
      <c r="AK420" s="88"/>
      <c r="AL420" s="88"/>
      <c r="AM420" s="88">
        <v>64.692982456140342</v>
      </c>
      <c r="AN420" s="88">
        <v>72.960000000000008</v>
      </c>
      <c r="AO420" s="89"/>
      <c r="AP420" s="90"/>
      <c r="AQ420" s="146" t="str">
        <f t="shared" si="177"/>
        <v/>
      </c>
      <c r="AR420" s="146" t="str">
        <f t="shared" si="178"/>
        <v/>
      </c>
      <c r="AS420" s="147">
        <v>25</v>
      </c>
      <c r="AT420" s="148"/>
      <c r="AU420" s="149"/>
      <c r="AV420" s="146" t="str">
        <f t="shared" si="179"/>
        <v/>
      </c>
      <c r="AW420" s="146" t="str">
        <f t="shared" si="180"/>
        <v/>
      </c>
      <c r="AX420" s="138" t="str">
        <f t="shared" si="181"/>
        <v/>
      </c>
      <c r="AY420" s="95"/>
      <c r="AZ420" s="96"/>
      <c r="BA420" s="96"/>
      <c r="BB420" s="96"/>
      <c r="BC420" s="96"/>
      <c r="BD420" s="97">
        <v>72.960000000000008</v>
      </c>
      <c r="BE420" s="142">
        <f t="shared" si="182"/>
        <v>955</v>
      </c>
      <c r="BF420" s="88">
        <v>955</v>
      </c>
      <c r="BG420" s="98">
        <v>0</v>
      </c>
      <c r="BH420" s="98">
        <v>0</v>
      </c>
      <c r="BI420" s="98">
        <v>0</v>
      </c>
      <c r="BJ420" s="98"/>
      <c r="BK420" s="98"/>
      <c r="BL420" s="97"/>
    </row>
    <row r="421" spans="1:64" outlineLevel="5" x14ac:dyDescent="0.3">
      <c r="A421" s="152">
        <f t="shared" si="168"/>
        <v>12</v>
      </c>
      <c r="B421" s="153">
        <f t="shared" si="183"/>
        <v>45286</v>
      </c>
      <c r="C421" s="138">
        <f t="shared" si="173"/>
        <v>37.6</v>
      </c>
      <c r="D421" s="84">
        <v>37.6</v>
      </c>
      <c r="E421" s="84">
        <v>37.6</v>
      </c>
      <c r="F421" s="84"/>
      <c r="G421" s="84"/>
      <c r="H421" s="84"/>
      <c r="I421" s="84"/>
      <c r="J421" s="84"/>
      <c r="K421" s="84"/>
      <c r="L421" s="140" t="str">
        <f t="shared" si="174"/>
        <v/>
      </c>
      <c r="M421" s="86"/>
      <c r="N421" s="86"/>
      <c r="O421" s="86"/>
      <c r="P421" s="86"/>
      <c r="Q421" s="86"/>
      <c r="R421" s="86"/>
      <c r="S421" s="86"/>
      <c r="T421" s="86"/>
      <c r="U421" s="142" t="str">
        <f t="shared" si="175"/>
        <v/>
      </c>
      <c r="V421" s="88"/>
      <c r="W421" s="88"/>
      <c r="X421" s="88"/>
      <c r="Y421" s="88"/>
      <c r="Z421" s="88"/>
      <c r="AA421" s="88"/>
      <c r="AB421" s="88"/>
      <c r="AC421" s="88"/>
      <c r="AD421" s="142" t="str">
        <f t="shared" si="176"/>
        <v/>
      </c>
      <c r="AE421" s="88"/>
      <c r="AF421" s="88"/>
      <c r="AG421" s="88"/>
      <c r="AH421" s="88"/>
      <c r="AI421" s="88"/>
      <c r="AJ421" s="88"/>
      <c r="AK421" s="88"/>
      <c r="AL421" s="88"/>
      <c r="AM421" s="88">
        <v>62.007356805044665</v>
      </c>
      <c r="AN421" s="88">
        <v>76.12</v>
      </c>
      <c r="AO421" s="89"/>
      <c r="AP421" s="90"/>
      <c r="AQ421" s="146" t="str">
        <f t="shared" si="177"/>
        <v/>
      </c>
      <c r="AR421" s="146" t="str">
        <f t="shared" si="178"/>
        <v/>
      </c>
      <c r="AS421" s="147">
        <v>45</v>
      </c>
      <c r="AT421" s="148"/>
      <c r="AU421" s="149"/>
      <c r="AV421" s="146" t="str">
        <f t="shared" si="179"/>
        <v/>
      </c>
      <c r="AW421" s="146" t="str">
        <f t="shared" si="180"/>
        <v/>
      </c>
      <c r="AX421" s="138" t="str">
        <f t="shared" si="181"/>
        <v/>
      </c>
      <c r="AY421" s="95"/>
      <c r="AZ421" s="96">
        <v>60.325000000000003</v>
      </c>
      <c r="BA421" s="96"/>
      <c r="BB421" s="96">
        <v>77</v>
      </c>
      <c r="BC421" s="96"/>
      <c r="BD421" s="97">
        <v>76.12</v>
      </c>
      <c r="BE421" s="142">
        <f t="shared" si="182"/>
        <v>2365</v>
      </c>
      <c r="BF421" s="88">
        <v>1160</v>
      </c>
      <c r="BG421" s="98">
        <v>0</v>
      </c>
      <c r="BH421" s="98">
        <v>0</v>
      </c>
      <c r="BI421" s="98">
        <v>1205</v>
      </c>
      <c r="BJ421" s="98"/>
      <c r="BK421" s="98"/>
      <c r="BL421" s="97"/>
    </row>
    <row r="422" spans="1:64" outlineLevel="5" x14ac:dyDescent="0.3">
      <c r="A422" s="152">
        <f t="shared" si="168"/>
        <v>12</v>
      </c>
      <c r="B422" s="153">
        <f t="shared" si="183"/>
        <v>45287</v>
      </c>
      <c r="C422" s="138">
        <f t="shared" si="173"/>
        <v>38.9</v>
      </c>
      <c r="D422" s="84">
        <v>38</v>
      </c>
      <c r="E422" s="84">
        <v>39.799999999999997</v>
      </c>
      <c r="F422" s="84"/>
      <c r="G422" s="84"/>
      <c r="H422" s="84"/>
      <c r="I422" s="84"/>
      <c r="J422" s="84"/>
      <c r="K422" s="84"/>
      <c r="L422" s="140">
        <f t="shared" si="174"/>
        <v>8</v>
      </c>
      <c r="M422" s="86">
        <v>8.0500000000000007</v>
      </c>
      <c r="N422" s="86">
        <v>8.02</v>
      </c>
      <c r="O422" s="86"/>
      <c r="P422" s="86"/>
      <c r="Q422" s="86"/>
      <c r="R422" s="86"/>
      <c r="S422" s="86"/>
      <c r="T422" s="86"/>
      <c r="U422" s="142">
        <f t="shared" si="175"/>
        <v>2308.5</v>
      </c>
      <c r="V422" s="88">
        <v>2400.4</v>
      </c>
      <c r="W422" s="88">
        <v>2216.6</v>
      </c>
      <c r="X422" s="88"/>
      <c r="Y422" s="88"/>
      <c r="Z422" s="88"/>
      <c r="AA422" s="88"/>
      <c r="AB422" s="88"/>
      <c r="AC422" s="88"/>
      <c r="AD422" s="142" t="str">
        <f t="shared" si="176"/>
        <v/>
      </c>
      <c r="AE422" s="88"/>
      <c r="AF422" s="88"/>
      <c r="AG422" s="88"/>
      <c r="AH422" s="88"/>
      <c r="AI422" s="88"/>
      <c r="AJ422" s="88"/>
      <c r="AK422" s="88"/>
      <c r="AL422" s="88"/>
      <c r="AM422" s="88">
        <v>49.762783342119135</v>
      </c>
      <c r="AN422" s="88">
        <v>94.85</v>
      </c>
      <c r="AO422" s="89"/>
      <c r="AP422" s="90"/>
      <c r="AQ422" s="146" t="str">
        <f t="shared" si="177"/>
        <v/>
      </c>
      <c r="AR422" s="146" t="str">
        <f t="shared" si="178"/>
        <v/>
      </c>
      <c r="AS422" s="147">
        <v>40</v>
      </c>
      <c r="AT422" s="148">
        <v>13.2</v>
      </c>
      <c r="AU422" s="149">
        <v>7.6512000000000011</v>
      </c>
      <c r="AV422" s="146">
        <f t="shared" si="179"/>
        <v>57.963636363636375</v>
      </c>
      <c r="AW422" s="146">
        <f t="shared" si="180"/>
        <v>42.036363636363625</v>
      </c>
      <c r="AX422" s="138" t="str">
        <f t="shared" si="181"/>
        <v/>
      </c>
      <c r="AY422" s="95">
        <v>75.05</v>
      </c>
      <c r="AZ422" s="96">
        <v>60.27</v>
      </c>
      <c r="BA422" s="96"/>
      <c r="BB422" s="96">
        <v>85.5</v>
      </c>
      <c r="BC422" s="96"/>
      <c r="BD422" s="97">
        <v>94.85</v>
      </c>
      <c r="BE422" s="142">
        <f t="shared" si="182"/>
        <v>6034</v>
      </c>
      <c r="BF422" s="88">
        <v>0</v>
      </c>
      <c r="BG422" s="98">
        <v>0</v>
      </c>
      <c r="BH422" s="98">
        <v>0</v>
      </c>
      <c r="BI422" s="98">
        <v>6034</v>
      </c>
      <c r="BJ422" s="98"/>
      <c r="BK422" s="98"/>
      <c r="BL422" s="97"/>
    </row>
    <row r="423" spans="1:64" outlineLevel="5" x14ac:dyDescent="0.3">
      <c r="A423" s="152">
        <f t="shared" si="168"/>
        <v>12</v>
      </c>
      <c r="B423" s="153">
        <f t="shared" si="183"/>
        <v>45288</v>
      </c>
      <c r="C423" s="138">
        <f t="shared" si="173"/>
        <v>37.700000000000003</v>
      </c>
      <c r="D423" s="84">
        <v>36</v>
      </c>
      <c r="E423" s="84">
        <v>39.4</v>
      </c>
      <c r="F423" s="84"/>
      <c r="G423" s="84"/>
      <c r="H423" s="84"/>
      <c r="I423" s="84"/>
      <c r="J423" s="84"/>
      <c r="K423" s="84"/>
      <c r="L423" s="140" t="str">
        <f t="shared" si="174"/>
        <v/>
      </c>
      <c r="M423" s="86"/>
      <c r="N423" s="86"/>
      <c r="O423" s="86"/>
      <c r="P423" s="86"/>
      <c r="Q423" s="86"/>
      <c r="R423" s="86"/>
      <c r="S423" s="86"/>
      <c r="T423" s="86"/>
      <c r="U423" s="142" t="str">
        <f t="shared" si="175"/>
        <v/>
      </c>
      <c r="V423" s="88"/>
      <c r="W423" s="88"/>
      <c r="X423" s="88"/>
      <c r="Y423" s="88"/>
      <c r="Z423" s="88"/>
      <c r="AA423" s="88"/>
      <c r="AB423" s="88"/>
      <c r="AC423" s="88"/>
      <c r="AD423" s="142" t="str">
        <f t="shared" si="176"/>
        <v/>
      </c>
      <c r="AE423" s="88"/>
      <c r="AF423" s="88"/>
      <c r="AG423" s="88"/>
      <c r="AH423" s="88"/>
      <c r="AI423" s="88"/>
      <c r="AJ423" s="88"/>
      <c r="AK423" s="88"/>
      <c r="AL423" s="88"/>
      <c r="AM423" s="88">
        <v>73.911681803946138</v>
      </c>
      <c r="AN423" s="88">
        <v>63.86</v>
      </c>
      <c r="AO423" s="89"/>
      <c r="AP423" s="90"/>
      <c r="AQ423" s="146" t="str">
        <f t="shared" si="177"/>
        <v/>
      </c>
      <c r="AR423" s="146" t="str">
        <f t="shared" si="178"/>
        <v/>
      </c>
      <c r="AS423" s="147">
        <v>49</v>
      </c>
      <c r="AT423" s="148"/>
      <c r="AU423" s="149"/>
      <c r="AV423" s="146" t="str">
        <f t="shared" si="179"/>
        <v/>
      </c>
      <c r="AW423" s="146" t="str">
        <f t="shared" si="180"/>
        <v/>
      </c>
      <c r="AX423" s="138" t="str">
        <f t="shared" si="181"/>
        <v/>
      </c>
      <c r="AY423" s="95"/>
      <c r="AZ423" s="96">
        <v>62.01</v>
      </c>
      <c r="BA423" s="96"/>
      <c r="BB423" s="96">
        <v>61</v>
      </c>
      <c r="BC423" s="96"/>
      <c r="BD423" s="97">
        <v>63.86</v>
      </c>
      <c r="BE423" s="142">
        <f t="shared" si="182"/>
        <v>6529</v>
      </c>
      <c r="BF423" s="88">
        <v>621</v>
      </c>
      <c r="BG423" s="98">
        <v>0</v>
      </c>
      <c r="BH423" s="98">
        <v>0</v>
      </c>
      <c r="BI423" s="98">
        <v>5908</v>
      </c>
      <c r="BJ423" s="98"/>
      <c r="BK423" s="98"/>
      <c r="BL423" s="97"/>
    </row>
    <row r="424" spans="1:64" outlineLevel="5" x14ac:dyDescent="0.3">
      <c r="A424" s="152">
        <f t="shared" si="168"/>
        <v>12</v>
      </c>
      <c r="B424" s="153">
        <f t="shared" si="183"/>
        <v>45289</v>
      </c>
      <c r="C424" s="138" t="str">
        <f t="shared" si="173"/>
        <v/>
      </c>
      <c r="D424" s="84"/>
      <c r="E424" s="84"/>
      <c r="F424" s="84"/>
      <c r="G424" s="84"/>
      <c r="H424" s="84"/>
      <c r="I424" s="84"/>
      <c r="J424" s="84"/>
      <c r="K424" s="84"/>
      <c r="L424" s="140" t="str">
        <f t="shared" si="174"/>
        <v/>
      </c>
      <c r="M424" s="86"/>
      <c r="N424" s="86"/>
      <c r="O424" s="86"/>
      <c r="P424" s="86"/>
      <c r="Q424" s="86"/>
      <c r="R424" s="86"/>
      <c r="S424" s="86"/>
      <c r="T424" s="86"/>
      <c r="U424" s="142" t="str">
        <f t="shared" si="175"/>
        <v/>
      </c>
      <c r="V424" s="88"/>
      <c r="W424" s="88"/>
      <c r="X424" s="88"/>
      <c r="Y424" s="88"/>
      <c r="Z424" s="88"/>
      <c r="AA424" s="88"/>
      <c r="AB424" s="88"/>
      <c r="AC424" s="88"/>
      <c r="AD424" s="142" t="str">
        <f t="shared" si="176"/>
        <v/>
      </c>
      <c r="AE424" s="88"/>
      <c r="AF424" s="88"/>
      <c r="AG424" s="88"/>
      <c r="AH424" s="88"/>
      <c r="AI424" s="88"/>
      <c r="AJ424" s="88"/>
      <c r="AK424" s="88"/>
      <c r="AL424" s="88"/>
      <c r="AM424" s="88">
        <v>128.68047982551801</v>
      </c>
      <c r="AN424" s="88">
        <v>36.68</v>
      </c>
      <c r="AO424" s="89"/>
      <c r="AP424" s="90"/>
      <c r="AQ424" s="146" t="str">
        <f t="shared" si="177"/>
        <v/>
      </c>
      <c r="AR424" s="146" t="str">
        <f t="shared" si="178"/>
        <v/>
      </c>
      <c r="AS424" s="147">
        <v>45</v>
      </c>
      <c r="AT424" s="148"/>
      <c r="AU424" s="149"/>
      <c r="AV424" s="146" t="str">
        <f t="shared" si="179"/>
        <v/>
      </c>
      <c r="AW424" s="146" t="str">
        <f t="shared" si="180"/>
        <v/>
      </c>
      <c r="AX424" s="138" t="str">
        <f t="shared" si="181"/>
        <v/>
      </c>
      <c r="AY424" s="95"/>
      <c r="AZ424" s="96">
        <v>61.55</v>
      </c>
      <c r="BA424" s="96"/>
      <c r="BB424" s="96">
        <v>71</v>
      </c>
      <c r="BC424" s="96"/>
      <c r="BD424" s="97">
        <v>36.68</v>
      </c>
      <c r="BE424" s="142">
        <f t="shared" si="182"/>
        <v>6716</v>
      </c>
      <c r="BF424" s="88">
        <v>889</v>
      </c>
      <c r="BG424" s="98">
        <v>0</v>
      </c>
      <c r="BH424" s="98">
        <v>0</v>
      </c>
      <c r="BI424" s="98">
        <v>5827</v>
      </c>
      <c r="BJ424" s="98"/>
      <c r="BK424" s="98"/>
      <c r="BL424" s="97"/>
    </row>
    <row r="425" spans="1:64" outlineLevel="5" x14ac:dyDescent="0.3">
      <c r="A425" s="152">
        <f t="shared" si="168"/>
        <v>12</v>
      </c>
      <c r="B425" s="153">
        <f t="shared" si="183"/>
        <v>45290</v>
      </c>
      <c r="C425" s="138" t="str">
        <f t="shared" si="173"/>
        <v/>
      </c>
      <c r="D425" s="84"/>
      <c r="E425" s="84"/>
      <c r="F425" s="84"/>
      <c r="G425" s="84"/>
      <c r="H425" s="84"/>
      <c r="I425" s="84"/>
      <c r="J425" s="84"/>
      <c r="K425" s="84"/>
      <c r="L425" s="140" t="str">
        <f t="shared" si="174"/>
        <v/>
      </c>
      <c r="M425" s="86"/>
      <c r="N425" s="86"/>
      <c r="O425" s="86"/>
      <c r="P425" s="86"/>
      <c r="Q425" s="86"/>
      <c r="R425" s="86"/>
      <c r="S425" s="86"/>
      <c r="T425" s="86"/>
      <c r="U425" s="142" t="str">
        <f t="shared" si="175"/>
        <v/>
      </c>
      <c r="V425" s="88"/>
      <c r="W425" s="88"/>
      <c r="X425" s="88"/>
      <c r="Y425" s="88"/>
      <c r="Z425" s="88"/>
      <c r="AA425" s="88"/>
      <c r="AB425" s="88"/>
      <c r="AC425" s="88"/>
      <c r="AD425" s="142" t="str">
        <f t="shared" si="176"/>
        <v/>
      </c>
      <c r="AE425" s="88"/>
      <c r="AF425" s="88"/>
      <c r="AG425" s="88"/>
      <c r="AH425" s="88"/>
      <c r="AI425" s="88"/>
      <c r="AJ425" s="88"/>
      <c r="AK425" s="88"/>
      <c r="AL425" s="88"/>
      <c r="AM425" s="88">
        <v>57.701711491442538</v>
      </c>
      <c r="AN425" s="88">
        <v>81.800000000000011</v>
      </c>
      <c r="AO425" s="89"/>
      <c r="AP425" s="90"/>
      <c r="AQ425" s="146" t="str">
        <f t="shared" si="177"/>
        <v/>
      </c>
      <c r="AR425" s="146" t="str">
        <f t="shared" si="178"/>
        <v/>
      </c>
      <c r="AS425" s="147">
        <v>31</v>
      </c>
      <c r="AT425" s="148"/>
      <c r="AU425" s="149"/>
      <c r="AV425" s="146" t="str">
        <f t="shared" si="179"/>
        <v/>
      </c>
      <c r="AW425" s="146" t="str">
        <f t="shared" si="180"/>
        <v/>
      </c>
      <c r="AX425" s="138" t="str">
        <f t="shared" si="181"/>
        <v/>
      </c>
      <c r="AY425" s="95"/>
      <c r="AZ425" s="96"/>
      <c r="BA425" s="96"/>
      <c r="BB425" s="96"/>
      <c r="BC425" s="96"/>
      <c r="BD425" s="97">
        <v>81.800000000000011</v>
      </c>
      <c r="BE425" s="142">
        <f t="shared" si="182"/>
        <v>6988</v>
      </c>
      <c r="BF425" s="88">
        <v>964</v>
      </c>
      <c r="BG425" s="98">
        <v>0</v>
      </c>
      <c r="BH425" s="98">
        <v>0</v>
      </c>
      <c r="BI425" s="98">
        <v>6024</v>
      </c>
      <c r="BJ425" s="98"/>
      <c r="BK425" s="98"/>
      <c r="BL425" s="97"/>
    </row>
    <row r="426" spans="1:64" ht="17.25" outlineLevel="5" thickBot="1" x14ac:dyDescent="0.35">
      <c r="A426" s="169">
        <f t="shared" si="168"/>
        <v>12</v>
      </c>
      <c r="B426" s="170">
        <f t="shared" si="183"/>
        <v>45291</v>
      </c>
      <c r="C426" s="138" t="str">
        <f t="shared" si="173"/>
        <v/>
      </c>
      <c r="D426" s="171"/>
      <c r="E426" s="171"/>
      <c r="F426" s="171"/>
      <c r="G426" s="171"/>
      <c r="H426" s="171"/>
      <c r="I426" s="171"/>
      <c r="J426" s="171"/>
      <c r="K426" s="171"/>
      <c r="L426" s="140" t="str">
        <f t="shared" si="174"/>
        <v/>
      </c>
      <c r="M426" s="172"/>
      <c r="N426" s="172"/>
      <c r="O426" s="172"/>
      <c r="P426" s="172"/>
      <c r="Q426" s="172"/>
      <c r="R426" s="172"/>
      <c r="S426" s="172"/>
      <c r="T426" s="172"/>
      <c r="U426" s="142" t="str">
        <f t="shared" si="175"/>
        <v/>
      </c>
      <c r="V426" s="107"/>
      <c r="W426" s="107"/>
      <c r="X426" s="107"/>
      <c r="Y426" s="107"/>
      <c r="Z426" s="107"/>
      <c r="AA426" s="107"/>
      <c r="AB426" s="107"/>
      <c r="AC426" s="107"/>
      <c r="AD426" s="142" t="str">
        <f t="shared" si="176"/>
        <v/>
      </c>
      <c r="AE426" s="107"/>
      <c r="AF426" s="107"/>
      <c r="AG426" s="107"/>
      <c r="AH426" s="107"/>
      <c r="AI426" s="107"/>
      <c r="AJ426" s="107"/>
      <c r="AK426" s="107"/>
      <c r="AL426" s="107"/>
      <c r="AM426" s="107">
        <v>47.2</v>
      </c>
      <c r="AN426" s="107">
        <v>100</v>
      </c>
      <c r="AO426" s="173"/>
      <c r="AP426" s="174"/>
      <c r="AQ426" s="146" t="str">
        <f t="shared" si="177"/>
        <v/>
      </c>
      <c r="AR426" s="146" t="str">
        <f t="shared" si="178"/>
        <v/>
      </c>
      <c r="AS426" s="147">
        <v>21</v>
      </c>
      <c r="AT426" s="148"/>
      <c r="AU426" s="149"/>
      <c r="AV426" s="146" t="str">
        <f t="shared" si="179"/>
        <v/>
      </c>
      <c r="AW426" s="146" t="str">
        <f t="shared" si="180"/>
        <v/>
      </c>
      <c r="AX426" s="138" t="str">
        <f t="shared" si="181"/>
        <v/>
      </c>
      <c r="AY426" s="175"/>
      <c r="AZ426" s="176"/>
      <c r="BA426" s="176"/>
      <c r="BB426" s="176"/>
      <c r="BC426" s="176"/>
      <c r="BD426" s="116">
        <v>100</v>
      </c>
      <c r="BE426" s="142">
        <f t="shared" si="182"/>
        <v>6484</v>
      </c>
      <c r="BF426" s="107">
        <v>602</v>
      </c>
      <c r="BG426" s="118">
        <v>0</v>
      </c>
      <c r="BH426" s="118">
        <v>0</v>
      </c>
      <c r="BI426" s="118">
        <v>5882</v>
      </c>
      <c r="BJ426" s="118"/>
      <c r="BK426" s="118"/>
      <c r="BL426" s="116"/>
    </row>
    <row r="427" spans="1:64" outlineLevel="4" x14ac:dyDescent="0.3">
      <c r="A427" s="63" t="s">
        <v>101</v>
      </c>
      <c r="B427" s="64"/>
      <c r="C427" s="65">
        <f t="shared" ref="C427:BL427" si="184">SUBTOTAL(4,C396:C426)</f>
        <v>38.9</v>
      </c>
      <c r="D427" s="66">
        <f t="shared" si="184"/>
        <v>38</v>
      </c>
      <c r="E427" s="66">
        <f t="shared" si="184"/>
        <v>39.799999999999997</v>
      </c>
      <c r="F427" s="66">
        <f t="shared" si="184"/>
        <v>0</v>
      </c>
      <c r="G427" s="66">
        <f t="shared" si="184"/>
        <v>0</v>
      </c>
      <c r="H427" s="66">
        <f t="shared" si="184"/>
        <v>0</v>
      </c>
      <c r="I427" s="66">
        <f t="shared" si="184"/>
        <v>0</v>
      </c>
      <c r="J427" s="66">
        <f t="shared" si="184"/>
        <v>0</v>
      </c>
      <c r="K427" s="66">
        <f t="shared" si="184"/>
        <v>0</v>
      </c>
      <c r="L427" s="67">
        <f t="shared" si="184"/>
        <v>8.1999999999999993</v>
      </c>
      <c r="M427" s="68">
        <f t="shared" si="184"/>
        <v>8.1999999999999993</v>
      </c>
      <c r="N427" s="68">
        <f t="shared" si="184"/>
        <v>8.17</v>
      </c>
      <c r="O427" s="68">
        <f t="shared" si="184"/>
        <v>0</v>
      </c>
      <c r="P427" s="68">
        <f t="shared" si="184"/>
        <v>0</v>
      </c>
      <c r="Q427" s="68">
        <f t="shared" si="184"/>
        <v>0</v>
      </c>
      <c r="R427" s="68">
        <f t="shared" si="184"/>
        <v>0</v>
      </c>
      <c r="S427" s="68">
        <f t="shared" si="184"/>
        <v>0</v>
      </c>
      <c r="T427" s="68">
        <f t="shared" si="184"/>
        <v>0</v>
      </c>
      <c r="U427" s="69">
        <f t="shared" si="184"/>
        <v>2308.5</v>
      </c>
      <c r="V427" s="70">
        <f t="shared" si="184"/>
        <v>2400.4</v>
      </c>
      <c r="W427" s="70">
        <f t="shared" si="184"/>
        <v>2216.6</v>
      </c>
      <c r="X427" s="70">
        <f t="shared" si="184"/>
        <v>0</v>
      </c>
      <c r="Y427" s="70">
        <f t="shared" si="184"/>
        <v>0</v>
      </c>
      <c r="Z427" s="70">
        <f t="shared" si="184"/>
        <v>0</v>
      </c>
      <c r="AA427" s="70">
        <f t="shared" si="184"/>
        <v>0</v>
      </c>
      <c r="AB427" s="70">
        <f t="shared" si="184"/>
        <v>0</v>
      </c>
      <c r="AC427" s="70">
        <f t="shared" si="184"/>
        <v>0</v>
      </c>
      <c r="AD427" s="69">
        <f t="shared" si="184"/>
        <v>0</v>
      </c>
      <c r="AE427" s="70">
        <f t="shared" si="184"/>
        <v>0</v>
      </c>
      <c r="AF427" s="70">
        <f t="shared" si="184"/>
        <v>0</v>
      </c>
      <c r="AG427" s="70">
        <f t="shared" si="184"/>
        <v>0</v>
      </c>
      <c r="AH427" s="70">
        <f t="shared" si="184"/>
        <v>0</v>
      </c>
      <c r="AI427" s="70">
        <f t="shared" si="184"/>
        <v>0</v>
      </c>
      <c r="AJ427" s="70">
        <f t="shared" si="184"/>
        <v>0</v>
      </c>
      <c r="AK427" s="70">
        <f t="shared" si="184"/>
        <v>0</v>
      </c>
      <c r="AL427" s="70">
        <f t="shared" si="184"/>
        <v>0</v>
      </c>
      <c r="AM427" s="70">
        <f t="shared" si="184"/>
        <v>659.2178770949721</v>
      </c>
      <c r="AN427" s="70">
        <f t="shared" si="184"/>
        <v>158.28</v>
      </c>
      <c r="AO427" s="71">
        <f t="shared" si="184"/>
        <v>21.7</v>
      </c>
      <c r="AP427" s="72">
        <f t="shared" si="184"/>
        <v>18.401599999999998</v>
      </c>
      <c r="AQ427" s="73">
        <f t="shared" si="184"/>
        <v>84.8</v>
      </c>
      <c r="AR427" s="73">
        <f t="shared" si="184"/>
        <v>17.300000000000011</v>
      </c>
      <c r="AS427" s="74">
        <f t="shared" si="184"/>
        <v>49</v>
      </c>
      <c r="AT427" s="75">
        <f t="shared" si="184"/>
        <v>14.65</v>
      </c>
      <c r="AU427" s="76">
        <f t="shared" si="184"/>
        <v>8.3026</v>
      </c>
      <c r="AV427" s="73">
        <f t="shared" si="184"/>
        <v>58.20000000000001</v>
      </c>
      <c r="AW427" s="73">
        <f t="shared" si="184"/>
        <v>46.415325670498085</v>
      </c>
      <c r="AX427" s="65">
        <f t="shared" si="184"/>
        <v>78.051710534952122</v>
      </c>
      <c r="AY427" s="77">
        <f t="shared" si="184"/>
        <v>81.400000000000006</v>
      </c>
      <c r="AZ427" s="78">
        <f t="shared" si="184"/>
        <v>62.23</v>
      </c>
      <c r="BA427" s="78">
        <f t="shared" si="184"/>
        <v>0</v>
      </c>
      <c r="BB427" s="78">
        <f t="shared" si="184"/>
        <v>237.5</v>
      </c>
      <c r="BC427" s="78">
        <f t="shared" si="184"/>
        <v>0</v>
      </c>
      <c r="BD427" s="79">
        <f t="shared" si="184"/>
        <v>158.28</v>
      </c>
      <c r="BE427" s="69">
        <f t="shared" si="184"/>
        <v>10386</v>
      </c>
      <c r="BF427" s="70">
        <f t="shared" si="184"/>
        <v>2652</v>
      </c>
      <c r="BG427" s="80">
        <f t="shared" si="184"/>
        <v>0</v>
      </c>
      <c r="BH427" s="80">
        <f t="shared" si="184"/>
        <v>2567</v>
      </c>
      <c r="BI427" s="80">
        <f t="shared" si="184"/>
        <v>7055</v>
      </c>
      <c r="BJ427" s="80">
        <f t="shared" si="184"/>
        <v>0</v>
      </c>
      <c r="BK427" s="80">
        <f t="shared" si="184"/>
        <v>0</v>
      </c>
      <c r="BL427" s="79">
        <f t="shared" si="184"/>
        <v>0</v>
      </c>
    </row>
    <row r="428" spans="1:64" outlineLevel="3" x14ac:dyDescent="0.3">
      <c r="A428" s="81" t="s">
        <v>102</v>
      </c>
      <c r="B428" s="82"/>
      <c r="C428" s="83">
        <f t="shared" ref="C428:BL428" si="185">SUBTOTAL(5,C396:C426)</f>
        <v>36.299999999999997</v>
      </c>
      <c r="D428" s="84">
        <f t="shared" si="185"/>
        <v>35.6</v>
      </c>
      <c r="E428" s="84">
        <f t="shared" si="185"/>
        <v>36</v>
      </c>
      <c r="F428" s="84">
        <f t="shared" si="185"/>
        <v>0</v>
      </c>
      <c r="G428" s="84">
        <f t="shared" si="185"/>
        <v>0</v>
      </c>
      <c r="H428" s="84">
        <f t="shared" si="185"/>
        <v>0</v>
      </c>
      <c r="I428" s="84">
        <f t="shared" si="185"/>
        <v>0</v>
      </c>
      <c r="J428" s="84">
        <f t="shared" si="185"/>
        <v>0</v>
      </c>
      <c r="K428" s="84">
        <f t="shared" si="185"/>
        <v>0</v>
      </c>
      <c r="L428" s="85">
        <f t="shared" si="185"/>
        <v>8</v>
      </c>
      <c r="M428" s="86">
        <f t="shared" si="185"/>
        <v>8.02</v>
      </c>
      <c r="N428" s="86">
        <f t="shared" si="185"/>
        <v>8.02</v>
      </c>
      <c r="O428" s="86">
        <f t="shared" si="185"/>
        <v>0</v>
      </c>
      <c r="P428" s="86">
        <f t="shared" si="185"/>
        <v>0</v>
      </c>
      <c r="Q428" s="86">
        <f t="shared" si="185"/>
        <v>0</v>
      </c>
      <c r="R428" s="86">
        <f t="shared" si="185"/>
        <v>0</v>
      </c>
      <c r="S428" s="86">
        <f t="shared" si="185"/>
        <v>0</v>
      </c>
      <c r="T428" s="86">
        <f t="shared" si="185"/>
        <v>0</v>
      </c>
      <c r="U428" s="87">
        <f t="shared" si="185"/>
        <v>1394.8</v>
      </c>
      <c r="V428" s="88">
        <f t="shared" si="185"/>
        <v>1329.9</v>
      </c>
      <c r="W428" s="88">
        <f t="shared" si="185"/>
        <v>1459.7</v>
      </c>
      <c r="X428" s="88">
        <f t="shared" si="185"/>
        <v>0</v>
      </c>
      <c r="Y428" s="88">
        <f t="shared" si="185"/>
        <v>0</v>
      </c>
      <c r="Z428" s="88">
        <f t="shared" si="185"/>
        <v>0</v>
      </c>
      <c r="AA428" s="88">
        <f t="shared" si="185"/>
        <v>0</v>
      </c>
      <c r="AB428" s="88">
        <f t="shared" si="185"/>
        <v>0</v>
      </c>
      <c r="AC428" s="88">
        <f t="shared" si="185"/>
        <v>0</v>
      </c>
      <c r="AD428" s="87">
        <f t="shared" si="185"/>
        <v>0</v>
      </c>
      <c r="AE428" s="88">
        <f t="shared" si="185"/>
        <v>0</v>
      </c>
      <c r="AF428" s="88">
        <f t="shared" si="185"/>
        <v>0</v>
      </c>
      <c r="AG428" s="88">
        <f t="shared" si="185"/>
        <v>0</v>
      </c>
      <c r="AH428" s="88">
        <f t="shared" si="185"/>
        <v>0</v>
      </c>
      <c r="AI428" s="88">
        <f t="shared" si="185"/>
        <v>0</v>
      </c>
      <c r="AJ428" s="88">
        <f t="shared" si="185"/>
        <v>0</v>
      </c>
      <c r="AK428" s="88">
        <f t="shared" si="185"/>
        <v>0</v>
      </c>
      <c r="AL428" s="88">
        <f t="shared" si="185"/>
        <v>0</v>
      </c>
      <c r="AM428" s="88">
        <f t="shared" si="185"/>
        <v>0</v>
      </c>
      <c r="AN428" s="88">
        <f t="shared" si="185"/>
        <v>0</v>
      </c>
      <c r="AO428" s="89">
        <f t="shared" si="185"/>
        <v>17.3</v>
      </c>
      <c r="AP428" s="90">
        <f t="shared" si="185"/>
        <v>14.3071</v>
      </c>
      <c r="AQ428" s="91">
        <f t="shared" si="185"/>
        <v>82.699999999999989</v>
      </c>
      <c r="AR428" s="91">
        <f t="shared" si="185"/>
        <v>15.200000000000003</v>
      </c>
      <c r="AS428" s="92">
        <f t="shared" si="185"/>
        <v>0</v>
      </c>
      <c r="AT428" s="93">
        <f t="shared" si="185"/>
        <v>11.2</v>
      </c>
      <c r="AU428" s="94">
        <f t="shared" si="185"/>
        <v>6.5184000000000006</v>
      </c>
      <c r="AV428" s="91">
        <f t="shared" si="185"/>
        <v>53.584674329501915</v>
      </c>
      <c r="AW428" s="91">
        <f t="shared" si="185"/>
        <v>41.79999999999999</v>
      </c>
      <c r="AX428" s="83">
        <f t="shared" si="185"/>
        <v>75.849852526430595</v>
      </c>
      <c r="AY428" s="95">
        <f t="shared" si="185"/>
        <v>75.05</v>
      </c>
      <c r="AZ428" s="96">
        <f t="shared" si="185"/>
        <v>52.224999999999994</v>
      </c>
      <c r="BA428" s="96">
        <f t="shared" si="185"/>
        <v>0</v>
      </c>
      <c r="BB428" s="96">
        <f t="shared" si="185"/>
        <v>61</v>
      </c>
      <c r="BC428" s="96">
        <f t="shared" si="185"/>
        <v>0</v>
      </c>
      <c r="BD428" s="97">
        <f t="shared" si="185"/>
        <v>0</v>
      </c>
      <c r="BE428" s="87">
        <f t="shared" si="185"/>
        <v>341</v>
      </c>
      <c r="BF428" s="88">
        <f t="shared" si="185"/>
        <v>0</v>
      </c>
      <c r="BG428" s="98">
        <f t="shared" si="185"/>
        <v>0</v>
      </c>
      <c r="BH428" s="98">
        <f t="shared" si="185"/>
        <v>0</v>
      </c>
      <c r="BI428" s="98">
        <f t="shared" si="185"/>
        <v>0</v>
      </c>
      <c r="BJ428" s="98">
        <f t="shared" si="185"/>
        <v>0</v>
      </c>
      <c r="BK428" s="98">
        <f t="shared" si="185"/>
        <v>0</v>
      </c>
      <c r="BL428" s="97">
        <f t="shared" si="185"/>
        <v>0</v>
      </c>
    </row>
    <row r="429" spans="1:64" outlineLevel="2" x14ac:dyDescent="0.3">
      <c r="A429" s="81" t="s">
        <v>103</v>
      </c>
      <c r="B429" s="82"/>
      <c r="C429" s="83">
        <f t="shared" ref="C429:BL429" si="186">IFERROR(SUBTOTAL(1,C396:C426),"")</f>
        <v>37.200000000000003</v>
      </c>
      <c r="D429" s="84">
        <f t="shared" si="186"/>
        <v>36.800000000000004</v>
      </c>
      <c r="E429" s="84">
        <f t="shared" si="186"/>
        <v>37.58</v>
      </c>
      <c r="F429" s="84" t="str">
        <f t="shared" si="186"/>
        <v/>
      </c>
      <c r="G429" s="84" t="str">
        <f t="shared" si="186"/>
        <v/>
      </c>
      <c r="H429" s="84" t="str">
        <f t="shared" si="186"/>
        <v/>
      </c>
      <c r="I429" s="84" t="str">
        <f t="shared" si="186"/>
        <v/>
      </c>
      <c r="J429" s="84" t="str">
        <f t="shared" si="186"/>
        <v/>
      </c>
      <c r="K429" s="84" t="str">
        <f t="shared" si="186"/>
        <v/>
      </c>
      <c r="L429" s="85">
        <f t="shared" si="186"/>
        <v>8.0833333333333339</v>
      </c>
      <c r="M429" s="86">
        <f t="shared" si="186"/>
        <v>8.0899999999999981</v>
      </c>
      <c r="N429" s="86">
        <f t="shared" si="186"/>
        <v>8.1059999999999999</v>
      </c>
      <c r="O429" s="86" t="str">
        <f t="shared" si="186"/>
        <v/>
      </c>
      <c r="P429" s="86" t="str">
        <f t="shared" si="186"/>
        <v/>
      </c>
      <c r="Q429" s="86" t="str">
        <f t="shared" si="186"/>
        <v/>
      </c>
      <c r="R429" s="86" t="str">
        <f t="shared" si="186"/>
        <v/>
      </c>
      <c r="S429" s="86" t="str">
        <f t="shared" si="186"/>
        <v/>
      </c>
      <c r="T429" s="86" t="str">
        <f t="shared" si="186"/>
        <v/>
      </c>
      <c r="U429" s="87">
        <f t="shared" si="186"/>
        <v>1914.6999999999998</v>
      </c>
      <c r="V429" s="88">
        <f t="shared" si="186"/>
        <v>1920.9833333333333</v>
      </c>
      <c r="W429" s="88">
        <f t="shared" si="186"/>
        <v>1831.6600000000003</v>
      </c>
      <c r="X429" s="88" t="str">
        <f t="shared" si="186"/>
        <v/>
      </c>
      <c r="Y429" s="88" t="str">
        <f t="shared" si="186"/>
        <v/>
      </c>
      <c r="Z429" s="88" t="str">
        <f t="shared" si="186"/>
        <v/>
      </c>
      <c r="AA429" s="88" t="str">
        <f t="shared" si="186"/>
        <v/>
      </c>
      <c r="AB429" s="88" t="str">
        <f t="shared" si="186"/>
        <v/>
      </c>
      <c r="AC429" s="88" t="str">
        <f t="shared" si="186"/>
        <v/>
      </c>
      <c r="AD429" s="87" t="str">
        <f t="shared" si="186"/>
        <v/>
      </c>
      <c r="AE429" s="88" t="str">
        <f t="shared" si="186"/>
        <v/>
      </c>
      <c r="AF429" s="88" t="str">
        <f t="shared" si="186"/>
        <v/>
      </c>
      <c r="AG429" s="88" t="str">
        <f t="shared" si="186"/>
        <v/>
      </c>
      <c r="AH429" s="88" t="str">
        <f t="shared" si="186"/>
        <v/>
      </c>
      <c r="AI429" s="88" t="str">
        <f t="shared" si="186"/>
        <v/>
      </c>
      <c r="AJ429" s="88" t="str">
        <f t="shared" si="186"/>
        <v/>
      </c>
      <c r="AK429" s="88" t="str">
        <f t="shared" si="186"/>
        <v/>
      </c>
      <c r="AL429" s="88" t="str">
        <f t="shared" si="186"/>
        <v/>
      </c>
      <c r="AM429" s="88">
        <f t="shared" si="186"/>
        <v>78.746878362907367</v>
      </c>
      <c r="AN429" s="88">
        <f t="shared" si="186"/>
        <v>94.946129032258057</v>
      </c>
      <c r="AO429" s="89">
        <f t="shared" si="186"/>
        <v>19.5</v>
      </c>
      <c r="AP429" s="90">
        <f t="shared" si="186"/>
        <v>16.35435</v>
      </c>
      <c r="AQ429" s="91">
        <f t="shared" si="186"/>
        <v>83.75</v>
      </c>
      <c r="AR429" s="91">
        <f t="shared" si="186"/>
        <v>16.250000000000007</v>
      </c>
      <c r="AS429" s="92">
        <f t="shared" si="186"/>
        <v>24</v>
      </c>
      <c r="AT429" s="93">
        <f t="shared" si="186"/>
        <v>13.425000000000002</v>
      </c>
      <c r="AU429" s="94">
        <f t="shared" si="186"/>
        <v>7.5681333333333347</v>
      </c>
      <c r="AV429" s="91">
        <f t="shared" si="186"/>
        <v>56.414492257304865</v>
      </c>
      <c r="AW429" s="91">
        <f t="shared" si="186"/>
        <v>43.585507742695135</v>
      </c>
      <c r="AX429" s="83">
        <f t="shared" si="186"/>
        <v>76.950781530691359</v>
      </c>
      <c r="AY429" s="95">
        <f t="shared" si="186"/>
        <v>77.191666666666677</v>
      </c>
      <c r="AZ429" s="96">
        <f t="shared" si="186"/>
        <v>59.338076923076919</v>
      </c>
      <c r="BA429" s="96" t="str">
        <f t="shared" si="186"/>
        <v/>
      </c>
      <c r="BB429" s="96">
        <f t="shared" si="186"/>
        <v>116.84615384615384</v>
      </c>
      <c r="BC429" s="96" t="str">
        <f t="shared" si="186"/>
        <v/>
      </c>
      <c r="BD429" s="97">
        <f>IFERROR(SUBTOTAL(1,BD396:BD426),"")</f>
        <v>94.946129032258057</v>
      </c>
      <c r="BE429" s="87">
        <f t="shared" si="186"/>
        <v>6090.0645161290322</v>
      </c>
      <c r="BF429" s="88">
        <f t="shared" si="186"/>
        <v>1121.8387096774193</v>
      </c>
      <c r="BG429" s="98">
        <f t="shared" si="186"/>
        <v>0</v>
      </c>
      <c r="BH429" s="98">
        <f t="shared" si="186"/>
        <v>399.58064516129031</v>
      </c>
      <c r="BI429" s="98">
        <f t="shared" si="186"/>
        <v>4568.6451612903229</v>
      </c>
      <c r="BJ429" s="98" t="str">
        <f t="shared" si="186"/>
        <v/>
      </c>
      <c r="BK429" s="98" t="str">
        <f t="shared" si="186"/>
        <v/>
      </c>
      <c r="BL429" s="97" t="str">
        <f t="shared" si="186"/>
        <v/>
      </c>
    </row>
    <row r="430" spans="1:64" ht="17.25" outlineLevel="1" thickBot="1" x14ac:dyDescent="0.35">
      <c r="A430" s="99" t="s">
        <v>104</v>
      </c>
      <c r="B430" s="100"/>
      <c r="C430" s="101"/>
      <c r="D430" s="102"/>
      <c r="E430" s="102"/>
      <c r="F430" s="102"/>
      <c r="G430" s="102"/>
      <c r="H430" s="102"/>
      <c r="I430" s="102"/>
      <c r="J430" s="102"/>
      <c r="K430" s="102"/>
      <c r="L430" s="103"/>
      <c r="M430" s="104"/>
      <c r="N430" s="104"/>
      <c r="O430" s="104"/>
      <c r="P430" s="104"/>
      <c r="Q430" s="104"/>
      <c r="R430" s="104"/>
      <c r="S430" s="104"/>
      <c r="T430" s="104"/>
      <c r="U430" s="105"/>
      <c r="V430" s="106"/>
      <c r="W430" s="106"/>
      <c r="X430" s="106"/>
      <c r="Y430" s="106"/>
      <c r="Z430" s="106"/>
      <c r="AA430" s="106"/>
      <c r="AB430" s="106"/>
      <c r="AC430" s="106"/>
      <c r="AD430" s="105"/>
      <c r="AE430" s="106"/>
      <c r="AF430" s="106"/>
      <c r="AG430" s="106"/>
      <c r="AH430" s="106"/>
      <c r="AI430" s="106"/>
      <c r="AJ430" s="106"/>
      <c r="AK430" s="106"/>
      <c r="AL430" s="106"/>
      <c r="AM430" s="106"/>
      <c r="AN430" s="107">
        <f>SUBTOTAL(9,AN396:AN426)</f>
        <v>2943.33</v>
      </c>
      <c r="AO430" s="108"/>
      <c r="AP430" s="109"/>
      <c r="AQ430" s="110"/>
      <c r="AR430" s="110"/>
      <c r="AS430" s="111">
        <f>SUBTOTAL(9,AS396:AS426)</f>
        <v>720</v>
      </c>
      <c r="AT430" s="112"/>
      <c r="AU430" s="113"/>
      <c r="AV430" s="110"/>
      <c r="AW430" s="110"/>
      <c r="AX430" s="101"/>
      <c r="AY430" s="114"/>
      <c r="AZ430" s="115"/>
      <c r="BA430" s="115"/>
      <c r="BB430" s="115"/>
      <c r="BC430" s="115"/>
      <c r="BD430" s="116">
        <f>SUBTOTAL(9,BD396:BD426)</f>
        <v>2943.33</v>
      </c>
      <c r="BE430" s="117">
        <f t="shared" ref="BE430:BL430" si="187">SUBTOTAL(9,BE396:BE426)</f>
        <v>188792</v>
      </c>
      <c r="BF430" s="107">
        <f t="shared" si="187"/>
        <v>34777</v>
      </c>
      <c r="BG430" s="118">
        <f t="shared" si="187"/>
        <v>0</v>
      </c>
      <c r="BH430" s="118">
        <f t="shared" si="187"/>
        <v>12387</v>
      </c>
      <c r="BI430" s="118">
        <f t="shared" si="187"/>
        <v>141628</v>
      </c>
      <c r="BJ430" s="118">
        <f t="shared" si="187"/>
        <v>0</v>
      </c>
      <c r="BK430" s="118">
        <f t="shared" si="187"/>
        <v>0</v>
      </c>
      <c r="BL430" s="116">
        <f t="shared" si="187"/>
        <v>0</v>
      </c>
    </row>
    <row r="431" spans="1:64" outlineLevel="1" x14ac:dyDescent="0.3">
      <c r="A431" s="177"/>
      <c r="B431" s="177"/>
      <c r="C431" s="178"/>
      <c r="D431" s="178"/>
      <c r="E431" s="178"/>
      <c r="F431" s="178"/>
      <c r="G431" s="178"/>
      <c r="H431" s="178"/>
      <c r="I431" s="178"/>
      <c r="J431" s="178"/>
      <c r="K431" s="178"/>
      <c r="L431" s="127"/>
      <c r="M431" s="127"/>
      <c r="N431" s="127"/>
      <c r="O431" s="127"/>
      <c r="P431" s="127"/>
      <c r="Q431" s="127"/>
      <c r="R431" s="127"/>
      <c r="S431" s="127"/>
      <c r="T431" s="127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30"/>
      <c r="AP431" s="130"/>
      <c r="AQ431" s="130"/>
      <c r="AR431" s="130"/>
      <c r="AS431" s="179"/>
      <c r="AT431" s="180"/>
      <c r="AU431" s="180"/>
      <c r="AV431" s="130"/>
      <c r="AW431" s="130"/>
      <c r="AX431" s="178"/>
      <c r="AY431" s="127"/>
      <c r="AZ431" s="127"/>
      <c r="BA431" s="127"/>
      <c r="BB431" s="127"/>
      <c r="BC431" s="127"/>
      <c r="BD431" s="129"/>
      <c r="BE431" s="129"/>
      <c r="BF431" s="129"/>
      <c r="BG431" s="129"/>
      <c r="BH431" s="129"/>
      <c r="BI431" s="129"/>
      <c r="BJ431" s="129"/>
      <c r="BK431" s="129"/>
      <c r="BL431" s="129"/>
    </row>
  </sheetData>
  <mergeCells count="110">
    <mergeCell ref="A429:B429"/>
    <mergeCell ref="A430:B430"/>
    <mergeCell ref="A392:B392"/>
    <mergeCell ref="A393:B393"/>
    <mergeCell ref="A394:B394"/>
    <mergeCell ref="A395:B395"/>
    <mergeCell ref="A427:B427"/>
    <mergeCell ref="A428:B428"/>
    <mergeCell ref="A325:B325"/>
    <mergeCell ref="A326:B326"/>
    <mergeCell ref="A358:B358"/>
    <mergeCell ref="A359:B359"/>
    <mergeCell ref="A360:B360"/>
    <mergeCell ref="A361:B361"/>
    <mergeCell ref="A289:B289"/>
    <mergeCell ref="A290:B290"/>
    <mergeCell ref="A291:B291"/>
    <mergeCell ref="A292:B292"/>
    <mergeCell ref="A323:B323"/>
    <mergeCell ref="A324:B324"/>
    <mergeCell ref="A221:B221"/>
    <mergeCell ref="A222:B222"/>
    <mergeCell ref="A254:B254"/>
    <mergeCell ref="A255:B255"/>
    <mergeCell ref="A256:B256"/>
    <mergeCell ref="A257:B257"/>
    <mergeCell ref="A185:B185"/>
    <mergeCell ref="A186:B186"/>
    <mergeCell ref="A187:B187"/>
    <mergeCell ref="A188:B188"/>
    <mergeCell ref="A219:B219"/>
    <mergeCell ref="A220:B220"/>
    <mergeCell ref="A118:B118"/>
    <mergeCell ref="A119:B119"/>
    <mergeCell ref="A150:B150"/>
    <mergeCell ref="A151:B151"/>
    <mergeCell ref="A152:B152"/>
    <mergeCell ref="A153:B153"/>
    <mergeCell ref="A81:B81"/>
    <mergeCell ref="A82:B82"/>
    <mergeCell ref="A83:B83"/>
    <mergeCell ref="A84:B84"/>
    <mergeCell ref="A116:B116"/>
    <mergeCell ref="A117:B117"/>
    <mergeCell ref="BK15:BK16"/>
    <mergeCell ref="BL15:BL16"/>
    <mergeCell ref="A48:B48"/>
    <mergeCell ref="A49:B49"/>
    <mergeCell ref="A50:B50"/>
    <mergeCell ref="A51:B51"/>
    <mergeCell ref="BE15:BE16"/>
    <mergeCell ref="BF15:BF16"/>
    <mergeCell ref="BG15:BG16"/>
    <mergeCell ref="BH15:BH16"/>
    <mergeCell ref="BI15:BI16"/>
    <mergeCell ref="BJ15:BJ16"/>
    <mergeCell ref="AV15:AV16"/>
    <mergeCell ref="AW15:AW16"/>
    <mergeCell ref="AX15:AX16"/>
    <mergeCell ref="AY15:AY16"/>
    <mergeCell ref="AZ15:BC15"/>
    <mergeCell ref="BD15:BD16"/>
    <mergeCell ref="AP15:AP16"/>
    <mergeCell ref="AQ15:AQ16"/>
    <mergeCell ref="AR15:AR16"/>
    <mergeCell ref="AS15:AS16"/>
    <mergeCell ref="AT15:AT16"/>
    <mergeCell ref="AU15:AU16"/>
    <mergeCell ref="L15:T15"/>
    <mergeCell ref="U15:AC15"/>
    <mergeCell ref="AD15:AL15"/>
    <mergeCell ref="AM15:AM16"/>
    <mergeCell ref="AN15:AN16"/>
    <mergeCell ref="AO15:AO16"/>
    <mergeCell ref="A10:B10"/>
    <mergeCell ref="A11:B11"/>
    <mergeCell ref="A12:B12"/>
    <mergeCell ref="A15:A16"/>
    <mergeCell ref="B15:B16"/>
    <mergeCell ref="C15:K15"/>
    <mergeCell ref="BI6:BI7"/>
    <mergeCell ref="BJ6:BJ7"/>
    <mergeCell ref="BK6:BK7"/>
    <mergeCell ref="BL6:BL7"/>
    <mergeCell ref="A8:B8"/>
    <mergeCell ref="A9:B9"/>
    <mergeCell ref="AZ6:BC6"/>
    <mergeCell ref="BD6:BD7"/>
    <mergeCell ref="BE6:BE7"/>
    <mergeCell ref="BF6:BF7"/>
    <mergeCell ref="BG6:BG7"/>
    <mergeCell ref="BH6:BH7"/>
    <mergeCell ref="AT6:AT7"/>
    <mergeCell ref="AU6:AU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  <mergeCell ref="A6:B7"/>
    <mergeCell ref="C6:K6"/>
    <mergeCell ref="L6:T6"/>
    <mergeCell ref="U6:AC6"/>
    <mergeCell ref="AD6:AL6"/>
    <mergeCell ref="AM6:AM7"/>
  </mergeCells>
  <phoneticPr fontId="3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43" fitToHeight="0" orientation="landscape" horizontalDpi="1200" r:id="rId1"/>
  <rowBreaks count="11" manualBreakCount="11">
    <brk id="51" max="16383" man="1"/>
    <brk id="84" max="16383" man="1"/>
    <brk id="119" max="16383" man="1"/>
    <brk id="153" max="16383" man="1"/>
    <brk id="188" max="16383" man="1"/>
    <brk id="222" max="16383" man="1"/>
    <brk id="257" max="16383" man="1"/>
    <brk id="292" max="16383" man="1"/>
    <brk id="326" max="19" man="1"/>
    <brk id="361" max="16383" man="1"/>
    <brk id="395" max="1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39A4C-7875-4BCD-A2C6-00EE4905956F}">
  <sheetPr>
    <pageSetUpPr fitToPage="1"/>
  </sheetPr>
  <dimension ref="A1:BL431"/>
  <sheetViews>
    <sheetView showGridLines="0" zoomScale="70" zoomScaleNormal="70" zoomScaleSheetLayoutView="55" workbookViewId="0">
      <pane xSplit="2" ySplit="16" topLeftCell="C17" activePane="bottomRight" state="frozen"/>
      <selection pane="topRight" activeCell="C1" sqref="C1"/>
      <selection pane="bottomLeft" activeCell="A4" sqref="A4"/>
      <selection pane="bottomRight" activeCell="K30" sqref="K30"/>
    </sheetView>
  </sheetViews>
  <sheetFormatPr defaultRowHeight="16.5" outlineLevelRow="5" outlineLevelCol="1" x14ac:dyDescent="0.3"/>
  <cols>
    <col min="1" max="1" width="6" style="181" customWidth="1"/>
    <col min="2" max="2" width="11.125" style="2" bestFit="1" customWidth="1"/>
    <col min="3" max="3" width="9.25" style="3" bestFit="1" customWidth="1"/>
    <col min="4" max="11" width="9.25" style="3" customWidth="1" outlineLevel="1"/>
    <col min="12" max="12" width="9.25" style="4" bestFit="1" customWidth="1"/>
    <col min="13" max="20" width="9.25" style="4" customWidth="1" outlineLevel="1"/>
    <col min="21" max="21" width="9.25" style="5" bestFit="1" customWidth="1"/>
    <col min="22" max="29" width="9.25" style="5" customWidth="1" outlineLevel="1"/>
    <col min="30" max="30" width="14.25" style="5" bestFit="1" customWidth="1"/>
    <col min="31" max="38" width="9.25" style="5" customWidth="1" outlineLevel="1"/>
    <col min="39" max="39" width="13.75" style="5" customWidth="1"/>
    <col min="40" max="40" width="14.625" style="5" customWidth="1"/>
    <col min="41" max="42" width="8.625" style="6" customWidth="1"/>
    <col min="43" max="43" width="10.625" style="6" customWidth="1"/>
    <col min="44" max="44" width="10.625" style="6" bestFit="1" customWidth="1"/>
    <col min="45" max="45" width="14.625" style="7" customWidth="1"/>
    <col min="46" max="47" width="8.625" style="8" customWidth="1"/>
    <col min="48" max="48" width="10.625" style="6" customWidth="1"/>
    <col min="49" max="49" width="10.625" style="6" bestFit="1" customWidth="1"/>
    <col min="50" max="50" width="11.625" style="3" customWidth="1"/>
    <col min="51" max="55" width="11.625" style="4" customWidth="1"/>
    <col min="56" max="56" width="14.625" style="5" customWidth="1"/>
    <col min="57" max="57" width="20.375" style="5" bestFit="1" customWidth="1"/>
    <col min="58" max="58" width="14" style="5" customWidth="1" outlineLevel="1"/>
    <col min="59" max="59" width="20.875" style="5" customWidth="1" outlineLevel="1"/>
    <col min="60" max="60" width="18.875" style="5" customWidth="1" outlineLevel="1"/>
    <col min="61" max="62" width="20.25" style="5" customWidth="1" outlineLevel="1"/>
    <col min="63" max="64" width="20.875" style="5" customWidth="1" outlineLevel="1"/>
  </cols>
  <sheetData>
    <row r="1" spans="1:64" ht="19.5" x14ac:dyDescent="0.3">
      <c r="A1" s="1" t="s">
        <v>0</v>
      </c>
    </row>
    <row r="2" spans="1:64" s="11" customFormat="1" x14ac:dyDescent="0.3">
      <c r="A2" s="9" t="s">
        <v>1</v>
      </c>
      <c r="B2" s="10"/>
      <c r="L2" s="4"/>
      <c r="M2" s="4"/>
      <c r="N2" s="4"/>
      <c r="O2" s="4"/>
      <c r="P2" s="4"/>
      <c r="Q2" s="4"/>
      <c r="R2" s="4"/>
      <c r="S2" s="4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O2" s="6"/>
      <c r="AP2" s="6"/>
      <c r="AQ2" s="6"/>
      <c r="AR2" s="6"/>
      <c r="AS2" s="12"/>
      <c r="AT2" s="12"/>
      <c r="AU2" s="12"/>
      <c r="AV2" s="6"/>
      <c r="AW2" s="6"/>
      <c r="AY2" s="4"/>
      <c r="AZ2" s="4"/>
      <c r="BA2" s="4"/>
      <c r="BB2" s="4"/>
      <c r="BC2" s="4"/>
      <c r="BF2" s="5"/>
      <c r="BG2" s="5"/>
      <c r="BH2" s="5"/>
      <c r="BI2" s="5"/>
      <c r="BJ2" s="5"/>
      <c r="BK2" s="5"/>
      <c r="BL2" s="5"/>
    </row>
    <row r="3" spans="1:64" s="11" customFormat="1" x14ac:dyDescent="0.3">
      <c r="A3" s="13" t="s">
        <v>2</v>
      </c>
      <c r="B3" s="10"/>
      <c r="L3" s="4"/>
      <c r="M3" s="4"/>
      <c r="N3" s="4"/>
      <c r="O3" s="4"/>
      <c r="P3" s="4"/>
      <c r="Q3" s="4"/>
      <c r="R3" s="4"/>
      <c r="S3" s="4"/>
      <c r="T3" s="4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O3" s="6"/>
      <c r="AP3" s="6"/>
      <c r="AQ3" s="6"/>
      <c r="AR3" s="6"/>
      <c r="AS3" s="12"/>
      <c r="AT3" s="12"/>
      <c r="AU3" s="12"/>
      <c r="AV3" s="6"/>
      <c r="AW3" s="6"/>
      <c r="AY3" s="4"/>
      <c r="AZ3" s="4"/>
      <c r="BA3" s="4"/>
      <c r="BB3" s="4"/>
      <c r="BC3" s="4"/>
      <c r="BF3" s="5"/>
      <c r="BG3" s="5"/>
      <c r="BH3" s="5"/>
      <c r="BI3" s="5"/>
      <c r="BJ3" s="5"/>
      <c r="BK3" s="5"/>
      <c r="BL3" s="5"/>
    </row>
    <row r="4" spans="1:64" s="11" customFormat="1" x14ac:dyDescent="0.3">
      <c r="A4" s="14" t="s">
        <v>3</v>
      </c>
      <c r="B4" s="15"/>
      <c r="C4" s="16"/>
      <c r="D4" s="16"/>
      <c r="E4" s="16"/>
      <c r="F4" s="16"/>
      <c r="G4" s="16"/>
      <c r="L4" s="4"/>
      <c r="M4" s="4"/>
      <c r="N4" s="4"/>
      <c r="O4" s="4"/>
      <c r="P4" s="4"/>
      <c r="Q4" s="4"/>
      <c r="R4" s="4"/>
      <c r="S4" s="4"/>
      <c r="T4" s="4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O4" s="6"/>
      <c r="AP4" s="6"/>
      <c r="AQ4" s="6"/>
      <c r="AR4" s="6"/>
      <c r="AS4" s="12"/>
      <c r="AT4" s="12"/>
      <c r="AU4" s="12"/>
      <c r="AV4" s="6"/>
      <c r="AW4" s="6"/>
      <c r="AY4" s="4"/>
      <c r="AZ4" s="4"/>
      <c r="BA4" s="4"/>
      <c r="BB4" s="4"/>
      <c r="BC4" s="4"/>
      <c r="BF4" s="5"/>
      <c r="BG4" s="5"/>
      <c r="BH4" s="5"/>
      <c r="BI4" s="5"/>
      <c r="BJ4" s="5"/>
      <c r="BK4" s="5"/>
      <c r="BL4" s="5"/>
    </row>
    <row r="5" spans="1:64" s="11" customFormat="1" ht="17.25" thickBot="1" x14ac:dyDescent="0.35">
      <c r="A5" s="17"/>
      <c r="B5" s="10"/>
      <c r="L5" s="4"/>
      <c r="M5" s="4"/>
      <c r="N5" s="4"/>
      <c r="O5" s="4"/>
      <c r="P5" s="4"/>
      <c r="Q5" s="4"/>
      <c r="R5" s="4"/>
      <c r="S5" s="4"/>
      <c r="T5" s="4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O5" s="6"/>
      <c r="AP5" s="6"/>
      <c r="AQ5" s="6"/>
      <c r="AR5" s="6"/>
      <c r="AS5" s="12"/>
      <c r="AT5" s="12"/>
      <c r="AU5" s="12"/>
      <c r="AV5" s="6"/>
      <c r="AW5" s="6"/>
      <c r="AY5" s="4"/>
      <c r="AZ5" s="4"/>
      <c r="BA5" s="4"/>
      <c r="BB5" s="4"/>
      <c r="BC5" s="4"/>
      <c r="BF5" s="5"/>
      <c r="BG5" s="5"/>
      <c r="BH5" s="5"/>
      <c r="BI5" s="5"/>
      <c r="BJ5" s="5"/>
      <c r="BK5" s="5"/>
      <c r="BL5" s="5"/>
    </row>
    <row r="6" spans="1:64" s="11" customFormat="1" ht="17.25" customHeight="1" thickBot="1" x14ac:dyDescent="0.35">
      <c r="A6" s="18" t="s">
        <v>4</v>
      </c>
      <c r="B6" s="19"/>
      <c r="C6" s="20" t="s">
        <v>5</v>
      </c>
      <c r="D6" s="21"/>
      <c r="E6" s="21"/>
      <c r="F6" s="21"/>
      <c r="G6" s="21"/>
      <c r="H6" s="21"/>
      <c r="I6" s="21"/>
      <c r="J6" s="21"/>
      <c r="K6" s="21"/>
      <c r="L6" s="22" t="s">
        <v>6</v>
      </c>
      <c r="M6" s="23"/>
      <c r="N6" s="23"/>
      <c r="O6" s="23"/>
      <c r="P6" s="23"/>
      <c r="Q6" s="23"/>
      <c r="R6" s="23"/>
      <c r="S6" s="23"/>
      <c r="T6" s="23"/>
      <c r="U6" s="24" t="s">
        <v>7</v>
      </c>
      <c r="V6" s="25"/>
      <c r="W6" s="25"/>
      <c r="X6" s="25"/>
      <c r="Y6" s="25"/>
      <c r="Z6" s="25"/>
      <c r="AA6" s="25"/>
      <c r="AB6" s="25"/>
      <c r="AC6" s="25"/>
      <c r="AD6" s="26" t="s">
        <v>8</v>
      </c>
      <c r="AE6" s="25"/>
      <c r="AF6" s="25"/>
      <c r="AG6" s="25"/>
      <c r="AH6" s="25"/>
      <c r="AI6" s="25"/>
      <c r="AJ6" s="25"/>
      <c r="AK6" s="25"/>
      <c r="AL6" s="25"/>
      <c r="AM6" s="26" t="s">
        <v>9</v>
      </c>
      <c r="AN6" s="24" t="s">
        <v>10</v>
      </c>
      <c r="AO6" s="27" t="s">
        <v>11</v>
      </c>
      <c r="AP6" s="28" t="s">
        <v>12</v>
      </c>
      <c r="AQ6" s="29" t="s">
        <v>13</v>
      </c>
      <c r="AR6" s="29" t="s">
        <v>14</v>
      </c>
      <c r="AS6" s="30" t="s">
        <v>15</v>
      </c>
      <c r="AT6" s="27" t="s">
        <v>16</v>
      </c>
      <c r="AU6" s="28" t="s">
        <v>17</v>
      </c>
      <c r="AV6" s="29" t="s">
        <v>18</v>
      </c>
      <c r="AW6" s="29" t="s">
        <v>19</v>
      </c>
      <c r="AX6" s="31" t="s">
        <v>20</v>
      </c>
      <c r="AY6" s="32" t="s">
        <v>21</v>
      </c>
      <c r="AZ6" s="33" t="s">
        <v>22</v>
      </c>
      <c r="BA6" s="34"/>
      <c r="BB6" s="34"/>
      <c r="BC6" s="34"/>
      <c r="BD6" s="25" t="s">
        <v>23</v>
      </c>
      <c r="BE6" s="35" t="s">
        <v>24</v>
      </c>
      <c r="BF6" s="24" t="s">
        <v>25</v>
      </c>
      <c r="BG6" s="26" t="s">
        <v>107</v>
      </c>
      <c r="BH6" s="26" t="s">
        <v>108</v>
      </c>
      <c r="BI6" s="26" t="s">
        <v>28</v>
      </c>
      <c r="BJ6" s="26" t="s">
        <v>29</v>
      </c>
      <c r="BK6" s="26" t="s">
        <v>30</v>
      </c>
      <c r="BL6" s="36" t="s">
        <v>31</v>
      </c>
    </row>
    <row r="7" spans="1:64" s="62" customFormat="1" ht="35.25" thickBot="1" x14ac:dyDescent="0.35">
      <c r="A7" s="37"/>
      <c r="B7" s="38"/>
      <c r="C7" s="39" t="s">
        <v>32</v>
      </c>
      <c r="D7" s="40" t="s">
        <v>33</v>
      </c>
      <c r="E7" s="41" t="s">
        <v>34</v>
      </c>
      <c r="F7" s="41" t="s">
        <v>35</v>
      </c>
      <c r="G7" s="41" t="s">
        <v>36</v>
      </c>
      <c r="H7" s="41" t="s">
        <v>37</v>
      </c>
      <c r="I7" s="41" t="s">
        <v>38</v>
      </c>
      <c r="J7" s="41" t="s">
        <v>39</v>
      </c>
      <c r="K7" s="41" t="s">
        <v>40</v>
      </c>
      <c r="L7" s="42" t="s">
        <v>41</v>
      </c>
      <c r="M7" s="43" t="s">
        <v>33</v>
      </c>
      <c r="N7" s="44" t="s">
        <v>34</v>
      </c>
      <c r="O7" s="44" t="s">
        <v>35</v>
      </c>
      <c r="P7" s="44" t="s">
        <v>36</v>
      </c>
      <c r="Q7" s="44" t="s">
        <v>37</v>
      </c>
      <c r="R7" s="44" t="s">
        <v>38</v>
      </c>
      <c r="S7" s="44" t="s">
        <v>39</v>
      </c>
      <c r="T7" s="45" t="s">
        <v>40</v>
      </c>
      <c r="U7" s="46" t="s">
        <v>42</v>
      </c>
      <c r="V7" s="47" t="s">
        <v>33</v>
      </c>
      <c r="W7" s="48" t="s">
        <v>34</v>
      </c>
      <c r="X7" s="48" t="s">
        <v>35</v>
      </c>
      <c r="Y7" s="48" t="s">
        <v>36</v>
      </c>
      <c r="Z7" s="48" t="s">
        <v>37</v>
      </c>
      <c r="AA7" s="48" t="s">
        <v>38</v>
      </c>
      <c r="AB7" s="48" t="s">
        <v>39</v>
      </c>
      <c r="AC7" s="48" t="s">
        <v>40</v>
      </c>
      <c r="AD7" s="46" t="s">
        <v>43</v>
      </c>
      <c r="AE7" s="47" t="s">
        <v>33</v>
      </c>
      <c r="AF7" s="48" t="s">
        <v>34</v>
      </c>
      <c r="AG7" s="48" t="s">
        <v>35</v>
      </c>
      <c r="AH7" s="48" t="s">
        <v>36</v>
      </c>
      <c r="AI7" s="48" t="s">
        <v>37</v>
      </c>
      <c r="AJ7" s="48" t="s">
        <v>38</v>
      </c>
      <c r="AK7" s="48" t="s">
        <v>39</v>
      </c>
      <c r="AL7" s="48" t="s">
        <v>40</v>
      </c>
      <c r="AM7" s="49"/>
      <c r="AN7" s="50"/>
      <c r="AO7" s="51"/>
      <c r="AP7" s="52"/>
      <c r="AQ7" s="53"/>
      <c r="AR7" s="53"/>
      <c r="AS7" s="54"/>
      <c r="AT7" s="51"/>
      <c r="AU7" s="52"/>
      <c r="AV7" s="53"/>
      <c r="AW7" s="53"/>
      <c r="AX7" s="55"/>
      <c r="AY7" s="56"/>
      <c r="AZ7" s="57" t="s">
        <v>44</v>
      </c>
      <c r="BA7" s="57" t="s">
        <v>45</v>
      </c>
      <c r="BB7" s="57" t="s">
        <v>46</v>
      </c>
      <c r="BC7" s="58" t="s">
        <v>47</v>
      </c>
      <c r="BD7" s="59"/>
      <c r="BE7" s="60"/>
      <c r="BF7" s="50"/>
      <c r="BG7" s="49"/>
      <c r="BH7" s="49"/>
      <c r="BI7" s="49"/>
      <c r="BJ7" s="49"/>
      <c r="BK7" s="49"/>
      <c r="BL7" s="61"/>
    </row>
    <row r="8" spans="1:64" x14ac:dyDescent="0.3">
      <c r="A8" s="63" t="s">
        <v>48</v>
      </c>
      <c r="B8" s="64"/>
      <c r="C8" s="65">
        <f t="shared" ref="C8:BL8" si="0">SUBTOTAL(4,C17:C426)</f>
        <v>41.7</v>
      </c>
      <c r="D8" s="66">
        <f t="shared" si="0"/>
        <v>40.1</v>
      </c>
      <c r="E8" s="66">
        <f t="shared" si="0"/>
        <v>41.7</v>
      </c>
      <c r="F8" s="66">
        <f t="shared" si="0"/>
        <v>0</v>
      </c>
      <c r="G8" s="66">
        <f t="shared" si="0"/>
        <v>0</v>
      </c>
      <c r="H8" s="66">
        <f t="shared" si="0"/>
        <v>0</v>
      </c>
      <c r="I8" s="66">
        <f t="shared" si="0"/>
        <v>0</v>
      </c>
      <c r="J8" s="66">
        <f t="shared" si="0"/>
        <v>0</v>
      </c>
      <c r="K8" s="66">
        <f t="shared" si="0"/>
        <v>0</v>
      </c>
      <c r="L8" s="67">
        <f t="shared" si="0"/>
        <v>9.1</v>
      </c>
      <c r="M8" s="68">
        <f t="shared" si="0"/>
        <v>9.0500000000000007</v>
      </c>
      <c r="N8" s="68">
        <f t="shared" si="0"/>
        <v>9.08</v>
      </c>
      <c r="O8" s="68">
        <f t="shared" si="0"/>
        <v>0</v>
      </c>
      <c r="P8" s="68">
        <f t="shared" si="0"/>
        <v>0</v>
      </c>
      <c r="Q8" s="68">
        <f t="shared" si="0"/>
        <v>0</v>
      </c>
      <c r="R8" s="68">
        <f t="shared" si="0"/>
        <v>0</v>
      </c>
      <c r="S8" s="68">
        <f t="shared" si="0"/>
        <v>0</v>
      </c>
      <c r="T8" s="68">
        <f t="shared" si="0"/>
        <v>0</v>
      </c>
      <c r="U8" s="69">
        <f t="shared" si="0"/>
        <v>3670.9</v>
      </c>
      <c r="V8" s="70">
        <f t="shared" si="0"/>
        <v>3719.5</v>
      </c>
      <c r="W8" s="70">
        <f t="shared" si="0"/>
        <v>3622.2</v>
      </c>
      <c r="X8" s="70">
        <f t="shared" si="0"/>
        <v>0</v>
      </c>
      <c r="Y8" s="70">
        <f t="shared" si="0"/>
        <v>0</v>
      </c>
      <c r="Z8" s="70">
        <f t="shared" si="0"/>
        <v>0</v>
      </c>
      <c r="AA8" s="70">
        <f t="shared" si="0"/>
        <v>0</v>
      </c>
      <c r="AB8" s="70">
        <f t="shared" si="0"/>
        <v>0</v>
      </c>
      <c r="AC8" s="70">
        <f t="shared" si="0"/>
        <v>0</v>
      </c>
      <c r="AD8" s="69">
        <f t="shared" si="0"/>
        <v>20555</v>
      </c>
      <c r="AE8" s="70">
        <f t="shared" si="0"/>
        <v>19910</v>
      </c>
      <c r="AF8" s="70">
        <f t="shared" si="0"/>
        <v>22530</v>
      </c>
      <c r="AG8" s="70">
        <f t="shared" si="0"/>
        <v>0</v>
      </c>
      <c r="AH8" s="70">
        <f t="shared" si="0"/>
        <v>0</v>
      </c>
      <c r="AI8" s="70">
        <f t="shared" si="0"/>
        <v>0</v>
      </c>
      <c r="AJ8" s="70">
        <f t="shared" si="0"/>
        <v>0</v>
      </c>
      <c r="AK8" s="70">
        <f t="shared" si="0"/>
        <v>0</v>
      </c>
      <c r="AL8" s="70">
        <f t="shared" si="0"/>
        <v>0</v>
      </c>
      <c r="AM8" s="70">
        <f t="shared" si="0"/>
        <v>149.3198354950965</v>
      </c>
      <c r="AN8" s="70">
        <f t="shared" si="0"/>
        <v>160</v>
      </c>
      <c r="AO8" s="71">
        <f t="shared" si="0"/>
        <v>25.8</v>
      </c>
      <c r="AP8" s="72">
        <f t="shared" si="0"/>
        <v>20.8</v>
      </c>
      <c r="AQ8" s="73">
        <f t="shared" si="0"/>
        <v>90.055248618784518</v>
      </c>
      <c r="AR8" s="73">
        <f t="shared" si="0"/>
        <v>100</v>
      </c>
      <c r="AS8" s="74">
        <f t="shared" si="0"/>
        <v>0</v>
      </c>
      <c r="AT8" s="75">
        <f t="shared" si="0"/>
        <v>16.5</v>
      </c>
      <c r="AU8" s="76">
        <f t="shared" si="0"/>
        <v>10.25</v>
      </c>
      <c r="AV8" s="73">
        <f t="shared" si="0"/>
        <v>65.862068965517253</v>
      </c>
      <c r="AW8" s="73">
        <f t="shared" si="0"/>
        <v>100</v>
      </c>
      <c r="AX8" s="65">
        <f t="shared" si="0"/>
        <v>85.255540479421072</v>
      </c>
      <c r="AY8" s="77">
        <f t="shared" si="0"/>
        <v>79.150000000000006</v>
      </c>
      <c r="AZ8" s="78">
        <f t="shared" si="0"/>
        <v>65.055000000000007</v>
      </c>
      <c r="BA8" s="78">
        <f t="shared" si="0"/>
        <v>0</v>
      </c>
      <c r="BB8" s="78">
        <f t="shared" si="0"/>
        <v>124.5</v>
      </c>
      <c r="BC8" s="78">
        <f t="shared" si="0"/>
        <v>0</v>
      </c>
      <c r="BD8" s="79">
        <f t="shared" si="0"/>
        <v>160</v>
      </c>
      <c r="BE8" s="69">
        <f t="shared" si="0"/>
        <v>14022</v>
      </c>
      <c r="BF8" s="70">
        <f t="shared" si="0"/>
        <v>3135</v>
      </c>
      <c r="BG8" s="80">
        <f t="shared" si="0"/>
        <v>0</v>
      </c>
      <c r="BH8" s="80">
        <f t="shared" si="0"/>
        <v>5672</v>
      </c>
      <c r="BI8" s="80">
        <f t="shared" si="0"/>
        <v>9842</v>
      </c>
      <c r="BJ8" s="80">
        <f t="shared" si="0"/>
        <v>0</v>
      </c>
      <c r="BK8" s="80">
        <f t="shared" si="0"/>
        <v>0</v>
      </c>
      <c r="BL8" s="79">
        <f t="shared" si="0"/>
        <v>0</v>
      </c>
    </row>
    <row r="9" spans="1:64" x14ac:dyDescent="0.3">
      <c r="A9" s="81" t="s">
        <v>49</v>
      </c>
      <c r="B9" s="82"/>
      <c r="C9" s="83">
        <f t="shared" ref="C9:BL9" si="1">SUBTOTAL(5,C17:C426)</f>
        <v>35.5</v>
      </c>
      <c r="D9" s="84">
        <f t="shared" si="1"/>
        <v>35.200000000000003</v>
      </c>
      <c r="E9" s="84">
        <f t="shared" si="1"/>
        <v>35.5</v>
      </c>
      <c r="F9" s="84">
        <f t="shared" si="1"/>
        <v>0</v>
      </c>
      <c r="G9" s="84">
        <f t="shared" si="1"/>
        <v>0</v>
      </c>
      <c r="H9" s="84">
        <f t="shared" si="1"/>
        <v>0</v>
      </c>
      <c r="I9" s="84">
        <f t="shared" si="1"/>
        <v>0</v>
      </c>
      <c r="J9" s="84">
        <f t="shared" si="1"/>
        <v>0</v>
      </c>
      <c r="K9" s="84">
        <f t="shared" si="1"/>
        <v>0</v>
      </c>
      <c r="L9" s="85">
        <f t="shared" si="1"/>
        <v>8</v>
      </c>
      <c r="M9" s="86">
        <f t="shared" si="1"/>
        <v>7.93</v>
      </c>
      <c r="N9" s="86">
        <f t="shared" si="1"/>
        <v>7.94</v>
      </c>
      <c r="O9" s="86">
        <f t="shared" si="1"/>
        <v>0</v>
      </c>
      <c r="P9" s="86">
        <f t="shared" si="1"/>
        <v>0</v>
      </c>
      <c r="Q9" s="86">
        <f t="shared" si="1"/>
        <v>0</v>
      </c>
      <c r="R9" s="86">
        <f t="shared" si="1"/>
        <v>0</v>
      </c>
      <c r="S9" s="86">
        <f t="shared" si="1"/>
        <v>0</v>
      </c>
      <c r="T9" s="86">
        <f t="shared" si="1"/>
        <v>0</v>
      </c>
      <c r="U9" s="87">
        <f t="shared" si="1"/>
        <v>492</v>
      </c>
      <c r="V9" s="88">
        <f t="shared" si="1"/>
        <v>475.8</v>
      </c>
      <c r="W9" s="88">
        <f t="shared" si="1"/>
        <v>508.2</v>
      </c>
      <c r="X9" s="88">
        <f t="shared" si="1"/>
        <v>0</v>
      </c>
      <c r="Y9" s="88">
        <f t="shared" si="1"/>
        <v>0</v>
      </c>
      <c r="Z9" s="88">
        <f t="shared" si="1"/>
        <v>0</v>
      </c>
      <c r="AA9" s="88">
        <f t="shared" si="1"/>
        <v>0</v>
      </c>
      <c r="AB9" s="88">
        <f t="shared" si="1"/>
        <v>0</v>
      </c>
      <c r="AC9" s="88">
        <f t="shared" si="1"/>
        <v>0</v>
      </c>
      <c r="AD9" s="87">
        <f t="shared" si="1"/>
        <v>10400</v>
      </c>
      <c r="AE9" s="88">
        <f t="shared" si="1"/>
        <v>12200</v>
      </c>
      <c r="AF9" s="88">
        <f t="shared" si="1"/>
        <v>7900</v>
      </c>
      <c r="AG9" s="88">
        <f t="shared" si="1"/>
        <v>0</v>
      </c>
      <c r="AH9" s="88">
        <f t="shared" si="1"/>
        <v>0</v>
      </c>
      <c r="AI9" s="88">
        <f t="shared" si="1"/>
        <v>0</v>
      </c>
      <c r="AJ9" s="88">
        <f t="shared" si="1"/>
        <v>0</v>
      </c>
      <c r="AK9" s="88">
        <f t="shared" si="1"/>
        <v>0</v>
      </c>
      <c r="AL9" s="88">
        <f t="shared" si="1"/>
        <v>0</v>
      </c>
      <c r="AM9" s="88">
        <f t="shared" si="1"/>
        <v>29.5</v>
      </c>
      <c r="AN9" s="88">
        <f t="shared" si="1"/>
        <v>0</v>
      </c>
      <c r="AO9" s="89">
        <f t="shared" si="1"/>
        <v>14.4</v>
      </c>
      <c r="AP9" s="90">
        <f t="shared" si="1"/>
        <v>11.1</v>
      </c>
      <c r="AQ9" s="91">
        <f t="shared" si="1"/>
        <v>0</v>
      </c>
      <c r="AR9" s="91">
        <f t="shared" si="1"/>
        <v>9.9447513812154824</v>
      </c>
      <c r="AS9" s="92">
        <f t="shared" si="1"/>
        <v>0</v>
      </c>
      <c r="AT9" s="93">
        <f t="shared" si="1"/>
        <v>12.3</v>
      </c>
      <c r="AU9" s="94">
        <f t="shared" si="1"/>
        <v>1.3169999999999999</v>
      </c>
      <c r="AV9" s="91">
        <f t="shared" si="1"/>
        <v>0</v>
      </c>
      <c r="AW9" s="91">
        <f t="shared" si="1"/>
        <v>34.137931034482747</v>
      </c>
      <c r="AX9" s="83">
        <f t="shared" si="1"/>
        <v>42.636514065085464</v>
      </c>
      <c r="AY9" s="95">
        <f t="shared" si="1"/>
        <v>71.8</v>
      </c>
      <c r="AZ9" s="96">
        <f t="shared" si="1"/>
        <v>57.010000000000005</v>
      </c>
      <c r="BA9" s="96">
        <f t="shared" si="1"/>
        <v>0</v>
      </c>
      <c r="BB9" s="96">
        <f t="shared" si="1"/>
        <v>13</v>
      </c>
      <c r="BC9" s="96">
        <f t="shared" si="1"/>
        <v>0</v>
      </c>
      <c r="BD9" s="97">
        <f t="shared" si="1"/>
        <v>0</v>
      </c>
      <c r="BE9" s="87">
        <f t="shared" si="1"/>
        <v>59</v>
      </c>
      <c r="BF9" s="88">
        <f t="shared" si="1"/>
        <v>0</v>
      </c>
      <c r="BG9" s="98">
        <f t="shared" si="1"/>
        <v>0</v>
      </c>
      <c r="BH9" s="98">
        <f t="shared" si="1"/>
        <v>0</v>
      </c>
      <c r="BI9" s="98">
        <f t="shared" si="1"/>
        <v>0</v>
      </c>
      <c r="BJ9" s="98">
        <f t="shared" si="1"/>
        <v>0</v>
      </c>
      <c r="BK9" s="98">
        <f t="shared" si="1"/>
        <v>0</v>
      </c>
      <c r="BL9" s="97">
        <f t="shared" si="1"/>
        <v>0</v>
      </c>
    </row>
    <row r="10" spans="1:64" x14ac:dyDescent="0.3">
      <c r="A10" s="81" t="s">
        <v>50</v>
      </c>
      <c r="B10" s="82"/>
      <c r="C10" s="83">
        <f t="shared" ref="C10:BL10" si="2">IFERROR(SUBTOTAL(1,C17:C426),"")</f>
        <v>37.688571428571429</v>
      </c>
      <c r="D10" s="84">
        <f t="shared" si="2"/>
        <v>37.426315789473676</v>
      </c>
      <c r="E10" s="84">
        <f t="shared" si="2"/>
        <v>37.807843137254913</v>
      </c>
      <c r="F10" s="84" t="str">
        <f t="shared" si="2"/>
        <v/>
      </c>
      <c r="G10" s="84" t="str">
        <f t="shared" si="2"/>
        <v/>
      </c>
      <c r="H10" s="84" t="str">
        <f t="shared" si="2"/>
        <v/>
      </c>
      <c r="I10" s="84" t="str">
        <f t="shared" si="2"/>
        <v/>
      </c>
      <c r="J10" s="84" t="str">
        <f t="shared" si="2"/>
        <v/>
      </c>
      <c r="K10" s="84" t="str">
        <f t="shared" si="2"/>
        <v/>
      </c>
      <c r="L10" s="85">
        <f t="shared" si="2"/>
        <v>8.1568965517241399</v>
      </c>
      <c r="M10" s="86">
        <f t="shared" si="2"/>
        <v>8.1219298245614038</v>
      </c>
      <c r="N10" s="86">
        <f t="shared" si="2"/>
        <v>8.1810526315789449</v>
      </c>
      <c r="O10" s="86" t="str">
        <f t="shared" si="2"/>
        <v/>
      </c>
      <c r="P10" s="86" t="str">
        <f t="shared" si="2"/>
        <v/>
      </c>
      <c r="Q10" s="86" t="str">
        <f t="shared" si="2"/>
        <v/>
      </c>
      <c r="R10" s="86" t="str">
        <f t="shared" si="2"/>
        <v/>
      </c>
      <c r="S10" s="86" t="str">
        <f t="shared" si="2"/>
        <v/>
      </c>
      <c r="T10" s="86" t="str">
        <f t="shared" si="2"/>
        <v/>
      </c>
      <c r="U10" s="87">
        <f t="shared" si="2"/>
        <v>1275.8586666666667</v>
      </c>
      <c r="V10" s="88">
        <f t="shared" si="2"/>
        <v>1278.2486486486487</v>
      </c>
      <c r="W10" s="88">
        <f t="shared" si="2"/>
        <v>1280.8770270270272</v>
      </c>
      <c r="X10" s="88" t="str">
        <f t="shared" si="2"/>
        <v/>
      </c>
      <c r="Y10" s="88" t="str">
        <f t="shared" si="2"/>
        <v/>
      </c>
      <c r="Z10" s="88" t="str">
        <f t="shared" si="2"/>
        <v/>
      </c>
      <c r="AA10" s="88" t="str">
        <f t="shared" si="2"/>
        <v/>
      </c>
      <c r="AB10" s="88" t="str">
        <f t="shared" si="2"/>
        <v/>
      </c>
      <c r="AC10" s="88" t="str">
        <f t="shared" si="2"/>
        <v/>
      </c>
      <c r="AD10" s="87">
        <f t="shared" si="2"/>
        <v>15438.529411764706</v>
      </c>
      <c r="AE10" s="88">
        <f t="shared" si="2"/>
        <v>15880</v>
      </c>
      <c r="AF10" s="88">
        <f t="shared" si="2"/>
        <v>14997.058823529413</v>
      </c>
      <c r="AG10" s="88" t="str">
        <f t="shared" si="2"/>
        <v/>
      </c>
      <c r="AH10" s="88" t="str">
        <f t="shared" si="2"/>
        <v/>
      </c>
      <c r="AI10" s="88" t="str">
        <f t="shared" si="2"/>
        <v/>
      </c>
      <c r="AJ10" s="88" t="str">
        <f t="shared" si="2"/>
        <v/>
      </c>
      <c r="AK10" s="88" t="str">
        <f t="shared" si="2"/>
        <v/>
      </c>
      <c r="AL10" s="88" t="str">
        <f t="shared" si="2"/>
        <v/>
      </c>
      <c r="AM10" s="88">
        <f t="shared" si="2"/>
        <v>51.616835429959274</v>
      </c>
      <c r="AN10" s="88">
        <f t="shared" si="2"/>
        <v>96.048060109289665</v>
      </c>
      <c r="AO10" s="89">
        <f t="shared" si="2"/>
        <v>19.279591836734696</v>
      </c>
      <c r="AP10" s="90">
        <f t="shared" si="2"/>
        <v>15.770000000000001</v>
      </c>
      <c r="AQ10" s="91">
        <f t="shared" si="2"/>
        <v>78.235969958005825</v>
      </c>
      <c r="AR10" s="91">
        <f t="shared" si="2"/>
        <v>21.764030041994161</v>
      </c>
      <c r="AS10" s="92" t="str">
        <f t="shared" si="2"/>
        <v/>
      </c>
      <c r="AT10" s="93">
        <f t="shared" si="2"/>
        <v>13.979375000000005</v>
      </c>
      <c r="AU10" s="94">
        <f t="shared" si="2"/>
        <v>7.629849358974357</v>
      </c>
      <c r="AV10" s="91">
        <f t="shared" si="2"/>
        <v>53.293300296734046</v>
      </c>
      <c r="AW10" s="91">
        <f t="shared" si="2"/>
        <v>46.706699703265961</v>
      </c>
      <c r="AX10" s="83">
        <f t="shared" si="2"/>
        <v>69.62107677429448</v>
      </c>
      <c r="AY10" s="95">
        <f t="shared" si="2"/>
        <v>75.827906976744188</v>
      </c>
      <c r="AZ10" s="96">
        <f t="shared" si="2"/>
        <v>61.205982905982886</v>
      </c>
      <c r="BA10" s="96" t="str">
        <f t="shared" si="2"/>
        <v/>
      </c>
      <c r="BB10" s="96">
        <f t="shared" si="2"/>
        <v>60.317370689655178</v>
      </c>
      <c r="BC10" s="96" t="str">
        <f t="shared" si="2"/>
        <v/>
      </c>
      <c r="BD10" s="97">
        <f>IFERROR(SUBTOTAL(1,BD17:BD426),"")</f>
        <v>96.048060109289665</v>
      </c>
      <c r="BE10" s="87">
        <f t="shared" si="2"/>
        <v>8163.9088319088323</v>
      </c>
      <c r="BF10" s="88">
        <f t="shared" si="2"/>
        <v>1491.3524590163934</v>
      </c>
      <c r="BG10" s="98">
        <f t="shared" si="2"/>
        <v>0</v>
      </c>
      <c r="BH10" s="98">
        <f t="shared" si="2"/>
        <v>682.67213114754099</v>
      </c>
      <c r="BI10" s="98">
        <f t="shared" si="2"/>
        <v>5655.2978142076499</v>
      </c>
      <c r="BJ10" s="98" t="str">
        <f t="shared" si="2"/>
        <v/>
      </c>
      <c r="BK10" s="98" t="str">
        <f t="shared" si="2"/>
        <v/>
      </c>
      <c r="BL10" s="97" t="str">
        <f t="shared" si="2"/>
        <v/>
      </c>
    </row>
    <row r="11" spans="1:64" ht="17.25" thickBot="1" x14ac:dyDescent="0.35">
      <c r="A11" s="99" t="s">
        <v>51</v>
      </c>
      <c r="B11" s="100"/>
      <c r="C11" s="101"/>
      <c r="D11" s="102"/>
      <c r="E11" s="102"/>
      <c r="F11" s="102"/>
      <c r="G11" s="102"/>
      <c r="H11" s="102"/>
      <c r="I11" s="102"/>
      <c r="J11" s="102"/>
      <c r="K11" s="102"/>
      <c r="L11" s="103"/>
      <c r="M11" s="104"/>
      <c r="N11" s="104"/>
      <c r="O11" s="104"/>
      <c r="P11" s="104"/>
      <c r="Q11" s="104"/>
      <c r="R11" s="104"/>
      <c r="S11" s="104"/>
      <c r="T11" s="104"/>
      <c r="U11" s="105"/>
      <c r="V11" s="106"/>
      <c r="W11" s="106"/>
      <c r="X11" s="106"/>
      <c r="Y11" s="106"/>
      <c r="Z11" s="106"/>
      <c r="AA11" s="106"/>
      <c r="AB11" s="106"/>
      <c r="AC11" s="106"/>
      <c r="AD11" s="105"/>
      <c r="AE11" s="106"/>
      <c r="AF11" s="106"/>
      <c r="AG11" s="106"/>
      <c r="AH11" s="106"/>
      <c r="AI11" s="106"/>
      <c r="AJ11" s="106"/>
      <c r="AK11" s="106"/>
      <c r="AL11" s="106"/>
      <c r="AM11" s="106"/>
      <c r="AN11" s="107">
        <f>SUBTOTAL(9,AN17:AN425)</f>
        <v>34997.42000000002</v>
      </c>
      <c r="AO11" s="108"/>
      <c r="AP11" s="109"/>
      <c r="AQ11" s="110"/>
      <c r="AR11" s="110"/>
      <c r="AS11" s="111">
        <f>SUBTOTAL(9,AS17:AS425)</f>
        <v>0</v>
      </c>
      <c r="AT11" s="112"/>
      <c r="AU11" s="113"/>
      <c r="AV11" s="110"/>
      <c r="AW11" s="110"/>
      <c r="AX11" s="101"/>
      <c r="AY11" s="114"/>
      <c r="AZ11" s="115"/>
      <c r="BA11" s="115"/>
      <c r="BB11" s="115"/>
      <c r="BC11" s="115"/>
      <c r="BD11" s="116">
        <f>SUBTOTAL(9,BD17:BD425)</f>
        <v>34997.42000000002</v>
      </c>
      <c r="BE11" s="117">
        <f t="shared" ref="BE11:BL11" si="3">SUBTOTAL(9,BE17:BE425)</f>
        <v>2854389</v>
      </c>
      <c r="BF11" s="107">
        <f t="shared" si="3"/>
        <v>544234</v>
      </c>
      <c r="BG11" s="118">
        <f t="shared" si="3"/>
        <v>0</v>
      </c>
      <c r="BH11" s="118">
        <f t="shared" si="3"/>
        <v>246897</v>
      </c>
      <c r="BI11" s="118">
        <f t="shared" si="3"/>
        <v>2063258</v>
      </c>
      <c r="BJ11" s="118">
        <f t="shared" si="3"/>
        <v>0</v>
      </c>
      <c r="BK11" s="118">
        <f t="shared" si="3"/>
        <v>0</v>
      </c>
      <c r="BL11" s="116">
        <f t="shared" si="3"/>
        <v>0</v>
      </c>
    </row>
    <row r="12" spans="1:64" ht="17.25" thickBot="1" x14ac:dyDescent="0.35">
      <c r="A12" s="99" t="s">
        <v>52</v>
      </c>
      <c r="B12" s="100"/>
      <c r="C12" s="101"/>
      <c r="D12" s="102"/>
      <c r="E12" s="102"/>
      <c r="F12" s="102"/>
      <c r="G12" s="102"/>
      <c r="H12" s="102"/>
      <c r="I12" s="102"/>
      <c r="J12" s="102"/>
      <c r="K12" s="102"/>
      <c r="L12" s="103"/>
      <c r="M12" s="104"/>
      <c r="N12" s="104"/>
      <c r="O12" s="104"/>
      <c r="P12" s="104"/>
      <c r="Q12" s="104"/>
      <c r="R12" s="104"/>
      <c r="S12" s="104"/>
      <c r="T12" s="104"/>
      <c r="U12" s="105"/>
      <c r="V12" s="106"/>
      <c r="W12" s="106"/>
      <c r="X12" s="106"/>
      <c r="Y12" s="106"/>
      <c r="Z12" s="106"/>
      <c r="AA12" s="106"/>
      <c r="AB12" s="106"/>
      <c r="AC12" s="106"/>
      <c r="AD12" s="105"/>
      <c r="AE12" s="106"/>
      <c r="AF12" s="106"/>
      <c r="AG12" s="106"/>
      <c r="AH12" s="106"/>
      <c r="AI12" s="106"/>
      <c r="AJ12" s="106"/>
      <c r="AK12" s="106"/>
      <c r="AL12" s="106"/>
      <c r="AM12" s="106"/>
      <c r="AN12" s="107">
        <f>IFERROR(SUBTOTAL(9,AN17:AN426)/COUNTA(AN17:AN47,AN52:AN80,AN85:AN115,AN120:AN149,AN154:AN184,AN189:AN218,AN223:AN253,AN258:AN288,AN293:AN322,AN327:AN357,AN362:AN391,AN396:AN426),"")</f>
        <v>96.048060109289665</v>
      </c>
      <c r="AO12" s="108"/>
      <c r="AP12" s="109"/>
      <c r="AQ12" s="110"/>
      <c r="AR12" s="110"/>
      <c r="AS12" s="111" t="str">
        <f>IFERROR(SUBTOTAL(9,AS17:AS426)/COUNTA(AS17:AS47,AS52:AS80,AS85:AS115,AS120:AS149,AS154:AS184,AS189:AS218,AS223:AS253,AS258:AS288,AS293:AS322,AS327:AS357,AS362:AS391,AS396:AS426),"")</f>
        <v/>
      </c>
      <c r="AT12" s="112"/>
      <c r="AU12" s="113"/>
      <c r="AV12" s="110"/>
      <c r="AW12" s="110"/>
      <c r="AX12" s="101"/>
      <c r="AY12" s="114"/>
      <c r="AZ12" s="115"/>
      <c r="BA12" s="115"/>
      <c r="BB12" s="115"/>
      <c r="BC12" s="115"/>
      <c r="BD12" s="116">
        <f>IFERROR(SUBTOTAL(9,BD17:BD426)/COUNTA(BD17:BD47,BD52:BD80,BD85:BD115,BD120:BD149,BD154:BD184,BD189:BD218,BD223:BD253,BD258:BD288,BD293:BD322,BD327:BD357,BD362:BD391,BD396:BD426),"")</f>
        <v>96.048060109289665</v>
      </c>
      <c r="BE12" s="119">
        <f>SUBTOTAL(9,BE17:BE426)/COUNTA(BE17:BE47,BE52:BE80,BE85:BE115,BE120:BE149,BE154:BE184,BE189:BE218,BE223:BE253,BE258:BE288,BE293:BE322,BE327:BE357,BE362:BE391,BE396:BE426)</f>
        <v>7829.3224043715845</v>
      </c>
      <c r="BF12" s="120">
        <f>IFERROR(SUBTOTAL(9,BF17:BF426)/COUNTA(BF17:BF47,BF52:BF80,BF85:BF115,BF120:BF149,BF154:BF184,BF189:BF218,BF223:BF253,BF258:BF288,BF293:BF322,BF327:BF357,BF362:BF391,BF396:BF426),"")</f>
        <v>1491.3524590163934</v>
      </c>
      <c r="BG12" s="121">
        <f t="shared" ref="BG12:BL12" si="4">IFERROR(SUBTOTAL(9,BG17:BG426)/COUNTA(BG17:BG47,BG52:BG80,BG85:BG115,BG120:BG149,BG154:BG184,BG189:BG218,BG223:BG253,BG258:BG288,BG293:BG322,BG327:BG357,BG362:BG391,BG396:BG426),"")</f>
        <v>0</v>
      </c>
      <c r="BH12" s="121">
        <f t="shared" si="4"/>
        <v>682.67213114754099</v>
      </c>
      <c r="BI12" s="121">
        <f t="shared" si="4"/>
        <v>5655.2978142076499</v>
      </c>
      <c r="BJ12" s="121" t="str">
        <f t="shared" si="4"/>
        <v/>
      </c>
      <c r="BK12" s="121" t="str">
        <f t="shared" si="4"/>
        <v/>
      </c>
      <c r="BL12" s="122" t="str">
        <f t="shared" si="4"/>
        <v/>
      </c>
    </row>
    <row r="13" spans="1:64" s="125" customFormat="1" x14ac:dyDescent="0.3">
      <c r="A13" s="123"/>
      <c r="B13" s="123"/>
      <c r="C13" s="124"/>
      <c r="L13" s="126"/>
      <c r="M13" s="127"/>
      <c r="N13" s="127"/>
      <c r="O13" s="127"/>
      <c r="P13" s="127"/>
      <c r="Q13" s="127"/>
      <c r="R13" s="127"/>
      <c r="S13" s="127"/>
      <c r="T13" s="127"/>
      <c r="U13" s="128"/>
      <c r="V13" s="129"/>
      <c r="W13" s="129"/>
      <c r="X13" s="129"/>
      <c r="Y13" s="129"/>
      <c r="Z13" s="129"/>
      <c r="AA13" s="129"/>
      <c r="AB13" s="129"/>
      <c r="AC13" s="129"/>
      <c r="AD13" s="128"/>
      <c r="AE13" s="129"/>
      <c r="AF13" s="129"/>
      <c r="AG13" s="129"/>
      <c r="AH13" s="129"/>
      <c r="AI13" s="129"/>
      <c r="AJ13" s="129"/>
      <c r="AK13" s="129"/>
      <c r="AL13" s="129"/>
      <c r="AM13" s="128"/>
      <c r="AN13" s="124"/>
      <c r="AO13" s="130"/>
      <c r="AP13" s="130"/>
      <c r="AQ13" s="130"/>
      <c r="AR13" s="130"/>
      <c r="AS13" s="131"/>
      <c r="AT13" s="131"/>
      <c r="AU13" s="131"/>
      <c r="AV13" s="130"/>
      <c r="AW13" s="130"/>
      <c r="AY13" s="127"/>
      <c r="AZ13" s="127"/>
      <c r="BA13" s="127"/>
      <c r="BB13" s="127"/>
      <c r="BC13" s="127"/>
      <c r="BD13" s="124"/>
      <c r="BF13" s="129"/>
      <c r="BG13" s="129"/>
      <c r="BH13" s="129"/>
      <c r="BI13" s="129"/>
      <c r="BJ13" s="129"/>
      <c r="BK13" s="129"/>
      <c r="BL13" s="129"/>
    </row>
    <row r="14" spans="1:64" s="125" customFormat="1" ht="17.25" thickBot="1" x14ac:dyDescent="0.35">
      <c r="A14" s="123"/>
      <c r="B14" s="123"/>
      <c r="L14" s="127"/>
      <c r="M14" s="127"/>
      <c r="N14" s="127"/>
      <c r="O14" s="127"/>
      <c r="P14" s="127"/>
      <c r="Q14" s="127"/>
      <c r="R14" s="127"/>
      <c r="S14" s="127"/>
      <c r="T14" s="127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O14" s="130"/>
      <c r="AP14" s="130"/>
      <c r="AQ14" s="130"/>
      <c r="AR14" s="130"/>
      <c r="AS14" s="131"/>
      <c r="AT14" s="131"/>
      <c r="AU14" s="131"/>
      <c r="AV14" s="130"/>
      <c r="AW14" s="130"/>
      <c r="AY14" s="127"/>
      <c r="AZ14" s="127"/>
      <c r="BA14" s="127"/>
      <c r="BB14" s="127"/>
      <c r="BC14" s="127"/>
      <c r="BF14" s="129"/>
      <c r="BG14" s="129"/>
      <c r="BH14" s="129"/>
      <c r="BI14" s="129"/>
      <c r="BJ14" s="129"/>
      <c r="BK14" s="129"/>
      <c r="BL14" s="129"/>
    </row>
    <row r="15" spans="1:64" s="11" customFormat="1" ht="17.25" customHeight="1" thickBot="1" x14ac:dyDescent="0.35">
      <c r="A15" s="132" t="s">
        <v>53</v>
      </c>
      <c r="B15" s="133" t="s">
        <v>54</v>
      </c>
      <c r="C15" s="20" t="s">
        <v>5</v>
      </c>
      <c r="D15" s="21"/>
      <c r="E15" s="21"/>
      <c r="F15" s="21"/>
      <c r="G15" s="21"/>
      <c r="H15" s="21"/>
      <c r="I15" s="21"/>
      <c r="J15" s="21"/>
      <c r="K15" s="21"/>
      <c r="L15" s="22" t="s">
        <v>6</v>
      </c>
      <c r="M15" s="23"/>
      <c r="N15" s="23"/>
      <c r="O15" s="23"/>
      <c r="P15" s="23"/>
      <c r="Q15" s="23"/>
      <c r="R15" s="23"/>
      <c r="S15" s="23"/>
      <c r="T15" s="23"/>
      <c r="U15" s="24" t="s">
        <v>7</v>
      </c>
      <c r="V15" s="25"/>
      <c r="W15" s="25"/>
      <c r="X15" s="25"/>
      <c r="Y15" s="25"/>
      <c r="Z15" s="25"/>
      <c r="AA15" s="25"/>
      <c r="AB15" s="25"/>
      <c r="AC15" s="25"/>
      <c r="AD15" s="26" t="s">
        <v>8</v>
      </c>
      <c r="AE15" s="25"/>
      <c r="AF15" s="25"/>
      <c r="AG15" s="25"/>
      <c r="AH15" s="25"/>
      <c r="AI15" s="25"/>
      <c r="AJ15" s="25"/>
      <c r="AK15" s="25"/>
      <c r="AL15" s="25"/>
      <c r="AM15" s="26" t="s">
        <v>9</v>
      </c>
      <c r="AN15" s="24" t="s">
        <v>10</v>
      </c>
      <c r="AO15" s="27" t="s">
        <v>11</v>
      </c>
      <c r="AP15" s="28" t="s">
        <v>12</v>
      </c>
      <c r="AQ15" s="29" t="s">
        <v>13</v>
      </c>
      <c r="AR15" s="29" t="s">
        <v>14</v>
      </c>
      <c r="AS15" s="30" t="s">
        <v>15</v>
      </c>
      <c r="AT15" s="27" t="s">
        <v>16</v>
      </c>
      <c r="AU15" s="28" t="s">
        <v>17</v>
      </c>
      <c r="AV15" s="29" t="s">
        <v>18</v>
      </c>
      <c r="AW15" s="29" t="s">
        <v>19</v>
      </c>
      <c r="AX15" s="31" t="s">
        <v>20</v>
      </c>
      <c r="AY15" s="32" t="s">
        <v>21</v>
      </c>
      <c r="AZ15" s="33" t="s">
        <v>55</v>
      </c>
      <c r="BA15" s="34"/>
      <c r="BB15" s="34"/>
      <c r="BC15" s="34"/>
      <c r="BD15" s="25" t="s">
        <v>23</v>
      </c>
      <c r="BE15" s="35" t="s">
        <v>24</v>
      </c>
      <c r="BF15" s="24" t="s">
        <v>25</v>
      </c>
      <c r="BG15" s="26" t="s">
        <v>107</v>
      </c>
      <c r="BH15" s="26" t="s">
        <v>108</v>
      </c>
      <c r="BI15" s="26" t="s">
        <v>28</v>
      </c>
      <c r="BJ15" s="26" t="s">
        <v>29</v>
      </c>
      <c r="BK15" s="26" t="s">
        <v>30</v>
      </c>
      <c r="BL15" s="36" t="s">
        <v>31</v>
      </c>
    </row>
    <row r="16" spans="1:64" s="62" customFormat="1" ht="35.25" thickBot="1" x14ac:dyDescent="0.35">
      <c r="A16" s="134"/>
      <c r="B16" s="135"/>
      <c r="C16" s="39" t="s">
        <v>32</v>
      </c>
      <c r="D16" s="40" t="s">
        <v>33</v>
      </c>
      <c r="E16" s="41" t="s">
        <v>34</v>
      </c>
      <c r="F16" s="41" t="s">
        <v>35</v>
      </c>
      <c r="G16" s="41" t="s">
        <v>36</v>
      </c>
      <c r="H16" s="41" t="s">
        <v>37</v>
      </c>
      <c r="I16" s="41" t="s">
        <v>38</v>
      </c>
      <c r="J16" s="41" t="s">
        <v>39</v>
      </c>
      <c r="K16" s="41" t="s">
        <v>40</v>
      </c>
      <c r="L16" s="42" t="s">
        <v>41</v>
      </c>
      <c r="M16" s="43" t="s">
        <v>33</v>
      </c>
      <c r="N16" s="44" t="s">
        <v>34</v>
      </c>
      <c r="O16" s="44" t="s">
        <v>35</v>
      </c>
      <c r="P16" s="44" t="s">
        <v>36</v>
      </c>
      <c r="Q16" s="44" t="s">
        <v>37</v>
      </c>
      <c r="R16" s="44" t="s">
        <v>38</v>
      </c>
      <c r="S16" s="44" t="s">
        <v>39</v>
      </c>
      <c r="T16" s="45" t="s">
        <v>40</v>
      </c>
      <c r="U16" s="46" t="s">
        <v>42</v>
      </c>
      <c r="V16" s="47" t="s">
        <v>33</v>
      </c>
      <c r="W16" s="48" t="s">
        <v>34</v>
      </c>
      <c r="X16" s="48" t="s">
        <v>35</v>
      </c>
      <c r="Y16" s="48" t="s">
        <v>36</v>
      </c>
      <c r="Z16" s="48" t="s">
        <v>37</v>
      </c>
      <c r="AA16" s="48" t="s">
        <v>38</v>
      </c>
      <c r="AB16" s="48" t="s">
        <v>39</v>
      </c>
      <c r="AC16" s="48" t="s">
        <v>40</v>
      </c>
      <c r="AD16" s="46" t="s">
        <v>43</v>
      </c>
      <c r="AE16" s="47" t="s">
        <v>33</v>
      </c>
      <c r="AF16" s="48" t="s">
        <v>34</v>
      </c>
      <c r="AG16" s="48" t="s">
        <v>35</v>
      </c>
      <c r="AH16" s="48" t="s">
        <v>36</v>
      </c>
      <c r="AI16" s="48" t="s">
        <v>37</v>
      </c>
      <c r="AJ16" s="48" t="s">
        <v>38</v>
      </c>
      <c r="AK16" s="48" t="s">
        <v>39</v>
      </c>
      <c r="AL16" s="48" t="s">
        <v>40</v>
      </c>
      <c r="AM16" s="49"/>
      <c r="AN16" s="50"/>
      <c r="AO16" s="51"/>
      <c r="AP16" s="52"/>
      <c r="AQ16" s="53"/>
      <c r="AR16" s="53"/>
      <c r="AS16" s="54"/>
      <c r="AT16" s="51"/>
      <c r="AU16" s="52"/>
      <c r="AV16" s="53"/>
      <c r="AW16" s="53"/>
      <c r="AX16" s="55"/>
      <c r="AY16" s="56"/>
      <c r="AZ16" s="57" t="s">
        <v>44</v>
      </c>
      <c r="BA16" s="57" t="s">
        <v>45</v>
      </c>
      <c r="BB16" s="57" t="s">
        <v>46</v>
      </c>
      <c r="BC16" s="58" t="s">
        <v>47</v>
      </c>
      <c r="BD16" s="59"/>
      <c r="BE16" s="60"/>
      <c r="BF16" s="50"/>
      <c r="BG16" s="49"/>
      <c r="BH16" s="49"/>
      <c r="BI16" s="49"/>
      <c r="BJ16" s="49"/>
      <c r="BK16" s="49"/>
      <c r="BL16" s="61"/>
    </row>
    <row r="17" spans="1:64" outlineLevel="5" x14ac:dyDescent="0.3">
      <c r="A17" s="136">
        <f>MONTH(B17)</f>
        <v>1</v>
      </c>
      <c r="B17" s="137">
        <v>45292</v>
      </c>
      <c r="C17" s="138">
        <f>IFERROR(ROUND(AVERAGE(D17:K17),1),"")</f>
        <v>37.4</v>
      </c>
      <c r="D17" s="183">
        <v>36.700000000000003</v>
      </c>
      <c r="E17" s="183">
        <v>38.1</v>
      </c>
      <c r="F17" s="84"/>
      <c r="G17" s="84"/>
      <c r="H17" s="139"/>
      <c r="I17" s="139"/>
      <c r="J17" s="139"/>
      <c r="K17" s="139"/>
      <c r="L17" s="140" t="str">
        <f>IFERROR(ROUND(AVERAGE(M17:T17),1),"")</f>
        <v/>
      </c>
      <c r="M17" s="184"/>
      <c r="N17" s="184"/>
      <c r="O17" s="86"/>
      <c r="P17" s="86"/>
      <c r="Q17" s="141"/>
      <c r="R17" s="141"/>
      <c r="S17" s="141"/>
      <c r="T17" s="141"/>
      <c r="U17" s="142" t="str">
        <f>IFERROR(ROUND(AVERAGE(V17:AC17),1),"")</f>
        <v/>
      </c>
      <c r="V17" s="143"/>
      <c r="W17" s="143"/>
      <c r="X17" s="143"/>
      <c r="Y17" s="143"/>
      <c r="Z17" s="143"/>
      <c r="AA17" s="143"/>
      <c r="AB17" s="143"/>
      <c r="AC17" s="143"/>
      <c r="AD17" s="142" t="str">
        <f>IFERROR(ROUND(AVERAGE(AE17:AL17),1),"")</f>
        <v/>
      </c>
      <c r="AE17" s="143"/>
      <c r="AF17" s="143"/>
      <c r="AG17" s="143"/>
      <c r="AH17" s="143"/>
      <c r="AI17" s="143"/>
      <c r="AJ17" s="143"/>
      <c r="AK17" s="143"/>
      <c r="AL17" s="143"/>
      <c r="AM17" s="143">
        <v>43.699657439126007</v>
      </c>
      <c r="AN17" s="88">
        <v>108.01</v>
      </c>
      <c r="AO17" s="144"/>
      <c r="AP17" s="145"/>
      <c r="AQ17" s="146" t="str">
        <f>IFERROR(AP17/AO17*100,"")</f>
        <v/>
      </c>
      <c r="AR17" s="146" t="str">
        <f>IFERROR(100-AQ17,"")</f>
        <v/>
      </c>
      <c r="AS17" s="147"/>
      <c r="AT17" s="148"/>
      <c r="AU17" s="149"/>
      <c r="AV17" s="146" t="str">
        <f>IFERROR(AU17/AT17*100,"")</f>
        <v/>
      </c>
      <c r="AW17" s="146" t="str">
        <f>IFERROR(100-AV17,"")</f>
        <v/>
      </c>
      <c r="AX17" s="138" t="str">
        <f>IFERROR((1-((AV17*AR17)/(AW17*AQ17)))*100,"")</f>
        <v/>
      </c>
      <c r="AY17" s="95"/>
      <c r="AZ17" s="150"/>
      <c r="BA17" s="150"/>
      <c r="BB17" s="150"/>
      <c r="BC17" s="150"/>
      <c r="BD17" s="97">
        <v>108.01</v>
      </c>
      <c r="BE17" s="142">
        <f>IF(SUM(BF17:BL17)=0,"",SUM(BF17:BL17))</f>
        <v>8269</v>
      </c>
      <c r="BF17" s="98">
        <v>2271</v>
      </c>
      <c r="BG17" s="98">
        <v>0</v>
      </c>
      <c r="BH17" s="98">
        <v>0</v>
      </c>
      <c r="BI17" s="98">
        <v>5998</v>
      </c>
      <c r="BJ17" s="98"/>
      <c r="BK17" s="98"/>
      <c r="BL17" s="151"/>
    </row>
    <row r="18" spans="1:64" outlineLevel="5" x14ac:dyDescent="0.3">
      <c r="A18" s="152">
        <f t="shared" ref="A18:A90" si="5">MONTH(B18)</f>
        <v>1</v>
      </c>
      <c r="B18" s="153">
        <f>B17+1</f>
        <v>45293</v>
      </c>
      <c r="C18" s="138">
        <f t="shared" ref="C18:C47" si="6">IFERROR(ROUND(AVERAGE(D18:K18),1),"")</f>
        <v>38.700000000000003</v>
      </c>
      <c r="D18" s="183">
        <v>38.6</v>
      </c>
      <c r="E18" s="183">
        <v>38.799999999999997</v>
      </c>
      <c r="F18" s="84"/>
      <c r="G18" s="84"/>
      <c r="H18" s="84"/>
      <c r="I18" s="84"/>
      <c r="J18" s="84"/>
      <c r="K18" s="84"/>
      <c r="L18" s="140">
        <f t="shared" ref="L18:L47" si="7">IFERROR(ROUND(AVERAGE(M18:T18),1),"")</f>
        <v>8.1</v>
      </c>
      <c r="M18" s="184">
        <v>8.09</v>
      </c>
      <c r="N18" s="184">
        <v>8.1300000000000008</v>
      </c>
      <c r="O18" s="86"/>
      <c r="P18" s="86"/>
      <c r="Q18" s="86"/>
      <c r="R18" s="86"/>
      <c r="S18" s="86"/>
      <c r="T18" s="86"/>
      <c r="U18" s="142">
        <f t="shared" ref="U18:U47" si="8">IFERROR(ROUND(AVERAGE(V18:AC18),1),"")</f>
        <v>2178.8000000000002</v>
      </c>
      <c r="V18" s="185">
        <v>2205.8000000000002</v>
      </c>
      <c r="W18" s="185">
        <v>2151.6999999999998</v>
      </c>
      <c r="X18" s="88"/>
      <c r="Y18" s="88"/>
      <c r="Z18" s="88"/>
      <c r="AA18" s="88"/>
      <c r="AB18" s="88"/>
      <c r="AC18" s="88"/>
      <c r="AD18" s="142" t="str">
        <f t="shared" ref="AD18:AD47" si="9">IFERROR(ROUND(AVERAGE(AE18:AL18),1),"")</f>
        <v/>
      </c>
      <c r="AE18" s="88"/>
      <c r="AF18" s="88"/>
      <c r="AG18" s="88"/>
      <c r="AH18" s="88"/>
      <c r="AI18" s="88"/>
      <c r="AJ18" s="88"/>
      <c r="AK18" s="88"/>
      <c r="AL18" s="88"/>
      <c r="AM18" s="143">
        <v>65.729007102074917</v>
      </c>
      <c r="AN18" s="88">
        <v>71.81</v>
      </c>
      <c r="AO18" s="144">
        <v>20.8</v>
      </c>
      <c r="AP18" s="145">
        <v>16.37</v>
      </c>
      <c r="AQ18" s="146">
        <f>IFERROR(AP18/AO18*100,"")</f>
        <v>78.70192307692308</v>
      </c>
      <c r="AR18" s="146">
        <f>IFERROR(100-AQ18,"")</f>
        <v>21.29807692307692</v>
      </c>
      <c r="AS18" s="147"/>
      <c r="AT18" s="148">
        <v>13.8</v>
      </c>
      <c r="AU18" s="149">
        <v>7.8631499999999992</v>
      </c>
      <c r="AV18" s="146">
        <f>IFERROR(AU18/AT18*100,"")</f>
        <v>56.979347826086943</v>
      </c>
      <c r="AW18" s="146">
        <f>IFERROR(100-AV18,"")</f>
        <v>43.020652173913057</v>
      </c>
      <c r="AX18" s="138">
        <f t="shared" ref="AX18:AX47" si="10">IFERROR((1-((AV18*AR18)/(AW18*AQ18)))*100,"")</f>
        <v>64.157728016512493</v>
      </c>
      <c r="AY18" s="95">
        <v>73.8</v>
      </c>
      <c r="AZ18" s="96">
        <v>63.78</v>
      </c>
      <c r="BA18" s="96"/>
      <c r="BB18" s="96">
        <v>64.5</v>
      </c>
      <c r="BC18" s="96"/>
      <c r="BD18" s="97">
        <v>71.81</v>
      </c>
      <c r="BE18" s="142">
        <f t="shared" ref="BE18:BE47" si="11">IF(SUM(BF18:BL18)=0,"",SUM(BF18:BL18))</f>
        <v>6736</v>
      </c>
      <c r="BF18" s="98">
        <v>933</v>
      </c>
      <c r="BG18" s="98">
        <v>0</v>
      </c>
      <c r="BH18" s="98">
        <v>0</v>
      </c>
      <c r="BI18" s="98">
        <v>5803</v>
      </c>
      <c r="BJ18" s="98"/>
      <c r="BK18" s="98"/>
      <c r="BL18" s="97"/>
    </row>
    <row r="19" spans="1:64" outlineLevel="5" x14ac:dyDescent="0.3">
      <c r="A19" s="152">
        <f t="shared" si="5"/>
        <v>1</v>
      </c>
      <c r="B19" s="153">
        <f t="shared" ref="B19:B79" si="12">B18+1</f>
        <v>45294</v>
      </c>
      <c r="C19" s="138">
        <f t="shared" si="6"/>
        <v>38</v>
      </c>
      <c r="D19" s="183">
        <v>38</v>
      </c>
      <c r="E19" s="183">
        <v>38</v>
      </c>
      <c r="F19" s="84"/>
      <c r="G19" s="84"/>
      <c r="H19" s="84"/>
      <c r="I19" s="84"/>
      <c r="J19" s="84"/>
      <c r="K19" s="84"/>
      <c r="L19" s="140" t="str">
        <f t="shared" si="7"/>
        <v/>
      </c>
      <c r="M19" s="184"/>
      <c r="N19" s="184"/>
      <c r="O19" s="86"/>
      <c r="P19" s="86"/>
      <c r="Q19" s="86"/>
      <c r="R19" s="86"/>
      <c r="S19" s="86"/>
      <c r="T19" s="86"/>
      <c r="U19" s="142" t="str">
        <f t="shared" si="8"/>
        <v/>
      </c>
      <c r="V19" s="185"/>
      <c r="W19" s="185"/>
      <c r="X19" s="88"/>
      <c r="Y19" s="88"/>
      <c r="Z19" s="88"/>
      <c r="AA19" s="88"/>
      <c r="AB19" s="88"/>
      <c r="AC19" s="88"/>
      <c r="AD19" s="142" t="str">
        <f t="shared" si="9"/>
        <v/>
      </c>
      <c r="AE19" s="88"/>
      <c r="AF19" s="88"/>
      <c r="AG19" s="88"/>
      <c r="AH19" s="88"/>
      <c r="AI19" s="88"/>
      <c r="AJ19" s="88"/>
      <c r="AK19" s="88"/>
      <c r="AL19" s="88"/>
      <c r="AM19" s="143">
        <v>52.608114132857779</v>
      </c>
      <c r="AN19" s="88">
        <v>89.72</v>
      </c>
      <c r="AO19" s="144"/>
      <c r="AP19" s="145"/>
      <c r="AQ19" s="146" t="str">
        <f>IFERROR(AP19/AO19*100,"")</f>
        <v/>
      </c>
      <c r="AR19" s="146" t="str">
        <f>IFERROR(100-AQ19,"")</f>
        <v/>
      </c>
      <c r="AS19" s="147"/>
      <c r="AT19" s="148"/>
      <c r="AU19" s="149"/>
      <c r="AV19" s="146" t="str">
        <f>IFERROR(AU19/AT19*100,"")</f>
        <v/>
      </c>
      <c r="AW19" s="146" t="str">
        <f>IFERROR(100-AV19,"")</f>
        <v/>
      </c>
      <c r="AX19" s="138" t="str">
        <f t="shared" si="10"/>
        <v/>
      </c>
      <c r="AY19" s="95"/>
      <c r="AZ19" s="96">
        <v>59.45</v>
      </c>
      <c r="BA19" s="96"/>
      <c r="BB19" s="96">
        <v>72.5</v>
      </c>
      <c r="BC19" s="96"/>
      <c r="BD19" s="97">
        <v>89.72</v>
      </c>
      <c r="BE19" s="142">
        <f t="shared" si="11"/>
        <v>6364</v>
      </c>
      <c r="BF19" s="98">
        <v>379</v>
      </c>
      <c r="BG19" s="98">
        <v>0</v>
      </c>
      <c r="BH19" s="98">
        <v>0</v>
      </c>
      <c r="BI19" s="98">
        <v>5985</v>
      </c>
      <c r="BJ19" s="98"/>
      <c r="BK19" s="98"/>
      <c r="BL19" s="97"/>
    </row>
    <row r="20" spans="1:64" outlineLevel="5" x14ac:dyDescent="0.3">
      <c r="A20" s="152">
        <f t="shared" si="5"/>
        <v>1</v>
      </c>
      <c r="B20" s="153">
        <f t="shared" si="12"/>
        <v>45295</v>
      </c>
      <c r="C20" s="138">
        <f t="shared" si="6"/>
        <v>38.200000000000003</v>
      </c>
      <c r="D20" s="183">
        <v>38</v>
      </c>
      <c r="E20" s="183">
        <v>38.299999999999997</v>
      </c>
      <c r="F20" s="84"/>
      <c r="G20" s="84"/>
      <c r="H20" s="84"/>
      <c r="I20" s="84"/>
      <c r="J20" s="84"/>
      <c r="K20" s="84"/>
      <c r="L20" s="140">
        <f t="shared" si="7"/>
        <v>9.1</v>
      </c>
      <c r="M20" s="184">
        <v>9.0500000000000007</v>
      </c>
      <c r="N20" s="184">
        <v>9.08</v>
      </c>
      <c r="O20" s="86"/>
      <c r="P20" s="86"/>
      <c r="Q20" s="86"/>
      <c r="R20" s="86"/>
      <c r="S20" s="86"/>
      <c r="T20" s="86"/>
      <c r="U20" s="142">
        <f t="shared" si="8"/>
        <v>2108.4</v>
      </c>
      <c r="V20" s="185">
        <v>2173.3000000000002</v>
      </c>
      <c r="W20" s="185">
        <v>2043.5</v>
      </c>
      <c r="X20" s="88"/>
      <c r="Y20" s="88"/>
      <c r="Z20" s="88"/>
      <c r="AA20" s="88"/>
      <c r="AB20" s="88"/>
      <c r="AC20" s="88"/>
      <c r="AD20" s="142" t="str">
        <f t="shared" si="9"/>
        <v/>
      </c>
      <c r="AE20" s="88"/>
      <c r="AF20" s="88"/>
      <c r="AG20" s="88"/>
      <c r="AH20" s="88"/>
      <c r="AI20" s="88"/>
      <c r="AJ20" s="88"/>
      <c r="AK20" s="88"/>
      <c r="AL20" s="88"/>
      <c r="AM20" s="143">
        <v>134.39635535307517</v>
      </c>
      <c r="AN20" s="88">
        <v>35.120000000000005</v>
      </c>
      <c r="AO20" s="144"/>
      <c r="AP20" s="145"/>
      <c r="AQ20" s="146" t="str">
        <f>IFERROR(AP20/AO20*100,"")</f>
        <v/>
      </c>
      <c r="AR20" s="146" t="str">
        <f>IFERROR(100-AQ20,"")</f>
        <v/>
      </c>
      <c r="AS20" s="147"/>
      <c r="AT20" s="148">
        <v>13</v>
      </c>
      <c r="AU20" s="149">
        <v>7.1890000000000001</v>
      </c>
      <c r="AV20" s="146">
        <f>IFERROR(AU20/AT20*100,"")</f>
        <v>55.300000000000004</v>
      </c>
      <c r="AW20" s="146">
        <f>IFERROR(100-AV20,"")</f>
        <v>44.699999999999996</v>
      </c>
      <c r="AX20" s="138" t="str">
        <f t="shared" si="10"/>
        <v/>
      </c>
      <c r="AY20" s="95">
        <v>74.75</v>
      </c>
      <c r="AZ20" s="96">
        <v>60.134999999999998</v>
      </c>
      <c r="BA20" s="96"/>
      <c r="BB20" s="96">
        <v>86</v>
      </c>
      <c r="BC20" s="96"/>
      <c r="BD20" s="97">
        <v>35.120000000000005</v>
      </c>
      <c r="BE20" s="142">
        <f t="shared" si="11"/>
        <v>6726</v>
      </c>
      <c r="BF20" s="98">
        <v>715</v>
      </c>
      <c r="BG20" s="98">
        <v>0</v>
      </c>
      <c r="BH20" s="98">
        <v>0</v>
      </c>
      <c r="BI20" s="98">
        <v>6011</v>
      </c>
      <c r="BJ20" s="98"/>
      <c r="BK20" s="98"/>
      <c r="BL20" s="97"/>
    </row>
    <row r="21" spans="1:64" outlineLevel="5" x14ac:dyDescent="0.3">
      <c r="A21" s="152">
        <f t="shared" si="5"/>
        <v>1</v>
      </c>
      <c r="B21" s="153">
        <f t="shared" si="12"/>
        <v>45296</v>
      </c>
      <c r="C21" s="138" t="str">
        <f t="shared" si="6"/>
        <v/>
      </c>
      <c r="D21" s="183"/>
      <c r="E21" s="183"/>
      <c r="F21" s="84"/>
      <c r="G21" s="84"/>
      <c r="H21" s="84"/>
      <c r="I21" s="84"/>
      <c r="J21" s="84"/>
      <c r="K21" s="84"/>
      <c r="L21" s="140" t="str">
        <f t="shared" si="7"/>
        <v/>
      </c>
      <c r="M21" s="184"/>
      <c r="N21" s="184"/>
      <c r="O21" s="86"/>
      <c r="P21" s="86"/>
      <c r="Q21" s="86"/>
      <c r="R21" s="86"/>
      <c r="S21" s="86"/>
      <c r="T21" s="86"/>
      <c r="U21" s="142" t="str">
        <f t="shared" si="8"/>
        <v/>
      </c>
      <c r="V21" s="185"/>
      <c r="W21" s="185"/>
      <c r="X21" s="88"/>
      <c r="Y21" s="88"/>
      <c r="Z21" s="88"/>
      <c r="AA21" s="88"/>
      <c r="AB21" s="88"/>
      <c r="AC21" s="88"/>
      <c r="AD21" s="142" t="str">
        <f t="shared" si="9"/>
        <v/>
      </c>
      <c r="AE21" s="88"/>
      <c r="AF21" s="88"/>
      <c r="AG21" s="88"/>
      <c r="AH21" s="88"/>
      <c r="AI21" s="88"/>
      <c r="AJ21" s="88"/>
      <c r="AK21" s="88"/>
      <c r="AL21" s="88"/>
      <c r="AM21" s="143">
        <v>83.451202263083445</v>
      </c>
      <c r="AN21" s="88">
        <v>56.56</v>
      </c>
      <c r="AO21" s="89"/>
      <c r="AP21" s="90"/>
      <c r="AQ21" s="146" t="str">
        <f t="shared" ref="AQ21:AQ47" si="13">IFERROR(AP21/AO21*100,"")</f>
        <v/>
      </c>
      <c r="AR21" s="146" t="str">
        <f t="shared" ref="AR21:AR47" si="14">IFERROR(100-AQ21,"")</f>
        <v/>
      </c>
      <c r="AS21" s="147"/>
      <c r="AT21" s="93"/>
      <c r="AU21" s="94"/>
      <c r="AV21" s="146" t="str">
        <f t="shared" ref="AV21:AV47" si="15">IFERROR(AU21/AT21*100,"")</f>
        <v/>
      </c>
      <c r="AW21" s="146" t="str">
        <f t="shared" ref="AW21:AW47" si="16">IFERROR(100-AV21,"")</f>
        <v/>
      </c>
      <c r="AX21" s="138" t="str">
        <f t="shared" si="10"/>
        <v/>
      </c>
      <c r="AY21" s="95"/>
      <c r="AZ21" s="96"/>
      <c r="BA21" s="96"/>
      <c r="BB21" s="96"/>
      <c r="BC21" s="96"/>
      <c r="BD21" s="97">
        <v>56.56</v>
      </c>
      <c r="BE21" s="142">
        <f t="shared" si="11"/>
        <v>7035</v>
      </c>
      <c r="BF21" s="98">
        <v>952</v>
      </c>
      <c r="BG21" s="98">
        <v>0</v>
      </c>
      <c r="BH21" s="98">
        <v>0</v>
      </c>
      <c r="BI21" s="98">
        <v>6083</v>
      </c>
      <c r="BJ21" s="98"/>
      <c r="BK21" s="98"/>
      <c r="BL21" s="97"/>
    </row>
    <row r="22" spans="1:64" outlineLevel="5" x14ac:dyDescent="0.3">
      <c r="A22" s="152">
        <f t="shared" si="5"/>
        <v>1</v>
      </c>
      <c r="B22" s="153">
        <f t="shared" si="12"/>
        <v>45297</v>
      </c>
      <c r="C22" s="138" t="str">
        <f t="shared" si="6"/>
        <v/>
      </c>
      <c r="D22" s="183"/>
      <c r="E22" s="183"/>
      <c r="F22" s="84"/>
      <c r="G22" s="84"/>
      <c r="H22" s="84"/>
      <c r="I22" s="84"/>
      <c r="J22" s="84"/>
      <c r="K22" s="84"/>
      <c r="L22" s="140" t="str">
        <f t="shared" si="7"/>
        <v/>
      </c>
      <c r="M22" s="184"/>
      <c r="N22" s="184"/>
      <c r="O22" s="86"/>
      <c r="P22" s="86"/>
      <c r="Q22" s="86"/>
      <c r="R22" s="86"/>
      <c r="S22" s="86"/>
      <c r="T22" s="86"/>
      <c r="U22" s="142" t="str">
        <f t="shared" si="8"/>
        <v/>
      </c>
      <c r="V22" s="185"/>
      <c r="W22" s="185"/>
      <c r="X22" s="88"/>
      <c r="Y22" s="88"/>
      <c r="Z22" s="88"/>
      <c r="AA22" s="88"/>
      <c r="AB22" s="88"/>
      <c r="AC22" s="88"/>
      <c r="AD22" s="142" t="str">
        <f t="shared" si="9"/>
        <v/>
      </c>
      <c r="AE22" s="88"/>
      <c r="AF22" s="88"/>
      <c r="AG22" s="88"/>
      <c r="AH22" s="88"/>
      <c r="AI22" s="88"/>
      <c r="AJ22" s="88"/>
      <c r="AK22" s="88"/>
      <c r="AL22" s="88"/>
      <c r="AM22" s="143">
        <v>46.677215189873415</v>
      </c>
      <c r="AN22" s="88">
        <v>101.12</v>
      </c>
      <c r="AO22" s="89"/>
      <c r="AP22" s="90"/>
      <c r="AQ22" s="146" t="str">
        <f t="shared" si="13"/>
        <v/>
      </c>
      <c r="AR22" s="146" t="str">
        <f t="shared" si="14"/>
        <v/>
      </c>
      <c r="AS22" s="147"/>
      <c r="AT22" s="93"/>
      <c r="AU22" s="94"/>
      <c r="AV22" s="146" t="str">
        <f t="shared" si="15"/>
        <v/>
      </c>
      <c r="AW22" s="146" t="str">
        <f t="shared" si="16"/>
        <v/>
      </c>
      <c r="AX22" s="138" t="str">
        <f t="shared" si="10"/>
        <v/>
      </c>
      <c r="AY22" s="95"/>
      <c r="AZ22" s="96"/>
      <c r="BA22" s="96"/>
      <c r="BB22" s="96"/>
      <c r="BC22" s="96"/>
      <c r="BD22" s="97">
        <v>101.12</v>
      </c>
      <c r="BE22" s="142">
        <f t="shared" si="11"/>
        <v>7123</v>
      </c>
      <c r="BF22" s="98">
        <v>960</v>
      </c>
      <c r="BG22" s="98">
        <v>0</v>
      </c>
      <c r="BH22" s="98">
        <v>0</v>
      </c>
      <c r="BI22" s="98">
        <v>6163</v>
      </c>
      <c r="BJ22" s="98"/>
      <c r="BK22" s="98"/>
      <c r="BL22" s="97"/>
    </row>
    <row r="23" spans="1:64" outlineLevel="5" x14ac:dyDescent="0.3">
      <c r="A23" s="152">
        <f t="shared" si="5"/>
        <v>1</v>
      </c>
      <c r="B23" s="153">
        <f t="shared" si="12"/>
        <v>45298</v>
      </c>
      <c r="C23" s="138" t="str">
        <f t="shared" si="6"/>
        <v/>
      </c>
      <c r="D23" s="183"/>
      <c r="E23" s="183"/>
      <c r="F23" s="84"/>
      <c r="G23" s="84"/>
      <c r="H23" s="84"/>
      <c r="I23" s="84"/>
      <c r="J23" s="84"/>
      <c r="K23" s="84"/>
      <c r="L23" s="140" t="str">
        <f t="shared" si="7"/>
        <v/>
      </c>
      <c r="M23" s="184"/>
      <c r="N23" s="184"/>
      <c r="O23" s="86"/>
      <c r="P23" s="86"/>
      <c r="Q23" s="86"/>
      <c r="R23" s="86"/>
      <c r="S23" s="86"/>
      <c r="T23" s="86"/>
      <c r="U23" s="142" t="str">
        <f t="shared" si="8"/>
        <v/>
      </c>
      <c r="V23" s="185"/>
      <c r="W23" s="185"/>
      <c r="X23" s="88"/>
      <c r="Y23" s="88"/>
      <c r="Z23" s="88"/>
      <c r="AA23" s="88"/>
      <c r="AB23" s="88"/>
      <c r="AC23" s="88"/>
      <c r="AD23" s="142" t="str">
        <f t="shared" si="9"/>
        <v/>
      </c>
      <c r="AE23" s="88"/>
      <c r="AF23" s="88"/>
      <c r="AG23" s="88"/>
      <c r="AH23" s="88"/>
      <c r="AI23" s="88"/>
      <c r="AJ23" s="88"/>
      <c r="AK23" s="88"/>
      <c r="AL23" s="88"/>
      <c r="AM23" s="143">
        <v>44.952380952380949</v>
      </c>
      <c r="AN23" s="88">
        <v>105</v>
      </c>
      <c r="AO23" s="89"/>
      <c r="AP23" s="90"/>
      <c r="AQ23" s="146" t="str">
        <f t="shared" si="13"/>
        <v/>
      </c>
      <c r="AR23" s="146" t="str">
        <f t="shared" si="14"/>
        <v/>
      </c>
      <c r="AS23" s="147"/>
      <c r="AT23" s="93"/>
      <c r="AU23" s="94"/>
      <c r="AV23" s="146" t="str">
        <f t="shared" si="15"/>
        <v/>
      </c>
      <c r="AW23" s="146" t="str">
        <f t="shared" si="16"/>
        <v/>
      </c>
      <c r="AX23" s="138" t="str">
        <f t="shared" si="10"/>
        <v/>
      </c>
      <c r="AY23" s="95"/>
      <c r="AZ23" s="96"/>
      <c r="BA23" s="96"/>
      <c r="BB23" s="96"/>
      <c r="BC23" s="96"/>
      <c r="BD23" s="97">
        <v>105</v>
      </c>
      <c r="BE23" s="142">
        <f t="shared" si="11"/>
        <v>6624</v>
      </c>
      <c r="BF23" s="98">
        <v>943</v>
      </c>
      <c r="BG23" s="98">
        <v>0</v>
      </c>
      <c r="BH23" s="98">
        <v>0</v>
      </c>
      <c r="BI23" s="98">
        <v>5681</v>
      </c>
      <c r="BJ23" s="98"/>
      <c r="BK23" s="98"/>
      <c r="BL23" s="97"/>
    </row>
    <row r="24" spans="1:64" outlineLevel="5" x14ac:dyDescent="0.3">
      <c r="A24" s="152">
        <f t="shared" si="5"/>
        <v>1</v>
      </c>
      <c r="B24" s="153">
        <f t="shared" si="12"/>
        <v>45299</v>
      </c>
      <c r="C24" s="138">
        <f t="shared" si="6"/>
        <v>38</v>
      </c>
      <c r="D24" s="183">
        <v>38</v>
      </c>
      <c r="E24" s="183">
        <v>38</v>
      </c>
      <c r="F24" s="84"/>
      <c r="G24" s="84"/>
      <c r="H24" s="84"/>
      <c r="I24" s="84"/>
      <c r="J24" s="84"/>
      <c r="K24" s="84"/>
      <c r="L24" s="140">
        <f t="shared" si="7"/>
        <v>8.1</v>
      </c>
      <c r="M24" s="184">
        <v>8.1</v>
      </c>
      <c r="N24" s="184">
        <v>8.19</v>
      </c>
      <c r="O24" s="86"/>
      <c r="P24" s="86"/>
      <c r="Q24" s="86"/>
      <c r="R24" s="86"/>
      <c r="S24" s="86"/>
      <c r="T24" s="86"/>
      <c r="U24" s="142">
        <f t="shared" si="8"/>
        <v>2005.7</v>
      </c>
      <c r="V24" s="185">
        <v>2194.9</v>
      </c>
      <c r="W24" s="185">
        <v>1816.5</v>
      </c>
      <c r="X24" s="88"/>
      <c r="Y24" s="88"/>
      <c r="Z24" s="88"/>
      <c r="AA24" s="88"/>
      <c r="AB24" s="88"/>
      <c r="AC24" s="88"/>
      <c r="AD24" s="142" t="str">
        <f t="shared" si="9"/>
        <v/>
      </c>
      <c r="AE24" s="88"/>
      <c r="AF24" s="88"/>
      <c r="AG24" s="88"/>
      <c r="AH24" s="88"/>
      <c r="AI24" s="88"/>
      <c r="AJ24" s="88"/>
      <c r="AK24" s="88"/>
      <c r="AL24" s="88"/>
      <c r="AM24" s="143">
        <v>41.933191186922528</v>
      </c>
      <c r="AN24" s="88">
        <v>112.56</v>
      </c>
      <c r="AO24" s="89">
        <v>18.399999999999999</v>
      </c>
      <c r="AP24" s="90">
        <v>14.1</v>
      </c>
      <c r="AQ24" s="146">
        <f t="shared" si="13"/>
        <v>76.630434782608702</v>
      </c>
      <c r="AR24" s="146">
        <f t="shared" si="14"/>
        <v>23.369565217391298</v>
      </c>
      <c r="AS24" s="147"/>
      <c r="AT24" s="93">
        <v>13.1</v>
      </c>
      <c r="AU24" s="94">
        <v>7.9481999999999999</v>
      </c>
      <c r="AV24" s="146">
        <f t="shared" si="15"/>
        <v>60.673282442748089</v>
      </c>
      <c r="AW24" s="146">
        <f t="shared" si="16"/>
        <v>39.326717557251911</v>
      </c>
      <c r="AX24" s="138">
        <f t="shared" si="10"/>
        <v>52.950053400051075</v>
      </c>
      <c r="AY24" s="95">
        <v>74</v>
      </c>
      <c r="AZ24" s="96"/>
      <c r="BA24" s="96"/>
      <c r="BB24" s="96"/>
      <c r="BC24" s="96"/>
      <c r="BD24" s="97">
        <v>112.56</v>
      </c>
      <c r="BE24" s="142">
        <f t="shared" si="11"/>
        <v>6995</v>
      </c>
      <c r="BF24" s="98">
        <v>978</v>
      </c>
      <c r="BG24" s="98">
        <v>0</v>
      </c>
      <c r="BH24" s="98">
        <v>0</v>
      </c>
      <c r="BI24" s="98">
        <v>6017</v>
      </c>
      <c r="BJ24" s="98"/>
      <c r="BK24" s="98"/>
      <c r="BL24" s="97"/>
    </row>
    <row r="25" spans="1:64" outlineLevel="5" x14ac:dyDescent="0.3">
      <c r="A25" s="152">
        <f t="shared" si="5"/>
        <v>1</v>
      </c>
      <c r="B25" s="153">
        <f t="shared" si="12"/>
        <v>45300</v>
      </c>
      <c r="C25" s="138">
        <f t="shared" si="6"/>
        <v>38</v>
      </c>
      <c r="D25" s="183">
        <v>38</v>
      </c>
      <c r="E25" s="183">
        <v>38</v>
      </c>
      <c r="F25" s="84"/>
      <c r="G25" s="84"/>
      <c r="H25" s="84"/>
      <c r="I25" s="84"/>
      <c r="J25" s="84"/>
      <c r="K25" s="84"/>
      <c r="L25" s="140" t="str">
        <f t="shared" si="7"/>
        <v/>
      </c>
      <c r="M25" s="184"/>
      <c r="N25" s="184"/>
      <c r="O25" s="86"/>
      <c r="P25" s="86"/>
      <c r="Q25" s="86"/>
      <c r="R25" s="86"/>
      <c r="S25" s="86"/>
      <c r="T25" s="86"/>
      <c r="U25" s="142" t="str">
        <f t="shared" si="8"/>
        <v/>
      </c>
      <c r="V25" s="185"/>
      <c r="W25" s="185"/>
      <c r="X25" s="88"/>
      <c r="Y25" s="88"/>
      <c r="Z25" s="88"/>
      <c r="AA25" s="88"/>
      <c r="AB25" s="88"/>
      <c r="AC25" s="88"/>
      <c r="AD25" s="142" t="str">
        <f t="shared" si="9"/>
        <v/>
      </c>
      <c r="AE25" s="88"/>
      <c r="AF25" s="88"/>
      <c r="AG25" s="88"/>
      <c r="AH25" s="88"/>
      <c r="AI25" s="88"/>
      <c r="AJ25" s="88"/>
      <c r="AK25" s="88"/>
      <c r="AL25" s="88"/>
      <c r="AM25" s="143">
        <v>49.815303430079155</v>
      </c>
      <c r="AN25" s="88">
        <v>94.75</v>
      </c>
      <c r="AO25" s="89"/>
      <c r="AP25" s="90"/>
      <c r="AQ25" s="146" t="str">
        <f t="shared" si="13"/>
        <v/>
      </c>
      <c r="AR25" s="146" t="str">
        <f t="shared" si="14"/>
        <v/>
      </c>
      <c r="AS25" s="147"/>
      <c r="AT25" s="93"/>
      <c r="AU25" s="94"/>
      <c r="AV25" s="146" t="str">
        <f t="shared" si="15"/>
        <v/>
      </c>
      <c r="AW25" s="146" t="str">
        <f t="shared" si="16"/>
        <v/>
      </c>
      <c r="AX25" s="138" t="str">
        <f t="shared" si="10"/>
        <v/>
      </c>
      <c r="AY25" s="95"/>
      <c r="AZ25" s="96">
        <v>57.605000000000004</v>
      </c>
      <c r="BA25" s="96"/>
      <c r="BB25" s="96">
        <v>97</v>
      </c>
      <c r="BC25" s="96"/>
      <c r="BD25" s="97">
        <v>94.75</v>
      </c>
      <c r="BE25" s="142">
        <f t="shared" si="11"/>
        <v>7310</v>
      </c>
      <c r="BF25" s="98">
        <v>971</v>
      </c>
      <c r="BG25" s="98">
        <v>0</v>
      </c>
      <c r="BH25" s="98">
        <v>0</v>
      </c>
      <c r="BI25" s="98">
        <v>6339</v>
      </c>
      <c r="BJ25" s="98"/>
      <c r="BK25" s="98"/>
      <c r="BL25" s="97"/>
    </row>
    <row r="26" spans="1:64" outlineLevel="5" x14ac:dyDescent="0.3">
      <c r="A26" s="152">
        <f t="shared" si="5"/>
        <v>1</v>
      </c>
      <c r="B26" s="153">
        <f t="shared" si="12"/>
        <v>45301</v>
      </c>
      <c r="C26" s="138">
        <f t="shared" si="6"/>
        <v>38</v>
      </c>
      <c r="D26" s="183">
        <v>38.1</v>
      </c>
      <c r="E26" s="183">
        <v>37.799999999999997</v>
      </c>
      <c r="F26" s="84"/>
      <c r="G26" s="84"/>
      <c r="H26" s="84"/>
      <c r="I26" s="84"/>
      <c r="J26" s="84"/>
      <c r="K26" s="84"/>
      <c r="L26" s="140">
        <f t="shared" si="7"/>
        <v>8.1</v>
      </c>
      <c r="M26" s="184">
        <v>8.11</v>
      </c>
      <c r="N26" s="184">
        <v>8.14</v>
      </c>
      <c r="O26" s="86"/>
      <c r="P26" s="86"/>
      <c r="Q26" s="86"/>
      <c r="R26" s="86"/>
      <c r="S26" s="86"/>
      <c r="T26" s="86"/>
      <c r="U26" s="142">
        <f t="shared" si="8"/>
        <v>1967.9</v>
      </c>
      <c r="V26" s="185">
        <v>2140.9</v>
      </c>
      <c r="W26" s="185">
        <v>1794.9</v>
      </c>
      <c r="X26" s="88"/>
      <c r="Y26" s="88"/>
      <c r="Z26" s="88"/>
      <c r="AA26" s="88"/>
      <c r="AB26" s="88"/>
      <c r="AC26" s="88"/>
      <c r="AD26" s="142" t="str">
        <f t="shared" si="9"/>
        <v/>
      </c>
      <c r="AE26" s="88"/>
      <c r="AF26" s="88"/>
      <c r="AG26" s="88"/>
      <c r="AH26" s="88"/>
      <c r="AI26" s="88"/>
      <c r="AJ26" s="88"/>
      <c r="AK26" s="88"/>
      <c r="AL26" s="88"/>
      <c r="AM26" s="143">
        <v>47.590239967735428</v>
      </c>
      <c r="AN26" s="88">
        <v>99.18</v>
      </c>
      <c r="AO26" s="89">
        <v>20</v>
      </c>
      <c r="AP26" s="90">
        <v>17.7</v>
      </c>
      <c r="AQ26" s="146">
        <f t="shared" si="13"/>
        <v>88.5</v>
      </c>
      <c r="AR26" s="146">
        <f t="shared" si="14"/>
        <v>11.5</v>
      </c>
      <c r="AS26" s="147"/>
      <c r="AT26" s="93">
        <v>13.6</v>
      </c>
      <c r="AU26" s="94">
        <v>7.7179999999999991</v>
      </c>
      <c r="AV26" s="146">
        <f t="shared" si="15"/>
        <v>56.749999999999986</v>
      </c>
      <c r="AW26" s="146">
        <f t="shared" si="16"/>
        <v>43.250000000000014</v>
      </c>
      <c r="AX26" s="138">
        <f t="shared" si="10"/>
        <v>82.949609744946287</v>
      </c>
      <c r="AY26" s="95">
        <v>77</v>
      </c>
      <c r="AZ26" s="96">
        <v>60.46</v>
      </c>
      <c r="BA26" s="96"/>
      <c r="BB26" s="96">
        <v>38.805</v>
      </c>
      <c r="BC26" s="96"/>
      <c r="BD26" s="97">
        <v>99.18</v>
      </c>
      <c r="BE26" s="142">
        <f t="shared" si="11"/>
        <v>6673</v>
      </c>
      <c r="BF26" s="98">
        <v>739</v>
      </c>
      <c r="BG26" s="98">
        <v>0</v>
      </c>
      <c r="BH26" s="98">
        <v>0</v>
      </c>
      <c r="BI26" s="98">
        <v>5934</v>
      </c>
      <c r="BJ26" s="98"/>
      <c r="BK26" s="98"/>
      <c r="BL26" s="97"/>
    </row>
    <row r="27" spans="1:64" outlineLevel="5" x14ac:dyDescent="0.3">
      <c r="A27" s="152">
        <f t="shared" si="5"/>
        <v>1</v>
      </c>
      <c r="B27" s="153">
        <f t="shared" si="12"/>
        <v>45302</v>
      </c>
      <c r="C27" s="138">
        <f t="shared" si="6"/>
        <v>37.5</v>
      </c>
      <c r="D27" s="183">
        <v>37.4</v>
      </c>
      <c r="E27" s="183">
        <v>37.5</v>
      </c>
      <c r="F27" s="84"/>
      <c r="G27" s="84"/>
      <c r="H27" s="84"/>
      <c r="I27" s="84"/>
      <c r="J27" s="84"/>
      <c r="K27" s="84"/>
      <c r="L27" s="140">
        <f t="shared" si="7"/>
        <v>8.1</v>
      </c>
      <c r="M27" s="184">
        <v>8.08</v>
      </c>
      <c r="N27" s="184">
        <v>8.11</v>
      </c>
      <c r="O27" s="86"/>
      <c r="P27" s="86"/>
      <c r="Q27" s="86"/>
      <c r="R27" s="86"/>
      <c r="S27" s="86"/>
      <c r="T27" s="86"/>
      <c r="U27" s="142">
        <f t="shared" si="8"/>
        <v>1843.6</v>
      </c>
      <c r="V27" s="185">
        <v>1913.8</v>
      </c>
      <c r="W27" s="185">
        <v>1773.3</v>
      </c>
      <c r="X27" s="88"/>
      <c r="Y27" s="88"/>
      <c r="Z27" s="88"/>
      <c r="AA27" s="88"/>
      <c r="AB27" s="88"/>
      <c r="AC27" s="88"/>
      <c r="AD27" s="142" t="str">
        <f t="shared" si="9"/>
        <v/>
      </c>
      <c r="AE27" s="88"/>
      <c r="AF27" s="88"/>
      <c r="AG27" s="88"/>
      <c r="AH27" s="88"/>
      <c r="AI27" s="88"/>
      <c r="AJ27" s="88"/>
      <c r="AK27" s="88"/>
      <c r="AL27" s="88"/>
      <c r="AM27" s="143">
        <v>51.170858629661744</v>
      </c>
      <c r="AN27" s="88">
        <v>92.240000000000009</v>
      </c>
      <c r="AO27" s="89"/>
      <c r="AP27" s="90"/>
      <c r="AQ27" s="146" t="str">
        <f t="shared" si="13"/>
        <v/>
      </c>
      <c r="AR27" s="146" t="str">
        <f t="shared" si="14"/>
        <v/>
      </c>
      <c r="AS27" s="147"/>
      <c r="AT27" s="93">
        <v>13.45</v>
      </c>
      <c r="AU27" s="94">
        <v>7.2070499999999997</v>
      </c>
      <c r="AV27" s="146">
        <f t="shared" si="15"/>
        <v>53.584014869888478</v>
      </c>
      <c r="AW27" s="146">
        <f t="shared" si="16"/>
        <v>46.415985130111522</v>
      </c>
      <c r="AX27" s="138" t="str">
        <f t="shared" si="10"/>
        <v/>
      </c>
      <c r="AY27" s="95">
        <v>77.3</v>
      </c>
      <c r="AZ27" s="96">
        <v>60.81</v>
      </c>
      <c r="BA27" s="96"/>
      <c r="BB27" s="96">
        <v>38.745000000000005</v>
      </c>
      <c r="BC27" s="96"/>
      <c r="BD27" s="97">
        <v>92.240000000000009</v>
      </c>
      <c r="BE27" s="142">
        <f t="shared" si="11"/>
        <v>6484</v>
      </c>
      <c r="BF27" s="98">
        <v>639</v>
      </c>
      <c r="BG27" s="98">
        <v>0</v>
      </c>
      <c r="BH27" s="98">
        <v>0</v>
      </c>
      <c r="BI27" s="98">
        <v>5845</v>
      </c>
      <c r="BJ27" s="98"/>
      <c r="BK27" s="98"/>
      <c r="BL27" s="97"/>
    </row>
    <row r="28" spans="1:64" outlineLevel="5" x14ac:dyDescent="0.3">
      <c r="A28" s="152">
        <f t="shared" si="5"/>
        <v>1</v>
      </c>
      <c r="B28" s="153">
        <f t="shared" si="12"/>
        <v>45303</v>
      </c>
      <c r="C28" s="138" t="str">
        <f t="shared" si="6"/>
        <v/>
      </c>
      <c r="D28" s="183"/>
      <c r="E28" s="183"/>
      <c r="F28" s="84"/>
      <c r="G28" s="84"/>
      <c r="H28" s="84"/>
      <c r="I28" s="84"/>
      <c r="J28" s="84"/>
      <c r="K28" s="84"/>
      <c r="L28" s="140" t="str">
        <f t="shared" si="7"/>
        <v/>
      </c>
      <c r="M28" s="184"/>
      <c r="N28" s="184"/>
      <c r="O28" s="86"/>
      <c r="P28" s="86"/>
      <c r="Q28" s="86"/>
      <c r="R28" s="86"/>
      <c r="S28" s="86"/>
      <c r="T28" s="86"/>
      <c r="U28" s="142" t="str">
        <f t="shared" si="8"/>
        <v/>
      </c>
      <c r="V28" s="185"/>
      <c r="W28" s="185"/>
      <c r="X28" s="88"/>
      <c r="Y28" s="88"/>
      <c r="Z28" s="88"/>
      <c r="AA28" s="88"/>
      <c r="AB28" s="88"/>
      <c r="AC28" s="88"/>
      <c r="AD28" s="142" t="str">
        <f t="shared" si="9"/>
        <v/>
      </c>
      <c r="AE28" s="88"/>
      <c r="AF28" s="88"/>
      <c r="AG28" s="88"/>
      <c r="AH28" s="88"/>
      <c r="AI28" s="88"/>
      <c r="AJ28" s="88"/>
      <c r="AK28" s="88"/>
      <c r="AL28" s="88"/>
      <c r="AM28" s="143"/>
      <c r="AN28" s="88">
        <v>16.04</v>
      </c>
      <c r="AO28" s="89"/>
      <c r="AP28" s="90"/>
      <c r="AQ28" s="146" t="str">
        <f t="shared" si="13"/>
        <v/>
      </c>
      <c r="AR28" s="146" t="str">
        <f t="shared" si="14"/>
        <v/>
      </c>
      <c r="AS28" s="147"/>
      <c r="AT28" s="93"/>
      <c r="AU28" s="94"/>
      <c r="AV28" s="146" t="str">
        <f t="shared" si="15"/>
        <v/>
      </c>
      <c r="AW28" s="146" t="str">
        <f t="shared" si="16"/>
        <v/>
      </c>
      <c r="AX28" s="138" t="str">
        <f t="shared" si="10"/>
        <v/>
      </c>
      <c r="AY28" s="95"/>
      <c r="AZ28" s="96">
        <v>60.055</v>
      </c>
      <c r="BA28" s="96"/>
      <c r="BB28" s="96">
        <v>90</v>
      </c>
      <c r="BC28" s="96"/>
      <c r="BD28" s="97">
        <v>16.04</v>
      </c>
      <c r="BE28" s="142">
        <f t="shared" si="11"/>
        <v>7485</v>
      </c>
      <c r="BF28" s="98">
        <v>1420</v>
      </c>
      <c r="BG28" s="98">
        <v>0</v>
      </c>
      <c r="BH28" s="98">
        <v>0</v>
      </c>
      <c r="BI28" s="98">
        <v>6065</v>
      </c>
      <c r="BJ28" s="98"/>
      <c r="BK28" s="98"/>
      <c r="BL28" s="97"/>
    </row>
    <row r="29" spans="1:64" outlineLevel="5" x14ac:dyDescent="0.3">
      <c r="A29" s="152">
        <f t="shared" si="5"/>
        <v>1</v>
      </c>
      <c r="B29" s="153">
        <f t="shared" si="12"/>
        <v>45304</v>
      </c>
      <c r="C29" s="138" t="str">
        <f t="shared" si="6"/>
        <v/>
      </c>
      <c r="D29" s="183"/>
      <c r="E29" s="183"/>
      <c r="F29" s="84"/>
      <c r="G29" s="84"/>
      <c r="H29" s="84"/>
      <c r="I29" s="84"/>
      <c r="J29" s="84"/>
      <c r="K29" s="84"/>
      <c r="L29" s="140" t="str">
        <f t="shared" si="7"/>
        <v/>
      </c>
      <c r="M29" s="184"/>
      <c r="N29" s="184"/>
      <c r="O29" s="86"/>
      <c r="P29" s="86"/>
      <c r="Q29" s="86"/>
      <c r="R29" s="86"/>
      <c r="S29" s="86"/>
      <c r="T29" s="86"/>
      <c r="U29" s="142" t="str">
        <f t="shared" si="8"/>
        <v/>
      </c>
      <c r="V29" s="185"/>
      <c r="W29" s="185"/>
      <c r="X29" s="88"/>
      <c r="Y29" s="88"/>
      <c r="Z29" s="88"/>
      <c r="AA29" s="88"/>
      <c r="AB29" s="88"/>
      <c r="AC29" s="88"/>
      <c r="AD29" s="142" t="str">
        <f t="shared" si="9"/>
        <v/>
      </c>
      <c r="AE29" s="88"/>
      <c r="AF29" s="88"/>
      <c r="AG29" s="88"/>
      <c r="AH29" s="88"/>
      <c r="AI29" s="88"/>
      <c r="AJ29" s="88"/>
      <c r="AK29" s="88"/>
      <c r="AL29" s="88"/>
      <c r="AM29" s="143">
        <v>77.32634338138925</v>
      </c>
      <c r="AN29" s="88">
        <v>61.04</v>
      </c>
      <c r="AO29" s="89"/>
      <c r="AP29" s="90"/>
      <c r="AQ29" s="146" t="str">
        <f t="shared" si="13"/>
        <v/>
      </c>
      <c r="AR29" s="146" t="str">
        <f t="shared" si="14"/>
        <v/>
      </c>
      <c r="AS29" s="147"/>
      <c r="AT29" s="93"/>
      <c r="AU29" s="94"/>
      <c r="AV29" s="146" t="str">
        <f t="shared" si="15"/>
        <v/>
      </c>
      <c r="AW29" s="146" t="str">
        <f t="shared" si="16"/>
        <v/>
      </c>
      <c r="AX29" s="138" t="str">
        <f t="shared" si="10"/>
        <v/>
      </c>
      <c r="AY29" s="95"/>
      <c r="AZ29" s="96"/>
      <c r="BA29" s="96"/>
      <c r="BB29" s="96"/>
      <c r="BC29" s="96"/>
      <c r="BD29" s="97">
        <v>61.04</v>
      </c>
      <c r="BE29" s="142">
        <f t="shared" si="11"/>
        <v>6854</v>
      </c>
      <c r="BF29" s="98">
        <v>893</v>
      </c>
      <c r="BG29" s="98">
        <v>0</v>
      </c>
      <c r="BH29" s="98">
        <v>0</v>
      </c>
      <c r="BI29" s="98">
        <v>5961</v>
      </c>
      <c r="BJ29" s="98"/>
      <c r="BK29" s="98"/>
      <c r="BL29" s="97"/>
    </row>
    <row r="30" spans="1:64" outlineLevel="5" x14ac:dyDescent="0.3">
      <c r="A30" s="152">
        <f t="shared" si="5"/>
        <v>1</v>
      </c>
      <c r="B30" s="153">
        <f t="shared" si="12"/>
        <v>45305</v>
      </c>
      <c r="C30" s="138" t="str">
        <f t="shared" si="6"/>
        <v/>
      </c>
      <c r="D30" s="183"/>
      <c r="E30" s="183"/>
      <c r="F30" s="84"/>
      <c r="G30" s="84"/>
      <c r="H30" s="84"/>
      <c r="I30" s="84"/>
      <c r="J30" s="84"/>
      <c r="K30" s="84"/>
      <c r="L30" s="140" t="str">
        <f t="shared" si="7"/>
        <v/>
      </c>
      <c r="M30" s="184"/>
      <c r="N30" s="184"/>
      <c r="O30" s="86"/>
      <c r="P30" s="86"/>
      <c r="Q30" s="86"/>
      <c r="R30" s="86"/>
      <c r="S30" s="86"/>
      <c r="T30" s="86"/>
      <c r="U30" s="142" t="str">
        <f t="shared" si="8"/>
        <v/>
      </c>
      <c r="V30" s="185"/>
      <c r="W30" s="185"/>
      <c r="X30" s="88"/>
      <c r="Y30" s="88"/>
      <c r="Z30" s="88"/>
      <c r="AA30" s="88"/>
      <c r="AB30" s="88"/>
      <c r="AC30" s="88"/>
      <c r="AD30" s="142" t="str">
        <f t="shared" si="9"/>
        <v/>
      </c>
      <c r="AE30" s="88"/>
      <c r="AF30" s="88"/>
      <c r="AG30" s="88"/>
      <c r="AH30" s="88"/>
      <c r="AI30" s="88"/>
      <c r="AJ30" s="88"/>
      <c r="AK30" s="88"/>
      <c r="AL30" s="88"/>
      <c r="AM30" s="143">
        <v>37.76</v>
      </c>
      <c r="AN30" s="88">
        <v>125</v>
      </c>
      <c r="AO30" s="89"/>
      <c r="AP30" s="90"/>
      <c r="AQ30" s="146" t="str">
        <f t="shared" si="13"/>
        <v/>
      </c>
      <c r="AR30" s="146" t="str">
        <f t="shared" si="14"/>
        <v/>
      </c>
      <c r="AS30" s="147"/>
      <c r="AT30" s="93"/>
      <c r="AU30" s="94"/>
      <c r="AV30" s="146" t="str">
        <f t="shared" si="15"/>
        <v/>
      </c>
      <c r="AW30" s="146" t="str">
        <f t="shared" si="16"/>
        <v/>
      </c>
      <c r="AX30" s="138" t="str">
        <f t="shared" si="10"/>
        <v/>
      </c>
      <c r="AY30" s="95"/>
      <c r="AZ30" s="96"/>
      <c r="BA30" s="96"/>
      <c r="BB30" s="96"/>
      <c r="BC30" s="96"/>
      <c r="BD30" s="97">
        <v>125</v>
      </c>
      <c r="BE30" s="142">
        <f t="shared" si="11"/>
        <v>6799</v>
      </c>
      <c r="BF30" s="98">
        <v>854</v>
      </c>
      <c r="BG30" s="98">
        <v>0</v>
      </c>
      <c r="BH30" s="98">
        <v>0</v>
      </c>
      <c r="BI30" s="98">
        <v>5945</v>
      </c>
      <c r="BJ30" s="98"/>
      <c r="BK30" s="98"/>
      <c r="BL30" s="97"/>
    </row>
    <row r="31" spans="1:64" outlineLevel="5" x14ac:dyDescent="0.3">
      <c r="A31" s="152">
        <f t="shared" si="5"/>
        <v>1</v>
      </c>
      <c r="B31" s="153">
        <f t="shared" si="12"/>
        <v>45306</v>
      </c>
      <c r="C31" s="138" t="str">
        <f t="shared" si="6"/>
        <v/>
      </c>
      <c r="D31" s="183"/>
      <c r="E31" s="183"/>
      <c r="F31" s="84"/>
      <c r="G31" s="84"/>
      <c r="H31" s="84"/>
      <c r="I31" s="84"/>
      <c r="J31" s="84"/>
      <c r="K31" s="84"/>
      <c r="L31" s="140">
        <f t="shared" si="7"/>
        <v>8.1</v>
      </c>
      <c r="M31" s="184">
        <v>8.08</v>
      </c>
      <c r="N31" s="184">
        <v>8.18</v>
      </c>
      <c r="O31" s="86"/>
      <c r="P31" s="86"/>
      <c r="Q31" s="86"/>
      <c r="R31" s="86"/>
      <c r="S31" s="86"/>
      <c r="T31" s="86"/>
      <c r="U31" s="142">
        <f t="shared" si="8"/>
        <v>1692.2</v>
      </c>
      <c r="V31" s="185">
        <v>1762.4</v>
      </c>
      <c r="W31" s="185">
        <v>1621.9</v>
      </c>
      <c r="X31" s="88"/>
      <c r="Y31" s="88"/>
      <c r="Z31" s="88"/>
      <c r="AA31" s="88"/>
      <c r="AB31" s="88"/>
      <c r="AC31" s="88"/>
      <c r="AD31" s="142" t="str">
        <f t="shared" si="9"/>
        <v/>
      </c>
      <c r="AE31" s="88"/>
      <c r="AF31" s="88"/>
      <c r="AG31" s="88"/>
      <c r="AH31" s="88"/>
      <c r="AI31" s="88"/>
      <c r="AJ31" s="88"/>
      <c r="AK31" s="88"/>
      <c r="AL31" s="88"/>
      <c r="AM31" s="143">
        <v>50.314465408805027</v>
      </c>
      <c r="AN31" s="88">
        <v>93.81</v>
      </c>
      <c r="AO31" s="89">
        <v>17.100000000000001</v>
      </c>
      <c r="AP31" s="90">
        <v>13</v>
      </c>
      <c r="AQ31" s="146">
        <f t="shared" si="13"/>
        <v>76.023391812865498</v>
      </c>
      <c r="AR31" s="146">
        <f t="shared" si="14"/>
        <v>23.976608187134502</v>
      </c>
      <c r="AS31" s="147"/>
      <c r="AT31" s="93">
        <v>12.8</v>
      </c>
      <c r="AU31" s="94">
        <v>7.4984000000000002</v>
      </c>
      <c r="AV31" s="146">
        <f t="shared" si="15"/>
        <v>58.581249999999997</v>
      </c>
      <c r="AW31" s="146">
        <f t="shared" si="16"/>
        <v>41.418750000000003</v>
      </c>
      <c r="AX31" s="138">
        <f t="shared" si="10"/>
        <v>55.393088878829033</v>
      </c>
      <c r="AY31" s="95">
        <v>74.2</v>
      </c>
      <c r="AZ31" s="96">
        <v>63.16</v>
      </c>
      <c r="BA31" s="96"/>
      <c r="BB31" s="96">
        <v>75.765000000000001</v>
      </c>
      <c r="BC31" s="96"/>
      <c r="BD31" s="97">
        <v>93.81</v>
      </c>
      <c r="BE31" s="142">
        <f t="shared" si="11"/>
        <v>6872</v>
      </c>
      <c r="BF31" s="98">
        <v>984</v>
      </c>
      <c r="BG31" s="98">
        <v>0</v>
      </c>
      <c r="BH31" s="98">
        <v>0</v>
      </c>
      <c r="BI31" s="98">
        <v>5888</v>
      </c>
      <c r="BJ31" s="98"/>
      <c r="BK31" s="98"/>
      <c r="BL31" s="97"/>
    </row>
    <row r="32" spans="1:64" outlineLevel="5" x14ac:dyDescent="0.3">
      <c r="A32" s="152">
        <f t="shared" si="5"/>
        <v>1</v>
      </c>
      <c r="B32" s="153">
        <f t="shared" si="12"/>
        <v>45307</v>
      </c>
      <c r="C32" s="138" t="str">
        <f t="shared" si="6"/>
        <v/>
      </c>
      <c r="D32" s="183"/>
      <c r="E32" s="183"/>
      <c r="F32" s="84"/>
      <c r="G32" s="84"/>
      <c r="H32" s="84"/>
      <c r="I32" s="84"/>
      <c r="J32" s="84"/>
      <c r="K32" s="84"/>
      <c r="L32" s="140" t="str">
        <f t="shared" si="7"/>
        <v/>
      </c>
      <c r="M32" s="184"/>
      <c r="N32" s="184"/>
      <c r="O32" s="86"/>
      <c r="P32" s="86"/>
      <c r="Q32" s="86"/>
      <c r="R32" s="86"/>
      <c r="S32" s="86"/>
      <c r="T32" s="86"/>
      <c r="U32" s="142" t="str">
        <f t="shared" si="8"/>
        <v/>
      </c>
      <c r="V32" s="185"/>
      <c r="W32" s="185"/>
      <c r="X32" s="88"/>
      <c r="Y32" s="88"/>
      <c r="Z32" s="88"/>
      <c r="AA32" s="88"/>
      <c r="AB32" s="88"/>
      <c r="AC32" s="88"/>
      <c r="AD32" s="142" t="str">
        <f t="shared" si="9"/>
        <v/>
      </c>
      <c r="AE32" s="88"/>
      <c r="AF32" s="88"/>
      <c r="AG32" s="88"/>
      <c r="AH32" s="88"/>
      <c r="AI32" s="88"/>
      <c r="AJ32" s="88"/>
      <c r="AK32" s="88"/>
      <c r="AL32" s="88"/>
      <c r="AM32" s="143">
        <v>92.567170033339863</v>
      </c>
      <c r="AN32" s="88">
        <v>50.99</v>
      </c>
      <c r="AO32" s="89"/>
      <c r="AP32" s="90"/>
      <c r="AQ32" s="146" t="str">
        <f t="shared" si="13"/>
        <v/>
      </c>
      <c r="AR32" s="146" t="str">
        <f t="shared" si="14"/>
        <v/>
      </c>
      <c r="AS32" s="147"/>
      <c r="AT32" s="93"/>
      <c r="AU32" s="94"/>
      <c r="AV32" s="146" t="str">
        <f t="shared" si="15"/>
        <v/>
      </c>
      <c r="AW32" s="146" t="str">
        <f t="shared" si="16"/>
        <v/>
      </c>
      <c r="AX32" s="138" t="str">
        <f t="shared" si="10"/>
        <v/>
      </c>
      <c r="AY32" s="95"/>
      <c r="AZ32" s="96">
        <v>60.745000000000005</v>
      </c>
      <c r="BA32" s="96"/>
      <c r="BB32" s="96">
        <v>66</v>
      </c>
      <c r="BC32" s="96"/>
      <c r="BD32" s="97">
        <v>50.99</v>
      </c>
      <c r="BE32" s="142">
        <f t="shared" si="11"/>
        <v>6963</v>
      </c>
      <c r="BF32" s="98">
        <v>928</v>
      </c>
      <c r="BG32" s="98">
        <v>0</v>
      </c>
      <c r="BH32" s="98">
        <v>6</v>
      </c>
      <c r="BI32" s="98">
        <v>6029</v>
      </c>
      <c r="BJ32" s="98"/>
      <c r="BK32" s="98"/>
      <c r="BL32" s="97"/>
    </row>
    <row r="33" spans="1:64" outlineLevel="5" x14ac:dyDescent="0.3">
      <c r="A33" s="152">
        <f t="shared" si="5"/>
        <v>1</v>
      </c>
      <c r="B33" s="153">
        <f t="shared" si="12"/>
        <v>45308</v>
      </c>
      <c r="C33" s="138">
        <f t="shared" si="6"/>
        <v>37.200000000000003</v>
      </c>
      <c r="D33" s="183">
        <v>37.299999999999997</v>
      </c>
      <c r="E33" s="183">
        <v>37</v>
      </c>
      <c r="F33" s="84"/>
      <c r="G33" s="84"/>
      <c r="H33" s="84"/>
      <c r="I33" s="84"/>
      <c r="J33" s="84"/>
      <c r="K33" s="84"/>
      <c r="L33" s="140">
        <f t="shared" si="7"/>
        <v>8.1</v>
      </c>
      <c r="M33" s="184">
        <v>8.02</v>
      </c>
      <c r="N33" s="184">
        <v>8.1199999999999992</v>
      </c>
      <c r="O33" s="86"/>
      <c r="P33" s="86"/>
      <c r="Q33" s="86"/>
      <c r="R33" s="86"/>
      <c r="S33" s="86"/>
      <c r="T33" s="86"/>
      <c r="U33" s="142">
        <f t="shared" si="8"/>
        <v>1567.8</v>
      </c>
      <c r="V33" s="185">
        <v>1675.9</v>
      </c>
      <c r="W33" s="185">
        <v>1459.7</v>
      </c>
      <c r="X33" s="88"/>
      <c r="Y33" s="88"/>
      <c r="Z33" s="88"/>
      <c r="AA33" s="88"/>
      <c r="AB33" s="88"/>
      <c r="AC33" s="88"/>
      <c r="AD33" s="142" t="str">
        <f t="shared" si="9"/>
        <v/>
      </c>
      <c r="AE33" s="88"/>
      <c r="AF33" s="88"/>
      <c r="AG33" s="88"/>
      <c r="AH33" s="88"/>
      <c r="AI33" s="88"/>
      <c r="AJ33" s="88"/>
      <c r="AK33" s="88"/>
      <c r="AL33" s="88"/>
      <c r="AM33" s="143">
        <v>43.116835662738652</v>
      </c>
      <c r="AN33" s="88">
        <v>109.47</v>
      </c>
      <c r="AO33" s="89">
        <v>22.6</v>
      </c>
      <c r="AP33" s="90">
        <v>18.399999999999999</v>
      </c>
      <c r="AQ33" s="146">
        <f t="shared" si="13"/>
        <v>81.415929203539818</v>
      </c>
      <c r="AR33" s="146">
        <f t="shared" si="14"/>
        <v>18.584070796460182</v>
      </c>
      <c r="AS33" s="147"/>
      <c r="AT33" s="93">
        <v>13.55</v>
      </c>
      <c r="AU33" s="94">
        <v>7.9683500000000009</v>
      </c>
      <c r="AV33" s="146">
        <f t="shared" si="15"/>
        <v>58.807011070110704</v>
      </c>
      <c r="AW33" s="146">
        <f t="shared" si="16"/>
        <v>41.192988929889296</v>
      </c>
      <c r="AX33" s="138">
        <f t="shared" si="10"/>
        <v>67.413533632528001</v>
      </c>
      <c r="AY33" s="95">
        <v>76</v>
      </c>
      <c r="AZ33" s="96">
        <v>58.980000000000004</v>
      </c>
      <c r="BA33" s="96"/>
      <c r="BB33" s="96">
        <v>74.5</v>
      </c>
      <c r="BC33" s="96"/>
      <c r="BD33" s="97">
        <v>109.47</v>
      </c>
      <c r="BE33" s="142">
        <f t="shared" si="11"/>
        <v>5908</v>
      </c>
      <c r="BF33" s="98">
        <v>1005</v>
      </c>
      <c r="BG33" s="98">
        <v>0</v>
      </c>
      <c r="BH33" s="98">
        <v>0</v>
      </c>
      <c r="BI33" s="98">
        <v>4903</v>
      </c>
      <c r="BJ33" s="98"/>
      <c r="BK33" s="98"/>
      <c r="BL33" s="97"/>
    </row>
    <row r="34" spans="1:64" outlineLevel="5" x14ac:dyDescent="0.3">
      <c r="A34" s="152">
        <f t="shared" si="5"/>
        <v>1</v>
      </c>
      <c r="B34" s="153">
        <f t="shared" si="12"/>
        <v>45309</v>
      </c>
      <c r="C34" s="138" t="str">
        <f t="shared" si="6"/>
        <v/>
      </c>
      <c r="D34" s="183"/>
      <c r="E34" s="183"/>
      <c r="F34" s="84"/>
      <c r="G34" s="84"/>
      <c r="H34" s="84"/>
      <c r="I34" s="84"/>
      <c r="J34" s="84"/>
      <c r="K34" s="84"/>
      <c r="L34" s="140">
        <f t="shared" si="7"/>
        <v>8.1</v>
      </c>
      <c r="M34" s="184">
        <v>8.0500000000000007</v>
      </c>
      <c r="N34" s="184">
        <v>8.11</v>
      </c>
      <c r="O34" s="86"/>
      <c r="P34" s="86"/>
      <c r="Q34" s="86"/>
      <c r="R34" s="86"/>
      <c r="S34" s="86"/>
      <c r="T34" s="86"/>
      <c r="U34" s="142">
        <f t="shared" si="8"/>
        <v>1681</v>
      </c>
      <c r="V34" s="185">
        <v>1762</v>
      </c>
      <c r="W34" s="185">
        <v>1600</v>
      </c>
      <c r="X34" s="88"/>
      <c r="Y34" s="88"/>
      <c r="Z34" s="88"/>
      <c r="AA34" s="88"/>
      <c r="AB34" s="88"/>
      <c r="AC34" s="88"/>
      <c r="AD34" s="142" t="str">
        <f t="shared" si="9"/>
        <v/>
      </c>
      <c r="AE34" s="88"/>
      <c r="AF34" s="88"/>
      <c r="AG34" s="88"/>
      <c r="AH34" s="88"/>
      <c r="AI34" s="88"/>
      <c r="AJ34" s="88"/>
      <c r="AK34" s="88"/>
      <c r="AL34" s="88"/>
      <c r="AM34" s="143">
        <v>55.88444233956902</v>
      </c>
      <c r="AN34" s="88">
        <v>84.460000000000008</v>
      </c>
      <c r="AO34" s="89"/>
      <c r="AP34" s="90"/>
      <c r="AQ34" s="146" t="str">
        <f t="shared" si="13"/>
        <v/>
      </c>
      <c r="AR34" s="146" t="str">
        <f t="shared" si="14"/>
        <v/>
      </c>
      <c r="AS34" s="147"/>
      <c r="AT34" s="93"/>
      <c r="AU34" s="94"/>
      <c r="AV34" s="146" t="str">
        <f t="shared" si="15"/>
        <v/>
      </c>
      <c r="AW34" s="146" t="str">
        <f t="shared" si="16"/>
        <v/>
      </c>
      <c r="AX34" s="138" t="str">
        <f t="shared" si="10"/>
        <v/>
      </c>
      <c r="AY34" s="95">
        <v>74.05</v>
      </c>
      <c r="AZ34" s="96">
        <v>59.405000000000001</v>
      </c>
      <c r="BA34" s="96"/>
      <c r="BB34" s="96">
        <v>84.5</v>
      </c>
      <c r="BC34" s="96"/>
      <c r="BD34" s="97">
        <v>84.460000000000008</v>
      </c>
      <c r="BE34" s="142">
        <f t="shared" si="11"/>
        <v>7008</v>
      </c>
      <c r="BF34" s="98">
        <v>938</v>
      </c>
      <c r="BG34" s="98">
        <v>0</v>
      </c>
      <c r="BH34" s="98">
        <v>0</v>
      </c>
      <c r="BI34" s="98">
        <v>6070</v>
      </c>
      <c r="BJ34" s="98"/>
      <c r="BK34" s="98"/>
      <c r="BL34" s="97"/>
    </row>
    <row r="35" spans="1:64" outlineLevel="5" x14ac:dyDescent="0.3">
      <c r="A35" s="152">
        <f t="shared" si="5"/>
        <v>1</v>
      </c>
      <c r="B35" s="153">
        <f t="shared" si="12"/>
        <v>45310</v>
      </c>
      <c r="C35" s="138" t="str">
        <f t="shared" si="6"/>
        <v/>
      </c>
      <c r="D35" s="183"/>
      <c r="E35" s="183"/>
      <c r="F35" s="84"/>
      <c r="G35" s="84"/>
      <c r="H35" s="84"/>
      <c r="I35" s="84"/>
      <c r="J35" s="84"/>
      <c r="K35" s="84"/>
      <c r="L35" s="140" t="str">
        <f t="shared" si="7"/>
        <v/>
      </c>
      <c r="M35" s="184"/>
      <c r="N35" s="184"/>
      <c r="O35" s="86"/>
      <c r="P35" s="86"/>
      <c r="Q35" s="86"/>
      <c r="R35" s="86"/>
      <c r="S35" s="86"/>
      <c r="T35" s="86"/>
      <c r="U35" s="142" t="str">
        <f t="shared" si="8"/>
        <v/>
      </c>
      <c r="V35" s="185"/>
      <c r="W35" s="185"/>
      <c r="X35" s="88"/>
      <c r="Y35" s="88"/>
      <c r="Z35" s="88"/>
      <c r="AA35" s="88"/>
      <c r="AB35" s="88"/>
      <c r="AC35" s="88"/>
      <c r="AD35" s="142" t="str">
        <f t="shared" si="9"/>
        <v/>
      </c>
      <c r="AE35" s="88"/>
      <c r="AF35" s="88"/>
      <c r="AG35" s="88"/>
      <c r="AH35" s="88"/>
      <c r="AI35" s="88"/>
      <c r="AJ35" s="88"/>
      <c r="AK35" s="88"/>
      <c r="AL35" s="88"/>
      <c r="AM35" s="143">
        <v>66.292134831460672</v>
      </c>
      <c r="AN35" s="88">
        <v>71.2</v>
      </c>
      <c r="AO35" s="89"/>
      <c r="AP35" s="90"/>
      <c r="AQ35" s="146" t="str">
        <f t="shared" si="13"/>
        <v/>
      </c>
      <c r="AR35" s="146" t="str">
        <f t="shared" si="14"/>
        <v/>
      </c>
      <c r="AS35" s="147"/>
      <c r="AT35" s="93"/>
      <c r="AU35" s="94"/>
      <c r="AV35" s="146" t="str">
        <f t="shared" si="15"/>
        <v/>
      </c>
      <c r="AW35" s="146" t="str">
        <f t="shared" si="16"/>
        <v/>
      </c>
      <c r="AX35" s="138" t="str">
        <f t="shared" si="10"/>
        <v/>
      </c>
      <c r="AY35" s="95"/>
      <c r="AZ35" s="96">
        <v>63.144999999999996</v>
      </c>
      <c r="BA35" s="96"/>
      <c r="BB35" s="96">
        <v>68.5</v>
      </c>
      <c r="BC35" s="96"/>
      <c r="BD35" s="97">
        <v>71.2</v>
      </c>
      <c r="BE35" s="142">
        <f t="shared" si="11"/>
        <v>6503</v>
      </c>
      <c r="BF35" s="98">
        <v>1012</v>
      </c>
      <c r="BG35" s="98">
        <v>0</v>
      </c>
      <c r="BH35" s="98">
        <v>0</v>
      </c>
      <c r="BI35" s="98">
        <v>5491</v>
      </c>
      <c r="BJ35" s="98"/>
      <c r="BK35" s="98"/>
      <c r="BL35" s="97"/>
    </row>
    <row r="36" spans="1:64" outlineLevel="5" x14ac:dyDescent="0.3">
      <c r="A36" s="152">
        <f t="shared" si="5"/>
        <v>1</v>
      </c>
      <c r="B36" s="153">
        <f t="shared" si="12"/>
        <v>45311</v>
      </c>
      <c r="C36" s="138" t="str">
        <f t="shared" si="6"/>
        <v/>
      </c>
      <c r="D36" s="183"/>
      <c r="E36" s="183"/>
      <c r="F36" s="84"/>
      <c r="G36" s="84"/>
      <c r="H36" s="84"/>
      <c r="I36" s="84"/>
      <c r="J36" s="84"/>
      <c r="K36" s="84"/>
      <c r="L36" s="140" t="str">
        <f t="shared" si="7"/>
        <v/>
      </c>
      <c r="M36" s="184"/>
      <c r="N36" s="184"/>
      <c r="O36" s="86"/>
      <c r="P36" s="86"/>
      <c r="Q36" s="86"/>
      <c r="R36" s="86"/>
      <c r="S36" s="86"/>
      <c r="T36" s="86"/>
      <c r="U36" s="142" t="str">
        <f t="shared" si="8"/>
        <v/>
      </c>
      <c r="V36" s="185"/>
      <c r="W36" s="185"/>
      <c r="X36" s="88"/>
      <c r="Y36" s="88"/>
      <c r="Z36" s="88"/>
      <c r="AA36" s="88"/>
      <c r="AB36" s="88"/>
      <c r="AC36" s="88"/>
      <c r="AD36" s="142" t="str">
        <f t="shared" si="9"/>
        <v/>
      </c>
      <c r="AE36" s="88"/>
      <c r="AF36" s="88"/>
      <c r="AG36" s="88"/>
      <c r="AH36" s="88"/>
      <c r="AI36" s="88"/>
      <c r="AJ36" s="88"/>
      <c r="AK36" s="88"/>
      <c r="AL36" s="88"/>
      <c r="AM36" s="143">
        <v>104.88888888888889</v>
      </c>
      <c r="AN36" s="88">
        <v>45</v>
      </c>
      <c r="AO36" s="89"/>
      <c r="AP36" s="90"/>
      <c r="AQ36" s="146" t="str">
        <f t="shared" si="13"/>
        <v/>
      </c>
      <c r="AR36" s="146" t="str">
        <f t="shared" si="14"/>
        <v/>
      </c>
      <c r="AS36" s="147"/>
      <c r="AT36" s="93"/>
      <c r="AU36" s="94"/>
      <c r="AV36" s="146" t="str">
        <f t="shared" si="15"/>
        <v/>
      </c>
      <c r="AW36" s="146" t="str">
        <f t="shared" si="16"/>
        <v/>
      </c>
      <c r="AX36" s="138" t="str">
        <f t="shared" si="10"/>
        <v/>
      </c>
      <c r="AY36" s="95"/>
      <c r="AZ36" s="96"/>
      <c r="BA36" s="96"/>
      <c r="BB36" s="96"/>
      <c r="BC36" s="96"/>
      <c r="BD36" s="97">
        <v>45</v>
      </c>
      <c r="BE36" s="142">
        <f t="shared" si="11"/>
        <v>6462</v>
      </c>
      <c r="BF36" s="98">
        <v>566</v>
      </c>
      <c r="BG36" s="98">
        <v>0</v>
      </c>
      <c r="BH36" s="98">
        <v>2</v>
      </c>
      <c r="BI36" s="98">
        <v>5894</v>
      </c>
      <c r="BJ36" s="98"/>
      <c r="BK36" s="98"/>
      <c r="BL36" s="97"/>
    </row>
    <row r="37" spans="1:64" outlineLevel="5" x14ac:dyDescent="0.3">
      <c r="A37" s="152">
        <f t="shared" si="5"/>
        <v>1</v>
      </c>
      <c r="B37" s="153">
        <f t="shared" si="12"/>
        <v>45312</v>
      </c>
      <c r="C37" s="138" t="str">
        <f t="shared" si="6"/>
        <v/>
      </c>
      <c r="D37" s="183"/>
      <c r="E37" s="183"/>
      <c r="F37" s="84"/>
      <c r="G37" s="84"/>
      <c r="H37" s="84"/>
      <c r="I37" s="84"/>
      <c r="J37" s="84"/>
      <c r="K37" s="84"/>
      <c r="L37" s="140" t="str">
        <f t="shared" si="7"/>
        <v/>
      </c>
      <c r="M37" s="184"/>
      <c r="N37" s="184"/>
      <c r="O37" s="86"/>
      <c r="P37" s="86"/>
      <c r="Q37" s="86"/>
      <c r="R37" s="86"/>
      <c r="S37" s="86"/>
      <c r="T37" s="86"/>
      <c r="U37" s="142" t="str">
        <f t="shared" si="8"/>
        <v/>
      </c>
      <c r="V37" s="185"/>
      <c r="W37" s="185"/>
      <c r="X37" s="88"/>
      <c r="Y37" s="88"/>
      <c r="Z37" s="88"/>
      <c r="AA37" s="88"/>
      <c r="AB37" s="88"/>
      <c r="AC37" s="88"/>
      <c r="AD37" s="142" t="str">
        <f t="shared" si="9"/>
        <v/>
      </c>
      <c r="AE37" s="88"/>
      <c r="AF37" s="88"/>
      <c r="AG37" s="88"/>
      <c r="AH37" s="88"/>
      <c r="AI37" s="88"/>
      <c r="AJ37" s="88"/>
      <c r="AK37" s="88"/>
      <c r="AL37" s="88"/>
      <c r="AM37" s="143">
        <v>49.684210526315788</v>
      </c>
      <c r="AN37" s="88">
        <v>95</v>
      </c>
      <c r="AO37" s="89"/>
      <c r="AP37" s="90"/>
      <c r="AQ37" s="146" t="str">
        <f t="shared" si="13"/>
        <v/>
      </c>
      <c r="AR37" s="146" t="str">
        <f t="shared" si="14"/>
        <v/>
      </c>
      <c r="AS37" s="147"/>
      <c r="AT37" s="93"/>
      <c r="AU37" s="94"/>
      <c r="AV37" s="146" t="str">
        <f t="shared" si="15"/>
        <v/>
      </c>
      <c r="AW37" s="146" t="str">
        <f t="shared" si="16"/>
        <v/>
      </c>
      <c r="AX37" s="138" t="str">
        <f t="shared" si="10"/>
        <v/>
      </c>
      <c r="AY37" s="95"/>
      <c r="AZ37" s="96"/>
      <c r="BA37" s="96"/>
      <c r="BB37" s="96"/>
      <c r="BC37" s="96"/>
      <c r="BD37" s="97">
        <v>95</v>
      </c>
      <c r="BE37" s="142">
        <f t="shared" si="11"/>
        <v>6729</v>
      </c>
      <c r="BF37" s="98">
        <v>872</v>
      </c>
      <c r="BG37" s="98">
        <v>0</v>
      </c>
      <c r="BH37" s="98">
        <v>0</v>
      </c>
      <c r="BI37" s="98">
        <v>5857</v>
      </c>
      <c r="BJ37" s="98"/>
      <c r="BK37" s="98"/>
      <c r="BL37" s="97"/>
    </row>
    <row r="38" spans="1:64" outlineLevel="5" x14ac:dyDescent="0.3">
      <c r="A38" s="152">
        <f t="shared" si="5"/>
        <v>1</v>
      </c>
      <c r="B38" s="153">
        <f t="shared" si="12"/>
        <v>45313</v>
      </c>
      <c r="C38" s="138">
        <f t="shared" si="6"/>
        <v>36</v>
      </c>
      <c r="D38" s="183">
        <v>36</v>
      </c>
      <c r="E38" s="183">
        <v>36</v>
      </c>
      <c r="F38" s="84"/>
      <c r="G38" s="84"/>
      <c r="H38" s="84"/>
      <c r="I38" s="84"/>
      <c r="J38" s="84"/>
      <c r="K38" s="84"/>
      <c r="L38" s="140">
        <f t="shared" si="7"/>
        <v>8.1</v>
      </c>
      <c r="M38" s="184">
        <v>8.0399999999999991</v>
      </c>
      <c r="N38" s="184">
        <v>8.08</v>
      </c>
      <c r="O38" s="86"/>
      <c r="P38" s="86"/>
      <c r="Q38" s="86"/>
      <c r="R38" s="86"/>
      <c r="S38" s="86"/>
      <c r="T38" s="86"/>
      <c r="U38" s="142">
        <f t="shared" si="8"/>
        <v>1697.6</v>
      </c>
      <c r="V38" s="185">
        <v>1794.9</v>
      </c>
      <c r="W38" s="185">
        <v>1600.3</v>
      </c>
      <c r="X38" s="88"/>
      <c r="Y38" s="88"/>
      <c r="Z38" s="88"/>
      <c r="AA38" s="88"/>
      <c r="AB38" s="88"/>
      <c r="AC38" s="88"/>
      <c r="AD38" s="142" t="str">
        <f t="shared" si="9"/>
        <v/>
      </c>
      <c r="AE38" s="88"/>
      <c r="AF38" s="88"/>
      <c r="AG38" s="88"/>
      <c r="AH38" s="88"/>
      <c r="AI38" s="88"/>
      <c r="AJ38" s="88"/>
      <c r="AK38" s="88"/>
      <c r="AL38" s="88"/>
      <c r="AM38" s="143">
        <v>45.397710878137921</v>
      </c>
      <c r="AN38" s="88">
        <v>103.97</v>
      </c>
      <c r="AO38" s="89">
        <v>19</v>
      </c>
      <c r="AP38" s="90">
        <v>14.9</v>
      </c>
      <c r="AQ38" s="146">
        <f t="shared" si="13"/>
        <v>78.421052631578945</v>
      </c>
      <c r="AR38" s="146">
        <f t="shared" si="14"/>
        <v>21.578947368421055</v>
      </c>
      <c r="AS38" s="147"/>
      <c r="AT38" s="93">
        <v>14.15</v>
      </c>
      <c r="AU38" s="94">
        <v>8.0131499999999996</v>
      </c>
      <c r="AV38" s="146">
        <f t="shared" si="15"/>
        <v>56.630035335689044</v>
      </c>
      <c r="AW38" s="146">
        <f t="shared" si="16"/>
        <v>43.369964664310956</v>
      </c>
      <c r="AX38" s="138">
        <f t="shared" si="10"/>
        <v>64.070154260654348</v>
      </c>
      <c r="AY38" s="95">
        <v>75.95</v>
      </c>
      <c r="AZ38" s="96">
        <v>60.5</v>
      </c>
      <c r="BA38" s="96"/>
      <c r="BB38" s="96">
        <v>89.5</v>
      </c>
      <c r="BC38" s="96"/>
      <c r="BD38" s="97">
        <v>103.97</v>
      </c>
      <c r="BE38" s="142">
        <f t="shared" si="11"/>
        <v>7173</v>
      </c>
      <c r="BF38" s="98">
        <v>939</v>
      </c>
      <c r="BG38" s="98">
        <v>0</v>
      </c>
      <c r="BH38" s="98">
        <v>377</v>
      </c>
      <c r="BI38" s="98">
        <v>5857</v>
      </c>
      <c r="BJ38" s="98"/>
      <c r="BK38" s="98"/>
      <c r="BL38" s="97"/>
    </row>
    <row r="39" spans="1:64" outlineLevel="5" x14ac:dyDescent="0.3">
      <c r="A39" s="152">
        <f t="shared" si="5"/>
        <v>1</v>
      </c>
      <c r="B39" s="153">
        <f t="shared" si="12"/>
        <v>45314</v>
      </c>
      <c r="C39" s="138" t="str">
        <f t="shared" si="6"/>
        <v/>
      </c>
      <c r="D39" s="183"/>
      <c r="E39" s="183"/>
      <c r="F39" s="84"/>
      <c r="G39" s="84"/>
      <c r="H39" s="84"/>
      <c r="I39" s="84"/>
      <c r="J39" s="84"/>
      <c r="K39" s="84"/>
      <c r="L39" s="140" t="str">
        <f t="shared" si="7"/>
        <v/>
      </c>
      <c r="M39" s="184"/>
      <c r="N39" s="184"/>
      <c r="O39" s="86"/>
      <c r="P39" s="86"/>
      <c r="Q39" s="86"/>
      <c r="R39" s="86"/>
      <c r="S39" s="86"/>
      <c r="T39" s="86"/>
      <c r="U39" s="142" t="str">
        <f t="shared" si="8"/>
        <v/>
      </c>
      <c r="V39" s="185"/>
      <c r="W39" s="185"/>
      <c r="X39" s="88"/>
      <c r="Y39" s="88"/>
      <c r="Z39" s="88"/>
      <c r="AA39" s="88"/>
      <c r="AB39" s="88"/>
      <c r="AC39" s="88"/>
      <c r="AD39" s="142" t="str">
        <f t="shared" si="9"/>
        <v/>
      </c>
      <c r="AE39" s="88"/>
      <c r="AF39" s="88"/>
      <c r="AG39" s="88"/>
      <c r="AH39" s="88"/>
      <c r="AI39" s="88"/>
      <c r="AJ39" s="88"/>
      <c r="AK39" s="88"/>
      <c r="AL39" s="88"/>
      <c r="AM39" s="143">
        <v>69.770879526977097</v>
      </c>
      <c r="AN39" s="88">
        <v>67.649999999999991</v>
      </c>
      <c r="AO39" s="89"/>
      <c r="AP39" s="90"/>
      <c r="AQ39" s="146" t="str">
        <f t="shared" si="13"/>
        <v/>
      </c>
      <c r="AR39" s="146" t="str">
        <f t="shared" si="14"/>
        <v/>
      </c>
      <c r="AS39" s="147"/>
      <c r="AT39" s="93"/>
      <c r="AU39" s="94"/>
      <c r="AV39" s="146" t="str">
        <f t="shared" si="15"/>
        <v/>
      </c>
      <c r="AW39" s="146" t="str">
        <f t="shared" si="16"/>
        <v/>
      </c>
      <c r="AX39" s="138" t="str">
        <f t="shared" si="10"/>
        <v/>
      </c>
      <c r="AY39" s="95"/>
      <c r="AZ39" s="96">
        <v>60.975000000000001</v>
      </c>
      <c r="BA39" s="96"/>
      <c r="BB39" s="96">
        <v>82</v>
      </c>
      <c r="BC39" s="96"/>
      <c r="BD39" s="97">
        <v>67.649999999999991</v>
      </c>
      <c r="BE39" s="142">
        <f t="shared" si="11"/>
        <v>8284</v>
      </c>
      <c r="BF39" s="98">
        <v>1779</v>
      </c>
      <c r="BG39" s="98">
        <v>0</v>
      </c>
      <c r="BH39" s="98">
        <v>2175</v>
      </c>
      <c r="BI39" s="98">
        <v>4330</v>
      </c>
      <c r="BJ39" s="98"/>
      <c r="BK39" s="98"/>
      <c r="BL39" s="97"/>
    </row>
    <row r="40" spans="1:64" outlineLevel="5" x14ac:dyDescent="0.3">
      <c r="A40" s="152">
        <f t="shared" si="5"/>
        <v>1</v>
      </c>
      <c r="B40" s="153">
        <f t="shared" si="12"/>
        <v>45315</v>
      </c>
      <c r="C40" s="138">
        <f t="shared" si="6"/>
        <v>36</v>
      </c>
      <c r="D40" s="183">
        <v>36</v>
      </c>
      <c r="E40" s="183">
        <v>36</v>
      </c>
      <c r="F40" s="84"/>
      <c r="G40" s="84"/>
      <c r="H40" s="84"/>
      <c r="I40" s="84"/>
      <c r="J40" s="84"/>
      <c r="K40" s="84"/>
      <c r="L40" s="140">
        <f t="shared" si="7"/>
        <v>8.4</v>
      </c>
      <c r="M40" s="184">
        <v>8.6</v>
      </c>
      <c r="N40" s="184">
        <v>8.11</v>
      </c>
      <c r="O40" s="86"/>
      <c r="P40" s="86"/>
      <c r="Q40" s="86"/>
      <c r="R40" s="86"/>
      <c r="S40" s="86"/>
      <c r="T40" s="86"/>
      <c r="U40" s="142">
        <f t="shared" si="8"/>
        <v>1767.9</v>
      </c>
      <c r="V40" s="185">
        <v>1859.8</v>
      </c>
      <c r="W40" s="185">
        <v>1675.9</v>
      </c>
      <c r="X40" s="88"/>
      <c r="Y40" s="88"/>
      <c r="Z40" s="88"/>
      <c r="AA40" s="88"/>
      <c r="AB40" s="88"/>
      <c r="AC40" s="88"/>
      <c r="AD40" s="142" t="str">
        <f t="shared" si="9"/>
        <v/>
      </c>
      <c r="AE40" s="88"/>
      <c r="AF40" s="88"/>
      <c r="AG40" s="88"/>
      <c r="AH40" s="88"/>
      <c r="AI40" s="88"/>
      <c r="AJ40" s="88"/>
      <c r="AK40" s="88"/>
      <c r="AL40" s="88"/>
      <c r="AM40" s="143">
        <v>51.421723499291865</v>
      </c>
      <c r="AN40" s="88">
        <v>91.789999999999992</v>
      </c>
      <c r="AO40" s="89"/>
      <c r="AP40" s="90"/>
      <c r="AQ40" s="146" t="str">
        <f t="shared" si="13"/>
        <v/>
      </c>
      <c r="AR40" s="146" t="str">
        <f t="shared" si="14"/>
        <v/>
      </c>
      <c r="AS40" s="147"/>
      <c r="AT40" s="93">
        <v>13.65</v>
      </c>
      <c r="AU40" s="94">
        <v>7.8074999999999992</v>
      </c>
      <c r="AV40" s="146">
        <f t="shared" si="15"/>
        <v>57.197802197802197</v>
      </c>
      <c r="AW40" s="146">
        <f t="shared" si="16"/>
        <v>42.802197802197803</v>
      </c>
      <c r="AX40" s="138" t="str">
        <f t="shared" si="10"/>
        <v/>
      </c>
      <c r="AY40" s="95">
        <v>76.2</v>
      </c>
      <c r="AZ40" s="96">
        <v>61.814999999999998</v>
      </c>
      <c r="BA40" s="96"/>
      <c r="BB40" s="96">
        <v>64</v>
      </c>
      <c r="BC40" s="96"/>
      <c r="BD40" s="97">
        <v>91.789999999999992</v>
      </c>
      <c r="BE40" s="142">
        <f t="shared" si="11"/>
        <v>7332</v>
      </c>
      <c r="BF40" s="98">
        <v>556</v>
      </c>
      <c r="BG40" s="98">
        <v>0</v>
      </c>
      <c r="BH40" s="98">
        <v>1543</v>
      </c>
      <c r="BI40" s="98">
        <v>5233</v>
      </c>
      <c r="BJ40" s="98"/>
      <c r="BK40" s="98"/>
      <c r="BL40" s="97"/>
    </row>
    <row r="41" spans="1:64" outlineLevel="5" x14ac:dyDescent="0.3">
      <c r="A41" s="152">
        <f t="shared" si="5"/>
        <v>1</v>
      </c>
      <c r="B41" s="153">
        <f t="shared" si="12"/>
        <v>45316</v>
      </c>
      <c r="C41" s="138">
        <f t="shared" si="6"/>
        <v>36.1</v>
      </c>
      <c r="D41" s="183">
        <v>36.1</v>
      </c>
      <c r="E41" s="183">
        <v>36</v>
      </c>
      <c r="F41" s="84"/>
      <c r="G41" s="84"/>
      <c r="H41" s="84"/>
      <c r="I41" s="84"/>
      <c r="J41" s="84"/>
      <c r="K41" s="84"/>
      <c r="L41" s="140">
        <f t="shared" si="7"/>
        <v>8.1</v>
      </c>
      <c r="M41" s="184">
        <v>8.02</v>
      </c>
      <c r="N41" s="184">
        <v>8.09</v>
      </c>
      <c r="O41" s="86"/>
      <c r="P41" s="86"/>
      <c r="Q41" s="86"/>
      <c r="R41" s="86"/>
      <c r="S41" s="86"/>
      <c r="T41" s="86"/>
      <c r="U41" s="142">
        <f t="shared" si="8"/>
        <v>1903</v>
      </c>
      <c r="V41" s="185">
        <v>2000.3</v>
      </c>
      <c r="W41" s="185">
        <v>1805.7</v>
      </c>
      <c r="X41" s="88"/>
      <c r="Y41" s="88"/>
      <c r="Z41" s="88"/>
      <c r="AA41" s="88"/>
      <c r="AB41" s="88"/>
      <c r="AC41" s="88"/>
      <c r="AD41" s="142" t="str">
        <f t="shared" si="9"/>
        <v/>
      </c>
      <c r="AE41" s="88"/>
      <c r="AF41" s="88"/>
      <c r="AG41" s="88"/>
      <c r="AH41" s="88"/>
      <c r="AI41" s="88"/>
      <c r="AJ41" s="88"/>
      <c r="AK41" s="88"/>
      <c r="AL41" s="88"/>
      <c r="AM41" s="143">
        <v>58.757624797709447</v>
      </c>
      <c r="AN41" s="88">
        <v>80.33</v>
      </c>
      <c r="AO41" s="89"/>
      <c r="AP41" s="90"/>
      <c r="AQ41" s="146" t="str">
        <f t="shared" si="13"/>
        <v/>
      </c>
      <c r="AR41" s="146" t="str">
        <f t="shared" si="14"/>
        <v/>
      </c>
      <c r="AS41" s="147"/>
      <c r="AT41" s="93">
        <v>13.8</v>
      </c>
      <c r="AU41" s="94">
        <v>7.6563000000000008</v>
      </c>
      <c r="AV41" s="146">
        <f t="shared" si="15"/>
        <v>55.480434782608704</v>
      </c>
      <c r="AW41" s="146">
        <f t="shared" si="16"/>
        <v>44.519565217391296</v>
      </c>
      <c r="AX41" s="138" t="str">
        <f t="shared" si="10"/>
        <v/>
      </c>
      <c r="AY41" s="95">
        <v>74.150000000000006</v>
      </c>
      <c r="AZ41" s="96"/>
      <c r="BA41" s="96"/>
      <c r="BB41" s="96"/>
      <c r="BC41" s="96"/>
      <c r="BD41" s="97">
        <v>80.33</v>
      </c>
      <c r="BE41" s="142">
        <f t="shared" si="11"/>
        <v>6609</v>
      </c>
      <c r="BF41" s="98">
        <v>946</v>
      </c>
      <c r="BG41" s="98">
        <v>0</v>
      </c>
      <c r="BH41" s="98">
        <v>531</v>
      </c>
      <c r="BI41" s="98">
        <v>5132</v>
      </c>
      <c r="BJ41" s="98"/>
      <c r="BK41" s="98"/>
      <c r="BL41" s="97"/>
    </row>
    <row r="42" spans="1:64" outlineLevel="5" x14ac:dyDescent="0.3">
      <c r="A42" s="152">
        <f t="shared" si="5"/>
        <v>1</v>
      </c>
      <c r="B42" s="153">
        <f t="shared" si="12"/>
        <v>45317</v>
      </c>
      <c r="C42" s="138" t="str">
        <f t="shared" si="6"/>
        <v/>
      </c>
      <c r="D42" s="183"/>
      <c r="E42" s="183"/>
      <c r="F42" s="84"/>
      <c r="G42" s="84"/>
      <c r="H42" s="84"/>
      <c r="I42" s="84"/>
      <c r="J42" s="84"/>
      <c r="K42" s="84"/>
      <c r="L42" s="140" t="str">
        <f t="shared" si="7"/>
        <v/>
      </c>
      <c r="M42" s="184"/>
      <c r="N42" s="184"/>
      <c r="O42" s="86"/>
      <c r="P42" s="86"/>
      <c r="Q42" s="86"/>
      <c r="R42" s="86"/>
      <c r="S42" s="86"/>
      <c r="T42" s="86"/>
      <c r="U42" s="142" t="str">
        <f t="shared" si="8"/>
        <v/>
      </c>
      <c r="V42" s="185"/>
      <c r="W42" s="185"/>
      <c r="X42" s="88"/>
      <c r="Y42" s="88"/>
      <c r="Z42" s="88"/>
      <c r="AA42" s="88"/>
      <c r="AB42" s="88"/>
      <c r="AC42" s="88"/>
      <c r="AD42" s="142" t="str">
        <f t="shared" si="9"/>
        <v/>
      </c>
      <c r="AE42" s="88"/>
      <c r="AF42" s="88"/>
      <c r="AG42" s="88"/>
      <c r="AH42" s="88"/>
      <c r="AI42" s="88"/>
      <c r="AJ42" s="88"/>
      <c r="AK42" s="88"/>
      <c r="AL42" s="88"/>
      <c r="AM42" s="143">
        <v>60.227127727446721</v>
      </c>
      <c r="AN42" s="88">
        <v>78.37</v>
      </c>
      <c r="AO42" s="89"/>
      <c r="AP42" s="90"/>
      <c r="AQ42" s="146" t="str">
        <f t="shared" si="13"/>
        <v/>
      </c>
      <c r="AR42" s="146" t="str">
        <f t="shared" si="14"/>
        <v/>
      </c>
      <c r="AS42" s="147"/>
      <c r="AT42" s="93"/>
      <c r="AU42" s="94"/>
      <c r="AV42" s="146" t="str">
        <f t="shared" si="15"/>
        <v/>
      </c>
      <c r="AW42" s="146" t="str">
        <f t="shared" si="16"/>
        <v/>
      </c>
      <c r="AX42" s="138" t="str">
        <f t="shared" si="10"/>
        <v/>
      </c>
      <c r="AY42" s="95"/>
      <c r="AZ42" s="96">
        <v>60.625</v>
      </c>
      <c r="BA42" s="96"/>
      <c r="BB42" s="96">
        <v>72</v>
      </c>
      <c r="BC42" s="96"/>
      <c r="BD42" s="97">
        <v>78.37</v>
      </c>
      <c r="BE42" s="142">
        <f t="shared" si="11"/>
        <v>6156</v>
      </c>
      <c r="BF42" s="98">
        <v>936</v>
      </c>
      <c r="BG42" s="98">
        <v>0</v>
      </c>
      <c r="BH42" s="98">
        <v>70</v>
      </c>
      <c r="BI42" s="98">
        <v>5150</v>
      </c>
      <c r="BJ42" s="98"/>
      <c r="BK42" s="98"/>
      <c r="BL42" s="97"/>
    </row>
    <row r="43" spans="1:64" outlineLevel="5" x14ac:dyDescent="0.3">
      <c r="A43" s="152">
        <f t="shared" si="5"/>
        <v>1</v>
      </c>
      <c r="B43" s="153">
        <f t="shared" si="12"/>
        <v>45318</v>
      </c>
      <c r="C43" s="138" t="str">
        <f t="shared" si="6"/>
        <v/>
      </c>
      <c r="D43" s="183"/>
      <c r="E43" s="183"/>
      <c r="F43" s="84"/>
      <c r="G43" s="84"/>
      <c r="H43" s="84"/>
      <c r="I43" s="84"/>
      <c r="J43" s="84"/>
      <c r="K43" s="84"/>
      <c r="L43" s="140" t="str">
        <f t="shared" si="7"/>
        <v/>
      </c>
      <c r="M43" s="184"/>
      <c r="N43" s="184"/>
      <c r="O43" s="86"/>
      <c r="P43" s="86"/>
      <c r="Q43" s="86"/>
      <c r="R43" s="86"/>
      <c r="S43" s="86"/>
      <c r="T43" s="86"/>
      <c r="U43" s="142" t="str">
        <f t="shared" si="8"/>
        <v/>
      </c>
      <c r="V43" s="185"/>
      <c r="W43" s="185"/>
      <c r="X43" s="88"/>
      <c r="Y43" s="88"/>
      <c r="Z43" s="88"/>
      <c r="AA43" s="88"/>
      <c r="AB43" s="88"/>
      <c r="AC43" s="88"/>
      <c r="AD43" s="142" t="str">
        <f t="shared" si="9"/>
        <v/>
      </c>
      <c r="AE43" s="88"/>
      <c r="AF43" s="88"/>
      <c r="AG43" s="88"/>
      <c r="AH43" s="88"/>
      <c r="AI43" s="88"/>
      <c r="AJ43" s="88"/>
      <c r="AK43" s="88"/>
      <c r="AL43" s="88"/>
      <c r="AM43" s="143">
        <v>55.457643050170368</v>
      </c>
      <c r="AN43" s="88">
        <v>85.11</v>
      </c>
      <c r="AO43" s="89"/>
      <c r="AP43" s="90"/>
      <c r="AQ43" s="146" t="str">
        <f t="shared" si="13"/>
        <v/>
      </c>
      <c r="AR43" s="146" t="str">
        <f t="shared" si="14"/>
        <v/>
      </c>
      <c r="AS43" s="147"/>
      <c r="AT43" s="93"/>
      <c r="AU43" s="94"/>
      <c r="AV43" s="146" t="str">
        <f t="shared" si="15"/>
        <v/>
      </c>
      <c r="AW43" s="146" t="str">
        <f t="shared" si="16"/>
        <v/>
      </c>
      <c r="AX43" s="138" t="str">
        <f t="shared" si="10"/>
        <v/>
      </c>
      <c r="AY43" s="95"/>
      <c r="AZ43" s="96"/>
      <c r="BA43" s="96"/>
      <c r="BB43" s="96"/>
      <c r="BC43" s="96"/>
      <c r="BD43" s="97">
        <v>85.11</v>
      </c>
      <c r="BE43" s="142">
        <f t="shared" si="11"/>
        <v>6671</v>
      </c>
      <c r="BF43" s="98">
        <v>1492</v>
      </c>
      <c r="BG43" s="98">
        <v>0</v>
      </c>
      <c r="BH43" s="98">
        <v>0</v>
      </c>
      <c r="BI43" s="98">
        <v>5179</v>
      </c>
      <c r="BJ43" s="98"/>
      <c r="BK43" s="98"/>
      <c r="BL43" s="97"/>
    </row>
    <row r="44" spans="1:64" outlineLevel="5" x14ac:dyDescent="0.3">
      <c r="A44" s="152">
        <f t="shared" si="5"/>
        <v>1</v>
      </c>
      <c r="B44" s="153">
        <f t="shared" si="12"/>
        <v>45319</v>
      </c>
      <c r="C44" s="138" t="str">
        <f t="shared" si="6"/>
        <v/>
      </c>
      <c r="D44" s="183"/>
      <c r="E44" s="183"/>
      <c r="F44" s="84"/>
      <c r="G44" s="84"/>
      <c r="H44" s="84"/>
      <c r="I44" s="84"/>
      <c r="J44" s="84"/>
      <c r="K44" s="84"/>
      <c r="L44" s="140" t="str">
        <f t="shared" si="7"/>
        <v/>
      </c>
      <c r="M44" s="184"/>
      <c r="N44" s="184"/>
      <c r="O44" s="86"/>
      <c r="P44" s="86"/>
      <c r="Q44" s="86"/>
      <c r="R44" s="86"/>
      <c r="S44" s="86"/>
      <c r="T44" s="86"/>
      <c r="U44" s="142" t="str">
        <f t="shared" si="8"/>
        <v/>
      </c>
      <c r="V44" s="185"/>
      <c r="W44" s="185"/>
      <c r="X44" s="88"/>
      <c r="Y44" s="88"/>
      <c r="Z44" s="88"/>
      <c r="AA44" s="88"/>
      <c r="AB44" s="88"/>
      <c r="AC44" s="88"/>
      <c r="AD44" s="142" t="str">
        <f t="shared" si="9"/>
        <v/>
      </c>
      <c r="AE44" s="88"/>
      <c r="AF44" s="88"/>
      <c r="AG44" s="88"/>
      <c r="AH44" s="88"/>
      <c r="AI44" s="88"/>
      <c r="AJ44" s="88"/>
      <c r="AK44" s="88"/>
      <c r="AL44" s="88"/>
      <c r="AM44" s="143">
        <v>62.93333333333333</v>
      </c>
      <c r="AN44" s="88">
        <v>75</v>
      </c>
      <c r="AO44" s="89"/>
      <c r="AP44" s="90"/>
      <c r="AQ44" s="146" t="str">
        <f t="shared" si="13"/>
        <v/>
      </c>
      <c r="AR44" s="146" t="str">
        <f t="shared" si="14"/>
        <v/>
      </c>
      <c r="AS44" s="147"/>
      <c r="AT44" s="93"/>
      <c r="AU44" s="94"/>
      <c r="AV44" s="146" t="str">
        <f t="shared" si="15"/>
        <v/>
      </c>
      <c r="AW44" s="146" t="str">
        <f t="shared" si="16"/>
        <v/>
      </c>
      <c r="AX44" s="138" t="str">
        <f t="shared" si="10"/>
        <v/>
      </c>
      <c r="AY44" s="95"/>
      <c r="AZ44" s="96"/>
      <c r="BA44" s="96"/>
      <c r="BB44" s="96"/>
      <c r="BC44" s="96"/>
      <c r="BD44" s="97">
        <v>75</v>
      </c>
      <c r="BE44" s="142">
        <f t="shared" si="11"/>
        <v>6938</v>
      </c>
      <c r="BF44" s="98">
        <v>1731</v>
      </c>
      <c r="BG44" s="98">
        <v>0</v>
      </c>
      <c r="BH44" s="98">
        <v>0</v>
      </c>
      <c r="BI44" s="98">
        <v>5207</v>
      </c>
      <c r="BJ44" s="98"/>
      <c r="BK44" s="98"/>
      <c r="BL44" s="97"/>
    </row>
    <row r="45" spans="1:64" outlineLevel="5" x14ac:dyDescent="0.3">
      <c r="A45" s="152">
        <f t="shared" si="5"/>
        <v>1</v>
      </c>
      <c r="B45" s="153">
        <f t="shared" si="12"/>
        <v>45320</v>
      </c>
      <c r="C45" s="138">
        <f t="shared" si="6"/>
        <v>36.700000000000003</v>
      </c>
      <c r="D45" s="183">
        <v>36.9</v>
      </c>
      <c r="E45" s="183">
        <v>36.5</v>
      </c>
      <c r="F45" s="84"/>
      <c r="G45" s="84"/>
      <c r="H45" s="84"/>
      <c r="I45" s="84"/>
      <c r="J45" s="84"/>
      <c r="K45" s="84"/>
      <c r="L45" s="140">
        <f t="shared" si="7"/>
        <v>8.1</v>
      </c>
      <c r="M45" s="184">
        <v>7.99</v>
      </c>
      <c r="N45" s="184">
        <v>8.14</v>
      </c>
      <c r="O45" s="86"/>
      <c r="P45" s="86"/>
      <c r="Q45" s="86"/>
      <c r="R45" s="86"/>
      <c r="S45" s="86"/>
      <c r="T45" s="86"/>
      <c r="U45" s="142">
        <f t="shared" si="8"/>
        <v>2400.4</v>
      </c>
      <c r="V45" s="185">
        <v>2140.9</v>
      </c>
      <c r="W45" s="185">
        <v>2659.9</v>
      </c>
      <c r="X45" s="88"/>
      <c r="Y45" s="88"/>
      <c r="Z45" s="88"/>
      <c r="AA45" s="88"/>
      <c r="AB45" s="88"/>
      <c r="AC45" s="88"/>
      <c r="AD45" s="142" t="str">
        <f t="shared" si="9"/>
        <v/>
      </c>
      <c r="AE45" s="88"/>
      <c r="AF45" s="88"/>
      <c r="AG45" s="88"/>
      <c r="AH45" s="88"/>
      <c r="AI45" s="88"/>
      <c r="AJ45" s="88"/>
      <c r="AK45" s="88"/>
      <c r="AL45" s="88"/>
      <c r="AM45" s="143">
        <v>45.825242718446603</v>
      </c>
      <c r="AN45" s="88">
        <v>103</v>
      </c>
      <c r="AO45" s="89">
        <v>18</v>
      </c>
      <c r="AP45" s="90">
        <v>14.7</v>
      </c>
      <c r="AQ45" s="146">
        <f t="shared" si="13"/>
        <v>81.666666666666671</v>
      </c>
      <c r="AR45" s="146">
        <f t="shared" si="14"/>
        <v>18.333333333333329</v>
      </c>
      <c r="AS45" s="147"/>
      <c r="AT45" s="93">
        <v>13.45</v>
      </c>
      <c r="AU45" s="94">
        <v>6.68215</v>
      </c>
      <c r="AV45" s="146">
        <f t="shared" si="15"/>
        <v>49.68141263940521</v>
      </c>
      <c r="AW45" s="146">
        <f t="shared" si="16"/>
        <v>50.31858736059479</v>
      </c>
      <c r="AX45" s="138">
        <f t="shared" si="10"/>
        <v>77.835287575878326</v>
      </c>
      <c r="AY45" s="95">
        <v>75.599999999999994</v>
      </c>
      <c r="AZ45" s="96"/>
      <c r="BA45" s="96"/>
      <c r="BB45" s="96"/>
      <c r="BC45" s="96"/>
      <c r="BD45" s="97">
        <v>103</v>
      </c>
      <c r="BE45" s="142">
        <f t="shared" si="11"/>
        <v>6927</v>
      </c>
      <c r="BF45" s="98">
        <v>1015</v>
      </c>
      <c r="BG45" s="98">
        <v>0</v>
      </c>
      <c r="BH45" s="98">
        <v>584</v>
      </c>
      <c r="BI45" s="98">
        <v>5328</v>
      </c>
      <c r="BJ45" s="98"/>
      <c r="BK45" s="98"/>
      <c r="BL45" s="97"/>
    </row>
    <row r="46" spans="1:64" outlineLevel="5" x14ac:dyDescent="0.3">
      <c r="A46" s="152">
        <f t="shared" si="5"/>
        <v>1</v>
      </c>
      <c r="B46" s="153">
        <f t="shared" si="12"/>
        <v>45321</v>
      </c>
      <c r="C46" s="138" t="str">
        <f t="shared" si="6"/>
        <v/>
      </c>
      <c r="D46" s="183"/>
      <c r="E46" s="183"/>
      <c r="F46" s="84"/>
      <c r="G46" s="84"/>
      <c r="H46" s="84"/>
      <c r="I46" s="84"/>
      <c r="J46" s="84"/>
      <c r="K46" s="84"/>
      <c r="L46" s="140" t="str">
        <f t="shared" si="7"/>
        <v/>
      </c>
      <c r="M46" s="184"/>
      <c r="N46" s="184"/>
      <c r="O46" s="86"/>
      <c r="P46" s="86"/>
      <c r="Q46" s="86"/>
      <c r="R46" s="86"/>
      <c r="S46" s="86"/>
      <c r="T46" s="86"/>
      <c r="U46" s="142" t="str">
        <f t="shared" si="8"/>
        <v/>
      </c>
      <c r="V46" s="88"/>
      <c r="W46" s="88"/>
      <c r="X46" s="88"/>
      <c r="Y46" s="88"/>
      <c r="Z46" s="88"/>
      <c r="AA46" s="88"/>
      <c r="AB46" s="88"/>
      <c r="AC46" s="88"/>
      <c r="AD46" s="142" t="str">
        <f t="shared" si="9"/>
        <v/>
      </c>
      <c r="AE46" s="88"/>
      <c r="AF46" s="88"/>
      <c r="AG46" s="88"/>
      <c r="AH46" s="88"/>
      <c r="AI46" s="88"/>
      <c r="AJ46" s="88"/>
      <c r="AK46" s="88"/>
      <c r="AL46" s="88"/>
      <c r="AM46" s="143">
        <v>46.654146486112481</v>
      </c>
      <c r="AN46" s="88">
        <v>101.17</v>
      </c>
      <c r="AO46" s="89"/>
      <c r="AP46" s="90"/>
      <c r="AQ46" s="146" t="str">
        <f t="shared" si="13"/>
        <v/>
      </c>
      <c r="AR46" s="146" t="str">
        <f t="shared" si="14"/>
        <v/>
      </c>
      <c r="AS46" s="147"/>
      <c r="AT46" s="93"/>
      <c r="AU46" s="94"/>
      <c r="AV46" s="146" t="str">
        <f t="shared" si="15"/>
        <v/>
      </c>
      <c r="AW46" s="146" t="str">
        <f t="shared" si="16"/>
        <v/>
      </c>
      <c r="AX46" s="138" t="str">
        <f t="shared" si="10"/>
        <v/>
      </c>
      <c r="AY46" s="95"/>
      <c r="AZ46" s="96">
        <v>60.275000000000006</v>
      </c>
      <c r="BA46" s="96"/>
      <c r="BB46" s="96">
        <v>91</v>
      </c>
      <c r="BC46" s="96"/>
      <c r="BD46" s="97">
        <v>101.17</v>
      </c>
      <c r="BE46" s="142">
        <f t="shared" si="11"/>
        <v>7658</v>
      </c>
      <c r="BF46" s="98">
        <v>962</v>
      </c>
      <c r="BG46" s="98">
        <v>0</v>
      </c>
      <c r="BH46" s="98">
        <v>1269</v>
      </c>
      <c r="BI46" s="98">
        <v>5427</v>
      </c>
      <c r="BJ46" s="98"/>
      <c r="BK46" s="98"/>
      <c r="BL46" s="97"/>
    </row>
    <row r="47" spans="1:64" ht="17.25" outlineLevel="5" thickBot="1" x14ac:dyDescent="0.35">
      <c r="A47" s="154">
        <f t="shared" si="5"/>
        <v>1</v>
      </c>
      <c r="B47" s="155">
        <f t="shared" si="12"/>
        <v>45322</v>
      </c>
      <c r="C47" s="138">
        <f t="shared" si="6"/>
        <v>37</v>
      </c>
      <c r="D47" s="183">
        <v>37</v>
      </c>
      <c r="E47" s="183">
        <v>37</v>
      </c>
      <c r="F47" s="84"/>
      <c r="G47" s="84"/>
      <c r="H47" s="156"/>
      <c r="I47" s="156"/>
      <c r="J47" s="156"/>
      <c r="K47" s="156"/>
      <c r="L47" s="140" t="str">
        <f t="shared" si="7"/>
        <v/>
      </c>
      <c r="M47" s="184"/>
      <c r="N47" s="184"/>
      <c r="O47" s="86"/>
      <c r="P47" s="86"/>
      <c r="Q47" s="157"/>
      <c r="R47" s="157"/>
      <c r="S47" s="157"/>
      <c r="T47" s="157"/>
      <c r="U47" s="142" t="str">
        <f t="shared" si="8"/>
        <v/>
      </c>
      <c r="V47" s="158"/>
      <c r="W47" s="158"/>
      <c r="X47" s="158"/>
      <c r="Y47" s="158"/>
      <c r="Z47" s="158"/>
      <c r="AA47" s="158"/>
      <c r="AB47" s="158"/>
      <c r="AC47" s="158"/>
      <c r="AD47" s="142" t="str">
        <f t="shared" si="9"/>
        <v/>
      </c>
      <c r="AE47" s="158"/>
      <c r="AF47" s="158"/>
      <c r="AG47" s="158"/>
      <c r="AH47" s="158"/>
      <c r="AI47" s="158"/>
      <c r="AJ47" s="158"/>
      <c r="AK47" s="158"/>
      <c r="AL47" s="158"/>
      <c r="AM47" s="143">
        <v>42.457497526311052</v>
      </c>
      <c r="AN47" s="88">
        <v>111.17</v>
      </c>
      <c r="AO47" s="159"/>
      <c r="AP47" s="160"/>
      <c r="AQ47" s="146" t="str">
        <f t="shared" si="13"/>
        <v/>
      </c>
      <c r="AR47" s="146" t="str">
        <f t="shared" si="14"/>
        <v/>
      </c>
      <c r="AS47" s="147"/>
      <c r="AT47" s="161"/>
      <c r="AU47" s="162"/>
      <c r="AV47" s="146" t="str">
        <f t="shared" si="15"/>
        <v/>
      </c>
      <c r="AW47" s="146" t="str">
        <f t="shared" si="16"/>
        <v/>
      </c>
      <c r="AX47" s="138" t="str">
        <f t="shared" si="10"/>
        <v/>
      </c>
      <c r="AY47" s="95">
        <v>75.599999999999994</v>
      </c>
      <c r="AZ47" s="163">
        <v>58.58</v>
      </c>
      <c r="BA47" s="163"/>
      <c r="BB47" s="163">
        <v>84.5</v>
      </c>
      <c r="BC47" s="163"/>
      <c r="BD47" s="97">
        <v>111.17</v>
      </c>
      <c r="BE47" s="142">
        <f t="shared" si="11"/>
        <v>8627</v>
      </c>
      <c r="BF47" s="98">
        <v>1025</v>
      </c>
      <c r="BG47" s="98">
        <v>0</v>
      </c>
      <c r="BH47" s="98">
        <v>2134</v>
      </c>
      <c r="BI47" s="98">
        <v>5468</v>
      </c>
      <c r="BJ47" s="98"/>
      <c r="BK47" s="98"/>
      <c r="BL47" s="164"/>
    </row>
    <row r="48" spans="1:64" outlineLevel="4" x14ac:dyDescent="0.3">
      <c r="A48" s="63" t="s">
        <v>57</v>
      </c>
      <c r="B48" s="64"/>
      <c r="C48" s="65">
        <f t="shared" ref="C48:BL48" si="17">SUBTOTAL(4,C17:C47)</f>
        <v>38.700000000000003</v>
      </c>
      <c r="D48" s="66">
        <f t="shared" si="17"/>
        <v>38.6</v>
      </c>
      <c r="E48" s="66">
        <f t="shared" si="17"/>
        <v>38.799999999999997</v>
      </c>
      <c r="F48" s="66">
        <f t="shared" si="17"/>
        <v>0</v>
      </c>
      <c r="G48" s="66">
        <f t="shared" si="17"/>
        <v>0</v>
      </c>
      <c r="H48" s="66">
        <f t="shared" si="17"/>
        <v>0</v>
      </c>
      <c r="I48" s="66">
        <f t="shared" si="17"/>
        <v>0</v>
      </c>
      <c r="J48" s="66">
        <f t="shared" si="17"/>
        <v>0</v>
      </c>
      <c r="K48" s="66">
        <f t="shared" si="17"/>
        <v>0</v>
      </c>
      <c r="L48" s="67">
        <f t="shared" si="17"/>
        <v>9.1</v>
      </c>
      <c r="M48" s="68">
        <f t="shared" si="17"/>
        <v>9.0500000000000007</v>
      </c>
      <c r="N48" s="68">
        <f t="shared" si="17"/>
        <v>9.08</v>
      </c>
      <c r="O48" s="68">
        <f t="shared" si="17"/>
        <v>0</v>
      </c>
      <c r="P48" s="68">
        <f t="shared" si="17"/>
        <v>0</v>
      </c>
      <c r="Q48" s="68">
        <f t="shared" si="17"/>
        <v>0</v>
      </c>
      <c r="R48" s="68">
        <f t="shared" si="17"/>
        <v>0</v>
      </c>
      <c r="S48" s="68">
        <f t="shared" si="17"/>
        <v>0</v>
      </c>
      <c r="T48" s="68">
        <f t="shared" si="17"/>
        <v>0</v>
      </c>
      <c r="U48" s="69">
        <f t="shared" si="17"/>
        <v>2400.4</v>
      </c>
      <c r="V48" s="70">
        <f t="shared" si="17"/>
        <v>2205.8000000000002</v>
      </c>
      <c r="W48" s="70">
        <f t="shared" si="17"/>
        <v>2659.9</v>
      </c>
      <c r="X48" s="70">
        <f t="shared" si="17"/>
        <v>0</v>
      </c>
      <c r="Y48" s="70">
        <f t="shared" si="17"/>
        <v>0</v>
      </c>
      <c r="Z48" s="70">
        <f t="shared" si="17"/>
        <v>0</v>
      </c>
      <c r="AA48" s="70">
        <f t="shared" si="17"/>
        <v>0</v>
      </c>
      <c r="AB48" s="70">
        <f t="shared" si="17"/>
        <v>0</v>
      </c>
      <c r="AC48" s="70">
        <f t="shared" si="17"/>
        <v>0</v>
      </c>
      <c r="AD48" s="69">
        <f t="shared" si="17"/>
        <v>0</v>
      </c>
      <c r="AE48" s="70">
        <f t="shared" si="17"/>
        <v>0</v>
      </c>
      <c r="AF48" s="70">
        <f t="shared" si="17"/>
        <v>0</v>
      </c>
      <c r="AG48" s="70">
        <f t="shared" si="17"/>
        <v>0</v>
      </c>
      <c r="AH48" s="70">
        <f t="shared" si="17"/>
        <v>0</v>
      </c>
      <c r="AI48" s="70">
        <f t="shared" si="17"/>
        <v>0</v>
      </c>
      <c r="AJ48" s="70">
        <f t="shared" si="17"/>
        <v>0</v>
      </c>
      <c r="AK48" s="70">
        <f t="shared" si="17"/>
        <v>0</v>
      </c>
      <c r="AL48" s="70">
        <f t="shared" si="17"/>
        <v>0</v>
      </c>
      <c r="AM48" s="70">
        <f t="shared" si="17"/>
        <v>134.39635535307517</v>
      </c>
      <c r="AN48" s="70">
        <f t="shared" si="17"/>
        <v>125</v>
      </c>
      <c r="AO48" s="71">
        <f t="shared" si="17"/>
        <v>22.6</v>
      </c>
      <c r="AP48" s="72">
        <f t="shared" si="17"/>
        <v>18.399999999999999</v>
      </c>
      <c r="AQ48" s="73">
        <f t="shared" si="17"/>
        <v>88.5</v>
      </c>
      <c r="AR48" s="73">
        <f t="shared" si="17"/>
        <v>23.976608187134502</v>
      </c>
      <c r="AS48" s="74">
        <f t="shared" si="17"/>
        <v>0</v>
      </c>
      <c r="AT48" s="75">
        <f t="shared" si="17"/>
        <v>14.15</v>
      </c>
      <c r="AU48" s="76">
        <f t="shared" si="17"/>
        <v>8.0131499999999996</v>
      </c>
      <c r="AV48" s="73">
        <f t="shared" si="17"/>
        <v>60.673282442748089</v>
      </c>
      <c r="AW48" s="73">
        <f t="shared" si="17"/>
        <v>50.31858736059479</v>
      </c>
      <c r="AX48" s="65">
        <f t="shared" si="17"/>
        <v>82.949609744946287</v>
      </c>
      <c r="AY48" s="77">
        <f t="shared" si="17"/>
        <v>77.3</v>
      </c>
      <c r="AZ48" s="78">
        <f t="shared" si="17"/>
        <v>63.78</v>
      </c>
      <c r="BA48" s="78">
        <f t="shared" si="17"/>
        <v>0</v>
      </c>
      <c r="BB48" s="78">
        <f t="shared" si="17"/>
        <v>97</v>
      </c>
      <c r="BC48" s="78">
        <f t="shared" si="17"/>
        <v>0</v>
      </c>
      <c r="BD48" s="79">
        <f t="shared" si="17"/>
        <v>125</v>
      </c>
      <c r="BE48" s="69">
        <f t="shared" si="17"/>
        <v>8627</v>
      </c>
      <c r="BF48" s="70">
        <f t="shared" si="17"/>
        <v>2271</v>
      </c>
      <c r="BG48" s="80">
        <f t="shared" si="17"/>
        <v>0</v>
      </c>
      <c r="BH48" s="80">
        <f t="shared" si="17"/>
        <v>2175</v>
      </c>
      <c r="BI48" s="80">
        <f t="shared" si="17"/>
        <v>6339</v>
      </c>
      <c r="BJ48" s="80">
        <f t="shared" si="17"/>
        <v>0</v>
      </c>
      <c r="BK48" s="80">
        <f t="shared" si="17"/>
        <v>0</v>
      </c>
      <c r="BL48" s="79">
        <f t="shared" si="17"/>
        <v>0</v>
      </c>
    </row>
    <row r="49" spans="1:64" outlineLevel="3" x14ac:dyDescent="0.3">
      <c r="A49" s="81" t="s">
        <v>58</v>
      </c>
      <c r="B49" s="82"/>
      <c r="C49" s="83">
        <f t="shared" ref="C49:BL49" si="18">SUBTOTAL(5,C17:C47)</f>
        <v>36</v>
      </c>
      <c r="D49" s="84">
        <f t="shared" si="18"/>
        <v>36</v>
      </c>
      <c r="E49" s="84">
        <f t="shared" si="18"/>
        <v>36</v>
      </c>
      <c r="F49" s="84">
        <f t="shared" si="18"/>
        <v>0</v>
      </c>
      <c r="G49" s="84">
        <f t="shared" si="18"/>
        <v>0</v>
      </c>
      <c r="H49" s="84">
        <f t="shared" si="18"/>
        <v>0</v>
      </c>
      <c r="I49" s="84">
        <f t="shared" si="18"/>
        <v>0</v>
      </c>
      <c r="J49" s="84">
        <f t="shared" si="18"/>
        <v>0</v>
      </c>
      <c r="K49" s="84">
        <f t="shared" si="18"/>
        <v>0</v>
      </c>
      <c r="L49" s="85">
        <f t="shared" si="18"/>
        <v>8.1</v>
      </c>
      <c r="M49" s="86">
        <f t="shared" si="18"/>
        <v>7.99</v>
      </c>
      <c r="N49" s="86">
        <f t="shared" si="18"/>
        <v>8.08</v>
      </c>
      <c r="O49" s="86">
        <f t="shared" si="18"/>
        <v>0</v>
      </c>
      <c r="P49" s="86">
        <f t="shared" si="18"/>
        <v>0</v>
      </c>
      <c r="Q49" s="86">
        <f t="shared" si="18"/>
        <v>0</v>
      </c>
      <c r="R49" s="86">
        <f t="shared" si="18"/>
        <v>0</v>
      </c>
      <c r="S49" s="86">
        <f t="shared" si="18"/>
        <v>0</v>
      </c>
      <c r="T49" s="86">
        <f t="shared" si="18"/>
        <v>0</v>
      </c>
      <c r="U49" s="87">
        <f t="shared" si="18"/>
        <v>1567.8</v>
      </c>
      <c r="V49" s="88">
        <f t="shared" si="18"/>
        <v>1675.9</v>
      </c>
      <c r="W49" s="88">
        <f t="shared" si="18"/>
        <v>1459.7</v>
      </c>
      <c r="X49" s="88">
        <f t="shared" si="18"/>
        <v>0</v>
      </c>
      <c r="Y49" s="88">
        <f t="shared" si="18"/>
        <v>0</v>
      </c>
      <c r="Z49" s="88">
        <f t="shared" si="18"/>
        <v>0</v>
      </c>
      <c r="AA49" s="88">
        <f t="shared" si="18"/>
        <v>0</v>
      </c>
      <c r="AB49" s="88">
        <f t="shared" si="18"/>
        <v>0</v>
      </c>
      <c r="AC49" s="88">
        <f t="shared" si="18"/>
        <v>0</v>
      </c>
      <c r="AD49" s="87">
        <f t="shared" si="18"/>
        <v>0</v>
      </c>
      <c r="AE49" s="88">
        <f t="shared" si="18"/>
        <v>0</v>
      </c>
      <c r="AF49" s="88">
        <f t="shared" si="18"/>
        <v>0</v>
      </c>
      <c r="AG49" s="88">
        <f t="shared" si="18"/>
        <v>0</v>
      </c>
      <c r="AH49" s="88">
        <f t="shared" si="18"/>
        <v>0</v>
      </c>
      <c r="AI49" s="88">
        <f t="shared" si="18"/>
        <v>0</v>
      </c>
      <c r="AJ49" s="88">
        <f t="shared" si="18"/>
        <v>0</v>
      </c>
      <c r="AK49" s="88">
        <f t="shared" si="18"/>
        <v>0</v>
      </c>
      <c r="AL49" s="88">
        <f t="shared" si="18"/>
        <v>0</v>
      </c>
      <c r="AM49" s="88">
        <f t="shared" si="18"/>
        <v>37.76</v>
      </c>
      <c r="AN49" s="88">
        <f t="shared" si="18"/>
        <v>16.04</v>
      </c>
      <c r="AO49" s="89">
        <f t="shared" si="18"/>
        <v>17.100000000000001</v>
      </c>
      <c r="AP49" s="90">
        <f t="shared" si="18"/>
        <v>13</v>
      </c>
      <c r="AQ49" s="91">
        <f t="shared" si="18"/>
        <v>76.023391812865498</v>
      </c>
      <c r="AR49" s="91">
        <f t="shared" si="18"/>
        <v>11.5</v>
      </c>
      <c r="AS49" s="92">
        <f t="shared" si="18"/>
        <v>0</v>
      </c>
      <c r="AT49" s="93">
        <f t="shared" si="18"/>
        <v>12.8</v>
      </c>
      <c r="AU49" s="94">
        <f t="shared" si="18"/>
        <v>6.68215</v>
      </c>
      <c r="AV49" s="91">
        <f t="shared" si="18"/>
        <v>49.68141263940521</v>
      </c>
      <c r="AW49" s="91">
        <f t="shared" si="18"/>
        <v>39.326717557251911</v>
      </c>
      <c r="AX49" s="83">
        <f t="shared" si="18"/>
        <v>52.950053400051075</v>
      </c>
      <c r="AY49" s="95">
        <f t="shared" si="18"/>
        <v>73.8</v>
      </c>
      <c r="AZ49" s="96">
        <f t="shared" si="18"/>
        <v>57.605000000000004</v>
      </c>
      <c r="BA49" s="96">
        <f t="shared" si="18"/>
        <v>0</v>
      </c>
      <c r="BB49" s="96">
        <f t="shared" si="18"/>
        <v>38.745000000000005</v>
      </c>
      <c r="BC49" s="96">
        <f t="shared" si="18"/>
        <v>0</v>
      </c>
      <c r="BD49" s="97">
        <f t="shared" si="18"/>
        <v>16.04</v>
      </c>
      <c r="BE49" s="87">
        <f t="shared" si="18"/>
        <v>5908</v>
      </c>
      <c r="BF49" s="88">
        <f t="shared" si="18"/>
        <v>379</v>
      </c>
      <c r="BG49" s="98">
        <f t="shared" si="18"/>
        <v>0</v>
      </c>
      <c r="BH49" s="98">
        <f t="shared" si="18"/>
        <v>0</v>
      </c>
      <c r="BI49" s="98">
        <f t="shared" si="18"/>
        <v>4330</v>
      </c>
      <c r="BJ49" s="98">
        <f t="shared" si="18"/>
        <v>0</v>
      </c>
      <c r="BK49" s="98">
        <f t="shared" si="18"/>
        <v>0</v>
      </c>
      <c r="BL49" s="97">
        <f t="shared" si="18"/>
        <v>0</v>
      </c>
    </row>
    <row r="50" spans="1:64" outlineLevel="2" x14ac:dyDescent="0.3">
      <c r="A50" s="81" t="s">
        <v>59</v>
      </c>
      <c r="B50" s="82"/>
      <c r="C50" s="83">
        <f t="shared" ref="C50:BL50" si="19">IFERROR(SUBTOTAL(1,C17:C47),"")</f>
        <v>37.342857142857142</v>
      </c>
      <c r="D50" s="84">
        <f t="shared" si="19"/>
        <v>37.292857142857144</v>
      </c>
      <c r="E50" s="84">
        <f t="shared" si="19"/>
        <v>37.357142857142854</v>
      </c>
      <c r="F50" s="84" t="str">
        <f t="shared" si="19"/>
        <v/>
      </c>
      <c r="G50" s="84" t="str">
        <f t="shared" si="19"/>
        <v/>
      </c>
      <c r="H50" s="84" t="str">
        <f t="shared" si="19"/>
        <v/>
      </c>
      <c r="I50" s="84" t="str">
        <f t="shared" si="19"/>
        <v/>
      </c>
      <c r="J50" s="84" t="str">
        <f t="shared" si="19"/>
        <v/>
      </c>
      <c r="K50" s="84" t="str">
        <f t="shared" si="19"/>
        <v/>
      </c>
      <c r="L50" s="85">
        <f t="shared" si="19"/>
        <v>8.2083333333333321</v>
      </c>
      <c r="M50" s="86">
        <f t="shared" si="19"/>
        <v>8.1858333333333331</v>
      </c>
      <c r="N50" s="86">
        <f t="shared" si="19"/>
        <v>8.206666666666667</v>
      </c>
      <c r="O50" s="86" t="str">
        <f t="shared" si="19"/>
        <v/>
      </c>
      <c r="P50" s="86" t="str">
        <f t="shared" si="19"/>
        <v/>
      </c>
      <c r="Q50" s="86" t="str">
        <f t="shared" si="19"/>
        <v/>
      </c>
      <c r="R50" s="86" t="str">
        <f t="shared" si="19"/>
        <v/>
      </c>
      <c r="S50" s="86" t="str">
        <f t="shared" si="19"/>
        <v/>
      </c>
      <c r="T50" s="86" t="str">
        <f t="shared" si="19"/>
        <v/>
      </c>
      <c r="U50" s="87">
        <f t="shared" si="19"/>
        <v>1901.1916666666668</v>
      </c>
      <c r="V50" s="88">
        <f t="shared" si="19"/>
        <v>1968.7416666666666</v>
      </c>
      <c r="W50" s="88">
        <f t="shared" si="19"/>
        <v>1833.6083333333336</v>
      </c>
      <c r="X50" s="88" t="str">
        <f t="shared" si="19"/>
        <v/>
      </c>
      <c r="Y50" s="88" t="str">
        <f t="shared" si="19"/>
        <v/>
      </c>
      <c r="Z50" s="88" t="str">
        <f t="shared" si="19"/>
        <v/>
      </c>
      <c r="AA50" s="88" t="str">
        <f t="shared" si="19"/>
        <v/>
      </c>
      <c r="AB50" s="88" t="str">
        <f t="shared" si="19"/>
        <v/>
      </c>
      <c r="AC50" s="88" t="str">
        <f t="shared" si="19"/>
        <v/>
      </c>
      <c r="AD50" s="87" t="str">
        <f t="shared" si="19"/>
        <v/>
      </c>
      <c r="AE50" s="88" t="str">
        <f t="shared" si="19"/>
        <v/>
      </c>
      <c r="AF50" s="88" t="str">
        <f t="shared" si="19"/>
        <v/>
      </c>
      <c r="AG50" s="88" t="str">
        <f t="shared" si="19"/>
        <v/>
      </c>
      <c r="AH50" s="88" t="str">
        <f t="shared" si="19"/>
        <v/>
      </c>
      <c r="AI50" s="88" t="str">
        <f t="shared" si="19"/>
        <v/>
      </c>
      <c r="AJ50" s="88" t="str">
        <f t="shared" si="19"/>
        <v/>
      </c>
      <c r="AK50" s="88" t="str">
        <f t="shared" si="19"/>
        <v/>
      </c>
      <c r="AL50" s="88" t="str">
        <f t="shared" si="19"/>
        <v/>
      </c>
      <c r="AM50" s="88">
        <f t="shared" si="19"/>
        <v>59.2920315421105</v>
      </c>
      <c r="AN50" s="88">
        <f t="shared" si="19"/>
        <v>84.375483870967756</v>
      </c>
      <c r="AO50" s="89">
        <f t="shared" si="19"/>
        <v>19.414285714285715</v>
      </c>
      <c r="AP50" s="90">
        <f t="shared" si="19"/>
        <v>15.595714285714285</v>
      </c>
      <c r="AQ50" s="91">
        <f t="shared" si="19"/>
        <v>80.194199739168965</v>
      </c>
      <c r="AR50" s="91">
        <f t="shared" si="19"/>
        <v>19.805800260831038</v>
      </c>
      <c r="AS50" s="92" t="str">
        <f t="shared" si="19"/>
        <v/>
      </c>
      <c r="AT50" s="93">
        <f t="shared" si="19"/>
        <v>13.486363636363636</v>
      </c>
      <c r="AU50" s="94">
        <f t="shared" si="19"/>
        <v>7.5955681818181828</v>
      </c>
      <c r="AV50" s="91">
        <f t="shared" si="19"/>
        <v>56.33314465130357</v>
      </c>
      <c r="AW50" s="91">
        <f t="shared" si="19"/>
        <v>43.666855348696416</v>
      </c>
      <c r="AX50" s="83">
        <f t="shared" si="19"/>
        <v>66.395636501342807</v>
      </c>
      <c r="AY50" s="95">
        <f t="shared" si="19"/>
        <v>75.276923076923083</v>
      </c>
      <c r="AZ50" s="96">
        <f t="shared" si="19"/>
        <v>60.583333333333336</v>
      </c>
      <c r="BA50" s="96" t="str">
        <f t="shared" si="19"/>
        <v/>
      </c>
      <c r="BB50" s="96">
        <f t="shared" si="19"/>
        <v>74.43416666666667</v>
      </c>
      <c r="BC50" s="96" t="str">
        <f t="shared" si="19"/>
        <v/>
      </c>
      <c r="BD50" s="97">
        <f>IFERROR(SUBTOTAL(1,BD17:BD47),"")</f>
        <v>84.375483870967756</v>
      </c>
      <c r="BE50" s="87">
        <f t="shared" si="19"/>
        <v>6977.322580645161</v>
      </c>
      <c r="BF50" s="88">
        <f t="shared" si="19"/>
        <v>1010.741935483871</v>
      </c>
      <c r="BG50" s="98">
        <f t="shared" si="19"/>
        <v>0</v>
      </c>
      <c r="BH50" s="98">
        <f t="shared" si="19"/>
        <v>280.35483870967744</v>
      </c>
      <c r="BI50" s="98">
        <f t="shared" si="19"/>
        <v>5686.2258064516127</v>
      </c>
      <c r="BJ50" s="98" t="str">
        <f t="shared" si="19"/>
        <v/>
      </c>
      <c r="BK50" s="98" t="str">
        <f t="shared" si="19"/>
        <v/>
      </c>
      <c r="BL50" s="97" t="str">
        <f t="shared" si="19"/>
        <v/>
      </c>
    </row>
    <row r="51" spans="1:64" ht="17.25" outlineLevel="1" thickBot="1" x14ac:dyDescent="0.35">
      <c r="A51" s="99" t="s">
        <v>60</v>
      </c>
      <c r="B51" s="100"/>
      <c r="C51" s="101"/>
      <c r="D51" s="102"/>
      <c r="E51" s="102"/>
      <c r="F51" s="102"/>
      <c r="G51" s="102"/>
      <c r="H51" s="102"/>
      <c r="I51" s="102"/>
      <c r="J51" s="102"/>
      <c r="K51" s="102"/>
      <c r="L51" s="103"/>
      <c r="M51" s="104"/>
      <c r="N51" s="104"/>
      <c r="O51" s="104"/>
      <c r="P51" s="104"/>
      <c r="Q51" s="104"/>
      <c r="R51" s="104"/>
      <c r="S51" s="104"/>
      <c r="T51" s="104"/>
      <c r="U51" s="105"/>
      <c r="V51" s="106"/>
      <c r="W51" s="106"/>
      <c r="X51" s="106"/>
      <c r="Y51" s="106"/>
      <c r="Z51" s="106"/>
      <c r="AA51" s="106"/>
      <c r="AB51" s="106"/>
      <c r="AC51" s="106"/>
      <c r="AD51" s="105"/>
      <c r="AE51" s="106"/>
      <c r="AF51" s="106"/>
      <c r="AG51" s="106"/>
      <c r="AH51" s="106"/>
      <c r="AI51" s="106"/>
      <c r="AJ51" s="106"/>
      <c r="AK51" s="106"/>
      <c r="AL51" s="106"/>
      <c r="AM51" s="106"/>
      <c r="AN51" s="107">
        <f>SUBTOTAL(9,AN17:AN47)</f>
        <v>2615.6400000000003</v>
      </c>
      <c r="AO51" s="108"/>
      <c r="AP51" s="109"/>
      <c r="AQ51" s="110"/>
      <c r="AR51" s="110"/>
      <c r="AS51" s="111">
        <f>SUBTOTAL(9,AS17:AS47)</f>
        <v>0</v>
      </c>
      <c r="AT51" s="112"/>
      <c r="AU51" s="113"/>
      <c r="AV51" s="110"/>
      <c r="AW51" s="110"/>
      <c r="AX51" s="101"/>
      <c r="AY51" s="114"/>
      <c r="AZ51" s="115"/>
      <c r="BA51" s="115"/>
      <c r="BB51" s="115"/>
      <c r="BC51" s="115"/>
      <c r="BD51" s="116">
        <f>SUBTOTAL(9,BD17:BD47)</f>
        <v>2615.6400000000003</v>
      </c>
      <c r="BE51" s="117">
        <f t="shared" ref="BE51:BL51" si="20">SUBTOTAL(9,BE17:BE47)</f>
        <v>216297</v>
      </c>
      <c r="BF51" s="107">
        <f t="shared" si="20"/>
        <v>31333</v>
      </c>
      <c r="BG51" s="118">
        <f t="shared" si="20"/>
        <v>0</v>
      </c>
      <c r="BH51" s="118">
        <f t="shared" si="20"/>
        <v>8691</v>
      </c>
      <c r="BI51" s="118">
        <f t="shared" si="20"/>
        <v>176273</v>
      </c>
      <c r="BJ51" s="118">
        <f t="shared" si="20"/>
        <v>0</v>
      </c>
      <c r="BK51" s="118">
        <f t="shared" si="20"/>
        <v>0</v>
      </c>
      <c r="BL51" s="116">
        <f t="shared" si="20"/>
        <v>0</v>
      </c>
    </row>
    <row r="52" spans="1:64" outlineLevel="5" x14ac:dyDescent="0.3">
      <c r="A52" s="136">
        <f t="shared" si="5"/>
        <v>2</v>
      </c>
      <c r="B52" s="165">
        <f>B47+1</f>
        <v>45323</v>
      </c>
      <c r="C52" s="138">
        <f t="shared" ref="C52:C80" si="21">IFERROR(ROUND(AVERAGE(D52:K52),1),"")</f>
        <v>37</v>
      </c>
      <c r="D52" s="186">
        <v>37</v>
      </c>
      <c r="E52" s="186">
        <v>37</v>
      </c>
      <c r="F52" s="84"/>
      <c r="G52" s="84"/>
      <c r="H52" s="139"/>
      <c r="I52" s="139"/>
      <c r="J52" s="139"/>
      <c r="K52" s="139"/>
      <c r="L52" s="140">
        <f t="shared" ref="L52:L80" si="22">IFERROR(ROUND(AVERAGE(M52:T52),1),"")</f>
        <v>8</v>
      </c>
      <c r="M52" s="187">
        <v>8.0299999999999994</v>
      </c>
      <c r="N52" s="187">
        <v>8.02</v>
      </c>
      <c r="O52" s="141"/>
      <c r="P52" s="141"/>
      <c r="Q52" s="141"/>
      <c r="R52" s="141"/>
      <c r="S52" s="141"/>
      <c r="T52" s="141"/>
      <c r="U52" s="142">
        <f t="shared" ref="U52:U80" si="23">IFERROR(ROUND(AVERAGE(V52:AC52),1),"")</f>
        <v>2016.6</v>
      </c>
      <c r="V52" s="188">
        <v>2141</v>
      </c>
      <c r="W52" s="188">
        <v>1892.2</v>
      </c>
      <c r="X52" s="143"/>
      <c r="Y52" s="143"/>
      <c r="Z52" s="143"/>
      <c r="AA52" s="143"/>
      <c r="AB52" s="143"/>
      <c r="AC52" s="143"/>
      <c r="AD52" s="142" t="str">
        <f t="shared" ref="AD52:AD80" si="24">IFERROR(ROUND(AVERAGE(AE52:AL52),1),"")</f>
        <v/>
      </c>
      <c r="AE52" s="143"/>
      <c r="AF52" s="143"/>
      <c r="AG52" s="143"/>
      <c r="AH52" s="143"/>
      <c r="AI52" s="143"/>
      <c r="AJ52" s="143"/>
      <c r="AK52" s="143"/>
      <c r="AL52" s="143"/>
      <c r="AM52" s="143">
        <v>54.832713754646839</v>
      </c>
      <c r="AN52" s="88">
        <v>86.08</v>
      </c>
      <c r="AO52" s="144"/>
      <c r="AP52" s="145"/>
      <c r="AQ52" s="146" t="str">
        <f t="shared" ref="AQ52:AQ80" si="25">IFERROR(AP52/AO52*100,"")</f>
        <v/>
      </c>
      <c r="AR52" s="146" t="str">
        <f t="shared" ref="AR52:AR80" si="26">IFERROR(100-AQ52,"")</f>
        <v/>
      </c>
      <c r="AS52" s="147"/>
      <c r="AT52" s="148">
        <v>12.3</v>
      </c>
      <c r="AU52" s="149">
        <v>7.4093999999999998</v>
      </c>
      <c r="AV52" s="146">
        <f t="shared" ref="AV52:AV80" si="27">IFERROR(AU52/AT52*100,"")</f>
        <v>60.239024390243898</v>
      </c>
      <c r="AW52" s="146">
        <f t="shared" ref="AW52:AW80" si="28">IFERROR(100-AV52,"")</f>
        <v>39.760975609756102</v>
      </c>
      <c r="AX52" s="138" t="str">
        <f t="shared" ref="AX52:AX80" si="29">IFERROR((1-((AV52*AR52)/(AW52*AQ52)))*100,"")</f>
        <v/>
      </c>
      <c r="AY52">
        <v>75.5</v>
      </c>
      <c r="AZ52" s="150">
        <v>62.075000000000003</v>
      </c>
      <c r="BA52" s="150"/>
      <c r="BB52" s="150">
        <v>66</v>
      </c>
      <c r="BC52" s="150"/>
      <c r="BD52" s="97">
        <v>86.08</v>
      </c>
      <c r="BE52" s="142">
        <f t="shared" ref="BE52:BE80" si="30">IF(SUM(BF52:BL52)=0,"",SUM(BF52:BL52))</f>
        <v>8266</v>
      </c>
      <c r="BF52" s="98">
        <v>1261</v>
      </c>
      <c r="BG52" s="98">
        <v>0</v>
      </c>
      <c r="BH52" s="98">
        <v>1914</v>
      </c>
      <c r="BI52" s="98">
        <v>5091</v>
      </c>
      <c r="BJ52" s="98"/>
      <c r="BK52" s="98"/>
      <c r="BL52" s="151"/>
    </row>
    <row r="53" spans="1:64" outlineLevel="5" x14ac:dyDescent="0.3">
      <c r="A53" s="152">
        <f t="shared" si="5"/>
        <v>2</v>
      </c>
      <c r="B53" s="153">
        <f t="shared" si="12"/>
        <v>45324</v>
      </c>
      <c r="C53" s="138" t="str">
        <f t="shared" si="21"/>
        <v/>
      </c>
      <c r="D53" s="186"/>
      <c r="E53" s="186"/>
      <c r="F53" s="84"/>
      <c r="G53" s="84"/>
      <c r="H53" s="84"/>
      <c r="I53" s="84"/>
      <c r="J53" s="84"/>
      <c r="K53" s="84"/>
      <c r="L53" s="140" t="str">
        <f t="shared" si="22"/>
        <v/>
      </c>
      <c r="M53" s="187"/>
      <c r="N53" s="187"/>
      <c r="O53" s="141"/>
      <c r="P53" s="141"/>
      <c r="Q53" s="86"/>
      <c r="R53" s="86"/>
      <c r="S53" s="86"/>
      <c r="T53" s="86"/>
      <c r="U53" s="142" t="str">
        <f t="shared" si="23"/>
        <v/>
      </c>
      <c r="V53" s="188"/>
      <c r="W53" s="188"/>
      <c r="X53" s="88"/>
      <c r="Y53" s="88"/>
      <c r="Z53" s="88"/>
      <c r="AA53" s="88"/>
      <c r="AB53" s="88"/>
      <c r="AC53" s="88"/>
      <c r="AD53" s="142" t="str">
        <f t="shared" si="24"/>
        <v/>
      </c>
      <c r="AE53" s="88"/>
      <c r="AF53" s="88"/>
      <c r="AG53" s="88"/>
      <c r="AH53" s="88"/>
      <c r="AI53" s="88"/>
      <c r="AJ53" s="88"/>
      <c r="AK53" s="88"/>
      <c r="AL53" s="88"/>
      <c r="AM53" s="143">
        <v>68.336470247574937</v>
      </c>
      <c r="AN53" s="88">
        <v>69.069999999999993</v>
      </c>
      <c r="AO53" s="89"/>
      <c r="AP53" s="90"/>
      <c r="AQ53" s="146" t="str">
        <f t="shared" si="25"/>
        <v/>
      </c>
      <c r="AR53" s="146" t="str">
        <f t="shared" si="26"/>
        <v/>
      </c>
      <c r="AS53" s="147"/>
      <c r="AT53" s="148"/>
      <c r="AU53" s="149"/>
      <c r="AV53" s="146" t="str">
        <f t="shared" si="27"/>
        <v/>
      </c>
      <c r="AW53" s="146" t="str">
        <f t="shared" si="28"/>
        <v/>
      </c>
      <c r="AX53" s="138" t="str">
        <f t="shared" si="29"/>
        <v/>
      </c>
      <c r="AY53" s="95"/>
      <c r="AZ53" s="96">
        <v>57.010000000000005</v>
      </c>
      <c r="BA53" s="96"/>
      <c r="BB53" s="96">
        <v>92.5</v>
      </c>
      <c r="BC53" s="96"/>
      <c r="BD53" s="97">
        <v>69.069999999999993</v>
      </c>
      <c r="BE53" s="142">
        <f t="shared" si="30"/>
        <v>6680</v>
      </c>
      <c r="BF53" s="98">
        <v>920</v>
      </c>
      <c r="BG53" s="98">
        <v>0</v>
      </c>
      <c r="BH53" s="98">
        <v>950</v>
      </c>
      <c r="BI53" s="98">
        <v>4810</v>
      </c>
      <c r="BJ53" s="98"/>
      <c r="BK53" s="98"/>
      <c r="BL53" s="97"/>
    </row>
    <row r="54" spans="1:64" outlineLevel="5" x14ac:dyDescent="0.3">
      <c r="A54" s="152">
        <f t="shared" si="5"/>
        <v>2</v>
      </c>
      <c r="B54" s="153">
        <f t="shared" si="12"/>
        <v>45325</v>
      </c>
      <c r="C54" s="138" t="str">
        <f t="shared" si="21"/>
        <v/>
      </c>
      <c r="D54" s="186"/>
      <c r="E54" s="186"/>
      <c r="F54" s="84"/>
      <c r="G54" s="84"/>
      <c r="H54" s="84"/>
      <c r="I54" s="84"/>
      <c r="J54" s="84"/>
      <c r="K54" s="84"/>
      <c r="L54" s="140" t="str">
        <f t="shared" si="22"/>
        <v/>
      </c>
      <c r="M54" s="187"/>
      <c r="N54" s="187"/>
      <c r="O54" s="141"/>
      <c r="P54" s="141"/>
      <c r="Q54" s="86"/>
      <c r="R54" s="86"/>
      <c r="S54" s="86"/>
      <c r="T54" s="86"/>
      <c r="U54" s="142" t="str">
        <f t="shared" si="23"/>
        <v/>
      </c>
      <c r="V54" s="188"/>
      <c r="W54" s="188"/>
      <c r="X54" s="88"/>
      <c r="Y54" s="88"/>
      <c r="Z54" s="88"/>
      <c r="AA54" s="88"/>
      <c r="AB54" s="88"/>
      <c r="AC54" s="88"/>
      <c r="AD54" s="142" t="str">
        <f t="shared" si="24"/>
        <v/>
      </c>
      <c r="AE54" s="88"/>
      <c r="AF54" s="88"/>
      <c r="AG54" s="88"/>
      <c r="AH54" s="88"/>
      <c r="AI54" s="88"/>
      <c r="AJ54" s="88"/>
      <c r="AK54" s="88"/>
      <c r="AL54" s="88"/>
      <c r="AM54" s="143">
        <v>55.140186915887853</v>
      </c>
      <c r="AN54" s="88">
        <v>85.6</v>
      </c>
      <c r="AO54" s="89"/>
      <c r="AP54" s="90"/>
      <c r="AQ54" s="146" t="str">
        <f t="shared" si="25"/>
        <v/>
      </c>
      <c r="AR54" s="146" t="str">
        <f t="shared" si="26"/>
        <v/>
      </c>
      <c r="AS54" s="147"/>
      <c r="AT54" s="148"/>
      <c r="AU54" s="149"/>
      <c r="AV54" s="146" t="str">
        <f t="shared" si="27"/>
        <v/>
      </c>
      <c r="AW54" s="146" t="str">
        <f t="shared" si="28"/>
        <v/>
      </c>
      <c r="AX54" s="138" t="str">
        <f t="shared" si="29"/>
        <v/>
      </c>
      <c r="AY54" s="95"/>
      <c r="AZ54" s="96"/>
      <c r="BA54" s="96"/>
      <c r="BB54" s="96"/>
      <c r="BC54" s="96"/>
      <c r="BD54" s="97">
        <v>85.6</v>
      </c>
      <c r="BE54" s="142">
        <f t="shared" si="30"/>
        <v>5930</v>
      </c>
      <c r="BF54" s="98">
        <v>913</v>
      </c>
      <c r="BG54" s="98">
        <v>0</v>
      </c>
      <c r="BH54" s="98">
        <v>0</v>
      </c>
      <c r="BI54" s="98">
        <v>5017</v>
      </c>
      <c r="BJ54" s="98"/>
      <c r="BK54" s="98"/>
      <c r="BL54" s="97"/>
    </row>
    <row r="55" spans="1:64" outlineLevel="5" x14ac:dyDescent="0.3">
      <c r="A55" s="152">
        <f t="shared" si="5"/>
        <v>2</v>
      </c>
      <c r="B55" s="153">
        <f t="shared" si="12"/>
        <v>45326</v>
      </c>
      <c r="C55" s="138" t="str">
        <f t="shared" si="21"/>
        <v/>
      </c>
      <c r="D55" s="186"/>
      <c r="E55" s="186"/>
      <c r="F55" s="84"/>
      <c r="G55" s="84"/>
      <c r="H55" s="84"/>
      <c r="I55" s="84"/>
      <c r="J55" s="84"/>
      <c r="K55" s="84"/>
      <c r="L55" s="140" t="str">
        <f t="shared" si="22"/>
        <v/>
      </c>
      <c r="M55" s="187"/>
      <c r="N55" s="187"/>
      <c r="O55" s="141"/>
      <c r="P55" s="141"/>
      <c r="Q55" s="86"/>
      <c r="R55" s="86"/>
      <c r="S55" s="86"/>
      <c r="T55" s="86"/>
      <c r="U55" s="142" t="str">
        <f t="shared" si="23"/>
        <v/>
      </c>
      <c r="V55" s="188"/>
      <c r="W55" s="188"/>
      <c r="X55" s="88"/>
      <c r="Y55" s="88"/>
      <c r="Z55" s="88"/>
      <c r="AA55" s="88"/>
      <c r="AB55" s="88"/>
      <c r="AC55" s="88"/>
      <c r="AD55" s="142" t="str">
        <f t="shared" si="24"/>
        <v/>
      </c>
      <c r="AE55" s="88"/>
      <c r="AF55" s="88"/>
      <c r="AG55" s="88"/>
      <c r="AH55" s="88"/>
      <c r="AI55" s="88"/>
      <c r="AJ55" s="88"/>
      <c r="AK55" s="88"/>
      <c r="AL55" s="88"/>
      <c r="AM55" s="143">
        <v>62.93333333333333</v>
      </c>
      <c r="AN55" s="88">
        <v>75</v>
      </c>
      <c r="AO55" s="89"/>
      <c r="AP55" s="90"/>
      <c r="AQ55" s="146" t="str">
        <f t="shared" si="25"/>
        <v/>
      </c>
      <c r="AR55" s="146" t="str">
        <f t="shared" si="26"/>
        <v/>
      </c>
      <c r="AS55" s="147"/>
      <c r="AT55" s="148"/>
      <c r="AU55" s="149"/>
      <c r="AV55" s="146" t="str">
        <f t="shared" si="27"/>
        <v/>
      </c>
      <c r="AW55" s="146" t="str">
        <f t="shared" si="28"/>
        <v/>
      </c>
      <c r="AX55" s="138" t="str">
        <f t="shared" si="29"/>
        <v/>
      </c>
      <c r="AY55" s="95"/>
      <c r="AZ55" s="96"/>
      <c r="BA55" s="96"/>
      <c r="BB55" s="96"/>
      <c r="BC55" s="96"/>
      <c r="BD55" s="97">
        <v>75</v>
      </c>
      <c r="BE55" s="142">
        <f t="shared" si="30"/>
        <v>5193</v>
      </c>
      <c r="BF55" s="98">
        <v>285</v>
      </c>
      <c r="BG55" s="98">
        <v>0</v>
      </c>
      <c r="BH55" s="98">
        <v>0</v>
      </c>
      <c r="BI55" s="98">
        <v>4908</v>
      </c>
      <c r="BJ55" s="98"/>
      <c r="BK55" s="98"/>
      <c r="BL55" s="97"/>
    </row>
    <row r="56" spans="1:64" outlineLevel="5" x14ac:dyDescent="0.3">
      <c r="A56" s="152">
        <f t="shared" si="5"/>
        <v>2</v>
      </c>
      <c r="B56" s="153">
        <f t="shared" si="12"/>
        <v>45327</v>
      </c>
      <c r="C56" s="138">
        <f t="shared" si="21"/>
        <v>36.5</v>
      </c>
      <c r="D56" s="186">
        <v>37</v>
      </c>
      <c r="E56" s="186">
        <v>36</v>
      </c>
      <c r="F56" s="84"/>
      <c r="G56" s="84"/>
      <c r="H56" s="84"/>
      <c r="I56" s="84"/>
      <c r="J56" s="84"/>
      <c r="K56" s="84"/>
      <c r="L56" s="140">
        <f t="shared" si="22"/>
        <v>8.1</v>
      </c>
      <c r="M56" s="187">
        <v>8.08</v>
      </c>
      <c r="N56" s="187">
        <v>8.1199999999999992</v>
      </c>
      <c r="O56" s="141"/>
      <c r="P56" s="141"/>
      <c r="Q56" s="86"/>
      <c r="R56" s="86"/>
      <c r="S56" s="86"/>
      <c r="T56" s="86"/>
      <c r="U56" s="142">
        <f t="shared" si="23"/>
        <v>1870.6</v>
      </c>
      <c r="V56" s="188">
        <v>1913.8</v>
      </c>
      <c r="W56" s="188">
        <v>1827.3</v>
      </c>
      <c r="X56" s="88"/>
      <c r="Y56" s="88"/>
      <c r="Z56" s="88"/>
      <c r="AA56" s="88"/>
      <c r="AB56" s="88"/>
      <c r="AC56" s="88"/>
      <c r="AD56" s="142" t="str">
        <f t="shared" si="24"/>
        <v/>
      </c>
      <c r="AE56" s="88"/>
      <c r="AF56" s="88"/>
      <c r="AG56" s="88"/>
      <c r="AH56" s="88"/>
      <c r="AI56" s="88"/>
      <c r="AJ56" s="88"/>
      <c r="AK56" s="88"/>
      <c r="AL56" s="88"/>
      <c r="AM56" s="143">
        <v>149.3198354950965</v>
      </c>
      <c r="AN56" s="88">
        <v>31.61</v>
      </c>
      <c r="AO56" s="89">
        <v>24.4</v>
      </c>
      <c r="AP56" s="90">
        <v>17</v>
      </c>
      <c r="AQ56" s="146">
        <f t="shared" si="25"/>
        <v>69.672131147540981</v>
      </c>
      <c r="AR56" s="146">
        <f t="shared" si="26"/>
        <v>30.327868852459019</v>
      </c>
      <c r="AS56" s="147"/>
      <c r="AT56" s="148">
        <v>14.15</v>
      </c>
      <c r="AU56" s="149">
        <v>6.6644000000000005</v>
      </c>
      <c r="AV56" s="146">
        <f t="shared" si="27"/>
        <v>47.098233215547708</v>
      </c>
      <c r="AW56" s="146">
        <f t="shared" si="28"/>
        <v>52.901766784452292</v>
      </c>
      <c r="AX56" s="138">
        <f t="shared" si="29"/>
        <v>61.245937297650684</v>
      </c>
      <c r="AY56" s="95">
        <v>76.599999999999994</v>
      </c>
      <c r="AZ56" s="96"/>
      <c r="BA56" s="96"/>
      <c r="BB56" s="96"/>
      <c r="BC56" s="96"/>
      <c r="BD56" s="97">
        <v>31.61</v>
      </c>
      <c r="BE56" s="142">
        <f t="shared" si="30"/>
        <v>7102</v>
      </c>
      <c r="BF56" s="98">
        <v>1246</v>
      </c>
      <c r="BG56" s="98">
        <v>0</v>
      </c>
      <c r="BH56" s="98">
        <v>662</v>
      </c>
      <c r="BI56" s="98">
        <v>5194</v>
      </c>
      <c r="BJ56" s="98"/>
      <c r="BK56" s="98"/>
      <c r="BL56" s="97"/>
    </row>
    <row r="57" spans="1:64" outlineLevel="5" x14ac:dyDescent="0.3">
      <c r="A57" s="152">
        <f t="shared" si="5"/>
        <v>2</v>
      </c>
      <c r="B57" s="153">
        <f t="shared" si="12"/>
        <v>45328</v>
      </c>
      <c r="C57" s="138" t="str">
        <f t="shared" si="21"/>
        <v/>
      </c>
      <c r="D57" s="186"/>
      <c r="E57" s="186"/>
      <c r="F57" s="84"/>
      <c r="G57" s="84"/>
      <c r="H57" s="84"/>
      <c r="I57" s="84"/>
      <c r="J57" s="84"/>
      <c r="K57" s="84"/>
      <c r="L57" s="140" t="str">
        <f t="shared" si="22"/>
        <v/>
      </c>
      <c r="M57" s="187"/>
      <c r="N57" s="187"/>
      <c r="O57" s="141"/>
      <c r="P57" s="141"/>
      <c r="Q57" s="86"/>
      <c r="R57" s="86"/>
      <c r="S57" s="86"/>
      <c r="T57" s="86"/>
      <c r="U57" s="142" t="str">
        <f t="shared" si="23"/>
        <v/>
      </c>
      <c r="V57" s="188"/>
      <c r="W57" s="188"/>
      <c r="X57" s="88"/>
      <c r="Y57" s="88"/>
      <c r="Z57" s="88"/>
      <c r="AA57" s="88"/>
      <c r="AB57" s="88"/>
      <c r="AC57" s="88"/>
      <c r="AD57" s="142" t="str">
        <f t="shared" si="24"/>
        <v/>
      </c>
      <c r="AE57" s="88"/>
      <c r="AF57" s="88"/>
      <c r="AG57" s="88"/>
      <c r="AH57" s="88"/>
      <c r="AI57" s="88"/>
      <c r="AJ57" s="88"/>
      <c r="AK57" s="88"/>
      <c r="AL57" s="88"/>
      <c r="AM57" s="143">
        <v>40.518499442012192</v>
      </c>
      <c r="AN57" s="88">
        <v>116.49</v>
      </c>
      <c r="AO57" s="89"/>
      <c r="AP57" s="90"/>
      <c r="AQ57" s="146" t="str">
        <f t="shared" si="25"/>
        <v/>
      </c>
      <c r="AR57" s="146" t="str">
        <f t="shared" si="26"/>
        <v/>
      </c>
      <c r="AS57" s="147"/>
      <c r="AT57" s="148"/>
      <c r="AU57" s="149"/>
      <c r="AV57" s="146" t="str">
        <f t="shared" si="27"/>
        <v/>
      </c>
      <c r="AW57" s="146" t="str">
        <f t="shared" si="28"/>
        <v/>
      </c>
      <c r="AX57" s="138" t="str">
        <f t="shared" si="29"/>
        <v/>
      </c>
      <c r="AY57" s="95"/>
      <c r="AZ57" s="96">
        <v>58.325000000000003</v>
      </c>
      <c r="BA57" s="96"/>
      <c r="BB57" s="96">
        <v>101</v>
      </c>
      <c r="BC57" s="96"/>
      <c r="BD57" s="97">
        <v>116.49</v>
      </c>
      <c r="BE57" s="142">
        <f t="shared" si="30"/>
        <v>9487</v>
      </c>
      <c r="BF57" s="98">
        <v>957</v>
      </c>
      <c r="BG57" s="98">
        <v>0</v>
      </c>
      <c r="BH57" s="98">
        <v>3028</v>
      </c>
      <c r="BI57" s="98">
        <v>5502</v>
      </c>
      <c r="BJ57" s="98"/>
      <c r="BK57" s="98"/>
      <c r="BL57" s="97"/>
    </row>
    <row r="58" spans="1:64" outlineLevel="5" x14ac:dyDescent="0.3">
      <c r="A58" s="152">
        <f t="shared" si="5"/>
        <v>2</v>
      </c>
      <c r="B58" s="153">
        <f t="shared" si="12"/>
        <v>45329</v>
      </c>
      <c r="C58" s="138">
        <f t="shared" si="21"/>
        <v>36</v>
      </c>
      <c r="D58" s="186">
        <v>36</v>
      </c>
      <c r="E58" s="186">
        <v>36</v>
      </c>
      <c r="F58" s="84"/>
      <c r="G58" s="84"/>
      <c r="H58" s="84"/>
      <c r="I58" s="84"/>
      <c r="J58" s="84"/>
      <c r="K58" s="84"/>
      <c r="L58" s="140">
        <f t="shared" si="22"/>
        <v>8</v>
      </c>
      <c r="M58" s="187">
        <v>7.93</v>
      </c>
      <c r="N58" s="187">
        <v>7.98</v>
      </c>
      <c r="O58" s="141"/>
      <c r="P58" s="141"/>
      <c r="Q58" s="86"/>
      <c r="R58" s="86"/>
      <c r="S58" s="86"/>
      <c r="T58" s="86"/>
      <c r="U58" s="142">
        <f t="shared" si="23"/>
        <v>2108.5</v>
      </c>
      <c r="V58" s="188">
        <v>2076</v>
      </c>
      <c r="W58" s="188">
        <v>2140.9</v>
      </c>
      <c r="X58" s="88"/>
      <c r="Y58" s="88"/>
      <c r="Z58" s="88"/>
      <c r="AA58" s="88"/>
      <c r="AB58" s="88"/>
      <c r="AC58" s="88"/>
      <c r="AD58" s="142" t="str">
        <f t="shared" si="24"/>
        <v/>
      </c>
      <c r="AE58" s="88"/>
      <c r="AF58" s="88"/>
      <c r="AG58" s="88"/>
      <c r="AH58" s="88"/>
      <c r="AI58" s="88"/>
      <c r="AJ58" s="88"/>
      <c r="AK58" s="88"/>
      <c r="AL58" s="88"/>
      <c r="AM58" s="143">
        <v>38.660004914407402</v>
      </c>
      <c r="AN58" s="88">
        <v>122.09</v>
      </c>
      <c r="AO58" s="89"/>
      <c r="AP58" s="90"/>
      <c r="AQ58" s="146" t="str">
        <f t="shared" si="25"/>
        <v/>
      </c>
      <c r="AR58" s="146" t="str">
        <f t="shared" si="26"/>
        <v/>
      </c>
      <c r="AS58" s="147"/>
      <c r="AT58" s="148">
        <v>12.45</v>
      </c>
      <c r="AU58" s="149">
        <v>7.5996500000000005</v>
      </c>
      <c r="AV58" s="146">
        <f t="shared" si="27"/>
        <v>61.041365461847398</v>
      </c>
      <c r="AW58" s="146">
        <f t="shared" si="28"/>
        <v>38.958634538152602</v>
      </c>
      <c r="AX58" s="138" t="str">
        <f t="shared" si="29"/>
        <v/>
      </c>
      <c r="AY58" s="95">
        <v>77.099999999999994</v>
      </c>
      <c r="AZ58" s="96"/>
      <c r="BA58" s="96"/>
      <c r="BB58" s="96"/>
      <c r="BC58" s="96"/>
      <c r="BD58" s="97">
        <v>122.09</v>
      </c>
      <c r="BE58" s="142">
        <f t="shared" si="30"/>
        <v>8568</v>
      </c>
      <c r="BF58" s="98">
        <v>824</v>
      </c>
      <c r="BG58" s="98">
        <v>0</v>
      </c>
      <c r="BH58" s="98">
        <v>2538</v>
      </c>
      <c r="BI58" s="98">
        <v>5206</v>
      </c>
      <c r="BJ58" s="98"/>
      <c r="BK58" s="98"/>
      <c r="BL58" s="97"/>
    </row>
    <row r="59" spans="1:64" outlineLevel="5" x14ac:dyDescent="0.3">
      <c r="A59" s="152">
        <f t="shared" si="5"/>
        <v>2</v>
      </c>
      <c r="B59" s="153">
        <f t="shared" si="12"/>
        <v>45330</v>
      </c>
      <c r="C59" s="138">
        <f t="shared" si="21"/>
        <v>36</v>
      </c>
      <c r="D59" s="186">
        <v>36</v>
      </c>
      <c r="E59" s="186">
        <v>36</v>
      </c>
      <c r="F59" s="84"/>
      <c r="G59" s="84"/>
      <c r="H59" s="84"/>
      <c r="I59" s="84"/>
      <c r="J59" s="84"/>
      <c r="K59" s="84"/>
      <c r="L59" s="140">
        <f t="shared" si="22"/>
        <v>8</v>
      </c>
      <c r="M59" s="187">
        <v>7.98</v>
      </c>
      <c r="N59" s="187">
        <v>7.94</v>
      </c>
      <c r="O59" s="141"/>
      <c r="P59" s="141"/>
      <c r="Q59" s="86"/>
      <c r="R59" s="86"/>
      <c r="S59" s="86"/>
      <c r="T59" s="86"/>
      <c r="U59" s="142">
        <f t="shared" si="23"/>
        <v>3670.9</v>
      </c>
      <c r="V59" s="188">
        <v>3719.5</v>
      </c>
      <c r="W59" s="188">
        <v>3622.2</v>
      </c>
      <c r="X59" s="88"/>
      <c r="Y59" s="88"/>
      <c r="Z59" s="88"/>
      <c r="AA59" s="88"/>
      <c r="AB59" s="88"/>
      <c r="AC59" s="88"/>
      <c r="AD59" s="142" t="str">
        <f t="shared" si="24"/>
        <v/>
      </c>
      <c r="AE59" s="88"/>
      <c r="AF59" s="88"/>
      <c r="AG59" s="88"/>
      <c r="AH59" s="88"/>
      <c r="AI59" s="88"/>
      <c r="AJ59" s="88"/>
      <c r="AK59" s="88"/>
      <c r="AL59" s="88"/>
      <c r="AM59" s="143">
        <v>79.287754073576352</v>
      </c>
      <c r="AN59" s="88">
        <v>59.53</v>
      </c>
      <c r="AO59" s="89"/>
      <c r="AP59" s="90"/>
      <c r="AQ59" s="146" t="str">
        <f t="shared" si="25"/>
        <v/>
      </c>
      <c r="AR59" s="146" t="str">
        <f t="shared" si="26"/>
        <v/>
      </c>
      <c r="AS59" s="147"/>
      <c r="AT59" s="148">
        <v>13.3</v>
      </c>
      <c r="AU59" s="149">
        <v>7.8865499999999997</v>
      </c>
      <c r="AV59" s="146">
        <f t="shared" si="27"/>
        <v>59.297368421052624</v>
      </c>
      <c r="AW59" s="146">
        <f t="shared" si="28"/>
        <v>40.702631578947376</v>
      </c>
      <c r="AX59" s="138" t="str">
        <f t="shared" si="29"/>
        <v/>
      </c>
      <c r="AY59" s="95">
        <v>75.849999999999994</v>
      </c>
      <c r="AZ59" s="96">
        <v>62.51</v>
      </c>
      <c r="BA59" s="96"/>
      <c r="BB59" s="96">
        <v>74</v>
      </c>
      <c r="BC59" s="96"/>
      <c r="BD59" s="97">
        <v>59.53</v>
      </c>
      <c r="BE59" s="142">
        <f t="shared" si="30"/>
        <v>8581</v>
      </c>
      <c r="BF59" s="98">
        <v>1737</v>
      </c>
      <c r="BG59" s="98">
        <v>0</v>
      </c>
      <c r="BH59" s="98">
        <v>1871</v>
      </c>
      <c r="BI59" s="98">
        <v>4973</v>
      </c>
      <c r="BJ59" s="98"/>
      <c r="BK59" s="98"/>
      <c r="BL59" s="97"/>
    </row>
    <row r="60" spans="1:64" outlineLevel="5" x14ac:dyDescent="0.3">
      <c r="A60" s="152">
        <f t="shared" si="5"/>
        <v>2</v>
      </c>
      <c r="B60" s="153">
        <f t="shared" si="12"/>
        <v>45331</v>
      </c>
      <c r="C60" s="138" t="str">
        <f t="shared" si="21"/>
        <v/>
      </c>
      <c r="D60" s="186"/>
      <c r="E60" s="186"/>
      <c r="F60" s="84"/>
      <c r="G60" s="84"/>
      <c r="H60" s="84"/>
      <c r="I60" s="84"/>
      <c r="J60" s="84"/>
      <c r="K60" s="84"/>
      <c r="L60" s="140" t="str">
        <f t="shared" si="22"/>
        <v/>
      </c>
      <c r="M60" s="187"/>
      <c r="N60" s="187"/>
      <c r="O60" s="141"/>
      <c r="P60" s="141"/>
      <c r="Q60" s="86"/>
      <c r="R60" s="86"/>
      <c r="S60" s="86"/>
      <c r="T60" s="86"/>
      <c r="U60" s="142" t="str">
        <f t="shared" si="23"/>
        <v/>
      </c>
      <c r="V60" s="188"/>
      <c r="W60" s="188"/>
      <c r="X60" s="88"/>
      <c r="Y60" s="88"/>
      <c r="Z60" s="88"/>
      <c r="AA60" s="88"/>
      <c r="AB60" s="88"/>
      <c r="AC60" s="88"/>
      <c r="AD60" s="142" t="str">
        <f t="shared" si="24"/>
        <v/>
      </c>
      <c r="AE60" s="88"/>
      <c r="AF60" s="88"/>
      <c r="AG60" s="88"/>
      <c r="AH60" s="88"/>
      <c r="AI60" s="88"/>
      <c r="AJ60" s="88"/>
      <c r="AK60" s="88"/>
      <c r="AL60" s="88"/>
      <c r="AM60" s="143">
        <v>48.654777857952794</v>
      </c>
      <c r="AN60" s="88">
        <v>97.009999999999991</v>
      </c>
      <c r="AO60" s="89"/>
      <c r="AP60" s="90"/>
      <c r="AQ60" s="146" t="str">
        <f t="shared" si="25"/>
        <v/>
      </c>
      <c r="AR60" s="146" t="str">
        <f t="shared" si="26"/>
        <v/>
      </c>
      <c r="AS60" s="147"/>
      <c r="AT60" s="148"/>
      <c r="AU60" s="149"/>
      <c r="AV60" s="146" t="str">
        <f t="shared" si="27"/>
        <v/>
      </c>
      <c r="AW60" s="146" t="str">
        <f t="shared" si="28"/>
        <v/>
      </c>
      <c r="AX60" s="138" t="str">
        <f t="shared" si="29"/>
        <v/>
      </c>
      <c r="AY60" s="95"/>
      <c r="AZ60" s="96"/>
      <c r="BA60" s="96"/>
      <c r="BB60" s="96"/>
      <c r="BC60" s="96"/>
      <c r="BD60" s="97">
        <v>97.009999999999991</v>
      </c>
      <c r="BE60" s="142">
        <f t="shared" si="30"/>
        <v>6628</v>
      </c>
      <c r="BF60" s="98">
        <v>1788</v>
      </c>
      <c r="BG60" s="98">
        <v>0</v>
      </c>
      <c r="BH60" s="98">
        <v>1</v>
      </c>
      <c r="BI60" s="98">
        <v>4839</v>
      </c>
      <c r="BJ60" s="98"/>
      <c r="BK60" s="98"/>
      <c r="BL60" s="97"/>
    </row>
    <row r="61" spans="1:64" outlineLevel="5" x14ac:dyDescent="0.3">
      <c r="A61" s="152">
        <f t="shared" si="5"/>
        <v>2</v>
      </c>
      <c r="B61" s="153">
        <f t="shared" si="12"/>
        <v>45332</v>
      </c>
      <c r="C61" s="138" t="str">
        <f t="shared" si="21"/>
        <v/>
      </c>
      <c r="D61" s="186"/>
      <c r="E61" s="186"/>
      <c r="F61" s="84"/>
      <c r="G61" s="84"/>
      <c r="H61" s="84"/>
      <c r="I61" s="84"/>
      <c r="J61" s="84"/>
      <c r="K61" s="84"/>
      <c r="L61" s="140" t="str">
        <f t="shared" si="22"/>
        <v/>
      </c>
      <c r="M61" s="187"/>
      <c r="N61" s="187"/>
      <c r="O61" s="141"/>
      <c r="P61" s="141"/>
      <c r="Q61" s="86"/>
      <c r="R61" s="86"/>
      <c r="S61" s="86"/>
      <c r="T61" s="86"/>
      <c r="U61" s="142" t="str">
        <f t="shared" si="23"/>
        <v/>
      </c>
      <c r="V61" s="188"/>
      <c r="W61" s="188"/>
      <c r="X61" s="88"/>
      <c r="Y61" s="88"/>
      <c r="Z61" s="88"/>
      <c r="AA61" s="88"/>
      <c r="AB61" s="88"/>
      <c r="AC61" s="88"/>
      <c r="AD61" s="142" t="str">
        <f t="shared" si="24"/>
        <v/>
      </c>
      <c r="AE61" s="88"/>
      <c r="AF61" s="88"/>
      <c r="AG61" s="88"/>
      <c r="AH61" s="88"/>
      <c r="AI61" s="88"/>
      <c r="AJ61" s="88"/>
      <c r="AK61" s="88"/>
      <c r="AL61" s="88"/>
      <c r="AM61" s="143">
        <v>55.529411764705884</v>
      </c>
      <c r="AN61" s="88">
        <v>85</v>
      </c>
      <c r="AO61" s="89"/>
      <c r="AP61" s="90"/>
      <c r="AQ61" s="146" t="str">
        <f t="shared" si="25"/>
        <v/>
      </c>
      <c r="AR61" s="146" t="str">
        <f t="shared" si="26"/>
        <v/>
      </c>
      <c r="AS61" s="147"/>
      <c r="AT61" s="148"/>
      <c r="AU61" s="149"/>
      <c r="AV61" s="146" t="str">
        <f t="shared" si="27"/>
        <v/>
      </c>
      <c r="AW61" s="146" t="str">
        <f t="shared" si="28"/>
        <v/>
      </c>
      <c r="AX61" s="138" t="str">
        <f t="shared" si="29"/>
        <v/>
      </c>
      <c r="AY61" s="95"/>
      <c r="AZ61" s="96"/>
      <c r="BA61" s="96"/>
      <c r="BB61" s="96"/>
      <c r="BC61" s="96"/>
      <c r="BD61" s="97">
        <v>85</v>
      </c>
      <c r="BE61" s="142">
        <f t="shared" si="30"/>
        <v>6317</v>
      </c>
      <c r="BF61" s="98">
        <v>975</v>
      </c>
      <c r="BG61" s="98">
        <v>0</v>
      </c>
      <c r="BH61" s="98">
        <v>1</v>
      </c>
      <c r="BI61" s="98">
        <v>5341</v>
      </c>
      <c r="BJ61" s="98"/>
      <c r="BK61" s="98"/>
      <c r="BL61" s="97"/>
    </row>
    <row r="62" spans="1:64" outlineLevel="5" x14ac:dyDescent="0.3">
      <c r="A62" s="152">
        <f t="shared" si="5"/>
        <v>2</v>
      </c>
      <c r="B62" s="153">
        <f t="shared" si="12"/>
        <v>45333</v>
      </c>
      <c r="C62" s="138" t="str">
        <f t="shared" si="21"/>
        <v/>
      </c>
      <c r="D62" s="186"/>
      <c r="E62" s="186"/>
      <c r="F62" s="84"/>
      <c r="G62" s="84"/>
      <c r="H62" s="84"/>
      <c r="I62" s="84"/>
      <c r="J62" s="84"/>
      <c r="K62" s="84"/>
      <c r="L62" s="140" t="str">
        <f t="shared" si="22"/>
        <v/>
      </c>
      <c r="M62" s="187"/>
      <c r="N62" s="187"/>
      <c r="O62" s="141"/>
      <c r="P62" s="141"/>
      <c r="Q62" s="86"/>
      <c r="R62" s="86"/>
      <c r="S62" s="86"/>
      <c r="T62" s="86"/>
      <c r="U62" s="142" t="str">
        <f t="shared" si="23"/>
        <v/>
      </c>
      <c r="V62" s="188"/>
      <c r="W62" s="188"/>
      <c r="X62" s="88"/>
      <c r="Y62" s="88"/>
      <c r="Z62" s="88"/>
      <c r="AA62" s="88"/>
      <c r="AB62" s="88"/>
      <c r="AC62" s="88"/>
      <c r="AD62" s="142" t="str">
        <f t="shared" si="24"/>
        <v/>
      </c>
      <c r="AE62" s="88"/>
      <c r="AF62" s="88"/>
      <c r="AG62" s="88"/>
      <c r="AH62" s="88"/>
      <c r="AI62" s="88"/>
      <c r="AJ62" s="88"/>
      <c r="AK62" s="88"/>
      <c r="AL62" s="88"/>
      <c r="AM62" s="143">
        <v>78.666666666666671</v>
      </c>
      <c r="AN62" s="88">
        <v>60</v>
      </c>
      <c r="AO62" s="89"/>
      <c r="AP62" s="90"/>
      <c r="AQ62" s="146" t="str">
        <f t="shared" si="25"/>
        <v/>
      </c>
      <c r="AR62" s="146" t="str">
        <f t="shared" si="26"/>
        <v/>
      </c>
      <c r="AS62" s="147"/>
      <c r="AT62" s="148"/>
      <c r="AU62" s="149"/>
      <c r="AV62" s="146" t="str">
        <f t="shared" si="27"/>
        <v/>
      </c>
      <c r="AW62" s="146" t="str">
        <f t="shared" si="28"/>
        <v/>
      </c>
      <c r="AX62" s="138" t="str">
        <f t="shared" si="29"/>
        <v/>
      </c>
      <c r="AY62" s="95"/>
      <c r="AZ62" s="96"/>
      <c r="BA62" s="96"/>
      <c r="BB62" s="96"/>
      <c r="BC62" s="96"/>
      <c r="BD62" s="97">
        <v>60</v>
      </c>
      <c r="BE62" s="142">
        <f t="shared" si="30"/>
        <v>5804</v>
      </c>
      <c r="BF62" s="98">
        <v>987</v>
      </c>
      <c r="BG62" s="98">
        <v>0</v>
      </c>
      <c r="BH62" s="98">
        <v>0</v>
      </c>
      <c r="BI62" s="98">
        <v>4817</v>
      </c>
      <c r="BJ62" s="98"/>
      <c r="BK62" s="98"/>
      <c r="BL62" s="97"/>
    </row>
    <row r="63" spans="1:64" outlineLevel="5" x14ac:dyDescent="0.3">
      <c r="A63" s="152">
        <f t="shared" si="5"/>
        <v>2</v>
      </c>
      <c r="B63" s="153">
        <f t="shared" si="12"/>
        <v>45334</v>
      </c>
      <c r="C63" s="138" t="str">
        <f t="shared" si="21"/>
        <v/>
      </c>
      <c r="D63" s="186"/>
      <c r="E63" s="186"/>
      <c r="F63" s="84"/>
      <c r="G63" s="84"/>
      <c r="H63" s="84"/>
      <c r="I63" s="84"/>
      <c r="J63" s="84"/>
      <c r="K63" s="84"/>
      <c r="L63" s="140" t="str">
        <f t="shared" si="22"/>
        <v/>
      </c>
      <c r="M63" s="187"/>
      <c r="N63" s="187"/>
      <c r="O63" s="141"/>
      <c r="P63" s="141"/>
      <c r="Q63" s="86"/>
      <c r="R63" s="86"/>
      <c r="S63" s="86"/>
      <c r="T63" s="86"/>
      <c r="U63" s="142" t="str">
        <f t="shared" si="23"/>
        <v/>
      </c>
      <c r="V63" s="188"/>
      <c r="W63" s="188"/>
      <c r="X63" s="88"/>
      <c r="Y63" s="88"/>
      <c r="Z63" s="88"/>
      <c r="AA63" s="88"/>
      <c r="AB63" s="88"/>
      <c r="AC63" s="88"/>
      <c r="AD63" s="142" t="str">
        <f t="shared" si="24"/>
        <v/>
      </c>
      <c r="AE63" s="88"/>
      <c r="AF63" s="88"/>
      <c r="AG63" s="88"/>
      <c r="AH63" s="88"/>
      <c r="AI63" s="88"/>
      <c r="AJ63" s="88"/>
      <c r="AK63" s="88"/>
      <c r="AL63" s="88"/>
      <c r="AM63" s="143">
        <v>63.74932468935711</v>
      </c>
      <c r="AN63" s="88">
        <v>74.039999999999992</v>
      </c>
      <c r="AO63" s="89"/>
      <c r="AP63" s="90"/>
      <c r="AQ63" s="146" t="str">
        <f t="shared" si="25"/>
        <v/>
      </c>
      <c r="AR63" s="146" t="str">
        <f t="shared" si="26"/>
        <v/>
      </c>
      <c r="AS63" s="147"/>
      <c r="AT63" s="148"/>
      <c r="AU63" s="149"/>
      <c r="AV63" s="146" t="str">
        <f t="shared" si="27"/>
        <v/>
      </c>
      <c r="AW63" s="146" t="str">
        <f t="shared" si="28"/>
        <v/>
      </c>
      <c r="AX63" s="138" t="str">
        <f t="shared" si="29"/>
        <v/>
      </c>
      <c r="AY63" s="95"/>
      <c r="AZ63" s="96"/>
      <c r="BA63" s="96"/>
      <c r="BB63" s="96"/>
      <c r="BC63" s="96"/>
      <c r="BD63" s="97">
        <v>74.039999999999992</v>
      </c>
      <c r="BE63" s="142">
        <f t="shared" si="30"/>
        <v>5577</v>
      </c>
      <c r="BF63" s="98">
        <v>574</v>
      </c>
      <c r="BG63" s="98">
        <v>0</v>
      </c>
      <c r="BH63" s="98">
        <v>0</v>
      </c>
      <c r="BI63" s="98">
        <v>5003</v>
      </c>
      <c r="BJ63" s="98"/>
      <c r="BK63" s="98"/>
      <c r="BL63" s="97"/>
    </row>
    <row r="64" spans="1:64" outlineLevel="5" x14ac:dyDescent="0.3">
      <c r="A64" s="152">
        <f t="shared" si="5"/>
        <v>2</v>
      </c>
      <c r="B64" s="153">
        <f t="shared" si="12"/>
        <v>45335</v>
      </c>
      <c r="C64" s="138" t="str">
        <f t="shared" si="21"/>
        <v/>
      </c>
      <c r="D64" s="186"/>
      <c r="E64" s="186"/>
      <c r="F64" s="84"/>
      <c r="G64" s="84"/>
      <c r="H64" s="84"/>
      <c r="I64" s="84"/>
      <c r="J64" s="84"/>
      <c r="K64" s="84"/>
      <c r="L64" s="140" t="str">
        <f t="shared" si="22"/>
        <v/>
      </c>
      <c r="M64" s="187"/>
      <c r="N64" s="187"/>
      <c r="O64" s="141"/>
      <c r="P64" s="141"/>
      <c r="Q64" s="86"/>
      <c r="R64" s="86"/>
      <c r="S64" s="86"/>
      <c r="T64" s="86"/>
      <c r="U64" s="142" t="str">
        <f t="shared" si="23"/>
        <v/>
      </c>
      <c r="V64" s="188"/>
      <c r="W64" s="188"/>
      <c r="X64" s="88"/>
      <c r="Y64" s="88"/>
      <c r="Z64" s="88"/>
      <c r="AA64" s="88"/>
      <c r="AB64" s="88"/>
      <c r="AC64" s="88"/>
      <c r="AD64" s="142" t="str">
        <f t="shared" si="24"/>
        <v/>
      </c>
      <c r="AE64" s="88"/>
      <c r="AF64" s="88"/>
      <c r="AG64" s="88"/>
      <c r="AH64" s="88"/>
      <c r="AI64" s="88"/>
      <c r="AJ64" s="88"/>
      <c r="AK64" s="88"/>
      <c r="AL64" s="88"/>
      <c r="AM64" s="143">
        <v>104.24028268551237</v>
      </c>
      <c r="AN64" s="88">
        <v>45.28</v>
      </c>
      <c r="AO64" s="89"/>
      <c r="AP64" s="90"/>
      <c r="AQ64" s="146" t="str">
        <f t="shared" si="25"/>
        <v/>
      </c>
      <c r="AR64" s="146" t="str">
        <f t="shared" si="26"/>
        <v/>
      </c>
      <c r="AS64" s="147"/>
      <c r="AT64" s="148"/>
      <c r="AU64" s="149"/>
      <c r="AV64" s="146" t="str">
        <f t="shared" si="27"/>
        <v/>
      </c>
      <c r="AW64" s="146" t="str">
        <f t="shared" si="28"/>
        <v/>
      </c>
      <c r="AX64" s="138" t="str">
        <f t="shared" si="29"/>
        <v/>
      </c>
      <c r="AY64" s="95"/>
      <c r="AZ64" s="96">
        <v>61.864999999999995</v>
      </c>
      <c r="BA64" s="96"/>
      <c r="BB64" s="96">
        <v>55.5</v>
      </c>
      <c r="BC64" s="96"/>
      <c r="BD64" s="97">
        <v>45.28</v>
      </c>
      <c r="BE64" s="142">
        <f t="shared" si="30"/>
        <v>2211</v>
      </c>
      <c r="BF64" s="98">
        <v>1153</v>
      </c>
      <c r="BG64" s="98">
        <v>0</v>
      </c>
      <c r="BH64" s="98">
        <v>0</v>
      </c>
      <c r="BI64" s="98">
        <v>1058</v>
      </c>
      <c r="BJ64" s="98"/>
      <c r="BK64" s="98"/>
      <c r="BL64" s="97"/>
    </row>
    <row r="65" spans="1:64" outlineLevel="5" x14ac:dyDescent="0.3">
      <c r="A65" s="152">
        <f t="shared" si="5"/>
        <v>2</v>
      </c>
      <c r="B65" s="153">
        <f t="shared" si="12"/>
        <v>45336</v>
      </c>
      <c r="C65" s="138" t="str">
        <f t="shared" si="21"/>
        <v/>
      </c>
      <c r="D65" s="186"/>
      <c r="E65" s="186"/>
      <c r="F65" s="84"/>
      <c r="G65" s="84"/>
      <c r="H65" s="84"/>
      <c r="I65" s="84"/>
      <c r="J65" s="84"/>
      <c r="K65" s="84"/>
      <c r="L65" s="140">
        <f t="shared" si="22"/>
        <v>8</v>
      </c>
      <c r="M65" s="187">
        <v>8</v>
      </c>
      <c r="N65" s="187">
        <v>8.06</v>
      </c>
      <c r="O65" s="141"/>
      <c r="P65" s="141"/>
      <c r="Q65" s="86"/>
      <c r="R65" s="86"/>
      <c r="S65" s="86"/>
      <c r="T65" s="86"/>
      <c r="U65" s="142">
        <f t="shared" si="23"/>
        <v>1594.9</v>
      </c>
      <c r="V65" s="188">
        <v>1654.3</v>
      </c>
      <c r="W65" s="188">
        <v>1535.4</v>
      </c>
      <c r="X65" s="88"/>
      <c r="Y65" s="88"/>
      <c r="Z65" s="88"/>
      <c r="AA65" s="88"/>
      <c r="AB65" s="88"/>
      <c r="AC65" s="88"/>
      <c r="AD65" s="142" t="str">
        <f t="shared" si="24"/>
        <v/>
      </c>
      <c r="AE65" s="88"/>
      <c r="AF65" s="88"/>
      <c r="AG65" s="88"/>
      <c r="AH65" s="88"/>
      <c r="AI65" s="88"/>
      <c r="AJ65" s="88"/>
      <c r="AK65" s="88"/>
      <c r="AL65" s="88"/>
      <c r="AM65" s="143">
        <v>48.614687403440108</v>
      </c>
      <c r="AN65" s="88">
        <v>97.09</v>
      </c>
      <c r="AO65" s="89"/>
      <c r="AP65" s="90"/>
      <c r="AQ65" s="146" t="str">
        <f t="shared" si="25"/>
        <v/>
      </c>
      <c r="AR65" s="146" t="str">
        <f t="shared" si="26"/>
        <v/>
      </c>
      <c r="AS65" s="147"/>
      <c r="AT65" s="148">
        <v>12.6</v>
      </c>
      <c r="AU65" s="149">
        <v>7.6961999999999993</v>
      </c>
      <c r="AV65" s="146">
        <f t="shared" si="27"/>
        <v>61.080952380952382</v>
      </c>
      <c r="AW65" s="146">
        <f t="shared" si="28"/>
        <v>38.919047619047618</v>
      </c>
      <c r="AX65" s="138" t="str">
        <f t="shared" si="29"/>
        <v/>
      </c>
      <c r="AY65" s="95">
        <v>76.05</v>
      </c>
      <c r="AZ65" s="96"/>
      <c r="BA65" s="96"/>
      <c r="BB65" s="96"/>
      <c r="BC65" s="96"/>
      <c r="BD65" s="97">
        <v>97.09</v>
      </c>
      <c r="BE65" s="142">
        <f t="shared" si="30"/>
        <v>2764</v>
      </c>
      <c r="BF65" s="98">
        <v>2253</v>
      </c>
      <c r="BG65" s="98">
        <v>0</v>
      </c>
      <c r="BH65" s="98">
        <v>511</v>
      </c>
      <c r="BI65" s="98">
        <v>0</v>
      </c>
      <c r="BJ65" s="98"/>
      <c r="BK65" s="98"/>
      <c r="BL65" s="97"/>
    </row>
    <row r="66" spans="1:64" outlineLevel="5" x14ac:dyDescent="0.3">
      <c r="A66" s="152">
        <f t="shared" si="5"/>
        <v>2</v>
      </c>
      <c r="B66" s="153">
        <f t="shared" si="12"/>
        <v>45337</v>
      </c>
      <c r="C66" s="138" t="str">
        <f t="shared" si="21"/>
        <v/>
      </c>
      <c r="D66" s="186"/>
      <c r="E66" s="186"/>
      <c r="F66" s="84"/>
      <c r="G66" s="84"/>
      <c r="H66" s="84"/>
      <c r="I66" s="84"/>
      <c r="J66" s="84"/>
      <c r="K66" s="84"/>
      <c r="L66" s="140">
        <f t="shared" si="22"/>
        <v>8.1</v>
      </c>
      <c r="M66" s="187">
        <v>8.01</v>
      </c>
      <c r="N66" s="187">
        <v>8.09</v>
      </c>
      <c r="O66" s="141"/>
      <c r="P66" s="141"/>
      <c r="Q66" s="86"/>
      <c r="R66" s="86"/>
      <c r="S66" s="86"/>
      <c r="T66" s="86"/>
      <c r="U66" s="142">
        <f t="shared" si="23"/>
        <v>1703</v>
      </c>
      <c r="V66" s="188">
        <v>1740.8</v>
      </c>
      <c r="W66" s="188">
        <v>1665.1</v>
      </c>
      <c r="X66" s="88"/>
      <c r="Y66" s="88"/>
      <c r="Z66" s="88"/>
      <c r="AA66" s="88"/>
      <c r="AB66" s="88"/>
      <c r="AC66" s="88"/>
      <c r="AD66" s="142" t="str">
        <f t="shared" si="24"/>
        <v/>
      </c>
      <c r="AE66" s="88"/>
      <c r="AF66" s="88"/>
      <c r="AG66" s="88"/>
      <c r="AH66" s="88"/>
      <c r="AI66" s="88"/>
      <c r="AJ66" s="88"/>
      <c r="AK66" s="88"/>
      <c r="AL66" s="88"/>
      <c r="AM66" s="143">
        <v>35.18711793648427</v>
      </c>
      <c r="AN66" s="88">
        <v>134.13999999999999</v>
      </c>
      <c r="AO66" s="89"/>
      <c r="AP66" s="90"/>
      <c r="AQ66" s="146" t="str">
        <f t="shared" si="25"/>
        <v/>
      </c>
      <c r="AR66" s="146" t="str">
        <f t="shared" si="26"/>
        <v/>
      </c>
      <c r="AS66" s="147"/>
      <c r="AT66" s="148">
        <v>13.2</v>
      </c>
      <c r="AU66" s="149">
        <v>7.9272999999999989</v>
      </c>
      <c r="AV66" s="146">
        <f t="shared" si="27"/>
        <v>60.055303030303023</v>
      </c>
      <c r="AW66" s="146">
        <f t="shared" si="28"/>
        <v>39.944696969696977</v>
      </c>
      <c r="AX66" s="138" t="str">
        <f t="shared" si="29"/>
        <v/>
      </c>
      <c r="AY66" s="95">
        <v>75.650000000000006</v>
      </c>
      <c r="AZ66" s="96">
        <v>59.854999999999997</v>
      </c>
      <c r="BA66" s="96"/>
      <c r="BB66" s="96">
        <v>124.5</v>
      </c>
      <c r="BC66" s="96"/>
      <c r="BD66" s="97">
        <v>134.13999999999999</v>
      </c>
      <c r="BE66" s="142">
        <f t="shared" si="30"/>
        <v>6827</v>
      </c>
      <c r="BF66" s="98">
        <v>1055</v>
      </c>
      <c r="BG66" s="98">
        <v>0</v>
      </c>
      <c r="BH66" s="98">
        <v>1872</v>
      </c>
      <c r="BI66" s="98">
        <v>3900</v>
      </c>
      <c r="BJ66" s="98"/>
      <c r="BK66" s="98"/>
      <c r="BL66" s="97"/>
    </row>
    <row r="67" spans="1:64" outlineLevel="5" x14ac:dyDescent="0.3">
      <c r="A67" s="152">
        <f t="shared" si="5"/>
        <v>2</v>
      </c>
      <c r="B67" s="153">
        <f t="shared" si="12"/>
        <v>45338</v>
      </c>
      <c r="C67" s="138" t="str">
        <f t="shared" si="21"/>
        <v/>
      </c>
      <c r="D67" s="186"/>
      <c r="E67" s="186"/>
      <c r="F67" s="84"/>
      <c r="G67" s="84"/>
      <c r="H67" s="84"/>
      <c r="I67" s="84"/>
      <c r="J67" s="84"/>
      <c r="K67" s="84"/>
      <c r="L67" s="140" t="str">
        <f t="shared" si="22"/>
        <v/>
      </c>
      <c r="M67" s="187"/>
      <c r="N67" s="187"/>
      <c r="O67" s="141"/>
      <c r="P67" s="141"/>
      <c r="Q67" s="86"/>
      <c r="R67" s="86"/>
      <c r="S67" s="86"/>
      <c r="T67" s="86"/>
      <c r="U67" s="142" t="str">
        <f t="shared" si="23"/>
        <v/>
      </c>
      <c r="V67" s="188"/>
      <c r="W67" s="188"/>
      <c r="X67" s="88"/>
      <c r="Y67" s="88"/>
      <c r="Z67" s="88"/>
      <c r="AA67" s="88"/>
      <c r="AB67" s="88"/>
      <c r="AC67" s="88"/>
      <c r="AD67" s="142" t="str">
        <f t="shared" si="24"/>
        <v/>
      </c>
      <c r="AE67" s="88"/>
      <c r="AF67" s="88"/>
      <c r="AG67" s="88"/>
      <c r="AH67" s="88"/>
      <c r="AI67" s="88"/>
      <c r="AJ67" s="88"/>
      <c r="AK67" s="88"/>
      <c r="AL67" s="88"/>
      <c r="AM67" s="143">
        <v>49.815303430079155</v>
      </c>
      <c r="AN67" s="88">
        <v>94.75</v>
      </c>
      <c r="AO67" s="89"/>
      <c r="AP67" s="90"/>
      <c r="AQ67" s="146" t="str">
        <f t="shared" si="25"/>
        <v/>
      </c>
      <c r="AR67" s="146" t="str">
        <f t="shared" si="26"/>
        <v/>
      </c>
      <c r="AS67" s="147"/>
      <c r="AT67" s="148"/>
      <c r="AU67" s="149"/>
      <c r="AV67" s="146" t="str">
        <f t="shared" si="27"/>
        <v/>
      </c>
      <c r="AW67" s="146" t="str">
        <f t="shared" si="28"/>
        <v/>
      </c>
      <c r="AX67" s="138" t="str">
        <f t="shared" si="29"/>
        <v/>
      </c>
      <c r="AY67" s="95"/>
      <c r="AZ67" s="96"/>
      <c r="BA67" s="96"/>
      <c r="BB67" s="96"/>
      <c r="BC67" s="96"/>
      <c r="BD67" s="97">
        <v>94.75</v>
      </c>
      <c r="BE67" s="142">
        <f>IF(SUM(BF67:BL67)=0,"",SUM(BF67:BL67))</f>
        <v>10632</v>
      </c>
      <c r="BF67" s="98">
        <v>1762</v>
      </c>
      <c r="BG67" s="98">
        <v>0</v>
      </c>
      <c r="BH67" s="98">
        <v>1955</v>
      </c>
      <c r="BI67" s="98">
        <v>6915</v>
      </c>
      <c r="BJ67" s="98"/>
      <c r="BK67" s="98"/>
      <c r="BL67" s="97"/>
    </row>
    <row r="68" spans="1:64" outlineLevel="5" x14ac:dyDescent="0.3">
      <c r="A68" s="152">
        <f t="shared" si="5"/>
        <v>2</v>
      </c>
      <c r="B68" s="153">
        <f t="shared" si="12"/>
        <v>45339</v>
      </c>
      <c r="C68" s="138" t="str">
        <f t="shared" si="21"/>
        <v/>
      </c>
      <c r="D68" s="186"/>
      <c r="E68" s="186"/>
      <c r="F68" s="84"/>
      <c r="G68" s="84"/>
      <c r="H68" s="84"/>
      <c r="I68" s="84"/>
      <c r="J68" s="84"/>
      <c r="K68" s="84"/>
      <c r="L68" s="140" t="str">
        <f t="shared" si="22"/>
        <v/>
      </c>
      <c r="M68" s="187"/>
      <c r="N68" s="187"/>
      <c r="O68" s="141"/>
      <c r="P68" s="141"/>
      <c r="Q68" s="86"/>
      <c r="R68" s="86"/>
      <c r="S68" s="86"/>
      <c r="T68" s="86"/>
      <c r="U68" s="142" t="str">
        <f t="shared" si="23"/>
        <v/>
      </c>
      <c r="V68" s="188"/>
      <c r="W68" s="188"/>
      <c r="X68" s="88"/>
      <c r="Y68" s="88"/>
      <c r="Z68" s="88"/>
      <c r="AA68" s="88"/>
      <c r="AB68" s="88"/>
      <c r="AC68" s="88"/>
      <c r="AD68" s="142" t="str">
        <f t="shared" si="24"/>
        <v/>
      </c>
      <c r="AE68" s="88"/>
      <c r="AF68" s="88"/>
      <c r="AG68" s="88"/>
      <c r="AH68" s="88"/>
      <c r="AI68" s="88"/>
      <c r="AJ68" s="88"/>
      <c r="AK68" s="88"/>
      <c r="AL68" s="88"/>
      <c r="AM68" s="143">
        <v>61.052903893416115</v>
      </c>
      <c r="AN68" s="88">
        <v>77.31</v>
      </c>
      <c r="AO68" s="89"/>
      <c r="AP68" s="90"/>
      <c r="AQ68" s="146" t="str">
        <f t="shared" si="25"/>
        <v/>
      </c>
      <c r="AR68" s="146" t="str">
        <f t="shared" si="26"/>
        <v/>
      </c>
      <c r="AS68" s="147"/>
      <c r="AT68" s="148"/>
      <c r="AU68" s="149"/>
      <c r="AV68" s="146" t="str">
        <f t="shared" si="27"/>
        <v/>
      </c>
      <c r="AW68" s="146" t="str">
        <f t="shared" si="28"/>
        <v/>
      </c>
      <c r="AX68" s="138" t="str">
        <f t="shared" si="29"/>
        <v/>
      </c>
      <c r="AY68" s="95"/>
      <c r="AZ68" s="96"/>
      <c r="BA68" s="96"/>
      <c r="BB68" s="96"/>
      <c r="BC68" s="96"/>
      <c r="BD68" s="97">
        <v>77.31</v>
      </c>
      <c r="BE68" s="142">
        <f t="shared" si="30"/>
        <v>7633</v>
      </c>
      <c r="BF68" s="98">
        <v>868</v>
      </c>
      <c r="BG68" s="98">
        <v>0</v>
      </c>
      <c r="BH68" s="98">
        <v>0</v>
      </c>
      <c r="BI68" s="98">
        <v>6765</v>
      </c>
      <c r="BJ68" s="98"/>
      <c r="BK68" s="98"/>
      <c r="BL68" s="97"/>
    </row>
    <row r="69" spans="1:64" outlineLevel="5" x14ac:dyDescent="0.3">
      <c r="A69" s="152">
        <f t="shared" si="5"/>
        <v>2</v>
      </c>
      <c r="B69" s="153">
        <f t="shared" si="12"/>
        <v>45340</v>
      </c>
      <c r="C69" s="138" t="str">
        <f t="shared" si="21"/>
        <v/>
      </c>
      <c r="D69" s="186"/>
      <c r="E69" s="186"/>
      <c r="F69" s="84"/>
      <c r="G69" s="84"/>
      <c r="H69" s="84"/>
      <c r="I69" s="84"/>
      <c r="J69" s="84"/>
      <c r="K69" s="84"/>
      <c r="L69" s="140" t="str">
        <f t="shared" si="22"/>
        <v/>
      </c>
      <c r="M69" s="187"/>
      <c r="N69" s="187"/>
      <c r="O69" s="141"/>
      <c r="P69" s="141"/>
      <c r="Q69" s="86"/>
      <c r="R69" s="86"/>
      <c r="S69" s="86"/>
      <c r="T69" s="86"/>
      <c r="U69" s="142" t="str">
        <f t="shared" si="23"/>
        <v/>
      </c>
      <c r="V69" s="188"/>
      <c r="W69" s="188"/>
      <c r="X69" s="88"/>
      <c r="Y69" s="88"/>
      <c r="Z69" s="88"/>
      <c r="AA69" s="88"/>
      <c r="AB69" s="88"/>
      <c r="AC69" s="88"/>
      <c r="AD69" s="142" t="str">
        <f t="shared" si="24"/>
        <v/>
      </c>
      <c r="AE69" s="88"/>
      <c r="AF69" s="88"/>
      <c r="AG69" s="88"/>
      <c r="AH69" s="88"/>
      <c r="AI69" s="88"/>
      <c r="AJ69" s="88"/>
      <c r="AK69" s="88"/>
      <c r="AL69" s="88"/>
      <c r="AM69" s="143">
        <v>59</v>
      </c>
      <c r="AN69" s="88">
        <v>80</v>
      </c>
      <c r="AO69" s="89"/>
      <c r="AP69" s="90"/>
      <c r="AQ69" s="146" t="str">
        <f t="shared" si="25"/>
        <v/>
      </c>
      <c r="AR69" s="146" t="str">
        <f t="shared" si="26"/>
        <v/>
      </c>
      <c r="AS69" s="147"/>
      <c r="AT69" s="148"/>
      <c r="AU69" s="149"/>
      <c r="AV69" s="146" t="str">
        <f t="shared" si="27"/>
        <v/>
      </c>
      <c r="AW69" s="146" t="str">
        <f t="shared" si="28"/>
        <v/>
      </c>
      <c r="AX69" s="138" t="str">
        <f t="shared" si="29"/>
        <v/>
      </c>
      <c r="AY69" s="95"/>
      <c r="AZ69" s="96"/>
      <c r="BA69" s="96"/>
      <c r="BB69" s="96"/>
      <c r="BC69" s="96"/>
      <c r="BD69" s="97">
        <v>80</v>
      </c>
      <c r="BE69" s="142">
        <f t="shared" si="30"/>
        <v>9065</v>
      </c>
      <c r="BF69" s="98">
        <v>2014</v>
      </c>
      <c r="BG69" s="98">
        <v>0</v>
      </c>
      <c r="BH69" s="98">
        <v>0</v>
      </c>
      <c r="BI69" s="98">
        <v>7051</v>
      </c>
      <c r="BJ69" s="98"/>
      <c r="BK69" s="98"/>
      <c r="BL69" s="97"/>
    </row>
    <row r="70" spans="1:64" outlineLevel="5" x14ac:dyDescent="0.3">
      <c r="A70" s="152">
        <f t="shared" si="5"/>
        <v>2</v>
      </c>
      <c r="B70" s="153">
        <f t="shared" si="12"/>
        <v>45341</v>
      </c>
      <c r="C70" s="138">
        <f t="shared" si="21"/>
        <v>36.299999999999997</v>
      </c>
      <c r="D70" s="186">
        <v>36.4</v>
      </c>
      <c r="E70" s="186">
        <v>36.200000000000003</v>
      </c>
      <c r="F70" s="84"/>
      <c r="G70" s="84"/>
      <c r="H70" s="84"/>
      <c r="I70" s="84"/>
      <c r="J70" s="84"/>
      <c r="K70" s="84"/>
      <c r="L70" s="140">
        <f t="shared" si="22"/>
        <v>8.1999999999999993</v>
      </c>
      <c r="M70" s="187">
        <v>8.17</v>
      </c>
      <c r="N70" s="187">
        <v>8.19</v>
      </c>
      <c r="O70" s="141"/>
      <c r="P70" s="141"/>
      <c r="Q70" s="86"/>
      <c r="R70" s="86"/>
      <c r="S70" s="86"/>
      <c r="T70" s="86"/>
      <c r="U70" s="142">
        <f t="shared" si="23"/>
        <v>1362.4</v>
      </c>
      <c r="V70" s="188">
        <v>1351.6</v>
      </c>
      <c r="W70" s="188">
        <v>1373.2</v>
      </c>
      <c r="X70" s="88"/>
      <c r="Y70" s="88"/>
      <c r="Z70" s="88"/>
      <c r="AA70" s="88"/>
      <c r="AB70" s="88"/>
      <c r="AC70" s="88"/>
      <c r="AD70" s="142" t="str">
        <f t="shared" si="24"/>
        <v/>
      </c>
      <c r="AE70" s="88"/>
      <c r="AF70" s="88"/>
      <c r="AG70" s="88"/>
      <c r="AH70" s="88"/>
      <c r="AI70" s="88"/>
      <c r="AJ70" s="88"/>
      <c r="AK70" s="88"/>
      <c r="AL70" s="88"/>
      <c r="AM70" s="143">
        <v>70.913461538461533</v>
      </c>
      <c r="AN70" s="88">
        <v>66.56</v>
      </c>
      <c r="AO70" s="89">
        <v>21.5</v>
      </c>
      <c r="AP70" s="90">
        <v>16.3</v>
      </c>
      <c r="AQ70" s="146">
        <f t="shared" si="25"/>
        <v>75.813953488372093</v>
      </c>
      <c r="AR70" s="146">
        <f t="shared" si="26"/>
        <v>24.186046511627907</v>
      </c>
      <c r="AS70" s="147"/>
      <c r="AT70" s="148">
        <v>15.2</v>
      </c>
      <c r="AU70" s="149">
        <v>6.7324999999999999</v>
      </c>
      <c r="AV70" s="146">
        <f t="shared" si="27"/>
        <v>44.29276315789474</v>
      </c>
      <c r="AW70" s="146">
        <f t="shared" si="28"/>
        <v>55.70723684210526</v>
      </c>
      <c r="AX70" s="138">
        <f t="shared" si="29"/>
        <v>74.634881475725479</v>
      </c>
      <c r="AY70" s="95">
        <v>76.45</v>
      </c>
      <c r="AZ70" s="96">
        <v>59.454999999999998</v>
      </c>
      <c r="BA70" s="96"/>
      <c r="BB70" s="96">
        <v>120</v>
      </c>
      <c r="BC70" s="96"/>
      <c r="BD70" s="97">
        <v>66.56</v>
      </c>
      <c r="BE70" s="142">
        <f t="shared" si="30"/>
        <v>5784</v>
      </c>
      <c r="BF70" s="98">
        <v>1728</v>
      </c>
      <c r="BG70" s="98">
        <v>0</v>
      </c>
      <c r="BH70" s="98">
        <v>0</v>
      </c>
      <c r="BI70" s="98">
        <v>4056</v>
      </c>
      <c r="BJ70" s="98"/>
      <c r="BK70" s="98"/>
      <c r="BL70" s="97"/>
    </row>
    <row r="71" spans="1:64" outlineLevel="5" x14ac:dyDescent="0.3">
      <c r="A71" s="152">
        <f t="shared" si="5"/>
        <v>2</v>
      </c>
      <c r="B71" s="153">
        <f t="shared" si="12"/>
        <v>45342</v>
      </c>
      <c r="C71" s="138">
        <f t="shared" si="21"/>
        <v>36.299999999999997</v>
      </c>
      <c r="D71" s="186">
        <v>36.4</v>
      </c>
      <c r="E71" s="186">
        <v>36.200000000000003</v>
      </c>
      <c r="F71" s="84"/>
      <c r="G71" s="84"/>
      <c r="H71" s="84"/>
      <c r="I71" s="84"/>
      <c r="J71" s="84"/>
      <c r="K71" s="84"/>
      <c r="L71" s="140" t="str">
        <f t="shared" si="22"/>
        <v/>
      </c>
      <c r="M71" s="187"/>
      <c r="N71" s="187"/>
      <c r="O71" s="141"/>
      <c r="P71" s="141"/>
      <c r="Q71" s="86"/>
      <c r="R71" s="86"/>
      <c r="S71" s="86"/>
      <c r="T71" s="86"/>
      <c r="U71" s="142" t="str">
        <f t="shared" si="23"/>
        <v/>
      </c>
      <c r="V71" s="188"/>
      <c r="W71" s="188"/>
      <c r="X71" s="88"/>
      <c r="Y71" s="88"/>
      <c r="Z71" s="88"/>
      <c r="AA71" s="88"/>
      <c r="AB71" s="88"/>
      <c r="AC71" s="88"/>
      <c r="AD71" s="142" t="str">
        <f t="shared" si="24"/>
        <v/>
      </c>
      <c r="AE71" s="88"/>
      <c r="AF71" s="88"/>
      <c r="AG71" s="88"/>
      <c r="AH71" s="88"/>
      <c r="AI71" s="88"/>
      <c r="AJ71" s="88"/>
      <c r="AK71" s="88"/>
      <c r="AL71" s="88"/>
      <c r="AM71" s="143">
        <v>54.446879686238319</v>
      </c>
      <c r="AN71" s="88">
        <v>86.69</v>
      </c>
      <c r="AO71" s="89"/>
      <c r="AP71" s="90"/>
      <c r="AQ71" s="146" t="str">
        <f t="shared" si="25"/>
        <v/>
      </c>
      <c r="AR71" s="146" t="str">
        <f t="shared" si="26"/>
        <v/>
      </c>
      <c r="AS71" s="147"/>
      <c r="AT71" s="148"/>
      <c r="AU71" s="149"/>
      <c r="AV71" s="146" t="str">
        <f t="shared" si="27"/>
        <v/>
      </c>
      <c r="AW71" s="146" t="str">
        <f t="shared" si="28"/>
        <v/>
      </c>
      <c r="AX71" s="138" t="str">
        <f t="shared" si="29"/>
        <v/>
      </c>
      <c r="AY71" s="95"/>
      <c r="AZ71" s="96">
        <v>62.88</v>
      </c>
      <c r="BA71" s="96"/>
      <c r="BB71" s="96">
        <v>111.5</v>
      </c>
      <c r="BC71" s="96"/>
      <c r="BD71" s="97">
        <v>86.69</v>
      </c>
      <c r="BE71" s="142">
        <f t="shared" si="30"/>
        <v>8060</v>
      </c>
      <c r="BF71" s="98">
        <v>2020</v>
      </c>
      <c r="BG71" s="98">
        <v>0</v>
      </c>
      <c r="BH71" s="98">
        <v>0</v>
      </c>
      <c r="BI71" s="98">
        <v>6040</v>
      </c>
      <c r="BJ71" s="98"/>
      <c r="BK71" s="98"/>
      <c r="BL71" s="97"/>
    </row>
    <row r="72" spans="1:64" outlineLevel="5" x14ac:dyDescent="0.3">
      <c r="A72" s="152">
        <f t="shared" si="5"/>
        <v>2</v>
      </c>
      <c r="B72" s="153">
        <f t="shared" si="12"/>
        <v>45343</v>
      </c>
      <c r="C72" s="138">
        <f t="shared" si="21"/>
        <v>36.799999999999997</v>
      </c>
      <c r="D72" s="186">
        <v>37</v>
      </c>
      <c r="E72" s="186">
        <v>36.5</v>
      </c>
      <c r="F72" s="84"/>
      <c r="G72" s="84"/>
      <c r="H72" s="84"/>
      <c r="I72" s="84"/>
      <c r="J72" s="84"/>
      <c r="K72" s="84"/>
      <c r="L72" s="140">
        <f t="shared" si="22"/>
        <v>8.1</v>
      </c>
      <c r="M72" s="187">
        <v>8</v>
      </c>
      <c r="N72" s="187">
        <v>8.14</v>
      </c>
      <c r="O72" s="141"/>
      <c r="P72" s="141"/>
      <c r="Q72" s="86"/>
      <c r="R72" s="86"/>
      <c r="S72" s="86"/>
      <c r="T72" s="86"/>
      <c r="U72" s="142">
        <f t="shared" si="23"/>
        <v>1438.1</v>
      </c>
      <c r="V72" s="188">
        <v>1492.1</v>
      </c>
      <c r="W72" s="188">
        <v>1384</v>
      </c>
      <c r="X72" s="88"/>
      <c r="Y72" s="88"/>
      <c r="Z72" s="88"/>
      <c r="AA72" s="88"/>
      <c r="AB72" s="88"/>
      <c r="AC72" s="88"/>
      <c r="AD72" s="142" t="str">
        <f t="shared" si="24"/>
        <v/>
      </c>
      <c r="AE72" s="88"/>
      <c r="AF72" s="88"/>
      <c r="AG72" s="88"/>
      <c r="AH72" s="88"/>
      <c r="AI72" s="88"/>
      <c r="AJ72" s="88"/>
      <c r="AK72" s="88"/>
      <c r="AL72" s="88"/>
      <c r="AM72" s="143">
        <v>58.757624797709447</v>
      </c>
      <c r="AN72" s="88">
        <v>80.33</v>
      </c>
      <c r="AO72" s="89"/>
      <c r="AP72" s="90"/>
      <c r="AQ72" s="146" t="str">
        <f t="shared" si="25"/>
        <v/>
      </c>
      <c r="AR72" s="146" t="str">
        <f t="shared" si="26"/>
        <v/>
      </c>
      <c r="AS72" s="147"/>
      <c r="AT72" s="148">
        <v>13.45</v>
      </c>
      <c r="AU72" s="149">
        <v>7.4008000000000003</v>
      </c>
      <c r="AV72" s="146">
        <f t="shared" si="27"/>
        <v>55.024535315985133</v>
      </c>
      <c r="AW72" s="146">
        <f t="shared" si="28"/>
        <v>44.975464684014867</v>
      </c>
      <c r="AX72" s="138" t="str">
        <f t="shared" si="29"/>
        <v/>
      </c>
      <c r="AY72" s="95">
        <v>76.900000000000006</v>
      </c>
      <c r="AZ72" s="96">
        <v>62.42</v>
      </c>
      <c r="BA72" s="96"/>
      <c r="BB72" s="96">
        <v>81.5</v>
      </c>
      <c r="BC72" s="96"/>
      <c r="BD72" s="97">
        <v>80.33</v>
      </c>
      <c r="BE72" s="142">
        <f t="shared" si="30"/>
        <v>4951</v>
      </c>
      <c r="BF72" s="98">
        <v>2628</v>
      </c>
      <c r="BG72" s="98">
        <v>0</v>
      </c>
      <c r="BH72" s="98">
        <v>222</v>
      </c>
      <c r="BI72" s="98">
        <v>2101</v>
      </c>
      <c r="BJ72" s="98"/>
      <c r="BK72" s="98"/>
      <c r="BL72" s="97"/>
    </row>
    <row r="73" spans="1:64" outlineLevel="5" x14ac:dyDescent="0.3">
      <c r="A73" s="152">
        <f t="shared" si="5"/>
        <v>2</v>
      </c>
      <c r="B73" s="153">
        <f t="shared" si="12"/>
        <v>45344</v>
      </c>
      <c r="C73" s="138">
        <f t="shared" si="21"/>
        <v>38.200000000000003</v>
      </c>
      <c r="D73" s="186">
        <v>38.5</v>
      </c>
      <c r="E73" s="186">
        <v>37.9</v>
      </c>
      <c r="F73" s="84"/>
      <c r="G73" s="84"/>
      <c r="H73" s="84"/>
      <c r="I73" s="84"/>
      <c r="J73" s="84"/>
      <c r="K73" s="84"/>
      <c r="L73" s="140">
        <f t="shared" si="22"/>
        <v>8</v>
      </c>
      <c r="M73" s="187">
        <v>7.95</v>
      </c>
      <c r="N73" s="187">
        <v>8.07</v>
      </c>
      <c r="O73" s="141"/>
      <c r="P73" s="141"/>
      <c r="Q73" s="86"/>
      <c r="R73" s="86"/>
      <c r="S73" s="86"/>
      <c r="T73" s="86"/>
      <c r="U73" s="142">
        <f t="shared" si="23"/>
        <v>1886.8</v>
      </c>
      <c r="V73" s="188">
        <v>2000.3</v>
      </c>
      <c r="W73" s="188">
        <v>1773.3</v>
      </c>
      <c r="X73" s="88"/>
      <c r="Y73" s="88"/>
      <c r="Z73" s="88"/>
      <c r="AA73" s="88"/>
      <c r="AB73" s="88"/>
      <c r="AC73" s="88"/>
      <c r="AD73" s="142" t="str">
        <f t="shared" si="24"/>
        <v/>
      </c>
      <c r="AE73" s="88"/>
      <c r="AF73" s="88"/>
      <c r="AG73" s="88"/>
      <c r="AH73" s="88"/>
      <c r="AI73" s="88"/>
      <c r="AJ73" s="88"/>
      <c r="AK73" s="88"/>
      <c r="AL73" s="88"/>
      <c r="AM73" s="143">
        <v>62.690928410147436</v>
      </c>
      <c r="AN73" s="88">
        <v>75.289999999999992</v>
      </c>
      <c r="AO73" s="89"/>
      <c r="AP73" s="90"/>
      <c r="AQ73" s="146" t="str">
        <f t="shared" si="25"/>
        <v/>
      </c>
      <c r="AR73" s="146" t="str">
        <f t="shared" si="26"/>
        <v/>
      </c>
      <c r="AS73" s="147"/>
      <c r="AT73" s="148">
        <v>13</v>
      </c>
      <c r="AU73" s="149">
        <v>6.642199999999999</v>
      </c>
      <c r="AV73" s="146">
        <f t="shared" si="27"/>
        <v>51.093846153846144</v>
      </c>
      <c r="AW73" s="146">
        <f t="shared" si="28"/>
        <v>48.906153846153856</v>
      </c>
      <c r="AX73" s="138" t="str">
        <f t="shared" si="29"/>
        <v/>
      </c>
      <c r="AY73" s="95">
        <v>77.150000000000006</v>
      </c>
      <c r="AZ73" s="96">
        <v>61.114999999999995</v>
      </c>
      <c r="BA73" s="96"/>
      <c r="BB73" s="96">
        <v>94</v>
      </c>
      <c r="BC73" s="96"/>
      <c r="BD73" s="97">
        <v>75.289999999999992</v>
      </c>
      <c r="BE73" s="142">
        <f t="shared" si="30"/>
        <v>12657</v>
      </c>
      <c r="BF73" s="98">
        <v>2250</v>
      </c>
      <c r="BG73" s="98">
        <v>0</v>
      </c>
      <c r="BH73" s="98">
        <v>565</v>
      </c>
      <c r="BI73" s="98">
        <v>9842</v>
      </c>
      <c r="BJ73" s="98"/>
      <c r="BK73" s="98"/>
      <c r="BL73" s="97"/>
    </row>
    <row r="74" spans="1:64" outlineLevel="5" x14ac:dyDescent="0.3">
      <c r="A74" s="152">
        <f t="shared" si="5"/>
        <v>2</v>
      </c>
      <c r="B74" s="153">
        <f t="shared" si="12"/>
        <v>45345</v>
      </c>
      <c r="C74" s="138" t="str">
        <f t="shared" si="21"/>
        <v/>
      </c>
      <c r="D74" s="186"/>
      <c r="E74" s="186"/>
      <c r="F74" s="84"/>
      <c r="G74" s="84"/>
      <c r="H74" s="84"/>
      <c r="I74" s="84"/>
      <c r="J74" s="84"/>
      <c r="K74" s="84"/>
      <c r="L74" s="140" t="str">
        <f t="shared" si="22"/>
        <v/>
      </c>
      <c r="M74" s="187"/>
      <c r="N74" s="187"/>
      <c r="O74" s="141"/>
      <c r="P74" s="141"/>
      <c r="Q74" s="86"/>
      <c r="R74" s="86"/>
      <c r="S74" s="86"/>
      <c r="T74" s="86"/>
      <c r="U74" s="142" t="str">
        <f t="shared" si="23"/>
        <v/>
      </c>
      <c r="V74" s="188"/>
      <c r="W74" s="188"/>
      <c r="X74" s="88"/>
      <c r="Y74" s="88"/>
      <c r="Z74" s="88"/>
      <c r="AA74" s="88"/>
      <c r="AB74" s="88"/>
      <c r="AC74" s="88"/>
      <c r="AD74" s="142" t="str">
        <f t="shared" si="24"/>
        <v/>
      </c>
      <c r="AE74" s="88"/>
      <c r="AF74" s="88"/>
      <c r="AG74" s="88"/>
      <c r="AH74" s="88"/>
      <c r="AI74" s="88"/>
      <c r="AJ74" s="88"/>
      <c r="AK74" s="88"/>
      <c r="AL74" s="88"/>
      <c r="AM74" s="143">
        <v>77.136787056708613</v>
      </c>
      <c r="AN74" s="88">
        <v>61.19</v>
      </c>
      <c r="AO74" s="89"/>
      <c r="AP74" s="90"/>
      <c r="AQ74" s="146" t="str">
        <f t="shared" si="25"/>
        <v/>
      </c>
      <c r="AR74" s="146" t="str">
        <f t="shared" si="26"/>
        <v/>
      </c>
      <c r="AS74" s="147"/>
      <c r="AT74" s="148"/>
      <c r="AU74" s="149"/>
      <c r="AV74" s="146" t="str">
        <f t="shared" si="27"/>
        <v/>
      </c>
      <c r="AW74" s="146" t="str">
        <f t="shared" si="28"/>
        <v/>
      </c>
      <c r="AX74" s="138" t="str">
        <f t="shared" si="29"/>
        <v/>
      </c>
      <c r="AY74" s="95"/>
      <c r="AZ74" s="96">
        <v>62.234999999999999</v>
      </c>
      <c r="BA74" s="96"/>
      <c r="BB74" s="96">
        <v>70.5</v>
      </c>
      <c r="BC74" s="96"/>
      <c r="BD74" s="97">
        <v>61.19</v>
      </c>
      <c r="BE74" s="142">
        <f t="shared" si="30"/>
        <v>7179</v>
      </c>
      <c r="BF74" s="98">
        <v>1351</v>
      </c>
      <c r="BG74" s="98">
        <v>0</v>
      </c>
      <c r="BH74" s="98">
        <v>0</v>
      </c>
      <c r="BI74" s="98">
        <v>5828</v>
      </c>
      <c r="BJ74" s="98"/>
      <c r="BK74" s="98"/>
      <c r="BL74" s="97"/>
    </row>
    <row r="75" spans="1:64" outlineLevel="5" x14ac:dyDescent="0.3">
      <c r="A75" s="152">
        <f t="shared" si="5"/>
        <v>2</v>
      </c>
      <c r="B75" s="153">
        <f t="shared" si="12"/>
        <v>45346</v>
      </c>
      <c r="C75" s="138" t="str">
        <f t="shared" si="21"/>
        <v/>
      </c>
      <c r="D75" s="186"/>
      <c r="E75" s="186"/>
      <c r="F75" s="84"/>
      <c r="G75" s="84"/>
      <c r="H75" s="84"/>
      <c r="I75" s="84"/>
      <c r="J75" s="84"/>
      <c r="K75" s="84"/>
      <c r="L75" s="140" t="str">
        <f t="shared" si="22"/>
        <v/>
      </c>
      <c r="M75" s="187"/>
      <c r="N75" s="187"/>
      <c r="O75" s="141"/>
      <c r="P75" s="141"/>
      <c r="Q75" s="86"/>
      <c r="R75" s="86"/>
      <c r="S75" s="86"/>
      <c r="T75" s="86"/>
      <c r="U75" s="142" t="str">
        <f t="shared" si="23"/>
        <v/>
      </c>
      <c r="V75" s="188"/>
      <c r="W75" s="188"/>
      <c r="X75" s="88"/>
      <c r="Y75" s="88"/>
      <c r="Z75" s="88"/>
      <c r="AA75" s="88"/>
      <c r="AB75" s="88"/>
      <c r="AC75" s="88"/>
      <c r="AD75" s="142" t="str">
        <f t="shared" si="24"/>
        <v/>
      </c>
      <c r="AE75" s="88"/>
      <c r="AF75" s="88"/>
      <c r="AG75" s="88"/>
      <c r="AH75" s="88"/>
      <c r="AI75" s="88"/>
      <c r="AJ75" s="88"/>
      <c r="AK75" s="88"/>
      <c r="AL75" s="88"/>
      <c r="AM75" s="143">
        <v>46.534555851326033</v>
      </c>
      <c r="AN75" s="88">
        <v>101.43</v>
      </c>
      <c r="AO75" s="89"/>
      <c r="AP75" s="90"/>
      <c r="AQ75" s="146" t="str">
        <f t="shared" si="25"/>
        <v/>
      </c>
      <c r="AR75" s="146" t="str">
        <f t="shared" si="26"/>
        <v/>
      </c>
      <c r="AS75" s="147"/>
      <c r="AT75" s="148"/>
      <c r="AU75" s="149"/>
      <c r="AV75" s="146" t="str">
        <f t="shared" si="27"/>
        <v/>
      </c>
      <c r="AW75" s="146" t="str">
        <f t="shared" si="28"/>
        <v/>
      </c>
      <c r="AX75" s="138" t="str">
        <f t="shared" si="29"/>
        <v/>
      </c>
      <c r="AY75" s="95"/>
      <c r="AZ75" s="96"/>
      <c r="BA75" s="96"/>
      <c r="BB75" s="96"/>
      <c r="BC75" s="96"/>
      <c r="BD75" s="97">
        <v>101.43</v>
      </c>
      <c r="BE75" s="142">
        <f t="shared" si="30"/>
        <v>7380</v>
      </c>
      <c r="BF75" s="98">
        <v>1268</v>
      </c>
      <c r="BG75" s="98">
        <v>0</v>
      </c>
      <c r="BH75" s="98">
        <v>0</v>
      </c>
      <c r="BI75" s="98">
        <v>6112</v>
      </c>
      <c r="BJ75" s="98"/>
      <c r="BK75" s="98"/>
      <c r="BL75" s="97"/>
    </row>
    <row r="76" spans="1:64" outlineLevel="5" x14ac:dyDescent="0.3">
      <c r="A76" s="152">
        <f t="shared" si="5"/>
        <v>2</v>
      </c>
      <c r="B76" s="153">
        <f t="shared" si="12"/>
        <v>45347</v>
      </c>
      <c r="C76" s="138" t="str">
        <f t="shared" si="21"/>
        <v/>
      </c>
      <c r="D76" s="186"/>
      <c r="E76" s="186"/>
      <c r="F76" s="84"/>
      <c r="G76" s="84"/>
      <c r="H76" s="84"/>
      <c r="I76" s="84"/>
      <c r="J76" s="84"/>
      <c r="K76" s="84"/>
      <c r="L76" s="140" t="str">
        <f t="shared" si="22"/>
        <v/>
      </c>
      <c r="M76" s="187"/>
      <c r="N76" s="187"/>
      <c r="O76" s="141"/>
      <c r="P76" s="141"/>
      <c r="Q76" s="86"/>
      <c r="R76" s="86"/>
      <c r="S76" s="86"/>
      <c r="T76" s="86"/>
      <c r="U76" s="142" t="str">
        <f t="shared" si="23"/>
        <v/>
      </c>
      <c r="V76" s="188"/>
      <c r="W76" s="188"/>
      <c r="X76" s="88"/>
      <c r="Y76" s="88"/>
      <c r="Z76" s="88"/>
      <c r="AA76" s="88"/>
      <c r="AB76" s="88"/>
      <c r="AC76" s="88"/>
      <c r="AD76" s="142" t="str">
        <f t="shared" si="24"/>
        <v/>
      </c>
      <c r="AE76" s="88"/>
      <c r="AF76" s="88"/>
      <c r="AG76" s="88"/>
      <c r="AH76" s="88"/>
      <c r="AI76" s="88"/>
      <c r="AJ76" s="88"/>
      <c r="AK76" s="88"/>
      <c r="AL76" s="88"/>
      <c r="AM76" s="143">
        <v>55.529411764705884</v>
      </c>
      <c r="AN76" s="88">
        <v>85</v>
      </c>
      <c r="AO76" s="89"/>
      <c r="AP76" s="90"/>
      <c r="AQ76" s="146" t="str">
        <f t="shared" si="25"/>
        <v/>
      </c>
      <c r="AR76" s="146" t="str">
        <f t="shared" si="26"/>
        <v/>
      </c>
      <c r="AS76" s="147"/>
      <c r="AT76" s="148"/>
      <c r="AU76" s="149"/>
      <c r="AV76" s="146" t="str">
        <f t="shared" si="27"/>
        <v/>
      </c>
      <c r="AW76" s="146" t="str">
        <f t="shared" si="28"/>
        <v/>
      </c>
      <c r="AX76" s="138" t="str">
        <f t="shared" si="29"/>
        <v/>
      </c>
      <c r="AY76" s="95"/>
      <c r="AZ76" s="96"/>
      <c r="BA76" s="96"/>
      <c r="BB76" s="96"/>
      <c r="BC76" s="96"/>
      <c r="BD76" s="97">
        <v>85</v>
      </c>
      <c r="BE76" s="142">
        <f t="shared" si="30"/>
        <v>8398</v>
      </c>
      <c r="BF76" s="98">
        <v>2405</v>
      </c>
      <c r="BG76" s="98">
        <v>0</v>
      </c>
      <c r="BH76" s="98">
        <v>1</v>
      </c>
      <c r="BI76" s="98">
        <v>5992</v>
      </c>
      <c r="BJ76" s="98"/>
      <c r="BK76" s="98"/>
      <c r="BL76" s="97"/>
    </row>
    <row r="77" spans="1:64" outlineLevel="5" x14ac:dyDescent="0.3">
      <c r="A77" s="152">
        <f t="shared" si="5"/>
        <v>2</v>
      </c>
      <c r="B77" s="153">
        <f t="shared" si="12"/>
        <v>45348</v>
      </c>
      <c r="C77" s="138">
        <f t="shared" si="21"/>
        <v>38.799999999999997</v>
      </c>
      <c r="D77" s="186">
        <v>39</v>
      </c>
      <c r="E77" s="186">
        <v>38.6</v>
      </c>
      <c r="F77" s="84"/>
      <c r="G77" s="84"/>
      <c r="H77" s="84"/>
      <c r="I77" s="84"/>
      <c r="J77" s="84"/>
      <c r="K77" s="84"/>
      <c r="L77" s="140">
        <f t="shared" si="22"/>
        <v>8.1999999999999993</v>
      </c>
      <c r="M77" s="187">
        <v>8.09</v>
      </c>
      <c r="N77" s="187">
        <v>8.24</v>
      </c>
      <c r="O77" s="141"/>
      <c r="P77" s="141"/>
      <c r="Q77" s="86"/>
      <c r="R77" s="86"/>
      <c r="S77" s="86"/>
      <c r="T77" s="86"/>
      <c r="U77" s="142">
        <f t="shared" si="23"/>
        <v>1335.5</v>
      </c>
      <c r="V77" s="188">
        <v>1395</v>
      </c>
      <c r="W77" s="188">
        <v>1275.9000000000001</v>
      </c>
      <c r="X77" s="88"/>
      <c r="Y77" s="88"/>
      <c r="Z77" s="88"/>
      <c r="AA77" s="88"/>
      <c r="AB77" s="88"/>
      <c r="AC77" s="88"/>
      <c r="AD77" s="142" t="str">
        <f t="shared" si="24"/>
        <v/>
      </c>
      <c r="AE77" s="88"/>
      <c r="AF77" s="88"/>
      <c r="AG77" s="88"/>
      <c r="AH77" s="88"/>
      <c r="AI77" s="88"/>
      <c r="AJ77" s="88"/>
      <c r="AK77" s="88"/>
      <c r="AL77" s="88"/>
      <c r="AM77" s="143">
        <v>44.083309984122536</v>
      </c>
      <c r="AN77" s="88">
        <v>107.07</v>
      </c>
      <c r="AO77" s="89">
        <v>25.8</v>
      </c>
      <c r="AP77" s="90">
        <v>19</v>
      </c>
      <c r="AQ77" s="146">
        <f t="shared" si="25"/>
        <v>73.643410852713174</v>
      </c>
      <c r="AR77" s="146">
        <f t="shared" si="26"/>
        <v>26.356589147286826</v>
      </c>
      <c r="AS77" s="147"/>
      <c r="AT77" s="148">
        <v>13.5</v>
      </c>
      <c r="AU77" s="149">
        <v>7.5681000000000003</v>
      </c>
      <c r="AV77" s="146">
        <f t="shared" si="27"/>
        <v>56.06</v>
      </c>
      <c r="AW77" s="146">
        <f t="shared" si="28"/>
        <v>43.94</v>
      </c>
      <c r="AX77" s="138">
        <f t="shared" si="29"/>
        <v>54.338691517140582</v>
      </c>
      <c r="AY77" s="95">
        <v>75.25</v>
      </c>
      <c r="AZ77" s="96">
        <v>61.18</v>
      </c>
      <c r="BA77" s="96"/>
      <c r="BB77" s="96">
        <v>96.5</v>
      </c>
      <c r="BC77" s="96"/>
      <c r="BD77" s="97">
        <v>107.07</v>
      </c>
      <c r="BE77" s="142">
        <f t="shared" si="30"/>
        <v>9119</v>
      </c>
      <c r="BF77" s="98">
        <v>2498</v>
      </c>
      <c r="BG77" s="98">
        <v>0</v>
      </c>
      <c r="BH77" s="98">
        <v>459</v>
      </c>
      <c r="BI77" s="98">
        <v>6162</v>
      </c>
      <c r="BJ77" s="98"/>
      <c r="BK77" s="98"/>
      <c r="BL77" s="97"/>
    </row>
    <row r="78" spans="1:64" outlineLevel="5" x14ac:dyDescent="0.3">
      <c r="A78" s="152">
        <f t="shared" si="5"/>
        <v>2</v>
      </c>
      <c r="B78" s="153">
        <f t="shared" si="12"/>
        <v>45349</v>
      </c>
      <c r="C78" s="138" t="str">
        <f t="shared" si="21"/>
        <v/>
      </c>
      <c r="D78" s="186"/>
      <c r="E78" s="186"/>
      <c r="F78" s="84"/>
      <c r="G78" s="84"/>
      <c r="H78" s="84"/>
      <c r="I78" s="84"/>
      <c r="J78" s="84"/>
      <c r="K78" s="84"/>
      <c r="L78" s="140" t="str">
        <f t="shared" si="22"/>
        <v/>
      </c>
      <c r="M78" s="187"/>
      <c r="N78" s="187"/>
      <c r="O78" s="141"/>
      <c r="P78" s="141"/>
      <c r="Q78" s="86"/>
      <c r="R78" s="86"/>
      <c r="S78" s="86"/>
      <c r="T78" s="86"/>
      <c r="U78" s="142" t="str">
        <f t="shared" si="23"/>
        <v/>
      </c>
      <c r="V78" s="188"/>
      <c r="W78" s="188"/>
      <c r="X78" s="88"/>
      <c r="Y78" s="88"/>
      <c r="Z78" s="88"/>
      <c r="AA78" s="88"/>
      <c r="AB78" s="88"/>
      <c r="AC78" s="88"/>
      <c r="AD78" s="142" t="str">
        <f t="shared" si="24"/>
        <v/>
      </c>
      <c r="AE78" s="88"/>
      <c r="AF78" s="88"/>
      <c r="AG78" s="88"/>
      <c r="AH78" s="88"/>
      <c r="AI78" s="88"/>
      <c r="AJ78" s="88"/>
      <c r="AK78" s="88"/>
      <c r="AL78" s="88"/>
      <c r="AM78" s="143">
        <v>63.492063492063487</v>
      </c>
      <c r="AN78" s="88">
        <v>74.34</v>
      </c>
      <c r="AO78" s="89"/>
      <c r="AP78" s="90"/>
      <c r="AQ78" s="146" t="str">
        <f t="shared" si="25"/>
        <v/>
      </c>
      <c r="AR78" s="146" t="str">
        <f t="shared" si="26"/>
        <v/>
      </c>
      <c r="AS78" s="147"/>
      <c r="AT78" s="148"/>
      <c r="AU78" s="149"/>
      <c r="AV78" s="146" t="str">
        <f t="shared" si="27"/>
        <v/>
      </c>
      <c r="AW78" s="146" t="str">
        <f t="shared" si="28"/>
        <v/>
      </c>
      <c r="AX78" s="138" t="str">
        <f t="shared" si="29"/>
        <v/>
      </c>
      <c r="AY78" s="95"/>
      <c r="AZ78" s="96">
        <v>61.61</v>
      </c>
      <c r="BA78" s="96"/>
      <c r="BB78" s="96">
        <v>85</v>
      </c>
      <c r="BC78" s="96"/>
      <c r="BD78" s="97">
        <v>74.34</v>
      </c>
      <c r="BE78" s="142">
        <f t="shared" si="30"/>
        <v>9378</v>
      </c>
      <c r="BF78" s="98">
        <v>971</v>
      </c>
      <c r="BG78" s="98">
        <v>0</v>
      </c>
      <c r="BH78" s="98">
        <v>2297</v>
      </c>
      <c r="BI78" s="98">
        <v>6110</v>
      </c>
      <c r="BJ78" s="98"/>
      <c r="BK78" s="98"/>
      <c r="BL78" s="97"/>
    </row>
    <row r="79" spans="1:64" outlineLevel="5" x14ac:dyDescent="0.3">
      <c r="A79" s="152">
        <f t="shared" si="5"/>
        <v>2</v>
      </c>
      <c r="B79" s="166">
        <f t="shared" si="12"/>
        <v>45350</v>
      </c>
      <c r="C79" s="138">
        <f t="shared" si="21"/>
        <v>38.299999999999997</v>
      </c>
      <c r="D79" s="186">
        <v>37.799999999999997</v>
      </c>
      <c r="E79" s="186">
        <v>38.799999999999997</v>
      </c>
      <c r="F79" s="84"/>
      <c r="G79" s="84"/>
      <c r="H79" s="84"/>
      <c r="I79" s="84"/>
      <c r="J79" s="84"/>
      <c r="K79" s="84"/>
      <c r="L79" s="140">
        <f t="shared" si="22"/>
        <v>8.1</v>
      </c>
      <c r="M79" s="187">
        <v>8.07</v>
      </c>
      <c r="N79" s="187">
        <v>8.16</v>
      </c>
      <c r="O79" s="141"/>
      <c r="P79" s="141"/>
      <c r="Q79" s="86"/>
      <c r="R79" s="86"/>
      <c r="S79" s="86"/>
      <c r="T79" s="86"/>
      <c r="U79" s="142">
        <f t="shared" si="23"/>
        <v>1248.9000000000001</v>
      </c>
      <c r="V79" s="188">
        <v>1329.9</v>
      </c>
      <c r="W79" s="188">
        <v>1167.8</v>
      </c>
      <c r="X79" s="88"/>
      <c r="Y79" s="88"/>
      <c r="Z79" s="88"/>
      <c r="AA79" s="88"/>
      <c r="AB79" s="88"/>
      <c r="AC79" s="88"/>
      <c r="AD79" s="142" t="str">
        <f t="shared" si="24"/>
        <v/>
      </c>
      <c r="AE79" s="88"/>
      <c r="AF79" s="88"/>
      <c r="AG79" s="88"/>
      <c r="AH79" s="88"/>
      <c r="AI79" s="88"/>
      <c r="AJ79" s="88"/>
      <c r="AK79" s="88"/>
      <c r="AL79" s="88"/>
      <c r="AM79" s="143">
        <v>52.980132450331126</v>
      </c>
      <c r="AN79" s="88">
        <v>89.09</v>
      </c>
      <c r="AO79" s="89"/>
      <c r="AP79" s="90"/>
      <c r="AQ79" s="146" t="str">
        <f t="shared" si="25"/>
        <v/>
      </c>
      <c r="AR79" s="146" t="str">
        <f t="shared" si="26"/>
        <v/>
      </c>
      <c r="AS79" s="147"/>
      <c r="AT79" s="148">
        <v>13.15</v>
      </c>
      <c r="AU79" s="149">
        <v>7.6755500000000003</v>
      </c>
      <c r="AV79" s="146">
        <f t="shared" si="27"/>
        <v>58.369201520912547</v>
      </c>
      <c r="AW79" s="146">
        <f t="shared" si="28"/>
        <v>41.630798479087453</v>
      </c>
      <c r="AX79" s="138" t="str">
        <f t="shared" si="29"/>
        <v/>
      </c>
      <c r="AY79" s="95">
        <v>74.75</v>
      </c>
      <c r="AZ79" s="96">
        <v>62.234999999999999</v>
      </c>
      <c r="BA79" s="96"/>
      <c r="BB79" s="96">
        <v>70.5</v>
      </c>
      <c r="BC79" s="96"/>
      <c r="BD79" s="97">
        <v>89.09</v>
      </c>
      <c r="BE79" s="142">
        <f t="shared" si="30"/>
        <v>10445</v>
      </c>
      <c r="BF79" s="98">
        <v>2396</v>
      </c>
      <c r="BG79" s="98">
        <v>0</v>
      </c>
      <c r="BH79" s="98">
        <v>1685</v>
      </c>
      <c r="BI79" s="98">
        <v>6364</v>
      </c>
      <c r="BJ79" s="98"/>
      <c r="BK79" s="98"/>
      <c r="BL79" s="97"/>
    </row>
    <row r="80" spans="1:64" ht="17.25" outlineLevel="5" thickBot="1" x14ac:dyDescent="0.35">
      <c r="A80" s="167">
        <f t="shared" si="5"/>
        <v>2</v>
      </c>
      <c r="B80" s="182">
        <f>B79+1</f>
        <v>45351</v>
      </c>
      <c r="C80" s="138">
        <f t="shared" si="21"/>
        <v>38.799999999999997</v>
      </c>
      <c r="D80" s="186">
        <v>38.9</v>
      </c>
      <c r="E80" s="186">
        <v>38.700000000000003</v>
      </c>
      <c r="F80" s="84"/>
      <c r="G80" s="84"/>
      <c r="H80" s="84"/>
      <c r="I80" s="84"/>
      <c r="J80" s="84"/>
      <c r="K80" s="84"/>
      <c r="L80" s="140">
        <f t="shared" si="22"/>
        <v>8.1999999999999993</v>
      </c>
      <c r="M80" s="187">
        <v>8.11</v>
      </c>
      <c r="N80" s="187">
        <v>8.25</v>
      </c>
      <c r="O80" s="86"/>
      <c r="P80" s="86"/>
      <c r="Q80" s="86"/>
      <c r="R80" s="86"/>
      <c r="S80" s="86"/>
      <c r="T80" s="86"/>
      <c r="U80" s="142">
        <f t="shared" si="23"/>
        <v>1405.7</v>
      </c>
      <c r="V80" s="188">
        <v>1448.9</v>
      </c>
      <c r="W80" s="188">
        <v>1362.4</v>
      </c>
      <c r="X80" s="88"/>
      <c r="Y80" s="88"/>
      <c r="Z80" s="88"/>
      <c r="AA80" s="88"/>
      <c r="AB80" s="88"/>
      <c r="AC80" s="88"/>
      <c r="AD80" s="142" t="str">
        <f t="shared" si="24"/>
        <v/>
      </c>
      <c r="AE80" s="88"/>
      <c r="AF80" s="88"/>
      <c r="AG80" s="88"/>
      <c r="AH80" s="88"/>
      <c r="AI80" s="88"/>
      <c r="AJ80" s="88"/>
      <c r="AK80" s="88"/>
      <c r="AL80" s="88"/>
      <c r="AM80" s="88">
        <v>77.759472817133442</v>
      </c>
      <c r="AN80" s="88">
        <v>60.7</v>
      </c>
      <c r="AO80" s="89"/>
      <c r="AP80" s="90"/>
      <c r="AQ80" s="146" t="str">
        <f t="shared" si="25"/>
        <v/>
      </c>
      <c r="AR80" s="146" t="str">
        <f t="shared" si="26"/>
        <v/>
      </c>
      <c r="AS80" s="147"/>
      <c r="AT80" s="148">
        <v>13.4</v>
      </c>
      <c r="AU80" s="149">
        <v>7.1977000000000002</v>
      </c>
      <c r="AV80" s="146">
        <f t="shared" si="27"/>
        <v>53.714179104477608</v>
      </c>
      <c r="AW80" s="146">
        <f t="shared" si="28"/>
        <v>46.285820895522392</v>
      </c>
      <c r="AX80" s="138" t="str">
        <f t="shared" si="29"/>
        <v/>
      </c>
      <c r="AY80" s="95">
        <v>75.650000000000006</v>
      </c>
      <c r="AZ80" s="96">
        <v>59.49</v>
      </c>
      <c r="BA80" s="96"/>
      <c r="BB80" s="96">
        <v>95.5</v>
      </c>
      <c r="BC80" s="96"/>
      <c r="BD80" s="97">
        <v>60.7</v>
      </c>
      <c r="BE80" s="142">
        <f t="shared" si="30"/>
        <v>11955</v>
      </c>
      <c r="BF80" s="98">
        <v>1725</v>
      </c>
      <c r="BG80" s="98">
        <v>0</v>
      </c>
      <c r="BH80" s="98">
        <v>3867</v>
      </c>
      <c r="BI80" s="98">
        <v>6363</v>
      </c>
      <c r="BJ80" s="98"/>
      <c r="BK80" s="98"/>
      <c r="BL80" s="97"/>
    </row>
    <row r="81" spans="1:64" outlineLevel="4" x14ac:dyDescent="0.3">
      <c r="A81" s="63" t="s">
        <v>61</v>
      </c>
      <c r="B81" s="64"/>
      <c r="C81" s="65">
        <f t="shared" ref="C81:BL81" si="31">SUBTOTAL(4,C52:C80)</f>
        <v>38.799999999999997</v>
      </c>
      <c r="D81" s="66">
        <f t="shared" si="31"/>
        <v>39</v>
      </c>
      <c r="E81" s="66">
        <f t="shared" si="31"/>
        <v>38.799999999999997</v>
      </c>
      <c r="F81" s="66">
        <f t="shared" si="31"/>
        <v>0</v>
      </c>
      <c r="G81" s="66">
        <f t="shared" si="31"/>
        <v>0</v>
      </c>
      <c r="H81" s="66">
        <f t="shared" si="31"/>
        <v>0</v>
      </c>
      <c r="I81" s="66">
        <f t="shared" si="31"/>
        <v>0</v>
      </c>
      <c r="J81" s="66">
        <f t="shared" si="31"/>
        <v>0</v>
      </c>
      <c r="K81" s="66">
        <f t="shared" si="31"/>
        <v>0</v>
      </c>
      <c r="L81" s="67">
        <f t="shared" si="31"/>
        <v>8.1999999999999993</v>
      </c>
      <c r="M81" s="68">
        <f t="shared" si="31"/>
        <v>8.17</v>
      </c>
      <c r="N81" s="68">
        <f t="shared" si="31"/>
        <v>8.25</v>
      </c>
      <c r="O81" s="68">
        <f t="shared" si="31"/>
        <v>0</v>
      </c>
      <c r="P81" s="68">
        <f t="shared" si="31"/>
        <v>0</v>
      </c>
      <c r="Q81" s="68">
        <f t="shared" si="31"/>
        <v>0</v>
      </c>
      <c r="R81" s="68">
        <f t="shared" si="31"/>
        <v>0</v>
      </c>
      <c r="S81" s="68">
        <f t="shared" si="31"/>
        <v>0</v>
      </c>
      <c r="T81" s="68">
        <f t="shared" si="31"/>
        <v>0</v>
      </c>
      <c r="U81" s="69">
        <f t="shared" si="31"/>
        <v>3670.9</v>
      </c>
      <c r="V81" s="70">
        <f t="shared" si="31"/>
        <v>3719.5</v>
      </c>
      <c r="W81" s="70">
        <f t="shared" si="31"/>
        <v>3622.2</v>
      </c>
      <c r="X81" s="70">
        <f t="shared" si="31"/>
        <v>0</v>
      </c>
      <c r="Y81" s="70">
        <f t="shared" si="31"/>
        <v>0</v>
      </c>
      <c r="Z81" s="70">
        <f t="shared" si="31"/>
        <v>0</v>
      </c>
      <c r="AA81" s="70">
        <f t="shared" si="31"/>
        <v>0</v>
      </c>
      <c r="AB81" s="70">
        <f t="shared" si="31"/>
        <v>0</v>
      </c>
      <c r="AC81" s="70">
        <f t="shared" si="31"/>
        <v>0</v>
      </c>
      <c r="AD81" s="69">
        <f t="shared" si="31"/>
        <v>0</v>
      </c>
      <c r="AE81" s="70">
        <f t="shared" si="31"/>
        <v>0</v>
      </c>
      <c r="AF81" s="70">
        <f t="shared" si="31"/>
        <v>0</v>
      </c>
      <c r="AG81" s="70">
        <f t="shared" si="31"/>
        <v>0</v>
      </c>
      <c r="AH81" s="70">
        <f t="shared" si="31"/>
        <v>0</v>
      </c>
      <c r="AI81" s="70">
        <f t="shared" si="31"/>
        <v>0</v>
      </c>
      <c r="AJ81" s="70">
        <f t="shared" si="31"/>
        <v>0</v>
      </c>
      <c r="AK81" s="70">
        <f t="shared" si="31"/>
        <v>0</v>
      </c>
      <c r="AL81" s="70">
        <f t="shared" si="31"/>
        <v>0</v>
      </c>
      <c r="AM81" s="70">
        <f t="shared" si="31"/>
        <v>149.3198354950965</v>
      </c>
      <c r="AN81" s="70">
        <f t="shared" si="31"/>
        <v>134.13999999999999</v>
      </c>
      <c r="AO81" s="71">
        <f t="shared" si="31"/>
        <v>25.8</v>
      </c>
      <c r="AP81" s="72">
        <f t="shared" si="31"/>
        <v>19</v>
      </c>
      <c r="AQ81" s="73">
        <f t="shared" si="31"/>
        <v>75.813953488372093</v>
      </c>
      <c r="AR81" s="73">
        <f t="shared" si="31"/>
        <v>30.327868852459019</v>
      </c>
      <c r="AS81" s="74">
        <f t="shared" si="31"/>
        <v>0</v>
      </c>
      <c r="AT81" s="75">
        <f t="shared" si="31"/>
        <v>15.2</v>
      </c>
      <c r="AU81" s="76">
        <f t="shared" si="31"/>
        <v>7.9272999999999989</v>
      </c>
      <c r="AV81" s="73">
        <f t="shared" si="31"/>
        <v>61.080952380952382</v>
      </c>
      <c r="AW81" s="73">
        <f t="shared" si="31"/>
        <v>55.70723684210526</v>
      </c>
      <c r="AX81" s="65">
        <f t="shared" si="31"/>
        <v>74.634881475725479</v>
      </c>
      <c r="AY81" s="77">
        <f t="shared" si="31"/>
        <v>77.150000000000006</v>
      </c>
      <c r="AZ81" s="78">
        <f t="shared" si="31"/>
        <v>62.88</v>
      </c>
      <c r="BA81" s="78">
        <f t="shared" si="31"/>
        <v>0</v>
      </c>
      <c r="BB81" s="78">
        <f t="shared" si="31"/>
        <v>124.5</v>
      </c>
      <c r="BC81" s="78">
        <f t="shared" si="31"/>
        <v>0</v>
      </c>
      <c r="BD81" s="79">
        <f t="shared" si="31"/>
        <v>134.13999999999999</v>
      </c>
      <c r="BE81" s="69">
        <f t="shared" si="31"/>
        <v>12657</v>
      </c>
      <c r="BF81" s="70">
        <f t="shared" si="31"/>
        <v>2628</v>
      </c>
      <c r="BG81" s="80">
        <f t="shared" si="31"/>
        <v>0</v>
      </c>
      <c r="BH81" s="80">
        <f t="shared" si="31"/>
        <v>3867</v>
      </c>
      <c r="BI81" s="80">
        <f t="shared" si="31"/>
        <v>9842</v>
      </c>
      <c r="BJ81" s="80">
        <f t="shared" si="31"/>
        <v>0</v>
      </c>
      <c r="BK81" s="80">
        <f t="shared" si="31"/>
        <v>0</v>
      </c>
      <c r="BL81" s="79">
        <f t="shared" si="31"/>
        <v>0</v>
      </c>
    </row>
    <row r="82" spans="1:64" outlineLevel="3" x14ac:dyDescent="0.3">
      <c r="A82" s="81" t="s">
        <v>62</v>
      </c>
      <c r="B82" s="82"/>
      <c r="C82" s="83">
        <f t="shared" ref="C82:BL82" si="32">SUBTOTAL(5,C52:C80)</f>
        <v>36</v>
      </c>
      <c r="D82" s="84">
        <f t="shared" si="32"/>
        <v>36</v>
      </c>
      <c r="E82" s="84">
        <f t="shared" si="32"/>
        <v>36</v>
      </c>
      <c r="F82" s="84">
        <f t="shared" si="32"/>
        <v>0</v>
      </c>
      <c r="G82" s="84">
        <f t="shared" si="32"/>
        <v>0</v>
      </c>
      <c r="H82" s="84">
        <f t="shared" si="32"/>
        <v>0</v>
      </c>
      <c r="I82" s="84">
        <f t="shared" si="32"/>
        <v>0</v>
      </c>
      <c r="J82" s="84">
        <f t="shared" si="32"/>
        <v>0</v>
      </c>
      <c r="K82" s="84">
        <f t="shared" si="32"/>
        <v>0</v>
      </c>
      <c r="L82" s="85">
        <f t="shared" si="32"/>
        <v>8</v>
      </c>
      <c r="M82" s="86">
        <f t="shared" si="32"/>
        <v>7.93</v>
      </c>
      <c r="N82" s="86">
        <f t="shared" si="32"/>
        <v>7.94</v>
      </c>
      <c r="O82" s="86">
        <f t="shared" si="32"/>
        <v>0</v>
      </c>
      <c r="P82" s="86">
        <f t="shared" si="32"/>
        <v>0</v>
      </c>
      <c r="Q82" s="86">
        <f t="shared" si="32"/>
        <v>0</v>
      </c>
      <c r="R82" s="86">
        <f t="shared" si="32"/>
        <v>0</v>
      </c>
      <c r="S82" s="86">
        <f t="shared" si="32"/>
        <v>0</v>
      </c>
      <c r="T82" s="86">
        <f t="shared" si="32"/>
        <v>0</v>
      </c>
      <c r="U82" s="87">
        <f t="shared" si="32"/>
        <v>1248.9000000000001</v>
      </c>
      <c r="V82" s="88">
        <f t="shared" si="32"/>
        <v>1329.9</v>
      </c>
      <c r="W82" s="88">
        <f t="shared" si="32"/>
        <v>1167.8</v>
      </c>
      <c r="X82" s="88">
        <f t="shared" si="32"/>
        <v>0</v>
      </c>
      <c r="Y82" s="88">
        <f t="shared" si="32"/>
        <v>0</v>
      </c>
      <c r="Z82" s="88">
        <f t="shared" si="32"/>
        <v>0</v>
      </c>
      <c r="AA82" s="88">
        <f t="shared" si="32"/>
        <v>0</v>
      </c>
      <c r="AB82" s="88">
        <f t="shared" si="32"/>
        <v>0</v>
      </c>
      <c r="AC82" s="88">
        <f t="shared" si="32"/>
        <v>0</v>
      </c>
      <c r="AD82" s="87">
        <f t="shared" si="32"/>
        <v>0</v>
      </c>
      <c r="AE82" s="88">
        <f t="shared" si="32"/>
        <v>0</v>
      </c>
      <c r="AF82" s="88">
        <f t="shared" si="32"/>
        <v>0</v>
      </c>
      <c r="AG82" s="88">
        <f t="shared" si="32"/>
        <v>0</v>
      </c>
      <c r="AH82" s="88">
        <f t="shared" si="32"/>
        <v>0</v>
      </c>
      <c r="AI82" s="88">
        <f t="shared" si="32"/>
        <v>0</v>
      </c>
      <c r="AJ82" s="88">
        <f t="shared" si="32"/>
        <v>0</v>
      </c>
      <c r="AK82" s="88">
        <f t="shared" si="32"/>
        <v>0</v>
      </c>
      <c r="AL82" s="88">
        <f t="shared" si="32"/>
        <v>0</v>
      </c>
      <c r="AM82" s="88">
        <f t="shared" si="32"/>
        <v>35.18711793648427</v>
      </c>
      <c r="AN82" s="88">
        <f t="shared" si="32"/>
        <v>31.61</v>
      </c>
      <c r="AO82" s="89">
        <f t="shared" si="32"/>
        <v>21.5</v>
      </c>
      <c r="AP82" s="90">
        <f t="shared" si="32"/>
        <v>16.3</v>
      </c>
      <c r="AQ82" s="91">
        <f t="shared" si="32"/>
        <v>69.672131147540981</v>
      </c>
      <c r="AR82" s="91">
        <f t="shared" si="32"/>
        <v>24.186046511627907</v>
      </c>
      <c r="AS82" s="92">
        <f t="shared" si="32"/>
        <v>0</v>
      </c>
      <c r="AT82" s="93">
        <f t="shared" si="32"/>
        <v>12.3</v>
      </c>
      <c r="AU82" s="94">
        <f t="shared" si="32"/>
        <v>6.642199999999999</v>
      </c>
      <c r="AV82" s="91">
        <f t="shared" si="32"/>
        <v>44.29276315789474</v>
      </c>
      <c r="AW82" s="91">
        <f t="shared" si="32"/>
        <v>38.919047619047618</v>
      </c>
      <c r="AX82" s="83">
        <f t="shared" si="32"/>
        <v>54.338691517140582</v>
      </c>
      <c r="AY82" s="95">
        <f t="shared" si="32"/>
        <v>74.75</v>
      </c>
      <c r="AZ82" s="96">
        <f t="shared" si="32"/>
        <v>57.010000000000005</v>
      </c>
      <c r="BA82" s="96">
        <f t="shared" si="32"/>
        <v>0</v>
      </c>
      <c r="BB82" s="96">
        <f t="shared" si="32"/>
        <v>55.5</v>
      </c>
      <c r="BC82" s="96">
        <f t="shared" si="32"/>
        <v>0</v>
      </c>
      <c r="BD82" s="97">
        <f t="shared" si="32"/>
        <v>31.61</v>
      </c>
      <c r="BE82" s="87">
        <f t="shared" si="32"/>
        <v>2211</v>
      </c>
      <c r="BF82" s="88">
        <f t="shared" si="32"/>
        <v>285</v>
      </c>
      <c r="BG82" s="98">
        <f t="shared" si="32"/>
        <v>0</v>
      </c>
      <c r="BH82" s="98">
        <f t="shared" si="32"/>
        <v>0</v>
      </c>
      <c r="BI82" s="98">
        <f t="shared" si="32"/>
        <v>0</v>
      </c>
      <c r="BJ82" s="98">
        <f t="shared" si="32"/>
        <v>0</v>
      </c>
      <c r="BK82" s="98">
        <f t="shared" si="32"/>
        <v>0</v>
      </c>
      <c r="BL82" s="97">
        <f t="shared" si="32"/>
        <v>0</v>
      </c>
    </row>
    <row r="83" spans="1:64" outlineLevel="2" x14ac:dyDescent="0.3">
      <c r="A83" s="81" t="s">
        <v>63</v>
      </c>
      <c r="B83" s="82"/>
      <c r="C83" s="83">
        <f t="shared" ref="C83:BL83" si="33">IFERROR(SUBTOTAL(1,C52:C80),"")</f>
        <v>37.181818181818187</v>
      </c>
      <c r="D83" s="84">
        <f t="shared" si="33"/>
        <v>37.272727272727273</v>
      </c>
      <c r="E83" s="84">
        <f t="shared" si="33"/>
        <v>37.081818181818178</v>
      </c>
      <c r="F83" s="84" t="str">
        <f t="shared" si="33"/>
        <v/>
      </c>
      <c r="G83" s="84" t="str">
        <f t="shared" si="33"/>
        <v/>
      </c>
      <c r="H83" s="84" t="str">
        <f t="shared" si="33"/>
        <v/>
      </c>
      <c r="I83" s="84" t="str">
        <f t="shared" si="33"/>
        <v/>
      </c>
      <c r="J83" s="84" t="str">
        <f t="shared" si="33"/>
        <v/>
      </c>
      <c r="K83" s="84" t="str">
        <f t="shared" si="33"/>
        <v/>
      </c>
      <c r="L83" s="85">
        <f t="shared" si="33"/>
        <v>8.0833333333333339</v>
      </c>
      <c r="M83" s="86">
        <f t="shared" si="33"/>
        <v>8.0350000000000001</v>
      </c>
      <c r="N83" s="86">
        <f t="shared" si="33"/>
        <v>8.1050000000000004</v>
      </c>
      <c r="O83" s="86" t="str">
        <f t="shared" si="33"/>
        <v/>
      </c>
      <c r="P83" s="86" t="str">
        <f t="shared" si="33"/>
        <v/>
      </c>
      <c r="Q83" s="86" t="str">
        <f t="shared" si="33"/>
        <v/>
      </c>
      <c r="R83" s="86" t="str">
        <f t="shared" si="33"/>
        <v/>
      </c>
      <c r="S83" s="86" t="str">
        <f t="shared" si="33"/>
        <v/>
      </c>
      <c r="T83" s="86" t="str">
        <f t="shared" si="33"/>
        <v/>
      </c>
      <c r="U83" s="87">
        <f t="shared" si="33"/>
        <v>1803.4916666666668</v>
      </c>
      <c r="V83" s="88">
        <f t="shared" si="33"/>
        <v>1855.2666666666667</v>
      </c>
      <c r="W83" s="88">
        <f t="shared" si="33"/>
        <v>1751.6416666666667</v>
      </c>
      <c r="X83" s="88" t="str">
        <f t="shared" si="33"/>
        <v/>
      </c>
      <c r="Y83" s="88" t="str">
        <f t="shared" si="33"/>
        <v/>
      </c>
      <c r="Z83" s="88" t="str">
        <f t="shared" si="33"/>
        <v/>
      </c>
      <c r="AA83" s="88" t="str">
        <f t="shared" si="33"/>
        <v/>
      </c>
      <c r="AB83" s="88" t="str">
        <f t="shared" si="33"/>
        <v/>
      </c>
      <c r="AC83" s="88" t="str">
        <f t="shared" si="33"/>
        <v/>
      </c>
      <c r="AD83" s="87" t="str">
        <f t="shared" si="33"/>
        <v/>
      </c>
      <c r="AE83" s="88" t="str">
        <f t="shared" si="33"/>
        <v/>
      </c>
      <c r="AF83" s="88" t="str">
        <f t="shared" si="33"/>
        <v/>
      </c>
      <c r="AG83" s="88" t="str">
        <f t="shared" si="33"/>
        <v/>
      </c>
      <c r="AH83" s="88" t="str">
        <f t="shared" si="33"/>
        <v/>
      </c>
      <c r="AI83" s="88" t="str">
        <f t="shared" si="33"/>
        <v/>
      </c>
      <c r="AJ83" s="88" t="str">
        <f t="shared" si="33"/>
        <v/>
      </c>
      <c r="AK83" s="88" t="str">
        <f t="shared" si="33"/>
        <v/>
      </c>
      <c r="AL83" s="88" t="str">
        <f t="shared" si="33"/>
        <v/>
      </c>
      <c r="AM83" s="88">
        <f t="shared" si="33"/>
        <v>62.684962150106827</v>
      </c>
      <c r="AN83" s="88">
        <f t="shared" si="33"/>
        <v>81.992413793103438</v>
      </c>
      <c r="AO83" s="89">
        <f t="shared" si="33"/>
        <v>23.900000000000002</v>
      </c>
      <c r="AP83" s="90">
        <f t="shared" si="33"/>
        <v>17.433333333333334</v>
      </c>
      <c r="AQ83" s="91">
        <f t="shared" si="33"/>
        <v>73.043165162875411</v>
      </c>
      <c r="AR83" s="91">
        <f t="shared" si="33"/>
        <v>26.956834837124585</v>
      </c>
      <c r="AS83" s="92" t="str">
        <f t="shared" si="33"/>
        <v/>
      </c>
      <c r="AT83" s="93">
        <f t="shared" si="33"/>
        <v>13.308333333333335</v>
      </c>
      <c r="AU83" s="94">
        <f t="shared" si="33"/>
        <v>7.3666958333333339</v>
      </c>
      <c r="AV83" s="91">
        <f t="shared" si="33"/>
        <v>55.613897679421932</v>
      </c>
      <c r="AW83" s="91">
        <f t="shared" si="33"/>
        <v>44.386102320578061</v>
      </c>
      <c r="AX83" s="83">
        <f t="shared" si="33"/>
        <v>63.406503430172251</v>
      </c>
      <c r="AY83" s="95">
        <f t="shared" si="33"/>
        <v>76.075000000000003</v>
      </c>
      <c r="AZ83" s="96">
        <f t="shared" si="33"/>
        <v>60.950666666666663</v>
      </c>
      <c r="BA83" s="96" t="str">
        <f t="shared" si="33"/>
        <v/>
      </c>
      <c r="BB83" s="96">
        <f t="shared" si="33"/>
        <v>89.233333333333334</v>
      </c>
      <c r="BC83" s="96" t="str">
        <f t="shared" si="33"/>
        <v/>
      </c>
      <c r="BD83" s="97">
        <f>IFERROR(SUBTOTAL(1,BD52:BD80),"")</f>
        <v>81.992413793103438</v>
      </c>
      <c r="BE83" s="87">
        <f t="shared" si="33"/>
        <v>7536.9310344827591</v>
      </c>
      <c r="BF83" s="88">
        <f t="shared" si="33"/>
        <v>1476.2758620689656</v>
      </c>
      <c r="BG83" s="98">
        <f t="shared" si="33"/>
        <v>0</v>
      </c>
      <c r="BH83" s="98">
        <f t="shared" si="33"/>
        <v>841.34482758620686</v>
      </c>
      <c r="BI83" s="98">
        <f t="shared" si="33"/>
        <v>5219.3103448275861</v>
      </c>
      <c r="BJ83" s="98" t="str">
        <f t="shared" si="33"/>
        <v/>
      </c>
      <c r="BK83" s="98" t="str">
        <f t="shared" si="33"/>
        <v/>
      </c>
      <c r="BL83" s="97" t="str">
        <f t="shared" si="33"/>
        <v/>
      </c>
    </row>
    <row r="84" spans="1:64" ht="17.25" outlineLevel="1" thickBot="1" x14ac:dyDescent="0.35">
      <c r="A84" s="99" t="s">
        <v>64</v>
      </c>
      <c r="B84" s="100"/>
      <c r="C84" s="101"/>
      <c r="D84" s="102"/>
      <c r="E84" s="102"/>
      <c r="F84" s="102"/>
      <c r="G84" s="102"/>
      <c r="H84" s="102"/>
      <c r="I84" s="102"/>
      <c r="J84" s="102"/>
      <c r="K84" s="102"/>
      <c r="L84" s="103"/>
      <c r="M84" s="104"/>
      <c r="N84" s="104"/>
      <c r="O84" s="104"/>
      <c r="P84" s="104"/>
      <c r="Q84" s="104"/>
      <c r="R84" s="104"/>
      <c r="S84" s="104"/>
      <c r="T84" s="104"/>
      <c r="U84" s="105"/>
      <c r="V84" s="106"/>
      <c r="W84" s="106"/>
      <c r="X84" s="106"/>
      <c r="Y84" s="106"/>
      <c r="Z84" s="106"/>
      <c r="AA84" s="106"/>
      <c r="AB84" s="106"/>
      <c r="AC84" s="106"/>
      <c r="AD84" s="105"/>
      <c r="AE84" s="106"/>
      <c r="AF84" s="106"/>
      <c r="AG84" s="106"/>
      <c r="AH84" s="106"/>
      <c r="AI84" s="106"/>
      <c r="AJ84" s="106"/>
      <c r="AK84" s="106"/>
      <c r="AL84" s="106"/>
      <c r="AM84" s="106"/>
      <c r="AN84" s="107">
        <f>SUBTOTAL(9,AN52:AN80)</f>
        <v>2377.7799999999997</v>
      </c>
      <c r="AO84" s="108"/>
      <c r="AP84" s="109"/>
      <c r="AQ84" s="110"/>
      <c r="AR84" s="110"/>
      <c r="AS84" s="111">
        <f>SUBTOTAL(9,AS52:AS80)</f>
        <v>0</v>
      </c>
      <c r="AT84" s="112"/>
      <c r="AU84" s="113"/>
      <c r="AV84" s="110"/>
      <c r="AW84" s="110"/>
      <c r="AX84" s="101"/>
      <c r="AY84" s="114"/>
      <c r="AZ84" s="115"/>
      <c r="BA84" s="115"/>
      <c r="BB84" s="115"/>
      <c r="BC84" s="115"/>
      <c r="BD84" s="116">
        <f>SUBTOTAL(9,BD52:BD80)</f>
        <v>2377.7799999999997</v>
      </c>
      <c r="BE84" s="117">
        <f t="shared" ref="BE84:BL84" si="34">SUBTOTAL(9,BE52:BE80)</f>
        <v>218571</v>
      </c>
      <c r="BF84" s="107">
        <f t="shared" si="34"/>
        <v>42812</v>
      </c>
      <c r="BG84" s="118">
        <f t="shared" si="34"/>
        <v>0</v>
      </c>
      <c r="BH84" s="118">
        <f t="shared" si="34"/>
        <v>24399</v>
      </c>
      <c r="BI84" s="118">
        <f t="shared" si="34"/>
        <v>151360</v>
      </c>
      <c r="BJ84" s="118">
        <f t="shared" si="34"/>
        <v>0</v>
      </c>
      <c r="BK84" s="118">
        <f t="shared" si="34"/>
        <v>0</v>
      </c>
      <c r="BL84" s="116">
        <f t="shared" si="34"/>
        <v>0</v>
      </c>
    </row>
    <row r="85" spans="1:64" outlineLevel="5" x14ac:dyDescent="0.3">
      <c r="A85" s="136">
        <f t="shared" si="5"/>
        <v>3</v>
      </c>
      <c r="B85" s="137">
        <f>B80+1</f>
        <v>45352</v>
      </c>
      <c r="C85" s="138" t="str">
        <f t="shared" ref="C85:C115" si="35">IFERROR(ROUND(AVERAGE(D85:K85),1),"")</f>
        <v/>
      </c>
      <c r="D85" s="186"/>
      <c r="E85" s="186"/>
      <c r="F85" s="84"/>
      <c r="G85" s="84"/>
      <c r="H85" s="84"/>
      <c r="I85" s="84"/>
      <c r="J85" s="84"/>
      <c r="K85" s="84"/>
      <c r="L85" s="140" t="str">
        <f t="shared" ref="L85:L115" si="36">IFERROR(ROUND(AVERAGE(M85:T85),1),"")</f>
        <v/>
      </c>
      <c r="M85" s="187"/>
      <c r="N85" s="187"/>
      <c r="O85" s="86"/>
      <c r="P85" s="86"/>
      <c r="Q85" s="86"/>
      <c r="R85" s="86"/>
      <c r="S85" s="86"/>
      <c r="T85" s="86"/>
      <c r="U85" s="142" t="str">
        <f t="shared" ref="U85:U115" si="37">IFERROR(ROUND(AVERAGE(V85:AC85),1),"")</f>
        <v/>
      </c>
      <c r="V85" s="188"/>
      <c r="W85" s="188"/>
      <c r="X85" s="88"/>
      <c r="Y85" s="88"/>
      <c r="Z85" s="88"/>
      <c r="AA85" s="88"/>
      <c r="AB85" s="88"/>
      <c r="AC85" s="88"/>
      <c r="AD85" s="142" t="str">
        <f t="shared" ref="AD85:AD115" si="38">IFERROR(ROUND(AVERAGE(AE85:AL85),1),"")</f>
        <v/>
      </c>
      <c r="AE85" s="88"/>
      <c r="AF85" s="88"/>
      <c r="AG85" s="88"/>
      <c r="AH85" s="88"/>
      <c r="AI85" s="88"/>
      <c r="AJ85" s="88"/>
      <c r="AK85" s="88"/>
      <c r="AL85" s="88"/>
      <c r="AM85" s="88">
        <v>84.633315402546174</v>
      </c>
      <c r="AN85" s="88">
        <v>55.77</v>
      </c>
      <c r="AO85" s="89"/>
      <c r="AP85" s="90"/>
      <c r="AQ85" s="146" t="str">
        <f t="shared" ref="AQ85:AQ115" si="39">IFERROR(AP85/AO85*100,"")</f>
        <v/>
      </c>
      <c r="AR85" s="146" t="str">
        <f t="shared" ref="AR85:AR115" si="40">IFERROR(100-AQ85,"")</f>
        <v/>
      </c>
      <c r="AS85" s="147"/>
      <c r="AT85" s="148"/>
      <c r="AU85" s="149"/>
      <c r="AV85" s="146" t="str">
        <f t="shared" ref="AV85:AV115" si="41">IFERROR(AU85/AT85*100,"")</f>
        <v/>
      </c>
      <c r="AW85" s="146" t="str">
        <f t="shared" ref="AW85:AW115" si="42">IFERROR(100-AV85,"")</f>
        <v/>
      </c>
      <c r="AX85" s="138" t="str">
        <f t="shared" ref="AX85:AX115" si="43">IFERROR((1-((AV85*AR85)/(AW85*AQ85)))*100,"")</f>
        <v/>
      </c>
      <c r="AY85" s="95"/>
      <c r="AZ85" s="96"/>
      <c r="BA85" s="96"/>
      <c r="BB85" s="96"/>
      <c r="BC85" s="96"/>
      <c r="BD85" s="97">
        <v>55.77</v>
      </c>
      <c r="BE85" s="142">
        <f t="shared" ref="BE85:BE115" si="44">IF(SUM(BF85:BL85)=0,"",SUM(BF85:BL85))</f>
        <v>8146</v>
      </c>
      <c r="BF85" s="98">
        <v>2031</v>
      </c>
      <c r="BG85" s="98">
        <v>0</v>
      </c>
      <c r="BH85" s="98">
        <v>0</v>
      </c>
      <c r="BI85" s="98">
        <v>6115</v>
      </c>
      <c r="BJ85" s="98"/>
      <c r="BK85" s="98"/>
      <c r="BL85" s="98"/>
    </row>
    <row r="86" spans="1:64" outlineLevel="5" x14ac:dyDescent="0.3">
      <c r="A86" s="152">
        <f t="shared" si="5"/>
        <v>3</v>
      </c>
      <c r="B86" s="153">
        <f t="shared" ref="B86:B149" si="45">B85+1</f>
        <v>45353</v>
      </c>
      <c r="C86" s="138" t="str">
        <f t="shared" si="35"/>
        <v/>
      </c>
      <c r="D86" s="186"/>
      <c r="E86" s="186"/>
      <c r="F86" s="84"/>
      <c r="G86" s="84"/>
      <c r="H86" s="84"/>
      <c r="I86" s="84"/>
      <c r="J86" s="84"/>
      <c r="K86" s="84"/>
      <c r="L86" s="140" t="str">
        <f t="shared" si="36"/>
        <v/>
      </c>
      <c r="M86" s="187"/>
      <c r="N86" s="187"/>
      <c r="O86" s="86"/>
      <c r="P86" s="86"/>
      <c r="Q86" s="86"/>
      <c r="R86" s="86"/>
      <c r="S86" s="86"/>
      <c r="T86" s="86"/>
      <c r="U86" s="142" t="str">
        <f t="shared" si="37"/>
        <v/>
      </c>
      <c r="V86" s="188"/>
      <c r="W86" s="188"/>
      <c r="X86" s="88"/>
      <c r="Y86" s="88"/>
      <c r="Z86" s="88"/>
      <c r="AA86" s="88"/>
      <c r="AB86" s="88"/>
      <c r="AC86" s="88"/>
      <c r="AD86" s="142" t="str">
        <f t="shared" si="38"/>
        <v/>
      </c>
      <c r="AE86" s="88"/>
      <c r="AF86" s="88"/>
      <c r="AG86" s="88"/>
      <c r="AH86" s="88"/>
      <c r="AI86" s="88"/>
      <c r="AJ86" s="88"/>
      <c r="AK86" s="88"/>
      <c r="AL86" s="88"/>
      <c r="AM86" s="88">
        <v>53.563322741715837</v>
      </c>
      <c r="AN86" s="88">
        <v>88.12</v>
      </c>
      <c r="AO86" s="89"/>
      <c r="AP86" s="90"/>
      <c r="AQ86" s="146" t="str">
        <f t="shared" si="39"/>
        <v/>
      </c>
      <c r="AR86" s="146" t="str">
        <f t="shared" si="40"/>
        <v/>
      </c>
      <c r="AS86" s="147"/>
      <c r="AT86" s="148"/>
      <c r="AU86" s="149"/>
      <c r="AV86" s="146" t="str">
        <f t="shared" si="41"/>
        <v/>
      </c>
      <c r="AW86" s="146" t="str">
        <f t="shared" si="42"/>
        <v/>
      </c>
      <c r="AX86" s="138" t="str">
        <f t="shared" si="43"/>
        <v/>
      </c>
      <c r="AY86" s="95"/>
      <c r="AZ86" s="96"/>
      <c r="BA86" s="96"/>
      <c r="BB86" s="96"/>
      <c r="BC86" s="96"/>
      <c r="BD86" s="97">
        <v>88.12</v>
      </c>
      <c r="BE86" s="142">
        <f t="shared" si="44"/>
        <v>7055</v>
      </c>
      <c r="BF86" s="98">
        <v>1154</v>
      </c>
      <c r="BG86" s="98">
        <v>0</v>
      </c>
      <c r="BH86" s="98">
        <v>0</v>
      </c>
      <c r="BI86" s="98">
        <v>5901</v>
      </c>
      <c r="BJ86" s="98"/>
      <c r="BK86" s="98"/>
      <c r="BL86" s="98"/>
    </row>
    <row r="87" spans="1:64" outlineLevel="5" x14ac:dyDescent="0.3">
      <c r="A87" s="152">
        <f t="shared" si="5"/>
        <v>3</v>
      </c>
      <c r="B87" s="153">
        <f t="shared" si="45"/>
        <v>45354</v>
      </c>
      <c r="C87" s="138" t="str">
        <f t="shared" si="35"/>
        <v/>
      </c>
      <c r="D87" s="186"/>
      <c r="E87" s="186"/>
      <c r="F87" s="84"/>
      <c r="G87" s="84"/>
      <c r="H87" s="84"/>
      <c r="I87" s="84"/>
      <c r="J87" s="84"/>
      <c r="K87" s="84"/>
      <c r="L87" s="140" t="str">
        <f t="shared" si="36"/>
        <v/>
      </c>
      <c r="M87" s="187"/>
      <c r="N87" s="187"/>
      <c r="O87" s="86"/>
      <c r="P87" s="86"/>
      <c r="Q87" s="86"/>
      <c r="R87" s="86"/>
      <c r="S87" s="86"/>
      <c r="T87" s="86"/>
      <c r="U87" s="142" t="str">
        <f t="shared" si="37"/>
        <v/>
      </c>
      <c r="V87" s="188"/>
      <c r="W87" s="188"/>
      <c r="X87" s="88"/>
      <c r="Y87" s="88"/>
      <c r="Z87" s="88"/>
      <c r="AA87" s="88"/>
      <c r="AB87" s="88"/>
      <c r="AC87" s="88"/>
      <c r="AD87" s="142" t="str">
        <f t="shared" si="38"/>
        <v/>
      </c>
      <c r="AE87" s="88"/>
      <c r="AF87" s="88"/>
      <c r="AG87" s="88"/>
      <c r="AH87" s="88"/>
      <c r="AI87" s="88"/>
      <c r="AJ87" s="88"/>
      <c r="AK87" s="88"/>
      <c r="AL87" s="88"/>
      <c r="AM87" s="88">
        <v>55.529411764705884</v>
      </c>
      <c r="AN87" s="88">
        <v>85</v>
      </c>
      <c r="AO87" s="89"/>
      <c r="AP87" s="90"/>
      <c r="AQ87" s="146" t="str">
        <f t="shared" si="39"/>
        <v/>
      </c>
      <c r="AR87" s="146" t="str">
        <f t="shared" si="40"/>
        <v/>
      </c>
      <c r="AS87" s="147"/>
      <c r="AT87" s="148"/>
      <c r="AU87" s="149"/>
      <c r="AV87" s="146" t="str">
        <f t="shared" si="41"/>
        <v/>
      </c>
      <c r="AW87" s="146" t="str">
        <f t="shared" si="42"/>
        <v/>
      </c>
      <c r="AX87" s="138" t="str">
        <f t="shared" si="43"/>
        <v/>
      </c>
      <c r="AY87" s="95"/>
      <c r="AZ87" s="96"/>
      <c r="BA87" s="96"/>
      <c r="BB87" s="96"/>
      <c r="BC87" s="96"/>
      <c r="BD87" s="97">
        <v>85</v>
      </c>
      <c r="BE87" s="142">
        <f t="shared" si="44"/>
        <v>6953</v>
      </c>
      <c r="BF87" s="98">
        <v>521</v>
      </c>
      <c r="BG87" s="98">
        <v>0</v>
      </c>
      <c r="BH87" s="98">
        <v>0</v>
      </c>
      <c r="BI87" s="98">
        <v>6432</v>
      </c>
      <c r="BJ87" s="98"/>
      <c r="BK87" s="98"/>
      <c r="BL87" s="98"/>
    </row>
    <row r="88" spans="1:64" outlineLevel="5" x14ac:dyDescent="0.3">
      <c r="A88" s="152">
        <f t="shared" si="5"/>
        <v>3</v>
      </c>
      <c r="B88" s="153">
        <f t="shared" si="45"/>
        <v>45355</v>
      </c>
      <c r="C88" s="138">
        <f t="shared" si="35"/>
        <v>39</v>
      </c>
      <c r="D88" s="186">
        <v>39</v>
      </c>
      <c r="E88" s="186">
        <v>39</v>
      </c>
      <c r="F88" s="84"/>
      <c r="G88" s="84"/>
      <c r="H88" s="84"/>
      <c r="I88" s="84"/>
      <c r="J88" s="84"/>
      <c r="K88" s="84"/>
      <c r="L88" s="140">
        <f t="shared" si="36"/>
        <v>8.1</v>
      </c>
      <c r="M88" s="187">
        <v>8.1</v>
      </c>
      <c r="N88" s="187">
        <v>8.16</v>
      </c>
      <c r="O88" s="86"/>
      <c r="P88" s="86"/>
      <c r="Q88" s="86"/>
      <c r="R88" s="86"/>
      <c r="S88" s="86"/>
      <c r="T88" s="86"/>
      <c r="U88" s="142">
        <f t="shared" si="37"/>
        <v>1330</v>
      </c>
      <c r="V88" s="188">
        <v>1384</v>
      </c>
      <c r="W88" s="188">
        <v>1275.9000000000001</v>
      </c>
      <c r="X88" s="88"/>
      <c r="Y88" s="88"/>
      <c r="Z88" s="88"/>
      <c r="AA88" s="88"/>
      <c r="AB88" s="88"/>
      <c r="AC88" s="88"/>
      <c r="AD88" s="142" t="str">
        <f t="shared" si="38"/>
        <v/>
      </c>
      <c r="AE88" s="88"/>
      <c r="AF88" s="88"/>
      <c r="AG88" s="88"/>
      <c r="AH88" s="88"/>
      <c r="AI88" s="88"/>
      <c r="AJ88" s="88"/>
      <c r="AK88" s="88"/>
      <c r="AL88" s="88"/>
      <c r="AM88" s="88">
        <v>71.084337349397586</v>
      </c>
      <c r="AN88" s="88">
        <v>66.400000000000006</v>
      </c>
      <c r="AO88" s="89">
        <v>25.1</v>
      </c>
      <c r="AP88" s="90">
        <v>20.8</v>
      </c>
      <c r="AQ88" s="146">
        <f t="shared" si="39"/>
        <v>82.86852589641434</v>
      </c>
      <c r="AR88" s="146">
        <f t="shared" si="40"/>
        <v>17.13147410358566</v>
      </c>
      <c r="AS88" s="147"/>
      <c r="AT88" s="148">
        <v>13.75</v>
      </c>
      <c r="AU88" s="149">
        <v>8.0168999999999997</v>
      </c>
      <c r="AV88" s="146">
        <f t="shared" si="41"/>
        <v>58.304727272727277</v>
      </c>
      <c r="AW88" s="146">
        <f t="shared" si="42"/>
        <v>41.695272727272723</v>
      </c>
      <c r="AX88" s="138">
        <f t="shared" si="43"/>
        <v>71.091732154573364</v>
      </c>
      <c r="AY88" s="95">
        <v>76.900000000000006</v>
      </c>
      <c r="AZ88" s="96">
        <v>62.879999999999995</v>
      </c>
      <c r="BA88" s="96"/>
      <c r="BB88" s="96">
        <v>91</v>
      </c>
      <c r="BC88" s="96"/>
      <c r="BD88" s="97">
        <v>66.400000000000006</v>
      </c>
      <c r="BE88" s="142">
        <f t="shared" si="44"/>
        <v>6197</v>
      </c>
      <c r="BF88" s="98">
        <v>0</v>
      </c>
      <c r="BG88" s="98">
        <v>0</v>
      </c>
      <c r="BH88" s="98">
        <v>278</v>
      </c>
      <c r="BI88" s="98">
        <v>5919</v>
      </c>
      <c r="BJ88" s="98"/>
      <c r="BK88" s="98"/>
      <c r="BL88" s="98"/>
    </row>
    <row r="89" spans="1:64" outlineLevel="5" x14ac:dyDescent="0.3">
      <c r="A89" s="152">
        <f t="shared" si="5"/>
        <v>3</v>
      </c>
      <c r="B89" s="153">
        <f t="shared" si="45"/>
        <v>45356</v>
      </c>
      <c r="C89" s="138" t="str">
        <f t="shared" si="35"/>
        <v/>
      </c>
      <c r="D89" s="186"/>
      <c r="E89" s="186"/>
      <c r="F89" s="84"/>
      <c r="G89" s="84"/>
      <c r="H89" s="84"/>
      <c r="I89" s="84"/>
      <c r="J89" s="84"/>
      <c r="K89" s="84"/>
      <c r="L89" s="140" t="str">
        <f t="shared" si="36"/>
        <v/>
      </c>
      <c r="M89" s="187"/>
      <c r="N89" s="187"/>
      <c r="O89" s="86"/>
      <c r="P89" s="86"/>
      <c r="Q89" s="86"/>
      <c r="R89" s="86"/>
      <c r="S89" s="86"/>
      <c r="T89" s="86"/>
      <c r="U89" s="142" t="str">
        <f t="shared" si="37"/>
        <v/>
      </c>
      <c r="V89" s="188"/>
      <c r="W89" s="188"/>
      <c r="X89" s="88"/>
      <c r="Y89" s="88"/>
      <c r="Z89" s="88"/>
      <c r="AA89" s="88"/>
      <c r="AB89" s="88"/>
      <c r="AC89" s="88"/>
      <c r="AD89" s="142" t="str">
        <f t="shared" si="38"/>
        <v/>
      </c>
      <c r="AE89" s="88"/>
      <c r="AF89" s="88"/>
      <c r="AG89" s="88"/>
      <c r="AH89" s="88"/>
      <c r="AI89" s="88"/>
      <c r="AJ89" s="88"/>
      <c r="AK89" s="88"/>
      <c r="AL89" s="88"/>
      <c r="AM89" s="88">
        <v>56.615089360681296</v>
      </c>
      <c r="AN89" s="88">
        <v>83.37</v>
      </c>
      <c r="AO89" s="89"/>
      <c r="AP89" s="90"/>
      <c r="AQ89" s="146" t="str">
        <f t="shared" si="39"/>
        <v/>
      </c>
      <c r="AR89" s="146" t="str">
        <f t="shared" si="40"/>
        <v/>
      </c>
      <c r="AS89" s="147"/>
      <c r="AT89" s="148"/>
      <c r="AU89" s="149"/>
      <c r="AV89" s="146" t="str">
        <f t="shared" si="41"/>
        <v/>
      </c>
      <c r="AW89" s="146" t="str">
        <f t="shared" si="42"/>
        <v/>
      </c>
      <c r="AX89" s="138" t="str">
        <f t="shared" si="43"/>
        <v/>
      </c>
      <c r="AY89" s="95"/>
      <c r="AZ89" s="96">
        <v>60.74</v>
      </c>
      <c r="BA89" s="96"/>
      <c r="BB89" s="96">
        <v>72.5</v>
      </c>
      <c r="BC89" s="96"/>
      <c r="BD89" s="97">
        <v>83.37</v>
      </c>
      <c r="BE89" s="142">
        <f t="shared" si="44"/>
        <v>8972</v>
      </c>
      <c r="BF89" s="98">
        <v>826</v>
      </c>
      <c r="BG89" s="98">
        <v>0</v>
      </c>
      <c r="BH89" s="98">
        <v>1652</v>
      </c>
      <c r="BI89" s="98">
        <v>6494</v>
      </c>
      <c r="BJ89" s="98"/>
      <c r="BK89" s="98"/>
      <c r="BL89" s="98"/>
    </row>
    <row r="90" spans="1:64" outlineLevel="5" x14ac:dyDescent="0.3">
      <c r="A90" s="152">
        <f t="shared" si="5"/>
        <v>3</v>
      </c>
      <c r="B90" s="153">
        <f t="shared" si="45"/>
        <v>45357</v>
      </c>
      <c r="C90" s="138">
        <f t="shared" si="35"/>
        <v>38.1</v>
      </c>
      <c r="D90" s="186">
        <v>38.299999999999997</v>
      </c>
      <c r="E90" s="186">
        <v>37.9</v>
      </c>
      <c r="F90" s="84"/>
      <c r="G90" s="84"/>
      <c r="H90" s="84"/>
      <c r="I90" s="84"/>
      <c r="J90" s="84"/>
      <c r="K90" s="84"/>
      <c r="L90" s="140">
        <f t="shared" si="36"/>
        <v>8.1</v>
      </c>
      <c r="M90" s="187">
        <v>8.08</v>
      </c>
      <c r="N90" s="187">
        <v>8.14</v>
      </c>
      <c r="O90" s="86"/>
      <c r="P90" s="86"/>
      <c r="Q90" s="86"/>
      <c r="R90" s="86"/>
      <c r="S90" s="86"/>
      <c r="T90" s="86"/>
      <c r="U90" s="142">
        <f t="shared" si="37"/>
        <v>1357</v>
      </c>
      <c r="V90" s="188">
        <v>1416.4</v>
      </c>
      <c r="W90" s="188">
        <v>1297.5</v>
      </c>
      <c r="X90" s="88"/>
      <c r="Y90" s="88"/>
      <c r="Z90" s="88"/>
      <c r="AA90" s="88"/>
      <c r="AB90" s="88"/>
      <c r="AC90" s="88"/>
      <c r="AD90" s="142" t="str">
        <f t="shared" si="38"/>
        <v/>
      </c>
      <c r="AE90" s="88"/>
      <c r="AF90" s="88"/>
      <c r="AG90" s="88"/>
      <c r="AH90" s="88"/>
      <c r="AI90" s="88"/>
      <c r="AJ90" s="88"/>
      <c r="AK90" s="88"/>
      <c r="AL90" s="88"/>
      <c r="AM90" s="88">
        <v>48.459958932238187</v>
      </c>
      <c r="AN90" s="88">
        <v>97.4</v>
      </c>
      <c r="AO90" s="89">
        <v>23.4</v>
      </c>
      <c r="AP90" s="90">
        <v>17.52</v>
      </c>
      <c r="AQ90" s="146">
        <f t="shared" si="39"/>
        <v>74.871794871794876</v>
      </c>
      <c r="AR90" s="146">
        <f t="shared" si="40"/>
        <v>25.128205128205124</v>
      </c>
      <c r="AS90" s="147"/>
      <c r="AT90" s="148">
        <v>12.85</v>
      </c>
      <c r="AU90" s="149">
        <v>6.8048500000000001</v>
      </c>
      <c r="AV90" s="146">
        <f t="shared" si="41"/>
        <v>52.956031128404668</v>
      </c>
      <c r="AW90" s="146">
        <f t="shared" si="42"/>
        <v>47.043968871595332</v>
      </c>
      <c r="AX90" s="138">
        <f t="shared" si="43"/>
        <v>62.220631075358845</v>
      </c>
      <c r="AY90" s="95">
        <v>75.8</v>
      </c>
      <c r="AZ90" s="96">
        <v>61.14</v>
      </c>
      <c r="BA90" s="96"/>
      <c r="BB90" s="96">
        <v>93.5</v>
      </c>
      <c r="BC90" s="96"/>
      <c r="BD90" s="97">
        <v>97.4</v>
      </c>
      <c r="BE90" s="142">
        <f t="shared" si="44"/>
        <v>9959</v>
      </c>
      <c r="BF90" s="98">
        <v>2076</v>
      </c>
      <c r="BG90" s="98">
        <v>0</v>
      </c>
      <c r="BH90" s="98">
        <v>1509</v>
      </c>
      <c r="BI90" s="98">
        <v>6374</v>
      </c>
      <c r="BJ90" s="98"/>
      <c r="BK90" s="98"/>
      <c r="BL90" s="98"/>
    </row>
    <row r="91" spans="1:64" outlineLevel="5" x14ac:dyDescent="0.3">
      <c r="A91" s="152">
        <f t="shared" ref="A91:A162" si="46">MONTH(B91)</f>
        <v>3</v>
      </c>
      <c r="B91" s="153">
        <f t="shared" si="45"/>
        <v>45358</v>
      </c>
      <c r="C91" s="138">
        <f t="shared" si="35"/>
        <v>37.700000000000003</v>
      </c>
      <c r="D91" s="186">
        <v>38</v>
      </c>
      <c r="E91" s="186">
        <v>37.4</v>
      </c>
      <c r="F91" s="84"/>
      <c r="G91" s="84"/>
      <c r="H91" s="84"/>
      <c r="I91" s="84"/>
      <c r="J91" s="84"/>
      <c r="K91" s="84"/>
      <c r="L91" s="140">
        <f t="shared" si="36"/>
        <v>8.1</v>
      </c>
      <c r="M91" s="187">
        <v>8.06</v>
      </c>
      <c r="N91" s="187">
        <v>8.1199999999999992</v>
      </c>
      <c r="O91" s="86"/>
      <c r="P91" s="86"/>
      <c r="Q91" s="86"/>
      <c r="R91" s="86"/>
      <c r="S91" s="86"/>
      <c r="T91" s="86"/>
      <c r="U91" s="142">
        <f t="shared" si="37"/>
        <v>1097.5</v>
      </c>
      <c r="V91" s="188">
        <v>1016.4</v>
      </c>
      <c r="W91" s="188">
        <v>1178.5999999999999</v>
      </c>
      <c r="X91" s="88"/>
      <c r="Y91" s="88"/>
      <c r="Z91" s="88"/>
      <c r="AA91" s="88"/>
      <c r="AB91" s="88"/>
      <c r="AC91" s="88"/>
      <c r="AD91" s="142" t="str">
        <f t="shared" si="38"/>
        <v/>
      </c>
      <c r="AE91" s="88"/>
      <c r="AF91" s="88"/>
      <c r="AG91" s="88"/>
      <c r="AH91" s="88"/>
      <c r="AI91" s="88"/>
      <c r="AJ91" s="88"/>
      <c r="AK91" s="88"/>
      <c r="AL91" s="88"/>
      <c r="AM91" s="88">
        <v>63.423810803547433</v>
      </c>
      <c r="AN91" s="88">
        <v>74.42</v>
      </c>
      <c r="AO91" s="89"/>
      <c r="AP91" s="90"/>
      <c r="AQ91" s="146" t="str">
        <f t="shared" si="39"/>
        <v/>
      </c>
      <c r="AR91" s="146" t="str">
        <f t="shared" si="40"/>
        <v/>
      </c>
      <c r="AS91" s="147"/>
      <c r="AT91" s="148">
        <v>12.85</v>
      </c>
      <c r="AU91" s="149">
        <v>7.2283499999999989</v>
      </c>
      <c r="AV91" s="146">
        <f t="shared" si="41"/>
        <v>56.251750972762636</v>
      </c>
      <c r="AW91" s="146">
        <f t="shared" si="42"/>
        <v>43.748249027237364</v>
      </c>
      <c r="AX91" s="138" t="str">
        <f t="shared" si="43"/>
        <v/>
      </c>
      <c r="AY91" s="95">
        <v>76.5</v>
      </c>
      <c r="AZ91" s="96">
        <v>61.575000000000003</v>
      </c>
      <c r="BA91" s="96"/>
      <c r="BB91" s="96">
        <v>93.5</v>
      </c>
      <c r="BC91" s="96"/>
      <c r="BD91" s="97">
        <v>74.42</v>
      </c>
      <c r="BE91" s="142">
        <f t="shared" si="44"/>
        <v>10004</v>
      </c>
      <c r="BF91" s="98">
        <v>1996</v>
      </c>
      <c r="BG91" s="98">
        <v>0</v>
      </c>
      <c r="BH91" s="98">
        <v>1756</v>
      </c>
      <c r="BI91" s="98">
        <v>6252</v>
      </c>
      <c r="BJ91" s="98"/>
      <c r="BK91" s="98"/>
      <c r="BL91" s="98"/>
    </row>
    <row r="92" spans="1:64" outlineLevel="5" x14ac:dyDescent="0.3">
      <c r="A92" s="152">
        <f t="shared" si="46"/>
        <v>3</v>
      </c>
      <c r="B92" s="153">
        <f t="shared" si="45"/>
        <v>45359</v>
      </c>
      <c r="C92" s="138" t="str">
        <f t="shared" si="35"/>
        <v/>
      </c>
      <c r="D92" s="186"/>
      <c r="E92" s="186"/>
      <c r="F92" s="84"/>
      <c r="G92" s="84"/>
      <c r="H92" s="84"/>
      <c r="I92" s="84"/>
      <c r="J92" s="84"/>
      <c r="K92" s="84"/>
      <c r="L92" s="140" t="str">
        <f t="shared" si="36"/>
        <v/>
      </c>
      <c r="M92" s="187"/>
      <c r="N92" s="187"/>
      <c r="O92" s="86"/>
      <c r="P92" s="86"/>
      <c r="Q92" s="86"/>
      <c r="R92" s="86"/>
      <c r="S92" s="86"/>
      <c r="T92" s="86"/>
      <c r="U92" s="142" t="str">
        <f t="shared" si="37"/>
        <v/>
      </c>
      <c r="V92" s="188"/>
      <c r="W92" s="188"/>
      <c r="X92" s="88"/>
      <c r="Y92" s="88"/>
      <c r="Z92" s="88"/>
      <c r="AA92" s="88"/>
      <c r="AB92" s="88"/>
      <c r="AC92" s="88"/>
      <c r="AD92" s="142" t="str">
        <f t="shared" si="38"/>
        <v/>
      </c>
      <c r="AE92" s="88"/>
      <c r="AF92" s="88"/>
      <c r="AG92" s="88"/>
      <c r="AH92" s="88"/>
      <c r="AI92" s="88"/>
      <c r="AJ92" s="88"/>
      <c r="AK92" s="88"/>
      <c r="AL92" s="88"/>
      <c r="AM92" s="88">
        <v>98.108501351070458</v>
      </c>
      <c r="AN92" s="88">
        <v>48.11</v>
      </c>
      <c r="AO92" s="89"/>
      <c r="AP92" s="90"/>
      <c r="AQ92" s="146" t="str">
        <f t="shared" si="39"/>
        <v/>
      </c>
      <c r="AR92" s="146" t="str">
        <f t="shared" si="40"/>
        <v/>
      </c>
      <c r="AS92" s="147"/>
      <c r="AT92" s="148"/>
      <c r="AU92" s="149"/>
      <c r="AV92" s="146" t="str">
        <f t="shared" si="41"/>
        <v/>
      </c>
      <c r="AW92" s="146" t="str">
        <f t="shared" si="42"/>
        <v/>
      </c>
      <c r="AX92" s="138" t="str">
        <f t="shared" si="43"/>
        <v/>
      </c>
      <c r="AY92" s="95"/>
      <c r="AZ92" s="96">
        <v>62.984999999999999</v>
      </c>
      <c r="BA92" s="96"/>
      <c r="BB92" s="96">
        <v>75.5</v>
      </c>
      <c r="BC92" s="96"/>
      <c r="BD92" s="97">
        <v>48.11</v>
      </c>
      <c r="BE92" s="142">
        <f t="shared" si="44"/>
        <v>9092</v>
      </c>
      <c r="BF92" s="98">
        <v>2505</v>
      </c>
      <c r="BG92" s="98">
        <v>0</v>
      </c>
      <c r="BH92" s="98">
        <v>691</v>
      </c>
      <c r="BI92" s="98">
        <v>5896</v>
      </c>
      <c r="BJ92" s="98"/>
      <c r="BK92" s="98"/>
      <c r="BL92" s="98"/>
    </row>
    <row r="93" spans="1:64" outlineLevel="5" x14ac:dyDescent="0.3">
      <c r="A93" s="152">
        <f t="shared" si="46"/>
        <v>3</v>
      </c>
      <c r="B93" s="153">
        <f t="shared" si="45"/>
        <v>45360</v>
      </c>
      <c r="C93" s="138" t="str">
        <f t="shared" si="35"/>
        <v/>
      </c>
      <c r="D93" s="186"/>
      <c r="E93" s="186"/>
      <c r="F93" s="84"/>
      <c r="G93" s="84"/>
      <c r="H93" s="84"/>
      <c r="I93" s="84"/>
      <c r="J93" s="84"/>
      <c r="K93" s="84"/>
      <c r="L93" s="140" t="str">
        <f t="shared" si="36"/>
        <v/>
      </c>
      <c r="M93" s="187"/>
      <c r="N93" s="187"/>
      <c r="O93" s="86"/>
      <c r="P93" s="86"/>
      <c r="Q93" s="86"/>
      <c r="R93" s="86"/>
      <c r="S93" s="86"/>
      <c r="T93" s="86"/>
      <c r="U93" s="142" t="str">
        <f t="shared" si="37"/>
        <v/>
      </c>
      <c r="V93" s="188"/>
      <c r="W93" s="188"/>
      <c r="X93" s="88"/>
      <c r="Y93" s="88"/>
      <c r="Z93" s="88"/>
      <c r="AA93" s="88"/>
      <c r="AB93" s="88"/>
      <c r="AC93" s="88"/>
      <c r="AD93" s="142" t="str">
        <f t="shared" si="38"/>
        <v/>
      </c>
      <c r="AE93" s="88"/>
      <c r="AF93" s="88"/>
      <c r="AG93" s="88"/>
      <c r="AH93" s="88"/>
      <c r="AI93" s="88"/>
      <c r="AJ93" s="88"/>
      <c r="AK93" s="88"/>
      <c r="AL93" s="88"/>
      <c r="AM93" s="88">
        <v>94.64607980749949</v>
      </c>
      <c r="AN93" s="88">
        <v>49.870000000000005</v>
      </c>
      <c r="AO93" s="89"/>
      <c r="AP93" s="90"/>
      <c r="AQ93" s="146" t="str">
        <f t="shared" si="39"/>
        <v/>
      </c>
      <c r="AR93" s="146" t="str">
        <f t="shared" si="40"/>
        <v/>
      </c>
      <c r="AS93" s="147"/>
      <c r="AT93" s="148"/>
      <c r="AU93" s="149"/>
      <c r="AV93" s="146" t="str">
        <f t="shared" si="41"/>
        <v/>
      </c>
      <c r="AW93" s="146" t="str">
        <f t="shared" si="42"/>
        <v/>
      </c>
      <c r="AX93" s="138" t="str">
        <f t="shared" si="43"/>
        <v/>
      </c>
      <c r="AY93" s="95"/>
      <c r="AZ93" s="96"/>
      <c r="BA93" s="96"/>
      <c r="BB93" s="96"/>
      <c r="BC93" s="96"/>
      <c r="BD93" s="97">
        <v>49.870000000000005</v>
      </c>
      <c r="BE93" s="142">
        <f t="shared" si="44"/>
        <v>7247</v>
      </c>
      <c r="BF93" s="98">
        <v>1130</v>
      </c>
      <c r="BG93" s="98">
        <v>0</v>
      </c>
      <c r="BH93" s="98">
        <v>0</v>
      </c>
      <c r="BI93" s="98">
        <v>6117</v>
      </c>
      <c r="BJ93" s="98"/>
      <c r="BK93" s="98"/>
      <c r="BL93" s="98"/>
    </row>
    <row r="94" spans="1:64" outlineLevel="5" x14ac:dyDescent="0.3">
      <c r="A94" s="152">
        <f t="shared" si="46"/>
        <v>3</v>
      </c>
      <c r="B94" s="153">
        <f t="shared" si="45"/>
        <v>45361</v>
      </c>
      <c r="C94" s="138" t="str">
        <f t="shared" si="35"/>
        <v/>
      </c>
      <c r="D94" s="186"/>
      <c r="E94" s="186"/>
      <c r="F94" s="84"/>
      <c r="G94" s="84"/>
      <c r="H94" s="84"/>
      <c r="I94" s="84"/>
      <c r="J94" s="84"/>
      <c r="K94" s="84"/>
      <c r="L94" s="140" t="str">
        <f t="shared" si="36"/>
        <v/>
      </c>
      <c r="M94" s="187"/>
      <c r="N94" s="187"/>
      <c r="O94" s="86"/>
      <c r="P94" s="86"/>
      <c r="Q94" s="86"/>
      <c r="R94" s="86"/>
      <c r="S94" s="86"/>
      <c r="T94" s="86"/>
      <c r="U94" s="142" t="str">
        <f t="shared" si="37"/>
        <v/>
      </c>
      <c r="V94" s="188"/>
      <c r="W94" s="188"/>
      <c r="X94" s="88"/>
      <c r="Y94" s="88"/>
      <c r="Z94" s="88"/>
      <c r="AA94" s="88"/>
      <c r="AB94" s="88"/>
      <c r="AC94" s="88"/>
      <c r="AD94" s="142" t="str">
        <f t="shared" si="38"/>
        <v/>
      </c>
      <c r="AE94" s="88"/>
      <c r="AF94" s="88"/>
      <c r="AG94" s="88"/>
      <c r="AH94" s="88"/>
      <c r="AI94" s="88"/>
      <c r="AJ94" s="88"/>
      <c r="AK94" s="88"/>
      <c r="AL94" s="88"/>
      <c r="AM94" s="88">
        <v>42.909090909090907</v>
      </c>
      <c r="AN94" s="88">
        <v>110</v>
      </c>
      <c r="AO94" s="89"/>
      <c r="AP94" s="90"/>
      <c r="AQ94" s="146" t="str">
        <f t="shared" si="39"/>
        <v/>
      </c>
      <c r="AR94" s="146" t="str">
        <f t="shared" si="40"/>
        <v/>
      </c>
      <c r="AS94" s="147"/>
      <c r="AT94" s="148"/>
      <c r="AU94" s="149"/>
      <c r="AV94" s="146" t="str">
        <f t="shared" si="41"/>
        <v/>
      </c>
      <c r="AW94" s="146" t="str">
        <f t="shared" si="42"/>
        <v/>
      </c>
      <c r="AX94" s="138" t="str">
        <f t="shared" si="43"/>
        <v/>
      </c>
      <c r="AY94" s="95"/>
      <c r="AZ94" s="96"/>
      <c r="BA94" s="96"/>
      <c r="BB94" s="96"/>
      <c r="BC94" s="96"/>
      <c r="BD94" s="97">
        <v>110</v>
      </c>
      <c r="BE94" s="142">
        <f t="shared" si="44"/>
        <v>5968</v>
      </c>
      <c r="BF94" s="98">
        <v>0</v>
      </c>
      <c r="BG94" s="98">
        <v>0</v>
      </c>
      <c r="BH94" s="98">
        <v>0</v>
      </c>
      <c r="BI94" s="98">
        <v>5968</v>
      </c>
      <c r="BJ94" s="98"/>
      <c r="BK94" s="98"/>
      <c r="BL94" s="98"/>
    </row>
    <row r="95" spans="1:64" outlineLevel="5" x14ac:dyDescent="0.3">
      <c r="A95" s="152">
        <f t="shared" si="46"/>
        <v>3</v>
      </c>
      <c r="B95" s="153">
        <f t="shared" si="45"/>
        <v>45362</v>
      </c>
      <c r="C95" s="138">
        <f t="shared" si="35"/>
        <v>38</v>
      </c>
      <c r="D95" s="186">
        <v>38</v>
      </c>
      <c r="E95" s="186">
        <v>38</v>
      </c>
      <c r="F95" s="84"/>
      <c r="G95" s="84"/>
      <c r="H95" s="84"/>
      <c r="I95" s="84"/>
      <c r="J95" s="84"/>
      <c r="K95" s="84"/>
      <c r="L95" s="140">
        <f t="shared" si="36"/>
        <v>8.3000000000000007</v>
      </c>
      <c r="M95" s="187">
        <v>8.26</v>
      </c>
      <c r="N95" s="187">
        <v>8.32</v>
      </c>
      <c r="O95" s="86"/>
      <c r="P95" s="86"/>
      <c r="Q95" s="86"/>
      <c r="R95" s="86"/>
      <c r="S95" s="86"/>
      <c r="T95" s="86"/>
      <c r="U95" s="142">
        <f t="shared" si="37"/>
        <v>816.4</v>
      </c>
      <c r="V95" s="188">
        <v>865</v>
      </c>
      <c r="W95" s="188">
        <v>767.7</v>
      </c>
      <c r="X95" s="88"/>
      <c r="Y95" s="88"/>
      <c r="Z95" s="88"/>
      <c r="AA95" s="88"/>
      <c r="AB95" s="88"/>
      <c r="AC95" s="88"/>
      <c r="AD95" s="142" t="str">
        <f t="shared" si="38"/>
        <v/>
      </c>
      <c r="AE95" s="88"/>
      <c r="AF95" s="88"/>
      <c r="AG95" s="88"/>
      <c r="AH95" s="88"/>
      <c r="AI95" s="88"/>
      <c r="AJ95" s="88"/>
      <c r="AK95" s="88"/>
      <c r="AL95" s="88"/>
      <c r="AM95" s="88">
        <v>88.538735696867377</v>
      </c>
      <c r="AN95" s="88">
        <v>53.31</v>
      </c>
      <c r="AO95" s="89">
        <v>19</v>
      </c>
      <c r="AP95" s="90">
        <v>15.3</v>
      </c>
      <c r="AQ95" s="146">
        <f t="shared" si="39"/>
        <v>80.526315789473685</v>
      </c>
      <c r="AR95" s="146">
        <f t="shared" si="40"/>
        <v>19.473684210526315</v>
      </c>
      <c r="AS95" s="147"/>
      <c r="AT95" s="148">
        <v>13.8</v>
      </c>
      <c r="AU95" s="149">
        <v>7.8353999999999999</v>
      </c>
      <c r="AV95" s="146">
        <f t="shared" si="41"/>
        <v>56.778260869565209</v>
      </c>
      <c r="AW95" s="146">
        <f t="shared" si="42"/>
        <v>43.221739130434791</v>
      </c>
      <c r="AX95" s="138">
        <f t="shared" si="43"/>
        <v>68.231980449357096</v>
      </c>
      <c r="AY95" s="95">
        <v>74.95</v>
      </c>
      <c r="AZ95" s="96">
        <v>61.519999999999996</v>
      </c>
      <c r="BA95" s="96"/>
      <c r="BB95" s="96">
        <v>122</v>
      </c>
      <c r="BC95" s="96"/>
      <c r="BD95" s="97">
        <v>53.31</v>
      </c>
      <c r="BE95" s="142">
        <f t="shared" si="44"/>
        <v>7474</v>
      </c>
      <c r="BF95" s="98">
        <v>988</v>
      </c>
      <c r="BG95" s="98">
        <v>0</v>
      </c>
      <c r="BH95" s="98">
        <v>217</v>
      </c>
      <c r="BI95" s="98">
        <v>6269</v>
      </c>
      <c r="BJ95" s="98"/>
      <c r="BK95" s="98"/>
      <c r="BL95" s="98"/>
    </row>
    <row r="96" spans="1:64" outlineLevel="5" x14ac:dyDescent="0.3">
      <c r="A96" s="152">
        <f t="shared" si="46"/>
        <v>3</v>
      </c>
      <c r="B96" s="153">
        <f t="shared" si="45"/>
        <v>45363</v>
      </c>
      <c r="C96" s="138" t="str">
        <f t="shared" si="35"/>
        <v/>
      </c>
      <c r="D96" s="186"/>
      <c r="E96" s="186"/>
      <c r="F96" s="84"/>
      <c r="G96" s="84"/>
      <c r="H96" s="84"/>
      <c r="I96" s="84"/>
      <c r="J96" s="84"/>
      <c r="K96" s="84"/>
      <c r="L96" s="140" t="str">
        <f t="shared" si="36"/>
        <v/>
      </c>
      <c r="M96" s="187"/>
      <c r="N96" s="187"/>
      <c r="O96" s="86"/>
      <c r="P96" s="86"/>
      <c r="Q96" s="86"/>
      <c r="R96" s="86"/>
      <c r="S96" s="86"/>
      <c r="T96" s="86"/>
      <c r="U96" s="142" t="str">
        <f t="shared" si="37"/>
        <v/>
      </c>
      <c r="V96" s="188"/>
      <c r="W96" s="188"/>
      <c r="X96" s="88"/>
      <c r="Y96" s="88"/>
      <c r="Z96" s="88"/>
      <c r="AA96" s="88"/>
      <c r="AB96" s="88"/>
      <c r="AC96" s="88"/>
      <c r="AD96" s="142" t="str">
        <f t="shared" si="38"/>
        <v/>
      </c>
      <c r="AE96" s="88"/>
      <c r="AF96" s="88"/>
      <c r="AG96" s="88"/>
      <c r="AH96" s="88"/>
      <c r="AI96" s="88"/>
      <c r="AJ96" s="88"/>
      <c r="AK96" s="88"/>
      <c r="AL96" s="88"/>
      <c r="AM96" s="88">
        <v>49.141072358146793</v>
      </c>
      <c r="AN96" s="88">
        <v>96.050000000000011</v>
      </c>
      <c r="AO96" s="89"/>
      <c r="AP96" s="90"/>
      <c r="AQ96" s="146" t="str">
        <f t="shared" si="39"/>
        <v/>
      </c>
      <c r="AR96" s="146" t="str">
        <f t="shared" si="40"/>
        <v/>
      </c>
      <c r="AS96" s="147"/>
      <c r="AT96" s="148"/>
      <c r="AU96" s="149"/>
      <c r="AV96" s="146" t="str">
        <f t="shared" si="41"/>
        <v/>
      </c>
      <c r="AW96" s="146" t="str">
        <f t="shared" si="42"/>
        <v/>
      </c>
      <c r="AX96" s="138" t="str">
        <f t="shared" si="43"/>
        <v/>
      </c>
      <c r="AY96" s="95"/>
      <c r="AZ96" s="96">
        <v>60.564999999999998</v>
      </c>
      <c r="BA96" s="96"/>
      <c r="BB96" s="96">
        <v>87</v>
      </c>
      <c r="BC96" s="96"/>
      <c r="BD96" s="97">
        <v>96.050000000000011</v>
      </c>
      <c r="BE96" s="142">
        <f t="shared" si="44"/>
        <v>7078</v>
      </c>
      <c r="BF96" s="98">
        <v>684</v>
      </c>
      <c r="BG96" s="98">
        <v>0</v>
      </c>
      <c r="BH96" s="98">
        <v>394</v>
      </c>
      <c r="BI96" s="98">
        <v>6000</v>
      </c>
      <c r="BJ96" s="98"/>
      <c r="BK96" s="98"/>
      <c r="BL96" s="98"/>
    </row>
    <row r="97" spans="1:64" outlineLevel="5" x14ac:dyDescent="0.3">
      <c r="A97" s="152">
        <f t="shared" si="46"/>
        <v>3</v>
      </c>
      <c r="B97" s="153">
        <f t="shared" si="45"/>
        <v>45364</v>
      </c>
      <c r="C97" s="138">
        <f t="shared" si="35"/>
        <v>37.799999999999997</v>
      </c>
      <c r="D97" s="186">
        <v>38</v>
      </c>
      <c r="E97" s="186">
        <v>37.6</v>
      </c>
      <c r="F97" s="84"/>
      <c r="G97" s="84"/>
      <c r="H97" s="84"/>
      <c r="I97" s="84"/>
      <c r="J97" s="84"/>
      <c r="K97" s="84"/>
      <c r="L97" s="140">
        <f t="shared" si="36"/>
        <v>8.1999999999999993</v>
      </c>
      <c r="M97" s="187">
        <v>8.15</v>
      </c>
      <c r="N97" s="187">
        <v>8.23</v>
      </c>
      <c r="O97" s="86"/>
      <c r="P97" s="86"/>
      <c r="Q97" s="86"/>
      <c r="R97" s="86"/>
      <c r="S97" s="86"/>
      <c r="T97" s="86"/>
      <c r="U97" s="142">
        <f t="shared" si="37"/>
        <v>1000.2</v>
      </c>
      <c r="V97" s="188">
        <v>983.9</v>
      </c>
      <c r="W97" s="188">
        <v>1016.4</v>
      </c>
      <c r="X97" s="88"/>
      <c r="Y97" s="88"/>
      <c r="Z97" s="88"/>
      <c r="AA97" s="88"/>
      <c r="AB97" s="88"/>
      <c r="AC97" s="88"/>
      <c r="AD97" s="142" t="str">
        <f t="shared" si="38"/>
        <v/>
      </c>
      <c r="AE97" s="88"/>
      <c r="AF97" s="88"/>
      <c r="AG97" s="88"/>
      <c r="AH97" s="88"/>
      <c r="AI97" s="88"/>
      <c r="AJ97" s="88"/>
      <c r="AK97" s="88"/>
      <c r="AL97" s="88"/>
      <c r="AM97" s="88">
        <v>52.725647899910633</v>
      </c>
      <c r="AN97" s="88">
        <v>89.52</v>
      </c>
      <c r="AO97" s="89">
        <v>17.2</v>
      </c>
      <c r="AP97" s="90">
        <v>13.5</v>
      </c>
      <c r="AQ97" s="146">
        <f t="shared" si="39"/>
        <v>78.488372093023258</v>
      </c>
      <c r="AR97" s="146">
        <f t="shared" si="40"/>
        <v>21.511627906976742</v>
      </c>
      <c r="AS97" s="147"/>
      <c r="AT97" s="148">
        <v>13.7</v>
      </c>
      <c r="AU97" s="149">
        <v>7.2465999999999999</v>
      </c>
      <c r="AV97" s="146">
        <f t="shared" si="41"/>
        <v>52.894890510948912</v>
      </c>
      <c r="AW97" s="146">
        <f t="shared" si="42"/>
        <v>47.105109489051088</v>
      </c>
      <c r="AX97" s="138">
        <f t="shared" si="43"/>
        <v>69.223894610822441</v>
      </c>
      <c r="AY97" s="95">
        <v>77.650000000000006</v>
      </c>
      <c r="AZ97" s="96">
        <v>62.305</v>
      </c>
      <c r="BA97" s="96"/>
      <c r="BB97" s="96">
        <v>68</v>
      </c>
      <c r="BC97" s="96"/>
      <c r="BD97" s="97">
        <v>89.52</v>
      </c>
      <c r="BE97" s="142">
        <f t="shared" si="44"/>
        <v>8829</v>
      </c>
      <c r="BF97" s="98">
        <v>2400</v>
      </c>
      <c r="BG97" s="98">
        <v>0</v>
      </c>
      <c r="BH97" s="98">
        <v>1679</v>
      </c>
      <c r="BI97" s="98">
        <v>4750</v>
      </c>
      <c r="BJ97" s="98"/>
      <c r="BK97" s="98"/>
      <c r="BL97" s="98"/>
    </row>
    <row r="98" spans="1:64" outlineLevel="5" x14ac:dyDescent="0.3">
      <c r="A98" s="152">
        <f t="shared" si="46"/>
        <v>3</v>
      </c>
      <c r="B98" s="153">
        <f t="shared" si="45"/>
        <v>45365</v>
      </c>
      <c r="C98" s="138">
        <f t="shared" si="35"/>
        <v>38</v>
      </c>
      <c r="D98" s="186">
        <v>38.1</v>
      </c>
      <c r="E98" s="186">
        <v>37.9</v>
      </c>
      <c r="F98" s="84"/>
      <c r="G98" s="84"/>
      <c r="H98" s="84"/>
      <c r="I98" s="84"/>
      <c r="J98" s="84"/>
      <c r="K98" s="84"/>
      <c r="L98" s="140">
        <f t="shared" si="36"/>
        <v>8.1</v>
      </c>
      <c r="M98" s="187">
        <v>8.1199999999999992</v>
      </c>
      <c r="N98" s="187">
        <v>8.16</v>
      </c>
      <c r="O98" s="86"/>
      <c r="P98" s="86"/>
      <c r="Q98" s="86"/>
      <c r="R98" s="86"/>
      <c r="S98" s="86"/>
      <c r="T98" s="86"/>
      <c r="U98" s="142">
        <f t="shared" si="37"/>
        <v>1200.2</v>
      </c>
      <c r="V98" s="188">
        <v>1232.5999999999999</v>
      </c>
      <c r="W98" s="188">
        <v>1167.8</v>
      </c>
      <c r="X98" s="88"/>
      <c r="Y98" s="88"/>
      <c r="Z98" s="88"/>
      <c r="AA98" s="88"/>
      <c r="AB98" s="88"/>
      <c r="AC98" s="88"/>
      <c r="AD98" s="142" t="str">
        <f t="shared" si="38"/>
        <v/>
      </c>
      <c r="AE98" s="88"/>
      <c r="AF98" s="88"/>
      <c r="AG98" s="88"/>
      <c r="AH98" s="88"/>
      <c r="AI98" s="88"/>
      <c r="AJ98" s="88"/>
      <c r="AK98" s="88"/>
      <c r="AL98" s="88"/>
      <c r="AM98" s="88">
        <v>62.557985420808478</v>
      </c>
      <c r="AN98" s="88">
        <v>75.45</v>
      </c>
      <c r="AO98" s="89">
        <v>21.8</v>
      </c>
      <c r="AP98" s="90">
        <v>17.899999999999999</v>
      </c>
      <c r="AQ98" s="146">
        <f t="shared" si="39"/>
        <v>82.110091743119256</v>
      </c>
      <c r="AR98" s="146">
        <f t="shared" si="40"/>
        <v>17.889908256880744</v>
      </c>
      <c r="AS98" s="147"/>
      <c r="AT98" s="148">
        <v>13.75</v>
      </c>
      <c r="AU98" s="149">
        <v>7.9211499999999999</v>
      </c>
      <c r="AV98" s="146">
        <f t="shared" si="41"/>
        <v>57.608363636363634</v>
      </c>
      <c r="AW98" s="146">
        <f t="shared" si="42"/>
        <v>42.391636363636366</v>
      </c>
      <c r="AX98" s="138">
        <f t="shared" si="43"/>
        <v>70.391463996534654</v>
      </c>
      <c r="AY98" s="95">
        <v>79.150000000000006</v>
      </c>
      <c r="AZ98" s="96">
        <v>63.944999999999993</v>
      </c>
      <c r="BA98" s="96"/>
      <c r="BB98" s="96">
        <v>65</v>
      </c>
      <c r="BC98" s="96"/>
      <c r="BD98" s="97">
        <v>75.45</v>
      </c>
      <c r="BE98" s="142">
        <f t="shared" si="44"/>
        <v>7559</v>
      </c>
      <c r="BF98" s="98">
        <v>960</v>
      </c>
      <c r="BG98" s="98">
        <v>0</v>
      </c>
      <c r="BH98" s="98">
        <v>1119</v>
      </c>
      <c r="BI98" s="98">
        <v>5480</v>
      </c>
      <c r="BJ98" s="98"/>
      <c r="BK98" s="98"/>
      <c r="BL98" s="98"/>
    </row>
    <row r="99" spans="1:64" outlineLevel="5" x14ac:dyDescent="0.3">
      <c r="A99" s="152">
        <f t="shared" si="46"/>
        <v>3</v>
      </c>
      <c r="B99" s="153">
        <f t="shared" si="45"/>
        <v>45366</v>
      </c>
      <c r="C99" s="138" t="str">
        <f t="shared" si="35"/>
        <v/>
      </c>
      <c r="D99" s="186"/>
      <c r="E99" s="186"/>
      <c r="F99" s="84"/>
      <c r="G99" s="84"/>
      <c r="H99" s="84"/>
      <c r="I99" s="84"/>
      <c r="J99" s="84"/>
      <c r="K99" s="84"/>
      <c r="L99" s="140" t="str">
        <f t="shared" si="36"/>
        <v/>
      </c>
      <c r="M99" s="187"/>
      <c r="N99" s="187"/>
      <c r="O99" s="86"/>
      <c r="P99" s="86"/>
      <c r="Q99" s="86"/>
      <c r="R99" s="86"/>
      <c r="S99" s="86"/>
      <c r="T99" s="86"/>
      <c r="U99" s="142" t="str">
        <f t="shared" si="37"/>
        <v/>
      </c>
      <c r="V99" s="188"/>
      <c r="W99" s="188"/>
      <c r="X99" s="88"/>
      <c r="Y99" s="88"/>
      <c r="Z99" s="88"/>
      <c r="AA99" s="88"/>
      <c r="AB99" s="88"/>
      <c r="AC99" s="88"/>
      <c r="AD99" s="142" t="str">
        <f t="shared" si="38"/>
        <v/>
      </c>
      <c r="AE99" s="88"/>
      <c r="AF99" s="88"/>
      <c r="AG99" s="88"/>
      <c r="AH99" s="88"/>
      <c r="AI99" s="88"/>
      <c r="AJ99" s="88"/>
      <c r="AK99" s="88"/>
      <c r="AL99" s="88"/>
      <c r="AM99" s="88">
        <v>82.647522325337064</v>
      </c>
      <c r="AN99" s="88">
        <v>57.11</v>
      </c>
      <c r="AO99" s="89"/>
      <c r="AP99" s="90"/>
      <c r="AQ99" s="146" t="str">
        <f t="shared" si="39"/>
        <v/>
      </c>
      <c r="AR99" s="146" t="str">
        <f t="shared" si="40"/>
        <v/>
      </c>
      <c r="AS99" s="147"/>
      <c r="AT99" s="148"/>
      <c r="AU99" s="149"/>
      <c r="AV99" s="146" t="str">
        <f t="shared" si="41"/>
        <v/>
      </c>
      <c r="AW99" s="146" t="str">
        <f t="shared" si="42"/>
        <v/>
      </c>
      <c r="AX99" s="138" t="str">
        <f t="shared" si="43"/>
        <v/>
      </c>
      <c r="AY99" s="95"/>
      <c r="AZ99" s="96">
        <v>61.954999999999998</v>
      </c>
      <c r="BA99" s="96"/>
      <c r="BB99" s="96">
        <v>98.5</v>
      </c>
      <c r="BC99" s="96"/>
      <c r="BD99" s="97">
        <v>57.11</v>
      </c>
      <c r="BE99" s="142">
        <f t="shared" si="44"/>
        <v>8370</v>
      </c>
      <c r="BF99" s="98">
        <v>0</v>
      </c>
      <c r="BG99" s="98">
        <v>0</v>
      </c>
      <c r="BH99" s="98">
        <v>3350</v>
      </c>
      <c r="BI99" s="98">
        <v>5020</v>
      </c>
      <c r="BJ99" s="98"/>
      <c r="BK99" s="98"/>
      <c r="BL99" s="98"/>
    </row>
    <row r="100" spans="1:64" outlineLevel="5" x14ac:dyDescent="0.3">
      <c r="A100" s="152">
        <f t="shared" si="46"/>
        <v>3</v>
      </c>
      <c r="B100" s="153">
        <f t="shared" si="45"/>
        <v>45367</v>
      </c>
      <c r="C100" s="138" t="str">
        <f t="shared" si="35"/>
        <v/>
      </c>
      <c r="D100" s="186"/>
      <c r="E100" s="186"/>
      <c r="F100" s="84"/>
      <c r="G100" s="84"/>
      <c r="H100" s="84"/>
      <c r="I100" s="84"/>
      <c r="J100" s="84"/>
      <c r="K100" s="84"/>
      <c r="L100" s="140" t="str">
        <f t="shared" si="36"/>
        <v/>
      </c>
      <c r="M100" s="187"/>
      <c r="N100" s="187"/>
      <c r="O100" s="86"/>
      <c r="P100" s="86"/>
      <c r="Q100" s="86"/>
      <c r="R100" s="86"/>
      <c r="S100" s="86"/>
      <c r="T100" s="86"/>
      <c r="U100" s="142" t="str">
        <f t="shared" si="37"/>
        <v/>
      </c>
      <c r="V100" s="188"/>
      <c r="W100" s="188"/>
      <c r="X100" s="88"/>
      <c r="Y100" s="88"/>
      <c r="Z100" s="88"/>
      <c r="AA100" s="88"/>
      <c r="AB100" s="88"/>
      <c r="AC100" s="88"/>
      <c r="AD100" s="142" t="str">
        <f t="shared" si="38"/>
        <v/>
      </c>
      <c r="AE100" s="88"/>
      <c r="AF100" s="88"/>
      <c r="AG100" s="88"/>
      <c r="AH100" s="88"/>
      <c r="AI100" s="88"/>
      <c r="AJ100" s="88"/>
      <c r="AK100" s="88"/>
      <c r="AL100" s="88"/>
      <c r="AM100" s="88">
        <v>79.689346614891107</v>
      </c>
      <c r="AN100" s="88">
        <v>59.23</v>
      </c>
      <c r="AO100" s="89"/>
      <c r="AP100" s="90"/>
      <c r="AQ100" s="146" t="str">
        <f t="shared" si="39"/>
        <v/>
      </c>
      <c r="AR100" s="146" t="str">
        <f t="shared" si="40"/>
        <v/>
      </c>
      <c r="AS100" s="147"/>
      <c r="AT100" s="148"/>
      <c r="AU100" s="149"/>
      <c r="AV100" s="146" t="str">
        <f t="shared" si="41"/>
        <v/>
      </c>
      <c r="AW100" s="146" t="str">
        <f t="shared" si="42"/>
        <v/>
      </c>
      <c r="AX100" s="138" t="str">
        <f t="shared" si="43"/>
        <v/>
      </c>
      <c r="AY100" s="95"/>
      <c r="AZ100" s="96"/>
      <c r="BA100" s="96"/>
      <c r="BB100" s="96"/>
      <c r="BC100" s="96"/>
      <c r="BD100" s="97">
        <v>59.23</v>
      </c>
      <c r="BE100" s="142">
        <f t="shared" si="44"/>
        <v>7675</v>
      </c>
      <c r="BF100" s="98">
        <v>0</v>
      </c>
      <c r="BG100" s="98">
        <v>0</v>
      </c>
      <c r="BH100" s="98">
        <v>4125</v>
      </c>
      <c r="BI100" s="98">
        <v>3550</v>
      </c>
      <c r="BJ100" s="98"/>
      <c r="BK100" s="98"/>
      <c r="BL100" s="98"/>
    </row>
    <row r="101" spans="1:64" outlineLevel="5" x14ac:dyDescent="0.3">
      <c r="A101" s="152">
        <f t="shared" si="46"/>
        <v>3</v>
      </c>
      <c r="B101" s="153">
        <f t="shared" si="45"/>
        <v>45368</v>
      </c>
      <c r="C101" s="138" t="str">
        <f t="shared" si="35"/>
        <v/>
      </c>
      <c r="D101" s="186"/>
      <c r="E101" s="186"/>
      <c r="F101" s="84"/>
      <c r="G101" s="84"/>
      <c r="H101" s="84"/>
      <c r="I101" s="84"/>
      <c r="J101" s="84"/>
      <c r="K101" s="84"/>
      <c r="L101" s="140" t="str">
        <f t="shared" si="36"/>
        <v/>
      </c>
      <c r="M101" s="187"/>
      <c r="N101" s="187"/>
      <c r="O101" s="86"/>
      <c r="P101" s="86"/>
      <c r="Q101" s="86"/>
      <c r="R101" s="86"/>
      <c r="S101" s="86"/>
      <c r="T101" s="86"/>
      <c r="U101" s="142" t="str">
        <f t="shared" si="37"/>
        <v/>
      </c>
      <c r="V101" s="188"/>
      <c r="W101" s="188"/>
      <c r="X101" s="88"/>
      <c r="Y101" s="88"/>
      <c r="Z101" s="88"/>
      <c r="AA101" s="88"/>
      <c r="AB101" s="88"/>
      <c r="AC101" s="88"/>
      <c r="AD101" s="142" t="str">
        <f t="shared" si="38"/>
        <v/>
      </c>
      <c r="AE101" s="88"/>
      <c r="AF101" s="88"/>
      <c r="AG101" s="88"/>
      <c r="AH101" s="88"/>
      <c r="AI101" s="88"/>
      <c r="AJ101" s="88"/>
      <c r="AK101" s="88"/>
      <c r="AL101" s="88"/>
      <c r="AM101" s="88">
        <v>59</v>
      </c>
      <c r="AN101" s="88">
        <v>80</v>
      </c>
      <c r="AO101" s="89"/>
      <c r="AP101" s="90"/>
      <c r="AQ101" s="146" t="str">
        <f t="shared" si="39"/>
        <v/>
      </c>
      <c r="AR101" s="146" t="str">
        <f t="shared" si="40"/>
        <v/>
      </c>
      <c r="AS101" s="147"/>
      <c r="AT101" s="148"/>
      <c r="AU101" s="149"/>
      <c r="AV101" s="146" t="str">
        <f t="shared" si="41"/>
        <v/>
      </c>
      <c r="AW101" s="146" t="str">
        <f t="shared" si="42"/>
        <v/>
      </c>
      <c r="AX101" s="138" t="str">
        <f t="shared" si="43"/>
        <v/>
      </c>
      <c r="AY101" s="95"/>
      <c r="AZ101" s="96"/>
      <c r="BA101" s="96"/>
      <c r="BB101" s="96"/>
      <c r="BC101" s="96"/>
      <c r="BD101" s="97">
        <v>80</v>
      </c>
      <c r="BE101" s="142">
        <f t="shared" si="44"/>
        <v>5477</v>
      </c>
      <c r="BF101" s="98">
        <v>0</v>
      </c>
      <c r="BG101" s="98">
        <v>0</v>
      </c>
      <c r="BH101" s="98">
        <v>2405</v>
      </c>
      <c r="BI101" s="98">
        <v>3072</v>
      </c>
      <c r="BJ101" s="98"/>
      <c r="BK101" s="98"/>
      <c r="BL101" s="98"/>
    </row>
    <row r="102" spans="1:64" outlineLevel="5" x14ac:dyDescent="0.3">
      <c r="A102" s="152">
        <f t="shared" si="46"/>
        <v>3</v>
      </c>
      <c r="B102" s="153">
        <f t="shared" si="45"/>
        <v>45369</v>
      </c>
      <c r="C102" s="138">
        <f t="shared" si="35"/>
        <v>36.6</v>
      </c>
      <c r="D102" s="186">
        <v>36.6</v>
      </c>
      <c r="E102" s="186">
        <v>36.5</v>
      </c>
      <c r="F102" s="84"/>
      <c r="G102" s="84"/>
      <c r="H102" s="84"/>
      <c r="I102" s="84"/>
      <c r="J102" s="84"/>
      <c r="K102" s="84"/>
      <c r="L102" s="140">
        <f t="shared" si="36"/>
        <v>8.1999999999999993</v>
      </c>
      <c r="M102" s="187">
        <v>8.1300000000000008</v>
      </c>
      <c r="N102" s="187">
        <v>8.23</v>
      </c>
      <c r="O102" s="86"/>
      <c r="P102" s="86"/>
      <c r="Q102" s="86"/>
      <c r="R102" s="86"/>
      <c r="S102" s="86"/>
      <c r="T102" s="86"/>
      <c r="U102" s="142">
        <f t="shared" si="37"/>
        <v>1000</v>
      </c>
      <c r="V102" s="188">
        <v>1027</v>
      </c>
      <c r="W102" s="188">
        <v>973</v>
      </c>
      <c r="X102" s="88"/>
      <c r="Y102" s="88"/>
      <c r="Z102" s="88"/>
      <c r="AA102" s="88"/>
      <c r="AB102" s="88"/>
      <c r="AC102" s="88"/>
      <c r="AD102" s="142" t="str">
        <f t="shared" si="38"/>
        <v/>
      </c>
      <c r="AE102" s="88"/>
      <c r="AF102" s="88"/>
      <c r="AG102" s="88"/>
      <c r="AH102" s="88"/>
      <c r="AI102" s="88"/>
      <c r="AJ102" s="88"/>
      <c r="AK102" s="88"/>
      <c r="AL102" s="88"/>
      <c r="AM102" s="88">
        <v>87.602078693392727</v>
      </c>
      <c r="AN102" s="88">
        <v>53.879999999999995</v>
      </c>
      <c r="AO102" s="89">
        <v>18.600000000000001</v>
      </c>
      <c r="AP102" s="90">
        <v>15</v>
      </c>
      <c r="AQ102" s="146">
        <f t="shared" si="39"/>
        <v>80.645161290322577</v>
      </c>
      <c r="AR102" s="146">
        <f t="shared" si="40"/>
        <v>19.354838709677423</v>
      </c>
      <c r="AS102" s="147"/>
      <c r="AT102" s="148">
        <v>14.35</v>
      </c>
      <c r="AU102" s="149">
        <v>7.5276999999999994</v>
      </c>
      <c r="AV102" s="146">
        <f t="shared" si="41"/>
        <v>52.457839721254352</v>
      </c>
      <c r="AW102" s="146">
        <f t="shared" si="42"/>
        <v>47.542160278745648</v>
      </c>
      <c r="AX102" s="138">
        <f t="shared" si="43"/>
        <v>73.518490831537747</v>
      </c>
      <c r="AY102" s="95">
        <v>76.349999999999994</v>
      </c>
      <c r="AZ102" s="96">
        <v>60.864999999999995</v>
      </c>
      <c r="BA102" s="96"/>
      <c r="BB102" s="96">
        <v>110</v>
      </c>
      <c r="BC102" s="96"/>
      <c r="BD102" s="97">
        <v>53.879999999999995</v>
      </c>
      <c r="BE102" s="142">
        <f t="shared" si="44"/>
        <v>6741</v>
      </c>
      <c r="BF102" s="98">
        <v>0</v>
      </c>
      <c r="BG102" s="98">
        <v>0</v>
      </c>
      <c r="BH102" s="98">
        <v>1641</v>
      </c>
      <c r="BI102" s="98">
        <v>5100</v>
      </c>
      <c r="BJ102" s="98"/>
      <c r="BK102" s="98"/>
      <c r="BL102" s="98"/>
    </row>
    <row r="103" spans="1:64" outlineLevel="5" x14ac:dyDescent="0.3">
      <c r="A103" s="152">
        <f t="shared" si="46"/>
        <v>3</v>
      </c>
      <c r="B103" s="153">
        <f t="shared" si="45"/>
        <v>45370</v>
      </c>
      <c r="C103" s="138" t="str">
        <f t="shared" si="35"/>
        <v/>
      </c>
      <c r="D103" s="186"/>
      <c r="E103" s="186"/>
      <c r="F103" s="84"/>
      <c r="G103" s="84"/>
      <c r="H103" s="84"/>
      <c r="I103" s="84"/>
      <c r="J103" s="84"/>
      <c r="K103" s="84"/>
      <c r="L103" s="140" t="str">
        <f t="shared" si="36"/>
        <v/>
      </c>
      <c r="M103" s="187"/>
      <c r="N103" s="187"/>
      <c r="O103" s="86"/>
      <c r="P103" s="86"/>
      <c r="Q103" s="86"/>
      <c r="R103" s="86"/>
      <c r="S103" s="86"/>
      <c r="T103" s="86"/>
      <c r="U103" s="142" t="str">
        <f t="shared" si="37"/>
        <v/>
      </c>
      <c r="V103" s="188"/>
      <c r="W103" s="188"/>
      <c r="X103" s="88"/>
      <c r="Y103" s="88"/>
      <c r="Z103" s="88"/>
      <c r="AA103" s="88"/>
      <c r="AB103" s="88"/>
      <c r="AC103" s="88"/>
      <c r="AD103" s="142" t="str">
        <f t="shared" si="38"/>
        <v/>
      </c>
      <c r="AE103" s="88"/>
      <c r="AF103" s="88"/>
      <c r="AG103" s="88"/>
      <c r="AH103" s="88"/>
      <c r="AI103" s="88"/>
      <c r="AJ103" s="88"/>
      <c r="AK103" s="88"/>
      <c r="AL103" s="88"/>
      <c r="AM103" s="88">
        <v>44.44444444444445</v>
      </c>
      <c r="AN103" s="88">
        <v>106.19999999999999</v>
      </c>
      <c r="AO103" s="89"/>
      <c r="AP103" s="90"/>
      <c r="AQ103" s="146" t="str">
        <f t="shared" si="39"/>
        <v/>
      </c>
      <c r="AR103" s="146" t="str">
        <f t="shared" si="40"/>
        <v/>
      </c>
      <c r="AS103" s="147"/>
      <c r="AT103" s="148"/>
      <c r="AU103" s="149"/>
      <c r="AV103" s="146" t="str">
        <f t="shared" si="41"/>
        <v/>
      </c>
      <c r="AW103" s="146" t="str">
        <f t="shared" si="42"/>
        <v/>
      </c>
      <c r="AX103" s="138" t="str">
        <f t="shared" si="43"/>
        <v/>
      </c>
      <c r="AY103" s="95"/>
      <c r="AZ103" s="96"/>
      <c r="BA103" s="96"/>
      <c r="BB103" s="96"/>
      <c r="BC103" s="96"/>
      <c r="BD103" s="97">
        <v>106.19999999999999</v>
      </c>
      <c r="BE103" s="142">
        <f t="shared" si="44"/>
        <v>9992</v>
      </c>
      <c r="BF103" s="98">
        <v>0</v>
      </c>
      <c r="BG103" s="98">
        <v>0</v>
      </c>
      <c r="BH103" s="98">
        <v>4328</v>
      </c>
      <c r="BI103" s="98">
        <v>5664</v>
      </c>
      <c r="BJ103" s="98"/>
      <c r="BK103" s="98"/>
      <c r="BL103" s="98"/>
    </row>
    <row r="104" spans="1:64" outlineLevel="5" x14ac:dyDescent="0.3">
      <c r="A104" s="152">
        <f t="shared" si="46"/>
        <v>3</v>
      </c>
      <c r="B104" s="153">
        <f t="shared" si="45"/>
        <v>45371</v>
      </c>
      <c r="C104" s="138">
        <f t="shared" si="35"/>
        <v>35.5</v>
      </c>
      <c r="D104" s="186">
        <v>35.5</v>
      </c>
      <c r="E104" s="186">
        <v>35.5</v>
      </c>
      <c r="F104" s="84"/>
      <c r="G104" s="84"/>
      <c r="H104" s="84"/>
      <c r="I104" s="84"/>
      <c r="J104" s="84"/>
      <c r="K104" s="84"/>
      <c r="L104" s="140">
        <f t="shared" si="36"/>
        <v>8.1999999999999993</v>
      </c>
      <c r="M104" s="187">
        <v>8.14</v>
      </c>
      <c r="N104" s="187">
        <v>8.25</v>
      </c>
      <c r="O104" s="86"/>
      <c r="P104" s="86"/>
      <c r="Q104" s="86"/>
      <c r="R104" s="86"/>
      <c r="S104" s="86"/>
      <c r="T104" s="86"/>
      <c r="U104" s="142">
        <f t="shared" si="37"/>
        <v>1070.5</v>
      </c>
      <c r="V104" s="188">
        <v>1189.4000000000001</v>
      </c>
      <c r="W104" s="188">
        <v>951.5</v>
      </c>
      <c r="X104" s="88"/>
      <c r="Y104" s="88"/>
      <c r="Z104" s="88"/>
      <c r="AA104" s="88"/>
      <c r="AB104" s="88"/>
      <c r="AC104" s="88"/>
      <c r="AD104" s="142" t="str">
        <f t="shared" si="38"/>
        <v/>
      </c>
      <c r="AE104" s="88"/>
      <c r="AF104" s="88"/>
      <c r="AG104" s="88"/>
      <c r="AH104" s="88"/>
      <c r="AI104" s="88"/>
      <c r="AJ104" s="88"/>
      <c r="AK104" s="88"/>
      <c r="AL104" s="88"/>
      <c r="AM104" s="88">
        <v>46.909163188232952</v>
      </c>
      <c r="AN104" s="88">
        <v>100.62</v>
      </c>
      <c r="AO104" s="89"/>
      <c r="AP104" s="90"/>
      <c r="AQ104" s="146" t="str">
        <f t="shared" si="39"/>
        <v/>
      </c>
      <c r="AR104" s="146" t="str">
        <f t="shared" si="40"/>
        <v/>
      </c>
      <c r="AS104" s="147"/>
      <c r="AT104" s="148">
        <v>14.75</v>
      </c>
      <c r="AU104" s="149">
        <v>7.7092499999999999</v>
      </c>
      <c r="AV104" s="146">
        <f t="shared" si="41"/>
        <v>52.266101694915257</v>
      </c>
      <c r="AW104" s="146">
        <f t="shared" si="42"/>
        <v>47.733898305084743</v>
      </c>
      <c r="AX104" s="138" t="str">
        <f t="shared" si="43"/>
        <v/>
      </c>
      <c r="AY104" s="95">
        <v>76.349999999999994</v>
      </c>
      <c r="AZ104" s="96"/>
      <c r="BA104" s="96"/>
      <c r="BB104" s="96"/>
      <c r="BC104" s="96"/>
      <c r="BD104" s="97">
        <v>100.62</v>
      </c>
      <c r="BE104" s="142">
        <f t="shared" si="44"/>
        <v>11181</v>
      </c>
      <c r="BF104" s="98">
        <v>2000</v>
      </c>
      <c r="BG104" s="98">
        <v>0</v>
      </c>
      <c r="BH104" s="98">
        <v>5181</v>
      </c>
      <c r="BI104" s="98">
        <v>4000</v>
      </c>
      <c r="BJ104" s="98"/>
      <c r="BK104" s="98"/>
      <c r="BL104" s="98"/>
    </row>
    <row r="105" spans="1:64" outlineLevel="5" x14ac:dyDescent="0.3">
      <c r="A105" s="152">
        <f t="shared" si="46"/>
        <v>3</v>
      </c>
      <c r="B105" s="153">
        <f t="shared" si="45"/>
        <v>45372</v>
      </c>
      <c r="C105" s="138">
        <f t="shared" si="35"/>
        <v>36.299999999999997</v>
      </c>
      <c r="D105" s="186">
        <v>36.299999999999997</v>
      </c>
      <c r="E105" s="186">
        <v>36.200000000000003</v>
      </c>
      <c r="F105" s="84"/>
      <c r="G105" s="84"/>
      <c r="H105" s="84"/>
      <c r="I105" s="84"/>
      <c r="J105" s="84"/>
      <c r="K105" s="84"/>
      <c r="L105" s="140">
        <f t="shared" si="36"/>
        <v>8.1999999999999993</v>
      </c>
      <c r="M105" s="187">
        <v>8.16</v>
      </c>
      <c r="N105" s="187">
        <v>8.2799999999999994</v>
      </c>
      <c r="O105" s="86"/>
      <c r="P105" s="86"/>
      <c r="Q105" s="86"/>
      <c r="R105" s="86"/>
      <c r="S105" s="86"/>
      <c r="T105" s="86"/>
      <c r="U105" s="142">
        <f t="shared" si="37"/>
        <v>1097.5</v>
      </c>
      <c r="V105" s="188">
        <v>1167.8</v>
      </c>
      <c r="W105" s="188">
        <v>1027.2</v>
      </c>
      <c r="X105" s="88"/>
      <c r="Y105" s="88"/>
      <c r="Z105" s="88"/>
      <c r="AA105" s="88"/>
      <c r="AB105" s="88"/>
      <c r="AC105" s="88"/>
      <c r="AD105" s="142" t="str">
        <f t="shared" si="38"/>
        <v/>
      </c>
      <c r="AE105" s="88"/>
      <c r="AF105" s="88"/>
      <c r="AG105" s="88"/>
      <c r="AH105" s="88"/>
      <c r="AI105" s="88"/>
      <c r="AJ105" s="88"/>
      <c r="AK105" s="88"/>
      <c r="AL105" s="88"/>
      <c r="AM105" s="88">
        <v>66.874468688013593</v>
      </c>
      <c r="AN105" s="88">
        <v>70.580000000000013</v>
      </c>
      <c r="AO105" s="89">
        <v>22.1</v>
      </c>
      <c r="AP105" s="90">
        <v>14.6</v>
      </c>
      <c r="AQ105" s="146">
        <f t="shared" si="39"/>
        <v>66.063348416289585</v>
      </c>
      <c r="AR105" s="146">
        <f t="shared" si="40"/>
        <v>33.936651583710415</v>
      </c>
      <c r="AS105" s="147"/>
      <c r="AT105" s="148">
        <v>15.2</v>
      </c>
      <c r="AU105" s="149">
        <v>7.54915</v>
      </c>
      <c r="AV105" s="146">
        <f t="shared" si="41"/>
        <v>49.66546052631579</v>
      </c>
      <c r="AW105" s="146">
        <f t="shared" si="42"/>
        <v>50.33453947368421</v>
      </c>
      <c r="AX105" s="138">
        <f t="shared" si="43"/>
        <v>49.312978117481961</v>
      </c>
      <c r="AY105" s="95">
        <v>74.8</v>
      </c>
      <c r="AZ105" s="96"/>
      <c r="BA105" s="96"/>
      <c r="BB105" s="96"/>
      <c r="BC105" s="96"/>
      <c r="BD105" s="97">
        <v>70.580000000000013</v>
      </c>
      <c r="BE105" s="142">
        <f t="shared" si="44"/>
        <v>9201</v>
      </c>
      <c r="BF105" s="98">
        <v>1301</v>
      </c>
      <c r="BG105" s="98">
        <v>0</v>
      </c>
      <c r="BH105" s="98">
        <v>1900</v>
      </c>
      <c r="BI105" s="98">
        <v>6000</v>
      </c>
      <c r="BJ105" s="98"/>
      <c r="BK105" s="98"/>
      <c r="BL105" s="98"/>
    </row>
    <row r="106" spans="1:64" outlineLevel="5" x14ac:dyDescent="0.3">
      <c r="A106" s="152">
        <f t="shared" si="46"/>
        <v>3</v>
      </c>
      <c r="B106" s="153">
        <f t="shared" si="45"/>
        <v>45373</v>
      </c>
      <c r="C106" s="138" t="str">
        <f t="shared" si="35"/>
        <v/>
      </c>
      <c r="D106" s="186"/>
      <c r="E106" s="186"/>
      <c r="F106" s="84"/>
      <c r="G106" s="84"/>
      <c r="H106" s="84"/>
      <c r="I106" s="84"/>
      <c r="J106" s="84"/>
      <c r="K106" s="84"/>
      <c r="L106" s="140" t="str">
        <f t="shared" si="36"/>
        <v/>
      </c>
      <c r="M106" s="187"/>
      <c r="N106" s="187"/>
      <c r="O106" s="86"/>
      <c r="P106" s="86"/>
      <c r="Q106" s="86"/>
      <c r="R106" s="86"/>
      <c r="S106" s="86"/>
      <c r="T106" s="86"/>
      <c r="U106" s="142" t="str">
        <f t="shared" si="37"/>
        <v/>
      </c>
      <c r="V106" s="188"/>
      <c r="W106" s="188"/>
      <c r="X106" s="88"/>
      <c r="Y106" s="88"/>
      <c r="Z106" s="88"/>
      <c r="AA106" s="88"/>
      <c r="AB106" s="88"/>
      <c r="AC106" s="88"/>
      <c r="AD106" s="142" t="str">
        <f t="shared" si="38"/>
        <v/>
      </c>
      <c r="AE106" s="88"/>
      <c r="AF106" s="88"/>
      <c r="AG106" s="88"/>
      <c r="AH106" s="88"/>
      <c r="AI106" s="88"/>
      <c r="AJ106" s="88"/>
      <c r="AK106" s="88"/>
      <c r="AL106" s="88"/>
      <c r="AM106" s="88">
        <v>83.866382373845056</v>
      </c>
      <c r="AN106" s="88">
        <v>56.28</v>
      </c>
      <c r="AO106" s="89"/>
      <c r="AP106" s="90"/>
      <c r="AQ106" s="146" t="str">
        <f t="shared" si="39"/>
        <v/>
      </c>
      <c r="AR106" s="146" t="str">
        <f t="shared" si="40"/>
        <v/>
      </c>
      <c r="AS106" s="147"/>
      <c r="AT106" s="148"/>
      <c r="AU106" s="149"/>
      <c r="AV106" s="146" t="str">
        <f t="shared" si="41"/>
        <v/>
      </c>
      <c r="AW106" s="146" t="str">
        <f t="shared" si="42"/>
        <v/>
      </c>
      <c r="AX106" s="138" t="str">
        <f t="shared" si="43"/>
        <v/>
      </c>
      <c r="AY106" s="95"/>
      <c r="AZ106" s="96"/>
      <c r="BA106" s="96"/>
      <c r="BB106" s="96"/>
      <c r="BC106" s="96"/>
      <c r="BD106" s="97">
        <v>56.28</v>
      </c>
      <c r="BE106" s="142">
        <f t="shared" si="44"/>
        <v>6427</v>
      </c>
      <c r="BF106" s="98">
        <v>0</v>
      </c>
      <c r="BG106" s="98">
        <v>0</v>
      </c>
      <c r="BH106" s="98">
        <v>1</v>
      </c>
      <c r="BI106" s="98">
        <v>6426</v>
      </c>
      <c r="BJ106" s="98"/>
      <c r="BK106" s="98"/>
      <c r="BL106" s="98"/>
    </row>
    <row r="107" spans="1:64" outlineLevel="5" x14ac:dyDescent="0.3">
      <c r="A107" s="152">
        <f t="shared" si="46"/>
        <v>3</v>
      </c>
      <c r="B107" s="153">
        <f t="shared" si="45"/>
        <v>45374</v>
      </c>
      <c r="C107" s="138" t="str">
        <f t="shared" si="35"/>
        <v/>
      </c>
      <c r="D107" s="186"/>
      <c r="E107" s="186"/>
      <c r="F107" s="84"/>
      <c r="G107" s="84"/>
      <c r="H107" s="84"/>
      <c r="I107" s="84"/>
      <c r="J107" s="84"/>
      <c r="K107" s="84"/>
      <c r="L107" s="140" t="str">
        <f t="shared" si="36"/>
        <v/>
      </c>
      <c r="M107" s="187"/>
      <c r="N107" s="187"/>
      <c r="O107" s="86"/>
      <c r="P107" s="86"/>
      <c r="Q107" s="86"/>
      <c r="R107" s="86"/>
      <c r="S107" s="86"/>
      <c r="T107" s="86"/>
      <c r="U107" s="142" t="str">
        <f t="shared" si="37"/>
        <v/>
      </c>
      <c r="V107" s="188"/>
      <c r="W107" s="188"/>
      <c r="X107" s="88"/>
      <c r="Y107" s="88"/>
      <c r="Z107" s="88"/>
      <c r="AA107" s="88"/>
      <c r="AB107" s="88"/>
      <c r="AC107" s="88"/>
      <c r="AD107" s="142" t="str">
        <f t="shared" si="38"/>
        <v/>
      </c>
      <c r="AE107" s="88"/>
      <c r="AF107" s="88"/>
      <c r="AG107" s="88"/>
      <c r="AH107" s="88"/>
      <c r="AI107" s="88"/>
      <c r="AJ107" s="88"/>
      <c r="AK107" s="88"/>
      <c r="AL107" s="88"/>
      <c r="AM107" s="88">
        <v>64.147866268007618</v>
      </c>
      <c r="AN107" s="88">
        <v>73.58</v>
      </c>
      <c r="AO107" s="89"/>
      <c r="AP107" s="90"/>
      <c r="AQ107" s="146" t="str">
        <f t="shared" si="39"/>
        <v/>
      </c>
      <c r="AR107" s="146" t="str">
        <f t="shared" si="40"/>
        <v/>
      </c>
      <c r="AS107" s="147"/>
      <c r="AT107" s="148"/>
      <c r="AU107" s="149"/>
      <c r="AV107" s="146" t="str">
        <f t="shared" si="41"/>
        <v/>
      </c>
      <c r="AW107" s="146" t="str">
        <f t="shared" si="42"/>
        <v/>
      </c>
      <c r="AX107" s="138" t="str">
        <f t="shared" si="43"/>
        <v/>
      </c>
      <c r="AY107" s="95"/>
      <c r="AZ107" s="96"/>
      <c r="BA107" s="96"/>
      <c r="BB107" s="96"/>
      <c r="BC107" s="96"/>
      <c r="BD107" s="97">
        <v>73.58</v>
      </c>
      <c r="BE107" s="142">
        <f t="shared" si="44"/>
        <v>7462</v>
      </c>
      <c r="BF107" s="98">
        <v>910</v>
      </c>
      <c r="BG107" s="98">
        <v>0</v>
      </c>
      <c r="BH107" s="98">
        <v>0</v>
      </c>
      <c r="BI107" s="98">
        <v>6552</v>
      </c>
      <c r="BJ107" s="98"/>
      <c r="BK107" s="98"/>
      <c r="BL107" s="98"/>
    </row>
    <row r="108" spans="1:64" outlineLevel="5" x14ac:dyDescent="0.3">
      <c r="A108" s="152">
        <f t="shared" si="46"/>
        <v>3</v>
      </c>
      <c r="B108" s="153">
        <f t="shared" si="45"/>
        <v>45375</v>
      </c>
      <c r="C108" s="138" t="str">
        <f t="shared" si="35"/>
        <v/>
      </c>
      <c r="D108" s="186"/>
      <c r="E108" s="186"/>
      <c r="F108" s="84"/>
      <c r="G108" s="84"/>
      <c r="H108" s="84"/>
      <c r="I108" s="84"/>
      <c r="J108" s="84"/>
      <c r="K108" s="84"/>
      <c r="L108" s="140" t="str">
        <f t="shared" si="36"/>
        <v/>
      </c>
      <c r="M108" s="187"/>
      <c r="N108" s="187"/>
      <c r="O108" s="86"/>
      <c r="P108" s="86"/>
      <c r="Q108" s="86"/>
      <c r="R108" s="86"/>
      <c r="S108" s="86"/>
      <c r="T108" s="86"/>
      <c r="U108" s="142" t="str">
        <f t="shared" si="37"/>
        <v/>
      </c>
      <c r="V108" s="188"/>
      <c r="W108" s="188"/>
      <c r="X108" s="88"/>
      <c r="Y108" s="88"/>
      <c r="Z108" s="88"/>
      <c r="AA108" s="88"/>
      <c r="AB108" s="88"/>
      <c r="AC108" s="88"/>
      <c r="AD108" s="142" t="str">
        <f t="shared" si="38"/>
        <v/>
      </c>
      <c r="AE108" s="88"/>
      <c r="AF108" s="88"/>
      <c r="AG108" s="88"/>
      <c r="AH108" s="88"/>
      <c r="AI108" s="88"/>
      <c r="AJ108" s="88"/>
      <c r="AK108" s="88"/>
      <c r="AL108" s="88"/>
      <c r="AM108" s="88">
        <v>55.529411764705884</v>
      </c>
      <c r="AN108" s="88">
        <v>85</v>
      </c>
      <c r="AO108" s="89"/>
      <c r="AP108" s="90"/>
      <c r="AQ108" s="146" t="str">
        <f t="shared" si="39"/>
        <v/>
      </c>
      <c r="AR108" s="146" t="str">
        <f t="shared" si="40"/>
        <v/>
      </c>
      <c r="AS108" s="147"/>
      <c r="AT108" s="148"/>
      <c r="AU108" s="149"/>
      <c r="AV108" s="146" t="str">
        <f t="shared" si="41"/>
        <v/>
      </c>
      <c r="AW108" s="146" t="str">
        <f t="shared" si="42"/>
        <v/>
      </c>
      <c r="AX108" s="138" t="str">
        <f t="shared" si="43"/>
        <v/>
      </c>
      <c r="AY108" s="95"/>
      <c r="AZ108" s="96"/>
      <c r="BA108" s="96"/>
      <c r="BB108" s="96"/>
      <c r="BC108" s="96"/>
      <c r="BD108" s="97">
        <v>85</v>
      </c>
      <c r="BE108" s="142">
        <f t="shared" si="44"/>
        <v>8220</v>
      </c>
      <c r="BF108" s="98">
        <v>1952</v>
      </c>
      <c r="BG108" s="98">
        <v>0</v>
      </c>
      <c r="BH108" s="98">
        <v>0</v>
      </c>
      <c r="BI108" s="98">
        <v>6268</v>
      </c>
      <c r="BJ108" s="98"/>
      <c r="BK108" s="98"/>
      <c r="BL108" s="98"/>
    </row>
    <row r="109" spans="1:64" outlineLevel="5" x14ac:dyDescent="0.3">
      <c r="A109" s="152">
        <f t="shared" si="46"/>
        <v>3</v>
      </c>
      <c r="B109" s="153">
        <f t="shared" si="45"/>
        <v>45376</v>
      </c>
      <c r="C109" s="138">
        <f t="shared" si="35"/>
        <v>37.1</v>
      </c>
      <c r="D109" s="186">
        <v>37.1</v>
      </c>
      <c r="E109" s="186">
        <v>37</v>
      </c>
      <c r="F109" s="84"/>
      <c r="G109" s="84"/>
      <c r="H109" s="84"/>
      <c r="I109" s="84"/>
      <c r="J109" s="84"/>
      <c r="K109" s="84"/>
      <c r="L109" s="140">
        <f t="shared" si="36"/>
        <v>8.1</v>
      </c>
      <c r="M109" s="187">
        <v>8.07</v>
      </c>
      <c r="N109" s="187">
        <v>8.14</v>
      </c>
      <c r="O109" s="86"/>
      <c r="P109" s="86"/>
      <c r="Q109" s="86"/>
      <c r="R109" s="86"/>
      <c r="S109" s="86"/>
      <c r="T109" s="86"/>
      <c r="U109" s="142">
        <f t="shared" si="37"/>
        <v>1108.3</v>
      </c>
      <c r="V109" s="188">
        <v>1189.4000000000001</v>
      </c>
      <c r="W109" s="188">
        <v>1027.2</v>
      </c>
      <c r="X109" s="88"/>
      <c r="Y109" s="88"/>
      <c r="Z109" s="88"/>
      <c r="AA109" s="88"/>
      <c r="AB109" s="88"/>
      <c r="AC109" s="88"/>
      <c r="AD109" s="142" t="str">
        <f t="shared" si="38"/>
        <v/>
      </c>
      <c r="AE109" s="88"/>
      <c r="AF109" s="88"/>
      <c r="AG109" s="88"/>
      <c r="AH109" s="88"/>
      <c r="AI109" s="88"/>
      <c r="AJ109" s="88"/>
      <c r="AK109" s="88"/>
      <c r="AL109" s="88"/>
      <c r="AM109" s="88">
        <v>89.716783881391365</v>
      </c>
      <c r="AN109" s="88">
        <v>52.61</v>
      </c>
      <c r="AO109" s="89">
        <v>19</v>
      </c>
      <c r="AP109" s="90">
        <v>16.5</v>
      </c>
      <c r="AQ109" s="146">
        <f t="shared" si="39"/>
        <v>86.842105263157904</v>
      </c>
      <c r="AR109" s="146">
        <f t="shared" si="40"/>
        <v>13.157894736842096</v>
      </c>
      <c r="AS109" s="147"/>
      <c r="AT109" s="148">
        <v>13.65</v>
      </c>
      <c r="AU109" s="149">
        <v>7.873050000000001</v>
      </c>
      <c r="AV109" s="146">
        <f t="shared" si="41"/>
        <v>57.678021978021988</v>
      </c>
      <c r="AW109" s="146">
        <f t="shared" si="42"/>
        <v>42.321978021978012</v>
      </c>
      <c r="AX109" s="138">
        <f t="shared" si="43"/>
        <v>79.350931483977476</v>
      </c>
      <c r="AY109" s="95">
        <v>77.55</v>
      </c>
      <c r="AZ109" s="96"/>
      <c r="BA109" s="96"/>
      <c r="BB109" s="96"/>
      <c r="BC109" s="96"/>
      <c r="BD109" s="97">
        <v>52.61</v>
      </c>
      <c r="BE109" s="142">
        <f t="shared" si="44"/>
        <v>8366</v>
      </c>
      <c r="BF109" s="98">
        <v>2141</v>
      </c>
      <c r="BG109" s="98">
        <v>0</v>
      </c>
      <c r="BH109" s="98">
        <v>0</v>
      </c>
      <c r="BI109" s="98">
        <v>6225</v>
      </c>
      <c r="BJ109" s="98"/>
      <c r="BK109" s="98"/>
      <c r="BL109" s="98"/>
    </row>
    <row r="110" spans="1:64" outlineLevel="5" x14ac:dyDescent="0.3">
      <c r="A110" s="152">
        <f t="shared" si="46"/>
        <v>3</v>
      </c>
      <c r="B110" s="153">
        <f t="shared" si="45"/>
        <v>45377</v>
      </c>
      <c r="C110" s="138" t="str">
        <f t="shared" si="35"/>
        <v/>
      </c>
      <c r="D110" s="186"/>
      <c r="E110" s="186"/>
      <c r="F110" s="84"/>
      <c r="G110" s="84"/>
      <c r="H110" s="84"/>
      <c r="I110" s="84"/>
      <c r="J110" s="84"/>
      <c r="K110" s="84"/>
      <c r="L110" s="140" t="str">
        <f t="shared" si="36"/>
        <v/>
      </c>
      <c r="M110" s="187"/>
      <c r="N110" s="187"/>
      <c r="O110" s="86"/>
      <c r="P110" s="86"/>
      <c r="Q110" s="86"/>
      <c r="R110" s="86"/>
      <c r="S110" s="86"/>
      <c r="T110" s="86"/>
      <c r="U110" s="142" t="str">
        <f t="shared" si="37"/>
        <v/>
      </c>
      <c r="V110" s="188"/>
      <c r="W110" s="188"/>
      <c r="X110" s="88"/>
      <c r="Y110" s="88"/>
      <c r="Z110" s="88"/>
      <c r="AA110" s="88"/>
      <c r="AB110" s="88"/>
      <c r="AC110" s="88"/>
      <c r="AD110" s="142" t="str">
        <f t="shared" si="38"/>
        <v/>
      </c>
      <c r="AE110" s="88"/>
      <c r="AF110" s="88"/>
      <c r="AG110" s="88"/>
      <c r="AH110" s="88"/>
      <c r="AI110" s="88"/>
      <c r="AJ110" s="88"/>
      <c r="AK110" s="88"/>
      <c r="AL110" s="88"/>
      <c r="AM110" s="88">
        <v>63.887384948565241</v>
      </c>
      <c r="AN110" s="88">
        <v>73.88</v>
      </c>
      <c r="AO110" s="89"/>
      <c r="AP110" s="90"/>
      <c r="AQ110" s="146" t="str">
        <f t="shared" si="39"/>
        <v/>
      </c>
      <c r="AR110" s="146" t="str">
        <f t="shared" si="40"/>
        <v/>
      </c>
      <c r="AS110" s="147"/>
      <c r="AT110" s="148"/>
      <c r="AU110" s="149"/>
      <c r="AV110" s="146" t="str">
        <f t="shared" si="41"/>
        <v/>
      </c>
      <c r="AW110" s="146" t="str">
        <f t="shared" si="42"/>
        <v/>
      </c>
      <c r="AX110" s="138" t="str">
        <f t="shared" si="43"/>
        <v/>
      </c>
      <c r="AY110" s="95"/>
      <c r="AZ110" s="96"/>
      <c r="BA110" s="96"/>
      <c r="BB110" s="96"/>
      <c r="BC110" s="96"/>
      <c r="BD110" s="97">
        <v>73.88</v>
      </c>
      <c r="BE110" s="142">
        <f t="shared" si="44"/>
        <v>8405</v>
      </c>
      <c r="BF110" s="98">
        <v>2183</v>
      </c>
      <c r="BG110" s="98">
        <v>0</v>
      </c>
      <c r="BH110" s="98">
        <v>0</v>
      </c>
      <c r="BI110" s="98">
        <v>6222</v>
      </c>
      <c r="BJ110" s="98"/>
      <c r="BK110" s="98"/>
      <c r="BL110" s="98"/>
    </row>
    <row r="111" spans="1:64" outlineLevel="5" x14ac:dyDescent="0.3">
      <c r="A111" s="152">
        <f t="shared" si="46"/>
        <v>3</v>
      </c>
      <c r="B111" s="153">
        <f t="shared" si="45"/>
        <v>45378</v>
      </c>
      <c r="C111" s="138">
        <f t="shared" si="35"/>
        <v>39</v>
      </c>
      <c r="D111" s="186"/>
      <c r="E111" s="186">
        <v>39</v>
      </c>
      <c r="F111" s="84"/>
      <c r="G111" s="84"/>
      <c r="H111" s="84"/>
      <c r="I111" s="84"/>
      <c r="J111" s="84"/>
      <c r="K111" s="84"/>
      <c r="L111" s="140" t="str">
        <f t="shared" si="36"/>
        <v/>
      </c>
      <c r="M111" s="187"/>
      <c r="N111" s="187"/>
      <c r="O111" s="86"/>
      <c r="P111" s="86"/>
      <c r="Q111" s="86"/>
      <c r="R111" s="86"/>
      <c r="S111" s="86"/>
      <c r="T111" s="86"/>
      <c r="U111" s="142" t="str">
        <f t="shared" si="37"/>
        <v/>
      </c>
      <c r="V111" s="188"/>
      <c r="W111" s="188"/>
      <c r="X111" s="88"/>
      <c r="Y111" s="88"/>
      <c r="Z111" s="88"/>
      <c r="AA111" s="88"/>
      <c r="AB111" s="88"/>
      <c r="AC111" s="88"/>
      <c r="AD111" s="142" t="str">
        <f t="shared" si="38"/>
        <v/>
      </c>
      <c r="AE111" s="88"/>
      <c r="AF111" s="88"/>
      <c r="AG111" s="88"/>
      <c r="AH111" s="88"/>
      <c r="AI111" s="88"/>
      <c r="AJ111" s="88"/>
      <c r="AK111" s="88"/>
      <c r="AL111" s="88"/>
      <c r="AM111" s="88">
        <v>74.167190446260207</v>
      </c>
      <c r="AN111" s="88">
        <v>63.64</v>
      </c>
      <c r="AO111" s="89"/>
      <c r="AP111" s="90"/>
      <c r="AQ111" s="146" t="str">
        <f t="shared" si="39"/>
        <v/>
      </c>
      <c r="AR111" s="146" t="str">
        <f t="shared" si="40"/>
        <v/>
      </c>
      <c r="AS111" s="147"/>
      <c r="AT111" s="148"/>
      <c r="AU111" s="149"/>
      <c r="AV111" s="146" t="str">
        <f t="shared" si="41"/>
        <v/>
      </c>
      <c r="AW111" s="146" t="str">
        <f t="shared" si="42"/>
        <v/>
      </c>
      <c r="AX111" s="138" t="str">
        <f t="shared" si="43"/>
        <v/>
      </c>
      <c r="AY111" s="95"/>
      <c r="AZ111" s="96">
        <v>60.215000000000003</v>
      </c>
      <c r="BA111" s="96"/>
      <c r="BB111" s="96">
        <v>44.5</v>
      </c>
      <c r="BC111" s="96"/>
      <c r="BD111" s="97">
        <v>63.64</v>
      </c>
      <c r="BE111" s="142">
        <f t="shared" si="44"/>
        <v>6920</v>
      </c>
      <c r="BF111" s="98">
        <v>372</v>
      </c>
      <c r="BG111" s="98">
        <v>0</v>
      </c>
      <c r="BH111" s="98">
        <v>188</v>
      </c>
      <c r="BI111" s="98">
        <v>6360</v>
      </c>
      <c r="BJ111" s="98"/>
      <c r="BK111" s="98"/>
      <c r="BL111" s="98"/>
    </row>
    <row r="112" spans="1:64" outlineLevel="5" x14ac:dyDescent="0.3">
      <c r="A112" s="152">
        <f t="shared" si="46"/>
        <v>3</v>
      </c>
      <c r="B112" s="153">
        <f t="shared" si="45"/>
        <v>45379</v>
      </c>
      <c r="C112" s="138">
        <f t="shared" si="35"/>
        <v>39</v>
      </c>
      <c r="D112" s="186"/>
      <c r="E112" s="186">
        <v>39</v>
      </c>
      <c r="F112" s="84"/>
      <c r="G112" s="84"/>
      <c r="H112" s="84"/>
      <c r="I112" s="84"/>
      <c r="J112" s="84"/>
      <c r="K112" s="84"/>
      <c r="L112" s="140">
        <f t="shared" si="36"/>
        <v>8.1</v>
      </c>
      <c r="M112" s="187"/>
      <c r="N112" s="187">
        <v>8.11</v>
      </c>
      <c r="O112" s="86"/>
      <c r="P112" s="86"/>
      <c r="Q112" s="86"/>
      <c r="R112" s="86"/>
      <c r="S112" s="86"/>
      <c r="T112" s="86"/>
      <c r="U112" s="142">
        <f t="shared" si="37"/>
        <v>1297.5</v>
      </c>
      <c r="V112" s="188"/>
      <c r="W112" s="188">
        <v>1297.5</v>
      </c>
      <c r="X112" s="88"/>
      <c r="Y112" s="88"/>
      <c r="Z112" s="88"/>
      <c r="AA112" s="88"/>
      <c r="AB112" s="88"/>
      <c r="AC112" s="88"/>
      <c r="AD112" s="142" t="str">
        <f t="shared" si="38"/>
        <v/>
      </c>
      <c r="AE112" s="88"/>
      <c r="AF112" s="88"/>
      <c r="AG112" s="88"/>
      <c r="AH112" s="88"/>
      <c r="AI112" s="88"/>
      <c r="AJ112" s="88"/>
      <c r="AK112" s="88"/>
      <c r="AL112" s="88"/>
      <c r="AM112" s="88">
        <v>47.040063783137334</v>
      </c>
      <c r="AN112" s="88">
        <v>100.34</v>
      </c>
      <c r="AO112" s="89"/>
      <c r="AP112" s="90"/>
      <c r="AQ112" s="146" t="str">
        <f t="shared" si="39"/>
        <v/>
      </c>
      <c r="AR112" s="146" t="str">
        <f t="shared" si="40"/>
        <v/>
      </c>
      <c r="AS112" s="147"/>
      <c r="AT112" s="148">
        <v>15.3</v>
      </c>
      <c r="AU112" s="149">
        <v>4.8271500000000005</v>
      </c>
      <c r="AV112" s="146">
        <f t="shared" si="41"/>
        <v>31.55</v>
      </c>
      <c r="AW112" s="146">
        <f t="shared" si="42"/>
        <v>68.45</v>
      </c>
      <c r="AX112" s="138" t="str">
        <f t="shared" si="43"/>
        <v/>
      </c>
      <c r="AY112" s="95">
        <v>72.2</v>
      </c>
      <c r="AZ112" s="96">
        <v>63.22</v>
      </c>
      <c r="BA112" s="96"/>
      <c r="BB112" s="96">
        <v>55</v>
      </c>
      <c r="BC112" s="96"/>
      <c r="BD112" s="97">
        <v>100.34</v>
      </c>
      <c r="BE112" s="142">
        <f t="shared" si="44"/>
        <v>9265</v>
      </c>
      <c r="BF112" s="98">
        <v>0</v>
      </c>
      <c r="BG112" s="98">
        <v>0</v>
      </c>
      <c r="BH112" s="98">
        <v>2844</v>
      </c>
      <c r="BI112" s="98">
        <v>6421</v>
      </c>
      <c r="BJ112" s="98"/>
      <c r="BK112" s="98"/>
      <c r="BL112" s="98"/>
    </row>
    <row r="113" spans="1:64" outlineLevel="5" x14ac:dyDescent="0.3">
      <c r="A113" s="152">
        <f t="shared" si="46"/>
        <v>3</v>
      </c>
      <c r="B113" s="153">
        <f t="shared" si="45"/>
        <v>45380</v>
      </c>
      <c r="C113" s="138" t="str">
        <f t="shared" si="35"/>
        <v/>
      </c>
      <c r="D113" s="186"/>
      <c r="E113" s="186"/>
      <c r="F113" s="84"/>
      <c r="G113" s="84"/>
      <c r="H113" s="84"/>
      <c r="I113" s="84"/>
      <c r="J113" s="84"/>
      <c r="K113" s="84"/>
      <c r="L113" s="140" t="str">
        <f t="shared" si="36"/>
        <v/>
      </c>
      <c r="M113" s="187"/>
      <c r="N113" s="187"/>
      <c r="O113" s="86"/>
      <c r="P113" s="86"/>
      <c r="Q113" s="86"/>
      <c r="R113" s="86"/>
      <c r="S113" s="86"/>
      <c r="T113" s="86"/>
      <c r="U113" s="142" t="str">
        <f t="shared" si="37"/>
        <v/>
      </c>
      <c r="V113" s="188"/>
      <c r="W113" s="188"/>
      <c r="X113" s="88"/>
      <c r="Y113" s="88"/>
      <c r="Z113" s="88"/>
      <c r="AA113" s="88"/>
      <c r="AB113" s="88"/>
      <c r="AC113" s="88"/>
      <c r="AD113" s="142" t="str">
        <f t="shared" si="38"/>
        <v/>
      </c>
      <c r="AE113" s="88"/>
      <c r="AF113" s="88"/>
      <c r="AG113" s="88"/>
      <c r="AH113" s="88"/>
      <c r="AI113" s="88"/>
      <c r="AJ113" s="88"/>
      <c r="AK113" s="88"/>
      <c r="AL113" s="88"/>
      <c r="AM113" s="88">
        <v>64.852981588348442</v>
      </c>
      <c r="AN113" s="88">
        <v>72.78</v>
      </c>
      <c r="AO113" s="89"/>
      <c r="AP113" s="90"/>
      <c r="AQ113" s="146" t="str">
        <f t="shared" si="39"/>
        <v/>
      </c>
      <c r="AR113" s="146" t="str">
        <f t="shared" si="40"/>
        <v/>
      </c>
      <c r="AS113" s="147"/>
      <c r="AT113" s="148"/>
      <c r="AU113" s="149"/>
      <c r="AV113" s="146" t="str">
        <f t="shared" si="41"/>
        <v/>
      </c>
      <c r="AW113" s="146" t="str">
        <f t="shared" si="42"/>
        <v/>
      </c>
      <c r="AX113" s="138" t="str">
        <f t="shared" si="43"/>
        <v/>
      </c>
      <c r="AY113" s="95"/>
      <c r="AZ113" s="96">
        <v>60.739999999999995</v>
      </c>
      <c r="BA113" s="96"/>
      <c r="BB113" s="96">
        <v>64.5</v>
      </c>
      <c r="BC113" s="96"/>
      <c r="BD113" s="97">
        <v>72.78</v>
      </c>
      <c r="BE113" s="142">
        <f t="shared" si="44"/>
        <v>9294</v>
      </c>
      <c r="BF113" s="98">
        <v>2088</v>
      </c>
      <c r="BG113" s="98">
        <v>0</v>
      </c>
      <c r="BH113" s="98">
        <v>694</v>
      </c>
      <c r="BI113" s="98">
        <v>6512</v>
      </c>
      <c r="BJ113" s="98"/>
      <c r="BK113" s="98"/>
      <c r="BL113" s="98"/>
    </row>
    <row r="114" spans="1:64" outlineLevel="5" x14ac:dyDescent="0.3">
      <c r="A114" s="152">
        <f t="shared" si="46"/>
        <v>3</v>
      </c>
      <c r="B114" s="153">
        <f t="shared" si="45"/>
        <v>45381</v>
      </c>
      <c r="C114" s="138" t="str">
        <f t="shared" si="35"/>
        <v/>
      </c>
      <c r="D114" s="186"/>
      <c r="E114" s="186"/>
      <c r="F114" s="84"/>
      <c r="G114" s="84"/>
      <c r="H114" s="84"/>
      <c r="I114" s="84"/>
      <c r="J114" s="84"/>
      <c r="K114" s="84"/>
      <c r="L114" s="140" t="str">
        <f t="shared" si="36"/>
        <v/>
      </c>
      <c r="M114" s="187"/>
      <c r="N114" s="187"/>
      <c r="O114" s="86"/>
      <c r="P114" s="86"/>
      <c r="Q114" s="86"/>
      <c r="R114" s="86"/>
      <c r="S114" s="86"/>
      <c r="T114" s="86"/>
      <c r="U114" s="142" t="str">
        <f t="shared" si="37"/>
        <v/>
      </c>
      <c r="V114" s="188"/>
      <c r="W114" s="188"/>
      <c r="X114" s="88"/>
      <c r="Y114" s="88"/>
      <c r="Z114" s="88"/>
      <c r="AA114" s="88"/>
      <c r="AB114" s="88"/>
      <c r="AC114" s="88"/>
      <c r="AD114" s="142" t="str">
        <f t="shared" si="38"/>
        <v/>
      </c>
      <c r="AE114" s="88"/>
      <c r="AF114" s="88"/>
      <c r="AG114" s="88"/>
      <c r="AH114" s="88"/>
      <c r="AI114" s="88"/>
      <c r="AJ114" s="88"/>
      <c r="AK114" s="88"/>
      <c r="AL114" s="88"/>
      <c r="AM114" s="88">
        <v>78.732276897414508</v>
      </c>
      <c r="AN114" s="88">
        <v>59.95</v>
      </c>
      <c r="AO114" s="89"/>
      <c r="AP114" s="90"/>
      <c r="AQ114" s="146" t="str">
        <f t="shared" si="39"/>
        <v/>
      </c>
      <c r="AR114" s="146" t="str">
        <f t="shared" si="40"/>
        <v/>
      </c>
      <c r="AS114" s="147"/>
      <c r="AT114" s="148"/>
      <c r="AU114" s="149"/>
      <c r="AV114" s="146" t="str">
        <f t="shared" si="41"/>
        <v/>
      </c>
      <c r="AW114" s="146" t="str">
        <f t="shared" si="42"/>
        <v/>
      </c>
      <c r="AX114" s="138" t="str">
        <f t="shared" si="43"/>
        <v/>
      </c>
      <c r="AY114" s="95"/>
      <c r="AZ114" s="96"/>
      <c r="BA114" s="96"/>
      <c r="BB114" s="96"/>
      <c r="BC114" s="96"/>
      <c r="BD114" s="97">
        <v>59.95</v>
      </c>
      <c r="BE114" s="142">
        <f t="shared" si="44"/>
        <v>6742</v>
      </c>
      <c r="BF114" s="98">
        <v>712</v>
      </c>
      <c r="BG114" s="98">
        <v>0</v>
      </c>
      <c r="BH114" s="98">
        <v>0</v>
      </c>
      <c r="BI114" s="98">
        <v>6030</v>
      </c>
      <c r="BJ114" s="98"/>
      <c r="BK114" s="98"/>
      <c r="BL114" s="98"/>
    </row>
    <row r="115" spans="1:64" ht="17.25" outlineLevel="5" thickBot="1" x14ac:dyDescent="0.35">
      <c r="A115" s="154">
        <f t="shared" si="46"/>
        <v>3</v>
      </c>
      <c r="B115" s="155">
        <f t="shared" si="45"/>
        <v>45382</v>
      </c>
      <c r="C115" s="138" t="str">
        <f t="shared" si="35"/>
        <v/>
      </c>
      <c r="D115" s="186"/>
      <c r="E115" s="186"/>
      <c r="F115" s="84"/>
      <c r="G115" s="84"/>
      <c r="H115" s="84"/>
      <c r="I115" s="84"/>
      <c r="J115" s="84"/>
      <c r="K115" s="84"/>
      <c r="L115" s="140" t="str">
        <f t="shared" si="36"/>
        <v/>
      </c>
      <c r="M115" s="187"/>
      <c r="N115" s="187"/>
      <c r="O115" s="86"/>
      <c r="P115" s="86"/>
      <c r="Q115" s="86"/>
      <c r="R115" s="86"/>
      <c r="S115" s="86"/>
      <c r="T115" s="86"/>
      <c r="U115" s="142" t="str">
        <f t="shared" si="37"/>
        <v/>
      </c>
      <c r="V115" s="188"/>
      <c r="W115" s="188"/>
      <c r="X115" s="88"/>
      <c r="Y115" s="88"/>
      <c r="Z115" s="88"/>
      <c r="AA115" s="88"/>
      <c r="AB115" s="88"/>
      <c r="AC115" s="88"/>
      <c r="AD115" s="142" t="str">
        <f t="shared" si="38"/>
        <v/>
      </c>
      <c r="AE115" s="88"/>
      <c r="AF115" s="88"/>
      <c r="AG115" s="88"/>
      <c r="AH115" s="88"/>
      <c r="AI115" s="88"/>
      <c r="AJ115" s="88"/>
      <c r="AK115" s="88"/>
      <c r="AL115" s="88"/>
      <c r="AM115" s="88">
        <v>78.666666666666671</v>
      </c>
      <c r="AN115" s="88">
        <v>60</v>
      </c>
      <c r="AO115" s="89"/>
      <c r="AP115" s="90"/>
      <c r="AQ115" s="146" t="str">
        <f t="shared" si="39"/>
        <v/>
      </c>
      <c r="AR115" s="146" t="str">
        <f t="shared" si="40"/>
        <v/>
      </c>
      <c r="AS115" s="147"/>
      <c r="AT115" s="148"/>
      <c r="AU115" s="149"/>
      <c r="AV115" s="146" t="str">
        <f t="shared" si="41"/>
        <v/>
      </c>
      <c r="AW115" s="146" t="str">
        <f t="shared" si="42"/>
        <v/>
      </c>
      <c r="AX115" s="138" t="str">
        <f t="shared" si="43"/>
        <v/>
      </c>
      <c r="AY115" s="95"/>
      <c r="AZ115" s="96"/>
      <c r="BA115" s="96"/>
      <c r="BB115" s="96"/>
      <c r="BC115" s="96"/>
      <c r="BD115" s="97">
        <v>60</v>
      </c>
      <c r="BE115" s="142">
        <f t="shared" si="44"/>
        <v>5639</v>
      </c>
      <c r="BF115" s="98">
        <v>0</v>
      </c>
      <c r="BG115" s="98">
        <v>0</v>
      </c>
      <c r="BH115" s="98">
        <v>0</v>
      </c>
      <c r="BI115" s="98">
        <v>5639</v>
      </c>
      <c r="BJ115" s="98"/>
      <c r="BK115" s="98"/>
      <c r="BL115" s="98"/>
    </row>
    <row r="116" spans="1:64" outlineLevel="4" x14ac:dyDescent="0.3">
      <c r="A116" s="63" t="s">
        <v>65</v>
      </c>
      <c r="B116" s="64"/>
      <c r="C116" s="65">
        <f t="shared" ref="C116:BL116" si="47">SUBTOTAL(4,C85:C115)</f>
        <v>39</v>
      </c>
      <c r="D116" s="66">
        <f t="shared" si="47"/>
        <v>39</v>
      </c>
      <c r="E116" s="66">
        <f t="shared" si="47"/>
        <v>39</v>
      </c>
      <c r="F116" s="66">
        <f t="shared" si="47"/>
        <v>0</v>
      </c>
      <c r="G116" s="66">
        <f t="shared" si="47"/>
        <v>0</v>
      </c>
      <c r="H116" s="66">
        <f t="shared" si="47"/>
        <v>0</v>
      </c>
      <c r="I116" s="66">
        <f t="shared" si="47"/>
        <v>0</v>
      </c>
      <c r="J116" s="66">
        <f t="shared" si="47"/>
        <v>0</v>
      </c>
      <c r="K116" s="66">
        <f t="shared" si="47"/>
        <v>0</v>
      </c>
      <c r="L116" s="67">
        <f t="shared" si="47"/>
        <v>8.3000000000000007</v>
      </c>
      <c r="M116" s="68">
        <f t="shared" si="47"/>
        <v>8.26</v>
      </c>
      <c r="N116" s="68">
        <f t="shared" si="47"/>
        <v>8.32</v>
      </c>
      <c r="O116" s="68">
        <f t="shared" si="47"/>
        <v>0</v>
      </c>
      <c r="P116" s="68">
        <f t="shared" si="47"/>
        <v>0</v>
      </c>
      <c r="Q116" s="68">
        <f t="shared" si="47"/>
        <v>0</v>
      </c>
      <c r="R116" s="68">
        <f t="shared" si="47"/>
        <v>0</v>
      </c>
      <c r="S116" s="68">
        <f t="shared" si="47"/>
        <v>0</v>
      </c>
      <c r="T116" s="68">
        <f t="shared" si="47"/>
        <v>0</v>
      </c>
      <c r="U116" s="69">
        <f t="shared" si="47"/>
        <v>1357</v>
      </c>
      <c r="V116" s="70">
        <f t="shared" si="47"/>
        <v>1416.4</v>
      </c>
      <c r="W116" s="70">
        <f t="shared" si="47"/>
        <v>1297.5</v>
      </c>
      <c r="X116" s="70">
        <f t="shared" si="47"/>
        <v>0</v>
      </c>
      <c r="Y116" s="70">
        <f t="shared" si="47"/>
        <v>0</v>
      </c>
      <c r="Z116" s="70">
        <f t="shared" si="47"/>
        <v>0</v>
      </c>
      <c r="AA116" s="70">
        <f t="shared" si="47"/>
        <v>0</v>
      </c>
      <c r="AB116" s="70">
        <f t="shared" si="47"/>
        <v>0</v>
      </c>
      <c r="AC116" s="70">
        <f t="shared" si="47"/>
        <v>0</v>
      </c>
      <c r="AD116" s="69">
        <f t="shared" si="47"/>
        <v>0</v>
      </c>
      <c r="AE116" s="70">
        <f t="shared" si="47"/>
        <v>0</v>
      </c>
      <c r="AF116" s="70">
        <f t="shared" si="47"/>
        <v>0</v>
      </c>
      <c r="AG116" s="70">
        <f t="shared" si="47"/>
        <v>0</v>
      </c>
      <c r="AH116" s="70">
        <f t="shared" si="47"/>
        <v>0</v>
      </c>
      <c r="AI116" s="70">
        <f t="shared" si="47"/>
        <v>0</v>
      </c>
      <c r="AJ116" s="70">
        <f t="shared" si="47"/>
        <v>0</v>
      </c>
      <c r="AK116" s="70">
        <f t="shared" si="47"/>
        <v>0</v>
      </c>
      <c r="AL116" s="70">
        <f t="shared" si="47"/>
        <v>0</v>
      </c>
      <c r="AM116" s="70">
        <f t="shared" si="47"/>
        <v>98.108501351070458</v>
      </c>
      <c r="AN116" s="70">
        <f t="shared" si="47"/>
        <v>110</v>
      </c>
      <c r="AO116" s="71">
        <f t="shared" si="47"/>
        <v>25.1</v>
      </c>
      <c r="AP116" s="72">
        <f t="shared" si="47"/>
        <v>20.8</v>
      </c>
      <c r="AQ116" s="73">
        <f t="shared" si="47"/>
        <v>86.842105263157904</v>
      </c>
      <c r="AR116" s="73">
        <f t="shared" si="47"/>
        <v>33.936651583710415</v>
      </c>
      <c r="AS116" s="74">
        <f t="shared" si="47"/>
        <v>0</v>
      </c>
      <c r="AT116" s="75">
        <f t="shared" si="47"/>
        <v>15.3</v>
      </c>
      <c r="AU116" s="76">
        <f t="shared" si="47"/>
        <v>8.0168999999999997</v>
      </c>
      <c r="AV116" s="73">
        <f t="shared" si="47"/>
        <v>58.304727272727277</v>
      </c>
      <c r="AW116" s="73">
        <f t="shared" si="47"/>
        <v>68.45</v>
      </c>
      <c r="AX116" s="65">
        <f t="shared" si="47"/>
        <v>79.350931483977476</v>
      </c>
      <c r="AY116" s="77">
        <f t="shared" si="47"/>
        <v>79.150000000000006</v>
      </c>
      <c r="AZ116" s="78">
        <f t="shared" si="47"/>
        <v>63.944999999999993</v>
      </c>
      <c r="BA116" s="78">
        <f t="shared" si="47"/>
        <v>0</v>
      </c>
      <c r="BB116" s="78">
        <f t="shared" si="47"/>
        <v>122</v>
      </c>
      <c r="BC116" s="78">
        <f t="shared" si="47"/>
        <v>0</v>
      </c>
      <c r="BD116" s="79">
        <f t="shared" si="47"/>
        <v>110</v>
      </c>
      <c r="BE116" s="69">
        <f t="shared" si="47"/>
        <v>11181</v>
      </c>
      <c r="BF116" s="70">
        <f t="shared" si="47"/>
        <v>2505</v>
      </c>
      <c r="BG116" s="80">
        <f t="shared" si="47"/>
        <v>0</v>
      </c>
      <c r="BH116" s="80">
        <f t="shared" si="47"/>
        <v>5181</v>
      </c>
      <c r="BI116" s="80">
        <f t="shared" si="47"/>
        <v>6552</v>
      </c>
      <c r="BJ116" s="80">
        <f t="shared" si="47"/>
        <v>0</v>
      </c>
      <c r="BK116" s="80">
        <f t="shared" si="47"/>
        <v>0</v>
      </c>
      <c r="BL116" s="79">
        <f t="shared" si="47"/>
        <v>0</v>
      </c>
    </row>
    <row r="117" spans="1:64" outlineLevel="3" x14ac:dyDescent="0.3">
      <c r="A117" s="81" t="s">
        <v>66</v>
      </c>
      <c r="B117" s="82"/>
      <c r="C117" s="83">
        <f t="shared" ref="C117:BL117" si="48">SUBTOTAL(5,C85:C115)</f>
        <v>35.5</v>
      </c>
      <c r="D117" s="84">
        <f t="shared" si="48"/>
        <v>35.5</v>
      </c>
      <c r="E117" s="84">
        <f t="shared" si="48"/>
        <v>35.5</v>
      </c>
      <c r="F117" s="84">
        <f t="shared" si="48"/>
        <v>0</v>
      </c>
      <c r="G117" s="84">
        <f t="shared" si="48"/>
        <v>0</v>
      </c>
      <c r="H117" s="84">
        <f t="shared" si="48"/>
        <v>0</v>
      </c>
      <c r="I117" s="84">
        <f t="shared" si="48"/>
        <v>0</v>
      </c>
      <c r="J117" s="84">
        <f t="shared" si="48"/>
        <v>0</v>
      </c>
      <c r="K117" s="84">
        <f t="shared" si="48"/>
        <v>0</v>
      </c>
      <c r="L117" s="85">
        <f t="shared" si="48"/>
        <v>8.1</v>
      </c>
      <c r="M117" s="86">
        <f t="shared" si="48"/>
        <v>8.06</v>
      </c>
      <c r="N117" s="86">
        <f t="shared" si="48"/>
        <v>8.11</v>
      </c>
      <c r="O117" s="86">
        <f t="shared" si="48"/>
        <v>0</v>
      </c>
      <c r="P117" s="86">
        <f t="shared" si="48"/>
        <v>0</v>
      </c>
      <c r="Q117" s="86">
        <f t="shared" si="48"/>
        <v>0</v>
      </c>
      <c r="R117" s="86">
        <f t="shared" si="48"/>
        <v>0</v>
      </c>
      <c r="S117" s="86">
        <f t="shared" si="48"/>
        <v>0</v>
      </c>
      <c r="T117" s="86">
        <f t="shared" si="48"/>
        <v>0</v>
      </c>
      <c r="U117" s="87">
        <f t="shared" si="48"/>
        <v>816.4</v>
      </c>
      <c r="V117" s="88">
        <f t="shared" si="48"/>
        <v>865</v>
      </c>
      <c r="W117" s="88">
        <f t="shared" si="48"/>
        <v>767.7</v>
      </c>
      <c r="X117" s="88">
        <f t="shared" si="48"/>
        <v>0</v>
      </c>
      <c r="Y117" s="88">
        <f t="shared" si="48"/>
        <v>0</v>
      </c>
      <c r="Z117" s="88">
        <f t="shared" si="48"/>
        <v>0</v>
      </c>
      <c r="AA117" s="88">
        <f t="shared" si="48"/>
        <v>0</v>
      </c>
      <c r="AB117" s="88">
        <f t="shared" si="48"/>
        <v>0</v>
      </c>
      <c r="AC117" s="88">
        <f t="shared" si="48"/>
        <v>0</v>
      </c>
      <c r="AD117" s="87">
        <f t="shared" si="48"/>
        <v>0</v>
      </c>
      <c r="AE117" s="88">
        <f t="shared" si="48"/>
        <v>0</v>
      </c>
      <c r="AF117" s="88">
        <f t="shared" si="48"/>
        <v>0</v>
      </c>
      <c r="AG117" s="88">
        <f t="shared" si="48"/>
        <v>0</v>
      </c>
      <c r="AH117" s="88">
        <f t="shared" si="48"/>
        <v>0</v>
      </c>
      <c r="AI117" s="88">
        <f t="shared" si="48"/>
        <v>0</v>
      </c>
      <c r="AJ117" s="88">
        <f t="shared" si="48"/>
        <v>0</v>
      </c>
      <c r="AK117" s="88">
        <f t="shared" si="48"/>
        <v>0</v>
      </c>
      <c r="AL117" s="88">
        <f t="shared" si="48"/>
        <v>0</v>
      </c>
      <c r="AM117" s="88">
        <f t="shared" si="48"/>
        <v>42.909090909090907</v>
      </c>
      <c r="AN117" s="88">
        <f t="shared" si="48"/>
        <v>48.11</v>
      </c>
      <c r="AO117" s="89">
        <f t="shared" si="48"/>
        <v>17.2</v>
      </c>
      <c r="AP117" s="90">
        <f t="shared" si="48"/>
        <v>13.5</v>
      </c>
      <c r="AQ117" s="91">
        <f t="shared" si="48"/>
        <v>66.063348416289585</v>
      </c>
      <c r="AR117" s="91">
        <f t="shared" si="48"/>
        <v>13.157894736842096</v>
      </c>
      <c r="AS117" s="92">
        <f t="shared" si="48"/>
        <v>0</v>
      </c>
      <c r="AT117" s="93">
        <f t="shared" si="48"/>
        <v>12.85</v>
      </c>
      <c r="AU117" s="94">
        <f t="shared" si="48"/>
        <v>4.8271500000000005</v>
      </c>
      <c r="AV117" s="91">
        <f t="shared" si="48"/>
        <v>31.55</v>
      </c>
      <c r="AW117" s="91">
        <f t="shared" si="48"/>
        <v>41.695272727272723</v>
      </c>
      <c r="AX117" s="83">
        <f t="shared" si="48"/>
        <v>49.312978117481961</v>
      </c>
      <c r="AY117" s="95">
        <f t="shared" si="48"/>
        <v>72.2</v>
      </c>
      <c r="AZ117" s="96">
        <f t="shared" si="48"/>
        <v>60.215000000000003</v>
      </c>
      <c r="BA117" s="96">
        <f t="shared" si="48"/>
        <v>0</v>
      </c>
      <c r="BB117" s="96">
        <f t="shared" si="48"/>
        <v>44.5</v>
      </c>
      <c r="BC117" s="96">
        <f t="shared" si="48"/>
        <v>0</v>
      </c>
      <c r="BD117" s="97">
        <f t="shared" si="48"/>
        <v>48.11</v>
      </c>
      <c r="BE117" s="87">
        <f t="shared" si="48"/>
        <v>5477</v>
      </c>
      <c r="BF117" s="88">
        <f t="shared" si="48"/>
        <v>0</v>
      </c>
      <c r="BG117" s="98">
        <f t="shared" si="48"/>
        <v>0</v>
      </c>
      <c r="BH117" s="98">
        <f t="shared" si="48"/>
        <v>0</v>
      </c>
      <c r="BI117" s="98">
        <f t="shared" si="48"/>
        <v>3072</v>
      </c>
      <c r="BJ117" s="98">
        <f t="shared" si="48"/>
        <v>0</v>
      </c>
      <c r="BK117" s="98">
        <f t="shared" si="48"/>
        <v>0</v>
      </c>
      <c r="BL117" s="97">
        <f t="shared" si="48"/>
        <v>0</v>
      </c>
    </row>
    <row r="118" spans="1:64" outlineLevel="2" x14ac:dyDescent="0.3">
      <c r="A118" s="81" t="s">
        <v>67</v>
      </c>
      <c r="B118" s="82"/>
      <c r="C118" s="83">
        <f t="shared" ref="C118:BL118" si="49">IFERROR(SUBTOTAL(1,C85:C115),"")</f>
        <v>37.675000000000004</v>
      </c>
      <c r="D118" s="84">
        <f t="shared" si="49"/>
        <v>37.49</v>
      </c>
      <c r="E118" s="84">
        <f t="shared" si="49"/>
        <v>37.583333333333336</v>
      </c>
      <c r="F118" s="84" t="str">
        <f t="shared" si="49"/>
        <v/>
      </c>
      <c r="G118" s="84" t="str">
        <f t="shared" si="49"/>
        <v/>
      </c>
      <c r="H118" s="84" t="str">
        <f t="shared" si="49"/>
        <v/>
      </c>
      <c r="I118" s="84" t="str">
        <f t="shared" si="49"/>
        <v/>
      </c>
      <c r="J118" s="84" t="str">
        <f t="shared" si="49"/>
        <v/>
      </c>
      <c r="K118" s="84" t="str">
        <f t="shared" si="49"/>
        <v/>
      </c>
      <c r="L118" s="85">
        <f t="shared" si="49"/>
        <v>8.1545454545454543</v>
      </c>
      <c r="M118" s="86">
        <f t="shared" si="49"/>
        <v>8.1269999999999989</v>
      </c>
      <c r="N118" s="86">
        <f t="shared" si="49"/>
        <v>8.1945454545454552</v>
      </c>
      <c r="O118" s="86" t="str">
        <f t="shared" si="49"/>
        <v/>
      </c>
      <c r="P118" s="86" t="str">
        <f t="shared" si="49"/>
        <v/>
      </c>
      <c r="Q118" s="86" t="str">
        <f t="shared" si="49"/>
        <v/>
      </c>
      <c r="R118" s="86" t="str">
        <f t="shared" si="49"/>
        <v/>
      </c>
      <c r="S118" s="86" t="str">
        <f t="shared" si="49"/>
        <v/>
      </c>
      <c r="T118" s="86" t="str">
        <f t="shared" si="49"/>
        <v/>
      </c>
      <c r="U118" s="87">
        <f t="shared" si="49"/>
        <v>1125.0090909090907</v>
      </c>
      <c r="V118" s="88">
        <f t="shared" si="49"/>
        <v>1147.1899999999998</v>
      </c>
      <c r="W118" s="88">
        <f t="shared" si="49"/>
        <v>1089.1181818181819</v>
      </c>
      <c r="X118" s="88" t="str">
        <f t="shared" si="49"/>
        <v/>
      </c>
      <c r="Y118" s="88" t="str">
        <f t="shared" si="49"/>
        <v/>
      </c>
      <c r="Z118" s="88" t="str">
        <f t="shared" si="49"/>
        <v/>
      </c>
      <c r="AA118" s="88" t="str">
        <f t="shared" si="49"/>
        <v/>
      </c>
      <c r="AB118" s="88" t="str">
        <f t="shared" si="49"/>
        <v/>
      </c>
      <c r="AC118" s="88" t="str">
        <f t="shared" si="49"/>
        <v/>
      </c>
      <c r="AD118" s="87" t="str">
        <f t="shared" si="49"/>
        <v/>
      </c>
      <c r="AE118" s="88" t="str">
        <f t="shared" si="49"/>
        <v/>
      </c>
      <c r="AF118" s="88" t="str">
        <f t="shared" si="49"/>
        <v/>
      </c>
      <c r="AG118" s="88" t="str">
        <f t="shared" si="49"/>
        <v/>
      </c>
      <c r="AH118" s="88" t="str">
        <f t="shared" si="49"/>
        <v/>
      </c>
      <c r="AI118" s="88" t="str">
        <f t="shared" si="49"/>
        <v/>
      </c>
      <c r="AJ118" s="88" t="str">
        <f t="shared" si="49"/>
        <v/>
      </c>
      <c r="AK118" s="88" t="str">
        <f t="shared" si="49"/>
        <v/>
      </c>
      <c r="AL118" s="88" t="str">
        <f t="shared" si="49"/>
        <v/>
      </c>
      <c r="AM118" s="88">
        <f t="shared" si="49"/>
        <v>67.410012657125193</v>
      </c>
      <c r="AN118" s="88">
        <f t="shared" si="49"/>
        <v>74.144193548387094</v>
      </c>
      <c r="AO118" s="89">
        <f t="shared" si="49"/>
        <v>20.774999999999999</v>
      </c>
      <c r="AP118" s="90">
        <f t="shared" si="49"/>
        <v>16.39</v>
      </c>
      <c r="AQ118" s="91">
        <f t="shared" si="49"/>
        <v>79.051964420449437</v>
      </c>
      <c r="AR118" s="91">
        <f t="shared" si="49"/>
        <v>20.948035579550563</v>
      </c>
      <c r="AS118" s="92" t="str">
        <f t="shared" si="49"/>
        <v/>
      </c>
      <c r="AT118" s="93">
        <f t="shared" si="49"/>
        <v>13.995454545454548</v>
      </c>
      <c r="AU118" s="94">
        <f t="shared" si="49"/>
        <v>7.3217772727272736</v>
      </c>
      <c r="AV118" s="91">
        <f t="shared" si="49"/>
        <v>52.582858937389055</v>
      </c>
      <c r="AW118" s="91">
        <f t="shared" si="49"/>
        <v>47.417141062610945</v>
      </c>
      <c r="AX118" s="83">
        <f t="shared" si="49"/>
        <v>67.917762839955444</v>
      </c>
      <c r="AY118" s="95">
        <f t="shared" si="49"/>
        <v>76.199999999999989</v>
      </c>
      <c r="AZ118" s="96">
        <f t="shared" si="49"/>
        <v>61.760714285714293</v>
      </c>
      <c r="BA118" s="96" t="str">
        <f t="shared" si="49"/>
        <v/>
      </c>
      <c r="BB118" s="96">
        <f t="shared" si="49"/>
        <v>81.464285714285708</v>
      </c>
      <c r="BC118" s="96" t="str">
        <f t="shared" si="49"/>
        <v/>
      </c>
      <c r="BD118" s="97">
        <f>IFERROR(SUBTOTAL(1,BD85:BD115),"")</f>
        <v>74.144193548387094</v>
      </c>
      <c r="BE118" s="87">
        <f t="shared" si="49"/>
        <v>7932.5806451612907</v>
      </c>
      <c r="BF118" s="88">
        <f t="shared" si="49"/>
        <v>997.74193548387098</v>
      </c>
      <c r="BG118" s="98">
        <f t="shared" si="49"/>
        <v>0</v>
      </c>
      <c r="BH118" s="98">
        <f t="shared" si="49"/>
        <v>1159.741935483871</v>
      </c>
      <c r="BI118" s="98">
        <f t="shared" si="49"/>
        <v>5775.0967741935483</v>
      </c>
      <c r="BJ118" s="98" t="str">
        <f t="shared" si="49"/>
        <v/>
      </c>
      <c r="BK118" s="98" t="str">
        <f t="shared" si="49"/>
        <v/>
      </c>
      <c r="BL118" s="97" t="str">
        <f t="shared" si="49"/>
        <v/>
      </c>
    </row>
    <row r="119" spans="1:64" ht="17.25" outlineLevel="1" thickBot="1" x14ac:dyDescent="0.35">
      <c r="A119" s="99" t="s">
        <v>68</v>
      </c>
      <c r="B119" s="100"/>
      <c r="C119" s="101"/>
      <c r="D119" s="102"/>
      <c r="E119" s="102"/>
      <c r="F119" s="102"/>
      <c r="G119" s="102"/>
      <c r="H119" s="102"/>
      <c r="I119" s="102"/>
      <c r="J119" s="102"/>
      <c r="K119" s="102"/>
      <c r="L119" s="103"/>
      <c r="M119" s="104"/>
      <c r="N119" s="104"/>
      <c r="O119" s="104"/>
      <c r="P119" s="104"/>
      <c r="Q119" s="104"/>
      <c r="R119" s="104"/>
      <c r="S119" s="104"/>
      <c r="T119" s="104"/>
      <c r="U119" s="105"/>
      <c r="V119" s="106"/>
      <c r="W119" s="106"/>
      <c r="X119" s="106"/>
      <c r="Y119" s="106"/>
      <c r="Z119" s="106"/>
      <c r="AA119" s="106"/>
      <c r="AB119" s="106"/>
      <c r="AC119" s="106"/>
      <c r="AD119" s="105"/>
      <c r="AE119" s="106"/>
      <c r="AF119" s="106"/>
      <c r="AG119" s="106"/>
      <c r="AH119" s="106"/>
      <c r="AI119" s="106"/>
      <c r="AJ119" s="106"/>
      <c r="AK119" s="106"/>
      <c r="AL119" s="106"/>
      <c r="AM119" s="106"/>
      <c r="AN119" s="107">
        <f>SUBTOTAL(9,AN85:AN115)</f>
        <v>2298.4699999999998</v>
      </c>
      <c r="AO119" s="108"/>
      <c r="AP119" s="109"/>
      <c r="AQ119" s="110"/>
      <c r="AR119" s="110"/>
      <c r="AS119" s="111">
        <f>SUBTOTAL(9,AS85:AS115)</f>
        <v>0</v>
      </c>
      <c r="AT119" s="112"/>
      <c r="AU119" s="113"/>
      <c r="AV119" s="110"/>
      <c r="AW119" s="110"/>
      <c r="AX119" s="101"/>
      <c r="AY119" s="114"/>
      <c r="AZ119" s="115"/>
      <c r="BA119" s="115"/>
      <c r="BB119" s="115"/>
      <c r="BC119" s="115"/>
      <c r="BD119" s="116">
        <f>SUBTOTAL(9,BD85:BD115)</f>
        <v>2298.4699999999998</v>
      </c>
      <c r="BE119" s="117">
        <f t="shared" ref="BE119:BL119" si="50">SUBTOTAL(9,BE85:BE115)</f>
        <v>245910</v>
      </c>
      <c r="BF119" s="107">
        <f t="shared" si="50"/>
        <v>30930</v>
      </c>
      <c r="BG119" s="118">
        <f t="shared" si="50"/>
        <v>0</v>
      </c>
      <c r="BH119" s="118">
        <f t="shared" si="50"/>
        <v>35952</v>
      </c>
      <c r="BI119" s="118">
        <f t="shared" si="50"/>
        <v>179028</v>
      </c>
      <c r="BJ119" s="118">
        <f t="shared" si="50"/>
        <v>0</v>
      </c>
      <c r="BK119" s="118">
        <f t="shared" si="50"/>
        <v>0</v>
      </c>
      <c r="BL119" s="116">
        <f t="shared" si="50"/>
        <v>0</v>
      </c>
    </row>
    <row r="120" spans="1:64" outlineLevel="5" x14ac:dyDescent="0.3">
      <c r="A120" s="136">
        <f t="shared" si="46"/>
        <v>4</v>
      </c>
      <c r="B120" s="165">
        <f>B115+1</f>
        <v>45383</v>
      </c>
      <c r="C120" s="138">
        <f t="shared" ref="C120:C149" si="51">IFERROR(ROUND(AVERAGE(D120:K120),1),"")</f>
        <v>38</v>
      </c>
      <c r="D120" s="186">
        <v>38</v>
      </c>
      <c r="E120" s="186">
        <v>38</v>
      </c>
      <c r="F120" s="84"/>
      <c r="G120" s="84"/>
      <c r="H120" s="84"/>
      <c r="I120" s="84"/>
      <c r="J120" s="84"/>
      <c r="K120" s="84"/>
      <c r="L120" s="140">
        <f t="shared" ref="L120:L149" si="52">IFERROR(ROUND(AVERAGE(M120:T120),1),"")</f>
        <v>8.1999999999999993</v>
      </c>
      <c r="M120" s="187">
        <v>8.1300000000000008</v>
      </c>
      <c r="N120" s="187">
        <v>8.1999999999999993</v>
      </c>
      <c r="O120" s="86"/>
      <c r="P120" s="86"/>
      <c r="Q120" s="86"/>
      <c r="R120" s="86"/>
      <c r="S120" s="86"/>
      <c r="T120" s="86"/>
      <c r="U120" s="142">
        <f t="shared" ref="U120:U149" si="53">IFERROR(ROUND(AVERAGE(V120:AC120),1),"")</f>
        <v>1129.9000000000001</v>
      </c>
      <c r="V120" s="188">
        <v>1027.2</v>
      </c>
      <c r="W120" s="188">
        <v>1232.5999999999999</v>
      </c>
      <c r="X120" s="88"/>
      <c r="Y120" s="88"/>
      <c r="Z120" s="88"/>
      <c r="AA120" s="88"/>
      <c r="AB120" s="88"/>
      <c r="AC120" s="88"/>
      <c r="AD120" s="142" t="str">
        <f t="shared" ref="AD120:AD149" si="54">IFERROR(ROUND(AVERAGE(AE120:AL120),1),"")</f>
        <v/>
      </c>
      <c r="AE120" s="88"/>
      <c r="AF120" s="88"/>
      <c r="AG120" s="88"/>
      <c r="AH120" s="88"/>
      <c r="AI120" s="88"/>
      <c r="AJ120" s="88"/>
      <c r="AK120" s="88"/>
      <c r="AL120" s="88"/>
      <c r="AM120" s="88">
        <v>93.354430379746844</v>
      </c>
      <c r="AN120" s="88">
        <v>50.559999999999995</v>
      </c>
      <c r="AO120" s="89">
        <v>16.100000000000001</v>
      </c>
      <c r="AP120" s="90">
        <v>12.8</v>
      </c>
      <c r="AQ120" s="146">
        <f t="shared" ref="AQ120:AQ149" si="55">IFERROR(AP120/AO120*100,"")</f>
        <v>79.503105590062106</v>
      </c>
      <c r="AR120" s="146">
        <f t="shared" ref="AR120:AR149" si="56">IFERROR(100-AQ120,"")</f>
        <v>20.496894409937894</v>
      </c>
      <c r="AS120" s="147"/>
      <c r="AT120" s="148">
        <v>15.2</v>
      </c>
      <c r="AU120" s="149">
        <v>7.9298000000000002</v>
      </c>
      <c r="AV120" s="146">
        <f t="shared" ref="AV120:AV149" si="57">IFERROR(AU120/AT120*100,"")</f>
        <v>52.169736842105266</v>
      </c>
      <c r="AW120" s="146">
        <f t="shared" ref="AW120:AW149" si="58">IFERROR(100-AV120,"")</f>
        <v>47.830263157894734</v>
      </c>
      <c r="AX120" s="138">
        <f t="shared" ref="AX120:AX149" si="59">IFERROR((1-((AV120*AR120)/(AW120*AQ120)))*100,"")</f>
        <v>71.879706713708003</v>
      </c>
      <c r="AY120" s="95">
        <v>77</v>
      </c>
      <c r="AZ120" s="96"/>
      <c r="BA120" s="96"/>
      <c r="BB120" s="96"/>
      <c r="BC120" s="96"/>
      <c r="BD120" s="97">
        <v>50.559999999999995</v>
      </c>
      <c r="BE120" s="142">
        <f t="shared" ref="BE120:BE149" si="60">IF(SUM(BF120:BL120)=0,"",SUM(BF120:BL120))</f>
        <v>6378</v>
      </c>
      <c r="BF120" s="98">
        <v>0</v>
      </c>
      <c r="BG120" s="98">
        <v>0</v>
      </c>
      <c r="BH120" s="98">
        <v>32</v>
      </c>
      <c r="BI120" s="98">
        <v>6346</v>
      </c>
      <c r="BJ120" s="98"/>
      <c r="BK120" s="98"/>
      <c r="BL120" s="98"/>
    </row>
    <row r="121" spans="1:64" outlineLevel="5" x14ac:dyDescent="0.3">
      <c r="A121" s="152">
        <f t="shared" si="46"/>
        <v>4</v>
      </c>
      <c r="B121" s="153">
        <f t="shared" si="45"/>
        <v>45384</v>
      </c>
      <c r="C121" s="138" t="str">
        <f t="shared" si="51"/>
        <v/>
      </c>
      <c r="D121" s="186"/>
      <c r="E121" s="186"/>
      <c r="F121" s="84"/>
      <c r="G121" s="84"/>
      <c r="H121" s="84"/>
      <c r="I121" s="84"/>
      <c r="J121" s="84"/>
      <c r="K121" s="84"/>
      <c r="L121" s="140" t="str">
        <f t="shared" si="52"/>
        <v/>
      </c>
      <c r="M121" s="187"/>
      <c r="N121" s="187"/>
      <c r="O121" s="86"/>
      <c r="P121" s="86"/>
      <c r="Q121" s="86"/>
      <c r="R121" s="86"/>
      <c r="S121" s="86"/>
      <c r="T121" s="86"/>
      <c r="U121" s="142" t="str">
        <f t="shared" si="53"/>
        <v/>
      </c>
      <c r="V121" s="188"/>
      <c r="W121" s="188"/>
      <c r="X121" s="88"/>
      <c r="Y121" s="88"/>
      <c r="Z121" s="88"/>
      <c r="AA121" s="88"/>
      <c r="AB121" s="88"/>
      <c r="AC121" s="88"/>
      <c r="AD121" s="142" t="str">
        <f t="shared" si="54"/>
        <v/>
      </c>
      <c r="AE121" s="88"/>
      <c r="AF121" s="88"/>
      <c r="AG121" s="88"/>
      <c r="AH121" s="88"/>
      <c r="AI121" s="88"/>
      <c r="AJ121" s="88"/>
      <c r="AK121" s="88"/>
      <c r="AL121" s="88"/>
      <c r="AM121" s="88">
        <v>60.536103629601129</v>
      </c>
      <c r="AN121" s="88">
        <v>77.97</v>
      </c>
      <c r="AO121" s="89"/>
      <c r="AP121" s="90"/>
      <c r="AQ121" s="146" t="str">
        <f t="shared" si="55"/>
        <v/>
      </c>
      <c r="AR121" s="146" t="str">
        <f t="shared" si="56"/>
        <v/>
      </c>
      <c r="AS121" s="147"/>
      <c r="AT121" s="148"/>
      <c r="AU121" s="149"/>
      <c r="AV121" s="146" t="str">
        <f t="shared" si="57"/>
        <v/>
      </c>
      <c r="AW121" s="146" t="str">
        <f t="shared" si="58"/>
        <v/>
      </c>
      <c r="AX121" s="138" t="str">
        <f t="shared" si="59"/>
        <v/>
      </c>
      <c r="AY121" s="95"/>
      <c r="AZ121" s="96"/>
      <c r="BA121" s="96"/>
      <c r="BB121" s="96"/>
      <c r="BC121" s="96"/>
      <c r="BD121" s="97">
        <v>77.97</v>
      </c>
      <c r="BE121" s="142">
        <f t="shared" si="60"/>
        <v>8686</v>
      </c>
      <c r="BF121" s="98">
        <v>1337</v>
      </c>
      <c r="BG121" s="98">
        <v>0</v>
      </c>
      <c r="BH121" s="98">
        <v>740</v>
      </c>
      <c r="BI121" s="98">
        <v>6609</v>
      </c>
      <c r="BJ121" s="98"/>
      <c r="BK121" s="98"/>
      <c r="BL121" s="98"/>
    </row>
    <row r="122" spans="1:64" outlineLevel="5" x14ac:dyDescent="0.3">
      <c r="A122" s="152">
        <f t="shared" si="46"/>
        <v>4</v>
      </c>
      <c r="B122" s="153">
        <f t="shared" si="45"/>
        <v>45385</v>
      </c>
      <c r="C122" s="138">
        <f t="shared" si="51"/>
        <v>37.6</v>
      </c>
      <c r="D122" s="186">
        <v>37.200000000000003</v>
      </c>
      <c r="E122" s="186">
        <v>37.9</v>
      </c>
      <c r="F122" s="84"/>
      <c r="G122" s="84"/>
      <c r="H122" s="84"/>
      <c r="I122" s="84"/>
      <c r="J122" s="84"/>
      <c r="K122" s="84"/>
      <c r="L122" s="140">
        <f t="shared" si="52"/>
        <v>8.1</v>
      </c>
      <c r="M122" s="187">
        <v>8.07</v>
      </c>
      <c r="N122" s="187">
        <v>8.15</v>
      </c>
      <c r="O122" s="86"/>
      <c r="P122" s="86"/>
      <c r="Q122" s="86"/>
      <c r="R122" s="86"/>
      <c r="S122" s="86"/>
      <c r="T122" s="86"/>
      <c r="U122" s="142">
        <f t="shared" si="53"/>
        <v>1340.8</v>
      </c>
      <c r="V122" s="188">
        <v>1448.9</v>
      </c>
      <c r="W122" s="188">
        <v>1232.5999999999999</v>
      </c>
      <c r="X122" s="88"/>
      <c r="Y122" s="88"/>
      <c r="Z122" s="88"/>
      <c r="AA122" s="88"/>
      <c r="AB122" s="88"/>
      <c r="AC122" s="88"/>
      <c r="AD122" s="142" t="str">
        <f t="shared" si="54"/>
        <v/>
      </c>
      <c r="AE122" s="88"/>
      <c r="AF122" s="88"/>
      <c r="AG122" s="88"/>
      <c r="AH122" s="88"/>
      <c r="AI122" s="88"/>
      <c r="AJ122" s="88"/>
      <c r="AK122" s="88"/>
      <c r="AL122" s="88"/>
      <c r="AM122" s="88">
        <v>49.522610429126011</v>
      </c>
      <c r="AN122" s="88">
        <v>95.31</v>
      </c>
      <c r="AO122" s="89"/>
      <c r="AP122" s="90"/>
      <c r="AQ122" s="146" t="str">
        <f t="shared" si="55"/>
        <v/>
      </c>
      <c r="AR122" s="146" t="str">
        <f t="shared" si="56"/>
        <v/>
      </c>
      <c r="AS122" s="147"/>
      <c r="AT122" s="148">
        <v>14.3</v>
      </c>
      <c r="AU122" s="149">
        <v>8.4836999999999989</v>
      </c>
      <c r="AV122" s="146">
        <f t="shared" si="57"/>
        <v>59.326573426573418</v>
      </c>
      <c r="AW122" s="146">
        <f t="shared" si="58"/>
        <v>40.673426573426582</v>
      </c>
      <c r="AX122" s="138" t="str">
        <f t="shared" si="59"/>
        <v/>
      </c>
      <c r="AY122" s="95">
        <v>77.3</v>
      </c>
      <c r="AZ122" s="96"/>
      <c r="BA122" s="96"/>
      <c r="BB122" s="96"/>
      <c r="BC122" s="96"/>
      <c r="BD122" s="97">
        <v>95.31</v>
      </c>
      <c r="BE122" s="142">
        <f t="shared" si="60"/>
        <v>8392</v>
      </c>
      <c r="BF122" s="98">
        <v>0</v>
      </c>
      <c r="BG122" s="98">
        <v>0</v>
      </c>
      <c r="BH122" s="98">
        <v>3468</v>
      </c>
      <c r="BI122" s="98">
        <v>4924</v>
      </c>
      <c r="BJ122" s="98"/>
      <c r="BK122" s="98"/>
      <c r="BL122" s="98"/>
    </row>
    <row r="123" spans="1:64" outlineLevel="5" x14ac:dyDescent="0.3">
      <c r="A123" s="152">
        <f t="shared" si="46"/>
        <v>4</v>
      </c>
      <c r="B123" s="153">
        <f t="shared" si="45"/>
        <v>45386</v>
      </c>
      <c r="C123" s="138">
        <f t="shared" si="51"/>
        <v>37.299999999999997</v>
      </c>
      <c r="D123" s="186">
        <v>37</v>
      </c>
      <c r="E123" s="186">
        <v>37.5</v>
      </c>
      <c r="F123" s="84"/>
      <c r="G123" s="84"/>
      <c r="H123" s="84"/>
      <c r="I123" s="84"/>
      <c r="J123" s="84"/>
      <c r="K123" s="84"/>
      <c r="L123" s="140">
        <f t="shared" si="52"/>
        <v>8.1</v>
      </c>
      <c r="M123" s="187">
        <v>8.08</v>
      </c>
      <c r="N123" s="187">
        <v>8.15</v>
      </c>
      <c r="O123" s="86"/>
      <c r="P123" s="86"/>
      <c r="Q123" s="86"/>
      <c r="R123" s="86"/>
      <c r="S123" s="86"/>
      <c r="T123" s="86"/>
      <c r="U123" s="142">
        <f t="shared" si="53"/>
        <v>1530</v>
      </c>
      <c r="V123" s="188">
        <v>1589.4</v>
      </c>
      <c r="W123" s="188">
        <v>1470.5</v>
      </c>
      <c r="X123" s="88"/>
      <c r="Y123" s="88"/>
      <c r="Z123" s="88"/>
      <c r="AA123" s="88"/>
      <c r="AB123" s="88"/>
      <c r="AC123" s="88"/>
      <c r="AD123" s="142" t="str">
        <f t="shared" si="54"/>
        <v/>
      </c>
      <c r="AE123" s="88"/>
      <c r="AF123" s="88"/>
      <c r="AG123" s="88"/>
      <c r="AH123" s="88"/>
      <c r="AI123" s="88"/>
      <c r="AJ123" s="88"/>
      <c r="AK123" s="88"/>
      <c r="AL123" s="88"/>
      <c r="AM123" s="88">
        <v>56.344753491703464</v>
      </c>
      <c r="AN123" s="88">
        <v>83.77000000000001</v>
      </c>
      <c r="AO123" s="89"/>
      <c r="AP123" s="90"/>
      <c r="AQ123" s="146" t="str">
        <f t="shared" si="55"/>
        <v/>
      </c>
      <c r="AR123" s="146" t="str">
        <f t="shared" si="56"/>
        <v/>
      </c>
      <c r="AS123" s="147"/>
      <c r="AT123" s="148">
        <v>14.8</v>
      </c>
      <c r="AU123" s="149">
        <v>7.3887999999999998</v>
      </c>
      <c r="AV123" s="146">
        <f t="shared" si="57"/>
        <v>49.924324324324317</v>
      </c>
      <c r="AW123" s="146">
        <f t="shared" si="58"/>
        <v>50.075675675675683</v>
      </c>
      <c r="AX123" s="138" t="str">
        <f t="shared" si="59"/>
        <v/>
      </c>
      <c r="AY123" s="95">
        <v>77.849999999999994</v>
      </c>
      <c r="AZ123" s="96">
        <v>61.545000000000002</v>
      </c>
      <c r="BA123" s="96"/>
      <c r="BB123" s="96">
        <v>67</v>
      </c>
      <c r="BC123" s="96"/>
      <c r="BD123" s="97">
        <v>83.77000000000001</v>
      </c>
      <c r="BE123" s="142">
        <f t="shared" si="60"/>
        <v>8617</v>
      </c>
      <c r="BF123" s="98">
        <v>0</v>
      </c>
      <c r="BG123" s="98">
        <v>0</v>
      </c>
      <c r="BH123" s="98">
        <v>2164</v>
      </c>
      <c r="BI123" s="98">
        <v>6453</v>
      </c>
      <c r="BJ123" s="98"/>
      <c r="BK123" s="98"/>
      <c r="BL123" s="98"/>
    </row>
    <row r="124" spans="1:64" outlineLevel="5" x14ac:dyDescent="0.3">
      <c r="A124" s="152">
        <f t="shared" si="46"/>
        <v>4</v>
      </c>
      <c r="B124" s="153">
        <f t="shared" si="45"/>
        <v>45387</v>
      </c>
      <c r="C124" s="138" t="str">
        <f t="shared" si="51"/>
        <v/>
      </c>
      <c r="D124" s="186"/>
      <c r="E124" s="186"/>
      <c r="F124" s="84"/>
      <c r="G124" s="84"/>
      <c r="H124" s="84"/>
      <c r="I124" s="84"/>
      <c r="J124" s="84"/>
      <c r="K124" s="84"/>
      <c r="L124" s="140" t="str">
        <f t="shared" si="52"/>
        <v/>
      </c>
      <c r="M124" s="187"/>
      <c r="N124" s="187"/>
      <c r="O124" s="86"/>
      <c r="P124" s="86"/>
      <c r="Q124" s="86"/>
      <c r="R124" s="86"/>
      <c r="S124" s="86"/>
      <c r="T124" s="86"/>
      <c r="U124" s="142" t="str">
        <f t="shared" si="53"/>
        <v/>
      </c>
      <c r="V124" s="188"/>
      <c r="W124" s="188"/>
      <c r="X124" s="88"/>
      <c r="Y124" s="88"/>
      <c r="Z124" s="88"/>
      <c r="AA124" s="88"/>
      <c r="AB124" s="88"/>
      <c r="AC124" s="88"/>
      <c r="AD124" s="142" t="str">
        <f t="shared" si="54"/>
        <v/>
      </c>
      <c r="AE124" s="88"/>
      <c r="AF124" s="88"/>
      <c r="AG124" s="88"/>
      <c r="AH124" s="88"/>
      <c r="AI124" s="88"/>
      <c r="AJ124" s="88"/>
      <c r="AK124" s="88"/>
      <c r="AL124" s="88"/>
      <c r="AM124" s="88">
        <v>60.746460746460741</v>
      </c>
      <c r="AN124" s="88">
        <v>77.7</v>
      </c>
      <c r="AO124" s="89"/>
      <c r="AP124" s="90"/>
      <c r="AQ124" s="146" t="str">
        <f t="shared" si="55"/>
        <v/>
      </c>
      <c r="AR124" s="146" t="str">
        <f t="shared" si="56"/>
        <v/>
      </c>
      <c r="AS124" s="147"/>
      <c r="AT124" s="148"/>
      <c r="AU124" s="149"/>
      <c r="AV124" s="146" t="str">
        <f t="shared" si="57"/>
        <v/>
      </c>
      <c r="AW124" s="146" t="str">
        <f t="shared" si="58"/>
        <v/>
      </c>
      <c r="AX124" s="138" t="str">
        <f t="shared" si="59"/>
        <v/>
      </c>
      <c r="AY124" s="95"/>
      <c r="AZ124" s="96">
        <v>61.335000000000001</v>
      </c>
      <c r="BA124" s="96"/>
      <c r="BB124" s="96">
        <v>62.5</v>
      </c>
      <c r="BC124" s="96"/>
      <c r="BD124" s="97">
        <v>77.7</v>
      </c>
      <c r="BE124" s="142">
        <f t="shared" si="60"/>
        <v>7793</v>
      </c>
      <c r="BF124" s="98">
        <v>31</v>
      </c>
      <c r="BG124" s="98">
        <v>0</v>
      </c>
      <c r="BH124" s="98">
        <v>1929</v>
      </c>
      <c r="BI124" s="98">
        <v>5833</v>
      </c>
      <c r="BJ124" s="98"/>
      <c r="BK124" s="98"/>
      <c r="BL124" s="98"/>
    </row>
    <row r="125" spans="1:64" outlineLevel="5" x14ac:dyDescent="0.3">
      <c r="A125" s="152">
        <f t="shared" si="46"/>
        <v>4</v>
      </c>
      <c r="B125" s="153">
        <f t="shared" si="45"/>
        <v>45388</v>
      </c>
      <c r="C125" s="138" t="str">
        <f t="shared" si="51"/>
        <v/>
      </c>
      <c r="D125" s="186"/>
      <c r="E125" s="186"/>
      <c r="F125" s="84"/>
      <c r="G125" s="84"/>
      <c r="H125" s="84"/>
      <c r="I125" s="84"/>
      <c r="J125" s="84"/>
      <c r="K125" s="84"/>
      <c r="L125" s="140" t="str">
        <f t="shared" si="52"/>
        <v/>
      </c>
      <c r="M125" s="187"/>
      <c r="N125" s="187"/>
      <c r="O125" s="86"/>
      <c r="P125" s="86"/>
      <c r="Q125" s="86"/>
      <c r="R125" s="86"/>
      <c r="S125" s="86"/>
      <c r="T125" s="86"/>
      <c r="U125" s="142" t="str">
        <f t="shared" si="53"/>
        <v/>
      </c>
      <c r="V125" s="188"/>
      <c r="W125" s="188"/>
      <c r="X125" s="88"/>
      <c r="Y125" s="88"/>
      <c r="Z125" s="88"/>
      <c r="AA125" s="88"/>
      <c r="AB125" s="88"/>
      <c r="AC125" s="88"/>
      <c r="AD125" s="142" t="str">
        <f t="shared" si="54"/>
        <v/>
      </c>
      <c r="AE125" s="88"/>
      <c r="AF125" s="88"/>
      <c r="AG125" s="88"/>
      <c r="AH125" s="88"/>
      <c r="AI125" s="88"/>
      <c r="AJ125" s="88"/>
      <c r="AK125" s="88"/>
      <c r="AL125" s="88"/>
      <c r="AM125" s="88">
        <v>49.778527736764403</v>
      </c>
      <c r="AN125" s="88">
        <v>94.82</v>
      </c>
      <c r="AO125" s="89"/>
      <c r="AP125" s="90"/>
      <c r="AQ125" s="146" t="str">
        <f t="shared" si="55"/>
        <v/>
      </c>
      <c r="AR125" s="146" t="str">
        <f t="shared" si="56"/>
        <v/>
      </c>
      <c r="AS125" s="147"/>
      <c r="AT125" s="148"/>
      <c r="AU125" s="149"/>
      <c r="AV125" s="146" t="str">
        <f t="shared" si="57"/>
        <v/>
      </c>
      <c r="AW125" s="146" t="str">
        <f t="shared" si="58"/>
        <v/>
      </c>
      <c r="AX125" s="138" t="str">
        <f t="shared" si="59"/>
        <v/>
      </c>
      <c r="AY125" s="95"/>
      <c r="AZ125" s="96"/>
      <c r="BA125" s="96"/>
      <c r="BB125" s="96"/>
      <c r="BC125" s="96"/>
      <c r="BD125" s="97">
        <v>94.82</v>
      </c>
      <c r="BE125" s="142">
        <f t="shared" si="60"/>
        <v>6616</v>
      </c>
      <c r="BF125" s="98">
        <v>315</v>
      </c>
      <c r="BG125" s="98">
        <v>0</v>
      </c>
      <c r="BH125" s="98">
        <v>0</v>
      </c>
      <c r="BI125" s="98">
        <v>6301</v>
      </c>
      <c r="BJ125" s="98"/>
      <c r="BK125" s="98"/>
      <c r="BL125" s="98"/>
    </row>
    <row r="126" spans="1:64" outlineLevel="5" x14ac:dyDescent="0.3">
      <c r="A126" s="152">
        <f t="shared" si="46"/>
        <v>4</v>
      </c>
      <c r="B126" s="153">
        <f t="shared" si="45"/>
        <v>45389</v>
      </c>
      <c r="C126" s="138" t="str">
        <f t="shared" si="51"/>
        <v/>
      </c>
      <c r="D126" s="186"/>
      <c r="E126" s="186"/>
      <c r="F126" s="84"/>
      <c r="G126" s="84"/>
      <c r="H126" s="84"/>
      <c r="I126" s="84"/>
      <c r="J126" s="84"/>
      <c r="K126" s="84"/>
      <c r="L126" s="140" t="str">
        <f t="shared" si="52"/>
        <v/>
      </c>
      <c r="M126" s="187"/>
      <c r="N126" s="187"/>
      <c r="O126" s="86"/>
      <c r="P126" s="86"/>
      <c r="Q126" s="86"/>
      <c r="R126" s="86"/>
      <c r="S126" s="86"/>
      <c r="T126" s="86"/>
      <c r="U126" s="142" t="str">
        <f t="shared" si="53"/>
        <v/>
      </c>
      <c r="V126" s="188"/>
      <c r="W126" s="188"/>
      <c r="X126" s="88"/>
      <c r="Y126" s="88"/>
      <c r="Z126" s="88"/>
      <c r="AA126" s="88"/>
      <c r="AB126" s="88"/>
      <c r="AC126" s="88"/>
      <c r="AD126" s="142" t="str">
        <f t="shared" si="54"/>
        <v/>
      </c>
      <c r="AE126" s="88"/>
      <c r="AF126" s="88"/>
      <c r="AG126" s="88"/>
      <c r="AH126" s="88"/>
      <c r="AI126" s="88"/>
      <c r="AJ126" s="88"/>
      <c r="AK126" s="88"/>
      <c r="AL126" s="88"/>
      <c r="AM126" s="88">
        <v>59</v>
      </c>
      <c r="AN126" s="88">
        <v>80</v>
      </c>
      <c r="AO126" s="89"/>
      <c r="AP126" s="90"/>
      <c r="AQ126" s="146" t="str">
        <f t="shared" si="55"/>
        <v/>
      </c>
      <c r="AR126" s="146" t="str">
        <f t="shared" si="56"/>
        <v/>
      </c>
      <c r="AS126" s="147"/>
      <c r="AT126" s="148"/>
      <c r="AU126" s="149"/>
      <c r="AV126" s="146" t="str">
        <f t="shared" si="57"/>
        <v/>
      </c>
      <c r="AW126" s="146" t="str">
        <f t="shared" si="58"/>
        <v/>
      </c>
      <c r="AX126" s="138" t="str">
        <f t="shared" si="59"/>
        <v/>
      </c>
      <c r="AY126" s="95"/>
      <c r="AZ126" s="96"/>
      <c r="BA126" s="96"/>
      <c r="BB126" s="96"/>
      <c r="BC126" s="96"/>
      <c r="BD126" s="97">
        <v>80</v>
      </c>
      <c r="BE126" s="142">
        <f t="shared" si="60"/>
        <v>7490</v>
      </c>
      <c r="BF126" s="98">
        <v>1189</v>
      </c>
      <c r="BG126" s="98">
        <v>0</v>
      </c>
      <c r="BH126" s="98">
        <v>0</v>
      </c>
      <c r="BI126" s="98">
        <v>6301</v>
      </c>
      <c r="BJ126" s="98"/>
      <c r="BK126" s="98"/>
      <c r="BL126" s="98"/>
    </row>
    <row r="127" spans="1:64" outlineLevel="5" x14ac:dyDescent="0.3">
      <c r="A127" s="152">
        <f t="shared" si="46"/>
        <v>4</v>
      </c>
      <c r="B127" s="153">
        <f t="shared" si="45"/>
        <v>45390</v>
      </c>
      <c r="C127" s="138">
        <f t="shared" si="51"/>
        <v>36.799999999999997</v>
      </c>
      <c r="D127" s="186">
        <v>36.700000000000003</v>
      </c>
      <c r="E127" s="186">
        <v>36.799999999999997</v>
      </c>
      <c r="F127" s="84"/>
      <c r="G127" s="84"/>
      <c r="H127" s="84"/>
      <c r="I127" s="84"/>
      <c r="J127" s="84"/>
      <c r="K127" s="84"/>
      <c r="L127" s="140">
        <f t="shared" si="52"/>
        <v>8.1999999999999993</v>
      </c>
      <c r="M127" s="187">
        <v>8.15</v>
      </c>
      <c r="N127" s="187">
        <v>8.16</v>
      </c>
      <c r="O127" s="86"/>
      <c r="P127" s="86"/>
      <c r="Q127" s="86"/>
      <c r="R127" s="86"/>
      <c r="S127" s="86"/>
      <c r="T127" s="86"/>
      <c r="U127" s="142">
        <f t="shared" si="53"/>
        <v>870.4</v>
      </c>
      <c r="V127" s="188">
        <v>940.7</v>
      </c>
      <c r="W127" s="188">
        <v>800.1</v>
      </c>
      <c r="X127" s="88"/>
      <c r="Y127" s="88"/>
      <c r="Z127" s="88"/>
      <c r="AA127" s="88"/>
      <c r="AB127" s="88"/>
      <c r="AC127" s="88"/>
      <c r="AD127" s="142" t="str">
        <f t="shared" si="54"/>
        <v/>
      </c>
      <c r="AE127" s="88"/>
      <c r="AF127" s="88"/>
      <c r="AG127" s="88"/>
      <c r="AH127" s="88"/>
      <c r="AI127" s="88"/>
      <c r="AJ127" s="88"/>
      <c r="AK127" s="88"/>
      <c r="AL127" s="88"/>
      <c r="AM127" s="88">
        <v>85.06037123806091</v>
      </c>
      <c r="AN127" s="88">
        <v>55.49</v>
      </c>
      <c r="AO127" s="89">
        <v>19</v>
      </c>
      <c r="AP127" s="90">
        <v>15.5</v>
      </c>
      <c r="AQ127" s="146">
        <f t="shared" si="55"/>
        <v>81.578947368421055</v>
      </c>
      <c r="AR127" s="146">
        <f t="shared" si="56"/>
        <v>18.421052631578945</v>
      </c>
      <c r="AS127" s="147"/>
      <c r="AT127" s="148">
        <v>15.1</v>
      </c>
      <c r="AU127" s="149">
        <v>7.9551999999999996</v>
      </c>
      <c r="AV127" s="146">
        <f t="shared" si="57"/>
        <v>52.683443708609268</v>
      </c>
      <c r="AW127" s="146">
        <f t="shared" si="58"/>
        <v>47.316556291390732</v>
      </c>
      <c r="AX127" s="138">
        <f t="shared" si="59"/>
        <v>74.858141811233807</v>
      </c>
      <c r="AY127" s="95">
        <v>72.8</v>
      </c>
      <c r="AZ127" s="96"/>
      <c r="BA127" s="96"/>
      <c r="BB127" s="96"/>
      <c r="BC127" s="96"/>
      <c r="BD127" s="97">
        <v>55.49</v>
      </c>
      <c r="BE127" s="142">
        <f t="shared" si="60"/>
        <v>7769</v>
      </c>
      <c r="BF127" s="98">
        <v>1305</v>
      </c>
      <c r="BG127" s="98">
        <v>0</v>
      </c>
      <c r="BH127" s="98">
        <v>46</v>
      </c>
      <c r="BI127" s="98">
        <v>6418</v>
      </c>
      <c r="BJ127" s="98"/>
      <c r="BK127" s="98"/>
      <c r="BL127" s="98"/>
    </row>
    <row r="128" spans="1:64" outlineLevel="5" x14ac:dyDescent="0.3">
      <c r="A128" s="152">
        <f t="shared" si="46"/>
        <v>4</v>
      </c>
      <c r="B128" s="153">
        <f t="shared" si="45"/>
        <v>45391</v>
      </c>
      <c r="C128" s="138" t="str">
        <f t="shared" si="51"/>
        <v/>
      </c>
      <c r="D128" s="186"/>
      <c r="E128" s="186"/>
      <c r="F128" s="84"/>
      <c r="G128" s="84"/>
      <c r="H128" s="84"/>
      <c r="I128" s="84"/>
      <c r="J128" s="84"/>
      <c r="K128" s="84"/>
      <c r="L128" s="140" t="str">
        <f t="shared" si="52"/>
        <v/>
      </c>
      <c r="M128" s="187"/>
      <c r="N128" s="187"/>
      <c r="O128" s="86"/>
      <c r="P128" s="86"/>
      <c r="Q128" s="86"/>
      <c r="R128" s="86"/>
      <c r="S128" s="86"/>
      <c r="T128" s="86"/>
      <c r="U128" s="142" t="str">
        <f t="shared" si="53"/>
        <v/>
      </c>
      <c r="V128" s="188"/>
      <c r="W128" s="188"/>
      <c r="X128" s="88"/>
      <c r="Y128" s="88"/>
      <c r="Z128" s="88"/>
      <c r="AA128" s="88"/>
      <c r="AB128" s="88"/>
      <c r="AC128" s="88"/>
      <c r="AD128" s="142" t="str">
        <f t="shared" si="54"/>
        <v/>
      </c>
      <c r="AE128" s="88"/>
      <c r="AF128" s="88"/>
      <c r="AG128" s="88"/>
      <c r="AH128" s="88"/>
      <c r="AI128" s="88"/>
      <c r="AJ128" s="88"/>
      <c r="AK128" s="88"/>
      <c r="AL128" s="88"/>
      <c r="AM128" s="88">
        <v>100.70407510134415</v>
      </c>
      <c r="AN128" s="88">
        <v>46.87</v>
      </c>
      <c r="AO128" s="89"/>
      <c r="AP128" s="90"/>
      <c r="AQ128" s="146" t="str">
        <f t="shared" si="55"/>
        <v/>
      </c>
      <c r="AR128" s="146" t="str">
        <f t="shared" si="56"/>
        <v/>
      </c>
      <c r="AS128" s="147"/>
      <c r="AT128" s="148"/>
      <c r="AU128" s="149"/>
      <c r="AV128" s="146" t="str">
        <f t="shared" si="57"/>
        <v/>
      </c>
      <c r="AW128" s="146" t="str">
        <f t="shared" si="58"/>
        <v/>
      </c>
      <c r="AX128" s="138" t="str">
        <f t="shared" si="59"/>
        <v/>
      </c>
      <c r="AY128" s="95"/>
      <c r="AZ128" s="96"/>
      <c r="BA128" s="96"/>
      <c r="BB128" s="96"/>
      <c r="BC128" s="96"/>
      <c r="BD128" s="97">
        <v>46.87</v>
      </c>
      <c r="BE128" s="142">
        <f t="shared" si="60"/>
        <v>7660</v>
      </c>
      <c r="BF128" s="98">
        <v>0</v>
      </c>
      <c r="BG128" s="98">
        <v>0</v>
      </c>
      <c r="BH128" s="98">
        <v>1354</v>
      </c>
      <c r="BI128" s="98">
        <v>6306</v>
      </c>
      <c r="BJ128" s="98"/>
      <c r="BK128" s="98"/>
      <c r="BL128" s="98"/>
    </row>
    <row r="129" spans="1:64" outlineLevel="5" x14ac:dyDescent="0.3">
      <c r="A129" s="152">
        <f t="shared" si="46"/>
        <v>4</v>
      </c>
      <c r="B129" s="153">
        <f t="shared" si="45"/>
        <v>45392</v>
      </c>
      <c r="C129" s="138" t="str">
        <f t="shared" si="51"/>
        <v/>
      </c>
      <c r="D129" s="186"/>
      <c r="E129" s="186"/>
      <c r="F129" s="84"/>
      <c r="G129" s="84"/>
      <c r="H129" s="84"/>
      <c r="I129" s="84"/>
      <c r="J129" s="84"/>
      <c r="K129" s="84"/>
      <c r="L129" s="140" t="str">
        <f t="shared" si="52"/>
        <v/>
      </c>
      <c r="M129" s="187"/>
      <c r="N129" s="187"/>
      <c r="O129" s="86"/>
      <c r="P129" s="86"/>
      <c r="Q129" s="86"/>
      <c r="R129" s="86"/>
      <c r="S129" s="86"/>
      <c r="T129" s="86"/>
      <c r="U129" s="142" t="str">
        <f t="shared" si="53"/>
        <v/>
      </c>
      <c r="V129" s="188"/>
      <c r="W129" s="188"/>
      <c r="X129" s="88"/>
      <c r="Y129" s="88"/>
      <c r="Z129" s="88"/>
      <c r="AA129" s="88"/>
      <c r="AB129" s="88"/>
      <c r="AC129" s="88"/>
      <c r="AD129" s="142" t="str">
        <f t="shared" si="54"/>
        <v/>
      </c>
      <c r="AE129" s="88"/>
      <c r="AF129" s="88"/>
      <c r="AG129" s="88"/>
      <c r="AH129" s="88"/>
      <c r="AI129" s="88"/>
      <c r="AJ129" s="88"/>
      <c r="AK129" s="88"/>
      <c r="AL129" s="88"/>
      <c r="AM129" s="88">
        <v>56.751232415534446</v>
      </c>
      <c r="AN129" s="88">
        <v>83.17</v>
      </c>
      <c r="AO129" s="89"/>
      <c r="AP129" s="90"/>
      <c r="AQ129" s="146" t="str">
        <f t="shared" si="55"/>
        <v/>
      </c>
      <c r="AR129" s="146" t="str">
        <f t="shared" si="56"/>
        <v/>
      </c>
      <c r="AS129" s="147"/>
      <c r="AT129" s="148"/>
      <c r="AU129" s="149"/>
      <c r="AV129" s="146" t="str">
        <f t="shared" si="57"/>
        <v/>
      </c>
      <c r="AW129" s="146" t="str">
        <f t="shared" si="58"/>
        <v/>
      </c>
      <c r="AX129" s="138" t="str">
        <f t="shared" si="59"/>
        <v/>
      </c>
      <c r="AY129" s="95"/>
      <c r="AZ129" s="96"/>
      <c r="BA129" s="96"/>
      <c r="BB129" s="96"/>
      <c r="BC129" s="96"/>
      <c r="BD129" s="97">
        <v>83.17</v>
      </c>
      <c r="BE129" s="142">
        <f t="shared" si="60"/>
        <v>6906</v>
      </c>
      <c r="BF129" s="98">
        <v>170</v>
      </c>
      <c r="BG129" s="98">
        <v>0</v>
      </c>
      <c r="BH129" s="98">
        <v>371</v>
      </c>
      <c r="BI129" s="98">
        <v>6365</v>
      </c>
      <c r="BJ129" s="98"/>
      <c r="BK129" s="98"/>
      <c r="BL129" s="98"/>
    </row>
    <row r="130" spans="1:64" outlineLevel="5" x14ac:dyDescent="0.3">
      <c r="A130" s="152">
        <f t="shared" si="46"/>
        <v>4</v>
      </c>
      <c r="B130" s="153">
        <f t="shared" si="45"/>
        <v>45393</v>
      </c>
      <c r="C130" s="138">
        <f t="shared" si="51"/>
        <v>36</v>
      </c>
      <c r="D130" s="186">
        <v>36</v>
      </c>
      <c r="E130" s="186">
        <v>36</v>
      </c>
      <c r="F130" s="84"/>
      <c r="G130" s="84"/>
      <c r="H130" s="84"/>
      <c r="I130" s="84"/>
      <c r="J130" s="84"/>
      <c r="K130" s="84"/>
      <c r="L130" s="140">
        <f t="shared" si="52"/>
        <v>8.1999999999999993</v>
      </c>
      <c r="M130" s="187">
        <v>8.1</v>
      </c>
      <c r="N130" s="187">
        <v>8.23</v>
      </c>
      <c r="O130" s="86"/>
      <c r="P130" s="86"/>
      <c r="Q130" s="86"/>
      <c r="R130" s="86"/>
      <c r="S130" s="86"/>
      <c r="T130" s="86"/>
      <c r="U130" s="142">
        <f t="shared" si="53"/>
        <v>886.7</v>
      </c>
      <c r="V130" s="188">
        <v>854.2</v>
      </c>
      <c r="W130" s="188">
        <v>919.1</v>
      </c>
      <c r="X130" s="88"/>
      <c r="Y130" s="88"/>
      <c r="Z130" s="88"/>
      <c r="AA130" s="88"/>
      <c r="AB130" s="88"/>
      <c r="AC130" s="88"/>
      <c r="AD130" s="142" t="str">
        <f t="shared" si="54"/>
        <v/>
      </c>
      <c r="AE130" s="88"/>
      <c r="AF130" s="88"/>
      <c r="AG130" s="88"/>
      <c r="AH130" s="88"/>
      <c r="AI130" s="88"/>
      <c r="AJ130" s="88"/>
      <c r="AK130" s="88"/>
      <c r="AL130" s="88"/>
      <c r="AM130" s="88">
        <v>39.955980699229663</v>
      </c>
      <c r="AN130" s="88">
        <v>118.13</v>
      </c>
      <c r="AO130" s="89"/>
      <c r="AP130" s="90"/>
      <c r="AQ130" s="146" t="str">
        <f t="shared" si="55"/>
        <v/>
      </c>
      <c r="AR130" s="146" t="str">
        <f t="shared" si="56"/>
        <v/>
      </c>
      <c r="AS130" s="147"/>
      <c r="AT130" s="148">
        <v>15.25</v>
      </c>
      <c r="AU130" s="149">
        <v>7.293099999999999</v>
      </c>
      <c r="AV130" s="146">
        <f t="shared" si="57"/>
        <v>47.82360655737704</v>
      </c>
      <c r="AW130" s="146">
        <f t="shared" si="58"/>
        <v>52.17639344262296</v>
      </c>
      <c r="AX130" s="138" t="str">
        <f t="shared" si="59"/>
        <v/>
      </c>
      <c r="AY130" s="95">
        <v>74.7</v>
      </c>
      <c r="AZ130" s="96"/>
      <c r="BA130" s="96"/>
      <c r="BB130" s="96"/>
      <c r="BC130" s="96"/>
      <c r="BD130" s="97">
        <v>118.13</v>
      </c>
      <c r="BE130" s="142">
        <f t="shared" si="60"/>
        <v>8021</v>
      </c>
      <c r="BF130" s="98">
        <v>1323</v>
      </c>
      <c r="BG130" s="98">
        <v>0</v>
      </c>
      <c r="BH130" s="98">
        <v>178</v>
      </c>
      <c r="BI130" s="98">
        <v>6520</v>
      </c>
      <c r="BJ130" s="98"/>
      <c r="BK130" s="98"/>
      <c r="BL130" s="98"/>
    </row>
    <row r="131" spans="1:64" outlineLevel="5" x14ac:dyDescent="0.3">
      <c r="A131" s="152">
        <f t="shared" si="46"/>
        <v>4</v>
      </c>
      <c r="B131" s="153">
        <f t="shared" si="45"/>
        <v>45394</v>
      </c>
      <c r="C131" s="138" t="str">
        <f t="shared" si="51"/>
        <v/>
      </c>
      <c r="D131" s="186"/>
      <c r="E131" s="186"/>
      <c r="F131" s="84"/>
      <c r="G131" s="84"/>
      <c r="H131" s="84"/>
      <c r="I131" s="84"/>
      <c r="J131" s="84"/>
      <c r="K131" s="84"/>
      <c r="L131" s="140" t="str">
        <f t="shared" si="52"/>
        <v/>
      </c>
      <c r="M131" s="187"/>
      <c r="N131" s="187"/>
      <c r="O131" s="86"/>
      <c r="P131" s="86"/>
      <c r="Q131" s="86"/>
      <c r="R131" s="86"/>
      <c r="S131" s="86"/>
      <c r="T131" s="86"/>
      <c r="U131" s="142" t="str">
        <f t="shared" si="53"/>
        <v/>
      </c>
      <c r="V131" s="188"/>
      <c r="W131" s="188"/>
      <c r="X131" s="88"/>
      <c r="Y131" s="88"/>
      <c r="Z131" s="88"/>
      <c r="AA131" s="88"/>
      <c r="AB131" s="88"/>
      <c r="AC131" s="88"/>
      <c r="AD131" s="142" t="str">
        <f t="shared" si="54"/>
        <v/>
      </c>
      <c r="AE131" s="88"/>
      <c r="AF131" s="88"/>
      <c r="AG131" s="88"/>
      <c r="AH131" s="88"/>
      <c r="AI131" s="88"/>
      <c r="AJ131" s="88"/>
      <c r="AK131" s="88"/>
      <c r="AL131" s="88"/>
      <c r="AM131" s="88">
        <v>45.402077722200843</v>
      </c>
      <c r="AN131" s="88">
        <v>103.96000000000001</v>
      </c>
      <c r="AO131" s="89"/>
      <c r="AP131" s="90"/>
      <c r="AQ131" s="146" t="str">
        <f t="shared" si="55"/>
        <v/>
      </c>
      <c r="AR131" s="146" t="str">
        <f t="shared" si="56"/>
        <v/>
      </c>
      <c r="AS131" s="147"/>
      <c r="AT131" s="148"/>
      <c r="AU131" s="149"/>
      <c r="AV131" s="146" t="str">
        <f t="shared" si="57"/>
        <v/>
      </c>
      <c r="AW131" s="146" t="str">
        <f t="shared" si="58"/>
        <v/>
      </c>
      <c r="AX131" s="138" t="str">
        <f t="shared" si="59"/>
        <v/>
      </c>
      <c r="AY131" s="95"/>
      <c r="AZ131" s="96"/>
      <c r="BA131" s="96"/>
      <c r="BB131" s="96"/>
      <c r="BC131" s="96"/>
      <c r="BD131" s="97">
        <v>103.96000000000001</v>
      </c>
      <c r="BE131" s="142">
        <f t="shared" si="60"/>
        <v>10246</v>
      </c>
      <c r="BF131" s="98">
        <v>1306</v>
      </c>
      <c r="BG131" s="98">
        <v>0</v>
      </c>
      <c r="BH131" s="98">
        <v>2556</v>
      </c>
      <c r="BI131" s="98">
        <v>6384</v>
      </c>
      <c r="BJ131" s="98"/>
      <c r="BK131" s="98"/>
      <c r="BL131" s="98"/>
    </row>
    <row r="132" spans="1:64" outlineLevel="5" x14ac:dyDescent="0.3">
      <c r="A132" s="152">
        <f t="shared" si="46"/>
        <v>4</v>
      </c>
      <c r="B132" s="153">
        <f t="shared" si="45"/>
        <v>45395</v>
      </c>
      <c r="C132" s="138" t="str">
        <f t="shared" si="51"/>
        <v/>
      </c>
      <c r="D132" s="186"/>
      <c r="E132" s="186"/>
      <c r="F132" s="84"/>
      <c r="G132" s="84"/>
      <c r="H132" s="84"/>
      <c r="I132" s="84"/>
      <c r="J132" s="84"/>
      <c r="K132" s="84"/>
      <c r="L132" s="140" t="str">
        <f t="shared" si="52"/>
        <v/>
      </c>
      <c r="M132" s="187"/>
      <c r="N132" s="187"/>
      <c r="O132" s="86"/>
      <c r="P132" s="86"/>
      <c r="Q132" s="86"/>
      <c r="R132" s="86"/>
      <c r="S132" s="86"/>
      <c r="T132" s="86"/>
      <c r="U132" s="142" t="str">
        <f t="shared" si="53"/>
        <v/>
      </c>
      <c r="V132" s="188"/>
      <c r="W132" s="188"/>
      <c r="X132" s="88"/>
      <c r="Y132" s="88"/>
      <c r="Z132" s="88"/>
      <c r="AA132" s="88"/>
      <c r="AB132" s="88"/>
      <c r="AC132" s="88"/>
      <c r="AD132" s="142" t="str">
        <f t="shared" si="54"/>
        <v/>
      </c>
      <c r="AE132" s="88"/>
      <c r="AF132" s="88"/>
      <c r="AG132" s="88"/>
      <c r="AH132" s="88"/>
      <c r="AI132" s="88"/>
      <c r="AJ132" s="88"/>
      <c r="AK132" s="88"/>
      <c r="AL132" s="88"/>
      <c r="AM132" s="88">
        <v>54.541252599953786</v>
      </c>
      <c r="AN132" s="88">
        <v>86.539999999999992</v>
      </c>
      <c r="AO132" s="89"/>
      <c r="AP132" s="90"/>
      <c r="AQ132" s="146" t="str">
        <f t="shared" si="55"/>
        <v/>
      </c>
      <c r="AR132" s="146" t="str">
        <f t="shared" si="56"/>
        <v/>
      </c>
      <c r="AS132" s="147"/>
      <c r="AT132" s="148"/>
      <c r="AU132" s="149"/>
      <c r="AV132" s="146" t="str">
        <f t="shared" si="57"/>
        <v/>
      </c>
      <c r="AW132" s="146" t="str">
        <f t="shared" si="58"/>
        <v/>
      </c>
      <c r="AX132" s="138" t="str">
        <f t="shared" si="59"/>
        <v/>
      </c>
      <c r="AY132" s="95"/>
      <c r="AZ132" s="96"/>
      <c r="BA132" s="96"/>
      <c r="BB132" s="96"/>
      <c r="BC132" s="96"/>
      <c r="BD132" s="97">
        <v>86.539999999999992</v>
      </c>
      <c r="BE132" s="142">
        <f t="shared" si="60"/>
        <v>7140</v>
      </c>
      <c r="BF132" s="98">
        <v>750</v>
      </c>
      <c r="BG132" s="98">
        <v>0</v>
      </c>
      <c r="BH132" s="98">
        <v>0</v>
      </c>
      <c r="BI132" s="98">
        <v>6390</v>
      </c>
      <c r="BJ132" s="98"/>
      <c r="BK132" s="98"/>
      <c r="BL132" s="98"/>
    </row>
    <row r="133" spans="1:64" outlineLevel="5" x14ac:dyDescent="0.3">
      <c r="A133" s="152">
        <f t="shared" si="46"/>
        <v>4</v>
      </c>
      <c r="B133" s="153">
        <f t="shared" si="45"/>
        <v>45396</v>
      </c>
      <c r="C133" s="138">
        <f t="shared" si="51"/>
        <v>38</v>
      </c>
      <c r="D133" s="186">
        <v>38.1</v>
      </c>
      <c r="E133" s="186">
        <v>37.9</v>
      </c>
      <c r="F133" s="84"/>
      <c r="G133" s="84"/>
      <c r="H133" s="84"/>
      <c r="I133" s="84"/>
      <c r="J133" s="84"/>
      <c r="K133" s="84"/>
      <c r="L133" s="140" t="str">
        <f t="shared" si="52"/>
        <v/>
      </c>
      <c r="M133" s="187"/>
      <c r="N133" s="187"/>
      <c r="O133" s="86"/>
      <c r="P133" s="86"/>
      <c r="Q133" s="86"/>
      <c r="R133" s="86"/>
      <c r="S133" s="86"/>
      <c r="T133" s="86"/>
      <c r="U133" s="142" t="str">
        <f t="shared" si="53"/>
        <v/>
      </c>
      <c r="V133" s="188"/>
      <c r="W133" s="188"/>
      <c r="X133" s="88"/>
      <c r="Y133" s="88"/>
      <c r="Z133" s="88"/>
      <c r="AA133" s="88"/>
      <c r="AB133" s="88"/>
      <c r="AC133" s="88"/>
      <c r="AD133" s="142" t="str">
        <f t="shared" si="54"/>
        <v/>
      </c>
      <c r="AE133" s="88"/>
      <c r="AF133" s="88"/>
      <c r="AG133" s="88"/>
      <c r="AH133" s="88"/>
      <c r="AI133" s="88"/>
      <c r="AJ133" s="88"/>
      <c r="AK133" s="88"/>
      <c r="AL133" s="88"/>
      <c r="AM133" s="88">
        <v>78.666666666666671</v>
      </c>
      <c r="AN133" s="88">
        <v>60</v>
      </c>
      <c r="AO133" s="89"/>
      <c r="AP133" s="90"/>
      <c r="AQ133" s="146" t="str">
        <f t="shared" si="55"/>
        <v/>
      </c>
      <c r="AR133" s="146" t="str">
        <f t="shared" si="56"/>
        <v/>
      </c>
      <c r="AS133" s="147"/>
      <c r="AT133" s="148"/>
      <c r="AU133" s="149"/>
      <c r="AV133" s="146" t="str">
        <f t="shared" si="57"/>
        <v/>
      </c>
      <c r="AW133" s="146" t="str">
        <f t="shared" si="58"/>
        <v/>
      </c>
      <c r="AX133" s="138" t="str">
        <f t="shared" si="59"/>
        <v/>
      </c>
      <c r="AY133" s="95"/>
      <c r="AZ133" s="96"/>
      <c r="BA133" s="96"/>
      <c r="BB133" s="96"/>
      <c r="BC133" s="96"/>
      <c r="BD133" s="97">
        <v>60</v>
      </c>
      <c r="BE133" s="142">
        <f t="shared" si="60"/>
        <v>8091</v>
      </c>
      <c r="BF133" s="98">
        <v>1542</v>
      </c>
      <c r="BG133" s="98">
        <v>0</v>
      </c>
      <c r="BH133" s="98">
        <v>0</v>
      </c>
      <c r="BI133" s="98">
        <v>6549</v>
      </c>
      <c r="BJ133" s="98"/>
      <c r="BK133" s="98"/>
      <c r="BL133" s="98"/>
    </row>
    <row r="134" spans="1:64" outlineLevel="5" x14ac:dyDescent="0.3">
      <c r="A134" s="152">
        <f t="shared" si="46"/>
        <v>4</v>
      </c>
      <c r="B134" s="153">
        <f t="shared" si="45"/>
        <v>45397</v>
      </c>
      <c r="C134" s="138">
        <f t="shared" si="51"/>
        <v>38</v>
      </c>
      <c r="D134" s="186">
        <v>38</v>
      </c>
      <c r="E134" s="186">
        <v>38</v>
      </c>
      <c r="F134" s="84"/>
      <c r="G134" s="84"/>
      <c r="H134" s="84"/>
      <c r="I134" s="84"/>
      <c r="J134" s="84"/>
      <c r="K134" s="84"/>
      <c r="L134" s="140">
        <f t="shared" si="52"/>
        <v>8.1</v>
      </c>
      <c r="M134" s="187">
        <v>8.1</v>
      </c>
      <c r="N134" s="187">
        <v>8.14</v>
      </c>
      <c r="O134" s="86"/>
      <c r="P134" s="86"/>
      <c r="Q134" s="86"/>
      <c r="R134" s="86"/>
      <c r="S134" s="86"/>
      <c r="T134" s="86"/>
      <c r="U134" s="142">
        <f t="shared" si="53"/>
        <v>989.4</v>
      </c>
      <c r="V134" s="188">
        <v>951.5</v>
      </c>
      <c r="W134" s="188">
        <v>1027.2</v>
      </c>
      <c r="X134" s="88"/>
      <c r="Y134" s="88"/>
      <c r="Z134" s="88"/>
      <c r="AA134" s="88"/>
      <c r="AB134" s="88"/>
      <c r="AC134" s="88"/>
      <c r="AD134" s="142" t="str">
        <f t="shared" si="54"/>
        <v/>
      </c>
      <c r="AE134" s="88"/>
      <c r="AF134" s="88"/>
      <c r="AG134" s="88"/>
      <c r="AH134" s="88"/>
      <c r="AI134" s="88"/>
      <c r="AJ134" s="88"/>
      <c r="AK134" s="88"/>
      <c r="AL134" s="88"/>
      <c r="AM134" s="88">
        <v>65.166367527267695</v>
      </c>
      <c r="AN134" s="88">
        <v>72.430000000000007</v>
      </c>
      <c r="AO134" s="89">
        <v>18.7</v>
      </c>
      <c r="AP134" s="90">
        <v>15.5</v>
      </c>
      <c r="AQ134" s="146">
        <f t="shared" si="55"/>
        <v>82.887700534759361</v>
      </c>
      <c r="AR134" s="146">
        <f t="shared" si="56"/>
        <v>17.112299465240639</v>
      </c>
      <c r="AS134" s="147"/>
      <c r="AT134" s="148">
        <v>15.399999999999999</v>
      </c>
      <c r="AU134" s="149">
        <v>7.3422999999999998</v>
      </c>
      <c r="AV134" s="146">
        <f t="shared" si="57"/>
        <v>47.677272727272729</v>
      </c>
      <c r="AW134" s="146">
        <f t="shared" si="58"/>
        <v>52.322727272727271</v>
      </c>
      <c r="AX134" s="138">
        <f t="shared" si="59"/>
        <v>81.18781193865054</v>
      </c>
      <c r="AY134" s="95">
        <v>76.2</v>
      </c>
      <c r="AZ134" s="96"/>
      <c r="BA134" s="96"/>
      <c r="BB134" s="96"/>
      <c r="BC134" s="96"/>
      <c r="BD134" s="97">
        <v>72.430000000000007</v>
      </c>
      <c r="BE134" s="142">
        <f t="shared" si="60"/>
        <v>7976</v>
      </c>
      <c r="BF134" s="98">
        <v>1602</v>
      </c>
      <c r="BG134" s="98">
        <v>0</v>
      </c>
      <c r="BH134" s="98">
        <v>0</v>
      </c>
      <c r="BI134" s="98">
        <v>6374</v>
      </c>
      <c r="BJ134" s="98"/>
      <c r="BK134" s="98"/>
      <c r="BL134" s="98"/>
    </row>
    <row r="135" spans="1:64" outlineLevel="5" x14ac:dyDescent="0.3">
      <c r="A135" s="152">
        <f t="shared" si="46"/>
        <v>4</v>
      </c>
      <c r="B135" s="153">
        <f t="shared" si="45"/>
        <v>45398</v>
      </c>
      <c r="C135" s="138" t="str">
        <f t="shared" si="51"/>
        <v/>
      </c>
      <c r="D135" s="186"/>
      <c r="E135" s="186"/>
      <c r="F135" s="84"/>
      <c r="G135" s="84"/>
      <c r="H135" s="84"/>
      <c r="I135" s="84"/>
      <c r="J135" s="84"/>
      <c r="K135" s="84"/>
      <c r="L135" s="140" t="str">
        <f t="shared" si="52"/>
        <v/>
      </c>
      <c r="M135" s="187"/>
      <c r="N135" s="187"/>
      <c r="O135" s="86"/>
      <c r="P135" s="86"/>
      <c r="Q135" s="86"/>
      <c r="R135" s="86"/>
      <c r="S135" s="86"/>
      <c r="T135" s="86"/>
      <c r="U135" s="142" t="str">
        <f t="shared" si="53"/>
        <v/>
      </c>
      <c r="V135" s="188"/>
      <c r="W135" s="188"/>
      <c r="X135" s="88"/>
      <c r="Y135" s="88"/>
      <c r="Z135" s="88"/>
      <c r="AA135" s="88"/>
      <c r="AB135" s="88"/>
      <c r="AC135" s="88"/>
      <c r="AD135" s="142" t="str">
        <f t="shared" si="54"/>
        <v/>
      </c>
      <c r="AE135" s="88"/>
      <c r="AF135" s="88"/>
      <c r="AG135" s="88"/>
      <c r="AH135" s="88"/>
      <c r="AI135" s="88"/>
      <c r="AJ135" s="88"/>
      <c r="AK135" s="88"/>
      <c r="AL135" s="88"/>
      <c r="AM135" s="88">
        <v>52.386237513873475</v>
      </c>
      <c r="AN135" s="88">
        <v>90.1</v>
      </c>
      <c r="AO135" s="89"/>
      <c r="AP135" s="90"/>
      <c r="AQ135" s="146" t="str">
        <f t="shared" si="55"/>
        <v/>
      </c>
      <c r="AR135" s="146" t="str">
        <f t="shared" si="56"/>
        <v/>
      </c>
      <c r="AS135" s="147"/>
      <c r="AT135" s="148"/>
      <c r="AU135" s="149"/>
      <c r="AV135" s="146" t="str">
        <f t="shared" si="57"/>
        <v/>
      </c>
      <c r="AW135" s="146" t="str">
        <f t="shared" si="58"/>
        <v/>
      </c>
      <c r="AX135" s="138" t="str">
        <f t="shared" si="59"/>
        <v/>
      </c>
      <c r="AY135" s="95"/>
      <c r="AZ135" s="96">
        <v>65.055000000000007</v>
      </c>
      <c r="BA135" s="96"/>
      <c r="BB135" s="96">
        <v>44</v>
      </c>
      <c r="BC135" s="96"/>
      <c r="BD135" s="97">
        <v>90.1</v>
      </c>
      <c r="BE135" s="142">
        <f t="shared" si="60"/>
        <v>6544</v>
      </c>
      <c r="BF135" s="98">
        <v>1798</v>
      </c>
      <c r="BG135" s="98">
        <v>0</v>
      </c>
      <c r="BH135" s="98">
        <v>0</v>
      </c>
      <c r="BI135" s="98">
        <v>4746</v>
      </c>
      <c r="BJ135" s="98"/>
      <c r="BK135" s="98"/>
      <c r="BL135" s="98"/>
    </row>
    <row r="136" spans="1:64" outlineLevel="5" x14ac:dyDescent="0.3">
      <c r="A136" s="152">
        <f t="shared" si="46"/>
        <v>4</v>
      </c>
      <c r="B136" s="153">
        <f t="shared" si="45"/>
        <v>45399</v>
      </c>
      <c r="C136" s="138">
        <f t="shared" si="51"/>
        <v>38.799999999999997</v>
      </c>
      <c r="D136" s="186">
        <v>38.799999999999997</v>
      </c>
      <c r="E136" s="186"/>
      <c r="F136" s="84"/>
      <c r="G136" s="84"/>
      <c r="H136" s="84"/>
      <c r="I136" s="84"/>
      <c r="J136" s="84"/>
      <c r="K136" s="84"/>
      <c r="L136" s="140">
        <f t="shared" si="52"/>
        <v>8.1</v>
      </c>
      <c r="M136" s="187">
        <v>8.1</v>
      </c>
      <c r="N136" s="187"/>
      <c r="O136" s="86"/>
      <c r="P136" s="86"/>
      <c r="Q136" s="86"/>
      <c r="R136" s="86"/>
      <c r="S136" s="86"/>
      <c r="T136" s="86"/>
      <c r="U136" s="142">
        <f t="shared" si="53"/>
        <v>702.8</v>
      </c>
      <c r="V136" s="188">
        <v>702.8</v>
      </c>
      <c r="W136" s="188"/>
      <c r="X136" s="88"/>
      <c r="Y136" s="88"/>
      <c r="Z136" s="88"/>
      <c r="AA136" s="88"/>
      <c r="AB136" s="88"/>
      <c r="AC136" s="88"/>
      <c r="AD136" s="142" t="str">
        <f t="shared" si="54"/>
        <v/>
      </c>
      <c r="AE136" s="88"/>
      <c r="AF136" s="88"/>
      <c r="AG136" s="88"/>
      <c r="AH136" s="88"/>
      <c r="AI136" s="88"/>
      <c r="AJ136" s="88"/>
      <c r="AK136" s="88"/>
      <c r="AL136" s="88"/>
      <c r="AM136" s="88">
        <v>90.456113453430433</v>
      </c>
      <c r="AN136" s="88">
        <v>52.18</v>
      </c>
      <c r="AO136" s="89"/>
      <c r="AP136" s="90"/>
      <c r="AQ136" s="146" t="str">
        <f t="shared" si="55"/>
        <v/>
      </c>
      <c r="AR136" s="146" t="str">
        <f t="shared" si="56"/>
        <v/>
      </c>
      <c r="AS136" s="147"/>
      <c r="AT136" s="148">
        <v>14.2</v>
      </c>
      <c r="AU136" s="149">
        <v>3.9192</v>
      </c>
      <c r="AV136" s="146">
        <f t="shared" si="57"/>
        <v>27.6</v>
      </c>
      <c r="AW136" s="146">
        <f t="shared" si="58"/>
        <v>72.400000000000006</v>
      </c>
      <c r="AX136" s="138" t="str">
        <f t="shared" si="59"/>
        <v/>
      </c>
      <c r="AY136" s="95">
        <v>75.8</v>
      </c>
      <c r="AZ136" s="96">
        <v>60.644999999999996</v>
      </c>
      <c r="BA136" s="96"/>
      <c r="BB136" s="96">
        <v>71</v>
      </c>
      <c r="BC136" s="96"/>
      <c r="BD136" s="97">
        <v>52.18</v>
      </c>
      <c r="BE136" s="142">
        <f t="shared" si="60"/>
        <v>8346</v>
      </c>
      <c r="BF136" s="98">
        <v>2149</v>
      </c>
      <c r="BG136" s="98">
        <v>0</v>
      </c>
      <c r="BH136" s="98">
        <v>0</v>
      </c>
      <c r="BI136" s="98">
        <v>6197</v>
      </c>
      <c r="BJ136" s="98"/>
      <c r="BK136" s="98"/>
      <c r="BL136" s="98"/>
    </row>
    <row r="137" spans="1:64" outlineLevel="5" x14ac:dyDescent="0.3">
      <c r="A137" s="152">
        <f t="shared" si="46"/>
        <v>4</v>
      </c>
      <c r="B137" s="153">
        <f t="shared" si="45"/>
        <v>45400</v>
      </c>
      <c r="C137" s="138">
        <f t="shared" si="51"/>
        <v>39.6</v>
      </c>
      <c r="D137" s="186">
        <v>38.5</v>
      </c>
      <c r="E137" s="186">
        <v>40.6</v>
      </c>
      <c r="F137" s="84"/>
      <c r="G137" s="84"/>
      <c r="H137" s="84"/>
      <c r="I137" s="84"/>
      <c r="J137" s="84"/>
      <c r="K137" s="84"/>
      <c r="L137" s="140">
        <f t="shared" si="52"/>
        <v>8.1</v>
      </c>
      <c r="M137" s="187">
        <v>8.11</v>
      </c>
      <c r="N137" s="187">
        <v>8.18</v>
      </c>
      <c r="O137" s="86"/>
      <c r="P137" s="86"/>
      <c r="Q137" s="86"/>
      <c r="R137" s="86"/>
      <c r="S137" s="86"/>
      <c r="T137" s="86"/>
      <c r="U137" s="142">
        <f t="shared" si="53"/>
        <v>735.3</v>
      </c>
      <c r="V137" s="188">
        <v>627.1</v>
      </c>
      <c r="W137" s="188">
        <v>843.4</v>
      </c>
      <c r="X137" s="88"/>
      <c r="Y137" s="88"/>
      <c r="Z137" s="88"/>
      <c r="AA137" s="88"/>
      <c r="AB137" s="88"/>
      <c r="AC137" s="88"/>
      <c r="AD137" s="142" t="str">
        <f t="shared" si="54"/>
        <v/>
      </c>
      <c r="AE137" s="88"/>
      <c r="AF137" s="88"/>
      <c r="AG137" s="88"/>
      <c r="AH137" s="88"/>
      <c r="AI137" s="88"/>
      <c r="AJ137" s="88"/>
      <c r="AK137" s="88"/>
      <c r="AL137" s="88"/>
      <c r="AM137" s="88">
        <v>55.963955418543989</v>
      </c>
      <c r="AN137" s="88">
        <v>84.34</v>
      </c>
      <c r="AO137" s="89"/>
      <c r="AP137" s="90"/>
      <c r="AQ137" s="146" t="str">
        <f t="shared" si="55"/>
        <v/>
      </c>
      <c r="AR137" s="146" t="str">
        <f t="shared" si="56"/>
        <v/>
      </c>
      <c r="AS137" s="147"/>
      <c r="AT137" s="148">
        <v>15.75</v>
      </c>
      <c r="AU137" s="149">
        <v>1.3169999999999999</v>
      </c>
      <c r="AV137" s="146">
        <f t="shared" si="57"/>
        <v>8.3619047619047624</v>
      </c>
      <c r="AW137" s="146">
        <f t="shared" si="58"/>
        <v>91.638095238095232</v>
      </c>
      <c r="AX137" s="138" t="str">
        <f t="shared" si="59"/>
        <v/>
      </c>
      <c r="AY137" s="95">
        <v>77.849999999999994</v>
      </c>
      <c r="AZ137" s="96">
        <v>62.54</v>
      </c>
      <c r="BA137" s="96"/>
      <c r="BB137" s="96">
        <v>74</v>
      </c>
      <c r="BC137" s="96"/>
      <c r="BD137" s="97">
        <v>84.34</v>
      </c>
      <c r="BE137" s="142">
        <f t="shared" si="60"/>
        <v>9162</v>
      </c>
      <c r="BF137" s="98">
        <v>1833</v>
      </c>
      <c r="BG137" s="98">
        <v>0</v>
      </c>
      <c r="BH137" s="98">
        <v>963</v>
      </c>
      <c r="BI137" s="98">
        <v>6366</v>
      </c>
      <c r="BJ137" s="98"/>
      <c r="BK137" s="98"/>
      <c r="BL137" s="98"/>
    </row>
    <row r="138" spans="1:64" outlineLevel="5" x14ac:dyDescent="0.3">
      <c r="A138" s="152">
        <f t="shared" si="46"/>
        <v>4</v>
      </c>
      <c r="B138" s="153">
        <f t="shared" si="45"/>
        <v>45401</v>
      </c>
      <c r="C138" s="138">
        <f t="shared" si="51"/>
        <v>41.7</v>
      </c>
      <c r="D138" s="186"/>
      <c r="E138" s="186">
        <v>41.7</v>
      </c>
      <c r="F138" s="84"/>
      <c r="G138" s="84"/>
      <c r="H138" s="84"/>
      <c r="I138" s="84"/>
      <c r="J138" s="84"/>
      <c r="K138" s="84"/>
      <c r="L138" s="140" t="str">
        <f t="shared" si="52"/>
        <v/>
      </c>
      <c r="M138" s="187"/>
      <c r="N138" s="187"/>
      <c r="O138" s="86"/>
      <c r="P138" s="86"/>
      <c r="Q138" s="86"/>
      <c r="R138" s="86"/>
      <c r="S138" s="86"/>
      <c r="T138" s="86"/>
      <c r="U138" s="142" t="str">
        <f t="shared" si="53"/>
        <v/>
      </c>
      <c r="V138" s="188"/>
      <c r="W138" s="188"/>
      <c r="X138" s="88"/>
      <c r="Y138" s="88"/>
      <c r="Z138" s="88"/>
      <c r="AA138" s="88"/>
      <c r="AB138" s="88"/>
      <c r="AC138" s="88"/>
      <c r="AD138" s="142" t="str">
        <f t="shared" si="54"/>
        <v/>
      </c>
      <c r="AE138" s="88"/>
      <c r="AF138" s="88"/>
      <c r="AG138" s="88"/>
      <c r="AH138" s="88"/>
      <c r="AI138" s="88"/>
      <c r="AJ138" s="88"/>
      <c r="AK138" s="88"/>
      <c r="AL138" s="88"/>
      <c r="AM138" s="88">
        <v>59.505799293998997</v>
      </c>
      <c r="AN138" s="88">
        <v>79.319999999999993</v>
      </c>
      <c r="AO138" s="89"/>
      <c r="AP138" s="90"/>
      <c r="AQ138" s="146" t="str">
        <f t="shared" si="55"/>
        <v/>
      </c>
      <c r="AR138" s="146" t="str">
        <f t="shared" si="56"/>
        <v/>
      </c>
      <c r="AS138" s="147"/>
      <c r="AT138" s="148"/>
      <c r="AU138" s="149"/>
      <c r="AV138" s="146" t="str">
        <f t="shared" si="57"/>
        <v/>
      </c>
      <c r="AW138" s="146" t="str">
        <f t="shared" si="58"/>
        <v/>
      </c>
      <c r="AX138" s="138" t="str">
        <f t="shared" si="59"/>
        <v/>
      </c>
      <c r="AY138" s="95"/>
      <c r="AZ138" s="96">
        <v>63.349999999999994</v>
      </c>
      <c r="BA138" s="96"/>
      <c r="BB138" s="96">
        <v>66.5</v>
      </c>
      <c r="BC138" s="96"/>
      <c r="BD138" s="97">
        <v>79.319999999999993</v>
      </c>
      <c r="BE138" s="142">
        <f t="shared" si="60"/>
        <v>10189</v>
      </c>
      <c r="BF138" s="98">
        <v>1082</v>
      </c>
      <c r="BG138" s="98">
        <v>0</v>
      </c>
      <c r="BH138" s="98">
        <v>2786</v>
      </c>
      <c r="BI138" s="98">
        <v>6321</v>
      </c>
      <c r="BJ138" s="98"/>
      <c r="BK138" s="98"/>
      <c r="BL138" s="98"/>
    </row>
    <row r="139" spans="1:64" outlineLevel="5" x14ac:dyDescent="0.3">
      <c r="A139" s="152">
        <f t="shared" si="46"/>
        <v>4</v>
      </c>
      <c r="B139" s="153">
        <f t="shared" si="45"/>
        <v>45402</v>
      </c>
      <c r="C139" s="138" t="str">
        <f t="shared" si="51"/>
        <v/>
      </c>
      <c r="D139" s="186"/>
      <c r="E139" s="186"/>
      <c r="F139" s="84"/>
      <c r="G139" s="84"/>
      <c r="H139" s="84"/>
      <c r="I139" s="84"/>
      <c r="J139" s="84"/>
      <c r="K139" s="84"/>
      <c r="L139" s="140" t="str">
        <f t="shared" si="52"/>
        <v/>
      </c>
      <c r="M139" s="187"/>
      <c r="N139" s="187"/>
      <c r="O139" s="86"/>
      <c r="P139" s="86"/>
      <c r="Q139" s="86"/>
      <c r="R139" s="86"/>
      <c r="S139" s="86"/>
      <c r="T139" s="86"/>
      <c r="U139" s="142" t="str">
        <f t="shared" si="53"/>
        <v/>
      </c>
      <c r="V139" s="188"/>
      <c r="W139" s="188"/>
      <c r="X139" s="88"/>
      <c r="Y139" s="88"/>
      <c r="Z139" s="88"/>
      <c r="AA139" s="88"/>
      <c r="AB139" s="88"/>
      <c r="AC139" s="88"/>
      <c r="AD139" s="142" t="str">
        <f t="shared" si="54"/>
        <v/>
      </c>
      <c r="AE139" s="88"/>
      <c r="AF139" s="88"/>
      <c r="AG139" s="88"/>
      <c r="AH139" s="88"/>
      <c r="AI139" s="88"/>
      <c r="AJ139" s="88"/>
      <c r="AK139" s="88"/>
      <c r="AL139" s="88"/>
      <c r="AM139" s="88">
        <v>54.40295066851084</v>
      </c>
      <c r="AN139" s="88">
        <v>86.759999999999991</v>
      </c>
      <c r="AO139" s="89"/>
      <c r="AP139" s="90"/>
      <c r="AQ139" s="146" t="str">
        <f t="shared" si="55"/>
        <v/>
      </c>
      <c r="AR139" s="146" t="str">
        <f t="shared" si="56"/>
        <v/>
      </c>
      <c r="AS139" s="147"/>
      <c r="AT139" s="148"/>
      <c r="AU139" s="149"/>
      <c r="AV139" s="146" t="str">
        <f t="shared" si="57"/>
        <v/>
      </c>
      <c r="AW139" s="146" t="str">
        <f t="shared" si="58"/>
        <v/>
      </c>
      <c r="AX139" s="138" t="str">
        <f t="shared" si="59"/>
        <v/>
      </c>
      <c r="AY139" s="95"/>
      <c r="AZ139" s="96"/>
      <c r="BA139" s="96"/>
      <c r="BB139" s="96"/>
      <c r="BC139" s="96"/>
      <c r="BD139" s="97">
        <v>86.759999999999991</v>
      </c>
      <c r="BE139" s="142">
        <f t="shared" si="60"/>
        <v>7402</v>
      </c>
      <c r="BF139" s="98">
        <v>1128</v>
      </c>
      <c r="BG139" s="98">
        <v>0</v>
      </c>
      <c r="BH139" s="98">
        <v>0</v>
      </c>
      <c r="BI139" s="98">
        <v>6274</v>
      </c>
      <c r="BJ139" s="98"/>
      <c r="BK139" s="98"/>
      <c r="BL139" s="98"/>
    </row>
    <row r="140" spans="1:64" outlineLevel="5" x14ac:dyDescent="0.3">
      <c r="A140" s="152">
        <f t="shared" si="46"/>
        <v>4</v>
      </c>
      <c r="B140" s="153">
        <f t="shared" si="45"/>
        <v>45403</v>
      </c>
      <c r="C140" s="138">
        <f t="shared" si="51"/>
        <v>40.5</v>
      </c>
      <c r="D140" s="186">
        <v>40</v>
      </c>
      <c r="E140" s="186">
        <v>41</v>
      </c>
      <c r="F140" s="84"/>
      <c r="G140" s="84"/>
      <c r="H140" s="84"/>
      <c r="I140" s="84"/>
      <c r="J140" s="84"/>
      <c r="K140" s="84"/>
      <c r="L140" s="140" t="str">
        <f t="shared" si="52"/>
        <v/>
      </c>
      <c r="M140" s="187"/>
      <c r="N140" s="187"/>
      <c r="O140" s="86"/>
      <c r="P140" s="86"/>
      <c r="Q140" s="86"/>
      <c r="R140" s="86"/>
      <c r="S140" s="86"/>
      <c r="T140" s="86"/>
      <c r="U140" s="142" t="str">
        <f t="shared" si="53"/>
        <v/>
      </c>
      <c r="V140" s="188"/>
      <c r="W140" s="188"/>
      <c r="X140" s="88"/>
      <c r="Y140" s="88"/>
      <c r="Z140" s="88"/>
      <c r="AA140" s="88"/>
      <c r="AB140" s="88"/>
      <c r="AC140" s="88"/>
      <c r="AD140" s="142" t="str">
        <f t="shared" si="54"/>
        <v/>
      </c>
      <c r="AE140" s="88"/>
      <c r="AF140" s="88"/>
      <c r="AG140" s="88"/>
      <c r="AH140" s="88"/>
      <c r="AI140" s="88"/>
      <c r="AJ140" s="88"/>
      <c r="AK140" s="88"/>
      <c r="AL140" s="88"/>
      <c r="AM140" s="88">
        <v>42.909090909090907</v>
      </c>
      <c r="AN140" s="88">
        <v>110</v>
      </c>
      <c r="AO140" s="89"/>
      <c r="AP140" s="90"/>
      <c r="AQ140" s="146" t="str">
        <f t="shared" si="55"/>
        <v/>
      </c>
      <c r="AR140" s="146" t="str">
        <f t="shared" si="56"/>
        <v/>
      </c>
      <c r="AS140" s="147"/>
      <c r="AT140" s="148"/>
      <c r="AU140" s="149"/>
      <c r="AV140" s="146" t="str">
        <f t="shared" si="57"/>
        <v/>
      </c>
      <c r="AW140" s="146" t="str">
        <f t="shared" si="58"/>
        <v/>
      </c>
      <c r="AX140" s="138" t="str">
        <f t="shared" si="59"/>
        <v/>
      </c>
      <c r="AY140" s="95"/>
      <c r="AZ140" s="96"/>
      <c r="BA140" s="96"/>
      <c r="BB140" s="96"/>
      <c r="BC140" s="96"/>
      <c r="BD140" s="97">
        <v>110</v>
      </c>
      <c r="BE140" s="142">
        <f t="shared" si="60"/>
        <v>9386</v>
      </c>
      <c r="BF140" s="98">
        <v>3126</v>
      </c>
      <c r="BG140" s="98">
        <v>0</v>
      </c>
      <c r="BH140" s="98">
        <v>0</v>
      </c>
      <c r="BI140" s="98">
        <v>6260</v>
      </c>
      <c r="BJ140" s="98"/>
      <c r="BK140" s="98"/>
      <c r="BL140" s="98"/>
    </row>
    <row r="141" spans="1:64" outlineLevel="5" x14ac:dyDescent="0.3">
      <c r="A141" s="152">
        <f t="shared" si="46"/>
        <v>4</v>
      </c>
      <c r="B141" s="153">
        <f t="shared" si="45"/>
        <v>45404</v>
      </c>
      <c r="C141" s="138">
        <f t="shared" si="51"/>
        <v>39.5</v>
      </c>
      <c r="D141" s="186">
        <v>39</v>
      </c>
      <c r="E141" s="186">
        <v>40</v>
      </c>
      <c r="F141" s="84"/>
      <c r="G141" s="84"/>
      <c r="H141" s="84"/>
      <c r="I141" s="84"/>
      <c r="J141" s="84"/>
      <c r="K141" s="84"/>
      <c r="L141" s="140">
        <f t="shared" si="52"/>
        <v>8.3000000000000007</v>
      </c>
      <c r="M141" s="187">
        <v>8.23</v>
      </c>
      <c r="N141" s="187">
        <v>8.2799999999999994</v>
      </c>
      <c r="O141" s="86"/>
      <c r="P141" s="86"/>
      <c r="Q141" s="86"/>
      <c r="R141" s="86"/>
      <c r="S141" s="86"/>
      <c r="T141" s="86"/>
      <c r="U141" s="142">
        <f t="shared" si="53"/>
        <v>724.5</v>
      </c>
      <c r="V141" s="188">
        <v>659.6</v>
      </c>
      <c r="W141" s="188">
        <v>789.3</v>
      </c>
      <c r="X141" s="88"/>
      <c r="Y141" s="88"/>
      <c r="Z141" s="88"/>
      <c r="AA141" s="88"/>
      <c r="AB141" s="88"/>
      <c r="AC141" s="88"/>
      <c r="AD141" s="142" t="str">
        <f t="shared" si="54"/>
        <v/>
      </c>
      <c r="AE141" s="88"/>
      <c r="AF141" s="88"/>
      <c r="AG141" s="88"/>
      <c r="AH141" s="88"/>
      <c r="AI141" s="88"/>
      <c r="AJ141" s="88"/>
      <c r="AK141" s="88"/>
      <c r="AL141" s="88"/>
      <c r="AM141" s="88">
        <v>56.587939096031654</v>
      </c>
      <c r="AN141" s="88">
        <v>83.41</v>
      </c>
      <c r="AO141" s="89">
        <v>20</v>
      </c>
      <c r="AP141" s="90">
        <v>16.899999999999999</v>
      </c>
      <c r="AQ141" s="146">
        <f t="shared" si="55"/>
        <v>84.5</v>
      </c>
      <c r="AR141" s="146">
        <f t="shared" si="56"/>
        <v>15.5</v>
      </c>
      <c r="AS141" s="147"/>
      <c r="AT141" s="148">
        <v>16.5</v>
      </c>
      <c r="AU141" s="149">
        <v>7.7858000000000001</v>
      </c>
      <c r="AV141" s="146">
        <f t="shared" si="57"/>
        <v>47.186666666666667</v>
      </c>
      <c r="AW141" s="146">
        <f t="shared" si="58"/>
        <v>52.813333333333333</v>
      </c>
      <c r="AX141" s="138">
        <f t="shared" si="59"/>
        <v>83.611065880500561</v>
      </c>
      <c r="AY141" s="95">
        <v>75.45</v>
      </c>
      <c r="AZ141" s="96">
        <v>64.08</v>
      </c>
      <c r="BA141" s="96"/>
      <c r="BB141" s="96">
        <v>60.5</v>
      </c>
      <c r="BC141" s="96"/>
      <c r="BD141" s="97">
        <v>83.41</v>
      </c>
      <c r="BE141" s="142">
        <f t="shared" si="60"/>
        <v>8065</v>
      </c>
      <c r="BF141" s="98">
        <v>1635</v>
      </c>
      <c r="BG141" s="98">
        <v>0</v>
      </c>
      <c r="BH141" s="98">
        <v>204</v>
      </c>
      <c r="BI141" s="98">
        <v>6226</v>
      </c>
      <c r="BJ141" s="98"/>
      <c r="BK141" s="98"/>
      <c r="BL141" s="98"/>
    </row>
    <row r="142" spans="1:64" outlineLevel="5" x14ac:dyDescent="0.3">
      <c r="A142" s="152">
        <f t="shared" si="46"/>
        <v>4</v>
      </c>
      <c r="B142" s="153">
        <f t="shared" si="45"/>
        <v>45405</v>
      </c>
      <c r="C142" s="138" t="str">
        <f t="shared" si="51"/>
        <v/>
      </c>
      <c r="D142" s="186"/>
      <c r="E142" s="186"/>
      <c r="F142" s="84"/>
      <c r="G142" s="84"/>
      <c r="H142" s="84"/>
      <c r="I142" s="84"/>
      <c r="J142" s="84"/>
      <c r="K142" s="84"/>
      <c r="L142" s="140" t="str">
        <f t="shared" si="52"/>
        <v/>
      </c>
      <c r="M142" s="187"/>
      <c r="N142" s="187"/>
      <c r="O142" s="86"/>
      <c r="P142" s="86"/>
      <c r="Q142" s="86"/>
      <c r="R142" s="86"/>
      <c r="S142" s="86"/>
      <c r="T142" s="86"/>
      <c r="U142" s="142" t="str">
        <f t="shared" si="53"/>
        <v/>
      </c>
      <c r="V142" s="188"/>
      <c r="W142" s="188"/>
      <c r="X142" s="88"/>
      <c r="Y142" s="88"/>
      <c r="Z142" s="88"/>
      <c r="AA142" s="88"/>
      <c r="AB142" s="88"/>
      <c r="AC142" s="88"/>
      <c r="AD142" s="142" t="str">
        <f t="shared" si="54"/>
        <v/>
      </c>
      <c r="AE142" s="88"/>
      <c r="AF142" s="88"/>
      <c r="AG142" s="88"/>
      <c r="AH142" s="88"/>
      <c r="AI142" s="88"/>
      <c r="AJ142" s="88"/>
      <c r="AK142" s="88"/>
      <c r="AL142" s="88"/>
      <c r="AM142" s="88">
        <v>50.741775962158677</v>
      </c>
      <c r="AN142" s="88">
        <v>93.02</v>
      </c>
      <c r="AO142" s="89"/>
      <c r="AP142" s="90"/>
      <c r="AQ142" s="146" t="str">
        <f t="shared" si="55"/>
        <v/>
      </c>
      <c r="AR142" s="146" t="str">
        <f t="shared" si="56"/>
        <v/>
      </c>
      <c r="AS142" s="147"/>
      <c r="AT142" s="148"/>
      <c r="AU142" s="149"/>
      <c r="AV142" s="146" t="str">
        <f t="shared" si="57"/>
        <v/>
      </c>
      <c r="AW142" s="146" t="str">
        <f t="shared" si="58"/>
        <v/>
      </c>
      <c r="AX142" s="138" t="str">
        <f t="shared" si="59"/>
        <v/>
      </c>
      <c r="AY142" s="95"/>
      <c r="AZ142" s="96">
        <v>62.29</v>
      </c>
      <c r="BA142" s="96"/>
      <c r="BB142" s="96">
        <v>64</v>
      </c>
      <c r="BC142" s="96"/>
      <c r="BD142" s="97">
        <v>93.02</v>
      </c>
      <c r="BE142" s="142">
        <f t="shared" si="60"/>
        <v>9563</v>
      </c>
      <c r="BF142" s="98">
        <v>2168</v>
      </c>
      <c r="BG142" s="98">
        <v>0</v>
      </c>
      <c r="BH142" s="98">
        <v>1094</v>
      </c>
      <c r="BI142" s="98">
        <v>6301</v>
      </c>
      <c r="BJ142" s="98"/>
      <c r="BK142" s="98"/>
      <c r="BL142" s="98"/>
    </row>
    <row r="143" spans="1:64" outlineLevel="5" x14ac:dyDescent="0.3">
      <c r="A143" s="152">
        <f t="shared" si="46"/>
        <v>4</v>
      </c>
      <c r="B143" s="153">
        <f t="shared" si="45"/>
        <v>45406</v>
      </c>
      <c r="C143" s="138">
        <f t="shared" si="51"/>
        <v>40.200000000000003</v>
      </c>
      <c r="D143" s="186">
        <v>40</v>
      </c>
      <c r="E143" s="186">
        <v>40.4</v>
      </c>
      <c r="F143" s="84"/>
      <c r="G143" s="84"/>
      <c r="H143" s="84"/>
      <c r="I143" s="84"/>
      <c r="J143" s="84"/>
      <c r="K143" s="84"/>
      <c r="L143" s="140">
        <f t="shared" si="52"/>
        <v>8.3000000000000007</v>
      </c>
      <c r="M143" s="187">
        <v>8.2799999999999994</v>
      </c>
      <c r="N143" s="187">
        <v>8.34</v>
      </c>
      <c r="O143" s="86"/>
      <c r="P143" s="86"/>
      <c r="Q143" s="86"/>
      <c r="R143" s="86"/>
      <c r="S143" s="86"/>
      <c r="T143" s="86"/>
      <c r="U143" s="142">
        <f t="shared" si="53"/>
        <v>780.5</v>
      </c>
      <c r="V143" s="188">
        <v>724.4</v>
      </c>
      <c r="W143" s="188">
        <v>836.6</v>
      </c>
      <c r="X143" s="88"/>
      <c r="Y143" s="88"/>
      <c r="Z143" s="88"/>
      <c r="AA143" s="88"/>
      <c r="AB143" s="88"/>
      <c r="AC143" s="88"/>
      <c r="AD143" s="142" t="str">
        <f t="shared" si="54"/>
        <v/>
      </c>
      <c r="AE143" s="88"/>
      <c r="AF143" s="88"/>
      <c r="AG143" s="88"/>
      <c r="AH143" s="88"/>
      <c r="AI143" s="88"/>
      <c r="AJ143" s="88"/>
      <c r="AK143" s="88"/>
      <c r="AL143" s="88"/>
      <c r="AM143" s="88">
        <v>48.158351188654215</v>
      </c>
      <c r="AN143" s="88">
        <v>98.01</v>
      </c>
      <c r="AO143" s="89"/>
      <c r="AP143" s="90"/>
      <c r="AQ143" s="146" t="str">
        <f t="shared" si="55"/>
        <v/>
      </c>
      <c r="AR143" s="146" t="str">
        <f t="shared" si="56"/>
        <v/>
      </c>
      <c r="AS143" s="147"/>
      <c r="AT143" s="148">
        <v>14.55</v>
      </c>
      <c r="AU143" s="149">
        <v>7.8322500000000002</v>
      </c>
      <c r="AV143" s="146">
        <f t="shared" si="57"/>
        <v>53.829896907216494</v>
      </c>
      <c r="AW143" s="146">
        <f t="shared" si="58"/>
        <v>46.170103092783506</v>
      </c>
      <c r="AX143" s="138" t="str">
        <f t="shared" si="59"/>
        <v/>
      </c>
      <c r="AY143" s="95">
        <v>75.7</v>
      </c>
      <c r="AZ143" s="96">
        <v>63.465000000000003</v>
      </c>
      <c r="BA143" s="96"/>
      <c r="BB143" s="96">
        <v>57.5</v>
      </c>
      <c r="BC143" s="96"/>
      <c r="BD143" s="97">
        <v>98.01</v>
      </c>
      <c r="BE143" s="142">
        <f t="shared" si="60"/>
        <v>9591</v>
      </c>
      <c r="BF143" s="98">
        <v>400</v>
      </c>
      <c r="BG143" s="98">
        <v>0</v>
      </c>
      <c r="BH143" s="98">
        <v>2858</v>
      </c>
      <c r="BI143" s="98">
        <v>6333</v>
      </c>
      <c r="BJ143" s="98"/>
      <c r="BK143" s="98"/>
      <c r="BL143" s="98"/>
    </row>
    <row r="144" spans="1:64" outlineLevel="5" x14ac:dyDescent="0.3">
      <c r="A144" s="152">
        <f t="shared" si="46"/>
        <v>4</v>
      </c>
      <c r="B144" s="153">
        <f t="shared" si="45"/>
        <v>45407</v>
      </c>
      <c r="C144" s="138">
        <f t="shared" si="51"/>
        <v>40.5</v>
      </c>
      <c r="D144" s="186">
        <v>40</v>
      </c>
      <c r="E144" s="186">
        <v>41</v>
      </c>
      <c r="F144" s="84"/>
      <c r="G144" s="84"/>
      <c r="H144" s="84"/>
      <c r="I144" s="84"/>
      <c r="J144" s="84"/>
      <c r="K144" s="84"/>
      <c r="L144" s="140">
        <f t="shared" si="52"/>
        <v>8.1999999999999993</v>
      </c>
      <c r="M144" s="187">
        <v>8.2200000000000006</v>
      </c>
      <c r="N144" s="187">
        <v>8.25</v>
      </c>
      <c r="O144" s="86"/>
      <c r="P144" s="86"/>
      <c r="Q144" s="86"/>
      <c r="R144" s="86"/>
      <c r="S144" s="86"/>
      <c r="T144" s="86"/>
      <c r="U144" s="142">
        <f t="shared" si="53"/>
        <v>827.2</v>
      </c>
      <c r="V144" s="188">
        <v>735.3</v>
      </c>
      <c r="W144" s="188">
        <v>919.1</v>
      </c>
      <c r="X144" s="88"/>
      <c r="Y144" s="88"/>
      <c r="Z144" s="88"/>
      <c r="AA144" s="88"/>
      <c r="AB144" s="88"/>
      <c r="AC144" s="88"/>
      <c r="AD144" s="142" t="str">
        <f t="shared" si="54"/>
        <v/>
      </c>
      <c r="AE144" s="88"/>
      <c r="AF144" s="88"/>
      <c r="AG144" s="88"/>
      <c r="AH144" s="88"/>
      <c r="AI144" s="88"/>
      <c r="AJ144" s="88"/>
      <c r="AK144" s="88"/>
      <c r="AL144" s="88"/>
      <c r="AM144" s="88">
        <v>47.894469812278032</v>
      </c>
      <c r="AN144" s="88">
        <v>98.55</v>
      </c>
      <c r="AO144" s="89"/>
      <c r="AP144" s="90"/>
      <c r="AQ144" s="146" t="str">
        <f t="shared" si="55"/>
        <v/>
      </c>
      <c r="AR144" s="146" t="str">
        <f t="shared" si="56"/>
        <v/>
      </c>
      <c r="AS144" s="147"/>
      <c r="AT144" s="148">
        <v>14.55</v>
      </c>
      <c r="AU144" s="149">
        <v>7.7024000000000008</v>
      </c>
      <c r="AV144" s="146">
        <f t="shared" si="57"/>
        <v>52.937457044673543</v>
      </c>
      <c r="AW144" s="146">
        <f t="shared" si="58"/>
        <v>47.062542955326457</v>
      </c>
      <c r="AX144" s="138" t="str">
        <f t="shared" si="59"/>
        <v/>
      </c>
      <c r="AY144" s="95">
        <v>75.349999999999994</v>
      </c>
      <c r="AZ144" s="96">
        <v>62.38</v>
      </c>
      <c r="BA144" s="96"/>
      <c r="BB144" s="96">
        <v>58</v>
      </c>
      <c r="BC144" s="96"/>
      <c r="BD144" s="97">
        <v>98.55</v>
      </c>
      <c r="BE144" s="142">
        <f t="shared" si="60"/>
        <v>5961</v>
      </c>
      <c r="BF144" s="98">
        <v>1894</v>
      </c>
      <c r="BG144" s="98">
        <v>0</v>
      </c>
      <c r="BH144" s="98">
        <v>1842</v>
      </c>
      <c r="BI144" s="98">
        <v>2225</v>
      </c>
      <c r="BJ144" s="98"/>
      <c r="BK144" s="98"/>
      <c r="BL144" s="98"/>
    </row>
    <row r="145" spans="1:64" outlineLevel="5" x14ac:dyDescent="0.3">
      <c r="A145" s="152">
        <f t="shared" si="46"/>
        <v>4</v>
      </c>
      <c r="B145" s="153">
        <f t="shared" si="45"/>
        <v>45408</v>
      </c>
      <c r="C145" s="138" t="str">
        <f t="shared" si="51"/>
        <v/>
      </c>
      <c r="D145" s="186"/>
      <c r="E145" s="186"/>
      <c r="F145" s="84"/>
      <c r="G145" s="84"/>
      <c r="H145" s="84"/>
      <c r="I145" s="84"/>
      <c r="J145" s="84"/>
      <c r="K145" s="84"/>
      <c r="L145" s="140" t="str">
        <f t="shared" si="52"/>
        <v/>
      </c>
      <c r="M145" s="187"/>
      <c r="N145" s="187"/>
      <c r="O145" s="86"/>
      <c r="P145" s="86"/>
      <c r="Q145" s="86"/>
      <c r="R145" s="86"/>
      <c r="S145" s="86"/>
      <c r="T145" s="86"/>
      <c r="U145" s="142" t="str">
        <f t="shared" si="53"/>
        <v/>
      </c>
      <c r="V145" s="188"/>
      <c r="W145" s="188"/>
      <c r="X145" s="88"/>
      <c r="Y145" s="88"/>
      <c r="Z145" s="88"/>
      <c r="AA145" s="88"/>
      <c r="AB145" s="88"/>
      <c r="AC145" s="88"/>
      <c r="AD145" s="142" t="str">
        <f t="shared" si="54"/>
        <v/>
      </c>
      <c r="AE145" s="88"/>
      <c r="AF145" s="88"/>
      <c r="AG145" s="88"/>
      <c r="AH145" s="88"/>
      <c r="AI145" s="88"/>
      <c r="AJ145" s="88"/>
      <c r="AK145" s="88"/>
      <c r="AL145" s="88"/>
      <c r="AM145" s="88">
        <v>72.248584111434255</v>
      </c>
      <c r="AN145" s="88">
        <v>65.33</v>
      </c>
      <c r="AO145" s="89"/>
      <c r="AP145" s="90"/>
      <c r="AQ145" s="146" t="str">
        <f t="shared" si="55"/>
        <v/>
      </c>
      <c r="AR145" s="146" t="str">
        <f t="shared" si="56"/>
        <v/>
      </c>
      <c r="AS145" s="147"/>
      <c r="AT145" s="148"/>
      <c r="AU145" s="149"/>
      <c r="AV145" s="146" t="str">
        <f t="shared" si="57"/>
        <v/>
      </c>
      <c r="AW145" s="146" t="str">
        <f t="shared" si="58"/>
        <v/>
      </c>
      <c r="AX145" s="138" t="str">
        <f t="shared" si="59"/>
        <v/>
      </c>
      <c r="AY145" s="95"/>
      <c r="AZ145" s="96">
        <v>63.905000000000001</v>
      </c>
      <c r="BA145" s="96"/>
      <c r="BB145" s="96">
        <v>46.5</v>
      </c>
      <c r="BC145" s="96"/>
      <c r="BD145" s="97">
        <v>65.33</v>
      </c>
      <c r="BE145" s="142">
        <f t="shared" si="60"/>
        <v>3097</v>
      </c>
      <c r="BF145" s="98">
        <v>2004</v>
      </c>
      <c r="BG145" s="98">
        <v>0</v>
      </c>
      <c r="BH145" s="98">
        <v>0</v>
      </c>
      <c r="BI145" s="98">
        <v>1093</v>
      </c>
      <c r="BJ145" s="98"/>
      <c r="BK145" s="98"/>
      <c r="BL145" s="98"/>
    </row>
    <row r="146" spans="1:64" outlineLevel="5" x14ac:dyDescent="0.3">
      <c r="A146" s="152">
        <f t="shared" si="46"/>
        <v>4</v>
      </c>
      <c r="B146" s="153">
        <f t="shared" si="45"/>
        <v>45409</v>
      </c>
      <c r="C146" s="138">
        <f t="shared" si="51"/>
        <v>40.1</v>
      </c>
      <c r="D146" s="186"/>
      <c r="E146" s="186">
        <v>40.1</v>
      </c>
      <c r="F146" s="84"/>
      <c r="G146" s="84"/>
      <c r="H146" s="84"/>
      <c r="I146" s="84"/>
      <c r="J146" s="84"/>
      <c r="K146" s="84"/>
      <c r="L146" s="140" t="str">
        <f t="shared" si="52"/>
        <v/>
      </c>
      <c r="M146" s="187"/>
      <c r="N146" s="187"/>
      <c r="O146" s="86"/>
      <c r="P146" s="86"/>
      <c r="Q146" s="86"/>
      <c r="R146" s="86"/>
      <c r="S146" s="86"/>
      <c r="T146" s="86"/>
      <c r="U146" s="142" t="str">
        <f t="shared" si="53"/>
        <v/>
      </c>
      <c r="V146" s="188"/>
      <c r="W146" s="188"/>
      <c r="X146" s="88"/>
      <c r="Y146" s="88"/>
      <c r="Z146" s="88"/>
      <c r="AA146" s="88"/>
      <c r="AB146" s="88"/>
      <c r="AC146" s="88"/>
      <c r="AD146" s="142" t="str">
        <f t="shared" si="54"/>
        <v/>
      </c>
      <c r="AE146" s="88"/>
      <c r="AF146" s="88"/>
      <c r="AG146" s="88"/>
      <c r="AH146" s="88"/>
      <c r="AI146" s="88"/>
      <c r="AJ146" s="88"/>
      <c r="AK146" s="88"/>
      <c r="AL146" s="88"/>
      <c r="AM146" s="88">
        <v>38.34592574538955</v>
      </c>
      <c r="AN146" s="88">
        <v>123.09</v>
      </c>
      <c r="AO146" s="89"/>
      <c r="AP146" s="90"/>
      <c r="AQ146" s="146" t="str">
        <f t="shared" si="55"/>
        <v/>
      </c>
      <c r="AR146" s="146" t="str">
        <f t="shared" si="56"/>
        <v/>
      </c>
      <c r="AS146" s="147"/>
      <c r="AT146" s="148"/>
      <c r="AU146" s="149"/>
      <c r="AV146" s="146" t="str">
        <f t="shared" si="57"/>
        <v/>
      </c>
      <c r="AW146" s="146" t="str">
        <f t="shared" si="58"/>
        <v/>
      </c>
      <c r="AX146" s="138" t="str">
        <f t="shared" si="59"/>
        <v/>
      </c>
      <c r="AY146" s="95"/>
      <c r="AZ146" s="96"/>
      <c r="BA146" s="96"/>
      <c r="BB146" s="96"/>
      <c r="BC146" s="96"/>
      <c r="BD146" s="97">
        <v>123.09</v>
      </c>
      <c r="BE146" s="142">
        <f t="shared" si="60"/>
        <v>8638</v>
      </c>
      <c r="BF146" s="98">
        <v>2204</v>
      </c>
      <c r="BG146" s="98">
        <v>0</v>
      </c>
      <c r="BH146" s="98">
        <v>0</v>
      </c>
      <c r="BI146" s="98">
        <v>6434</v>
      </c>
      <c r="BJ146" s="98"/>
      <c r="BK146" s="98"/>
      <c r="BL146" s="98"/>
    </row>
    <row r="147" spans="1:64" outlineLevel="5" x14ac:dyDescent="0.3">
      <c r="A147" s="152">
        <f t="shared" si="46"/>
        <v>4</v>
      </c>
      <c r="B147" s="153">
        <f t="shared" si="45"/>
        <v>45410</v>
      </c>
      <c r="C147" s="138" t="str">
        <f t="shared" si="51"/>
        <v/>
      </c>
      <c r="D147" s="186"/>
      <c r="E147" s="186"/>
      <c r="F147" s="84"/>
      <c r="G147" s="84"/>
      <c r="H147" s="84"/>
      <c r="I147" s="84"/>
      <c r="J147" s="84"/>
      <c r="K147" s="84"/>
      <c r="L147" s="140" t="str">
        <f t="shared" si="52"/>
        <v/>
      </c>
      <c r="M147" s="187"/>
      <c r="N147" s="187"/>
      <c r="O147" s="86"/>
      <c r="P147" s="86"/>
      <c r="Q147" s="86"/>
      <c r="R147" s="86"/>
      <c r="S147" s="86"/>
      <c r="T147" s="86"/>
      <c r="U147" s="142" t="str">
        <f t="shared" si="53"/>
        <v/>
      </c>
      <c r="V147" s="188"/>
      <c r="W147" s="188"/>
      <c r="X147" s="88"/>
      <c r="Y147" s="88"/>
      <c r="Z147" s="88"/>
      <c r="AA147" s="88"/>
      <c r="AB147" s="88"/>
      <c r="AC147" s="88"/>
      <c r="AD147" s="142" t="str">
        <f t="shared" si="54"/>
        <v/>
      </c>
      <c r="AE147" s="88"/>
      <c r="AF147" s="88"/>
      <c r="AG147" s="88"/>
      <c r="AH147" s="88"/>
      <c r="AI147" s="88"/>
      <c r="AJ147" s="88"/>
      <c r="AK147" s="88"/>
      <c r="AL147" s="88"/>
      <c r="AM147" s="88">
        <v>47.2</v>
      </c>
      <c r="AN147" s="88">
        <v>100</v>
      </c>
      <c r="AO147" s="89"/>
      <c r="AP147" s="90"/>
      <c r="AQ147" s="146" t="str">
        <f t="shared" si="55"/>
        <v/>
      </c>
      <c r="AR147" s="146" t="str">
        <f t="shared" si="56"/>
        <v/>
      </c>
      <c r="AS147" s="147"/>
      <c r="AT147" s="148"/>
      <c r="AU147" s="149"/>
      <c r="AV147" s="146" t="str">
        <f t="shared" si="57"/>
        <v/>
      </c>
      <c r="AW147" s="146" t="str">
        <f t="shared" si="58"/>
        <v/>
      </c>
      <c r="AX147" s="138" t="str">
        <f t="shared" si="59"/>
        <v/>
      </c>
      <c r="AY147" s="95"/>
      <c r="AZ147" s="96"/>
      <c r="BA147" s="96"/>
      <c r="BB147" s="96"/>
      <c r="BC147" s="96"/>
      <c r="BD147" s="97">
        <v>100</v>
      </c>
      <c r="BE147" s="142">
        <f t="shared" si="60"/>
        <v>8376</v>
      </c>
      <c r="BF147" s="98">
        <v>2035</v>
      </c>
      <c r="BG147" s="98">
        <v>0</v>
      </c>
      <c r="BH147" s="98">
        <v>0</v>
      </c>
      <c r="BI147" s="98">
        <v>6341</v>
      </c>
      <c r="BJ147" s="98"/>
      <c r="BK147" s="98"/>
      <c r="BL147" s="98"/>
    </row>
    <row r="148" spans="1:64" outlineLevel="5" x14ac:dyDescent="0.3">
      <c r="A148" s="152">
        <f t="shared" si="46"/>
        <v>4</v>
      </c>
      <c r="B148" s="153">
        <f t="shared" si="45"/>
        <v>45411</v>
      </c>
      <c r="C148" s="138">
        <f t="shared" si="51"/>
        <v>39</v>
      </c>
      <c r="D148" s="186">
        <v>39</v>
      </c>
      <c r="E148" s="186">
        <v>39</v>
      </c>
      <c r="F148" s="84"/>
      <c r="G148" s="84"/>
      <c r="H148" s="84"/>
      <c r="I148" s="84"/>
      <c r="J148" s="84"/>
      <c r="K148" s="84"/>
      <c r="L148" s="140">
        <f t="shared" si="52"/>
        <v>8.3000000000000007</v>
      </c>
      <c r="M148" s="187">
        <v>8.2100000000000009</v>
      </c>
      <c r="N148" s="187">
        <v>8.33</v>
      </c>
      <c r="O148" s="86"/>
      <c r="P148" s="86"/>
      <c r="Q148" s="86"/>
      <c r="R148" s="86"/>
      <c r="S148" s="86"/>
      <c r="T148" s="86"/>
      <c r="U148" s="142">
        <f t="shared" si="53"/>
        <v>540.70000000000005</v>
      </c>
      <c r="V148" s="188">
        <v>475.8</v>
      </c>
      <c r="W148" s="188">
        <v>605.5</v>
      </c>
      <c r="X148" s="88"/>
      <c r="Y148" s="88"/>
      <c r="Z148" s="88"/>
      <c r="AA148" s="88"/>
      <c r="AB148" s="88"/>
      <c r="AC148" s="88"/>
      <c r="AD148" s="142" t="str">
        <f t="shared" si="54"/>
        <v/>
      </c>
      <c r="AE148" s="88"/>
      <c r="AF148" s="88"/>
      <c r="AG148" s="88"/>
      <c r="AH148" s="88"/>
      <c r="AI148" s="88"/>
      <c r="AJ148" s="88"/>
      <c r="AK148" s="88"/>
      <c r="AL148" s="88"/>
      <c r="AM148" s="88">
        <v>86.589616584113017</v>
      </c>
      <c r="AN148" s="88">
        <v>54.51</v>
      </c>
      <c r="AO148" s="89">
        <v>18.399999999999999</v>
      </c>
      <c r="AP148" s="90">
        <v>15.2</v>
      </c>
      <c r="AQ148" s="146">
        <f t="shared" si="55"/>
        <v>82.608695652173907</v>
      </c>
      <c r="AR148" s="146">
        <f t="shared" si="56"/>
        <v>17.391304347826093</v>
      </c>
      <c r="AS148" s="147"/>
      <c r="AT148" s="148">
        <v>15.149999999999999</v>
      </c>
      <c r="AU148" s="149">
        <v>7.6515999999999993</v>
      </c>
      <c r="AV148" s="146">
        <f t="shared" si="57"/>
        <v>50.505610561056102</v>
      </c>
      <c r="AW148" s="146">
        <f t="shared" si="58"/>
        <v>49.494389438943898</v>
      </c>
      <c r="AX148" s="138">
        <f t="shared" si="59"/>
        <v>78.517241572939071</v>
      </c>
      <c r="AY148" s="95">
        <v>75.8</v>
      </c>
      <c r="AZ148" s="96"/>
      <c r="BA148" s="96"/>
      <c r="BB148" s="96"/>
      <c r="BC148" s="96"/>
      <c r="BD148" s="97">
        <v>54.51</v>
      </c>
      <c r="BE148" s="142">
        <f t="shared" si="60"/>
        <v>7279</v>
      </c>
      <c r="BF148" s="98">
        <v>770</v>
      </c>
      <c r="BG148" s="98">
        <v>0</v>
      </c>
      <c r="BH148" s="98">
        <v>0</v>
      </c>
      <c r="BI148" s="98">
        <v>6509</v>
      </c>
      <c r="BJ148" s="98"/>
      <c r="BK148" s="98"/>
      <c r="BL148" s="98"/>
    </row>
    <row r="149" spans="1:64" ht="17.25" outlineLevel="5" thickBot="1" x14ac:dyDescent="0.35">
      <c r="A149" s="154">
        <f t="shared" si="46"/>
        <v>4</v>
      </c>
      <c r="B149" s="155">
        <f t="shared" si="45"/>
        <v>45412</v>
      </c>
      <c r="C149" s="138" t="str">
        <f t="shared" si="51"/>
        <v/>
      </c>
      <c r="D149" s="186"/>
      <c r="E149" s="186"/>
      <c r="F149" s="84"/>
      <c r="G149" s="84"/>
      <c r="H149" s="84"/>
      <c r="I149" s="84"/>
      <c r="J149" s="84"/>
      <c r="K149" s="84"/>
      <c r="L149" s="140" t="str">
        <f t="shared" si="52"/>
        <v/>
      </c>
      <c r="M149" s="187"/>
      <c r="N149" s="187"/>
      <c r="O149" s="86"/>
      <c r="P149" s="86"/>
      <c r="Q149" s="86"/>
      <c r="R149" s="86"/>
      <c r="S149" s="86"/>
      <c r="T149" s="86"/>
      <c r="U149" s="142" t="str">
        <f t="shared" si="53"/>
        <v/>
      </c>
      <c r="V149" s="188"/>
      <c r="W149" s="188"/>
      <c r="X149" s="88"/>
      <c r="Y149" s="88"/>
      <c r="Z149" s="88"/>
      <c r="AA149" s="88"/>
      <c r="AB149" s="88"/>
      <c r="AC149" s="88"/>
      <c r="AD149" s="142" t="str">
        <f t="shared" si="54"/>
        <v/>
      </c>
      <c r="AE149" s="88"/>
      <c r="AF149" s="88"/>
      <c r="AG149" s="88"/>
      <c r="AH149" s="88"/>
      <c r="AI149" s="88"/>
      <c r="AJ149" s="88"/>
      <c r="AK149" s="88"/>
      <c r="AL149" s="88"/>
      <c r="AM149" s="88">
        <v>44.553520860864644</v>
      </c>
      <c r="AN149" s="88">
        <v>105.94</v>
      </c>
      <c r="AO149" s="89"/>
      <c r="AP149" s="90"/>
      <c r="AQ149" s="146" t="str">
        <f t="shared" si="55"/>
        <v/>
      </c>
      <c r="AR149" s="146" t="str">
        <f t="shared" si="56"/>
        <v/>
      </c>
      <c r="AS149" s="147"/>
      <c r="AT149" s="148"/>
      <c r="AU149" s="149"/>
      <c r="AV149" s="146" t="str">
        <f t="shared" si="57"/>
        <v/>
      </c>
      <c r="AW149" s="146" t="str">
        <f t="shared" si="58"/>
        <v/>
      </c>
      <c r="AX149" s="138" t="str">
        <f t="shared" si="59"/>
        <v/>
      </c>
      <c r="AY149" s="95"/>
      <c r="AZ149" s="96">
        <v>61.519999999999996</v>
      </c>
      <c r="BA149" s="96"/>
      <c r="BB149" s="96">
        <v>57.5</v>
      </c>
      <c r="BC149" s="96"/>
      <c r="BD149" s="97">
        <v>105.94</v>
      </c>
      <c r="BE149" s="142">
        <f t="shared" si="60"/>
        <v>8775</v>
      </c>
      <c r="BF149" s="98">
        <v>2191</v>
      </c>
      <c r="BG149" s="98">
        <v>0</v>
      </c>
      <c r="BH149" s="98">
        <v>0</v>
      </c>
      <c r="BI149" s="98">
        <v>6584</v>
      </c>
      <c r="BJ149" s="98"/>
      <c r="BK149" s="98"/>
      <c r="BL149" s="98"/>
    </row>
    <row r="150" spans="1:64" outlineLevel="4" x14ac:dyDescent="0.3">
      <c r="A150" s="63" t="s">
        <v>69</v>
      </c>
      <c r="B150" s="64"/>
      <c r="C150" s="65">
        <f t="shared" ref="C150:BL150" si="61">SUBTOTAL(4,C120:C149)</f>
        <v>41.7</v>
      </c>
      <c r="D150" s="66">
        <f t="shared" si="61"/>
        <v>40</v>
      </c>
      <c r="E150" s="66">
        <f t="shared" si="61"/>
        <v>41.7</v>
      </c>
      <c r="F150" s="66">
        <f t="shared" si="61"/>
        <v>0</v>
      </c>
      <c r="G150" s="66">
        <f t="shared" si="61"/>
        <v>0</v>
      </c>
      <c r="H150" s="66">
        <f t="shared" si="61"/>
        <v>0</v>
      </c>
      <c r="I150" s="66">
        <f t="shared" si="61"/>
        <v>0</v>
      </c>
      <c r="J150" s="66">
        <f t="shared" si="61"/>
        <v>0</v>
      </c>
      <c r="K150" s="66">
        <f t="shared" si="61"/>
        <v>0</v>
      </c>
      <c r="L150" s="67">
        <f t="shared" si="61"/>
        <v>8.3000000000000007</v>
      </c>
      <c r="M150" s="68">
        <f t="shared" si="61"/>
        <v>8.2799999999999994</v>
      </c>
      <c r="N150" s="68">
        <f t="shared" si="61"/>
        <v>8.34</v>
      </c>
      <c r="O150" s="68">
        <f t="shared" si="61"/>
        <v>0</v>
      </c>
      <c r="P150" s="68">
        <f t="shared" si="61"/>
        <v>0</v>
      </c>
      <c r="Q150" s="68">
        <f t="shared" si="61"/>
        <v>0</v>
      </c>
      <c r="R150" s="68">
        <f t="shared" si="61"/>
        <v>0</v>
      </c>
      <c r="S150" s="68">
        <f t="shared" si="61"/>
        <v>0</v>
      </c>
      <c r="T150" s="68">
        <f t="shared" si="61"/>
        <v>0</v>
      </c>
      <c r="U150" s="69">
        <f t="shared" si="61"/>
        <v>1530</v>
      </c>
      <c r="V150" s="70">
        <f t="shared" si="61"/>
        <v>1589.4</v>
      </c>
      <c r="W150" s="70">
        <f t="shared" si="61"/>
        <v>1470.5</v>
      </c>
      <c r="X150" s="70">
        <f t="shared" si="61"/>
        <v>0</v>
      </c>
      <c r="Y150" s="70">
        <f t="shared" si="61"/>
        <v>0</v>
      </c>
      <c r="Z150" s="70">
        <f t="shared" si="61"/>
        <v>0</v>
      </c>
      <c r="AA150" s="70">
        <f t="shared" si="61"/>
        <v>0</v>
      </c>
      <c r="AB150" s="70">
        <f t="shared" si="61"/>
        <v>0</v>
      </c>
      <c r="AC150" s="70">
        <f t="shared" si="61"/>
        <v>0</v>
      </c>
      <c r="AD150" s="69">
        <f t="shared" si="61"/>
        <v>0</v>
      </c>
      <c r="AE150" s="70">
        <f t="shared" si="61"/>
        <v>0</v>
      </c>
      <c r="AF150" s="70">
        <f t="shared" si="61"/>
        <v>0</v>
      </c>
      <c r="AG150" s="70">
        <f t="shared" si="61"/>
        <v>0</v>
      </c>
      <c r="AH150" s="70">
        <f t="shared" si="61"/>
        <v>0</v>
      </c>
      <c r="AI150" s="70">
        <f t="shared" si="61"/>
        <v>0</v>
      </c>
      <c r="AJ150" s="70">
        <f t="shared" si="61"/>
        <v>0</v>
      </c>
      <c r="AK150" s="70">
        <f t="shared" si="61"/>
        <v>0</v>
      </c>
      <c r="AL150" s="70">
        <f t="shared" si="61"/>
        <v>0</v>
      </c>
      <c r="AM150" s="70">
        <f t="shared" si="61"/>
        <v>100.70407510134415</v>
      </c>
      <c r="AN150" s="70">
        <f t="shared" si="61"/>
        <v>123.09</v>
      </c>
      <c r="AO150" s="71">
        <f t="shared" si="61"/>
        <v>20</v>
      </c>
      <c r="AP150" s="72">
        <f t="shared" si="61"/>
        <v>16.899999999999999</v>
      </c>
      <c r="AQ150" s="73">
        <f t="shared" si="61"/>
        <v>84.5</v>
      </c>
      <c r="AR150" s="73">
        <f t="shared" si="61"/>
        <v>20.496894409937894</v>
      </c>
      <c r="AS150" s="74">
        <f t="shared" si="61"/>
        <v>0</v>
      </c>
      <c r="AT150" s="75">
        <f t="shared" si="61"/>
        <v>16.5</v>
      </c>
      <c r="AU150" s="76">
        <f t="shared" si="61"/>
        <v>8.4836999999999989</v>
      </c>
      <c r="AV150" s="73">
        <f t="shared" si="61"/>
        <v>59.326573426573418</v>
      </c>
      <c r="AW150" s="73">
        <f t="shared" si="61"/>
        <v>91.638095238095232</v>
      </c>
      <c r="AX150" s="65">
        <f t="shared" si="61"/>
        <v>83.611065880500561</v>
      </c>
      <c r="AY150" s="77">
        <f t="shared" si="61"/>
        <v>77.849999999999994</v>
      </c>
      <c r="AZ150" s="78">
        <f t="shared" si="61"/>
        <v>65.055000000000007</v>
      </c>
      <c r="BA150" s="78">
        <f t="shared" si="61"/>
        <v>0</v>
      </c>
      <c r="BB150" s="78">
        <f t="shared" si="61"/>
        <v>74</v>
      </c>
      <c r="BC150" s="78">
        <f t="shared" si="61"/>
        <v>0</v>
      </c>
      <c r="BD150" s="79">
        <f t="shared" si="61"/>
        <v>123.09</v>
      </c>
      <c r="BE150" s="69">
        <f t="shared" si="61"/>
        <v>10246</v>
      </c>
      <c r="BF150" s="70">
        <f t="shared" si="61"/>
        <v>3126</v>
      </c>
      <c r="BG150" s="80">
        <f t="shared" si="61"/>
        <v>0</v>
      </c>
      <c r="BH150" s="80">
        <f t="shared" si="61"/>
        <v>3468</v>
      </c>
      <c r="BI150" s="80">
        <f t="shared" si="61"/>
        <v>6609</v>
      </c>
      <c r="BJ150" s="80">
        <f t="shared" si="61"/>
        <v>0</v>
      </c>
      <c r="BK150" s="80">
        <f t="shared" si="61"/>
        <v>0</v>
      </c>
      <c r="BL150" s="79">
        <f t="shared" si="61"/>
        <v>0</v>
      </c>
    </row>
    <row r="151" spans="1:64" outlineLevel="3" x14ac:dyDescent="0.3">
      <c r="A151" s="81" t="s">
        <v>70</v>
      </c>
      <c r="B151" s="82"/>
      <c r="C151" s="83">
        <f t="shared" ref="C151:BL151" si="62">SUBTOTAL(5,C120:C149)</f>
        <v>36</v>
      </c>
      <c r="D151" s="84">
        <f t="shared" si="62"/>
        <v>36</v>
      </c>
      <c r="E151" s="84">
        <f t="shared" si="62"/>
        <v>36</v>
      </c>
      <c r="F151" s="84">
        <f t="shared" si="62"/>
        <v>0</v>
      </c>
      <c r="G151" s="84">
        <f t="shared" si="62"/>
        <v>0</v>
      </c>
      <c r="H151" s="84">
        <f t="shared" si="62"/>
        <v>0</v>
      </c>
      <c r="I151" s="84">
        <f t="shared" si="62"/>
        <v>0</v>
      </c>
      <c r="J151" s="84">
        <f t="shared" si="62"/>
        <v>0</v>
      </c>
      <c r="K151" s="84">
        <f t="shared" si="62"/>
        <v>0</v>
      </c>
      <c r="L151" s="85">
        <f t="shared" si="62"/>
        <v>8.1</v>
      </c>
      <c r="M151" s="86">
        <f t="shared" si="62"/>
        <v>8.07</v>
      </c>
      <c r="N151" s="86">
        <f t="shared" si="62"/>
        <v>8.14</v>
      </c>
      <c r="O151" s="86">
        <f t="shared" si="62"/>
        <v>0</v>
      </c>
      <c r="P151" s="86">
        <f t="shared" si="62"/>
        <v>0</v>
      </c>
      <c r="Q151" s="86">
        <f t="shared" si="62"/>
        <v>0</v>
      </c>
      <c r="R151" s="86">
        <f t="shared" si="62"/>
        <v>0</v>
      </c>
      <c r="S151" s="86">
        <f t="shared" si="62"/>
        <v>0</v>
      </c>
      <c r="T151" s="86">
        <f t="shared" si="62"/>
        <v>0</v>
      </c>
      <c r="U151" s="87">
        <f t="shared" si="62"/>
        <v>540.70000000000005</v>
      </c>
      <c r="V151" s="88">
        <f t="shared" si="62"/>
        <v>475.8</v>
      </c>
      <c r="W151" s="88">
        <f t="shared" si="62"/>
        <v>605.5</v>
      </c>
      <c r="X151" s="88">
        <f t="shared" si="62"/>
        <v>0</v>
      </c>
      <c r="Y151" s="88">
        <f t="shared" si="62"/>
        <v>0</v>
      </c>
      <c r="Z151" s="88">
        <f t="shared" si="62"/>
        <v>0</v>
      </c>
      <c r="AA151" s="88">
        <f t="shared" si="62"/>
        <v>0</v>
      </c>
      <c r="AB151" s="88">
        <f t="shared" si="62"/>
        <v>0</v>
      </c>
      <c r="AC151" s="88">
        <f t="shared" si="62"/>
        <v>0</v>
      </c>
      <c r="AD151" s="87">
        <f t="shared" si="62"/>
        <v>0</v>
      </c>
      <c r="AE151" s="88">
        <f t="shared" si="62"/>
        <v>0</v>
      </c>
      <c r="AF151" s="88">
        <f t="shared" si="62"/>
        <v>0</v>
      </c>
      <c r="AG151" s="88">
        <f t="shared" si="62"/>
        <v>0</v>
      </c>
      <c r="AH151" s="88">
        <f t="shared" si="62"/>
        <v>0</v>
      </c>
      <c r="AI151" s="88">
        <f t="shared" si="62"/>
        <v>0</v>
      </c>
      <c r="AJ151" s="88">
        <f t="shared" si="62"/>
        <v>0</v>
      </c>
      <c r="AK151" s="88">
        <f t="shared" si="62"/>
        <v>0</v>
      </c>
      <c r="AL151" s="88">
        <f t="shared" si="62"/>
        <v>0</v>
      </c>
      <c r="AM151" s="88">
        <f t="shared" si="62"/>
        <v>38.34592574538955</v>
      </c>
      <c r="AN151" s="88">
        <f t="shared" si="62"/>
        <v>46.87</v>
      </c>
      <c r="AO151" s="89">
        <f t="shared" si="62"/>
        <v>16.100000000000001</v>
      </c>
      <c r="AP151" s="90">
        <f t="shared" si="62"/>
        <v>12.8</v>
      </c>
      <c r="AQ151" s="91">
        <f t="shared" si="62"/>
        <v>79.503105590062106</v>
      </c>
      <c r="AR151" s="91">
        <f t="shared" si="62"/>
        <v>15.5</v>
      </c>
      <c r="AS151" s="92">
        <f t="shared" si="62"/>
        <v>0</v>
      </c>
      <c r="AT151" s="93">
        <f t="shared" si="62"/>
        <v>14.2</v>
      </c>
      <c r="AU151" s="94">
        <f t="shared" si="62"/>
        <v>1.3169999999999999</v>
      </c>
      <c r="AV151" s="91">
        <f t="shared" si="62"/>
        <v>8.3619047619047624</v>
      </c>
      <c r="AW151" s="91">
        <f t="shared" si="62"/>
        <v>40.673426573426582</v>
      </c>
      <c r="AX151" s="83">
        <f t="shared" si="62"/>
        <v>71.879706713708003</v>
      </c>
      <c r="AY151" s="95">
        <f t="shared" si="62"/>
        <v>72.8</v>
      </c>
      <c r="AZ151" s="96">
        <f t="shared" si="62"/>
        <v>60.644999999999996</v>
      </c>
      <c r="BA151" s="96">
        <f t="shared" si="62"/>
        <v>0</v>
      </c>
      <c r="BB151" s="96">
        <f t="shared" si="62"/>
        <v>44</v>
      </c>
      <c r="BC151" s="96">
        <f t="shared" si="62"/>
        <v>0</v>
      </c>
      <c r="BD151" s="97">
        <f t="shared" si="62"/>
        <v>46.87</v>
      </c>
      <c r="BE151" s="87">
        <f t="shared" si="62"/>
        <v>3097</v>
      </c>
      <c r="BF151" s="88">
        <f t="shared" si="62"/>
        <v>0</v>
      </c>
      <c r="BG151" s="98">
        <f t="shared" si="62"/>
        <v>0</v>
      </c>
      <c r="BH151" s="98">
        <f t="shared" si="62"/>
        <v>0</v>
      </c>
      <c r="BI151" s="98">
        <f t="shared" si="62"/>
        <v>1093</v>
      </c>
      <c r="BJ151" s="98">
        <f t="shared" si="62"/>
        <v>0</v>
      </c>
      <c r="BK151" s="98">
        <f t="shared" si="62"/>
        <v>0</v>
      </c>
      <c r="BL151" s="97">
        <f t="shared" si="62"/>
        <v>0</v>
      </c>
    </row>
    <row r="152" spans="1:64" outlineLevel="2" x14ac:dyDescent="0.3">
      <c r="A152" s="81" t="s">
        <v>71</v>
      </c>
      <c r="B152" s="82"/>
      <c r="C152" s="83">
        <f t="shared" ref="C152:BL152" si="63">IFERROR(SUBTOTAL(1,C120:C149),"")</f>
        <v>38.85</v>
      </c>
      <c r="D152" s="84">
        <f t="shared" si="63"/>
        <v>38.307142857142857</v>
      </c>
      <c r="E152" s="84">
        <f t="shared" si="63"/>
        <v>39.059999999999995</v>
      </c>
      <c r="F152" s="84" t="str">
        <f t="shared" si="63"/>
        <v/>
      </c>
      <c r="G152" s="84" t="str">
        <f t="shared" si="63"/>
        <v/>
      </c>
      <c r="H152" s="84" t="str">
        <f t="shared" si="63"/>
        <v/>
      </c>
      <c r="I152" s="84" t="str">
        <f t="shared" si="63"/>
        <v/>
      </c>
      <c r="J152" s="84" t="str">
        <f t="shared" si="63"/>
        <v/>
      </c>
      <c r="K152" s="84" t="str">
        <f t="shared" si="63"/>
        <v/>
      </c>
      <c r="L152" s="85">
        <f t="shared" si="63"/>
        <v>8.1833333333333318</v>
      </c>
      <c r="M152" s="86">
        <f t="shared" si="63"/>
        <v>8.1483333333333334</v>
      </c>
      <c r="N152" s="86">
        <f t="shared" si="63"/>
        <v>8.2190909090909088</v>
      </c>
      <c r="O152" s="86" t="str">
        <f t="shared" si="63"/>
        <v/>
      </c>
      <c r="P152" s="86" t="str">
        <f t="shared" si="63"/>
        <v/>
      </c>
      <c r="Q152" s="86" t="str">
        <f t="shared" si="63"/>
        <v/>
      </c>
      <c r="R152" s="86" t="str">
        <f t="shared" si="63"/>
        <v/>
      </c>
      <c r="S152" s="86" t="str">
        <f t="shared" si="63"/>
        <v/>
      </c>
      <c r="T152" s="86" t="str">
        <f t="shared" si="63"/>
        <v/>
      </c>
      <c r="U152" s="87">
        <f t="shared" si="63"/>
        <v>921.51666666666677</v>
      </c>
      <c r="V152" s="88">
        <f t="shared" si="63"/>
        <v>894.74166666666667</v>
      </c>
      <c r="W152" s="88">
        <f t="shared" si="63"/>
        <v>970.5454545454545</v>
      </c>
      <c r="X152" s="88" t="str">
        <f t="shared" si="63"/>
        <v/>
      </c>
      <c r="Y152" s="88" t="str">
        <f t="shared" si="63"/>
        <v/>
      </c>
      <c r="Z152" s="88" t="str">
        <f t="shared" si="63"/>
        <v/>
      </c>
      <c r="AA152" s="88" t="str">
        <f t="shared" si="63"/>
        <v/>
      </c>
      <c r="AB152" s="88" t="str">
        <f t="shared" si="63"/>
        <v/>
      </c>
      <c r="AC152" s="88" t="str">
        <f t="shared" si="63"/>
        <v/>
      </c>
      <c r="AD152" s="87" t="str">
        <f t="shared" si="63"/>
        <v/>
      </c>
      <c r="AE152" s="88" t="str">
        <f t="shared" si="63"/>
        <v/>
      </c>
      <c r="AF152" s="88" t="str">
        <f t="shared" si="63"/>
        <v/>
      </c>
      <c r="AG152" s="88" t="str">
        <f t="shared" si="63"/>
        <v/>
      </c>
      <c r="AH152" s="88" t="str">
        <f t="shared" si="63"/>
        <v/>
      </c>
      <c r="AI152" s="88" t="str">
        <f t="shared" si="63"/>
        <v/>
      </c>
      <c r="AJ152" s="88" t="str">
        <f t="shared" si="63"/>
        <v/>
      </c>
      <c r="AK152" s="88" t="str">
        <f t="shared" si="63"/>
        <v/>
      </c>
      <c r="AL152" s="88" t="str">
        <f t="shared" si="63"/>
        <v/>
      </c>
      <c r="AM152" s="88">
        <f t="shared" si="63"/>
        <v>60.11584136673445</v>
      </c>
      <c r="AN152" s="88">
        <f t="shared" si="63"/>
        <v>83.709333333333333</v>
      </c>
      <c r="AO152" s="89">
        <f t="shared" si="63"/>
        <v>18.439999999999998</v>
      </c>
      <c r="AP152" s="90">
        <f t="shared" si="63"/>
        <v>15.179999999999998</v>
      </c>
      <c r="AQ152" s="91">
        <f t="shared" si="63"/>
        <v>82.215689829083288</v>
      </c>
      <c r="AR152" s="91">
        <f t="shared" si="63"/>
        <v>17.784310170916715</v>
      </c>
      <c r="AS152" s="92" t="str">
        <f t="shared" si="63"/>
        <v/>
      </c>
      <c r="AT152" s="93">
        <f t="shared" si="63"/>
        <v>15.062500000000002</v>
      </c>
      <c r="AU152" s="94">
        <f t="shared" si="63"/>
        <v>6.8834291666666667</v>
      </c>
      <c r="AV152" s="91">
        <f t="shared" si="63"/>
        <v>45.835541127314968</v>
      </c>
      <c r="AW152" s="91">
        <f t="shared" si="63"/>
        <v>54.164458872685032</v>
      </c>
      <c r="AX152" s="83">
        <f t="shared" si="63"/>
        <v>78.010793583406397</v>
      </c>
      <c r="AY152" s="95">
        <f t="shared" si="63"/>
        <v>75.983333333333334</v>
      </c>
      <c r="AZ152" s="96">
        <f t="shared" si="63"/>
        <v>62.675833333333337</v>
      </c>
      <c r="BA152" s="96" t="str">
        <f t="shared" si="63"/>
        <v/>
      </c>
      <c r="BB152" s="96">
        <f t="shared" si="63"/>
        <v>60.75</v>
      </c>
      <c r="BC152" s="96" t="str">
        <f t="shared" si="63"/>
        <v/>
      </c>
      <c r="BD152" s="97">
        <f>IFERROR(SUBTOTAL(1,BD120:BD149),"")</f>
        <v>83.709333333333333</v>
      </c>
      <c r="BE152" s="87">
        <f t="shared" si="63"/>
        <v>7938.5</v>
      </c>
      <c r="BF152" s="88">
        <f t="shared" si="63"/>
        <v>1242.9000000000001</v>
      </c>
      <c r="BG152" s="98">
        <f t="shared" si="63"/>
        <v>0</v>
      </c>
      <c r="BH152" s="98">
        <f t="shared" si="63"/>
        <v>752.83333333333337</v>
      </c>
      <c r="BI152" s="98">
        <f t="shared" si="63"/>
        <v>5942.7666666666664</v>
      </c>
      <c r="BJ152" s="98" t="str">
        <f t="shared" si="63"/>
        <v/>
      </c>
      <c r="BK152" s="98" t="str">
        <f t="shared" si="63"/>
        <v/>
      </c>
      <c r="BL152" s="97" t="str">
        <f t="shared" si="63"/>
        <v/>
      </c>
    </row>
    <row r="153" spans="1:64" ht="17.25" outlineLevel="1" thickBot="1" x14ac:dyDescent="0.35">
      <c r="A153" s="99" t="s">
        <v>72</v>
      </c>
      <c r="B153" s="100"/>
      <c r="C153" s="101"/>
      <c r="D153" s="102"/>
      <c r="E153" s="102"/>
      <c r="F153" s="102"/>
      <c r="G153" s="102"/>
      <c r="H153" s="102"/>
      <c r="I153" s="102"/>
      <c r="J153" s="102"/>
      <c r="K153" s="102"/>
      <c r="L153" s="103"/>
      <c r="M153" s="104"/>
      <c r="N153" s="104"/>
      <c r="O153" s="104"/>
      <c r="P153" s="104"/>
      <c r="Q153" s="104"/>
      <c r="R153" s="104"/>
      <c r="S153" s="104"/>
      <c r="T153" s="104"/>
      <c r="U153" s="105"/>
      <c r="V153" s="106"/>
      <c r="W153" s="106"/>
      <c r="X153" s="106"/>
      <c r="Y153" s="106"/>
      <c r="Z153" s="106"/>
      <c r="AA153" s="106"/>
      <c r="AB153" s="106"/>
      <c r="AC153" s="106"/>
      <c r="AD153" s="105"/>
      <c r="AE153" s="106"/>
      <c r="AF153" s="106"/>
      <c r="AG153" s="106"/>
      <c r="AH153" s="106"/>
      <c r="AI153" s="106"/>
      <c r="AJ153" s="106"/>
      <c r="AK153" s="106"/>
      <c r="AL153" s="106"/>
      <c r="AM153" s="106"/>
      <c r="AN153" s="107">
        <f>SUBTOTAL(9,AN120:AN149)</f>
        <v>2511.2800000000002</v>
      </c>
      <c r="AO153" s="108"/>
      <c r="AP153" s="109"/>
      <c r="AQ153" s="110"/>
      <c r="AR153" s="110"/>
      <c r="AS153" s="111">
        <f>SUBTOTAL(9,AS120:AS149)</f>
        <v>0</v>
      </c>
      <c r="AT153" s="112"/>
      <c r="AU153" s="113"/>
      <c r="AV153" s="110"/>
      <c r="AW153" s="110"/>
      <c r="AX153" s="101"/>
      <c r="AY153" s="114"/>
      <c r="AZ153" s="115"/>
      <c r="BA153" s="115"/>
      <c r="BB153" s="115"/>
      <c r="BC153" s="115"/>
      <c r="BD153" s="116">
        <f>SUBTOTAL(9,BD120:BD149)</f>
        <v>2511.2800000000002</v>
      </c>
      <c r="BE153" s="117">
        <f t="shared" ref="BE153:BL153" si="64">SUBTOTAL(9,BE120:BE149)</f>
        <v>238155</v>
      </c>
      <c r="BF153" s="107">
        <f t="shared" si="64"/>
        <v>37287</v>
      </c>
      <c r="BG153" s="118">
        <f t="shared" si="64"/>
        <v>0</v>
      </c>
      <c r="BH153" s="118">
        <f t="shared" si="64"/>
        <v>22585</v>
      </c>
      <c r="BI153" s="118">
        <f t="shared" si="64"/>
        <v>178283</v>
      </c>
      <c r="BJ153" s="118">
        <f t="shared" si="64"/>
        <v>0</v>
      </c>
      <c r="BK153" s="118">
        <f t="shared" si="64"/>
        <v>0</v>
      </c>
      <c r="BL153" s="116">
        <f t="shared" si="64"/>
        <v>0</v>
      </c>
    </row>
    <row r="154" spans="1:64" outlineLevel="5" x14ac:dyDescent="0.3">
      <c r="A154" s="136">
        <f t="shared" si="46"/>
        <v>5</v>
      </c>
      <c r="B154" s="165">
        <f>B149+1</f>
        <v>45413</v>
      </c>
      <c r="C154" s="138" t="str">
        <f t="shared" ref="C154:C184" si="65">IFERROR(ROUND(AVERAGE(D154:K154),1),"")</f>
        <v/>
      </c>
      <c r="D154" s="186"/>
      <c r="E154" s="186"/>
      <c r="F154" s="84"/>
      <c r="G154" s="84"/>
      <c r="H154" s="84"/>
      <c r="I154" s="84"/>
      <c r="J154" s="84"/>
      <c r="K154" s="84"/>
      <c r="L154" s="140" t="str">
        <f t="shared" ref="L154:L184" si="66">IFERROR(ROUND(AVERAGE(M154:T154),1),"")</f>
        <v/>
      </c>
      <c r="M154" s="187"/>
      <c r="N154" s="187"/>
      <c r="O154" s="86"/>
      <c r="P154" s="86"/>
      <c r="Q154" s="86"/>
      <c r="R154" s="86"/>
      <c r="S154" s="86"/>
      <c r="T154" s="86"/>
      <c r="U154" s="142" t="str">
        <f t="shared" ref="U154:U184" si="67">IFERROR(ROUND(AVERAGE(V154:AC154),1),"")</f>
        <v/>
      </c>
      <c r="V154" s="88"/>
      <c r="W154" s="88"/>
      <c r="X154" s="88"/>
      <c r="Y154" s="88"/>
      <c r="Z154" s="88"/>
      <c r="AA154" s="88"/>
      <c r="AB154" s="88"/>
      <c r="AC154" s="88"/>
      <c r="AD154" s="142" t="str">
        <f t="shared" ref="AD154:AD184" si="68">IFERROR(ROUND(AVERAGE(AE154:AL154),1),"")</f>
        <v/>
      </c>
      <c r="AE154" s="88"/>
      <c r="AF154" s="88"/>
      <c r="AG154" s="88"/>
      <c r="AH154" s="88"/>
      <c r="AI154" s="88"/>
      <c r="AJ154" s="88"/>
      <c r="AK154" s="88"/>
      <c r="AL154" s="88"/>
      <c r="AM154" s="88">
        <v>53.7279453614115</v>
      </c>
      <c r="AN154" s="88">
        <v>87.85</v>
      </c>
      <c r="AO154" s="89"/>
      <c r="AP154" s="90"/>
      <c r="AQ154" s="146" t="str">
        <f t="shared" ref="AQ154:AQ184" si="69">IFERROR(AP154/AO154*100,"")</f>
        <v/>
      </c>
      <c r="AR154" s="146" t="str">
        <f t="shared" ref="AR154:AR184" si="70">IFERROR(100-AQ154,"")</f>
        <v/>
      </c>
      <c r="AS154" s="147"/>
      <c r="AT154" s="148"/>
      <c r="AU154" s="149"/>
      <c r="AV154" s="146" t="str">
        <f t="shared" ref="AV154:AV184" si="71">IFERROR(AU154/AT154*100,"")</f>
        <v/>
      </c>
      <c r="AW154" s="146" t="str">
        <f t="shared" ref="AW154:AW184" si="72">IFERROR(100-AV154,"")</f>
        <v/>
      </c>
      <c r="AX154" s="138" t="str">
        <f t="shared" ref="AX154:AX184" si="73">IFERROR((1-((AV154*AR154)/(AW154*AQ154)))*100,"")</f>
        <v/>
      </c>
      <c r="AY154" s="95"/>
      <c r="AZ154" s="96"/>
      <c r="BA154" s="96"/>
      <c r="BB154" s="96"/>
      <c r="BC154" s="96"/>
      <c r="BD154" s="97">
        <v>87.85</v>
      </c>
      <c r="BE154" s="142">
        <f t="shared" ref="BE154:BE184" si="74">IF(SUM(BF154:BL154)=0,"",SUM(BF154:BL154))</f>
        <v>7874</v>
      </c>
      <c r="BF154" s="98">
        <v>1554</v>
      </c>
      <c r="BG154" s="98">
        <v>0</v>
      </c>
      <c r="BH154" s="98">
        <v>0</v>
      </c>
      <c r="BI154" s="98">
        <v>6320</v>
      </c>
      <c r="BJ154" s="98"/>
      <c r="BK154" s="98"/>
      <c r="BL154" s="97"/>
    </row>
    <row r="155" spans="1:64" outlineLevel="5" x14ac:dyDescent="0.3">
      <c r="A155" s="152">
        <f t="shared" si="46"/>
        <v>5</v>
      </c>
      <c r="B155" s="153">
        <f t="shared" ref="B155:B218" si="75">B154+1</f>
        <v>45414</v>
      </c>
      <c r="C155" s="138">
        <f t="shared" si="65"/>
        <v>37.4</v>
      </c>
      <c r="D155" s="186">
        <v>37.5</v>
      </c>
      <c r="E155" s="186">
        <v>37.299999999999997</v>
      </c>
      <c r="F155" s="84"/>
      <c r="G155" s="84"/>
      <c r="H155" s="84"/>
      <c r="I155" s="84"/>
      <c r="J155" s="84"/>
      <c r="K155" s="84"/>
      <c r="L155" s="140">
        <f t="shared" si="66"/>
        <v>8.3000000000000007</v>
      </c>
      <c r="M155" s="187">
        <v>8.2200000000000006</v>
      </c>
      <c r="N155" s="187">
        <v>8.32</v>
      </c>
      <c r="O155" s="86"/>
      <c r="P155" s="86"/>
      <c r="Q155" s="86"/>
      <c r="R155" s="86"/>
      <c r="S155" s="86"/>
      <c r="T155" s="86"/>
      <c r="U155" s="142">
        <f t="shared" si="67"/>
        <v>594.70000000000005</v>
      </c>
      <c r="V155" s="88">
        <v>519</v>
      </c>
      <c r="W155" s="88">
        <v>670.4</v>
      </c>
      <c r="X155" s="88"/>
      <c r="Y155" s="88"/>
      <c r="Z155" s="88"/>
      <c r="AA155" s="88"/>
      <c r="AB155" s="88"/>
      <c r="AC155" s="88"/>
      <c r="AD155" s="142" t="str">
        <f t="shared" si="68"/>
        <v/>
      </c>
      <c r="AE155" s="88"/>
      <c r="AF155" s="88"/>
      <c r="AG155" s="88"/>
      <c r="AH155" s="88"/>
      <c r="AI155" s="88"/>
      <c r="AJ155" s="88"/>
      <c r="AK155" s="88"/>
      <c r="AL155" s="88"/>
      <c r="AM155" s="88">
        <v>50.486683067707773</v>
      </c>
      <c r="AN155" s="88">
        <v>93.490000000000009</v>
      </c>
      <c r="AO155" s="89"/>
      <c r="AP155" s="90"/>
      <c r="AQ155" s="146" t="str">
        <f t="shared" si="69"/>
        <v/>
      </c>
      <c r="AR155" s="146" t="str">
        <f t="shared" si="70"/>
        <v/>
      </c>
      <c r="AS155" s="147"/>
      <c r="AT155" s="148">
        <v>14.55</v>
      </c>
      <c r="AU155" s="149">
        <v>6.8546999999999993</v>
      </c>
      <c r="AV155" s="146">
        <f t="shared" si="71"/>
        <v>47.11134020618556</v>
      </c>
      <c r="AW155" s="146">
        <f t="shared" si="72"/>
        <v>52.88865979381444</v>
      </c>
      <c r="AX155" s="138" t="str">
        <f t="shared" si="73"/>
        <v/>
      </c>
      <c r="AY155" s="95">
        <v>76.55</v>
      </c>
      <c r="AZ155" s="96">
        <v>61.625</v>
      </c>
      <c r="BA155" s="96"/>
      <c r="BB155" s="96">
        <v>54.5</v>
      </c>
      <c r="BC155" s="96"/>
      <c r="BD155" s="97">
        <v>93.490000000000009</v>
      </c>
      <c r="BE155" s="142">
        <f t="shared" si="74"/>
        <v>8932</v>
      </c>
      <c r="BF155" s="98">
        <v>1837</v>
      </c>
      <c r="BG155" s="98">
        <v>0</v>
      </c>
      <c r="BH155" s="98">
        <v>673</v>
      </c>
      <c r="BI155" s="98">
        <v>6422</v>
      </c>
      <c r="BJ155" s="98"/>
      <c r="BK155" s="98"/>
      <c r="BL155" s="97"/>
    </row>
    <row r="156" spans="1:64" outlineLevel="5" x14ac:dyDescent="0.3">
      <c r="A156" s="152">
        <f t="shared" si="46"/>
        <v>5</v>
      </c>
      <c r="B156" s="153">
        <f t="shared" si="75"/>
        <v>45415</v>
      </c>
      <c r="C156" s="138" t="str">
        <f t="shared" si="65"/>
        <v/>
      </c>
      <c r="D156" s="186"/>
      <c r="E156" s="186"/>
      <c r="F156" s="84"/>
      <c r="G156" s="84"/>
      <c r="H156" s="84"/>
      <c r="I156" s="84"/>
      <c r="J156" s="84"/>
      <c r="K156" s="84"/>
      <c r="L156" s="140" t="str">
        <f t="shared" si="66"/>
        <v/>
      </c>
      <c r="M156" s="187"/>
      <c r="N156" s="187"/>
      <c r="O156" s="86"/>
      <c r="P156" s="86"/>
      <c r="Q156" s="86"/>
      <c r="R156" s="86"/>
      <c r="S156" s="86"/>
      <c r="T156" s="86"/>
      <c r="U156" s="142" t="str">
        <f t="shared" si="67"/>
        <v/>
      </c>
      <c r="V156" s="88"/>
      <c r="W156" s="88"/>
      <c r="X156" s="88"/>
      <c r="Y156" s="88"/>
      <c r="Z156" s="88"/>
      <c r="AA156" s="88"/>
      <c r="AB156" s="88"/>
      <c r="AC156" s="88"/>
      <c r="AD156" s="142" t="str">
        <f t="shared" si="68"/>
        <v/>
      </c>
      <c r="AE156" s="88"/>
      <c r="AF156" s="88"/>
      <c r="AG156" s="88"/>
      <c r="AH156" s="88"/>
      <c r="AI156" s="88"/>
      <c r="AJ156" s="88"/>
      <c r="AK156" s="88"/>
      <c r="AL156" s="88"/>
      <c r="AM156" s="88">
        <v>103.12431723836575</v>
      </c>
      <c r="AN156" s="88">
        <v>45.769999999999996</v>
      </c>
      <c r="AO156" s="89"/>
      <c r="AP156" s="90"/>
      <c r="AQ156" s="146" t="str">
        <f t="shared" si="69"/>
        <v/>
      </c>
      <c r="AR156" s="146" t="str">
        <f t="shared" si="70"/>
        <v/>
      </c>
      <c r="AS156" s="147"/>
      <c r="AT156" s="148"/>
      <c r="AU156" s="149"/>
      <c r="AV156" s="146" t="str">
        <f t="shared" si="71"/>
        <v/>
      </c>
      <c r="AW156" s="146" t="str">
        <f t="shared" si="72"/>
        <v/>
      </c>
      <c r="AX156" s="138" t="str">
        <f t="shared" si="73"/>
        <v/>
      </c>
      <c r="AY156" s="95"/>
      <c r="AZ156" s="96">
        <v>62.355000000000004</v>
      </c>
      <c r="BA156" s="96"/>
      <c r="BB156" s="96">
        <v>55.5</v>
      </c>
      <c r="BC156" s="96"/>
      <c r="BD156" s="97">
        <v>45.769999999999996</v>
      </c>
      <c r="BE156" s="142">
        <f t="shared" si="74"/>
        <v>10182</v>
      </c>
      <c r="BF156" s="98">
        <v>0</v>
      </c>
      <c r="BG156" s="98">
        <v>0</v>
      </c>
      <c r="BH156" s="98">
        <v>3735</v>
      </c>
      <c r="BI156" s="98">
        <v>6447</v>
      </c>
      <c r="BJ156" s="98"/>
      <c r="BK156" s="98"/>
      <c r="BL156" s="97"/>
    </row>
    <row r="157" spans="1:64" outlineLevel="5" x14ac:dyDescent="0.3">
      <c r="A157" s="152">
        <f t="shared" si="46"/>
        <v>5</v>
      </c>
      <c r="B157" s="153">
        <f t="shared" si="75"/>
        <v>45416</v>
      </c>
      <c r="C157" s="138" t="str">
        <f t="shared" si="65"/>
        <v/>
      </c>
      <c r="D157" s="186"/>
      <c r="E157" s="186"/>
      <c r="F157" s="84"/>
      <c r="G157" s="84"/>
      <c r="H157" s="84"/>
      <c r="I157" s="84"/>
      <c r="J157" s="84"/>
      <c r="K157" s="84"/>
      <c r="L157" s="140" t="str">
        <f t="shared" si="66"/>
        <v/>
      </c>
      <c r="M157" s="187"/>
      <c r="N157" s="187"/>
      <c r="O157" s="86"/>
      <c r="P157" s="86"/>
      <c r="Q157" s="86"/>
      <c r="R157" s="86"/>
      <c r="S157" s="86"/>
      <c r="T157" s="86"/>
      <c r="U157" s="142" t="str">
        <f t="shared" si="67"/>
        <v/>
      </c>
      <c r="V157" s="88"/>
      <c r="W157" s="88"/>
      <c r="X157" s="88"/>
      <c r="Y157" s="88"/>
      <c r="Z157" s="88"/>
      <c r="AA157" s="88"/>
      <c r="AB157" s="88"/>
      <c r="AC157" s="88"/>
      <c r="AD157" s="142" t="str">
        <f t="shared" si="68"/>
        <v/>
      </c>
      <c r="AE157" s="88"/>
      <c r="AF157" s="88"/>
      <c r="AG157" s="88"/>
      <c r="AH157" s="88"/>
      <c r="AI157" s="88"/>
      <c r="AJ157" s="88"/>
      <c r="AK157" s="88"/>
      <c r="AL157" s="88"/>
      <c r="AM157" s="88">
        <v>57.899901864573103</v>
      </c>
      <c r="AN157" s="88">
        <v>81.52000000000001</v>
      </c>
      <c r="AO157" s="89"/>
      <c r="AP157" s="90"/>
      <c r="AQ157" s="146" t="str">
        <f t="shared" si="69"/>
        <v/>
      </c>
      <c r="AR157" s="146" t="str">
        <f t="shared" si="70"/>
        <v/>
      </c>
      <c r="AS157" s="147"/>
      <c r="AT157" s="148"/>
      <c r="AU157" s="149"/>
      <c r="AV157" s="146" t="str">
        <f t="shared" si="71"/>
        <v/>
      </c>
      <c r="AW157" s="146" t="str">
        <f t="shared" si="72"/>
        <v/>
      </c>
      <c r="AX157" s="138" t="str">
        <f t="shared" si="73"/>
        <v/>
      </c>
      <c r="AY157" s="95"/>
      <c r="AZ157" s="96"/>
      <c r="BA157" s="96"/>
      <c r="BB157" s="96"/>
      <c r="BC157" s="96"/>
      <c r="BD157" s="97">
        <v>81.52000000000001</v>
      </c>
      <c r="BE157" s="142">
        <f t="shared" si="74"/>
        <v>6500</v>
      </c>
      <c r="BF157" s="98">
        <v>0</v>
      </c>
      <c r="BG157" s="98">
        <v>0</v>
      </c>
      <c r="BH157" s="98">
        <v>0</v>
      </c>
      <c r="BI157" s="98">
        <v>6500</v>
      </c>
      <c r="BJ157" s="98"/>
      <c r="BK157" s="98"/>
      <c r="BL157" s="97"/>
    </row>
    <row r="158" spans="1:64" outlineLevel="5" x14ac:dyDescent="0.3">
      <c r="A158" s="152">
        <f t="shared" si="46"/>
        <v>5</v>
      </c>
      <c r="B158" s="153">
        <f t="shared" si="75"/>
        <v>45417</v>
      </c>
      <c r="C158" s="138" t="str">
        <f t="shared" si="65"/>
        <v/>
      </c>
      <c r="D158" s="186"/>
      <c r="E158" s="186"/>
      <c r="F158" s="84"/>
      <c r="G158" s="84"/>
      <c r="H158" s="84"/>
      <c r="I158" s="84"/>
      <c r="J158" s="84"/>
      <c r="K158" s="84"/>
      <c r="L158" s="140" t="str">
        <f t="shared" si="66"/>
        <v/>
      </c>
      <c r="M158" s="187"/>
      <c r="N158" s="187"/>
      <c r="O158" s="86"/>
      <c r="P158" s="86"/>
      <c r="Q158" s="86"/>
      <c r="R158" s="86"/>
      <c r="S158" s="86"/>
      <c r="T158" s="86"/>
      <c r="U158" s="142" t="str">
        <f t="shared" si="67"/>
        <v/>
      </c>
      <c r="V158" s="88"/>
      <c r="W158" s="88"/>
      <c r="X158" s="88"/>
      <c r="Y158" s="88"/>
      <c r="Z158" s="88"/>
      <c r="AA158" s="88"/>
      <c r="AB158" s="88"/>
      <c r="AC158" s="88"/>
      <c r="AD158" s="142" t="str">
        <f t="shared" si="68"/>
        <v/>
      </c>
      <c r="AE158" s="88"/>
      <c r="AF158" s="88"/>
      <c r="AG158" s="88"/>
      <c r="AH158" s="88"/>
      <c r="AI158" s="88"/>
      <c r="AJ158" s="88"/>
      <c r="AK158" s="88"/>
      <c r="AL158" s="88"/>
      <c r="AM158" s="88">
        <v>52.444444444444443</v>
      </c>
      <c r="AN158" s="88">
        <v>90</v>
      </c>
      <c r="AO158" s="89"/>
      <c r="AP158" s="90"/>
      <c r="AQ158" s="146" t="str">
        <f t="shared" si="69"/>
        <v/>
      </c>
      <c r="AR158" s="146" t="str">
        <f t="shared" si="70"/>
        <v/>
      </c>
      <c r="AS158" s="147"/>
      <c r="AT158" s="148"/>
      <c r="AU158" s="149"/>
      <c r="AV158" s="146" t="str">
        <f t="shared" si="71"/>
        <v/>
      </c>
      <c r="AW158" s="146" t="str">
        <f t="shared" si="72"/>
        <v/>
      </c>
      <c r="AX158" s="138" t="str">
        <f t="shared" si="73"/>
        <v/>
      </c>
      <c r="AY158" s="95"/>
      <c r="AZ158" s="96"/>
      <c r="BA158" s="96"/>
      <c r="BB158" s="96"/>
      <c r="BC158" s="96"/>
      <c r="BD158" s="97">
        <v>90</v>
      </c>
      <c r="BE158" s="142">
        <f t="shared" si="74"/>
        <v>6518</v>
      </c>
      <c r="BF158" s="98">
        <v>0</v>
      </c>
      <c r="BG158" s="98">
        <v>0</v>
      </c>
      <c r="BH158" s="98">
        <v>1</v>
      </c>
      <c r="BI158" s="98">
        <v>6517</v>
      </c>
      <c r="BJ158" s="98"/>
      <c r="BK158" s="98"/>
      <c r="BL158" s="97"/>
    </row>
    <row r="159" spans="1:64" outlineLevel="5" x14ac:dyDescent="0.3">
      <c r="A159" s="152">
        <f t="shared" si="46"/>
        <v>5</v>
      </c>
      <c r="B159" s="153">
        <f t="shared" si="75"/>
        <v>45418</v>
      </c>
      <c r="C159" s="138" t="str">
        <f t="shared" si="65"/>
        <v/>
      </c>
      <c r="D159" s="186"/>
      <c r="E159" s="186"/>
      <c r="F159" s="84"/>
      <c r="G159" s="84"/>
      <c r="H159" s="84"/>
      <c r="I159" s="84"/>
      <c r="J159" s="84"/>
      <c r="K159" s="84"/>
      <c r="L159" s="140" t="str">
        <f t="shared" si="66"/>
        <v/>
      </c>
      <c r="M159" s="187"/>
      <c r="N159" s="187"/>
      <c r="O159" s="86"/>
      <c r="P159" s="86"/>
      <c r="Q159" s="86"/>
      <c r="R159" s="86"/>
      <c r="S159" s="86"/>
      <c r="T159" s="86"/>
      <c r="U159" s="142" t="str">
        <f t="shared" si="67"/>
        <v/>
      </c>
      <c r="V159" s="88"/>
      <c r="W159" s="88"/>
      <c r="X159" s="88"/>
      <c r="Y159" s="88"/>
      <c r="Z159" s="88"/>
      <c r="AA159" s="88"/>
      <c r="AB159" s="88"/>
      <c r="AC159" s="88"/>
      <c r="AD159" s="142" t="str">
        <f t="shared" si="68"/>
        <v/>
      </c>
      <c r="AE159" s="88"/>
      <c r="AF159" s="88"/>
      <c r="AG159" s="88"/>
      <c r="AH159" s="88"/>
      <c r="AI159" s="88"/>
      <c r="AJ159" s="88"/>
      <c r="AK159" s="88"/>
      <c r="AL159" s="88"/>
      <c r="AM159" s="88">
        <v>88.35642081617371</v>
      </c>
      <c r="AN159" s="88">
        <v>53.42</v>
      </c>
      <c r="AO159" s="89"/>
      <c r="AP159" s="90"/>
      <c r="AQ159" s="146" t="str">
        <f t="shared" si="69"/>
        <v/>
      </c>
      <c r="AR159" s="146" t="str">
        <f t="shared" si="70"/>
        <v/>
      </c>
      <c r="AS159" s="147"/>
      <c r="AT159" s="148"/>
      <c r="AU159" s="149"/>
      <c r="AV159" s="146" t="str">
        <f t="shared" si="71"/>
        <v/>
      </c>
      <c r="AW159" s="146" t="str">
        <f t="shared" si="72"/>
        <v/>
      </c>
      <c r="AX159" s="138" t="str">
        <f t="shared" si="73"/>
        <v/>
      </c>
      <c r="AY159" s="95"/>
      <c r="AZ159" s="96"/>
      <c r="BA159" s="96"/>
      <c r="BB159" s="96"/>
      <c r="BC159" s="96"/>
      <c r="BD159" s="97">
        <v>53.42</v>
      </c>
      <c r="BE159" s="142">
        <f t="shared" si="74"/>
        <v>6390</v>
      </c>
      <c r="BF159" s="98">
        <v>0</v>
      </c>
      <c r="BG159" s="98">
        <v>0</v>
      </c>
      <c r="BH159" s="98">
        <v>0</v>
      </c>
      <c r="BI159" s="98">
        <v>6390</v>
      </c>
      <c r="BJ159" s="98"/>
      <c r="BK159" s="98"/>
      <c r="BL159" s="97"/>
    </row>
    <row r="160" spans="1:64" outlineLevel="5" x14ac:dyDescent="0.3">
      <c r="A160" s="152">
        <f t="shared" si="46"/>
        <v>5</v>
      </c>
      <c r="B160" s="153">
        <f t="shared" si="75"/>
        <v>45419</v>
      </c>
      <c r="C160" s="138" t="str">
        <f t="shared" si="65"/>
        <v/>
      </c>
      <c r="D160" s="186"/>
      <c r="E160" s="186"/>
      <c r="F160" s="84"/>
      <c r="G160" s="84"/>
      <c r="H160" s="84"/>
      <c r="I160" s="84"/>
      <c r="J160" s="84"/>
      <c r="K160" s="84"/>
      <c r="L160" s="140" t="str">
        <f t="shared" si="66"/>
        <v/>
      </c>
      <c r="M160" s="187"/>
      <c r="N160" s="187"/>
      <c r="O160" s="86"/>
      <c r="P160" s="86"/>
      <c r="Q160" s="86"/>
      <c r="R160" s="86"/>
      <c r="S160" s="86"/>
      <c r="T160" s="86"/>
      <c r="U160" s="142" t="str">
        <f t="shared" si="67"/>
        <v/>
      </c>
      <c r="V160" s="88"/>
      <c r="W160" s="88"/>
      <c r="X160" s="88"/>
      <c r="Y160" s="88"/>
      <c r="Z160" s="88"/>
      <c r="AA160" s="88"/>
      <c r="AB160" s="88"/>
      <c r="AC160" s="88"/>
      <c r="AD160" s="142" t="str">
        <f t="shared" si="68"/>
        <v/>
      </c>
      <c r="AE160" s="88"/>
      <c r="AF160" s="88"/>
      <c r="AG160" s="88"/>
      <c r="AH160" s="88"/>
      <c r="AI160" s="88"/>
      <c r="AJ160" s="88"/>
      <c r="AK160" s="88"/>
      <c r="AL160" s="88"/>
      <c r="AM160" s="88">
        <v>68.684516880093128</v>
      </c>
      <c r="AN160" s="88">
        <v>68.72</v>
      </c>
      <c r="AO160" s="89"/>
      <c r="AP160" s="90"/>
      <c r="AQ160" s="146" t="str">
        <f t="shared" si="69"/>
        <v/>
      </c>
      <c r="AR160" s="146" t="str">
        <f t="shared" si="70"/>
        <v/>
      </c>
      <c r="AS160" s="147"/>
      <c r="AT160" s="148"/>
      <c r="AU160" s="149"/>
      <c r="AV160" s="146" t="str">
        <f t="shared" si="71"/>
        <v/>
      </c>
      <c r="AW160" s="146" t="str">
        <f t="shared" si="72"/>
        <v/>
      </c>
      <c r="AX160" s="138" t="str">
        <f t="shared" si="73"/>
        <v/>
      </c>
      <c r="AY160" s="95"/>
      <c r="AZ160" s="96"/>
      <c r="BA160" s="96"/>
      <c r="BB160" s="96"/>
      <c r="BC160" s="96"/>
      <c r="BD160" s="97">
        <v>68.72</v>
      </c>
      <c r="BE160" s="142">
        <f t="shared" si="74"/>
        <v>6900</v>
      </c>
      <c r="BF160" s="98">
        <v>607</v>
      </c>
      <c r="BG160" s="98">
        <v>0</v>
      </c>
      <c r="BH160" s="98">
        <v>522</v>
      </c>
      <c r="BI160" s="98">
        <v>5771</v>
      </c>
      <c r="BJ160" s="98"/>
      <c r="BK160" s="98"/>
      <c r="BL160" s="97"/>
    </row>
    <row r="161" spans="1:64" outlineLevel="5" x14ac:dyDescent="0.3">
      <c r="A161" s="152">
        <f t="shared" si="46"/>
        <v>5</v>
      </c>
      <c r="B161" s="153">
        <f t="shared" si="75"/>
        <v>45420</v>
      </c>
      <c r="C161" s="138">
        <f t="shared" si="65"/>
        <v>36.1</v>
      </c>
      <c r="D161" s="186">
        <v>36.200000000000003</v>
      </c>
      <c r="E161" s="186">
        <v>36</v>
      </c>
      <c r="F161" s="84"/>
      <c r="G161" s="84"/>
      <c r="H161" s="84"/>
      <c r="I161" s="84"/>
      <c r="J161" s="84"/>
      <c r="K161" s="84"/>
      <c r="L161" s="140">
        <f t="shared" si="66"/>
        <v>8.3000000000000007</v>
      </c>
      <c r="M161" s="187">
        <v>8.23</v>
      </c>
      <c r="N161" s="187">
        <v>8.31</v>
      </c>
      <c r="O161" s="86"/>
      <c r="P161" s="86"/>
      <c r="Q161" s="86"/>
      <c r="R161" s="86"/>
      <c r="S161" s="86"/>
      <c r="T161" s="86"/>
      <c r="U161" s="142">
        <f t="shared" si="67"/>
        <v>546.1</v>
      </c>
      <c r="V161" s="88">
        <v>519</v>
      </c>
      <c r="W161" s="88">
        <v>573.1</v>
      </c>
      <c r="X161" s="88"/>
      <c r="Y161" s="88"/>
      <c r="Z161" s="88"/>
      <c r="AA161" s="88"/>
      <c r="AB161" s="88"/>
      <c r="AC161" s="88"/>
      <c r="AD161" s="142" t="str">
        <f t="shared" si="68"/>
        <v/>
      </c>
      <c r="AE161" s="88"/>
      <c r="AF161" s="88"/>
      <c r="AG161" s="88"/>
      <c r="AH161" s="88"/>
      <c r="AI161" s="88"/>
      <c r="AJ161" s="88"/>
      <c r="AK161" s="88"/>
      <c r="AL161" s="88"/>
      <c r="AM161" s="88">
        <v>35.25545264415895</v>
      </c>
      <c r="AN161" s="88">
        <v>133.88</v>
      </c>
      <c r="AO161" s="89">
        <v>17.5</v>
      </c>
      <c r="AP161" s="90">
        <v>14.7</v>
      </c>
      <c r="AQ161" s="146">
        <f t="shared" si="69"/>
        <v>84</v>
      </c>
      <c r="AR161" s="146">
        <f t="shared" si="70"/>
        <v>16</v>
      </c>
      <c r="AS161" s="147"/>
      <c r="AT161" s="148">
        <v>15.5</v>
      </c>
      <c r="AU161" s="149">
        <v>9.6075000000000017</v>
      </c>
      <c r="AV161" s="146">
        <f t="shared" si="71"/>
        <v>61.98387096774195</v>
      </c>
      <c r="AW161" s="146">
        <f t="shared" si="72"/>
        <v>38.01612903225805</v>
      </c>
      <c r="AX161" s="138">
        <f t="shared" si="73"/>
        <v>68.943572337717413</v>
      </c>
      <c r="AY161" s="95">
        <v>74.5</v>
      </c>
      <c r="AZ161" s="96">
        <v>57.099999999999994</v>
      </c>
      <c r="BA161" s="96"/>
      <c r="BB161" s="96">
        <v>41.5</v>
      </c>
      <c r="BC161" s="96"/>
      <c r="BD161" s="97">
        <v>133.88</v>
      </c>
      <c r="BE161" s="142">
        <f t="shared" si="74"/>
        <v>6662</v>
      </c>
      <c r="BF161" s="98">
        <v>0</v>
      </c>
      <c r="BG161" s="98">
        <v>0</v>
      </c>
      <c r="BH161" s="98">
        <v>1053</v>
      </c>
      <c r="BI161" s="98">
        <v>5609</v>
      </c>
      <c r="BJ161" s="98"/>
      <c r="BK161" s="98"/>
      <c r="BL161" s="97"/>
    </row>
    <row r="162" spans="1:64" outlineLevel="5" x14ac:dyDescent="0.3">
      <c r="A162" s="152">
        <f t="shared" si="46"/>
        <v>5</v>
      </c>
      <c r="B162" s="153">
        <f t="shared" si="75"/>
        <v>45421</v>
      </c>
      <c r="C162" s="138" t="str">
        <f t="shared" si="65"/>
        <v/>
      </c>
      <c r="D162" s="186"/>
      <c r="E162" s="186"/>
      <c r="F162" s="84"/>
      <c r="G162" s="84"/>
      <c r="H162" s="84"/>
      <c r="I162" s="84"/>
      <c r="J162" s="84"/>
      <c r="K162" s="84"/>
      <c r="L162" s="140">
        <f t="shared" si="66"/>
        <v>8.1999999999999993</v>
      </c>
      <c r="M162" s="187">
        <v>8.2100000000000009</v>
      </c>
      <c r="N162" s="187">
        <v>8.2799999999999994</v>
      </c>
      <c r="O162" s="86"/>
      <c r="P162" s="86"/>
      <c r="Q162" s="86"/>
      <c r="R162" s="86"/>
      <c r="S162" s="86"/>
      <c r="T162" s="86"/>
      <c r="U162" s="142">
        <f t="shared" si="67"/>
        <v>573.1</v>
      </c>
      <c r="V162" s="88">
        <v>540.6</v>
      </c>
      <c r="W162" s="88">
        <v>605.5</v>
      </c>
      <c r="X162" s="88"/>
      <c r="Y162" s="88"/>
      <c r="Z162" s="88"/>
      <c r="AA162" s="88"/>
      <c r="AB162" s="88"/>
      <c r="AC162" s="88"/>
      <c r="AD162" s="142" t="str">
        <f t="shared" si="68"/>
        <v/>
      </c>
      <c r="AE162" s="88"/>
      <c r="AF162" s="88"/>
      <c r="AG162" s="88"/>
      <c r="AH162" s="88"/>
      <c r="AI162" s="88"/>
      <c r="AJ162" s="88"/>
      <c r="AK162" s="88"/>
      <c r="AL162" s="88"/>
      <c r="AM162" s="88">
        <v>49.166666666666664</v>
      </c>
      <c r="AN162" s="88">
        <v>96</v>
      </c>
      <c r="AO162" s="89"/>
      <c r="AP162" s="90"/>
      <c r="AQ162" s="146" t="str">
        <f t="shared" si="69"/>
        <v/>
      </c>
      <c r="AR162" s="146" t="str">
        <f t="shared" si="70"/>
        <v/>
      </c>
      <c r="AS162" s="147"/>
      <c r="AT162" s="148">
        <v>15.15</v>
      </c>
      <c r="AU162" s="149">
        <v>8.0039499999999997</v>
      </c>
      <c r="AV162" s="146">
        <f t="shared" si="71"/>
        <v>52.831353135313528</v>
      </c>
      <c r="AW162" s="146">
        <f t="shared" si="72"/>
        <v>47.168646864686472</v>
      </c>
      <c r="AX162" s="138" t="str">
        <f t="shared" si="73"/>
        <v/>
      </c>
      <c r="AY162" s="95">
        <v>75.400000000000006</v>
      </c>
      <c r="AZ162" s="96">
        <v>61.435000000000002</v>
      </c>
      <c r="BA162" s="96"/>
      <c r="BB162" s="96">
        <v>61</v>
      </c>
      <c r="BC162" s="96"/>
      <c r="BD162" s="97">
        <v>96</v>
      </c>
      <c r="BE162" s="142">
        <f t="shared" si="74"/>
        <v>8166</v>
      </c>
      <c r="BF162" s="98">
        <v>1700</v>
      </c>
      <c r="BG162" s="98">
        <v>0</v>
      </c>
      <c r="BH162" s="98">
        <v>0</v>
      </c>
      <c r="BI162" s="98">
        <v>6466</v>
      </c>
      <c r="BJ162" s="98"/>
      <c r="BK162" s="98"/>
      <c r="BL162" s="97"/>
    </row>
    <row r="163" spans="1:64" outlineLevel="5" x14ac:dyDescent="0.3">
      <c r="A163" s="152">
        <f t="shared" ref="A163:A234" si="76">MONTH(B163)</f>
        <v>5</v>
      </c>
      <c r="B163" s="153">
        <f t="shared" si="75"/>
        <v>45422</v>
      </c>
      <c r="C163" s="138" t="str">
        <f t="shared" si="65"/>
        <v/>
      </c>
      <c r="D163" s="186"/>
      <c r="E163" s="186"/>
      <c r="F163" s="84"/>
      <c r="G163" s="84"/>
      <c r="H163" s="84"/>
      <c r="I163" s="84"/>
      <c r="J163" s="84"/>
      <c r="K163" s="84"/>
      <c r="L163" s="140" t="str">
        <f t="shared" si="66"/>
        <v/>
      </c>
      <c r="M163" s="187"/>
      <c r="N163" s="187"/>
      <c r="O163" s="86"/>
      <c r="P163" s="86"/>
      <c r="Q163" s="86"/>
      <c r="R163" s="86"/>
      <c r="S163" s="86"/>
      <c r="T163" s="86"/>
      <c r="U163" s="142" t="str">
        <f t="shared" si="67"/>
        <v/>
      </c>
      <c r="V163" s="88"/>
      <c r="W163" s="88"/>
      <c r="X163" s="88"/>
      <c r="Y163" s="88"/>
      <c r="Z163" s="88"/>
      <c r="AA163" s="88"/>
      <c r="AB163" s="88"/>
      <c r="AC163" s="88"/>
      <c r="AD163" s="142" t="str">
        <f t="shared" si="68"/>
        <v/>
      </c>
      <c r="AE163" s="88"/>
      <c r="AF163" s="88"/>
      <c r="AG163" s="88"/>
      <c r="AH163" s="88"/>
      <c r="AI163" s="88"/>
      <c r="AJ163" s="88"/>
      <c r="AK163" s="88"/>
      <c r="AL163" s="88"/>
      <c r="AM163" s="88">
        <v>42.827329643408035</v>
      </c>
      <c r="AN163" s="88">
        <v>110.21000000000001</v>
      </c>
      <c r="AO163" s="89"/>
      <c r="AP163" s="90"/>
      <c r="AQ163" s="146" t="str">
        <f t="shared" si="69"/>
        <v/>
      </c>
      <c r="AR163" s="146" t="str">
        <f t="shared" si="70"/>
        <v/>
      </c>
      <c r="AS163" s="147"/>
      <c r="AT163" s="148"/>
      <c r="AU163" s="149"/>
      <c r="AV163" s="146" t="str">
        <f t="shared" si="71"/>
        <v/>
      </c>
      <c r="AW163" s="146" t="str">
        <f t="shared" si="72"/>
        <v/>
      </c>
      <c r="AX163" s="138" t="str">
        <f t="shared" si="73"/>
        <v/>
      </c>
      <c r="AY163" s="95"/>
      <c r="AZ163" s="96"/>
      <c r="BA163" s="96"/>
      <c r="BB163" s="96"/>
      <c r="BC163" s="96"/>
      <c r="BD163" s="97">
        <v>110.21000000000001</v>
      </c>
      <c r="BE163" s="142">
        <f t="shared" si="74"/>
        <v>14022</v>
      </c>
      <c r="BF163" s="98">
        <v>2020</v>
      </c>
      <c r="BG163" s="98">
        <v>0</v>
      </c>
      <c r="BH163" s="98">
        <v>5672</v>
      </c>
      <c r="BI163" s="98">
        <v>6330</v>
      </c>
      <c r="BJ163" s="98"/>
      <c r="BK163" s="98"/>
      <c r="BL163" s="97"/>
    </row>
    <row r="164" spans="1:64" outlineLevel="5" x14ac:dyDescent="0.3">
      <c r="A164" s="152">
        <f t="shared" si="76"/>
        <v>5</v>
      </c>
      <c r="B164" s="153">
        <f t="shared" si="75"/>
        <v>45423</v>
      </c>
      <c r="C164" s="138" t="str">
        <f t="shared" si="65"/>
        <v/>
      </c>
      <c r="D164" s="186"/>
      <c r="E164" s="186"/>
      <c r="F164" s="84"/>
      <c r="G164" s="84"/>
      <c r="H164" s="84"/>
      <c r="I164" s="84"/>
      <c r="J164" s="84"/>
      <c r="K164" s="84"/>
      <c r="L164" s="140" t="str">
        <f t="shared" si="66"/>
        <v/>
      </c>
      <c r="M164" s="187"/>
      <c r="N164" s="187"/>
      <c r="O164" s="86"/>
      <c r="P164" s="86"/>
      <c r="Q164" s="86"/>
      <c r="R164" s="86"/>
      <c r="S164" s="86"/>
      <c r="T164" s="86"/>
      <c r="U164" s="142" t="str">
        <f t="shared" si="67"/>
        <v/>
      </c>
      <c r="V164" s="88"/>
      <c r="W164" s="88"/>
      <c r="X164" s="88"/>
      <c r="Y164" s="88"/>
      <c r="Z164" s="88"/>
      <c r="AA164" s="88"/>
      <c r="AB164" s="88"/>
      <c r="AC164" s="88"/>
      <c r="AD164" s="142" t="str">
        <f t="shared" si="68"/>
        <v/>
      </c>
      <c r="AE164" s="88"/>
      <c r="AF164" s="88"/>
      <c r="AG164" s="88"/>
      <c r="AH164" s="88"/>
      <c r="AI164" s="88"/>
      <c r="AJ164" s="88"/>
      <c r="AK164" s="88"/>
      <c r="AL164" s="88"/>
      <c r="AM164" s="88">
        <v>69.48329162373031</v>
      </c>
      <c r="AN164" s="88">
        <v>67.930000000000007</v>
      </c>
      <c r="AO164" s="89"/>
      <c r="AP164" s="90"/>
      <c r="AQ164" s="146" t="str">
        <f t="shared" si="69"/>
        <v/>
      </c>
      <c r="AR164" s="146" t="str">
        <f t="shared" si="70"/>
        <v/>
      </c>
      <c r="AS164" s="147"/>
      <c r="AT164" s="148"/>
      <c r="AU164" s="149"/>
      <c r="AV164" s="146" t="str">
        <f t="shared" si="71"/>
        <v/>
      </c>
      <c r="AW164" s="146" t="str">
        <f t="shared" si="72"/>
        <v/>
      </c>
      <c r="AX164" s="138" t="str">
        <f t="shared" si="73"/>
        <v/>
      </c>
      <c r="AY164" s="95"/>
      <c r="AZ164" s="96"/>
      <c r="BA164" s="96"/>
      <c r="BB164" s="96"/>
      <c r="BC164" s="96"/>
      <c r="BD164" s="97">
        <v>67.930000000000007</v>
      </c>
      <c r="BE164" s="142">
        <f t="shared" si="74"/>
        <v>8453</v>
      </c>
      <c r="BF164" s="98">
        <v>2140</v>
      </c>
      <c r="BG164" s="98">
        <v>0</v>
      </c>
      <c r="BH164" s="98">
        <v>0</v>
      </c>
      <c r="BI164" s="98">
        <v>6313</v>
      </c>
      <c r="BJ164" s="98"/>
      <c r="BK164" s="98"/>
      <c r="BL164" s="97"/>
    </row>
    <row r="165" spans="1:64" outlineLevel="5" x14ac:dyDescent="0.3">
      <c r="A165" s="152">
        <f t="shared" si="76"/>
        <v>5</v>
      </c>
      <c r="B165" s="153">
        <f t="shared" si="75"/>
        <v>45424</v>
      </c>
      <c r="C165" s="138" t="str">
        <f t="shared" si="65"/>
        <v/>
      </c>
      <c r="D165" s="186"/>
      <c r="E165" s="186"/>
      <c r="F165" s="84"/>
      <c r="G165" s="84"/>
      <c r="H165" s="84"/>
      <c r="I165" s="84"/>
      <c r="J165" s="84"/>
      <c r="K165" s="84"/>
      <c r="L165" s="140" t="str">
        <f t="shared" si="66"/>
        <v/>
      </c>
      <c r="M165" s="187"/>
      <c r="N165" s="187"/>
      <c r="O165" s="86"/>
      <c r="P165" s="86"/>
      <c r="Q165" s="86"/>
      <c r="R165" s="86"/>
      <c r="S165" s="86"/>
      <c r="T165" s="86"/>
      <c r="U165" s="142" t="str">
        <f t="shared" si="67"/>
        <v/>
      </c>
      <c r="V165" s="88"/>
      <c r="W165" s="88"/>
      <c r="X165" s="88"/>
      <c r="Y165" s="88"/>
      <c r="Z165" s="88"/>
      <c r="AA165" s="88"/>
      <c r="AB165" s="88"/>
      <c r="AC165" s="88"/>
      <c r="AD165" s="142" t="str">
        <f t="shared" si="68"/>
        <v/>
      </c>
      <c r="AE165" s="88"/>
      <c r="AF165" s="88"/>
      <c r="AG165" s="88"/>
      <c r="AH165" s="88"/>
      <c r="AI165" s="88"/>
      <c r="AJ165" s="88"/>
      <c r="AK165" s="88"/>
      <c r="AL165" s="88"/>
      <c r="AM165" s="88">
        <v>78.666666666666671</v>
      </c>
      <c r="AN165" s="88">
        <v>60</v>
      </c>
      <c r="AO165" s="89"/>
      <c r="AP165" s="90"/>
      <c r="AQ165" s="146" t="str">
        <f t="shared" si="69"/>
        <v/>
      </c>
      <c r="AR165" s="146" t="str">
        <f t="shared" si="70"/>
        <v/>
      </c>
      <c r="AS165" s="147"/>
      <c r="AT165" s="148"/>
      <c r="AU165" s="149"/>
      <c r="AV165" s="146" t="str">
        <f t="shared" si="71"/>
        <v/>
      </c>
      <c r="AW165" s="146" t="str">
        <f t="shared" si="72"/>
        <v/>
      </c>
      <c r="AX165" s="138" t="str">
        <f t="shared" si="73"/>
        <v/>
      </c>
      <c r="AY165" s="95"/>
      <c r="AZ165" s="96"/>
      <c r="BA165" s="96"/>
      <c r="BB165" s="96"/>
      <c r="BC165" s="96"/>
      <c r="BD165" s="97">
        <v>60</v>
      </c>
      <c r="BE165" s="142">
        <f t="shared" si="74"/>
        <v>7705</v>
      </c>
      <c r="BF165" s="98">
        <v>1268</v>
      </c>
      <c r="BG165" s="98">
        <v>0</v>
      </c>
      <c r="BH165" s="98">
        <v>0</v>
      </c>
      <c r="BI165" s="98">
        <v>6437</v>
      </c>
      <c r="BJ165" s="98"/>
      <c r="BK165" s="98"/>
      <c r="BL165" s="97"/>
    </row>
    <row r="166" spans="1:64" outlineLevel="5" x14ac:dyDescent="0.3">
      <c r="A166" s="152">
        <f t="shared" si="76"/>
        <v>5</v>
      </c>
      <c r="B166" s="153">
        <f t="shared" si="75"/>
        <v>45425</v>
      </c>
      <c r="C166" s="138" t="str">
        <f t="shared" si="65"/>
        <v/>
      </c>
      <c r="D166" s="186"/>
      <c r="E166" s="186"/>
      <c r="F166" s="84"/>
      <c r="G166" s="84"/>
      <c r="H166" s="84"/>
      <c r="I166" s="84"/>
      <c r="J166" s="84"/>
      <c r="K166" s="84"/>
      <c r="L166" s="140" t="str">
        <f t="shared" si="66"/>
        <v/>
      </c>
      <c r="M166" s="187"/>
      <c r="N166" s="187"/>
      <c r="O166" s="86"/>
      <c r="P166" s="86"/>
      <c r="Q166" s="86"/>
      <c r="R166" s="86"/>
      <c r="S166" s="86"/>
      <c r="T166" s="86"/>
      <c r="U166" s="142" t="str">
        <f t="shared" si="67"/>
        <v/>
      </c>
      <c r="V166" s="88"/>
      <c r="W166" s="88"/>
      <c r="X166" s="88"/>
      <c r="Y166" s="88"/>
      <c r="Z166" s="88"/>
      <c r="AA166" s="88"/>
      <c r="AB166" s="88"/>
      <c r="AC166" s="88"/>
      <c r="AD166" s="142" t="str">
        <f t="shared" si="68"/>
        <v/>
      </c>
      <c r="AE166" s="88"/>
      <c r="AF166" s="88"/>
      <c r="AG166" s="88"/>
      <c r="AH166" s="88"/>
      <c r="AI166" s="88"/>
      <c r="AJ166" s="88"/>
      <c r="AK166" s="88"/>
      <c r="AL166" s="88"/>
      <c r="AM166" s="88">
        <v>57.239873878243991</v>
      </c>
      <c r="AN166" s="88">
        <v>82.460000000000008</v>
      </c>
      <c r="AO166" s="89"/>
      <c r="AP166" s="90"/>
      <c r="AQ166" s="146" t="str">
        <f t="shared" si="69"/>
        <v/>
      </c>
      <c r="AR166" s="146" t="str">
        <f t="shared" si="70"/>
        <v/>
      </c>
      <c r="AS166" s="147"/>
      <c r="AT166" s="148"/>
      <c r="AU166" s="149"/>
      <c r="AV166" s="146" t="str">
        <f t="shared" si="71"/>
        <v/>
      </c>
      <c r="AW166" s="146" t="str">
        <f t="shared" si="72"/>
        <v/>
      </c>
      <c r="AX166" s="138" t="str">
        <f t="shared" si="73"/>
        <v/>
      </c>
      <c r="AY166" s="95"/>
      <c r="AZ166" s="96"/>
      <c r="BA166" s="96"/>
      <c r="BB166" s="96"/>
      <c r="BC166" s="96"/>
      <c r="BD166" s="97">
        <v>82.460000000000008</v>
      </c>
      <c r="BE166" s="142">
        <f t="shared" si="74"/>
        <v>6697</v>
      </c>
      <c r="BF166" s="98">
        <v>0</v>
      </c>
      <c r="BG166" s="98">
        <v>0</v>
      </c>
      <c r="BH166" s="98">
        <v>189</v>
      </c>
      <c r="BI166" s="98">
        <v>6508</v>
      </c>
      <c r="BJ166" s="98"/>
      <c r="BK166" s="98"/>
      <c r="BL166" s="97"/>
    </row>
    <row r="167" spans="1:64" outlineLevel="5" x14ac:dyDescent="0.3">
      <c r="A167" s="152">
        <f t="shared" si="76"/>
        <v>5</v>
      </c>
      <c r="B167" s="153">
        <f t="shared" si="75"/>
        <v>45426</v>
      </c>
      <c r="C167" s="138" t="str">
        <f t="shared" si="65"/>
        <v/>
      </c>
      <c r="D167" s="186"/>
      <c r="E167" s="186"/>
      <c r="F167" s="84"/>
      <c r="G167" s="84"/>
      <c r="H167" s="84"/>
      <c r="I167" s="84"/>
      <c r="J167" s="84"/>
      <c r="K167" s="84"/>
      <c r="L167" s="140" t="str">
        <f t="shared" si="66"/>
        <v/>
      </c>
      <c r="M167" s="187"/>
      <c r="N167" s="187"/>
      <c r="O167" s="86"/>
      <c r="P167" s="86"/>
      <c r="Q167" s="86"/>
      <c r="R167" s="86"/>
      <c r="S167" s="86"/>
      <c r="T167" s="86"/>
      <c r="U167" s="142" t="str">
        <f t="shared" si="67"/>
        <v/>
      </c>
      <c r="V167" s="88"/>
      <c r="W167" s="88"/>
      <c r="X167" s="88"/>
      <c r="Y167" s="88"/>
      <c r="Z167" s="88"/>
      <c r="AA167" s="88"/>
      <c r="AB167" s="88"/>
      <c r="AC167" s="88"/>
      <c r="AD167" s="142" t="str">
        <f t="shared" si="68"/>
        <v/>
      </c>
      <c r="AE167" s="88"/>
      <c r="AF167" s="88"/>
      <c r="AG167" s="88"/>
      <c r="AH167" s="88"/>
      <c r="AI167" s="88"/>
      <c r="AJ167" s="88"/>
      <c r="AK167" s="88"/>
      <c r="AL167" s="88"/>
      <c r="AM167" s="88">
        <v>39.942455784039943</v>
      </c>
      <c r="AN167" s="88">
        <v>118.17</v>
      </c>
      <c r="AO167" s="89"/>
      <c r="AP167" s="90"/>
      <c r="AQ167" s="146" t="str">
        <f t="shared" si="69"/>
        <v/>
      </c>
      <c r="AR167" s="146" t="str">
        <f t="shared" si="70"/>
        <v/>
      </c>
      <c r="AS167" s="147"/>
      <c r="AT167" s="148"/>
      <c r="AU167" s="149"/>
      <c r="AV167" s="146" t="str">
        <f t="shared" si="71"/>
        <v/>
      </c>
      <c r="AW167" s="146" t="str">
        <f t="shared" si="72"/>
        <v/>
      </c>
      <c r="AX167" s="138" t="str">
        <f t="shared" si="73"/>
        <v/>
      </c>
      <c r="AY167" s="95"/>
      <c r="AZ167" s="96">
        <v>61.385000000000005</v>
      </c>
      <c r="BA167" s="96"/>
      <c r="BB167" s="96">
        <v>68</v>
      </c>
      <c r="BC167" s="96"/>
      <c r="BD167" s="97">
        <v>118.17</v>
      </c>
      <c r="BE167" s="142">
        <f t="shared" si="74"/>
        <v>7937</v>
      </c>
      <c r="BF167" s="98">
        <v>0</v>
      </c>
      <c r="BG167" s="98">
        <v>0</v>
      </c>
      <c r="BH167" s="98">
        <v>4918</v>
      </c>
      <c r="BI167" s="98">
        <v>3019</v>
      </c>
      <c r="BJ167" s="98"/>
      <c r="BK167" s="98"/>
      <c r="BL167" s="97"/>
    </row>
    <row r="168" spans="1:64" outlineLevel="5" x14ac:dyDescent="0.3">
      <c r="A168" s="152">
        <f t="shared" si="76"/>
        <v>5</v>
      </c>
      <c r="B168" s="153">
        <f t="shared" si="75"/>
        <v>45427</v>
      </c>
      <c r="C168" s="138" t="str">
        <f t="shared" si="65"/>
        <v/>
      </c>
      <c r="D168" s="186"/>
      <c r="E168" s="186"/>
      <c r="F168" s="84"/>
      <c r="G168" s="84"/>
      <c r="H168" s="84"/>
      <c r="I168" s="84"/>
      <c r="J168" s="84"/>
      <c r="K168" s="84"/>
      <c r="L168" s="140" t="str">
        <f t="shared" si="66"/>
        <v/>
      </c>
      <c r="M168" s="187"/>
      <c r="N168" s="187"/>
      <c r="O168" s="86"/>
      <c r="P168" s="86"/>
      <c r="Q168" s="86"/>
      <c r="R168" s="86"/>
      <c r="S168" s="86"/>
      <c r="T168" s="86"/>
      <c r="U168" s="142" t="str">
        <f t="shared" si="67"/>
        <v/>
      </c>
      <c r="V168" s="88"/>
      <c r="W168" s="88"/>
      <c r="X168" s="88"/>
      <c r="Y168" s="88"/>
      <c r="Z168" s="88"/>
      <c r="AA168" s="88"/>
      <c r="AB168" s="88"/>
      <c r="AC168" s="88"/>
      <c r="AD168" s="142" t="str">
        <f t="shared" si="68"/>
        <v/>
      </c>
      <c r="AE168" s="88"/>
      <c r="AF168" s="88"/>
      <c r="AG168" s="88"/>
      <c r="AH168" s="88"/>
      <c r="AI168" s="88"/>
      <c r="AJ168" s="88"/>
      <c r="AK168" s="88"/>
      <c r="AL168" s="88"/>
      <c r="AM168" s="88">
        <v>40.235274060182419</v>
      </c>
      <c r="AN168" s="88">
        <v>117.31</v>
      </c>
      <c r="AO168" s="89"/>
      <c r="AP168" s="90"/>
      <c r="AQ168" s="146" t="str">
        <f t="shared" si="69"/>
        <v/>
      </c>
      <c r="AR168" s="146" t="str">
        <f t="shared" si="70"/>
        <v/>
      </c>
      <c r="AS168" s="147"/>
      <c r="AT168" s="148"/>
      <c r="AU168" s="149"/>
      <c r="AV168" s="146" t="str">
        <f t="shared" si="71"/>
        <v/>
      </c>
      <c r="AW168" s="146" t="str">
        <f t="shared" si="72"/>
        <v/>
      </c>
      <c r="AX168" s="138" t="str">
        <f t="shared" si="73"/>
        <v/>
      </c>
      <c r="AY168" s="95"/>
      <c r="AZ168" s="96"/>
      <c r="BA168" s="96"/>
      <c r="BB168" s="96"/>
      <c r="BC168" s="96"/>
      <c r="BD168" s="97">
        <v>117.31</v>
      </c>
      <c r="BE168" s="142">
        <f t="shared" si="74"/>
        <v>4547</v>
      </c>
      <c r="BF168" s="98">
        <v>0</v>
      </c>
      <c r="BG168" s="98">
        <v>0</v>
      </c>
      <c r="BH168" s="98">
        <v>4547</v>
      </c>
      <c r="BI168" s="98">
        <v>0</v>
      </c>
      <c r="BJ168" s="98"/>
      <c r="BK168" s="98"/>
      <c r="BL168" s="97"/>
    </row>
    <row r="169" spans="1:64" outlineLevel="5" x14ac:dyDescent="0.3">
      <c r="A169" s="152">
        <f t="shared" si="76"/>
        <v>5</v>
      </c>
      <c r="B169" s="153">
        <f t="shared" si="75"/>
        <v>45428</v>
      </c>
      <c r="C169" s="138" t="str">
        <f t="shared" si="65"/>
        <v/>
      </c>
      <c r="D169" s="186"/>
      <c r="E169" s="186"/>
      <c r="F169" s="84"/>
      <c r="G169" s="84"/>
      <c r="H169" s="84"/>
      <c r="I169" s="84"/>
      <c r="J169" s="84"/>
      <c r="K169" s="84"/>
      <c r="L169" s="140">
        <f t="shared" si="66"/>
        <v>8.3000000000000007</v>
      </c>
      <c r="M169" s="187">
        <v>8.25</v>
      </c>
      <c r="N169" s="187">
        <v>8.2799999999999994</v>
      </c>
      <c r="O169" s="86"/>
      <c r="P169" s="86"/>
      <c r="Q169" s="86"/>
      <c r="R169" s="86"/>
      <c r="S169" s="86"/>
      <c r="T169" s="86"/>
      <c r="U169" s="142">
        <f t="shared" si="67"/>
        <v>616.29999999999995</v>
      </c>
      <c r="V169" s="88">
        <v>551.4</v>
      </c>
      <c r="W169" s="88">
        <v>681.2</v>
      </c>
      <c r="X169" s="88"/>
      <c r="Y169" s="88"/>
      <c r="Z169" s="88"/>
      <c r="AA169" s="88"/>
      <c r="AB169" s="88"/>
      <c r="AC169" s="88"/>
      <c r="AD169" s="142" t="str">
        <f t="shared" si="68"/>
        <v/>
      </c>
      <c r="AE169" s="88"/>
      <c r="AF169" s="88"/>
      <c r="AG169" s="88"/>
      <c r="AH169" s="88"/>
      <c r="AI169" s="88"/>
      <c r="AJ169" s="88"/>
      <c r="AK169" s="88"/>
      <c r="AL169" s="88"/>
      <c r="AM169" s="88">
        <v>100.16977928692698</v>
      </c>
      <c r="AN169" s="88">
        <v>47.120000000000005</v>
      </c>
      <c r="AO169" s="89">
        <v>17</v>
      </c>
      <c r="AP169" s="90">
        <v>12.9</v>
      </c>
      <c r="AQ169" s="146">
        <f t="shared" si="69"/>
        <v>75.882352941176464</v>
      </c>
      <c r="AR169" s="146">
        <f t="shared" si="70"/>
        <v>24.117647058823536</v>
      </c>
      <c r="AS169" s="147"/>
      <c r="AT169" s="148">
        <v>13.95</v>
      </c>
      <c r="AU169" s="149">
        <v>7.9659499999999994</v>
      </c>
      <c r="AV169" s="146">
        <f t="shared" si="71"/>
        <v>57.103584229390677</v>
      </c>
      <c r="AW169" s="146">
        <f t="shared" si="72"/>
        <v>42.896415770609323</v>
      </c>
      <c r="AX169" s="138">
        <f t="shared" si="73"/>
        <v>57.690634839423581</v>
      </c>
      <c r="AY169" s="95">
        <v>75.650000000000006</v>
      </c>
      <c r="AZ169" s="96"/>
      <c r="BA169" s="96"/>
      <c r="BB169" s="96"/>
      <c r="BC169" s="96"/>
      <c r="BD169" s="97">
        <v>47.120000000000005</v>
      </c>
      <c r="BE169" s="142">
        <f t="shared" si="74"/>
        <v>2876</v>
      </c>
      <c r="BF169" s="98">
        <v>0</v>
      </c>
      <c r="BG169" s="98">
        <v>0</v>
      </c>
      <c r="BH169" s="98">
        <v>2876</v>
      </c>
      <c r="BI169" s="98">
        <v>0</v>
      </c>
      <c r="BJ169" s="98"/>
      <c r="BK169" s="98"/>
      <c r="BL169" s="97"/>
    </row>
    <row r="170" spans="1:64" outlineLevel="5" x14ac:dyDescent="0.3">
      <c r="A170" s="152">
        <f t="shared" si="76"/>
        <v>5</v>
      </c>
      <c r="B170" s="153">
        <f t="shared" si="75"/>
        <v>45429</v>
      </c>
      <c r="C170" s="138" t="str">
        <f t="shared" si="65"/>
        <v/>
      </c>
      <c r="D170" s="186"/>
      <c r="E170" s="186"/>
      <c r="F170" s="84"/>
      <c r="G170" s="84"/>
      <c r="H170" s="84"/>
      <c r="I170" s="84"/>
      <c r="J170" s="84"/>
      <c r="K170" s="84"/>
      <c r="L170" s="140" t="str">
        <f t="shared" si="66"/>
        <v/>
      </c>
      <c r="M170" s="187"/>
      <c r="N170" s="187"/>
      <c r="O170" s="86"/>
      <c r="P170" s="86"/>
      <c r="Q170" s="86"/>
      <c r="R170" s="86"/>
      <c r="S170" s="86"/>
      <c r="T170" s="86"/>
      <c r="U170" s="142" t="str">
        <f t="shared" si="67"/>
        <v/>
      </c>
      <c r="V170" s="88"/>
      <c r="W170" s="88"/>
      <c r="X170" s="88"/>
      <c r="Y170" s="88"/>
      <c r="Z170" s="88"/>
      <c r="AA170" s="88"/>
      <c r="AB170" s="88"/>
      <c r="AC170" s="88"/>
      <c r="AD170" s="142" t="str">
        <f t="shared" si="68"/>
        <v/>
      </c>
      <c r="AE170" s="88"/>
      <c r="AF170" s="88"/>
      <c r="AG170" s="88"/>
      <c r="AH170" s="88"/>
      <c r="AI170" s="88"/>
      <c r="AJ170" s="88"/>
      <c r="AK170" s="88"/>
      <c r="AL170" s="88"/>
      <c r="AM170" s="88"/>
      <c r="AN170" s="88">
        <v>0</v>
      </c>
      <c r="AO170" s="89"/>
      <c r="AP170" s="90"/>
      <c r="AQ170" s="146" t="str">
        <f t="shared" si="69"/>
        <v/>
      </c>
      <c r="AR170" s="146" t="str">
        <f t="shared" si="70"/>
        <v/>
      </c>
      <c r="AS170" s="147"/>
      <c r="AT170" s="148"/>
      <c r="AU170" s="149"/>
      <c r="AV170" s="146" t="str">
        <f t="shared" si="71"/>
        <v/>
      </c>
      <c r="AW170" s="146" t="str">
        <f t="shared" si="72"/>
        <v/>
      </c>
      <c r="AX170" s="138" t="str">
        <f t="shared" si="73"/>
        <v/>
      </c>
      <c r="AY170" s="95"/>
      <c r="AZ170" s="96"/>
      <c r="BA170" s="96"/>
      <c r="BB170" s="96"/>
      <c r="BC170" s="96"/>
      <c r="BD170" s="97">
        <v>0</v>
      </c>
      <c r="BE170" s="142" t="str">
        <f t="shared" si="74"/>
        <v/>
      </c>
      <c r="BF170" s="98">
        <v>0</v>
      </c>
      <c r="BG170" s="98">
        <v>0</v>
      </c>
      <c r="BH170" s="98">
        <v>0</v>
      </c>
      <c r="BI170" s="98">
        <v>0</v>
      </c>
      <c r="BJ170" s="98"/>
      <c r="BK170" s="98"/>
      <c r="BL170" s="97"/>
    </row>
    <row r="171" spans="1:64" outlineLevel="5" x14ac:dyDescent="0.3">
      <c r="A171" s="152">
        <f t="shared" si="76"/>
        <v>5</v>
      </c>
      <c r="B171" s="153">
        <f t="shared" si="75"/>
        <v>45430</v>
      </c>
      <c r="C171" s="138" t="str">
        <f t="shared" si="65"/>
        <v/>
      </c>
      <c r="D171" s="189"/>
      <c r="E171" s="186"/>
      <c r="F171" s="84"/>
      <c r="G171" s="84"/>
      <c r="H171" s="84"/>
      <c r="I171" s="84"/>
      <c r="J171" s="84"/>
      <c r="K171" s="84"/>
      <c r="L171" s="140" t="str">
        <f t="shared" si="66"/>
        <v/>
      </c>
      <c r="M171" s="187"/>
      <c r="N171" s="187"/>
      <c r="O171" s="86"/>
      <c r="P171" s="86"/>
      <c r="Q171" s="86"/>
      <c r="R171" s="86"/>
      <c r="S171" s="86"/>
      <c r="T171" s="86"/>
      <c r="U171" s="142" t="str">
        <f t="shared" si="67"/>
        <v/>
      </c>
      <c r="V171" s="88"/>
      <c r="W171" s="88"/>
      <c r="X171" s="88"/>
      <c r="Y171" s="88"/>
      <c r="Z171" s="88"/>
      <c r="AA171" s="88"/>
      <c r="AB171" s="88"/>
      <c r="AC171" s="88"/>
      <c r="AD171" s="142" t="str">
        <f t="shared" si="68"/>
        <v/>
      </c>
      <c r="AE171" s="88"/>
      <c r="AF171" s="88"/>
      <c r="AG171" s="88"/>
      <c r="AH171" s="88"/>
      <c r="AI171" s="88"/>
      <c r="AJ171" s="88"/>
      <c r="AK171" s="88"/>
      <c r="AL171" s="88"/>
      <c r="AM171" s="88"/>
      <c r="AN171" s="88">
        <v>0</v>
      </c>
      <c r="AO171" s="89"/>
      <c r="AP171" s="90"/>
      <c r="AQ171" s="146" t="str">
        <f t="shared" si="69"/>
        <v/>
      </c>
      <c r="AR171" s="146" t="str">
        <f t="shared" si="70"/>
        <v/>
      </c>
      <c r="AS171" s="147"/>
      <c r="AT171" s="148"/>
      <c r="AU171" s="149"/>
      <c r="AV171" s="146" t="str">
        <f t="shared" si="71"/>
        <v/>
      </c>
      <c r="AW171" s="146" t="str">
        <f t="shared" si="72"/>
        <v/>
      </c>
      <c r="AX171" s="138" t="str">
        <f t="shared" si="73"/>
        <v/>
      </c>
      <c r="AY171" s="95"/>
      <c r="AZ171" s="96"/>
      <c r="BA171" s="96"/>
      <c r="BB171" s="96"/>
      <c r="BC171" s="96"/>
      <c r="BD171" s="97">
        <v>0</v>
      </c>
      <c r="BE171" s="142" t="str">
        <f t="shared" si="74"/>
        <v/>
      </c>
      <c r="BF171" s="98">
        <v>0</v>
      </c>
      <c r="BG171" s="98">
        <v>0</v>
      </c>
      <c r="BH171" s="98">
        <v>0</v>
      </c>
      <c r="BI171" s="98">
        <v>0</v>
      </c>
      <c r="BJ171" s="98"/>
      <c r="BK171" s="98"/>
      <c r="BL171" s="97"/>
    </row>
    <row r="172" spans="1:64" outlineLevel="5" x14ac:dyDescent="0.3">
      <c r="A172" s="152">
        <f t="shared" si="76"/>
        <v>5</v>
      </c>
      <c r="B172" s="153">
        <f t="shared" si="75"/>
        <v>45431</v>
      </c>
      <c r="C172" s="138" t="str">
        <f t="shared" si="65"/>
        <v/>
      </c>
      <c r="D172" s="189"/>
      <c r="E172" s="186"/>
      <c r="F172" s="84"/>
      <c r="G172" s="84"/>
      <c r="H172" s="84"/>
      <c r="I172" s="84"/>
      <c r="J172" s="84"/>
      <c r="K172" s="84"/>
      <c r="L172" s="140" t="str">
        <f t="shared" si="66"/>
        <v/>
      </c>
      <c r="M172" s="187"/>
      <c r="N172" s="187"/>
      <c r="O172" s="86"/>
      <c r="P172" s="86"/>
      <c r="Q172" s="86"/>
      <c r="R172" s="86"/>
      <c r="S172" s="86"/>
      <c r="T172" s="86"/>
      <c r="U172" s="142" t="str">
        <f t="shared" si="67"/>
        <v/>
      </c>
      <c r="V172" s="88"/>
      <c r="W172" s="88"/>
      <c r="X172" s="88"/>
      <c r="Y172" s="88"/>
      <c r="Z172" s="88"/>
      <c r="AA172" s="88"/>
      <c r="AB172" s="88"/>
      <c r="AC172" s="88"/>
      <c r="AD172" s="142" t="str">
        <f t="shared" si="68"/>
        <v/>
      </c>
      <c r="AE172" s="88"/>
      <c r="AF172" s="88"/>
      <c r="AG172" s="88"/>
      <c r="AH172" s="88"/>
      <c r="AI172" s="88"/>
      <c r="AJ172" s="88"/>
      <c r="AK172" s="88"/>
      <c r="AL172" s="88"/>
      <c r="AM172" s="88"/>
      <c r="AN172" s="88">
        <v>0</v>
      </c>
      <c r="AO172" s="89"/>
      <c r="AP172" s="90"/>
      <c r="AQ172" s="146" t="str">
        <f t="shared" si="69"/>
        <v/>
      </c>
      <c r="AR172" s="146" t="str">
        <f t="shared" si="70"/>
        <v/>
      </c>
      <c r="AS172" s="147"/>
      <c r="AT172" s="148"/>
      <c r="AU172" s="149"/>
      <c r="AV172" s="146" t="str">
        <f t="shared" si="71"/>
        <v/>
      </c>
      <c r="AW172" s="146" t="str">
        <f t="shared" si="72"/>
        <v/>
      </c>
      <c r="AX172" s="138" t="str">
        <f t="shared" si="73"/>
        <v/>
      </c>
      <c r="AY172" s="95"/>
      <c r="AZ172" s="96"/>
      <c r="BA172" s="96"/>
      <c r="BB172" s="96"/>
      <c r="BC172" s="96"/>
      <c r="BD172" s="97">
        <v>0</v>
      </c>
      <c r="BE172" s="142" t="str">
        <f t="shared" si="74"/>
        <v/>
      </c>
      <c r="BF172" s="98">
        <v>0</v>
      </c>
      <c r="BG172" s="98">
        <v>0</v>
      </c>
      <c r="BH172" s="98">
        <v>0</v>
      </c>
      <c r="BI172" s="98">
        <v>0</v>
      </c>
      <c r="BJ172" s="98"/>
      <c r="BK172" s="98"/>
      <c r="BL172" s="97"/>
    </row>
    <row r="173" spans="1:64" outlineLevel="5" x14ac:dyDescent="0.3">
      <c r="A173" s="152">
        <f t="shared" si="76"/>
        <v>5</v>
      </c>
      <c r="B173" s="153">
        <f t="shared" si="75"/>
        <v>45432</v>
      </c>
      <c r="C173" s="138" t="str">
        <f t="shared" si="65"/>
        <v/>
      </c>
      <c r="D173" s="189"/>
      <c r="E173" s="186"/>
      <c r="F173" s="84"/>
      <c r="G173" s="84"/>
      <c r="H173" s="84"/>
      <c r="I173" s="84"/>
      <c r="J173" s="84"/>
      <c r="K173" s="84"/>
      <c r="L173" s="140" t="str">
        <f t="shared" si="66"/>
        <v/>
      </c>
      <c r="M173" s="187"/>
      <c r="N173" s="187"/>
      <c r="O173" s="86"/>
      <c r="P173" s="86"/>
      <c r="Q173" s="86"/>
      <c r="R173" s="86"/>
      <c r="S173" s="86"/>
      <c r="T173" s="86"/>
      <c r="U173" s="142" t="str">
        <f t="shared" si="67"/>
        <v/>
      </c>
      <c r="V173" s="88"/>
      <c r="W173" s="88"/>
      <c r="X173" s="88"/>
      <c r="Y173" s="88"/>
      <c r="Z173" s="88"/>
      <c r="AA173" s="88"/>
      <c r="AB173" s="88"/>
      <c r="AC173" s="88"/>
      <c r="AD173" s="142" t="str">
        <f t="shared" si="68"/>
        <v/>
      </c>
      <c r="AE173" s="88"/>
      <c r="AF173" s="88"/>
      <c r="AG173" s="88"/>
      <c r="AH173" s="88"/>
      <c r="AI173" s="88"/>
      <c r="AJ173" s="88"/>
      <c r="AK173" s="88"/>
      <c r="AL173" s="88"/>
      <c r="AM173" s="88"/>
      <c r="AN173" s="88">
        <v>0</v>
      </c>
      <c r="AO173" s="89"/>
      <c r="AP173" s="90"/>
      <c r="AQ173" s="146" t="str">
        <f t="shared" si="69"/>
        <v/>
      </c>
      <c r="AR173" s="146" t="str">
        <f t="shared" si="70"/>
        <v/>
      </c>
      <c r="AS173" s="147"/>
      <c r="AT173" s="148"/>
      <c r="AU173" s="149"/>
      <c r="AV173" s="146" t="str">
        <f t="shared" si="71"/>
        <v/>
      </c>
      <c r="AW173" s="146" t="str">
        <f t="shared" si="72"/>
        <v/>
      </c>
      <c r="AX173" s="138" t="str">
        <f t="shared" si="73"/>
        <v/>
      </c>
      <c r="AY173" s="95"/>
      <c r="AZ173" s="96"/>
      <c r="BA173" s="96"/>
      <c r="BB173" s="96"/>
      <c r="BC173" s="96"/>
      <c r="BD173" s="97">
        <v>0</v>
      </c>
      <c r="BE173" s="142">
        <f t="shared" si="74"/>
        <v>59</v>
      </c>
      <c r="BF173" s="98">
        <v>0</v>
      </c>
      <c r="BG173" s="98">
        <v>0</v>
      </c>
      <c r="BH173" s="98">
        <v>0</v>
      </c>
      <c r="BI173" s="98">
        <v>59</v>
      </c>
      <c r="BJ173" s="98"/>
      <c r="BK173" s="98"/>
      <c r="BL173" s="97"/>
    </row>
    <row r="174" spans="1:64" outlineLevel="5" x14ac:dyDescent="0.3">
      <c r="A174" s="152">
        <f t="shared" si="76"/>
        <v>5</v>
      </c>
      <c r="B174" s="153">
        <f t="shared" si="75"/>
        <v>45433</v>
      </c>
      <c r="C174" s="138" t="str">
        <f t="shared" si="65"/>
        <v/>
      </c>
      <c r="D174" s="189"/>
      <c r="E174" s="186"/>
      <c r="F174" s="84"/>
      <c r="G174" s="84"/>
      <c r="H174" s="84"/>
      <c r="I174" s="84"/>
      <c r="J174" s="84"/>
      <c r="K174" s="84"/>
      <c r="L174" s="140" t="str">
        <f t="shared" si="66"/>
        <v/>
      </c>
      <c r="M174" s="187"/>
      <c r="N174" s="187"/>
      <c r="O174" s="86"/>
      <c r="P174" s="86"/>
      <c r="Q174" s="86"/>
      <c r="R174" s="86"/>
      <c r="S174" s="86"/>
      <c r="T174" s="86"/>
      <c r="U174" s="142" t="str">
        <f t="shared" si="67"/>
        <v/>
      </c>
      <c r="V174" s="88"/>
      <c r="W174" s="88"/>
      <c r="X174" s="88"/>
      <c r="Y174" s="88"/>
      <c r="Z174" s="88"/>
      <c r="AA174" s="88"/>
      <c r="AB174" s="88"/>
      <c r="AC174" s="88"/>
      <c r="AD174" s="142" t="str">
        <f t="shared" si="68"/>
        <v/>
      </c>
      <c r="AE174" s="88"/>
      <c r="AF174" s="88"/>
      <c r="AG174" s="88"/>
      <c r="AH174" s="88"/>
      <c r="AI174" s="88"/>
      <c r="AJ174" s="88"/>
      <c r="AK174" s="88"/>
      <c r="AL174" s="88"/>
      <c r="AM174" s="88"/>
      <c r="AN174" s="88">
        <v>0</v>
      </c>
      <c r="AO174" s="89"/>
      <c r="AP174" s="90"/>
      <c r="AQ174" s="146" t="str">
        <f t="shared" si="69"/>
        <v/>
      </c>
      <c r="AR174" s="146" t="str">
        <f t="shared" si="70"/>
        <v/>
      </c>
      <c r="AS174" s="147"/>
      <c r="AT174" s="148"/>
      <c r="AU174" s="149"/>
      <c r="AV174" s="146" t="str">
        <f t="shared" si="71"/>
        <v/>
      </c>
      <c r="AW174" s="146" t="str">
        <f t="shared" si="72"/>
        <v/>
      </c>
      <c r="AX174" s="138" t="str">
        <f t="shared" si="73"/>
        <v/>
      </c>
      <c r="AY174" s="95"/>
      <c r="AZ174" s="96"/>
      <c r="BA174" s="96"/>
      <c r="BB174" s="96"/>
      <c r="BC174" s="96"/>
      <c r="BD174" s="97">
        <v>0</v>
      </c>
      <c r="BE174" s="142" t="str">
        <f t="shared" si="74"/>
        <v/>
      </c>
      <c r="BF174" s="98">
        <v>0</v>
      </c>
      <c r="BG174" s="98">
        <v>0</v>
      </c>
      <c r="BH174" s="98">
        <v>0</v>
      </c>
      <c r="BI174" s="98">
        <v>0</v>
      </c>
      <c r="BJ174" s="98"/>
      <c r="BK174" s="98"/>
      <c r="BL174" s="97"/>
    </row>
    <row r="175" spans="1:64" outlineLevel="5" x14ac:dyDescent="0.3">
      <c r="A175" s="152">
        <f t="shared" si="76"/>
        <v>5</v>
      </c>
      <c r="B175" s="153">
        <f t="shared" si="75"/>
        <v>45434</v>
      </c>
      <c r="C175" s="138" t="str">
        <f t="shared" si="65"/>
        <v/>
      </c>
      <c r="D175" s="189"/>
      <c r="E175" s="186"/>
      <c r="F175" s="84"/>
      <c r="G175" s="84"/>
      <c r="H175" s="84"/>
      <c r="I175" s="84"/>
      <c r="J175" s="84"/>
      <c r="K175" s="84"/>
      <c r="L175" s="140" t="str">
        <f t="shared" si="66"/>
        <v/>
      </c>
      <c r="M175" s="187"/>
      <c r="N175" s="187"/>
      <c r="O175" s="86"/>
      <c r="P175" s="86"/>
      <c r="Q175" s="86"/>
      <c r="R175" s="86"/>
      <c r="S175" s="86"/>
      <c r="T175" s="86"/>
      <c r="U175" s="142" t="str">
        <f t="shared" si="67"/>
        <v/>
      </c>
      <c r="V175" s="88"/>
      <c r="W175" s="88"/>
      <c r="X175" s="88"/>
      <c r="Y175" s="88"/>
      <c r="Z175" s="88"/>
      <c r="AA175" s="88"/>
      <c r="AB175" s="88"/>
      <c r="AC175" s="88"/>
      <c r="AD175" s="142" t="str">
        <f t="shared" si="68"/>
        <v/>
      </c>
      <c r="AE175" s="88"/>
      <c r="AF175" s="88"/>
      <c r="AG175" s="88"/>
      <c r="AH175" s="88"/>
      <c r="AI175" s="88"/>
      <c r="AJ175" s="88"/>
      <c r="AK175" s="88"/>
      <c r="AL175" s="88"/>
      <c r="AM175" s="88"/>
      <c r="AN175" s="88">
        <v>0</v>
      </c>
      <c r="AO175" s="89"/>
      <c r="AP175" s="90"/>
      <c r="AQ175" s="146" t="str">
        <f t="shared" si="69"/>
        <v/>
      </c>
      <c r="AR175" s="146" t="str">
        <f t="shared" si="70"/>
        <v/>
      </c>
      <c r="AS175" s="147"/>
      <c r="AT175" s="148"/>
      <c r="AU175" s="149"/>
      <c r="AV175" s="146" t="str">
        <f t="shared" si="71"/>
        <v/>
      </c>
      <c r="AW175" s="146" t="str">
        <f t="shared" si="72"/>
        <v/>
      </c>
      <c r="AX175" s="138" t="str">
        <f t="shared" si="73"/>
        <v/>
      </c>
      <c r="AY175" s="95"/>
      <c r="AZ175" s="96"/>
      <c r="BA175" s="96"/>
      <c r="BB175" s="96"/>
      <c r="BC175" s="96"/>
      <c r="BD175" s="97">
        <v>0</v>
      </c>
      <c r="BE175" s="142" t="str">
        <f t="shared" si="74"/>
        <v/>
      </c>
      <c r="BF175" s="98">
        <v>0</v>
      </c>
      <c r="BG175" s="98">
        <v>0</v>
      </c>
      <c r="BH175" s="98">
        <v>0</v>
      </c>
      <c r="BI175" s="98">
        <v>0</v>
      </c>
      <c r="BJ175" s="98"/>
      <c r="BK175" s="98"/>
      <c r="BL175" s="97"/>
    </row>
    <row r="176" spans="1:64" outlineLevel="5" x14ac:dyDescent="0.3">
      <c r="A176" s="152">
        <f t="shared" si="76"/>
        <v>5</v>
      </c>
      <c r="B176" s="153">
        <f t="shared" si="75"/>
        <v>45435</v>
      </c>
      <c r="C176" s="138" t="str">
        <f t="shared" si="65"/>
        <v/>
      </c>
      <c r="D176" s="189"/>
      <c r="E176" s="186"/>
      <c r="F176" s="84"/>
      <c r="G176" s="84"/>
      <c r="H176" s="84"/>
      <c r="I176" s="84"/>
      <c r="J176" s="84"/>
      <c r="K176" s="84"/>
      <c r="L176" s="140" t="str">
        <f t="shared" si="66"/>
        <v/>
      </c>
      <c r="M176" s="187"/>
      <c r="N176" s="187"/>
      <c r="O176" s="86"/>
      <c r="P176" s="86"/>
      <c r="Q176" s="86"/>
      <c r="R176" s="86"/>
      <c r="S176" s="86"/>
      <c r="T176" s="86"/>
      <c r="U176" s="142" t="str">
        <f t="shared" si="67"/>
        <v/>
      </c>
      <c r="V176" s="88"/>
      <c r="W176" s="88"/>
      <c r="X176" s="88"/>
      <c r="Y176" s="88"/>
      <c r="Z176" s="88"/>
      <c r="AA176" s="88"/>
      <c r="AB176" s="88"/>
      <c r="AC176" s="88"/>
      <c r="AD176" s="142" t="str">
        <f t="shared" si="68"/>
        <v/>
      </c>
      <c r="AE176" s="88"/>
      <c r="AF176" s="88"/>
      <c r="AG176" s="88"/>
      <c r="AH176" s="88"/>
      <c r="AI176" s="88"/>
      <c r="AJ176" s="88"/>
      <c r="AK176" s="88"/>
      <c r="AL176" s="88"/>
      <c r="AM176" s="88">
        <v>94.4</v>
      </c>
      <c r="AN176" s="88">
        <v>50</v>
      </c>
      <c r="AO176" s="89"/>
      <c r="AP176" s="90"/>
      <c r="AQ176" s="146" t="str">
        <f t="shared" si="69"/>
        <v/>
      </c>
      <c r="AR176" s="146" t="str">
        <f t="shared" si="70"/>
        <v/>
      </c>
      <c r="AS176" s="147"/>
      <c r="AT176" s="148"/>
      <c r="AU176" s="149"/>
      <c r="AV176" s="146" t="str">
        <f t="shared" si="71"/>
        <v/>
      </c>
      <c r="AW176" s="146" t="str">
        <f t="shared" si="72"/>
        <v/>
      </c>
      <c r="AX176" s="138" t="str">
        <f t="shared" si="73"/>
        <v/>
      </c>
      <c r="AY176" s="95"/>
      <c r="AZ176" s="96"/>
      <c r="BA176" s="96"/>
      <c r="BB176" s="96"/>
      <c r="BC176" s="96"/>
      <c r="BD176" s="97">
        <v>50</v>
      </c>
      <c r="BE176" s="142" t="str">
        <f t="shared" si="74"/>
        <v/>
      </c>
      <c r="BF176" s="98">
        <v>0</v>
      </c>
      <c r="BG176" s="98">
        <v>0</v>
      </c>
      <c r="BH176" s="98">
        <v>0</v>
      </c>
      <c r="BI176" s="98">
        <v>0</v>
      </c>
      <c r="BJ176" s="98"/>
      <c r="BK176" s="98"/>
      <c r="BL176" s="97"/>
    </row>
    <row r="177" spans="1:64" outlineLevel="5" x14ac:dyDescent="0.3">
      <c r="A177" s="152">
        <f t="shared" si="76"/>
        <v>5</v>
      </c>
      <c r="B177" s="153">
        <f t="shared" si="75"/>
        <v>45436</v>
      </c>
      <c r="C177" s="138" t="str">
        <f t="shared" si="65"/>
        <v/>
      </c>
      <c r="D177" s="186"/>
      <c r="E177" s="186"/>
      <c r="F177" s="84"/>
      <c r="G177" s="84"/>
      <c r="H177" s="84"/>
      <c r="I177" s="84"/>
      <c r="J177" s="84"/>
      <c r="K177" s="84"/>
      <c r="L177" s="140" t="str">
        <f t="shared" si="66"/>
        <v/>
      </c>
      <c r="M177" s="187"/>
      <c r="N177" s="187"/>
      <c r="O177" s="86"/>
      <c r="P177" s="86"/>
      <c r="Q177" s="86"/>
      <c r="R177" s="86"/>
      <c r="S177" s="86"/>
      <c r="T177" s="86"/>
      <c r="U177" s="142" t="str">
        <f t="shared" si="67"/>
        <v/>
      </c>
      <c r="V177" s="88"/>
      <c r="W177" s="88"/>
      <c r="X177" s="88"/>
      <c r="Y177" s="88"/>
      <c r="Z177" s="88"/>
      <c r="AA177" s="88"/>
      <c r="AB177" s="88"/>
      <c r="AC177" s="88"/>
      <c r="AD177" s="142" t="str">
        <f t="shared" si="68"/>
        <v/>
      </c>
      <c r="AE177" s="88"/>
      <c r="AF177" s="88"/>
      <c r="AG177" s="88"/>
      <c r="AH177" s="88"/>
      <c r="AI177" s="88"/>
      <c r="AJ177" s="88"/>
      <c r="AK177" s="88"/>
      <c r="AL177" s="88"/>
      <c r="AM177" s="88">
        <v>46.608077416806552</v>
      </c>
      <c r="AN177" s="88">
        <v>101.27000000000001</v>
      </c>
      <c r="AO177" s="89"/>
      <c r="AP177" s="90"/>
      <c r="AQ177" s="146" t="str">
        <f t="shared" si="69"/>
        <v/>
      </c>
      <c r="AR177" s="146" t="str">
        <f t="shared" si="70"/>
        <v/>
      </c>
      <c r="AS177" s="147"/>
      <c r="AT177" s="148"/>
      <c r="AU177" s="149"/>
      <c r="AV177" s="146" t="str">
        <f t="shared" si="71"/>
        <v/>
      </c>
      <c r="AW177" s="146" t="str">
        <f t="shared" si="72"/>
        <v/>
      </c>
      <c r="AX177" s="138" t="str">
        <f t="shared" si="73"/>
        <v/>
      </c>
      <c r="AY177" s="95"/>
      <c r="AZ177" s="96"/>
      <c r="BA177" s="96"/>
      <c r="BB177" s="96"/>
      <c r="BC177" s="96"/>
      <c r="BD177" s="97">
        <v>101.27000000000001</v>
      </c>
      <c r="BE177" s="142">
        <f t="shared" si="74"/>
        <v>3320</v>
      </c>
      <c r="BF177" s="98">
        <v>1016</v>
      </c>
      <c r="BG177" s="98">
        <v>0</v>
      </c>
      <c r="BH177" s="98">
        <v>0</v>
      </c>
      <c r="BI177" s="98">
        <v>2304</v>
      </c>
      <c r="BJ177" s="98"/>
      <c r="BK177" s="98"/>
      <c r="BL177" s="97"/>
    </row>
    <row r="178" spans="1:64" outlineLevel="5" x14ac:dyDescent="0.3">
      <c r="A178" s="152">
        <f t="shared" si="76"/>
        <v>5</v>
      </c>
      <c r="B178" s="153">
        <f t="shared" si="75"/>
        <v>45437</v>
      </c>
      <c r="C178" s="138" t="str">
        <f t="shared" si="65"/>
        <v/>
      </c>
      <c r="D178" s="186"/>
      <c r="E178" s="186"/>
      <c r="F178" s="84"/>
      <c r="G178" s="84"/>
      <c r="H178" s="84"/>
      <c r="I178" s="84"/>
      <c r="J178" s="84"/>
      <c r="K178" s="84"/>
      <c r="L178" s="140" t="str">
        <f t="shared" si="66"/>
        <v/>
      </c>
      <c r="M178" s="187"/>
      <c r="N178" s="187"/>
      <c r="O178" s="86"/>
      <c r="P178" s="86"/>
      <c r="Q178" s="86"/>
      <c r="R178" s="86"/>
      <c r="S178" s="86"/>
      <c r="T178" s="86"/>
      <c r="U178" s="142" t="str">
        <f t="shared" si="67"/>
        <v/>
      </c>
      <c r="V178" s="88"/>
      <c r="W178" s="88"/>
      <c r="X178" s="88"/>
      <c r="Y178" s="88"/>
      <c r="Z178" s="88"/>
      <c r="AA178" s="88"/>
      <c r="AB178" s="88"/>
      <c r="AC178" s="88"/>
      <c r="AD178" s="142" t="str">
        <f t="shared" si="68"/>
        <v/>
      </c>
      <c r="AE178" s="88"/>
      <c r="AF178" s="88"/>
      <c r="AG178" s="88"/>
      <c r="AH178" s="88"/>
      <c r="AI178" s="88"/>
      <c r="AJ178" s="88"/>
      <c r="AK178" s="88"/>
      <c r="AL178" s="88"/>
      <c r="AM178" s="88">
        <v>59.356136820925556</v>
      </c>
      <c r="AN178" s="88">
        <v>79.52</v>
      </c>
      <c r="AO178" s="89"/>
      <c r="AP178" s="90"/>
      <c r="AQ178" s="146" t="str">
        <f t="shared" si="69"/>
        <v/>
      </c>
      <c r="AR178" s="146" t="str">
        <f t="shared" si="70"/>
        <v/>
      </c>
      <c r="AS178" s="147"/>
      <c r="AT178" s="148"/>
      <c r="AU178" s="149"/>
      <c r="AV178" s="146" t="str">
        <f t="shared" si="71"/>
        <v/>
      </c>
      <c r="AW178" s="146" t="str">
        <f t="shared" si="72"/>
        <v/>
      </c>
      <c r="AX178" s="138" t="str">
        <f t="shared" si="73"/>
        <v/>
      </c>
      <c r="AY178" s="95"/>
      <c r="AZ178" s="96"/>
      <c r="BA178" s="96"/>
      <c r="BB178" s="96"/>
      <c r="BC178" s="96"/>
      <c r="BD178" s="97">
        <v>79.52</v>
      </c>
      <c r="BE178" s="142">
        <f t="shared" si="74"/>
        <v>4215</v>
      </c>
      <c r="BF178" s="98">
        <v>1516</v>
      </c>
      <c r="BG178" s="98">
        <v>0</v>
      </c>
      <c r="BH178" s="98">
        <v>0</v>
      </c>
      <c r="BI178" s="98">
        <v>2699</v>
      </c>
      <c r="BJ178" s="98"/>
      <c r="BK178" s="98"/>
      <c r="BL178" s="97"/>
    </row>
    <row r="179" spans="1:64" outlineLevel="5" x14ac:dyDescent="0.3">
      <c r="A179" s="152">
        <f t="shared" si="76"/>
        <v>5</v>
      </c>
      <c r="B179" s="153">
        <f t="shared" si="75"/>
        <v>45438</v>
      </c>
      <c r="C179" s="138">
        <f t="shared" si="65"/>
        <v>38.299999999999997</v>
      </c>
      <c r="D179" s="186"/>
      <c r="E179" s="186">
        <v>38.299999999999997</v>
      </c>
      <c r="F179" s="84"/>
      <c r="G179" s="84"/>
      <c r="H179" s="84"/>
      <c r="I179" s="84"/>
      <c r="J179" s="84"/>
      <c r="K179" s="84"/>
      <c r="L179" s="140" t="str">
        <f t="shared" si="66"/>
        <v/>
      </c>
      <c r="M179" s="187"/>
      <c r="N179" s="187"/>
      <c r="O179" s="86"/>
      <c r="P179" s="86"/>
      <c r="Q179" s="86"/>
      <c r="R179" s="86"/>
      <c r="S179" s="86"/>
      <c r="T179" s="86"/>
      <c r="U179" s="142" t="str">
        <f t="shared" si="67"/>
        <v/>
      </c>
      <c r="V179" s="88"/>
      <c r="W179" s="88"/>
      <c r="X179" s="88"/>
      <c r="Y179" s="88"/>
      <c r="Z179" s="88"/>
      <c r="AA179" s="88"/>
      <c r="AB179" s="88"/>
      <c r="AC179" s="88"/>
      <c r="AD179" s="142" t="str">
        <f t="shared" si="68"/>
        <v/>
      </c>
      <c r="AE179" s="88"/>
      <c r="AF179" s="88"/>
      <c r="AG179" s="88"/>
      <c r="AH179" s="88"/>
      <c r="AI179" s="88"/>
      <c r="AJ179" s="88"/>
      <c r="AK179" s="88"/>
      <c r="AL179" s="88"/>
      <c r="AM179" s="88">
        <v>59</v>
      </c>
      <c r="AN179" s="88">
        <v>80</v>
      </c>
      <c r="AO179" s="89"/>
      <c r="AP179" s="90"/>
      <c r="AQ179" s="146" t="str">
        <f t="shared" si="69"/>
        <v/>
      </c>
      <c r="AR179" s="146" t="str">
        <f t="shared" si="70"/>
        <v/>
      </c>
      <c r="AS179" s="147"/>
      <c r="AT179" s="148"/>
      <c r="AU179" s="149"/>
      <c r="AV179" s="146" t="str">
        <f t="shared" si="71"/>
        <v/>
      </c>
      <c r="AW179" s="146" t="str">
        <f t="shared" si="72"/>
        <v/>
      </c>
      <c r="AX179" s="138" t="str">
        <f t="shared" si="73"/>
        <v/>
      </c>
      <c r="AY179" s="95"/>
      <c r="AZ179" s="96"/>
      <c r="BA179" s="96"/>
      <c r="BB179" s="96"/>
      <c r="BC179" s="96"/>
      <c r="BD179" s="97">
        <v>80</v>
      </c>
      <c r="BE179" s="142">
        <f t="shared" si="74"/>
        <v>5965</v>
      </c>
      <c r="BF179" s="98">
        <v>0</v>
      </c>
      <c r="BG179" s="98">
        <v>0</v>
      </c>
      <c r="BH179" s="98">
        <v>0</v>
      </c>
      <c r="BI179" s="98">
        <v>5965</v>
      </c>
      <c r="BJ179" s="98"/>
      <c r="BK179" s="98"/>
      <c r="BL179" s="97"/>
    </row>
    <row r="180" spans="1:64" outlineLevel="5" x14ac:dyDescent="0.3">
      <c r="A180" s="152">
        <f t="shared" si="76"/>
        <v>5</v>
      </c>
      <c r="B180" s="153">
        <f t="shared" si="75"/>
        <v>45439</v>
      </c>
      <c r="C180" s="138">
        <f t="shared" si="65"/>
        <v>37.799999999999997</v>
      </c>
      <c r="D180" s="186">
        <v>37.1</v>
      </c>
      <c r="E180" s="186">
        <v>38.4</v>
      </c>
      <c r="F180" s="84"/>
      <c r="G180" s="84"/>
      <c r="H180" s="84"/>
      <c r="I180" s="84"/>
      <c r="J180" s="84"/>
      <c r="K180" s="84"/>
      <c r="L180" s="140">
        <f t="shared" si="66"/>
        <v>8.5</v>
      </c>
      <c r="M180" s="187">
        <v>8.5299999999999994</v>
      </c>
      <c r="N180" s="187">
        <v>8.4600000000000009</v>
      </c>
      <c r="O180" s="86"/>
      <c r="P180" s="86"/>
      <c r="Q180" s="86"/>
      <c r="R180" s="86"/>
      <c r="S180" s="86"/>
      <c r="T180" s="86"/>
      <c r="U180" s="142">
        <f t="shared" si="67"/>
        <v>492</v>
      </c>
      <c r="V180" s="88">
        <v>475.8</v>
      </c>
      <c r="W180" s="88">
        <v>508.2</v>
      </c>
      <c r="X180" s="88"/>
      <c r="Y180" s="88"/>
      <c r="Z180" s="88"/>
      <c r="AA180" s="88"/>
      <c r="AB180" s="88"/>
      <c r="AC180" s="88"/>
      <c r="AD180" s="142" t="str">
        <f t="shared" si="68"/>
        <v/>
      </c>
      <c r="AE180" s="88"/>
      <c r="AF180" s="88"/>
      <c r="AG180" s="88"/>
      <c r="AH180" s="88"/>
      <c r="AI180" s="88"/>
      <c r="AJ180" s="88"/>
      <c r="AK180" s="88"/>
      <c r="AL180" s="88"/>
      <c r="AM180" s="88">
        <v>51.811196487376513</v>
      </c>
      <c r="AN180" s="88">
        <v>91.1</v>
      </c>
      <c r="AO180" s="89">
        <v>14.4</v>
      </c>
      <c r="AP180" s="90">
        <v>11.1</v>
      </c>
      <c r="AQ180" s="146">
        <f t="shared" si="69"/>
        <v>77.083333333333329</v>
      </c>
      <c r="AR180" s="146">
        <f t="shared" si="70"/>
        <v>22.916666666666671</v>
      </c>
      <c r="AS180" s="147"/>
      <c r="AT180" s="148">
        <v>14.25</v>
      </c>
      <c r="AU180" s="149">
        <v>7.3094999999999999</v>
      </c>
      <c r="AV180" s="146">
        <f t="shared" si="71"/>
        <v>51.294736842105259</v>
      </c>
      <c r="AW180" s="146">
        <f t="shared" si="72"/>
        <v>48.705263157894741</v>
      </c>
      <c r="AX180" s="138">
        <f t="shared" si="73"/>
        <v>68.68965356106051</v>
      </c>
      <c r="AY180" s="95">
        <v>74.599999999999994</v>
      </c>
      <c r="AZ180" s="96"/>
      <c r="BA180" s="96"/>
      <c r="BB180" s="96"/>
      <c r="BC180" s="96"/>
      <c r="BD180" s="97">
        <v>91.1</v>
      </c>
      <c r="BE180" s="142">
        <f t="shared" si="74"/>
        <v>7494</v>
      </c>
      <c r="BF180" s="98">
        <v>902</v>
      </c>
      <c r="BG180" s="98">
        <v>0</v>
      </c>
      <c r="BH180" s="98">
        <v>114</v>
      </c>
      <c r="BI180" s="98">
        <v>6478</v>
      </c>
      <c r="BJ180" s="98"/>
      <c r="BK180" s="98"/>
      <c r="BL180" s="97"/>
    </row>
    <row r="181" spans="1:64" outlineLevel="5" x14ac:dyDescent="0.3">
      <c r="A181" s="152">
        <f t="shared" si="76"/>
        <v>5</v>
      </c>
      <c r="B181" s="153">
        <f t="shared" si="75"/>
        <v>45440</v>
      </c>
      <c r="C181" s="138" t="str">
        <f t="shared" si="65"/>
        <v/>
      </c>
      <c r="D181" s="186"/>
      <c r="E181" s="186"/>
      <c r="F181" s="84"/>
      <c r="G181" s="84"/>
      <c r="H181" s="84"/>
      <c r="I181" s="84"/>
      <c r="J181" s="84"/>
      <c r="K181" s="84"/>
      <c r="L181" s="140" t="str">
        <f t="shared" si="66"/>
        <v/>
      </c>
      <c r="M181" s="187"/>
      <c r="N181" s="187"/>
      <c r="O181" s="86"/>
      <c r="P181" s="86"/>
      <c r="Q181" s="86"/>
      <c r="R181" s="86"/>
      <c r="S181" s="86"/>
      <c r="T181" s="86"/>
      <c r="U181" s="142" t="str">
        <f t="shared" si="67"/>
        <v/>
      </c>
      <c r="V181" s="88"/>
      <c r="W181" s="88"/>
      <c r="X181" s="88"/>
      <c r="Y181" s="88"/>
      <c r="Z181" s="88"/>
      <c r="AA181" s="88"/>
      <c r="AB181" s="88"/>
      <c r="AC181" s="88"/>
      <c r="AD181" s="142" t="str">
        <f t="shared" si="68"/>
        <v/>
      </c>
      <c r="AE181" s="88"/>
      <c r="AF181" s="88"/>
      <c r="AG181" s="88"/>
      <c r="AH181" s="88"/>
      <c r="AI181" s="88"/>
      <c r="AJ181" s="88"/>
      <c r="AK181" s="88"/>
      <c r="AL181" s="88"/>
      <c r="AM181" s="88">
        <v>39.205914112467809</v>
      </c>
      <c r="AN181" s="88">
        <v>120.39</v>
      </c>
      <c r="AO181" s="89"/>
      <c r="AP181" s="90"/>
      <c r="AQ181" s="146" t="str">
        <f t="shared" si="69"/>
        <v/>
      </c>
      <c r="AR181" s="146" t="str">
        <f t="shared" si="70"/>
        <v/>
      </c>
      <c r="AS181" s="147"/>
      <c r="AT181" s="148"/>
      <c r="AU181" s="149"/>
      <c r="AV181" s="146" t="str">
        <f t="shared" si="71"/>
        <v/>
      </c>
      <c r="AW181" s="146" t="str">
        <f t="shared" si="72"/>
        <v/>
      </c>
      <c r="AX181" s="138" t="str">
        <f t="shared" si="73"/>
        <v/>
      </c>
      <c r="AY181" s="95"/>
      <c r="AZ181" s="96"/>
      <c r="BA181" s="96"/>
      <c r="BB181" s="96"/>
      <c r="BC181" s="96"/>
      <c r="BD181" s="97">
        <v>120.39</v>
      </c>
      <c r="BE181" s="142">
        <f t="shared" si="74"/>
        <v>9869</v>
      </c>
      <c r="BF181" s="98">
        <v>2020</v>
      </c>
      <c r="BG181" s="98">
        <v>0</v>
      </c>
      <c r="BH181" s="98">
        <v>1295</v>
      </c>
      <c r="BI181" s="98">
        <v>6554</v>
      </c>
      <c r="BJ181" s="98"/>
      <c r="BK181" s="98"/>
      <c r="BL181" s="97"/>
    </row>
    <row r="182" spans="1:64" outlineLevel="5" x14ac:dyDescent="0.3">
      <c r="A182" s="152">
        <f t="shared" si="76"/>
        <v>5</v>
      </c>
      <c r="B182" s="153">
        <f t="shared" si="75"/>
        <v>45441</v>
      </c>
      <c r="C182" s="138" t="str">
        <f t="shared" si="65"/>
        <v/>
      </c>
      <c r="D182" s="186"/>
      <c r="E182" s="186"/>
      <c r="F182" s="84"/>
      <c r="G182" s="84"/>
      <c r="H182" s="84"/>
      <c r="I182" s="84"/>
      <c r="J182" s="84"/>
      <c r="K182" s="84"/>
      <c r="L182" s="140" t="str">
        <f t="shared" si="66"/>
        <v/>
      </c>
      <c r="M182" s="187"/>
      <c r="N182" s="187"/>
      <c r="O182" s="86"/>
      <c r="P182" s="86"/>
      <c r="Q182" s="86"/>
      <c r="R182" s="86"/>
      <c r="S182" s="86"/>
      <c r="T182" s="86"/>
      <c r="U182" s="142" t="str">
        <f t="shared" si="67"/>
        <v/>
      </c>
      <c r="V182" s="88"/>
      <c r="W182" s="88"/>
      <c r="X182" s="88"/>
      <c r="Y182" s="88"/>
      <c r="Z182" s="88"/>
      <c r="AA182" s="88"/>
      <c r="AB182" s="88"/>
      <c r="AC182" s="88"/>
      <c r="AD182" s="142" t="str">
        <f t="shared" si="68"/>
        <v/>
      </c>
      <c r="AE182" s="88"/>
      <c r="AF182" s="88"/>
      <c r="AG182" s="88"/>
      <c r="AH182" s="88"/>
      <c r="AI182" s="88"/>
      <c r="AJ182" s="88"/>
      <c r="AK182" s="88"/>
      <c r="AL182" s="88"/>
      <c r="AM182" s="88">
        <v>39.540923180028479</v>
      </c>
      <c r="AN182" s="88">
        <v>119.37</v>
      </c>
      <c r="AO182" s="89"/>
      <c r="AP182" s="90"/>
      <c r="AQ182" s="146" t="str">
        <f t="shared" si="69"/>
        <v/>
      </c>
      <c r="AR182" s="146" t="str">
        <f t="shared" si="70"/>
        <v/>
      </c>
      <c r="AS182" s="147"/>
      <c r="AT182" s="148"/>
      <c r="AU182" s="149"/>
      <c r="AV182" s="146" t="str">
        <f t="shared" si="71"/>
        <v/>
      </c>
      <c r="AW182" s="146" t="str">
        <f t="shared" si="72"/>
        <v/>
      </c>
      <c r="AX182" s="138" t="str">
        <f t="shared" si="73"/>
        <v/>
      </c>
      <c r="AY182" s="95">
        <v>77.650000000000006</v>
      </c>
      <c r="AZ182" s="96"/>
      <c r="BA182" s="96"/>
      <c r="BB182" s="96"/>
      <c r="BC182" s="96"/>
      <c r="BD182" s="97">
        <v>119.37</v>
      </c>
      <c r="BE182" s="142">
        <f t="shared" si="74"/>
        <v>11558</v>
      </c>
      <c r="BF182" s="98">
        <v>2228</v>
      </c>
      <c r="BG182" s="98">
        <v>0</v>
      </c>
      <c r="BH182" s="98">
        <v>2787</v>
      </c>
      <c r="BI182" s="98">
        <v>6543</v>
      </c>
      <c r="BJ182" s="98"/>
      <c r="BK182" s="98"/>
      <c r="BL182" s="97"/>
    </row>
    <row r="183" spans="1:64" outlineLevel="5" x14ac:dyDescent="0.3">
      <c r="A183" s="152">
        <f t="shared" si="76"/>
        <v>5</v>
      </c>
      <c r="B183" s="153">
        <f t="shared" si="75"/>
        <v>45442</v>
      </c>
      <c r="C183" s="138" t="str">
        <f t="shared" si="65"/>
        <v/>
      </c>
      <c r="D183" s="186"/>
      <c r="E183" s="186"/>
      <c r="F183" s="84"/>
      <c r="G183" s="84"/>
      <c r="H183" s="84"/>
      <c r="I183" s="84"/>
      <c r="J183" s="84"/>
      <c r="K183" s="84"/>
      <c r="L183" s="140">
        <f t="shared" si="66"/>
        <v>8</v>
      </c>
      <c r="M183" s="187">
        <v>7.93</v>
      </c>
      <c r="N183" s="187">
        <v>7.99</v>
      </c>
      <c r="O183" s="86"/>
      <c r="P183" s="86"/>
      <c r="Q183" s="86"/>
      <c r="R183" s="86"/>
      <c r="S183" s="86"/>
      <c r="T183" s="86"/>
      <c r="U183" s="142">
        <f t="shared" si="67"/>
        <v>1059.7</v>
      </c>
      <c r="V183" s="88">
        <v>1092.0999999999999</v>
      </c>
      <c r="W183" s="88">
        <v>1027.2</v>
      </c>
      <c r="X183" s="88"/>
      <c r="Y183" s="88"/>
      <c r="Z183" s="88"/>
      <c r="AA183" s="88"/>
      <c r="AB183" s="88"/>
      <c r="AC183" s="88"/>
      <c r="AD183" s="142" t="str">
        <f t="shared" si="68"/>
        <v/>
      </c>
      <c r="AE183" s="88"/>
      <c r="AF183" s="88"/>
      <c r="AG183" s="88"/>
      <c r="AH183" s="88"/>
      <c r="AI183" s="88"/>
      <c r="AJ183" s="88"/>
      <c r="AK183" s="88"/>
      <c r="AL183" s="88"/>
      <c r="AM183" s="88">
        <v>38.94710784718211</v>
      </c>
      <c r="AN183" s="88">
        <v>121.19</v>
      </c>
      <c r="AO183" s="89"/>
      <c r="AP183" s="90"/>
      <c r="AQ183" s="146" t="str">
        <f t="shared" si="69"/>
        <v/>
      </c>
      <c r="AR183" s="146" t="str">
        <f t="shared" si="70"/>
        <v/>
      </c>
      <c r="AS183" s="147"/>
      <c r="AT183" s="148">
        <v>13.25</v>
      </c>
      <c r="AU183" s="149">
        <v>7.1940500000000007</v>
      </c>
      <c r="AV183" s="146">
        <f t="shared" si="71"/>
        <v>54.294716981132083</v>
      </c>
      <c r="AW183" s="146">
        <f t="shared" si="72"/>
        <v>45.705283018867917</v>
      </c>
      <c r="AX183" s="138" t="str">
        <f t="shared" si="73"/>
        <v/>
      </c>
      <c r="AY183" s="95">
        <v>74.25</v>
      </c>
      <c r="AZ183" s="96"/>
      <c r="BA183" s="96"/>
      <c r="BB183" s="96"/>
      <c r="BC183" s="96"/>
      <c r="BD183" s="97">
        <v>121.19</v>
      </c>
      <c r="BE183" s="142">
        <f t="shared" si="74"/>
        <v>12244</v>
      </c>
      <c r="BF183" s="98">
        <v>1826</v>
      </c>
      <c r="BG183" s="98">
        <v>0</v>
      </c>
      <c r="BH183" s="98">
        <v>3902</v>
      </c>
      <c r="BI183" s="98">
        <v>6516</v>
      </c>
      <c r="BJ183" s="98"/>
      <c r="BK183" s="98"/>
      <c r="BL183" s="97"/>
    </row>
    <row r="184" spans="1:64" ht="17.25" outlineLevel="5" thickBot="1" x14ac:dyDescent="0.35">
      <c r="A184" s="154">
        <f t="shared" si="76"/>
        <v>5</v>
      </c>
      <c r="B184" s="155">
        <f t="shared" si="75"/>
        <v>45443</v>
      </c>
      <c r="C184" s="138" t="str">
        <f t="shared" si="65"/>
        <v/>
      </c>
      <c r="D184" s="186"/>
      <c r="E184" s="186"/>
      <c r="F184" s="84"/>
      <c r="G184" s="84"/>
      <c r="H184" s="84"/>
      <c r="I184" s="84"/>
      <c r="J184" s="84"/>
      <c r="K184" s="84"/>
      <c r="L184" s="140" t="str">
        <f t="shared" si="66"/>
        <v/>
      </c>
      <c r="M184" s="187"/>
      <c r="N184" s="187"/>
      <c r="O184" s="86"/>
      <c r="P184" s="86"/>
      <c r="Q184" s="86"/>
      <c r="R184" s="86"/>
      <c r="S184" s="86"/>
      <c r="T184" s="86"/>
      <c r="U184" s="142" t="str">
        <f t="shared" si="67"/>
        <v/>
      </c>
      <c r="V184" s="88"/>
      <c r="W184" s="88"/>
      <c r="X184" s="88"/>
      <c r="Y184" s="88"/>
      <c r="Z184" s="88"/>
      <c r="AA184" s="88"/>
      <c r="AB184" s="88"/>
      <c r="AC184" s="88"/>
      <c r="AD184" s="142" t="str">
        <f t="shared" si="68"/>
        <v/>
      </c>
      <c r="AE184" s="88"/>
      <c r="AF184" s="88"/>
      <c r="AG184" s="88"/>
      <c r="AH184" s="88"/>
      <c r="AI184" s="88"/>
      <c r="AJ184" s="88"/>
      <c r="AK184" s="88"/>
      <c r="AL184" s="88"/>
      <c r="AM184" s="88">
        <v>53.551168595416392</v>
      </c>
      <c r="AN184" s="88">
        <v>88.139999999999986</v>
      </c>
      <c r="AO184" s="89"/>
      <c r="AP184" s="90"/>
      <c r="AQ184" s="146" t="str">
        <f t="shared" si="69"/>
        <v/>
      </c>
      <c r="AR184" s="146" t="str">
        <f t="shared" si="70"/>
        <v/>
      </c>
      <c r="AS184" s="147"/>
      <c r="AT184" s="148"/>
      <c r="AU184" s="149"/>
      <c r="AV184" s="146" t="str">
        <f t="shared" si="71"/>
        <v/>
      </c>
      <c r="AW184" s="146" t="str">
        <f t="shared" si="72"/>
        <v/>
      </c>
      <c r="AX184" s="138" t="str">
        <f t="shared" si="73"/>
        <v/>
      </c>
      <c r="AY184" s="95"/>
      <c r="AZ184" s="96"/>
      <c r="BA184" s="96"/>
      <c r="BB184" s="96"/>
      <c r="BC184" s="96"/>
      <c r="BD184" s="97">
        <v>88.139999999999986</v>
      </c>
      <c r="BE184" s="142">
        <f t="shared" si="74"/>
        <v>10717</v>
      </c>
      <c r="BF184" s="98">
        <v>1447</v>
      </c>
      <c r="BG184" s="98">
        <v>0</v>
      </c>
      <c r="BH184" s="98">
        <v>2839</v>
      </c>
      <c r="BI184" s="98">
        <v>6431</v>
      </c>
      <c r="BJ184" s="98"/>
      <c r="BK184" s="98"/>
      <c r="BL184" s="97"/>
    </row>
    <row r="185" spans="1:64" outlineLevel="4" x14ac:dyDescent="0.3">
      <c r="A185" s="63" t="s">
        <v>73</v>
      </c>
      <c r="B185" s="64"/>
      <c r="C185" s="65">
        <f t="shared" ref="C185:BL185" si="77">SUBTOTAL(4,C154:C184)</f>
        <v>38.299999999999997</v>
      </c>
      <c r="D185" s="66">
        <f t="shared" si="77"/>
        <v>37.5</v>
      </c>
      <c r="E185" s="66">
        <f t="shared" si="77"/>
        <v>38.4</v>
      </c>
      <c r="F185" s="66">
        <f t="shared" si="77"/>
        <v>0</v>
      </c>
      <c r="G185" s="66">
        <f t="shared" si="77"/>
        <v>0</v>
      </c>
      <c r="H185" s="66">
        <f t="shared" si="77"/>
        <v>0</v>
      </c>
      <c r="I185" s="66">
        <f t="shared" si="77"/>
        <v>0</v>
      </c>
      <c r="J185" s="66">
        <f t="shared" si="77"/>
        <v>0</v>
      </c>
      <c r="K185" s="66">
        <f t="shared" si="77"/>
        <v>0</v>
      </c>
      <c r="L185" s="67">
        <f t="shared" si="77"/>
        <v>8.5</v>
      </c>
      <c r="M185" s="68">
        <f t="shared" si="77"/>
        <v>8.5299999999999994</v>
      </c>
      <c r="N185" s="68">
        <f t="shared" si="77"/>
        <v>8.4600000000000009</v>
      </c>
      <c r="O185" s="68">
        <f t="shared" si="77"/>
        <v>0</v>
      </c>
      <c r="P185" s="68">
        <f t="shared" si="77"/>
        <v>0</v>
      </c>
      <c r="Q185" s="68">
        <f t="shared" si="77"/>
        <v>0</v>
      </c>
      <c r="R185" s="68">
        <f t="shared" si="77"/>
        <v>0</v>
      </c>
      <c r="S185" s="68">
        <f t="shared" si="77"/>
        <v>0</v>
      </c>
      <c r="T185" s="68">
        <f t="shared" si="77"/>
        <v>0</v>
      </c>
      <c r="U185" s="69">
        <f t="shared" si="77"/>
        <v>1059.7</v>
      </c>
      <c r="V185" s="70">
        <f t="shared" si="77"/>
        <v>1092.0999999999999</v>
      </c>
      <c r="W185" s="70">
        <f t="shared" si="77"/>
        <v>1027.2</v>
      </c>
      <c r="X185" s="70">
        <f t="shared" si="77"/>
        <v>0</v>
      </c>
      <c r="Y185" s="70">
        <f t="shared" si="77"/>
        <v>0</v>
      </c>
      <c r="Z185" s="70">
        <f t="shared" si="77"/>
        <v>0</v>
      </c>
      <c r="AA185" s="70">
        <f t="shared" si="77"/>
        <v>0</v>
      </c>
      <c r="AB185" s="70">
        <f t="shared" si="77"/>
        <v>0</v>
      </c>
      <c r="AC185" s="70">
        <f t="shared" si="77"/>
        <v>0</v>
      </c>
      <c r="AD185" s="69">
        <f t="shared" si="77"/>
        <v>0</v>
      </c>
      <c r="AE185" s="70">
        <f t="shared" si="77"/>
        <v>0</v>
      </c>
      <c r="AF185" s="70">
        <f t="shared" si="77"/>
        <v>0</v>
      </c>
      <c r="AG185" s="70">
        <f t="shared" si="77"/>
        <v>0</v>
      </c>
      <c r="AH185" s="70">
        <f t="shared" si="77"/>
        <v>0</v>
      </c>
      <c r="AI185" s="70">
        <f t="shared" si="77"/>
        <v>0</v>
      </c>
      <c r="AJ185" s="70">
        <f t="shared" si="77"/>
        <v>0</v>
      </c>
      <c r="AK185" s="70">
        <f t="shared" si="77"/>
        <v>0</v>
      </c>
      <c r="AL185" s="70">
        <f t="shared" si="77"/>
        <v>0</v>
      </c>
      <c r="AM185" s="70">
        <f t="shared" si="77"/>
        <v>103.12431723836575</v>
      </c>
      <c r="AN185" s="70">
        <f t="shared" si="77"/>
        <v>133.88</v>
      </c>
      <c r="AO185" s="71">
        <f t="shared" si="77"/>
        <v>17.5</v>
      </c>
      <c r="AP185" s="72">
        <f t="shared" si="77"/>
        <v>14.7</v>
      </c>
      <c r="AQ185" s="73">
        <f t="shared" si="77"/>
        <v>84</v>
      </c>
      <c r="AR185" s="73">
        <f t="shared" si="77"/>
        <v>24.117647058823536</v>
      </c>
      <c r="AS185" s="74">
        <f t="shared" si="77"/>
        <v>0</v>
      </c>
      <c r="AT185" s="75">
        <f t="shared" si="77"/>
        <v>15.5</v>
      </c>
      <c r="AU185" s="76">
        <f t="shared" si="77"/>
        <v>9.6075000000000017</v>
      </c>
      <c r="AV185" s="73">
        <f t="shared" si="77"/>
        <v>61.98387096774195</v>
      </c>
      <c r="AW185" s="73">
        <f t="shared" si="77"/>
        <v>52.88865979381444</v>
      </c>
      <c r="AX185" s="65">
        <f t="shared" si="77"/>
        <v>68.943572337717413</v>
      </c>
      <c r="AY185" s="77">
        <f t="shared" si="77"/>
        <v>77.650000000000006</v>
      </c>
      <c r="AZ185" s="78">
        <f t="shared" si="77"/>
        <v>62.355000000000004</v>
      </c>
      <c r="BA185" s="78">
        <f t="shared" si="77"/>
        <v>0</v>
      </c>
      <c r="BB185" s="78">
        <f t="shared" si="77"/>
        <v>68</v>
      </c>
      <c r="BC185" s="78">
        <f t="shared" si="77"/>
        <v>0</v>
      </c>
      <c r="BD185" s="79">
        <f t="shared" si="77"/>
        <v>133.88</v>
      </c>
      <c r="BE185" s="69">
        <f t="shared" si="77"/>
        <v>14022</v>
      </c>
      <c r="BF185" s="70">
        <f t="shared" si="77"/>
        <v>2228</v>
      </c>
      <c r="BG185" s="80">
        <f t="shared" si="77"/>
        <v>0</v>
      </c>
      <c r="BH185" s="80">
        <f t="shared" si="77"/>
        <v>5672</v>
      </c>
      <c r="BI185" s="80">
        <f t="shared" si="77"/>
        <v>6554</v>
      </c>
      <c r="BJ185" s="80">
        <f t="shared" si="77"/>
        <v>0</v>
      </c>
      <c r="BK185" s="80">
        <f t="shared" si="77"/>
        <v>0</v>
      </c>
      <c r="BL185" s="79">
        <f t="shared" si="77"/>
        <v>0</v>
      </c>
    </row>
    <row r="186" spans="1:64" outlineLevel="3" x14ac:dyDescent="0.3">
      <c r="A186" s="81" t="s">
        <v>74</v>
      </c>
      <c r="B186" s="82"/>
      <c r="C186" s="83">
        <f t="shared" ref="C186:BL186" si="78">SUBTOTAL(5,C154:C184)</f>
        <v>36.1</v>
      </c>
      <c r="D186" s="84">
        <f t="shared" si="78"/>
        <v>36.200000000000003</v>
      </c>
      <c r="E186" s="84">
        <f t="shared" si="78"/>
        <v>36</v>
      </c>
      <c r="F186" s="84">
        <f t="shared" si="78"/>
        <v>0</v>
      </c>
      <c r="G186" s="84">
        <f t="shared" si="78"/>
        <v>0</v>
      </c>
      <c r="H186" s="84">
        <f t="shared" si="78"/>
        <v>0</v>
      </c>
      <c r="I186" s="84">
        <f t="shared" si="78"/>
        <v>0</v>
      </c>
      <c r="J186" s="84">
        <f t="shared" si="78"/>
        <v>0</v>
      </c>
      <c r="K186" s="84">
        <f t="shared" si="78"/>
        <v>0</v>
      </c>
      <c r="L186" s="85">
        <f t="shared" si="78"/>
        <v>8</v>
      </c>
      <c r="M186" s="86">
        <f t="shared" si="78"/>
        <v>7.93</v>
      </c>
      <c r="N186" s="86">
        <f t="shared" si="78"/>
        <v>7.99</v>
      </c>
      <c r="O186" s="86">
        <f t="shared" si="78"/>
        <v>0</v>
      </c>
      <c r="P186" s="86">
        <f t="shared" si="78"/>
        <v>0</v>
      </c>
      <c r="Q186" s="86">
        <f t="shared" si="78"/>
        <v>0</v>
      </c>
      <c r="R186" s="86">
        <f t="shared" si="78"/>
        <v>0</v>
      </c>
      <c r="S186" s="86">
        <f t="shared" si="78"/>
        <v>0</v>
      </c>
      <c r="T186" s="86">
        <f t="shared" si="78"/>
        <v>0</v>
      </c>
      <c r="U186" s="87">
        <f t="shared" si="78"/>
        <v>492</v>
      </c>
      <c r="V186" s="88">
        <f t="shared" si="78"/>
        <v>475.8</v>
      </c>
      <c r="W186" s="88">
        <f t="shared" si="78"/>
        <v>508.2</v>
      </c>
      <c r="X186" s="88">
        <f t="shared" si="78"/>
        <v>0</v>
      </c>
      <c r="Y186" s="88">
        <f t="shared" si="78"/>
        <v>0</v>
      </c>
      <c r="Z186" s="88">
        <f t="shared" si="78"/>
        <v>0</v>
      </c>
      <c r="AA186" s="88">
        <f t="shared" si="78"/>
        <v>0</v>
      </c>
      <c r="AB186" s="88">
        <f t="shared" si="78"/>
        <v>0</v>
      </c>
      <c r="AC186" s="88">
        <f t="shared" si="78"/>
        <v>0</v>
      </c>
      <c r="AD186" s="87">
        <f t="shared" si="78"/>
        <v>0</v>
      </c>
      <c r="AE186" s="88">
        <f t="shared" si="78"/>
        <v>0</v>
      </c>
      <c r="AF186" s="88">
        <f t="shared" si="78"/>
        <v>0</v>
      </c>
      <c r="AG186" s="88">
        <f t="shared" si="78"/>
        <v>0</v>
      </c>
      <c r="AH186" s="88">
        <f t="shared" si="78"/>
        <v>0</v>
      </c>
      <c r="AI186" s="88">
        <f t="shared" si="78"/>
        <v>0</v>
      </c>
      <c r="AJ186" s="88">
        <f t="shared" si="78"/>
        <v>0</v>
      </c>
      <c r="AK186" s="88">
        <f t="shared" si="78"/>
        <v>0</v>
      </c>
      <c r="AL186" s="88">
        <f t="shared" si="78"/>
        <v>0</v>
      </c>
      <c r="AM186" s="88">
        <f t="shared" si="78"/>
        <v>35.25545264415895</v>
      </c>
      <c r="AN186" s="88">
        <f t="shared" si="78"/>
        <v>0</v>
      </c>
      <c r="AO186" s="89">
        <f t="shared" si="78"/>
        <v>14.4</v>
      </c>
      <c r="AP186" s="90">
        <f t="shared" si="78"/>
        <v>11.1</v>
      </c>
      <c r="AQ186" s="91">
        <f t="shared" si="78"/>
        <v>75.882352941176464</v>
      </c>
      <c r="AR186" s="91">
        <f t="shared" si="78"/>
        <v>16</v>
      </c>
      <c r="AS186" s="92">
        <f t="shared" si="78"/>
        <v>0</v>
      </c>
      <c r="AT186" s="93">
        <f t="shared" si="78"/>
        <v>13.25</v>
      </c>
      <c r="AU186" s="94">
        <f t="shared" si="78"/>
        <v>6.8546999999999993</v>
      </c>
      <c r="AV186" s="91">
        <f t="shared" si="78"/>
        <v>47.11134020618556</v>
      </c>
      <c r="AW186" s="91">
        <f t="shared" si="78"/>
        <v>38.01612903225805</v>
      </c>
      <c r="AX186" s="83">
        <f t="shared" si="78"/>
        <v>57.690634839423581</v>
      </c>
      <c r="AY186" s="95">
        <f t="shared" si="78"/>
        <v>74.25</v>
      </c>
      <c r="AZ186" s="96">
        <f t="shared" si="78"/>
        <v>57.099999999999994</v>
      </c>
      <c r="BA186" s="96">
        <f t="shared" si="78"/>
        <v>0</v>
      </c>
      <c r="BB186" s="96">
        <f t="shared" si="78"/>
        <v>41.5</v>
      </c>
      <c r="BC186" s="96">
        <f t="shared" si="78"/>
        <v>0</v>
      </c>
      <c r="BD186" s="97">
        <f t="shared" si="78"/>
        <v>0</v>
      </c>
      <c r="BE186" s="87">
        <f t="shared" si="78"/>
        <v>59</v>
      </c>
      <c r="BF186" s="88">
        <f t="shared" si="78"/>
        <v>0</v>
      </c>
      <c r="BG186" s="98">
        <f t="shared" si="78"/>
        <v>0</v>
      </c>
      <c r="BH186" s="98">
        <f t="shared" si="78"/>
        <v>0</v>
      </c>
      <c r="BI186" s="98">
        <f t="shared" si="78"/>
        <v>0</v>
      </c>
      <c r="BJ186" s="98">
        <f t="shared" si="78"/>
        <v>0</v>
      </c>
      <c r="BK186" s="98">
        <f t="shared" si="78"/>
        <v>0</v>
      </c>
      <c r="BL186" s="97">
        <f t="shared" si="78"/>
        <v>0</v>
      </c>
    </row>
    <row r="187" spans="1:64" outlineLevel="2" x14ac:dyDescent="0.3">
      <c r="A187" s="81" t="s">
        <v>75</v>
      </c>
      <c r="B187" s="82"/>
      <c r="C187" s="83">
        <f t="shared" ref="C187:BL187" si="79">IFERROR(SUBTOTAL(1,C154:C184),"")</f>
        <v>37.4</v>
      </c>
      <c r="D187" s="84">
        <f t="shared" si="79"/>
        <v>36.933333333333337</v>
      </c>
      <c r="E187" s="84">
        <f t="shared" si="79"/>
        <v>37.5</v>
      </c>
      <c r="F187" s="84" t="str">
        <f t="shared" si="79"/>
        <v/>
      </c>
      <c r="G187" s="84" t="str">
        <f t="shared" si="79"/>
        <v/>
      </c>
      <c r="H187" s="84" t="str">
        <f t="shared" si="79"/>
        <v/>
      </c>
      <c r="I187" s="84" t="str">
        <f t="shared" si="79"/>
        <v/>
      </c>
      <c r="J187" s="84" t="str">
        <f t="shared" si="79"/>
        <v/>
      </c>
      <c r="K187" s="84" t="str">
        <f t="shared" si="79"/>
        <v/>
      </c>
      <c r="L187" s="85">
        <f t="shared" si="79"/>
        <v>8.2666666666666675</v>
      </c>
      <c r="M187" s="86">
        <f t="shared" si="79"/>
        <v>8.2283333333333335</v>
      </c>
      <c r="N187" s="86">
        <f t="shared" si="79"/>
        <v>8.2733333333333352</v>
      </c>
      <c r="O187" s="86" t="str">
        <f t="shared" si="79"/>
        <v/>
      </c>
      <c r="P187" s="86" t="str">
        <f t="shared" si="79"/>
        <v/>
      </c>
      <c r="Q187" s="86" t="str">
        <f t="shared" si="79"/>
        <v/>
      </c>
      <c r="R187" s="86" t="str">
        <f t="shared" si="79"/>
        <v/>
      </c>
      <c r="S187" s="86" t="str">
        <f t="shared" si="79"/>
        <v/>
      </c>
      <c r="T187" s="86" t="str">
        <f t="shared" si="79"/>
        <v/>
      </c>
      <c r="U187" s="87">
        <f t="shared" si="79"/>
        <v>646.98333333333323</v>
      </c>
      <c r="V187" s="88">
        <f t="shared" si="79"/>
        <v>616.31666666666672</v>
      </c>
      <c r="W187" s="88">
        <f t="shared" si="79"/>
        <v>677.59999999999991</v>
      </c>
      <c r="X187" s="88" t="str">
        <f t="shared" si="79"/>
        <v/>
      </c>
      <c r="Y187" s="88" t="str">
        <f t="shared" si="79"/>
        <v/>
      </c>
      <c r="Z187" s="88" t="str">
        <f t="shared" si="79"/>
        <v/>
      </c>
      <c r="AA187" s="88" t="str">
        <f t="shared" si="79"/>
        <v/>
      </c>
      <c r="AB187" s="88" t="str">
        <f t="shared" si="79"/>
        <v/>
      </c>
      <c r="AC187" s="88" t="str">
        <f t="shared" si="79"/>
        <v/>
      </c>
      <c r="AD187" s="87" t="str">
        <f t="shared" si="79"/>
        <v/>
      </c>
      <c r="AE187" s="88" t="str">
        <f t="shared" si="79"/>
        <v/>
      </c>
      <c r="AF187" s="88" t="str">
        <f t="shared" si="79"/>
        <v/>
      </c>
      <c r="AG187" s="88" t="str">
        <f t="shared" si="79"/>
        <v/>
      </c>
      <c r="AH187" s="88" t="str">
        <f t="shared" si="79"/>
        <v/>
      </c>
      <c r="AI187" s="88" t="str">
        <f t="shared" si="79"/>
        <v/>
      </c>
      <c r="AJ187" s="88" t="str">
        <f t="shared" si="79"/>
        <v/>
      </c>
      <c r="AK187" s="88" t="str">
        <f t="shared" si="79"/>
        <v/>
      </c>
      <c r="AL187" s="88" t="str">
        <f t="shared" si="79"/>
        <v/>
      </c>
      <c r="AM187" s="88">
        <f t="shared" si="79"/>
        <v>58.805261775479856</v>
      </c>
      <c r="AN187" s="88">
        <f t="shared" si="79"/>
        <v>71.123548387096776</v>
      </c>
      <c r="AO187" s="89">
        <f t="shared" si="79"/>
        <v>16.3</v>
      </c>
      <c r="AP187" s="90">
        <f t="shared" si="79"/>
        <v>12.9</v>
      </c>
      <c r="AQ187" s="91">
        <f t="shared" si="79"/>
        <v>78.988562091503255</v>
      </c>
      <c r="AR187" s="91">
        <f t="shared" si="79"/>
        <v>21.011437908496735</v>
      </c>
      <c r="AS187" s="92" t="str">
        <f t="shared" si="79"/>
        <v/>
      </c>
      <c r="AT187" s="93">
        <f t="shared" si="79"/>
        <v>14.441666666666668</v>
      </c>
      <c r="AU187" s="94">
        <f t="shared" si="79"/>
        <v>7.8226083333333349</v>
      </c>
      <c r="AV187" s="91">
        <f t="shared" si="79"/>
        <v>54.103267060311502</v>
      </c>
      <c r="AW187" s="91">
        <f t="shared" si="79"/>
        <v>45.896732939688491</v>
      </c>
      <c r="AX187" s="83">
        <f t="shared" si="79"/>
        <v>65.107953579400501</v>
      </c>
      <c r="AY187" s="95">
        <f t="shared" si="79"/>
        <v>75.51428571428572</v>
      </c>
      <c r="AZ187" s="96">
        <f t="shared" si="79"/>
        <v>60.779999999999994</v>
      </c>
      <c r="BA187" s="96" t="str">
        <f t="shared" si="79"/>
        <v/>
      </c>
      <c r="BB187" s="96">
        <f t="shared" si="79"/>
        <v>56.1</v>
      </c>
      <c r="BC187" s="96" t="str">
        <f t="shared" si="79"/>
        <v/>
      </c>
      <c r="BD187" s="97">
        <f>IFERROR(SUBTOTAL(1,BD154:BD184),"")</f>
        <v>71.123548387096776</v>
      </c>
      <c r="BE187" s="87">
        <f t="shared" si="79"/>
        <v>7432.08</v>
      </c>
      <c r="BF187" s="88">
        <f t="shared" si="79"/>
        <v>712.29032258064512</v>
      </c>
      <c r="BG187" s="98">
        <f t="shared" si="79"/>
        <v>0</v>
      </c>
      <c r="BH187" s="98">
        <f t="shared" si="79"/>
        <v>1133</v>
      </c>
      <c r="BI187" s="98">
        <f t="shared" si="79"/>
        <v>4148.322580645161</v>
      </c>
      <c r="BJ187" s="98" t="str">
        <f t="shared" si="79"/>
        <v/>
      </c>
      <c r="BK187" s="98" t="str">
        <f t="shared" si="79"/>
        <v/>
      </c>
      <c r="BL187" s="97" t="str">
        <f t="shared" si="79"/>
        <v/>
      </c>
    </row>
    <row r="188" spans="1:64" ht="17.25" outlineLevel="1" thickBot="1" x14ac:dyDescent="0.35">
      <c r="A188" s="99" t="s">
        <v>76</v>
      </c>
      <c r="B188" s="100"/>
      <c r="C188" s="101"/>
      <c r="D188" s="102"/>
      <c r="E188" s="102"/>
      <c r="F188" s="102"/>
      <c r="G188" s="102"/>
      <c r="H188" s="102"/>
      <c r="I188" s="102"/>
      <c r="J188" s="102"/>
      <c r="K188" s="102"/>
      <c r="L188" s="103"/>
      <c r="M188" s="104"/>
      <c r="N188" s="104"/>
      <c r="O188" s="104"/>
      <c r="P188" s="104"/>
      <c r="Q188" s="104"/>
      <c r="R188" s="104"/>
      <c r="S188" s="104"/>
      <c r="T188" s="104"/>
      <c r="U188" s="105"/>
      <c r="V188" s="106"/>
      <c r="W188" s="106"/>
      <c r="X188" s="106"/>
      <c r="Y188" s="106"/>
      <c r="Z188" s="106"/>
      <c r="AA188" s="106"/>
      <c r="AB188" s="106"/>
      <c r="AC188" s="106"/>
      <c r="AD188" s="105"/>
      <c r="AE188" s="106"/>
      <c r="AF188" s="106"/>
      <c r="AG188" s="106"/>
      <c r="AH188" s="106"/>
      <c r="AI188" s="106"/>
      <c r="AJ188" s="106"/>
      <c r="AK188" s="106"/>
      <c r="AL188" s="106"/>
      <c r="AM188" s="106"/>
      <c r="AN188" s="107">
        <f>SUBTOTAL(9,AN154:AN184)</f>
        <v>2204.83</v>
      </c>
      <c r="AO188" s="108"/>
      <c r="AP188" s="109"/>
      <c r="AQ188" s="110"/>
      <c r="AR188" s="110"/>
      <c r="AS188" s="111">
        <f>SUBTOTAL(9,AS154:AS184)</f>
        <v>0</v>
      </c>
      <c r="AT188" s="112"/>
      <c r="AU188" s="113"/>
      <c r="AV188" s="110"/>
      <c r="AW188" s="110"/>
      <c r="AX188" s="101"/>
      <c r="AY188" s="114"/>
      <c r="AZ188" s="115"/>
      <c r="BA188" s="115"/>
      <c r="BB188" s="115"/>
      <c r="BC188" s="115"/>
      <c r="BD188" s="116">
        <f>SUBTOTAL(9,BD154:BD184)</f>
        <v>2204.83</v>
      </c>
      <c r="BE188" s="117">
        <f t="shared" ref="BE188:BL188" si="80">SUBTOTAL(9,BE154:BE184)</f>
        <v>185802</v>
      </c>
      <c r="BF188" s="107">
        <f t="shared" si="80"/>
        <v>22081</v>
      </c>
      <c r="BG188" s="118">
        <f t="shared" si="80"/>
        <v>0</v>
      </c>
      <c r="BH188" s="118">
        <f t="shared" si="80"/>
        <v>35123</v>
      </c>
      <c r="BI188" s="118">
        <f t="shared" si="80"/>
        <v>128598</v>
      </c>
      <c r="BJ188" s="118">
        <f t="shared" si="80"/>
        <v>0</v>
      </c>
      <c r="BK188" s="118">
        <f t="shared" si="80"/>
        <v>0</v>
      </c>
      <c r="BL188" s="116">
        <f t="shared" si="80"/>
        <v>0</v>
      </c>
    </row>
    <row r="189" spans="1:64" outlineLevel="5" x14ac:dyDescent="0.3">
      <c r="A189" s="136">
        <f t="shared" si="76"/>
        <v>6</v>
      </c>
      <c r="B189" s="165">
        <f>B184+1</f>
        <v>45444</v>
      </c>
      <c r="C189" s="138" t="str">
        <f t="shared" ref="C189:C218" si="81">IFERROR(ROUND(AVERAGE(D189:K189),1),"")</f>
        <v/>
      </c>
      <c r="D189" s="186"/>
      <c r="E189" s="186"/>
      <c r="F189" s="84"/>
      <c r="G189" s="84"/>
      <c r="H189" s="84"/>
      <c r="I189" s="84"/>
      <c r="J189" s="84"/>
      <c r="K189" s="84"/>
      <c r="L189" s="140" t="str">
        <f t="shared" ref="L189:L218" si="82">IFERROR(ROUND(AVERAGE(M189:T189),1),"")</f>
        <v/>
      </c>
      <c r="M189" s="86"/>
      <c r="N189" s="86"/>
      <c r="O189" s="86"/>
      <c r="P189" s="86"/>
      <c r="Q189" s="86"/>
      <c r="R189" s="86"/>
      <c r="S189" s="86"/>
      <c r="T189" s="86"/>
      <c r="U189" s="142" t="str">
        <f t="shared" ref="U189:U218" si="83">IFERROR(ROUND(AVERAGE(V189:AC189),1),"")</f>
        <v/>
      </c>
      <c r="V189" s="88"/>
      <c r="W189" s="88"/>
      <c r="X189" s="88"/>
      <c r="Y189" s="88"/>
      <c r="Z189" s="88"/>
      <c r="AA189" s="88"/>
      <c r="AB189" s="88"/>
      <c r="AC189" s="88"/>
      <c r="AD189" s="142" t="str">
        <f t="shared" ref="AD189:AD218" si="84">IFERROR(ROUND(AVERAGE(AE189:AL189),1),"")</f>
        <v/>
      </c>
      <c r="AE189" s="88"/>
      <c r="AF189" s="88"/>
      <c r="AG189" s="88"/>
      <c r="AH189" s="88"/>
      <c r="AI189" s="88"/>
      <c r="AJ189" s="88"/>
      <c r="AK189" s="88"/>
      <c r="AL189" s="88"/>
      <c r="AM189" s="88">
        <v>60.396673064619314</v>
      </c>
      <c r="AN189" s="88">
        <v>78.150000000000006</v>
      </c>
      <c r="AO189" s="89"/>
      <c r="AP189" s="90"/>
      <c r="AQ189" s="146" t="str">
        <f t="shared" ref="AQ189:AQ218" si="85">IFERROR(AP189/AO189*100,"")</f>
        <v/>
      </c>
      <c r="AR189" s="146" t="str">
        <f t="shared" ref="AR189:AR218" si="86">IFERROR(100-AQ189,"")</f>
        <v/>
      </c>
      <c r="AS189" s="147"/>
      <c r="AT189" s="148"/>
      <c r="AU189" s="149"/>
      <c r="AV189" s="146" t="str">
        <f t="shared" ref="AV189:AV218" si="87">IFERROR(AU189/AT189*100,"")</f>
        <v/>
      </c>
      <c r="AW189" s="146" t="str">
        <f t="shared" ref="AW189:AW218" si="88">IFERROR(100-AV189,"")</f>
        <v/>
      </c>
      <c r="AX189" s="138" t="str">
        <f t="shared" ref="AX189:AX218" si="89">IFERROR((1-((AV189*AR189)/(AW189*AQ189)))*100,"")</f>
        <v/>
      </c>
      <c r="AY189" s="95"/>
      <c r="AZ189" s="96"/>
      <c r="BA189" s="96"/>
      <c r="BB189" s="96"/>
      <c r="BC189" s="96"/>
      <c r="BD189" s="97">
        <v>78.150000000000006</v>
      </c>
      <c r="BE189" s="142">
        <f t="shared" ref="BE189:BE218" si="90">IF(SUM(BF189:BL189)=0,"",SUM(BF189:BL189))</f>
        <v>7215</v>
      </c>
      <c r="BF189" s="98">
        <v>805</v>
      </c>
      <c r="BG189" s="98">
        <v>0</v>
      </c>
      <c r="BH189" s="98">
        <v>0</v>
      </c>
      <c r="BI189" s="98">
        <v>6410</v>
      </c>
      <c r="BJ189" s="98"/>
      <c r="BK189" s="98"/>
      <c r="BL189" s="98"/>
    </row>
    <row r="190" spans="1:64" outlineLevel="5" x14ac:dyDescent="0.3">
      <c r="A190" s="152">
        <f t="shared" si="76"/>
        <v>6</v>
      </c>
      <c r="B190" s="153">
        <f t="shared" si="75"/>
        <v>45445</v>
      </c>
      <c r="C190" s="138" t="str">
        <f t="shared" si="81"/>
        <v/>
      </c>
      <c r="D190" s="186"/>
      <c r="E190" s="186"/>
      <c r="F190" s="84"/>
      <c r="G190" s="84"/>
      <c r="H190" s="84"/>
      <c r="I190" s="84"/>
      <c r="J190" s="84"/>
      <c r="K190" s="84"/>
      <c r="L190" s="140" t="str">
        <f t="shared" si="82"/>
        <v/>
      </c>
      <c r="M190" s="86"/>
      <c r="N190" s="86"/>
      <c r="O190" s="86"/>
      <c r="P190" s="86"/>
      <c r="Q190" s="86"/>
      <c r="R190" s="86"/>
      <c r="S190" s="86"/>
      <c r="T190" s="86"/>
      <c r="U190" s="142" t="str">
        <f t="shared" si="83"/>
        <v/>
      </c>
      <c r="V190" s="88"/>
      <c r="W190" s="88"/>
      <c r="X190" s="88"/>
      <c r="Y190" s="88"/>
      <c r="Z190" s="88"/>
      <c r="AA190" s="88"/>
      <c r="AB190" s="88"/>
      <c r="AC190" s="88"/>
      <c r="AD190" s="142" t="str">
        <f t="shared" si="84"/>
        <v/>
      </c>
      <c r="AE190" s="88"/>
      <c r="AF190" s="88"/>
      <c r="AG190" s="88"/>
      <c r="AH190" s="88"/>
      <c r="AI190" s="88"/>
      <c r="AJ190" s="88"/>
      <c r="AK190" s="88"/>
      <c r="AL190" s="88"/>
      <c r="AM190" s="88">
        <v>67.428571428571431</v>
      </c>
      <c r="AN190" s="88">
        <v>70</v>
      </c>
      <c r="AO190" s="89"/>
      <c r="AP190" s="90"/>
      <c r="AQ190" s="146" t="str">
        <f t="shared" si="85"/>
        <v/>
      </c>
      <c r="AR190" s="146" t="str">
        <f t="shared" si="86"/>
        <v/>
      </c>
      <c r="AS190" s="147"/>
      <c r="AT190" s="148"/>
      <c r="AU190" s="149"/>
      <c r="AV190" s="146" t="str">
        <f t="shared" si="87"/>
        <v/>
      </c>
      <c r="AW190" s="146" t="str">
        <f t="shared" si="88"/>
        <v/>
      </c>
      <c r="AX190" s="138" t="str">
        <f t="shared" si="89"/>
        <v/>
      </c>
      <c r="AY190" s="95"/>
      <c r="AZ190" s="96"/>
      <c r="BA190" s="96"/>
      <c r="BB190" s="96"/>
      <c r="BC190" s="96"/>
      <c r="BD190" s="97">
        <v>70</v>
      </c>
      <c r="BE190" s="142">
        <f t="shared" si="90"/>
        <v>6471</v>
      </c>
      <c r="BF190" s="98">
        <v>0</v>
      </c>
      <c r="BG190" s="98">
        <v>0</v>
      </c>
      <c r="BH190" s="98">
        <v>0</v>
      </c>
      <c r="BI190" s="98">
        <v>6471</v>
      </c>
      <c r="BJ190" s="98"/>
      <c r="BK190" s="98"/>
      <c r="BL190" s="98"/>
    </row>
    <row r="191" spans="1:64" outlineLevel="5" x14ac:dyDescent="0.3">
      <c r="A191" s="152">
        <f t="shared" si="76"/>
        <v>6</v>
      </c>
      <c r="B191" s="153">
        <f t="shared" si="75"/>
        <v>45446</v>
      </c>
      <c r="C191" s="138">
        <f t="shared" si="81"/>
        <v>38.4</v>
      </c>
      <c r="D191" s="186">
        <v>38</v>
      </c>
      <c r="E191" s="186">
        <v>38.700000000000003</v>
      </c>
      <c r="F191" s="84"/>
      <c r="G191" s="84"/>
      <c r="H191" s="84"/>
      <c r="I191" s="84"/>
      <c r="J191" s="84"/>
      <c r="K191" s="84"/>
      <c r="L191" s="140" t="str">
        <f t="shared" si="82"/>
        <v/>
      </c>
      <c r="M191" s="86"/>
      <c r="N191" s="86"/>
      <c r="O191" s="86"/>
      <c r="P191" s="86"/>
      <c r="Q191" s="86"/>
      <c r="R191" s="86"/>
      <c r="S191" s="86"/>
      <c r="T191" s="86"/>
      <c r="U191" s="142" t="str">
        <f t="shared" si="83"/>
        <v/>
      </c>
      <c r="V191" s="88"/>
      <c r="W191" s="88"/>
      <c r="X191" s="88"/>
      <c r="Y191" s="88"/>
      <c r="Z191" s="88"/>
      <c r="AA191" s="88"/>
      <c r="AB191" s="88"/>
      <c r="AC191" s="88"/>
      <c r="AD191" s="142" t="str">
        <f t="shared" si="84"/>
        <v/>
      </c>
      <c r="AE191" s="88"/>
      <c r="AF191" s="88"/>
      <c r="AG191" s="88"/>
      <c r="AH191" s="88"/>
      <c r="AI191" s="88"/>
      <c r="AJ191" s="88"/>
      <c r="AK191" s="88"/>
      <c r="AL191" s="88"/>
      <c r="AM191" s="88">
        <v>43.203661327231124</v>
      </c>
      <c r="AN191" s="88">
        <v>109.25</v>
      </c>
      <c r="AO191" s="89">
        <v>19.3</v>
      </c>
      <c r="AP191" s="90">
        <v>14.7</v>
      </c>
      <c r="AQ191" s="146">
        <f t="shared" si="85"/>
        <v>76.165803108808277</v>
      </c>
      <c r="AR191" s="146">
        <f t="shared" si="86"/>
        <v>23.834196891191723</v>
      </c>
      <c r="AS191" s="147"/>
      <c r="AT191" s="148">
        <v>14.25</v>
      </c>
      <c r="AU191" s="149">
        <v>7.5475500000000011</v>
      </c>
      <c r="AV191" s="146">
        <f t="shared" si="87"/>
        <v>52.965263157894746</v>
      </c>
      <c r="AW191" s="146">
        <f t="shared" si="88"/>
        <v>47.034736842105254</v>
      </c>
      <c r="AX191" s="138">
        <f t="shared" si="89"/>
        <v>64.761865178450549</v>
      </c>
      <c r="AY191" s="95">
        <v>75.55</v>
      </c>
      <c r="AZ191" s="96"/>
      <c r="BA191" s="96"/>
      <c r="BB191" s="96"/>
      <c r="BC191" s="96"/>
      <c r="BD191" s="97">
        <v>109.25</v>
      </c>
      <c r="BE191" s="142">
        <f t="shared" si="90"/>
        <v>8398</v>
      </c>
      <c r="BF191" s="98">
        <v>1065</v>
      </c>
      <c r="BG191" s="98">
        <v>0</v>
      </c>
      <c r="BH191" s="98">
        <v>871</v>
      </c>
      <c r="BI191" s="98">
        <v>6462</v>
      </c>
      <c r="BJ191" s="98"/>
      <c r="BK191" s="98"/>
      <c r="BL191" s="98"/>
    </row>
    <row r="192" spans="1:64" outlineLevel="5" x14ac:dyDescent="0.3">
      <c r="A192" s="152">
        <f t="shared" si="76"/>
        <v>6</v>
      </c>
      <c r="B192" s="153">
        <f t="shared" si="75"/>
        <v>45447</v>
      </c>
      <c r="C192" s="138" t="str">
        <f t="shared" si="81"/>
        <v/>
      </c>
      <c r="D192" s="186"/>
      <c r="E192" s="186"/>
      <c r="F192" s="84"/>
      <c r="G192" s="84"/>
      <c r="H192" s="84"/>
      <c r="I192" s="84"/>
      <c r="J192" s="84"/>
      <c r="K192" s="84"/>
      <c r="L192" s="140" t="str">
        <f t="shared" si="82"/>
        <v/>
      </c>
      <c r="M192" s="86"/>
      <c r="N192" s="86"/>
      <c r="O192" s="86"/>
      <c r="P192" s="86"/>
      <c r="Q192" s="86"/>
      <c r="R192" s="86"/>
      <c r="S192" s="86"/>
      <c r="T192" s="86"/>
      <c r="U192" s="142" t="str">
        <f t="shared" si="83"/>
        <v/>
      </c>
      <c r="V192" s="88"/>
      <c r="W192" s="88"/>
      <c r="X192" s="88"/>
      <c r="Y192" s="88"/>
      <c r="Z192" s="88"/>
      <c r="AA192" s="88"/>
      <c r="AB192" s="88"/>
      <c r="AC192" s="88"/>
      <c r="AD192" s="142" t="str">
        <f t="shared" si="84"/>
        <v/>
      </c>
      <c r="AE192" s="88"/>
      <c r="AF192" s="88"/>
      <c r="AG192" s="88"/>
      <c r="AH192" s="88"/>
      <c r="AI192" s="88"/>
      <c r="AJ192" s="88"/>
      <c r="AK192" s="88"/>
      <c r="AL192" s="88"/>
      <c r="AM192" s="88">
        <v>49.699905233231547</v>
      </c>
      <c r="AN192" s="88">
        <v>94.97</v>
      </c>
      <c r="AO192" s="89"/>
      <c r="AP192" s="90"/>
      <c r="AQ192" s="146" t="str">
        <f t="shared" si="85"/>
        <v/>
      </c>
      <c r="AR192" s="146" t="str">
        <f t="shared" si="86"/>
        <v/>
      </c>
      <c r="AS192" s="147"/>
      <c r="AT192" s="148"/>
      <c r="AU192" s="149"/>
      <c r="AV192" s="146" t="str">
        <f t="shared" si="87"/>
        <v/>
      </c>
      <c r="AW192" s="146" t="str">
        <f t="shared" si="88"/>
        <v/>
      </c>
      <c r="AX192" s="138" t="str">
        <f t="shared" si="89"/>
        <v/>
      </c>
      <c r="AY192" s="95"/>
      <c r="AZ192" s="96"/>
      <c r="BA192" s="96"/>
      <c r="BB192" s="96"/>
      <c r="BC192" s="96"/>
      <c r="BD192" s="97">
        <v>94.97</v>
      </c>
      <c r="BE192" s="142">
        <f t="shared" si="90"/>
        <v>11982</v>
      </c>
      <c r="BF192" s="98">
        <v>1996</v>
      </c>
      <c r="BG192" s="98">
        <v>0</v>
      </c>
      <c r="BH192" s="98">
        <v>3427</v>
      </c>
      <c r="BI192" s="98">
        <v>6559</v>
      </c>
      <c r="BJ192" s="98"/>
      <c r="BK192" s="98"/>
      <c r="BL192" s="98"/>
    </row>
    <row r="193" spans="1:64" outlineLevel="5" x14ac:dyDescent="0.3">
      <c r="A193" s="152">
        <f t="shared" si="76"/>
        <v>6</v>
      </c>
      <c r="B193" s="153">
        <f t="shared" si="75"/>
        <v>45448</v>
      </c>
      <c r="C193" s="138">
        <f t="shared" si="81"/>
        <v>38.5</v>
      </c>
      <c r="D193" s="186">
        <v>38.200000000000003</v>
      </c>
      <c r="E193" s="186">
        <v>38.799999999999997</v>
      </c>
      <c r="F193" s="84"/>
      <c r="G193" s="84"/>
      <c r="H193" s="84"/>
      <c r="I193" s="84"/>
      <c r="J193" s="84"/>
      <c r="K193" s="84"/>
      <c r="L193" s="140">
        <f t="shared" si="82"/>
        <v>8</v>
      </c>
      <c r="M193" s="86">
        <v>7.93</v>
      </c>
      <c r="N193" s="86">
        <v>8.0399999999999991</v>
      </c>
      <c r="O193" s="86"/>
      <c r="P193" s="86"/>
      <c r="Q193" s="86"/>
      <c r="R193" s="86"/>
      <c r="S193" s="86"/>
      <c r="T193" s="86"/>
      <c r="U193" s="142">
        <f t="shared" si="83"/>
        <v>675.8</v>
      </c>
      <c r="V193" s="88">
        <v>637.9</v>
      </c>
      <c r="W193" s="88">
        <v>713.6</v>
      </c>
      <c r="X193" s="88"/>
      <c r="Y193" s="88"/>
      <c r="Z193" s="88"/>
      <c r="AA193" s="88"/>
      <c r="AB193" s="88"/>
      <c r="AC193" s="88"/>
      <c r="AD193" s="142" t="str">
        <f t="shared" si="84"/>
        <v/>
      </c>
      <c r="AE193" s="88"/>
      <c r="AF193" s="88"/>
      <c r="AG193" s="88"/>
      <c r="AH193" s="88"/>
      <c r="AI193" s="88"/>
      <c r="AJ193" s="88"/>
      <c r="AK193" s="88"/>
      <c r="AL193" s="88"/>
      <c r="AM193" s="88">
        <v>47.628657921291627</v>
      </c>
      <c r="AN193" s="88">
        <v>99.1</v>
      </c>
      <c r="AO193" s="89"/>
      <c r="AP193" s="90"/>
      <c r="AQ193" s="146" t="str">
        <f t="shared" si="85"/>
        <v/>
      </c>
      <c r="AR193" s="146" t="str">
        <f t="shared" si="86"/>
        <v/>
      </c>
      <c r="AS193" s="147"/>
      <c r="AT193" s="148">
        <v>13.3</v>
      </c>
      <c r="AU193" s="149">
        <v>6.4860000000000007</v>
      </c>
      <c r="AV193" s="146">
        <f t="shared" si="87"/>
        <v>48.766917293233085</v>
      </c>
      <c r="AW193" s="146">
        <f t="shared" si="88"/>
        <v>51.233082706766915</v>
      </c>
      <c r="AX193" s="138" t="str">
        <f t="shared" si="89"/>
        <v/>
      </c>
      <c r="AY193" s="95">
        <v>75.150000000000006</v>
      </c>
      <c r="AZ193" s="96"/>
      <c r="BA193" s="96"/>
      <c r="BB193" s="96"/>
      <c r="BC193" s="96"/>
      <c r="BD193" s="97">
        <v>99.1</v>
      </c>
      <c r="BE193" s="142">
        <f t="shared" si="90"/>
        <v>13086</v>
      </c>
      <c r="BF193" s="98">
        <v>2212</v>
      </c>
      <c r="BG193" s="98">
        <v>0</v>
      </c>
      <c r="BH193" s="98">
        <v>4315</v>
      </c>
      <c r="BI193" s="98">
        <v>6559</v>
      </c>
      <c r="BJ193" s="98"/>
      <c r="BK193" s="98"/>
      <c r="BL193" s="98"/>
    </row>
    <row r="194" spans="1:64" outlineLevel="5" x14ac:dyDescent="0.3">
      <c r="A194" s="152">
        <f t="shared" si="76"/>
        <v>6</v>
      </c>
      <c r="B194" s="153">
        <f t="shared" si="75"/>
        <v>45449</v>
      </c>
      <c r="C194" s="138" t="str">
        <f t="shared" si="81"/>
        <v/>
      </c>
      <c r="D194" s="186"/>
      <c r="E194" s="186"/>
      <c r="F194" s="84"/>
      <c r="G194" s="84"/>
      <c r="H194" s="84"/>
      <c r="I194" s="84"/>
      <c r="J194" s="84"/>
      <c r="K194" s="84"/>
      <c r="L194" s="140" t="str">
        <f t="shared" si="82"/>
        <v/>
      </c>
      <c r="M194" s="86"/>
      <c r="N194" s="86"/>
      <c r="O194" s="86"/>
      <c r="P194" s="86"/>
      <c r="Q194" s="86"/>
      <c r="R194" s="86"/>
      <c r="S194" s="86"/>
      <c r="T194" s="86"/>
      <c r="U194" s="142" t="str">
        <f t="shared" si="83"/>
        <v/>
      </c>
      <c r="V194" s="88"/>
      <c r="W194" s="88"/>
      <c r="X194" s="88"/>
      <c r="Y194" s="88"/>
      <c r="Z194" s="88"/>
      <c r="AA194" s="88"/>
      <c r="AB194" s="88"/>
      <c r="AC194" s="88"/>
      <c r="AD194" s="142" t="str">
        <f t="shared" si="84"/>
        <v/>
      </c>
      <c r="AE194" s="88"/>
      <c r="AF194" s="88"/>
      <c r="AG194" s="88"/>
      <c r="AH194" s="88"/>
      <c r="AI194" s="88"/>
      <c r="AJ194" s="88"/>
      <c r="AK194" s="88"/>
      <c r="AL194" s="88"/>
      <c r="AM194" s="88">
        <v>31.760985128860774</v>
      </c>
      <c r="AN194" s="88">
        <v>148.61000000000001</v>
      </c>
      <c r="AO194" s="89"/>
      <c r="AP194" s="90"/>
      <c r="AQ194" s="146" t="str">
        <f t="shared" si="85"/>
        <v/>
      </c>
      <c r="AR194" s="146" t="str">
        <f t="shared" si="86"/>
        <v/>
      </c>
      <c r="AS194" s="147"/>
      <c r="AT194" s="148"/>
      <c r="AU194" s="149"/>
      <c r="AV194" s="146" t="str">
        <f t="shared" si="87"/>
        <v/>
      </c>
      <c r="AW194" s="146" t="str">
        <f t="shared" si="88"/>
        <v/>
      </c>
      <c r="AX194" s="138" t="str">
        <f t="shared" si="89"/>
        <v/>
      </c>
      <c r="AY194" s="95"/>
      <c r="AZ194" s="96"/>
      <c r="BA194" s="96"/>
      <c r="BB194" s="96"/>
      <c r="BC194" s="96"/>
      <c r="BD194" s="97">
        <v>148.61000000000001</v>
      </c>
      <c r="BE194" s="142">
        <f t="shared" si="90"/>
        <v>13371</v>
      </c>
      <c r="BF194" s="98">
        <v>1790</v>
      </c>
      <c r="BG194" s="98">
        <v>0</v>
      </c>
      <c r="BH194" s="98">
        <v>5053</v>
      </c>
      <c r="BI194" s="98">
        <v>6528</v>
      </c>
      <c r="BJ194" s="98"/>
      <c r="BK194" s="98"/>
      <c r="BL194" s="98"/>
    </row>
    <row r="195" spans="1:64" outlineLevel="5" x14ac:dyDescent="0.3">
      <c r="A195" s="152">
        <f t="shared" si="76"/>
        <v>6</v>
      </c>
      <c r="B195" s="153">
        <f t="shared" si="75"/>
        <v>45450</v>
      </c>
      <c r="C195" s="138" t="str">
        <f t="shared" si="81"/>
        <v/>
      </c>
      <c r="D195" s="186"/>
      <c r="E195" s="186"/>
      <c r="F195" s="84"/>
      <c r="G195" s="84"/>
      <c r="H195" s="84"/>
      <c r="I195" s="84"/>
      <c r="J195" s="84"/>
      <c r="K195" s="84"/>
      <c r="L195" s="140">
        <f t="shared" si="82"/>
        <v>8</v>
      </c>
      <c r="M195" s="86">
        <v>7.95</v>
      </c>
      <c r="N195" s="86">
        <v>8.0500000000000007</v>
      </c>
      <c r="O195" s="86"/>
      <c r="P195" s="86"/>
      <c r="Q195" s="86"/>
      <c r="R195" s="86"/>
      <c r="S195" s="86"/>
      <c r="T195" s="86"/>
      <c r="U195" s="142">
        <f t="shared" si="83"/>
        <v>562.29999999999995</v>
      </c>
      <c r="V195" s="88">
        <v>583.9</v>
      </c>
      <c r="W195" s="88">
        <v>540.6</v>
      </c>
      <c r="X195" s="88"/>
      <c r="Y195" s="88"/>
      <c r="Z195" s="88"/>
      <c r="AA195" s="88"/>
      <c r="AB195" s="88"/>
      <c r="AC195" s="88"/>
      <c r="AD195" s="142" t="str">
        <f t="shared" si="84"/>
        <v/>
      </c>
      <c r="AE195" s="88"/>
      <c r="AF195" s="88"/>
      <c r="AG195" s="88"/>
      <c r="AH195" s="88"/>
      <c r="AI195" s="88"/>
      <c r="AJ195" s="88"/>
      <c r="AK195" s="88"/>
      <c r="AL195" s="88"/>
      <c r="AM195" s="88">
        <v>48.820852296234996</v>
      </c>
      <c r="AN195" s="88">
        <v>96.68</v>
      </c>
      <c r="AO195" s="89"/>
      <c r="AP195" s="90"/>
      <c r="AQ195" s="146" t="str">
        <f t="shared" si="85"/>
        <v/>
      </c>
      <c r="AR195" s="146" t="str">
        <f t="shared" si="86"/>
        <v/>
      </c>
      <c r="AS195" s="147"/>
      <c r="AT195" s="148"/>
      <c r="AU195" s="149"/>
      <c r="AV195" s="146" t="str">
        <f t="shared" si="87"/>
        <v/>
      </c>
      <c r="AW195" s="146" t="str">
        <f t="shared" si="88"/>
        <v/>
      </c>
      <c r="AX195" s="138" t="str">
        <f t="shared" si="89"/>
        <v/>
      </c>
      <c r="AY195" s="95"/>
      <c r="AZ195" s="96"/>
      <c r="BA195" s="96"/>
      <c r="BB195" s="96"/>
      <c r="BC195" s="96"/>
      <c r="BD195" s="97">
        <v>96.68</v>
      </c>
      <c r="BE195" s="142">
        <f t="shared" si="90"/>
        <v>11892</v>
      </c>
      <c r="BF195" s="98">
        <v>2334</v>
      </c>
      <c r="BG195" s="98">
        <v>0</v>
      </c>
      <c r="BH195" s="98">
        <v>3056</v>
      </c>
      <c r="BI195" s="98">
        <v>6502</v>
      </c>
      <c r="BJ195" s="98"/>
      <c r="BK195" s="98"/>
      <c r="BL195" s="98"/>
    </row>
    <row r="196" spans="1:64" outlineLevel="5" x14ac:dyDescent="0.3">
      <c r="A196" s="152">
        <f t="shared" si="76"/>
        <v>6</v>
      </c>
      <c r="B196" s="153">
        <f t="shared" si="75"/>
        <v>45451</v>
      </c>
      <c r="C196" s="138" t="str">
        <f t="shared" si="81"/>
        <v/>
      </c>
      <c r="D196" s="186"/>
      <c r="E196" s="186"/>
      <c r="F196" s="84"/>
      <c r="G196" s="84"/>
      <c r="H196" s="84"/>
      <c r="I196" s="84"/>
      <c r="J196" s="84"/>
      <c r="K196" s="84"/>
      <c r="L196" s="140" t="str">
        <f t="shared" si="82"/>
        <v/>
      </c>
      <c r="M196" s="86"/>
      <c r="N196" s="86"/>
      <c r="O196" s="86"/>
      <c r="P196" s="86"/>
      <c r="Q196" s="86"/>
      <c r="R196" s="86"/>
      <c r="S196" s="86"/>
      <c r="T196" s="86"/>
      <c r="U196" s="142" t="str">
        <f t="shared" si="83"/>
        <v/>
      </c>
      <c r="V196" s="88"/>
      <c r="W196" s="88"/>
      <c r="X196" s="88"/>
      <c r="Y196" s="88"/>
      <c r="Z196" s="88"/>
      <c r="AA196" s="88"/>
      <c r="AB196" s="88"/>
      <c r="AC196" s="88"/>
      <c r="AD196" s="142" t="str">
        <f t="shared" si="84"/>
        <v/>
      </c>
      <c r="AE196" s="88"/>
      <c r="AF196" s="88"/>
      <c r="AG196" s="88"/>
      <c r="AH196" s="88"/>
      <c r="AI196" s="88"/>
      <c r="AJ196" s="88"/>
      <c r="AK196" s="88"/>
      <c r="AL196" s="88"/>
      <c r="AM196" s="88">
        <v>44.009324009324011</v>
      </c>
      <c r="AN196" s="88">
        <v>107.25</v>
      </c>
      <c r="AO196" s="89"/>
      <c r="AP196" s="90"/>
      <c r="AQ196" s="146" t="str">
        <f t="shared" si="85"/>
        <v/>
      </c>
      <c r="AR196" s="146" t="str">
        <f t="shared" si="86"/>
        <v/>
      </c>
      <c r="AS196" s="147"/>
      <c r="AT196" s="148"/>
      <c r="AU196" s="149"/>
      <c r="AV196" s="146" t="str">
        <f t="shared" si="87"/>
        <v/>
      </c>
      <c r="AW196" s="146" t="str">
        <f t="shared" si="88"/>
        <v/>
      </c>
      <c r="AX196" s="138" t="str">
        <f t="shared" si="89"/>
        <v/>
      </c>
      <c r="AY196" s="95"/>
      <c r="AZ196" s="96"/>
      <c r="BA196" s="96"/>
      <c r="BB196" s="96"/>
      <c r="BC196" s="96"/>
      <c r="BD196" s="97">
        <v>107.25</v>
      </c>
      <c r="BE196" s="142">
        <f t="shared" si="90"/>
        <v>8973</v>
      </c>
      <c r="BF196" s="98">
        <v>2561</v>
      </c>
      <c r="BG196" s="98">
        <v>0</v>
      </c>
      <c r="BH196" s="98">
        <v>0</v>
      </c>
      <c r="BI196" s="98">
        <v>6412</v>
      </c>
      <c r="BJ196" s="98"/>
      <c r="BK196" s="98"/>
      <c r="BL196" s="98"/>
    </row>
    <row r="197" spans="1:64" outlineLevel="5" x14ac:dyDescent="0.3">
      <c r="A197" s="152">
        <f t="shared" si="76"/>
        <v>6</v>
      </c>
      <c r="B197" s="153">
        <f t="shared" si="75"/>
        <v>45452</v>
      </c>
      <c r="C197" s="138" t="str">
        <f t="shared" si="81"/>
        <v/>
      </c>
      <c r="D197" s="186"/>
      <c r="E197" s="186"/>
      <c r="F197" s="84"/>
      <c r="G197" s="84"/>
      <c r="H197" s="84"/>
      <c r="I197" s="84"/>
      <c r="J197" s="84"/>
      <c r="K197" s="84"/>
      <c r="L197" s="140" t="str">
        <f t="shared" si="82"/>
        <v/>
      </c>
      <c r="M197" s="86"/>
      <c r="N197" s="86"/>
      <c r="O197" s="86"/>
      <c r="P197" s="86"/>
      <c r="Q197" s="86"/>
      <c r="R197" s="86"/>
      <c r="S197" s="86"/>
      <c r="T197" s="86"/>
      <c r="U197" s="142" t="str">
        <f t="shared" si="83"/>
        <v/>
      </c>
      <c r="V197" s="88"/>
      <c r="W197" s="88"/>
      <c r="X197" s="88"/>
      <c r="Y197" s="88"/>
      <c r="Z197" s="88"/>
      <c r="AA197" s="88"/>
      <c r="AB197" s="88"/>
      <c r="AC197" s="88"/>
      <c r="AD197" s="142" t="str">
        <f t="shared" si="84"/>
        <v/>
      </c>
      <c r="AE197" s="88"/>
      <c r="AF197" s="88"/>
      <c r="AG197" s="88"/>
      <c r="AH197" s="88"/>
      <c r="AI197" s="88"/>
      <c r="AJ197" s="88"/>
      <c r="AK197" s="88"/>
      <c r="AL197" s="88"/>
      <c r="AM197" s="88">
        <v>39.333333333333336</v>
      </c>
      <c r="AN197" s="88">
        <v>120</v>
      </c>
      <c r="AO197" s="89"/>
      <c r="AP197" s="90"/>
      <c r="AQ197" s="146" t="str">
        <f t="shared" si="85"/>
        <v/>
      </c>
      <c r="AR197" s="146" t="str">
        <f t="shared" si="86"/>
        <v/>
      </c>
      <c r="AS197" s="147"/>
      <c r="AT197" s="148"/>
      <c r="AU197" s="149"/>
      <c r="AV197" s="146" t="str">
        <f t="shared" si="87"/>
        <v/>
      </c>
      <c r="AW197" s="146" t="str">
        <f t="shared" si="88"/>
        <v/>
      </c>
      <c r="AX197" s="138" t="str">
        <f t="shared" si="89"/>
        <v/>
      </c>
      <c r="AY197" s="95"/>
      <c r="AZ197" s="96"/>
      <c r="BA197" s="96"/>
      <c r="BB197" s="96"/>
      <c r="BC197" s="96"/>
      <c r="BD197" s="97">
        <v>120</v>
      </c>
      <c r="BE197" s="142">
        <f t="shared" si="90"/>
        <v>8097</v>
      </c>
      <c r="BF197" s="98">
        <v>1551</v>
      </c>
      <c r="BG197" s="98">
        <v>0</v>
      </c>
      <c r="BH197" s="98">
        <v>0</v>
      </c>
      <c r="BI197" s="98">
        <v>6546</v>
      </c>
      <c r="BJ197" s="98"/>
      <c r="BK197" s="98"/>
      <c r="BL197" s="98"/>
    </row>
    <row r="198" spans="1:64" outlineLevel="5" x14ac:dyDescent="0.3">
      <c r="A198" s="152">
        <f t="shared" si="76"/>
        <v>6</v>
      </c>
      <c r="B198" s="153">
        <f t="shared" si="75"/>
        <v>45453</v>
      </c>
      <c r="C198" s="138">
        <f t="shared" si="81"/>
        <v>39</v>
      </c>
      <c r="D198" s="186">
        <v>38.5</v>
      </c>
      <c r="E198" s="186">
        <v>39.5</v>
      </c>
      <c r="F198" s="84"/>
      <c r="G198" s="84"/>
      <c r="H198" s="84"/>
      <c r="I198" s="84"/>
      <c r="J198" s="84"/>
      <c r="K198" s="84"/>
      <c r="L198" s="140" t="str">
        <f t="shared" si="82"/>
        <v/>
      </c>
      <c r="M198" s="86"/>
      <c r="N198" s="86"/>
      <c r="O198" s="86"/>
      <c r="P198" s="86"/>
      <c r="Q198" s="86"/>
      <c r="R198" s="86"/>
      <c r="S198" s="86"/>
      <c r="T198" s="86"/>
      <c r="U198" s="142" t="str">
        <f t="shared" si="83"/>
        <v/>
      </c>
      <c r="V198" s="88"/>
      <c r="W198" s="88"/>
      <c r="X198" s="88"/>
      <c r="Y198" s="88"/>
      <c r="Z198" s="88"/>
      <c r="AA198" s="88"/>
      <c r="AB198" s="88"/>
      <c r="AC198" s="88"/>
      <c r="AD198" s="142" t="str">
        <f t="shared" si="84"/>
        <v/>
      </c>
      <c r="AE198" s="88"/>
      <c r="AF198" s="88"/>
      <c r="AG198" s="88"/>
      <c r="AH198" s="88"/>
      <c r="AI198" s="88"/>
      <c r="AJ198" s="88"/>
      <c r="AK198" s="88"/>
      <c r="AL198" s="88"/>
      <c r="AM198" s="88">
        <v>41.556612079591474</v>
      </c>
      <c r="AN198" s="88">
        <v>113.58000000000001</v>
      </c>
      <c r="AO198" s="89">
        <v>19.2</v>
      </c>
      <c r="AP198" s="90">
        <v>15.9</v>
      </c>
      <c r="AQ198" s="146">
        <f t="shared" si="85"/>
        <v>82.8125</v>
      </c>
      <c r="AR198" s="146">
        <f t="shared" si="86"/>
        <v>17.1875</v>
      </c>
      <c r="AS198" s="147"/>
      <c r="AT198" s="148">
        <v>14.1</v>
      </c>
      <c r="AU198" s="149">
        <v>8.0810999999999993</v>
      </c>
      <c r="AV198" s="146">
        <f t="shared" si="87"/>
        <v>57.312765957446807</v>
      </c>
      <c r="AW198" s="146">
        <f t="shared" si="88"/>
        <v>42.687234042553193</v>
      </c>
      <c r="AX198" s="138">
        <f t="shared" si="89"/>
        <v>72.134286431702407</v>
      </c>
      <c r="AY198" s="95">
        <v>73.05</v>
      </c>
      <c r="AZ198" s="96"/>
      <c r="BA198" s="96"/>
      <c r="BB198" s="96"/>
      <c r="BC198" s="96"/>
      <c r="BD198" s="97">
        <v>113.58000000000001</v>
      </c>
      <c r="BE198" s="142">
        <f t="shared" si="90"/>
        <v>10194</v>
      </c>
      <c r="BF198" s="98">
        <v>2310</v>
      </c>
      <c r="BG198" s="98">
        <v>0</v>
      </c>
      <c r="BH198" s="98">
        <v>1310</v>
      </c>
      <c r="BI198" s="98">
        <v>6574</v>
      </c>
      <c r="BJ198" s="98"/>
      <c r="BK198" s="98"/>
      <c r="BL198" s="98"/>
    </row>
    <row r="199" spans="1:64" outlineLevel="5" x14ac:dyDescent="0.3">
      <c r="A199" s="152">
        <f t="shared" si="76"/>
        <v>6</v>
      </c>
      <c r="B199" s="153">
        <f t="shared" si="75"/>
        <v>45454</v>
      </c>
      <c r="C199" s="138" t="str">
        <f t="shared" si="81"/>
        <v/>
      </c>
      <c r="D199" s="186"/>
      <c r="E199" s="186"/>
      <c r="F199" s="84"/>
      <c r="G199" s="84"/>
      <c r="H199" s="84"/>
      <c r="I199" s="84"/>
      <c r="J199" s="84"/>
      <c r="K199" s="84"/>
      <c r="L199" s="140" t="str">
        <f t="shared" si="82"/>
        <v/>
      </c>
      <c r="M199" s="86"/>
      <c r="N199" s="86"/>
      <c r="O199" s="86"/>
      <c r="P199" s="86"/>
      <c r="Q199" s="86"/>
      <c r="R199" s="86"/>
      <c r="S199" s="86"/>
      <c r="T199" s="86"/>
      <c r="U199" s="142" t="str">
        <f t="shared" si="83"/>
        <v/>
      </c>
      <c r="V199" s="88"/>
      <c r="W199" s="88"/>
      <c r="X199" s="88"/>
      <c r="Y199" s="88"/>
      <c r="Z199" s="88"/>
      <c r="AA199" s="88"/>
      <c r="AB199" s="88"/>
      <c r="AC199" s="88"/>
      <c r="AD199" s="142" t="str">
        <f t="shared" si="84"/>
        <v/>
      </c>
      <c r="AE199" s="88"/>
      <c r="AF199" s="88"/>
      <c r="AG199" s="88"/>
      <c r="AH199" s="88"/>
      <c r="AI199" s="88"/>
      <c r="AJ199" s="88"/>
      <c r="AK199" s="88"/>
      <c r="AL199" s="88"/>
      <c r="AM199" s="88">
        <v>39.124668435013263</v>
      </c>
      <c r="AN199" s="88">
        <v>120.64</v>
      </c>
      <c r="AO199" s="89"/>
      <c r="AP199" s="90"/>
      <c r="AQ199" s="146" t="str">
        <f t="shared" si="85"/>
        <v/>
      </c>
      <c r="AR199" s="146" t="str">
        <f t="shared" si="86"/>
        <v/>
      </c>
      <c r="AS199" s="147"/>
      <c r="AT199" s="148"/>
      <c r="AU199" s="149"/>
      <c r="AV199" s="146" t="str">
        <f t="shared" si="87"/>
        <v/>
      </c>
      <c r="AW199" s="146" t="str">
        <f t="shared" si="88"/>
        <v/>
      </c>
      <c r="AX199" s="138" t="str">
        <f t="shared" si="89"/>
        <v/>
      </c>
      <c r="AY199" s="95"/>
      <c r="AZ199" s="96"/>
      <c r="BA199" s="96"/>
      <c r="BB199" s="96"/>
      <c r="BC199" s="96"/>
      <c r="BD199" s="97">
        <v>120.64</v>
      </c>
      <c r="BE199" s="142">
        <f t="shared" si="90"/>
        <v>10623</v>
      </c>
      <c r="BF199" s="98">
        <v>1637</v>
      </c>
      <c r="BG199" s="98">
        <v>0</v>
      </c>
      <c r="BH199" s="98">
        <v>2415</v>
      </c>
      <c r="BI199" s="98">
        <v>6571</v>
      </c>
      <c r="BJ199" s="98"/>
      <c r="BK199" s="98"/>
      <c r="BL199" s="98"/>
    </row>
    <row r="200" spans="1:64" outlineLevel="5" x14ac:dyDescent="0.3">
      <c r="A200" s="152">
        <f t="shared" si="76"/>
        <v>6</v>
      </c>
      <c r="B200" s="153">
        <f t="shared" si="75"/>
        <v>45455</v>
      </c>
      <c r="C200" s="138">
        <f t="shared" si="81"/>
        <v>40.4</v>
      </c>
      <c r="D200" s="186">
        <v>40</v>
      </c>
      <c r="E200" s="186">
        <v>40.799999999999997</v>
      </c>
      <c r="F200" s="84"/>
      <c r="G200" s="84"/>
      <c r="H200" s="84"/>
      <c r="I200" s="84"/>
      <c r="J200" s="84"/>
      <c r="K200" s="84"/>
      <c r="L200" s="140">
        <f t="shared" si="82"/>
        <v>8.1</v>
      </c>
      <c r="M200" s="86">
        <v>8.08</v>
      </c>
      <c r="N200" s="86">
        <v>8.18</v>
      </c>
      <c r="O200" s="86"/>
      <c r="P200" s="86"/>
      <c r="Q200" s="86"/>
      <c r="R200" s="86"/>
      <c r="S200" s="86"/>
      <c r="T200" s="86"/>
      <c r="U200" s="142">
        <f t="shared" si="83"/>
        <v>610.9</v>
      </c>
      <c r="V200" s="88">
        <v>594.70000000000005</v>
      </c>
      <c r="W200" s="88">
        <v>627.1</v>
      </c>
      <c r="X200" s="88"/>
      <c r="Y200" s="88"/>
      <c r="Z200" s="88"/>
      <c r="AA200" s="88"/>
      <c r="AB200" s="88"/>
      <c r="AC200" s="88"/>
      <c r="AD200" s="142" t="str">
        <f t="shared" si="84"/>
        <v/>
      </c>
      <c r="AE200" s="88"/>
      <c r="AF200" s="88"/>
      <c r="AG200" s="88"/>
      <c r="AH200" s="88"/>
      <c r="AI200" s="88"/>
      <c r="AJ200" s="88"/>
      <c r="AK200" s="88"/>
      <c r="AL200" s="88"/>
      <c r="AM200" s="88">
        <v>60.127388535031848</v>
      </c>
      <c r="AN200" s="88">
        <v>78.5</v>
      </c>
      <c r="AO200" s="89"/>
      <c r="AP200" s="90"/>
      <c r="AQ200" s="146" t="str">
        <f t="shared" si="85"/>
        <v/>
      </c>
      <c r="AR200" s="146" t="str">
        <f t="shared" si="86"/>
        <v/>
      </c>
      <c r="AS200" s="147"/>
      <c r="AT200" s="148">
        <v>13.45</v>
      </c>
      <c r="AU200" s="149">
        <v>7.2322000000000006</v>
      </c>
      <c r="AV200" s="146">
        <f t="shared" si="87"/>
        <v>53.771003717472119</v>
      </c>
      <c r="AW200" s="146">
        <f t="shared" si="88"/>
        <v>46.228996282527881</v>
      </c>
      <c r="AX200" s="138" t="str">
        <f t="shared" si="89"/>
        <v/>
      </c>
      <c r="AY200" s="95">
        <v>74.2</v>
      </c>
      <c r="AZ200" s="96"/>
      <c r="BA200" s="96"/>
      <c r="BB200" s="96"/>
      <c r="BC200" s="96"/>
      <c r="BD200" s="97">
        <v>78.5</v>
      </c>
      <c r="BE200" s="142">
        <f t="shared" si="90"/>
        <v>11066</v>
      </c>
      <c r="BF200" s="98">
        <v>1748</v>
      </c>
      <c r="BG200" s="98">
        <v>0</v>
      </c>
      <c r="BH200" s="98">
        <v>2698</v>
      </c>
      <c r="BI200" s="98">
        <v>6620</v>
      </c>
      <c r="BJ200" s="98"/>
      <c r="BK200" s="98"/>
      <c r="BL200" s="98"/>
    </row>
    <row r="201" spans="1:64" outlineLevel="5" x14ac:dyDescent="0.3">
      <c r="A201" s="152">
        <f t="shared" si="76"/>
        <v>6</v>
      </c>
      <c r="B201" s="153">
        <f t="shared" si="75"/>
        <v>45456</v>
      </c>
      <c r="C201" s="138">
        <f t="shared" si="81"/>
        <v>40.6</v>
      </c>
      <c r="D201" s="186">
        <v>40.1</v>
      </c>
      <c r="E201" s="186">
        <v>41.1</v>
      </c>
      <c r="F201" s="84"/>
      <c r="G201" s="84"/>
      <c r="H201" s="84"/>
      <c r="I201" s="84"/>
      <c r="J201" s="84"/>
      <c r="K201" s="84"/>
      <c r="L201" s="140" t="str">
        <f t="shared" si="82"/>
        <v/>
      </c>
      <c r="M201" s="86"/>
      <c r="N201" s="86"/>
      <c r="O201" s="86"/>
      <c r="P201" s="86"/>
      <c r="Q201" s="86"/>
      <c r="R201" s="86"/>
      <c r="S201" s="86"/>
      <c r="T201" s="86"/>
      <c r="U201" s="142" t="str">
        <f t="shared" si="83"/>
        <v/>
      </c>
      <c r="V201" s="88"/>
      <c r="W201" s="88"/>
      <c r="X201" s="88"/>
      <c r="Y201" s="88"/>
      <c r="Z201" s="88"/>
      <c r="AA201" s="88"/>
      <c r="AB201" s="88"/>
      <c r="AC201" s="88"/>
      <c r="AD201" s="142" t="str">
        <f t="shared" si="84"/>
        <v/>
      </c>
      <c r="AE201" s="88"/>
      <c r="AF201" s="88"/>
      <c r="AG201" s="88"/>
      <c r="AH201" s="88"/>
      <c r="AI201" s="88"/>
      <c r="AJ201" s="88"/>
      <c r="AK201" s="88"/>
      <c r="AL201" s="88"/>
      <c r="AM201" s="88">
        <v>41.158004883153119</v>
      </c>
      <c r="AN201" s="88">
        <v>114.68</v>
      </c>
      <c r="AO201" s="89"/>
      <c r="AP201" s="90"/>
      <c r="AQ201" s="146" t="str">
        <f t="shared" si="85"/>
        <v/>
      </c>
      <c r="AR201" s="146" t="str">
        <f t="shared" si="86"/>
        <v/>
      </c>
      <c r="AS201" s="147"/>
      <c r="AT201" s="148">
        <v>12.95</v>
      </c>
      <c r="AU201" s="149">
        <v>6.9034500000000003</v>
      </c>
      <c r="AV201" s="146">
        <f t="shared" si="87"/>
        <v>53.308494208494217</v>
      </c>
      <c r="AW201" s="146">
        <f t="shared" si="88"/>
        <v>46.691505791505783</v>
      </c>
      <c r="AX201" s="138" t="str">
        <f t="shared" si="89"/>
        <v/>
      </c>
      <c r="AY201" s="95">
        <v>76</v>
      </c>
      <c r="AZ201" s="96"/>
      <c r="BA201" s="96"/>
      <c r="BB201" s="96"/>
      <c r="BC201" s="96"/>
      <c r="BD201" s="97">
        <v>114.68</v>
      </c>
      <c r="BE201" s="142">
        <f t="shared" si="90"/>
        <v>10438</v>
      </c>
      <c r="BF201" s="98">
        <v>1755</v>
      </c>
      <c r="BG201" s="98">
        <v>0</v>
      </c>
      <c r="BH201" s="98">
        <v>2051</v>
      </c>
      <c r="BI201" s="98">
        <v>6632</v>
      </c>
      <c r="BJ201" s="98"/>
      <c r="BK201" s="98"/>
      <c r="BL201" s="98"/>
    </row>
    <row r="202" spans="1:64" outlineLevel="5" x14ac:dyDescent="0.3">
      <c r="A202" s="152">
        <f t="shared" si="76"/>
        <v>6</v>
      </c>
      <c r="B202" s="153">
        <f t="shared" si="75"/>
        <v>45457</v>
      </c>
      <c r="C202" s="138" t="str">
        <f t="shared" si="81"/>
        <v/>
      </c>
      <c r="D202" s="186"/>
      <c r="E202" s="186"/>
      <c r="F202" s="84"/>
      <c r="G202" s="84"/>
      <c r="H202" s="84"/>
      <c r="I202" s="84"/>
      <c r="J202" s="84"/>
      <c r="K202" s="84"/>
      <c r="L202" s="140">
        <f t="shared" si="82"/>
        <v>8</v>
      </c>
      <c r="M202" s="86">
        <v>7.98</v>
      </c>
      <c r="N202" s="86">
        <v>8.07</v>
      </c>
      <c r="O202" s="86"/>
      <c r="P202" s="86"/>
      <c r="Q202" s="86"/>
      <c r="R202" s="86"/>
      <c r="S202" s="86"/>
      <c r="T202" s="86"/>
      <c r="U202" s="142">
        <f t="shared" si="83"/>
        <v>583.9</v>
      </c>
      <c r="V202" s="88">
        <v>627.1</v>
      </c>
      <c r="W202" s="88">
        <v>540.6</v>
      </c>
      <c r="X202" s="88"/>
      <c r="Y202" s="88"/>
      <c r="Z202" s="88"/>
      <c r="AA202" s="88"/>
      <c r="AB202" s="88"/>
      <c r="AC202" s="88"/>
      <c r="AD202" s="142" t="str">
        <f t="shared" si="84"/>
        <v/>
      </c>
      <c r="AE202" s="88"/>
      <c r="AF202" s="88"/>
      <c r="AG202" s="88"/>
      <c r="AH202" s="88"/>
      <c r="AI202" s="88"/>
      <c r="AJ202" s="88"/>
      <c r="AK202" s="88"/>
      <c r="AL202" s="88"/>
      <c r="AM202" s="88">
        <v>39.192892136510835</v>
      </c>
      <c r="AN202" s="88">
        <v>120.43</v>
      </c>
      <c r="AO202" s="89"/>
      <c r="AP202" s="90"/>
      <c r="AQ202" s="146" t="str">
        <f t="shared" si="85"/>
        <v/>
      </c>
      <c r="AR202" s="146" t="str">
        <f t="shared" si="86"/>
        <v/>
      </c>
      <c r="AS202" s="147"/>
      <c r="AT202" s="148"/>
      <c r="AU202" s="149"/>
      <c r="AV202" s="146" t="str">
        <f t="shared" si="87"/>
        <v/>
      </c>
      <c r="AW202" s="146" t="str">
        <f t="shared" si="88"/>
        <v/>
      </c>
      <c r="AX202" s="138" t="str">
        <f t="shared" si="89"/>
        <v/>
      </c>
      <c r="AY202" s="95"/>
      <c r="AZ202" s="96"/>
      <c r="BA202" s="96"/>
      <c r="BB202" s="96"/>
      <c r="BC202" s="96"/>
      <c r="BD202" s="97">
        <v>120.43</v>
      </c>
      <c r="BE202" s="142">
        <f t="shared" si="90"/>
        <v>9347</v>
      </c>
      <c r="BF202" s="98">
        <v>0</v>
      </c>
      <c r="BG202" s="98">
        <v>0</v>
      </c>
      <c r="BH202" s="98">
        <v>2787</v>
      </c>
      <c r="BI202" s="98">
        <v>6560</v>
      </c>
      <c r="BJ202" s="98"/>
      <c r="BK202" s="98"/>
      <c r="BL202" s="98"/>
    </row>
    <row r="203" spans="1:64" outlineLevel="5" x14ac:dyDescent="0.3">
      <c r="A203" s="152">
        <f t="shared" si="76"/>
        <v>6</v>
      </c>
      <c r="B203" s="153">
        <f t="shared" si="75"/>
        <v>45458</v>
      </c>
      <c r="C203" s="138" t="str">
        <f t="shared" si="81"/>
        <v/>
      </c>
      <c r="D203" s="186"/>
      <c r="E203" s="186"/>
      <c r="F203" s="84"/>
      <c r="G203" s="84"/>
      <c r="H203" s="84"/>
      <c r="I203" s="84"/>
      <c r="J203" s="84"/>
      <c r="K203" s="84"/>
      <c r="L203" s="140">
        <f t="shared" si="82"/>
        <v>8</v>
      </c>
      <c r="M203" s="86">
        <v>7.94</v>
      </c>
      <c r="N203" s="86">
        <v>8.0500000000000007</v>
      </c>
      <c r="O203" s="86"/>
      <c r="P203" s="86"/>
      <c r="Q203" s="86"/>
      <c r="R203" s="86"/>
      <c r="S203" s="86"/>
      <c r="T203" s="86"/>
      <c r="U203" s="142">
        <f t="shared" si="83"/>
        <v>632.6</v>
      </c>
      <c r="V203" s="88">
        <v>692</v>
      </c>
      <c r="W203" s="88">
        <v>573.1</v>
      </c>
      <c r="X203" s="88"/>
      <c r="Y203" s="88"/>
      <c r="Z203" s="88"/>
      <c r="AA203" s="88"/>
      <c r="AB203" s="88"/>
      <c r="AC203" s="88"/>
      <c r="AD203" s="142" t="str">
        <f t="shared" si="84"/>
        <v/>
      </c>
      <c r="AE203" s="88"/>
      <c r="AF203" s="88"/>
      <c r="AG203" s="88"/>
      <c r="AH203" s="88"/>
      <c r="AI203" s="88"/>
      <c r="AJ203" s="88"/>
      <c r="AK203" s="88"/>
      <c r="AL203" s="88"/>
      <c r="AM203" s="88">
        <v>36.470406428681805</v>
      </c>
      <c r="AN203" s="88">
        <v>129.42000000000002</v>
      </c>
      <c r="AO203" s="89"/>
      <c r="AP203" s="90"/>
      <c r="AQ203" s="146" t="str">
        <f t="shared" si="85"/>
        <v/>
      </c>
      <c r="AR203" s="146" t="str">
        <f t="shared" si="86"/>
        <v/>
      </c>
      <c r="AS203" s="147"/>
      <c r="AT203" s="148"/>
      <c r="AU203" s="149"/>
      <c r="AV203" s="146" t="str">
        <f t="shared" si="87"/>
        <v/>
      </c>
      <c r="AW203" s="146" t="str">
        <f t="shared" si="88"/>
        <v/>
      </c>
      <c r="AX203" s="138" t="str">
        <f t="shared" si="89"/>
        <v/>
      </c>
      <c r="AY203" s="95"/>
      <c r="AZ203" s="96"/>
      <c r="BA203" s="96"/>
      <c r="BB203" s="96"/>
      <c r="BC203" s="96"/>
      <c r="BD203" s="97">
        <v>129.42000000000002</v>
      </c>
      <c r="BE203" s="142">
        <f t="shared" si="90"/>
        <v>9565</v>
      </c>
      <c r="BF203" s="98">
        <v>966</v>
      </c>
      <c r="BG203" s="98">
        <v>0</v>
      </c>
      <c r="BH203" s="98">
        <v>1939</v>
      </c>
      <c r="BI203" s="98">
        <v>6660</v>
      </c>
      <c r="BJ203" s="98"/>
      <c r="BK203" s="98"/>
      <c r="BL203" s="98"/>
    </row>
    <row r="204" spans="1:64" outlineLevel="5" x14ac:dyDescent="0.3">
      <c r="A204" s="152">
        <f t="shared" si="76"/>
        <v>6</v>
      </c>
      <c r="B204" s="153">
        <f t="shared" si="75"/>
        <v>45459</v>
      </c>
      <c r="C204" s="138" t="str">
        <f t="shared" si="81"/>
        <v/>
      </c>
      <c r="D204" s="186"/>
      <c r="E204" s="186"/>
      <c r="F204" s="84"/>
      <c r="G204" s="84"/>
      <c r="H204" s="84"/>
      <c r="I204" s="84"/>
      <c r="J204" s="84"/>
      <c r="K204" s="84"/>
      <c r="L204" s="140" t="str">
        <f t="shared" si="82"/>
        <v/>
      </c>
      <c r="M204" s="86"/>
      <c r="N204" s="86"/>
      <c r="O204" s="86"/>
      <c r="P204" s="86"/>
      <c r="Q204" s="86"/>
      <c r="R204" s="86"/>
      <c r="S204" s="86"/>
      <c r="T204" s="86"/>
      <c r="U204" s="142" t="str">
        <f t="shared" si="83"/>
        <v/>
      </c>
      <c r="V204" s="88"/>
      <c r="W204" s="88"/>
      <c r="X204" s="88"/>
      <c r="Y204" s="88"/>
      <c r="Z204" s="88"/>
      <c r="AA204" s="88"/>
      <c r="AB204" s="88"/>
      <c r="AC204" s="88"/>
      <c r="AD204" s="142" t="str">
        <f t="shared" si="84"/>
        <v/>
      </c>
      <c r="AE204" s="88"/>
      <c r="AF204" s="88"/>
      <c r="AG204" s="88"/>
      <c r="AH204" s="88"/>
      <c r="AI204" s="88"/>
      <c r="AJ204" s="88"/>
      <c r="AK204" s="88"/>
      <c r="AL204" s="88"/>
      <c r="AM204" s="88">
        <v>42.877906976744185</v>
      </c>
      <c r="AN204" s="88">
        <v>110.08</v>
      </c>
      <c r="AO204" s="89"/>
      <c r="AP204" s="90"/>
      <c r="AQ204" s="146" t="str">
        <f t="shared" si="85"/>
        <v/>
      </c>
      <c r="AR204" s="146" t="str">
        <f t="shared" si="86"/>
        <v/>
      </c>
      <c r="AS204" s="147"/>
      <c r="AT204" s="148"/>
      <c r="AU204" s="149"/>
      <c r="AV204" s="146" t="str">
        <f t="shared" si="87"/>
        <v/>
      </c>
      <c r="AW204" s="146" t="str">
        <f t="shared" si="88"/>
        <v/>
      </c>
      <c r="AX204" s="138" t="str">
        <f t="shared" si="89"/>
        <v/>
      </c>
      <c r="AY204" s="95"/>
      <c r="AZ204" s="96"/>
      <c r="BA204" s="96"/>
      <c r="BB204" s="96"/>
      <c r="BC204" s="96"/>
      <c r="BD204" s="97">
        <v>110.08</v>
      </c>
      <c r="BE204" s="142">
        <f t="shared" si="90"/>
        <v>8777</v>
      </c>
      <c r="BF204" s="98">
        <v>2214</v>
      </c>
      <c r="BG204" s="98">
        <v>0</v>
      </c>
      <c r="BH204" s="98">
        <v>0</v>
      </c>
      <c r="BI204" s="98">
        <v>6563</v>
      </c>
      <c r="BJ204" s="98"/>
      <c r="BK204" s="98"/>
      <c r="BL204" s="98"/>
    </row>
    <row r="205" spans="1:64" outlineLevel="5" x14ac:dyDescent="0.3">
      <c r="A205" s="152">
        <f t="shared" si="76"/>
        <v>6</v>
      </c>
      <c r="B205" s="153">
        <f t="shared" si="75"/>
        <v>45460</v>
      </c>
      <c r="C205" s="138" t="str">
        <f t="shared" si="81"/>
        <v/>
      </c>
      <c r="D205" s="186"/>
      <c r="E205" s="186"/>
      <c r="F205" s="84"/>
      <c r="G205" s="84"/>
      <c r="H205" s="84"/>
      <c r="I205" s="84"/>
      <c r="J205" s="84"/>
      <c r="K205" s="84"/>
      <c r="L205" s="140" t="str">
        <f t="shared" si="82"/>
        <v/>
      </c>
      <c r="M205" s="86"/>
      <c r="N205" s="86"/>
      <c r="O205" s="86"/>
      <c r="P205" s="86"/>
      <c r="Q205" s="86"/>
      <c r="R205" s="86"/>
      <c r="S205" s="86"/>
      <c r="T205" s="86"/>
      <c r="U205" s="142" t="str">
        <f t="shared" si="83"/>
        <v/>
      </c>
      <c r="V205" s="88"/>
      <c r="W205" s="88"/>
      <c r="X205" s="88"/>
      <c r="Y205" s="88"/>
      <c r="Z205" s="88"/>
      <c r="AA205" s="88"/>
      <c r="AB205" s="88"/>
      <c r="AC205" s="88"/>
      <c r="AD205" s="142" t="str">
        <f t="shared" si="84"/>
        <v/>
      </c>
      <c r="AE205" s="88"/>
      <c r="AF205" s="88"/>
      <c r="AG205" s="88"/>
      <c r="AH205" s="88"/>
      <c r="AI205" s="88"/>
      <c r="AJ205" s="88"/>
      <c r="AK205" s="88"/>
      <c r="AL205" s="88"/>
      <c r="AM205" s="88">
        <v>46.256370050960413</v>
      </c>
      <c r="AN205" s="88">
        <v>102.03999999999999</v>
      </c>
      <c r="AO205" s="89"/>
      <c r="AP205" s="90"/>
      <c r="AQ205" s="146" t="str">
        <f t="shared" si="85"/>
        <v/>
      </c>
      <c r="AR205" s="146" t="str">
        <f t="shared" si="86"/>
        <v/>
      </c>
      <c r="AS205" s="147"/>
      <c r="AT205" s="148"/>
      <c r="AU205" s="149"/>
      <c r="AV205" s="146" t="str">
        <f t="shared" si="87"/>
        <v/>
      </c>
      <c r="AW205" s="146" t="str">
        <f t="shared" si="88"/>
        <v/>
      </c>
      <c r="AX205" s="138" t="str">
        <f t="shared" si="89"/>
        <v/>
      </c>
      <c r="AY205" s="95"/>
      <c r="AZ205" s="96">
        <v>62.155000000000001</v>
      </c>
      <c r="BA205" s="96"/>
      <c r="BB205" s="96">
        <v>53</v>
      </c>
      <c r="BC205" s="96"/>
      <c r="BD205" s="97">
        <v>102.03999999999999</v>
      </c>
      <c r="BE205" s="142">
        <f t="shared" si="90"/>
        <v>9138</v>
      </c>
      <c r="BF205" s="98">
        <v>2583</v>
      </c>
      <c r="BG205" s="98">
        <v>0</v>
      </c>
      <c r="BH205" s="98">
        <v>92</v>
      </c>
      <c r="BI205" s="98">
        <v>6463</v>
      </c>
      <c r="BJ205" s="98"/>
      <c r="BK205" s="98"/>
      <c r="BL205" s="98"/>
    </row>
    <row r="206" spans="1:64" outlineLevel="5" x14ac:dyDescent="0.3">
      <c r="A206" s="152">
        <f t="shared" si="76"/>
        <v>6</v>
      </c>
      <c r="B206" s="153">
        <f t="shared" si="75"/>
        <v>45461</v>
      </c>
      <c r="C206" s="138" t="str">
        <f t="shared" si="81"/>
        <v/>
      </c>
      <c r="D206" s="186"/>
      <c r="E206" s="186"/>
      <c r="F206" s="84"/>
      <c r="G206" s="84"/>
      <c r="H206" s="84"/>
      <c r="I206" s="84"/>
      <c r="J206" s="84"/>
      <c r="K206" s="84"/>
      <c r="L206" s="140" t="str">
        <f t="shared" si="82"/>
        <v/>
      </c>
      <c r="M206" s="86"/>
      <c r="N206" s="86"/>
      <c r="O206" s="86"/>
      <c r="P206" s="86"/>
      <c r="Q206" s="86"/>
      <c r="R206" s="86"/>
      <c r="S206" s="86"/>
      <c r="T206" s="86"/>
      <c r="U206" s="142" t="str">
        <f t="shared" si="83"/>
        <v/>
      </c>
      <c r="V206" s="88"/>
      <c r="W206" s="88"/>
      <c r="X206" s="88"/>
      <c r="Y206" s="88"/>
      <c r="Z206" s="88"/>
      <c r="AA206" s="88"/>
      <c r="AB206" s="88"/>
      <c r="AC206" s="88"/>
      <c r="AD206" s="142" t="str">
        <f t="shared" si="84"/>
        <v/>
      </c>
      <c r="AE206" s="88"/>
      <c r="AF206" s="88"/>
      <c r="AG206" s="88"/>
      <c r="AH206" s="88"/>
      <c r="AI206" s="88"/>
      <c r="AJ206" s="88"/>
      <c r="AK206" s="88"/>
      <c r="AL206" s="88"/>
      <c r="AM206" s="88">
        <v>39.972899728997291</v>
      </c>
      <c r="AN206" s="88">
        <v>118.08</v>
      </c>
      <c r="AO206" s="89"/>
      <c r="AP206" s="90"/>
      <c r="AQ206" s="146" t="str">
        <f t="shared" si="85"/>
        <v/>
      </c>
      <c r="AR206" s="146" t="str">
        <f t="shared" si="86"/>
        <v/>
      </c>
      <c r="AS206" s="147"/>
      <c r="AT206" s="148"/>
      <c r="AU206" s="149"/>
      <c r="AV206" s="146" t="str">
        <f t="shared" si="87"/>
        <v/>
      </c>
      <c r="AW206" s="146" t="str">
        <f t="shared" si="88"/>
        <v/>
      </c>
      <c r="AX206" s="138" t="str">
        <f t="shared" si="89"/>
        <v/>
      </c>
      <c r="AY206" s="95"/>
      <c r="AZ206" s="96"/>
      <c r="BA206" s="96"/>
      <c r="BB206" s="96"/>
      <c r="BC206" s="96"/>
      <c r="BD206" s="97">
        <v>118.08</v>
      </c>
      <c r="BE206" s="142">
        <f t="shared" si="90"/>
        <v>7143</v>
      </c>
      <c r="BF206" s="98">
        <v>2160</v>
      </c>
      <c r="BG206" s="98">
        <v>0</v>
      </c>
      <c r="BH206" s="98">
        <v>1288</v>
      </c>
      <c r="BI206" s="98">
        <v>3695</v>
      </c>
      <c r="BJ206" s="98"/>
      <c r="BK206" s="98"/>
      <c r="BL206" s="98"/>
    </row>
    <row r="207" spans="1:64" outlineLevel="5" x14ac:dyDescent="0.3">
      <c r="A207" s="152">
        <f t="shared" si="76"/>
        <v>6</v>
      </c>
      <c r="B207" s="153">
        <f t="shared" si="75"/>
        <v>45462</v>
      </c>
      <c r="C207" s="138" t="str">
        <f t="shared" si="81"/>
        <v/>
      </c>
      <c r="D207" s="186"/>
      <c r="E207" s="186"/>
      <c r="F207" s="84"/>
      <c r="G207" s="84"/>
      <c r="H207" s="84"/>
      <c r="I207" s="84"/>
      <c r="J207" s="84"/>
      <c r="K207" s="84"/>
      <c r="L207" s="140" t="str">
        <f t="shared" si="82"/>
        <v/>
      </c>
      <c r="M207" s="86"/>
      <c r="N207" s="86"/>
      <c r="O207" s="86"/>
      <c r="P207" s="86"/>
      <c r="Q207" s="86"/>
      <c r="R207" s="86"/>
      <c r="S207" s="86"/>
      <c r="T207" s="86"/>
      <c r="U207" s="142" t="str">
        <f t="shared" si="83"/>
        <v/>
      </c>
      <c r="V207" s="88"/>
      <c r="W207" s="88"/>
      <c r="X207" s="88"/>
      <c r="Y207" s="88"/>
      <c r="Z207" s="88"/>
      <c r="AA207" s="88"/>
      <c r="AB207" s="88"/>
      <c r="AC207" s="88"/>
      <c r="AD207" s="142" t="str">
        <f t="shared" si="84"/>
        <v/>
      </c>
      <c r="AE207" s="88"/>
      <c r="AF207" s="88"/>
      <c r="AG207" s="88"/>
      <c r="AH207" s="88"/>
      <c r="AI207" s="88"/>
      <c r="AJ207" s="88"/>
      <c r="AK207" s="88"/>
      <c r="AL207" s="88"/>
      <c r="AM207" s="88">
        <v>35.550199593281619</v>
      </c>
      <c r="AN207" s="88">
        <v>132.76999999999998</v>
      </c>
      <c r="AO207" s="89"/>
      <c r="AP207" s="90"/>
      <c r="AQ207" s="146" t="str">
        <f t="shared" si="85"/>
        <v/>
      </c>
      <c r="AR207" s="146" t="str">
        <f t="shared" si="86"/>
        <v/>
      </c>
      <c r="AS207" s="147"/>
      <c r="AT207" s="148"/>
      <c r="AU207" s="149"/>
      <c r="AV207" s="146" t="str">
        <f t="shared" si="87"/>
        <v/>
      </c>
      <c r="AW207" s="146" t="str">
        <f t="shared" si="88"/>
        <v/>
      </c>
      <c r="AX207" s="138" t="str">
        <f t="shared" si="89"/>
        <v/>
      </c>
      <c r="AY207" s="95"/>
      <c r="AZ207" s="96"/>
      <c r="BA207" s="96"/>
      <c r="BB207" s="96"/>
      <c r="BC207" s="96"/>
      <c r="BD207" s="97">
        <v>132.76999999999998</v>
      </c>
      <c r="BE207" s="142">
        <f t="shared" si="90"/>
        <v>10652</v>
      </c>
      <c r="BF207" s="98">
        <v>2184</v>
      </c>
      <c r="BG207" s="98">
        <v>0</v>
      </c>
      <c r="BH207" s="98">
        <v>1815</v>
      </c>
      <c r="BI207" s="98">
        <v>6653</v>
      </c>
      <c r="BJ207" s="98"/>
      <c r="BK207" s="98"/>
      <c r="BL207" s="98"/>
    </row>
    <row r="208" spans="1:64" outlineLevel="5" x14ac:dyDescent="0.3">
      <c r="A208" s="152">
        <f t="shared" si="76"/>
        <v>6</v>
      </c>
      <c r="B208" s="153">
        <f t="shared" si="75"/>
        <v>45463</v>
      </c>
      <c r="C208" s="138" t="str">
        <f t="shared" si="81"/>
        <v/>
      </c>
      <c r="D208" s="186"/>
      <c r="E208" s="186"/>
      <c r="F208" s="84"/>
      <c r="G208" s="84"/>
      <c r="H208" s="84"/>
      <c r="I208" s="84"/>
      <c r="J208" s="84"/>
      <c r="K208" s="84"/>
      <c r="L208" s="140" t="str">
        <f t="shared" si="82"/>
        <v/>
      </c>
      <c r="M208" s="86"/>
      <c r="N208" s="86"/>
      <c r="O208" s="86"/>
      <c r="P208" s="86"/>
      <c r="Q208" s="86"/>
      <c r="R208" s="86"/>
      <c r="S208" s="86"/>
      <c r="T208" s="86"/>
      <c r="U208" s="142" t="str">
        <f t="shared" si="83"/>
        <v/>
      </c>
      <c r="V208" s="88"/>
      <c r="W208" s="88"/>
      <c r="X208" s="88"/>
      <c r="Y208" s="88"/>
      <c r="Z208" s="88"/>
      <c r="AA208" s="88"/>
      <c r="AB208" s="88"/>
      <c r="AC208" s="88"/>
      <c r="AD208" s="142" t="str">
        <f t="shared" si="84"/>
        <v/>
      </c>
      <c r="AE208" s="88"/>
      <c r="AF208" s="88"/>
      <c r="AG208" s="88"/>
      <c r="AH208" s="88"/>
      <c r="AI208" s="88"/>
      <c r="AJ208" s="88"/>
      <c r="AK208" s="88"/>
      <c r="AL208" s="88"/>
      <c r="AM208" s="88">
        <v>40.851653107149041</v>
      </c>
      <c r="AN208" s="88">
        <v>115.53999999999999</v>
      </c>
      <c r="AO208" s="89"/>
      <c r="AP208" s="90"/>
      <c r="AQ208" s="146" t="str">
        <f t="shared" si="85"/>
        <v/>
      </c>
      <c r="AR208" s="146" t="str">
        <f t="shared" si="86"/>
        <v/>
      </c>
      <c r="AS208" s="147"/>
      <c r="AT208" s="148"/>
      <c r="AU208" s="149"/>
      <c r="AV208" s="146" t="str">
        <f t="shared" si="87"/>
        <v/>
      </c>
      <c r="AW208" s="146" t="str">
        <f t="shared" si="88"/>
        <v/>
      </c>
      <c r="AX208" s="138" t="str">
        <f t="shared" si="89"/>
        <v/>
      </c>
      <c r="AY208" s="95"/>
      <c r="AZ208" s="96"/>
      <c r="BA208" s="96"/>
      <c r="BB208" s="96"/>
      <c r="BC208" s="96"/>
      <c r="BD208" s="97">
        <v>115.53999999999999</v>
      </c>
      <c r="BE208" s="142">
        <f t="shared" si="90"/>
        <v>10422</v>
      </c>
      <c r="BF208" s="98">
        <v>2241</v>
      </c>
      <c r="BG208" s="98">
        <v>0</v>
      </c>
      <c r="BH208" s="98">
        <v>1578</v>
      </c>
      <c r="BI208" s="98">
        <v>6603</v>
      </c>
      <c r="BJ208" s="98"/>
      <c r="BK208" s="98"/>
      <c r="BL208" s="98"/>
    </row>
    <row r="209" spans="1:64" outlineLevel="5" x14ac:dyDescent="0.3">
      <c r="A209" s="152">
        <f t="shared" si="76"/>
        <v>6</v>
      </c>
      <c r="B209" s="153">
        <f t="shared" si="75"/>
        <v>45464</v>
      </c>
      <c r="C209" s="138" t="str">
        <f t="shared" si="81"/>
        <v/>
      </c>
      <c r="D209" s="186"/>
      <c r="E209" s="186"/>
      <c r="F209" s="84"/>
      <c r="G209" s="84"/>
      <c r="H209" s="84"/>
      <c r="I209" s="84"/>
      <c r="J209" s="84"/>
      <c r="K209" s="84"/>
      <c r="L209" s="140" t="str">
        <f t="shared" si="82"/>
        <v/>
      </c>
      <c r="M209" s="86"/>
      <c r="N209" s="86"/>
      <c r="O209" s="86"/>
      <c r="P209" s="86"/>
      <c r="Q209" s="86"/>
      <c r="R209" s="86"/>
      <c r="S209" s="86"/>
      <c r="T209" s="86"/>
      <c r="U209" s="142" t="str">
        <f t="shared" si="83"/>
        <v/>
      </c>
      <c r="V209" s="88"/>
      <c r="W209" s="88"/>
      <c r="X209" s="88"/>
      <c r="Y209" s="88"/>
      <c r="Z209" s="88"/>
      <c r="AA209" s="88"/>
      <c r="AB209" s="88"/>
      <c r="AC209" s="88"/>
      <c r="AD209" s="142" t="str">
        <f t="shared" si="84"/>
        <v/>
      </c>
      <c r="AE209" s="88"/>
      <c r="AF209" s="88"/>
      <c r="AG209" s="88"/>
      <c r="AH209" s="88"/>
      <c r="AI209" s="88"/>
      <c r="AJ209" s="88"/>
      <c r="AK209" s="88"/>
      <c r="AL209" s="88"/>
      <c r="AM209" s="88">
        <v>41.866240908284553</v>
      </c>
      <c r="AN209" s="88">
        <v>112.74</v>
      </c>
      <c r="AO209" s="89"/>
      <c r="AP209" s="90"/>
      <c r="AQ209" s="146" t="str">
        <f t="shared" si="85"/>
        <v/>
      </c>
      <c r="AR209" s="146" t="str">
        <f t="shared" si="86"/>
        <v/>
      </c>
      <c r="AS209" s="147"/>
      <c r="AT209" s="148"/>
      <c r="AU209" s="149"/>
      <c r="AV209" s="146" t="str">
        <f t="shared" si="87"/>
        <v/>
      </c>
      <c r="AW209" s="146" t="str">
        <f t="shared" si="88"/>
        <v/>
      </c>
      <c r="AX209" s="138" t="str">
        <f t="shared" si="89"/>
        <v/>
      </c>
      <c r="AY209" s="95"/>
      <c r="AZ209" s="96"/>
      <c r="BA209" s="96"/>
      <c r="BB209" s="96"/>
      <c r="BC209" s="96"/>
      <c r="BD209" s="97">
        <v>112.74</v>
      </c>
      <c r="BE209" s="142">
        <f t="shared" si="90"/>
        <v>12774</v>
      </c>
      <c r="BF209" s="98">
        <v>2214</v>
      </c>
      <c r="BG209" s="98">
        <v>0</v>
      </c>
      <c r="BH209" s="98">
        <v>3858</v>
      </c>
      <c r="BI209" s="98">
        <v>6702</v>
      </c>
      <c r="BJ209" s="98"/>
      <c r="BK209" s="98"/>
      <c r="BL209" s="98"/>
    </row>
    <row r="210" spans="1:64" outlineLevel="5" x14ac:dyDescent="0.3">
      <c r="A210" s="152">
        <f t="shared" si="76"/>
        <v>6</v>
      </c>
      <c r="B210" s="153">
        <f t="shared" si="75"/>
        <v>45465</v>
      </c>
      <c r="C210" s="138" t="str">
        <f t="shared" si="81"/>
        <v/>
      </c>
      <c r="D210" s="186"/>
      <c r="E210" s="186"/>
      <c r="F210" s="84"/>
      <c r="G210" s="84"/>
      <c r="H210" s="84"/>
      <c r="I210" s="84"/>
      <c r="J210" s="84"/>
      <c r="K210" s="84"/>
      <c r="L210" s="140" t="str">
        <f t="shared" si="82"/>
        <v/>
      </c>
      <c r="M210" s="86"/>
      <c r="N210" s="86"/>
      <c r="O210" s="86"/>
      <c r="P210" s="86"/>
      <c r="Q210" s="86"/>
      <c r="R210" s="86"/>
      <c r="S210" s="86"/>
      <c r="T210" s="86"/>
      <c r="U210" s="142" t="str">
        <f t="shared" si="83"/>
        <v/>
      </c>
      <c r="V210" s="88"/>
      <c r="W210" s="88"/>
      <c r="X210" s="88"/>
      <c r="Y210" s="88"/>
      <c r="Z210" s="88"/>
      <c r="AA210" s="88"/>
      <c r="AB210" s="88"/>
      <c r="AC210" s="88"/>
      <c r="AD210" s="142" t="str">
        <f t="shared" si="84"/>
        <v/>
      </c>
      <c r="AE210" s="88"/>
      <c r="AF210" s="88"/>
      <c r="AG210" s="88"/>
      <c r="AH210" s="88"/>
      <c r="AI210" s="88"/>
      <c r="AJ210" s="88"/>
      <c r="AK210" s="88"/>
      <c r="AL210" s="88"/>
      <c r="AM210" s="88">
        <v>51.777095217200525</v>
      </c>
      <c r="AN210" s="88">
        <v>91.16</v>
      </c>
      <c r="AO210" s="89"/>
      <c r="AP210" s="90"/>
      <c r="AQ210" s="146" t="str">
        <f t="shared" si="85"/>
        <v/>
      </c>
      <c r="AR210" s="146" t="str">
        <f t="shared" si="86"/>
        <v/>
      </c>
      <c r="AS210" s="147"/>
      <c r="AT210" s="148"/>
      <c r="AU210" s="149"/>
      <c r="AV210" s="146" t="str">
        <f t="shared" si="87"/>
        <v/>
      </c>
      <c r="AW210" s="146" t="str">
        <f t="shared" si="88"/>
        <v/>
      </c>
      <c r="AX210" s="138" t="str">
        <f t="shared" si="89"/>
        <v/>
      </c>
      <c r="AY210" s="95"/>
      <c r="AZ210" s="96"/>
      <c r="BA210" s="96"/>
      <c r="BB210" s="96"/>
      <c r="BC210" s="96"/>
      <c r="BD210" s="97">
        <v>91.16</v>
      </c>
      <c r="BE210" s="142">
        <f t="shared" si="90"/>
        <v>7685</v>
      </c>
      <c r="BF210" s="98">
        <v>1592</v>
      </c>
      <c r="BG210" s="98">
        <v>0</v>
      </c>
      <c r="BH210" s="98">
        <v>0</v>
      </c>
      <c r="BI210" s="98">
        <v>6093</v>
      </c>
      <c r="BJ210" s="98"/>
      <c r="BK210" s="98"/>
      <c r="BL210" s="98"/>
    </row>
    <row r="211" spans="1:64" outlineLevel="5" x14ac:dyDescent="0.3">
      <c r="A211" s="152">
        <f t="shared" si="76"/>
        <v>6</v>
      </c>
      <c r="B211" s="153">
        <f t="shared" si="75"/>
        <v>45466</v>
      </c>
      <c r="C211" s="138" t="str">
        <f t="shared" si="81"/>
        <v/>
      </c>
      <c r="D211" s="186"/>
      <c r="E211" s="186"/>
      <c r="F211" s="84"/>
      <c r="G211" s="84"/>
      <c r="H211" s="84"/>
      <c r="I211" s="84"/>
      <c r="J211" s="84"/>
      <c r="K211" s="84"/>
      <c r="L211" s="140" t="str">
        <f t="shared" si="82"/>
        <v/>
      </c>
      <c r="M211" s="86"/>
      <c r="N211" s="86"/>
      <c r="O211" s="86"/>
      <c r="P211" s="86"/>
      <c r="Q211" s="86"/>
      <c r="R211" s="86"/>
      <c r="S211" s="86"/>
      <c r="T211" s="86"/>
      <c r="U211" s="142" t="str">
        <f t="shared" si="83"/>
        <v/>
      </c>
      <c r="V211" s="88"/>
      <c r="W211" s="88"/>
      <c r="X211" s="88"/>
      <c r="Y211" s="88"/>
      <c r="Z211" s="88"/>
      <c r="AA211" s="88"/>
      <c r="AB211" s="88"/>
      <c r="AC211" s="88"/>
      <c r="AD211" s="142" t="str">
        <f t="shared" si="84"/>
        <v/>
      </c>
      <c r="AE211" s="88"/>
      <c r="AF211" s="88"/>
      <c r="AG211" s="88"/>
      <c r="AH211" s="88"/>
      <c r="AI211" s="88"/>
      <c r="AJ211" s="88"/>
      <c r="AK211" s="88"/>
      <c r="AL211" s="88"/>
      <c r="AM211" s="88">
        <v>39.333333333333336</v>
      </c>
      <c r="AN211" s="88">
        <v>120</v>
      </c>
      <c r="AO211" s="89"/>
      <c r="AP211" s="90"/>
      <c r="AQ211" s="146" t="str">
        <f t="shared" si="85"/>
        <v/>
      </c>
      <c r="AR211" s="146" t="str">
        <f t="shared" si="86"/>
        <v/>
      </c>
      <c r="AS211" s="147"/>
      <c r="AT211" s="148"/>
      <c r="AU211" s="149"/>
      <c r="AV211" s="146" t="str">
        <f t="shared" si="87"/>
        <v/>
      </c>
      <c r="AW211" s="146" t="str">
        <f t="shared" si="88"/>
        <v/>
      </c>
      <c r="AX211" s="138" t="str">
        <f t="shared" si="89"/>
        <v/>
      </c>
      <c r="AY211" s="95"/>
      <c r="AZ211" s="96"/>
      <c r="BA211" s="96"/>
      <c r="BB211" s="96"/>
      <c r="BC211" s="96"/>
      <c r="BD211" s="97">
        <v>120</v>
      </c>
      <c r="BE211" s="142">
        <f t="shared" si="90"/>
        <v>6404</v>
      </c>
      <c r="BF211" s="98">
        <v>0</v>
      </c>
      <c r="BG211" s="98">
        <v>0</v>
      </c>
      <c r="BH211" s="98">
        <v>0</v>
      </c>
      <c r="BI211" s="98">
        <v>6404</v>
      </c>
      <c r="BJ211" s="98"/>
      <c r="BK211" s="98"/>
      <c r="BL211" s="98"/>
    </row>
    <row r="212" spans="1:64" outlineLevel="5" x14ac:dyDescent="0.3">
      <c r="A212" s="152">
        <f t="shared" si="76"/>
        <v>6</v>
      </c>
      <c r="B212" s="153">
        <f t="shared" si="75"/>
        <v>45467</v>
      </c>
      <c r="C212" s="138" t="str">
        <f t="shared" si="81"/>
        <v/>
      </c>
      <c r="D212" s="186"/>
      <c r="E212" s="186"/>
      <c r="F212" s="84"/>
      <c r="G212" s="84"/>
      <c r="H212" s="84"/>
      <c r="I212" s="84"/>
      <c r="J212" s="84"/>
      <c r="K212" s="84"/>
      <c r="L212" s="140" t="str">
        <f t="shared" si="82"/>
        <v/>
      </c>
      <c r="M212" s="86"/>
      <c r="N212" s="86"/>
      <c r="O212" s="86"/>
      <c r="P212" s="86"/>
      <c r="Q212" s="86"/>
      <c r="R212" s="86"/>
      <c r="S212" s="86"/>
      <c r="T212" s="86"/>
      <c r="U212" s="142" t="str">
        <f t="shared" si="83"/>
        <v/>
      </c>
      <c r="V212" s="88"/>
      <c r="W212" s="88"/>
      <c r="X212" s="88"/>
      <c r="Y212" s="88"/>
      <c r="Z212" s="88"/>
      <c r="AA212" s="88"/>
      <c r="AB212" s="88"/>
      <c r="AC212" s="88"/>
      <c r="AD212" s="142" t="str">
        <f t="shared" si="84"/>
        <v/>
      </c>
      <c r="AE212" s="88"/>
      <c r="AF212" s="88"/>
      <c r="AG212" s="88"/>
      <c r="AH212" s="88"/>
      <c r="AI212" s="88"/>
      <c r="AJ212" s="88"/>
      <c r="AK212" s="88"/>
      <c r="AL212" s="88"/>
      <c r="AM212" s="88">
        <v>47.982108366371861</v>
      </c>
      <c r="AN212" s="88">
        <v>98.37</v>
      </c>
      <c r="AO212" s="89"/>
      <c r="AP212" s="90"/>
      <c r="AQ212" s="146" t="str">
        <f t="shared" si="85"/>
        <v/>
      </c>
      <c r="AR212" s="146" t="str">
        <f t="shared" si="86"/>
        <v/>
      </c>
      <c r="AS212" s="147"/>
      <c r="AT212" s="148"/>
      <c r="AU212" s="149"/>
      <c r="AV212" s="146" t="str">
        <f t="shared" si="87"/>
        <v/>
      </c>
      <c r="AW212" s="146" t="str">
        <f t="shared" si="88"/>
        <v/>
      </c>
      <c r="AX212" s="138" t="str">
        <f t="shared" si="89"/>
        <v/>
      </c>
      <c r="AY212" s="95"/>
      <c r="AZ212" s="96"/>
      <c r="BA212" s="96"/>
      <c r="BB212" s="96"/>
      <c r="BC212" s="96"/>
      <c r="BD212" s="97">
        <v>98.37</v>
      </c>
      <c r="BE212" s="142">
        <f t="shared" si="90"/>
        <v>7669</v>
      </c>
      <c r="BF212" s="98">
        <v>0</v>
      </c>
      <c r="BG212" s="98">
        <v>0</v>
      </c>
      <c r="BH212" s="98">
        <v>1010</v>
      </c>
      <c r="BI212" s="98">
        <v>6659</v>
      </c>
      <c r="BJ212" s="98"/>
      <c r="BK212" s="98"/>
      <c r="BL212" s="98"/>
    </row>
    <row r="213" spans="1:64" outlineLevel="5" x14ac:dyDescent="0.3">
      <c r="A213" s="152">
        <f t="shared" si="76"/>
        <v>6</v>
      </c>
      <c r="B213" s="153">
        <f t="shared" si="75"/>
        <v>45468</v>
      </c>
      <c r="C213" s="138" t="str">
        <f t="shared" si="81"/>
        <v/>
      </c>
      <c r="D213" s="186"/>
      <c r="E213" s="186"/>
      <c r="F213" s="84"/>
      <c r="G213" s="84"/>
      <c r="H213" s="84"/>
      <c r="I213" s="84"/>
      <c r="J213" s="84"/>
      <c r="K213" s="84"/>
      <c r="L213" s="140" t="str">
        <f t="shared" si="82"/>
        <v/>
      </c>
      <c r="M213" s="86"/>
      <c r="N213" s="86"/>
      <c r="O213" s="86"/>
      <c r="P213" s="86"/>
      <c r="Q213" s="86"/>
      <c r="R213" s="86"/>
      <c r="S213" s="86"/>
      <c r="T213" s="86"/>
      <c r="U213" s="142" t="str">
        <f t="shared" si="83"/>
        <v/>
      </c>
      <c r="V213" s="88"/>
      <c r="W213" s="88"/>
      <c r="X213" s="88"/>
      <c r="Y213" s="88"/>
      <c r="Z213" s="88"/>
      <c r="AA213" s="88"/>
      <c r="AB213" s="88"/>
      <c r="AC213" s="88"/>
      <c r="AD213" s="142" t="str">
        <f t="shared" si="84"/>
        <v/>
      </c>
      <c r="AE213" s="88"/>
      <c r="AF213" s="88"/>
      <c r="AG213" s="88"/>
      <c r="AH213" s="88"/>
      <c r="AI213" s="88"/>
      <c r="AJ213" s="88"/>
      <c r="AK213" s="88"/>
      <c r="AL213" s="88"/>
      <c r="AM213" s="88">
        <v>42.358431302162792</v>
      </c>
      <c r="AN213" s="88">
        <v>111.43</v>
      </c>
      <c r="AO213" s="89"/>
      <c r="AP213" s="90"/>
      <c r="AQ213" s="146" t="str">
        <f t="shared" si="85"/>
        <v/>
      </c>
      <c r="AR213" s="146" t="str">
        <f t="shared" si="86"/>
        <v/>
      </c>
      <c r="AS213" s="147"/>
      <c r="AT213" s="148"/>
      <c r="AU213" s="149"/>
      <c r="AV213" s="146" t="str">
        <f t="shared" si="87"/>
        <v/>
      </c>
      <c r="AW213" s="146" t="str">
        <f t="shared" si="88"/>
        <v/>
      </c>
      <c r="AX213" s="138" t="str">
        <f t="shared" si="89"/>
        <v/>
      </c>
      <c r="AY213" s="95"/>
      <c r="AZ213" s="96">
        <v>60.635000000000005</v>
      </c>
      <c r="BA213" s="96"/>
      <c r="BB213" s="96">
        <v>71</v>
      </c>
      <c r="BC213" s="96"/>
      <c r="BD213" s="97">
        <v>111.43</v>
      </c>
      <c r="BE213" s="142">
        <f t="shared" si="90"/>
        <v>9405</v>
      </c>
      <c r="BF213" s="98">
        <v>0</v>
      </c>
      <c r="BG213" s="98">
        <v>0</v>
      </c>
      <c r="BH213" s="98">
        <v>2820</v>
      </c>
      <c r="BI213" s="98">
        <v>6585</v>
      </c>
      <c r="BJ213" s="98"/>
      <c r="BK213" s="98"/>
      <c r="BL213" s="98"/>
    </row>
    <row r="214" spans="1:64" outlineLevel="5" x14ac:dyDescent="0.3">
      <c r="A214" s="152">
        <f t="shared" si="76"/>
        <v>6</v>
      </c>
      <c r="B214" s="153">
        <f t="shared" si="75"/>
        <v>45469</v>
      </c>
      <c r="C214" s="138" t="str">
        <f t="shared" si="81"/>
        <v/>
      </c>
      <c r="D214" s="186"/>
      <c r="E214" s="186"/>
      <c r="F214" s="84"/>
      <c r="G214" s="84"/>
      <c r="H214" s="84"/>
      <c r="I214" s="84"/>
      <c r="J214" s="84"/>
      <c r="K214" s="84"/>
      <c r="L214" s="140" t="str">
        <f t="shared" si="82"/>
        <v/>
      </c>
      <c r="M214" s="86"/>
      <c r="N214" s="86"/>
      <c r="O214" s="86"/>
      <c r="P214" s="86"/>
      <c r="Q214" s="86"/>
      <c r="R214" s="86"/>
      <c r="S214" s="86"/>
      <c r="T214" s="86"/>
      <c r="U214" s="142" t="str">
        <f t="shared" si="83"/>
        <v/>
      </c>
      <c r="V214" s="88"/>
      <c r="W214" s="88"/>
      <c r="X214" s="88"/>
      <c r="Y214" s="88"/>
      <c r="Z214" s="88"/>
      <c r="AA214" s="88"/>
      <c r="AB214" s="88"/>
      <c r="AC214" s="88"/>
      <c r="AD214" s="142" t="str">
        <f t="shared" si="84"/>
        <v/>
      </c>
      <c r="AE214" s="88"/>
      <c r="AF214" s="88"/>
      <c r="AG214" s="88"/>
      <c r="AH214" s="88"/>
      <c r="AI214" s="88"/>
      <c r="AJ214" s="88"/>
      <c r="AK214" s="88"/>
      <c r="AL214" s="88"/>
      <c r="AM214" s="88">
        <v>35.609204073934364</v>
      </c>
      <c r="AN214" s="88">
        <v>132.55000000000001</v>
      </c>
      <c r="AO214" s="89"/>
      <c r="AP214" s="90"/>
      <c r="AQ214" s="146" t="str">
        <f t="shared" si="85"/>
        <v/>
      </c>
      <c r="AR214" s="146" t="str">
        <f t="shared" si="86"/>
        <v/>
      </c>
      <c r="AS214" s="147"/>
      <c r="AT214" s="148"/>
      <c r="AU214" s="149"/>
      <c r="AV214" s="146" t="str">
        <f t="shared" si="87"/>
        <v/>
      </c>
      <c r="AW214" s="146" t="str">
        <f t="shared" si="88"/>
        <v/>
      </c>
      <c r="AX214" s="138" t="str">
        <f t="shared" si="89"/>
        <v/>
      </c>
      <c r="AY214" s="95"/>
      <c r="AZ214" s="96"/>
      <c r="BA214" s="96"/>
      <c r="BB214" s="96"/>
      <c r="BC214" s="96"/>
      <c r="BD214" s="97">
        <v>132.55000000000001</v>
      </c>
      <c r="BE214" s="142">
        <f t="shared" si="90"/>
        <v>10262</v>
      </c>
      <c r="BF214" s="98">
        <v>0</v>
      </c>
      <c r="BG214" s="98">
        <v>0</v>
      </c>
      <c r="BH214" s="98">
        <v>3753</v>
      </c>
      <c r="BI214" s="98">
        <v>6509</v>
      </c>
      <c r="BJ214" s="98"/>
      <c r="BK214" s="98"/>
      <c r="BL214" s="98"/>
    </row>
    <row r="215" spans="1:64" outlineLevel="5" x14ac:dyDescent="0.3">
      <c r="A215" s="152">
        <f t="shared" si="76"/>
        <v>6</v>
      </c>
      <c r="B215" s="153">
        <f t="shared" si="75"/>
        <v>45470</v>
      </c>
      <c r="C215" s="138" t="str">
        <f t="shared" si="81"/>
        <v/>
      </c>
      <c r="D215" s="186"/>
      <c r="E215" s="186"/>
      <c r="F215" s="84"/>
      <c r="G215" s="84"/>
      <c r="H215" s="84"/>
      <c r="I215" s="84"/>
      <c r="J215" s="84"/>
      <c r="K215" s="84"/>
      <c r="L215" s="140" t="str">
        <f t="shared" si="82"/>
        <v/>
      </c>
      <c r="M215" s="86"/>
      <c r="N215" s="86"/>
      <c r="O215" s="86"/>
      <c r="P215" s="86"/>
      <c r="Q215" s="86"/>
      <c r="R215" s="86"/>
      <c r="S215" s="86"/>
      <c r="T215" s="86"/>
      <c r="U215" s="142" t="str">
        <f t="shared" si="83"/>
        <v/>
      </c>
      <c r="V215" s="88"/>
      <c r="W215" s="88"/>
      <c r="X215" s="88"/>
      <c r="Y215" s="88"/>
      <c r="Z215" s="88"/>
      <c r="AA215" s="88"/>
      <c r="AB215" s="88"/>
      <c r="AC215" s="88"/>
      <c r="AD215" s="142" t="str">
        <f t="shared" si="84"/>
        <v/>
      </c>
      <c r="AE215" s="88"/>
      <c r="AF215" s="88"/>
      <c r="AG215" s="88"/>
      <c r="AH215" s="88"/>
      <c r="AI215" s="88"/>
      <c r="AJ215" s="88"/>
      <c r="AK215" s="88"/>
      <c r="AL215" s="88"/>
      <c r="AM215" s="88">
        <v>36.93270735524257</v>
      </c>
      <c r="AN215" s="88">
        <v>127.8</v>
      </c>
      <c r="AO215" s="89"/>
      <c r="AP215" s="90"/>
      <c r="AQ215" s="146" t="str">
        <f t="shared" si="85"/>
        <v/>
      </c>
      <c r="AR215" s="146" t="str">
        <f t="shared" si="86"/>
        <v/>
      </c>
      <c r="AS215" s="147"/>
      <c r="AT215" s="148"/>
      <c r="AU215" s="149"/>
      <c r="AV215" s="146" t="str">
        <f t="shared" si="87"/>
        <v/>
      </c>
      <c r="AW215" s="146" t="str">
        <f t="shared" si="88"/>
        <v/>
      </c>
      <c r="AX215" s="138" t="str">
        <f t="shared" si="89"/>
        <v/>
      </c>
      <c r="AY215" s="95"/>
      <c r="AZ215" s="96"/>
      <c r="BA215" s="96"/>
      <c r="BB215" s="96"/>
      <c r="BC215" s="96"/>
      <c r="BD215" s="97">
        <v>127.8</v>
      </c>
      <c r="BE215" s="142">
        <f t="shared" si="90"/>
        <v>9839</v>
      </c>
      <c r="BF215" s="98">
        <v>98</v>
      </c>
      <c r="BG215" s="98">
        <v>0</v>
      </c>
      <c r="BH215" s="98">
        <v>3203</v>
      </c>
      <c r="BI215" s="98">
        <v>6538</v>
      </c>
      <c r="BJ215" s="98"/>
      <c r="BK215" s="98"/>
      <c r="BL215" s="98"/>
    </row>
    <row r="216" spans="1:64" outlineLevel="5" x14ac:dyDescent="0.3">
      <c r="A216" s="152">
        <f t="shared" si="76"/>
        <v>6</v>
      </c>
      <c r="B216" s="153">
        <f t="shared" si="75"/>
        <v>45471</v>
      </c>
      <c r="C216" s="138" t="str">
        <f t="shared" si="81"/>
        <v/>
      </c>
      <c r="D216" s="186"/>
      <c r="E216" s="186"/>
      <c r="F216" s="84"/>
      <c r="G216" s="84"/>
      <c r="H216" s="84"/>
      <c r="I216" s="84"/>
      <c r="J216" s="84"/>
      <c r="K216" s="84"/>
      <c r="L216" s="140" t="str">
        <f t="shared" si="82"/>
        <v/>
      </c>
      <c r="M216" s="86"/>
      <c r="N216" s="86"/>
      <c r="O216" s="86"/>
      <c r="P216" s="86"/>
      <c r="Q216" s="86"/>
      <c r="R216" s="86"/>
      <c r="S216" s="86"/>
      <c r="T216" s="86"/>
      <c r="U216" s="142" t="str">
        <f t="shared" si="83"/>
        <v/>
      </c>
      <c r="V216" s="88"/>
      <c r="W216" s="88"/>
      <c r="X216" s="88"/>
      <c r="Y216" s="88"/>
      <c r="Z216" s="88"/>
      <c r="AA216" s="88"/>
      <c r="AB216" s="88"/>
      <c r="AC216" s="88"/>
      <c r="AD216" s="142" t="str">
        <f t="shared" si="84"/>
        <v/>
      </c>
      <c r="AE216" s="88"/>
      <c r="AF216" s="88"/>
      <c r="AG216" s="88"/>
      <c r="AH216" s="88"/>
      <c r="AI216" s="88"/>
      <c r="AJ216" s="88"/>
      <c r="AK216" s="88"/>
      <c r="AL216" s="88"/>
      <c r="AM216" s="88">
        <v>45.323602842327638</v>
      </c>
      <c r="AN216" s="88">
        <v>104.14</v>
      </c>
      <c r="AO216" s="89"/>
      <c r="AP216" s="90"/>
      <c r="AQ216" s="146" t="str">
        <f t="shared" si="85"/>
        <v/>
      </c>
      <c r="AR216" s="146" t="str">
        <f t="shared" si="86"/>
        <v/>
      </c>
      <c r="AS216" s="147"/>
      <c r="AT216" s="148"/>
      <c r="AU216" s="149"/>
      <c r="AV216" s="146" t="str">
        <f t="shared" si="87"/>
        <v/>
      </c>
      <c r="AW216" s="146" t="str">
        <f t="shared" si="88"/>
        <v/>
      </c>
      <c r="AX216" s="138" t="str">
        <f t="shared" si="89"/>
        <v/>
      </c>
      <c r="AY216" s="95"/>
      <c r="AZ216" s="96"/>
      <c r="BA216" s="96"/>
      <c r="BB216" s="96"/>
      <c r="BC216" s="96"/>
      <c r="BD216" s="97">
        <v>104.14</v>
      </c>
      <c r="BE216" s="142">
        <f t="shared" si="90"/>
        <v>9774</v>
      </c>
      <c r="BF216" s="98">
        <v>3122</v>
      </c>
      <c r="BG216" s="98">
        <v>0</v>
      </c>
      <c r="BH216" s="98">
        <v>37</v>
      </c>
      <c r="BI216" s="98">
        <v>6615</v>
      </c>
      <c r="BJ216" s="98"/>
      <c r="BK216" s="98"/>
      <c r="BL216" s="98"/>
    </row>
    <row r="217" spans="1:64" outlineLevel="5" x14ac:dyDescent="0.3">
      <c r="A217" s="152">
        <f t="shared" si="76"/>
        <v>6</v>
      </c>
      <c r="B217" s="153">
        <f t="shared" si="75"/>
        <v>45472</v>
      </c>
      <c r="C217" s="138" t="str">
        <f t="shared" si="81"/>
        <v/>
      </c>
      <c r="D217" s="186"/>
      <c r="E217" s="186"/>
      <c r="F217" s="84"/>
      <c r="G217" s="84"/>
      <c r="H217" s="84"/>
      <c r="I217" s="84"/>
      <c r="J217" s="84"/>
      <c r="K217" s="84"/>
      <c r="L217" s="140" t="str">
        <f t="shared" si="82"/>
        <v/>
      </c>
      <c r="M217" s="86"/>
      <c r="N217" s="86"/>
      <c r="O217" s="86"/>
      <c r="P217" s="86"/>
      <c r="Q217" s="86"/>
      <c r="R217" s="86"/>
      <c r="S217" s="86"/>
      <c r="T217" s="86"/>
      <c r="U217" s="142" t="str">
        <f t="shared" si="83"/>
        <v/>
      </c>
      <c r="V217" s="88"/>
      <c r="W217" s="88"/>
      <c r="X217" s="88"/>
      <c r="Y217" s="88"/>
      <c r="Z217" s="88"/>
      <c r="AA217" s="88"/>
      <c r="AB217" s="88"/>
      <c r="AC217" s="88"/>
      <c r="AD217" s="142" t="str">
        <f t="shared" si="84"/>
        <v/>
      </c>
      <c r="AE217" s="88"/>
      <c r="AF217" s="88"/>
      <c r="AG217" s="88"/>
      <c r="AH217" s="88"/>
      <c r="AI217" s="88"/>
      <c r="AJ217" s="88"/>
      <c r="AK217" s="88"/>
      <c r="AL217" s="88"/>
      <c r="AM217" s="88">
        <v>41.903409090909093</v>
      </c>
      <c r="AN217" s="88">
        <v>112.64</v>
      </c>
      <c r="AO217" s="89"/>
      <c r="AP217" s="90"/>
      <c r="AQ217" s="146" t="str">
        <f t="shared" si="85"/>
        <v/>
      </c>
      <c r="AR217" s="146" t="str">
        <f t="shared" si="86"/>
        <v/>
      </c>
      <c r="AS217" s="147"/>
      <c r="AT217" s="148"/>
      <c r="AU217" s="149"/>
      <c r="AV217" s="146" t="str">
        <f t="shared" si="87"/>
        <v/>
      </c>
      <c r="AW217" s="146" t="str">
        <f t="shared" si="88"/>
        <v/>
      </c>
      <c r="AX217" s="138" t="str">
        <f t="shared" si="89"/>
        <v/>
      </c>
      <c r="AY217" s="95"/>
      <c r="AZ217" s="96"/>
      <c r="BA217" s="96"/>
      <c r="BB217" s="96"/>
      <c r="BC217" s="96"/>
      <c r="BD217" s="97">
        <v>112.64</v>
      </c>
      <c r="BE217" s="142">
        <f t="shared" si="90"/>
        <v>9112</v>
      </c>
      <c r="BF217" s="98">
        <v>2550</v>
      </c>
      <c r="BG217" s="98">
        <v>0</v>
      </c>
      <c r="BH217" s="98">
        <v>0</v>
      </c>
      <c r="BI217" s="98">
        <v>6562</v>
      </c>
      <c r="BJ217" s="98"/>
      <c r="BK217" s="98"/>
      <c r="BL217" s="98"/>
    </row>
    <row r="218" spans="1:64" ht="17.25" outlineLevel="5" thickBot="1" x14ac:dyDescent="0.35">
      <c r="A218" s="154">
        <f t="shared" si="76"/>
        <v>6</v>
      </c>
      <c r="B218" s="155">
        <f t="shared" si="75"/>
        <v>45473</v>
      </c>
      <c r="C218" s="138" t="str">
        <f t="shared" si="81"/>
        <v/>
      </c>
      <c r="D218" s="186"/>
      <c r="E218" s="186"/>
      <c r="F218" s="84"/>
      <c r="G218" s="84"/>
      <c r="H218" s="84"/>
      <c r="I218" s="84"/>
      <c r="J218" s="84"/>
      <c r="K218" s="84"/>
      <c r="L218" s="140" t="str">
        <f t="shared" si="82"/>
        <v/>
      </c>
      <c r="M218" s="86"/>
      <c r="N218" s="86"/>
      <c r="O218" s="86"/>
      <c r="P218" s="86"/>
      <c r="Q218" s="86"/>
      <c r="R218" s="86"/>
      <c r="S218" s="86"/>
      <c r="T218" s="86"/>
      <c r="U218" s="142" t="str">
        <f t="shared" si="83"/>
        <v/>
      </c>
      <c r="V218" s="88"/>
      <c r="W218" s="88"/>
      <c r="X218" s="88"/>
      <c r="Y218" s="88"/>
      <c r="Z218" s="88"/>
      <c r="AA218" s="88"/>
      <c r="AB218" s="88"/>
      <c r="AC218" s="88"/>
      <c r="AD218" s="142" t="str">
        <f t="shared" si="84"/>
        <v/>
      </c>
      <c r="AE218" s="88"/>
      <c r="AF218" s="88"/>
      <c r="AG218" s="88"/>
      <c r="AH218" s="88"/>
      <c r="AI218" s="88"/>
      <c r="AJ218" s="88"/>
      <c r="AK218" s="88"/>
      <c r="AL218" s="88"/>
      <c r="AM218" s="88">
        <v>37.76</v>
      </c>
      <c r="AN218" s="88">
        <v>125</v>
      </c>
      <c r="AO218" s="89"/>
      <c r="AP218" s="90"/>
      <c r="AQ218" s="146" t="str">
        <f t="shared" si="85"/>
        <v/>
      </c>
      <c r="AR218" s="146" t="str">
        <f t="shared" si="86"/>
        <v/>
      </c>
      <c r="AS218" s="147"/>
      <c r="AT218" s="148"/>
      <c r="AU218" s="149"/>
      <c r="AV218" s="146" t="str">
        <f t="shared" si="87"/>
        <v/>
      </c>
      <c r="AW218" s="146" t="str">
        <f t="shared" si="88"/>
        <v/>
      </c>
      <c r="AX218" s="138" t="str">
        <f t="shared" si="89"/>
        <v/>
      </c>
      <c r="AY218" s="95"/>
      <c r="AZ218" s="96"/>
      <c r="BA218" s="96"/>
      <c r="BB218" s="96"/>
      <c r="BC218" s="96"/>
      <c r="BD218" s="97">
        <v>125</v>
      </c>
      <c r="BE218" s="142">
        <f t="shared" si="90"/>
        <v>8786</v>
      </c>
      <c r="BF218" s="98">
        <v>2247</v>
      </c>
      <c r="BG218" s="98">
        <v>0</v>
      </c>
      <c r="BH218" s="98">
        <v>0</v>
      </c>
      <c r="BI218" s="98">
        <v>6539</v>
      </c>
      <c r="BJ218" s="98"/>
      <c r="BK218" s="98"/>
      <c r="BL218" s="98"/>
    </row>
    <row r="219" spans="1:64" outlineLevel="4" x14ac:dyDescent="0.3">
      <c r="A219" s="63" t="s">
        <v>77</v>
      </c>
      <c r="B219" s="64"/>
      <c r="C219" s="65">
        <f t="shared" ref="C219:BL219" si="91">SUBTOTAL(4,C189:C218)</f>
        <v>40.6</v>
      </c>
      <c r="D219" s="66">
        <f t="shared" si="91"/>
        <v>40.1</v>
      </c>
      <c r="E219" s="66">
        <f t="shared" si="91"/>
        <v>41.1</v>
      </c>
      <c r="F219" s="66">
        <f t="shared" si="91"/>
        <v>0</v>
      </c>
      <c r="G219" s="66">
        <f t="shared" si="91"/>
        <v>0</v>
      </c>
      <c r="H219" s="66">
        <f t="shared" si="91"/>
        <v>0</v>
      </c>
      <c r="I219" s="66">
        <f t="shared" si="91"/>
        <v>0</v>
      </c>
      <c r="J219" s="66">
        <f t="shared" si="91"/>
        <v>0</v>
      </c>
      <c r="K219" s="66">
        <f t="shared" si="91"/>
        <v>0</v>
      </c>
      <c r="L219" s="67">
        <f t="shared" si="91"/>
        <v>8.1</v>
      </c>
      <c r="M219" s="68">
        <f t="shared" si="91"/>
        <v>8.08</v>
      </c>
      <c r="N219" s="68">
        <f t="shared" si="91"/>
        <v>8.18</v>
      </c>
      <c r="O219" s="68">
        <f t="shared" si="91"/>
        <v>0</v>
      </c>
      <c r="P219" s="68">
        <f t="shared" si="91"/>
        <v>0</v>
      </c>
      <c r="Q219" s="68">
        <f t="shared" si="91"/>
        <v>0</v>
      </c>
      <c r="R219" s="68">
        <f t="shared" si="91"/>
        <v>0</v>
      </c>
      <c r="S219" s="68">
        <f t="shared" si="91"/>
        <v>0</v>
      </c>
      <c r="T219" s="68">
        <f t="shared" si="91"/>
        <v>0</v>
      </c>
      <c r="U219" s="69">
        <f t="shared" si="91"/>
        <v>675.8</v>
      </c>
      <c r="V219" s="70">
        <f t="shared" si="91"/>
        <v>692</v>
      </c>
      <c r="W219" s="70">
        <f t="shared" si="91"/>
        <v>713.6</v>
      </c>
      <c r="X219" s="70">
        <f t="shared" si="91"/>
        <v>0</v>
      </c>
      <c r="Y219" s="70">
        <f t="shared" si="91"/>
        <v>0</v>
      </c>
      <c r="Z219" s="70">
        <f t="shared" si="91"/>
        <v>0</v>
      </c>
      <c r="AA219" s="70">
        <f t="shared" si="91"/>
        <v>0</v>
      </c>
      <c r="AB219" s="70">
        <f t="shared" si="91"/>
        <v>0</v>
      </c>
      <c r="AC219" s="70">
        <f t="shared" si="91"/>
        <v>0</v>
      </c>
      <c r="AD219" s="69">
        <f t="shared" si="91"/>
        <v>0</v>
      </c>
      <c r="AE219" s="70">
        <f t="shared" si="91"/>
        <v>0</v>
      </c>
      <c r="AF219" s="70">
        <f t="shared" si="91"/>
        <v>0</v>
      </c>
      <c r="AG219" s="70">
        <f t="shared" si="91"/>
        <v>0</v>
      </c>
      <c r="AH219" s="70">
        <f t="shared" si="91"/>
        <v>0</v>
      </c>
      <c r="AI219" s="70">
        <f t="shared" si="91"/>
        <v>0</v>
      </c>
      <c r="AJ219" s="70">
        <f t="shared" si="91"/>
        <v>0</v>
      </c>
      <c r="AK219" s="70">
        <f t="shared" si="91"/>
        <v>0</v>
      </c>
      <c r="AL219" s="70">
        <f t="shared" si="91"/>
        <v>0</v>
      </c>
      <c r="AM219" s="70">
        <f t="shared" si="91"/>
        <v>67.428571428571431</v>
      </c>
      <c r="AN219" s="70">
        <f t="shared" si="91"/>
        <v>148.61000000000001</v>
      </c>
      <c r="AO219" s="71">
        <f t="shared" si="91"/>
        <v>19.3</v>
      </c>
      <c r="AP219" s="72">
        <f t="shared" si="91"/>
        <v>15.9</v>
      </c>
      <c r="AQ219" s="73">
        <f t="shared" si="91"/>
        <v>82.8125</v>
      </c>
      <c r="AR219" s="73">
        <f t="shared" si="91"/>
        <v>23.834196891191723</v>
      </c>
      <c r="AS219" s="74">
        <f t="shared" si="91"/>
        <v>0</v>
      </c>
      <c r="AT219" s="75">
        <f t="shared" si="91"/>
        <v>14.25</v>
      </c>
      <c r="AU219" s="76">
        <f t="shared" si="91"/>
        <v>8.0810999999999993</v>
      </c>
      <c r="AV219" s="73">
        <f t="shared" si="91"/>
        <v>57.312765957446807</v>
      </c>
      <c r="AW219" s="73">
        <f t="shared" si="91"/>
        <v>51.233082706766915</v>
      </c>
      <c r="AX219" s="65">
        <f t="shared" si="91"/>
        <v>72.134286431702407</v>
      </c>
      <c r="AY219" s="77">
        <f t="shared" si="91"/>
        <v>76</v>
      </c>
      <c r="AZ219" s="78">
        <f t="shared" si="91"/>
        <v>62.155000000000001</v>
      </c>
      <c r="BA219" s="78">
        <f t="shared" si="91"/>
        <v>0</v>
      </c>
      <c r="BB219" s="78">
        <f t="shared" si="91"/>
        <v>71</v>
      </c>
      <c r="BC219" s="78">
        <f t="shared" si="91"/>
        <v>0</v>
      </c>
      <c r="BD219" s="79">
        <f t="shared" si="91"/>
        <v>148.61000000000001</v>
      </c>
      <c r="BE219" s="69">
        <f t="shared" si="91"/>
        <v>13371</v>
      </c>
      <c r="BF219" s="70">
        <f t="shared" si="91"/>
        <v>3122</v>
      </c>
      <c r="BG219" s="80">
        <f t="shared" si="91"/>
        <v>0</v>
      </c>
      <c r="BH219" s="80">
        <f t="shared" si="91"/>
        <v>5053</v>
      </c>
      <c r="BI219" s="80">
        <f t="shared" si="91"/>
        <v>6702</v>
      </c>
      <c r="BJ219" s="80">
        <f t="shared" si="91"/>
        <v>0</v>
      </c>
      <c r="BK219" s="80">
        <f t="shared" si="91"/>
        <v>0</v>
      </c>
      <c r="BL219" s="79">
        <f t="shared" si="91"/>
        <v>0</v>
      </c>
    </row>
    <row r="220" spans="1:64" outlineLevel="3" x14ac:dyDescent="0.3">
      <c r="A220" s="81" t="s">
        <v>78</v>
      </c>
      <c r="B220" s="82"/>
      <c r="C220" s="83">
        <f t="shared" ref="C220:BL220" si="92">SUBTOTAL(5,C189:C218)</f>
        <v>38.4</v>
      </c>
      <c r="D220" s="84">
        <f t="shared" si="92"/>
        <v>38</v>
      </c>
      <c r="E220" s="84">
        <f t="shared" si="92"/>
        <v>38.700000000000003</v>
      </c>
      <c r="F220" s="84">
        <f t="shared" si="92"/>
        <v>0</v>
      </c>
      <c r="G220" s="84">
        <f t="shared" si="92"/>
        <v>0</v>
      </c>
      <c r="H220" s="84">
        <f t="shared" si="92"/>
        <v>0</v>
      </c>
      <c r="I220" s="84">
        <f t="shared" si="92"/>
        <v>0</v>
      </c>
      <c r="J220" s="84">
        <f t="shared" si="92"/>
        <v>0</v>
      </c>
      <c r="K220" s="84">
        <f t="shared" si="92"/>
        <v>0</v>
      </c>
      <c r="L220" s="85">
        <f t="shared" si="92"/>
        <v>8</v>
      </c>
      <c r="M220" s="86">
        <f t="shared" si="92"/>
        <v>7.93</v>
      </c>
      <c r="N220" s="86">
        <f t="shared" si="92"/>
        <v>8.0399999999999991</v>
      </c>
      <c r="O220" s="86">
        <f t="shared" si="92"/>
        <v>0</v>
      </c>
      <c r="P220" s="86">
        <f t="shared" si="92"/>
        <v>0</v>
      </c>
      <c r="Q220" s="86">
        <f t="shared" si="92"/>
        <v>0</v>
      </c>
      <c r="R220" s="86">
        <f t="shared" si="92"/>
        <v>0</v>
      </c>
      <c r="S220" s="86">
        <f t="shared" si="92"/>
        <v>0</v>
      </c>
      <c r="T220" s="86">
        <f t="shared" si="92"/>
        <v>0</v>
      </c>
      <c r="U220" s="87">
        <f t="shared" si="92"/>
        <v>562.29999999999995</v>
      </c>
      <c r="V220" s="88">
        <f t="shared" si="92"/>
        <v>583.9</v>
      </c>
      <c r="W220" s="88">
        <f t="shared" si="92"/>
        <v>540.6</v>
      </c>
      <c r="X220" s="88">
        <f t="shared" si="92"/>
        <v>0</v>
      </c>
      <c r="Y220" s="88">
        <f t="shared" si="92"/>
        <v>0</v>
      </c>
      <c r="Z220" s="88">
        <f t="shared" si="92"/>
        <v>0</v>
      </c>
      <c r="AA220" s="88">
        <f t="shared" si="92"/>
        <v>0</v>
      </c>
      <c r="AB220" s="88">
        <f t="shared" si="92"/>
        <v>0</v>
      </c>
      <c r="AC220" s="88">
        <f t="shared" si="92"/>
        <v>0</v>
      </c>
      <c r="AD220" s="87">
        <f t="shared" si="92"/>
        <v>0</v>
      </c>
      <c r="AE220" s="88">
        <f t="shared" si="92"/>
        <v>0</v>
      </c>
      <c r="AF220" s="88">
        <f t="shared" si="92"/>
        <v>0</v>
      </c>
      <c r="AG220" s="88">
        <f t="shared" si="92"/>
        <v>0</v>
      </c>
      <c r="AH220" s="88">
        <f t="shared" si="92"/>
        <v>0</v>
      </c>
      <c r="AI220" s="88">
        <f t="shared" si="92"/>
        <v>0</v>
      </c>
      <c r="AJ220" s="88">
        <f t="shared" si="92"/>
        <v>0</v>
      </c>
      <c r="AK220" s="88">
        <f t="shared" si="92"/>
        <v>0</v>
      </c>
      <c r="AL220" s="88">
        <f t="shared" si="92"/>
        <v>0</v>
      </c>
      <c r="AM220" s="88">
        <f t="shared" si="92"/>
        <v>31.760985128860774</v>
      </c>
      <c r="AN220" s="88">
        <f t="shared" si="92"/>
        <v>70</v>
      </c>
      <c r="AO220" s="89">
        <f t="shared" si="92"/>
        <v>19.2</v>
      </c>
      <c r="AP220" s="90">
        <f t="shared" si="92"/>
        <v>14.7</v>
      </c>
      <c r="AQ220" s="91">
        <f t="shared" si="92"/>
        <v>76.165803108808277</v>
      </c>
      <c r="AR220" s="91">
        <f t="shared" si="92"/>
        <v>17.1875</v>
      </c>
      <c r="AS220" s="92">
        <f t="shared" si="92"/>
        <v>0</v>
      </c>
      <c r="AT220" s="93">
        <f t="shared" si="92"/>
        <v>12.95</v>
      </c>
      <c r="AU220" s="94">
        <f t="shared" si="92"/>
        <v>6.4860000000000007</v>
      </c>
      <c r="AV220" s="91">
        <f t="shared" si="92"/>
        <v>48.766917293233085</v>
      </c>
      <c r="AW220" s="91">
        <f t="shared" si="92"/>
        <v>42.687234042553193</v>
      </c>
      <c r="AX220" s="83">
        <f t="shared" si="92"/>
        <v>64.761865178450549</v>
      </c>
      <c r="AY220" s="95">
        <f t="shared" si="92"/>
        <v>73.05</v>
      </c>
      <c r="AZ220" s="96">
        <f t="shared" si="92"/>
        <v>60.635000000000005</v>
      </c>
      <c r="BA220" s="96">
        <f t="shared" si="92"/>
        <v>0</v>
      </c>
      <c r="BB220" s="96">
        <f t="shared" si="92"/>
        <v>53</v>
      </c>
      <c r="BC220" s="96">
        <f t="shared" si="92"/>
        <v>0</v>
      </c>
      <c r="BD220" s="97">
        <f t="shared" si="92"/>
        <v>70</v>
      </c>
      <c r="BE220" s="87">
        <f t="shared" si="92"/>
        <v>6404</v>
      </c>
      <c r="BF220" s="88">
        <f t="shared" si="92"/>
        <v>0</v>
      </c>
      <c r="BG220" s="98">
        <f t="shared" si="92"/>
        <v>0</v>
      </c>
      <c r="BH220" s="98">
        <f t="shared" si="92"/>
        <v>0</v>
      </c>
      <c r="BI220" s="98">
        <f t="shared" si="92"/>
        <v>3695</v>
      </c>
      <c r="BJ220" s="98">
        <f t="shared" si="92"/>
        <v>0</v>
      </c>
      <c r="BK220" s="98">
        <f t="shared" si="92"/>
        <v>0</v>
      </c>
      <c r="BL220" s="97">
        <f t="shared" si="92"/>
        <v>0</v>
      </c>
    </row>
    <row r="221" spans="1:64" outlineLevel="2" x14ac:dyDescent="0.3">
      <c r="A221" s="81" t="s">
        <v>79</v>
      </c>
      <c r="B221" s="82"/>
      <c r="C221" s="83">
        <f t="shared" ref="C221:BL221" si="93">IFERROR(SUBTOTAL(1,C189:C218),"")</f>
        <v>39.380000000000003</v>
      </c>
      <c r="D221" s="84">
        <f t="shared" si="93"/>
        <v>38.959999999999994</v>
      </c>
      <c r="E221" s="84">
        <f t="shared" si="93"/>
        <v>39.78</v>
      </c>
      <c r="F221" s="84" t="str">
        <f t="shared" si="93"/>
        <v/>
      </c>
      <c r="G221" s="84" t="str">
        <f t="shared" si="93"/>
        <v/>
      </c>
      <c r="H221" s="84" t="str">
        <f t="shared" si="93"/>
        <v/>
      </c>
      <c r="I221" s="84" t="str">
        <f t="shared" si="93"/>
        <v/>
      </c>
      <c r="J221" s="84" t="str">
        <f t="shared" si="93"/>
        <v/>
      </c>
      <c r="K221" s="84" t="str">
        <f t="shared" si="93"/>
        <v/>
      </c>
      <c r="L221" s="85">
        <f t="shared" si="93"/>
        <v>8.02</v>
      </c>
      <c r="M221" s="86">
        <f t="shared" si="93"/>
        <v>7.9760000000000009</v>
      </c>
      <c r="N221" s="86">
        <f t="shared" si="93"/>
        <v>8.0779999999999994</v>
      </c>
      <c r="O221" s="86" t="str">
        <f t="shared" si="93"/>
        <v/>
      </c>
      <c r="P221" s="86" t="str">
        <f t="shared" si="93"/>
        <v/>
      </c>
      <c r="Q221" s="86" t="str">
        <f t="shared" si="93"/>
        <v/>
      </c>
      <c r="R221" s="86" t="str">
        <f t="shared" si="93"/>
        <v/>
      </c>
      <c r="S221" s="86" t="str">
        <f t="shared" si="93"/>
        <v/>
      </c>
      <c r="T221" s="86" t="str">
        <f t="shared" si="93"/>
        <v/>
      </c>
      <c r="U221" s="87">
        <f t="shared" si="93"/>
        <v>613.1</v>
      </c>
      <c r="V221" s="88">
        <f t="shared" si="93"/>
        <v>627.12</v>
      </c>
      <c r="W221" s="88">
        <f t="shared" si="93"/>
        <v>599</v>
      </c>
      <c r="X221" s="88" t="str">
        <f t="shared" si="93"/>
        <v/>
      </c>
      <c r="Y221" s="88" t="str">
        <f t="shared" si="93"/>
        <v/>
      </c>
      <c r="Z221" s="88" t="str">
        <f t="shared" si="93"/>
        <v/>
      </c>
      <c r="AA221" s="88" t="str">
        <f t="shared" si="93"/>
        <v/>
      </c>
      <c r="AB221" s="88" t="str">
        <f t="shared" si="93"/>
        <v/>
      </c>
      <c r="AC221" s="88" t="str">
        <f t="shared" si="93"/>
        <v/>
      </c>
      <c r="AD221" s="87" t="str">
        <f t="shared" si="93"/>
        <v/>
      </c>
      <c r="AE221" s="88" t="str">
        <f t="shared" si="93"/>
        <v/>
      </c>
      <c r="AF221" s="88" t="str">
        <f t="shared" si="93"/>
        <v/>
      </c>
      <c r="AG221" s="88" t="str">
        <f t="shared" si="93"/>
        <v/>
      </c>
      <c r="AH221" s="88" t="str">
        <f t="shared" si="93"/>
        <v/>
      </c>
      <c r="AI221" s="88" t="str">
        <f t="shared" si="93"/>
        <v/>
      </c>
      <c r="AJ221" s="88" t="str">
        <f t="shared" si="93"/>
        <v/>
      </c>
      <c r="AK221" s="88" t="str">
        <f t="shared" si="93"/>
        <v/>
      </c>
      <c r="AL221" s="88" t="str">
        <f t="shared" si="93"/>
        <v/>
      </c>
      <c r="AM221" s="88">
        <f t="shared" si="93"/>
        <v>43.875569939585986</v>
      </c>
      <c r="AN221" s="88">
        <f t="shared" si="93"/>
        <v>110.51999999999998</v>
      </c>
      <c r="AO221" s="89">
        <f t="shared" si="93"/>
        <v>19.25</v>
      </c>
      <c r="AP221" s="90">
        <f t="shared" si="93"/>
        <v>15.3</v>
      </c>
      <c r="AQ221" s="91">
        <f t="shared" si="93"/>
        <v>79.489151554404145</v>
      </c>
      <c r="AR221" s="91">
        <f t="shared" si="93"/>
        <v>20.510848445595862</v>
      </c>
      <c r="AS221" s="92" t="str">
        <f t="shared" si="93"/>
        <v/>
      </c>
      <c r="AT221" s="93">
        <f t="shared" si="93"/>
        <v>13.61</v>
      </c>
      <c r="AU221" s="94">
        <f t="shared" si="93"/>
        <v>7.2500600000000004</v>
      </c>
      <c r="AV221" s="91">
        <f t="shared" si="93"/>
        <v>53.224888866908202</v>
      </c>
      <c r="AW221" s="91">
        <f t="shared" si="93"/>
        <v>46.775111133091805</v>
      </c>
      <c r="AX221" s="83">
        <f t="shared" si="93"/>
        <v>68.448075805076485</v>
      </c>
      <c r="AY221" s="95">
        <f t="shared" si="93"/>
        <v>74.789999999999992</v>
      </c>
      <c r="AZ221" s="96">
        <f t="shared" si="93"/>
        <v>61.395000000000003</v>
      </c>
      <c r="BA221" s="96" t="str">
        <f t="shared" si="93"/>
        <v/>
      </c>
      <c r="BB221" s="96">
        <f t="shared" si="93"/>
        <v>62</v>
      </c>
      <c r="BC221" s="96" t="str">
        <f t="shared" si="93"/>
        <v/>
      </c>
      <c r="BD221" s="97">
        <f>IFERROR(SUBTOTAL(1,BD189:BD218),"")</f>
        <v>110.51999999999998</v>
      </c>
      <c r="BE221" s="87">
        <f t="shared" si="93"/>
        <v>9618.6666666666661</v>
      </c>
      <c r="BF221" s="88">
        <f t="shared" si="93"/>
        <v>1531.1666666666667</v>
      </c>
      <c r="BG221" s="98">
        <f t="shared" si="93"/>
        <v>0</v>
      </c>
      <c r="BH221" s="98">
        <f t="shared" si="93"/>
        <v>1645.8666666666666</v>
      </c>
      <c r="BI221" s="98">
        <f t="shared" si="93"/>
        <v>6441.6333333333332</v>
      </c>
      <c r="BJ221" s="98" t="str">
        <f t="shared" si="93"/>
        <v/>
      </c>
      <c r="BK221" s="98" t="str">
        <f t="shared" si="93"/>
        <v/>
      </c>
      <c r="BL221" s="97" t="str">
        <f t="shared" si="93"/>
        <v/>
      </c>
    </row>
    <row r="222" spans="1:64" ht="17.25" outlineLevel="1" thickBot="1" x14ac:dyDescent="0.35">
      <c r="A222" s="99" t="s">
        <v>80</v>
      </c>
      <c r="B222" s="100"/>
      <c r="C222" s="101"/>
      <c r="D222" s="102"/>
      <c r="E222" s="102"/>
      <c r="F222" s="102"/>
      <c r="G222" s="102"/>
      <c r="H222" s="102"/>
      <c r="I222" s="102"/>
      <c r="J222" s="102"/>
      <c r="K222" s="102"/>
      <c r="L222" s="103"/>
      <c r="M222" s="104"/>
      <c r="N222" s="104"/>
      <c r="O222" s="104"/>
      <c r="P222" s="104"/>
      <c r="Q222" s="104"/>
      <c r="R222" s="104"/>
      <c r="S222" s="104"/>
      <c r="T222" s="104"/>
      <c r="U222" s="105"/>
      <c r="V222" s="106"/>
      <c r="W222" s="106"/>
      <c r="X222" s="106"/>
      <c r="Y222" s="106"/>
      <c r="Z222" s="106"/>
      <c r="AA222" s="106"/>
      <c r="AB222" s="106"/>
      <c r="AC222" s="106"/>
      <c r="AD222" s="105"/>
      <c r="AE222" s="106"/>
      <c r="AF222" s="106"/>
      <c r="AG222" s="106"/>
      <c r="AH222" s="106"/>
      <c r="AI222" s="106"/>
      <c r="AJ222" s="106"/>
      <c r="AK222" s="106"/>
      <c r="AL222" s="106"/>
      <c r="AM222" s="106"/>
      <c r="AN222" s="107">
        <f>SUBTOTAL(9,AN189:AN218)</f>
        <v>3315.5999999999995</v>
      </c>
      <c r="AO222" s="108"/>
      <c r="AP222" s="109"/>
      <c r="AQ222" s="110"/>
      <c r="AR222" s="110"/>
      <c r="AS222" s="111">
        <f>SUBTOTAL(9,AS189:AS218)</f>
        <v>0</v>
      </c>
      <c r="AT222" s="112"/>
      <c r="AU222" s="113"/>
      <c r="AV222" s="110"/>
      <c r="AW222" s="110"/>
      <c r="AX222" s="101"/>
      <c r="AY222" s="114"/>
      <c r="AZ222" s="115"/>
      <c r="BA222" s="115"/>
      <c r="BB222" s="115"/>
      <c r="BC222" s="115"/>
      <c r="BD222" s="116">
        <f>SUBTOTAL(9,BD189:BD218)</f>
        <v>3315.5999999999995</v>
      </c>
      <c r="BE222" s="117">
        <f t="shared" ref="BE222:BL222" si="94">SUBTOTAL(9,BE189:BE218)</f>
        <v>288560</v>
      </c>
      <c r="BF222" s="107">
        <f t="shared" si="94"/>
        <v>45935</v>
      </c>
      <c r="BG222" s="118">
        <f t="shared" si="94"/>
        <v>0</v>
      </c>
      <c r="BH222" s="118">
        <f t="shared" si="94"/>
        <v>49376</v>
      </c>
      <c r="BI222" s="118">
        <f t="shared" si="94"/>
        <v>193249</v>
      </c>
      <c r="BJ222" s="118">
        <f t="shared" si="94"/>
        <v>0</v>
      </c>
      <c r="BK222" s="118">
        <f t="shared" si="94"/>
        <v>0</v>
      </c>
      <c r="BL222" s="116">
        <f t="shared" si="94"/>
        <v>0</v>
      </c>
    </row>
    <row r="223" spans="1:64" outlineLevel="5" x14ac:dyDescent="0.3">
      <c r="A223" s="136">
        <f t="shared" si="76"/>
        <v>7</v>
      </c>
      <c r="B223" s="165">
        <f>B218+1</f>
        <v>45474</v>
      </c>
      <c r="C223" s="138">
        <f t="shared" ref="C223:C253" si="95">IFERROR(ROUND(AVERAGE(D223:K223),1),"")</f>
        <v>38</v>
      </c>
      <c r="D223" s="186">
        <v>38</v>
      </c>
      <c r="E223" s="186">
        <v>38</v>
      </c>
      <c r="F223" s="84"/>
      <c r="G223" s="84"/>
      <c r="H223" s="84"/>
      <c r="I223" s="84"/>
      <c r="J223" s="84"/>
      <c r="K223" s="84"/>
      <c r="L223" s="140" t="str">
        <f t="shared" ref="L223:L253" si="96">IFERROR(ROUND(AVERAGE(M223:T223),1),"")</f>
        <v/>
      </c>
      <c r="M223" s="86"/>
      <c r="N223" s="86"/>
      <c r="O223" s="86"/>
      <c r="P223" s="86"/>
      <c r="Q223" s="86"/>
      <c r="R223" s="86"/>
      <c r="S223" s="86"/>
      <c r="T223" s="86"/>
      <c r="U223" s="142">
        <f t="shared" ref="U223:U253" si="97">IFERROR(ROUND(AVERAGE(V223:AC223),1),"")</f>
        <v>2117</v>
      </c>
      <c r="V223" s="88">
        <v>2024</v>
      </c>
      <c r="W223" s="88">
        <v>2210</v>
      </c>
      <c r="X223" s="88"/>
      <c r="Y223" s="88"/>
      <c r="Z223" s="88"/>
      <c r="AA223" s="88"/>
      <c r="AB223" s="88"/>
      <c r="AC223" s="88"/>
      <c r="AD223" s="142">
        <f t="shared" ref="AD223:AD253" si="98">IFERROR(ROUND(AVERAGE(AE223:AL223),1),"")</f>
        <v>10400</v>
      </c>
      <c r="AE223" s="88">
        <v>12900</v>
      </c>
      <c r="AF223" s="88">
        <v>7900</v>
      </c>
      <c r="AG223" s="88"/>
      <c r="AH223" s="88"/>
      <c r="AI223" s="88"/>
      <c r="AJ223" s="88"/>
      <c r="AK223" s="88"/>
      <c r="AL223" s="88"/>
      <c r="AM223" s="88">
        <v>39.114941576199548</v>
      </c>
      <c r="AN223" s="88">
        <v>120.67000000000002</v>
      </c>
      <c r="AO223" s="89"/>
      <c r="AP223" s="90"/>
      <c r="AQ223" s="146" t="str">
        <f t="shared" ref="AQ223:AQ253" si="99">IFERROR(AP223/AO223*100,"")</f>
        <v/>
      </c>
      <c r="AR223" s="146" t="str">
        <f t="shared" ref="AR223:AR253" si="100">IFERROR(100-AQ223,"")</f>
        <v/>
      </c>
      <c r="AS223" s="147"/>
      <c r="AT223" s="148"/>
      <c r="AU223" s="149"/>
      <c r="AV223" s="146" t="str">
        <f t="shared" ref="AV223:AV253" si="101">IFERROR(AU223/AT223*100,"")</f>
        <v/>
      </c>
      <c r="AW223" s="146" t="str">
        <f t="shared" ref="AW223:AW253" si="102">IFERROR(100-AV223,"")</f>
        <v/>
      </c>
      <c r="AX223" s="168" t="str">
        <f t="shared" ref="AX223:AX253" si="103">IFERROR((1-((AV223*AR223)/(AW223*AQ223)))*100,"")</f>
        <v/>
      </c>
      <c r="AY223" s="95">
        <v>76.5</v>
      </c>
      <c r="AZ223" s="96"/>
      <c r="BA223" s="96"/>
      <c r="BB223" s="96"/>
      <c r="BC223" s="96"/>
      <c r="BD223" s="97">
        <v>120.67000000000002</v>
      </c>
      <c r="BE223" s="142">
        <f t="shared" ref="BE223:BE253" si="104">IF(SUM(BF223:BL223)=0,"",SUM(BF223:BL223))</f>
        <v>9397</v>
      </c>
      <c r="BF223" s="98">
        <v>2522</v>
      </c>
      <c r="BG223" s="98">
        <v>0</v>
      </c>
      <c r="BH223" s="98">
        <v>98</v>
      </c>
      <c r="BI223" s="98">
        <v>6777</v>
      </c>
      <c r="BJ223" s="98"/>
      <c r="BK223" s="98"/>
      <c r="BL223" s="97"/>
    </row>
    <row r="224" spans="1:64" outlineLevel="5" x14ac:dyDescent="0.3">
      <c r="A224" s="152">
        <f t="shared" si="76"/>
        <v>7</v>
      </c>
      <c r="B224" s="153">
        <f t="shared" ref="B224:B287" si="105">B223+1</f>
        <v>45475</v>
      </c>
      <c r="C224" s="138" t="str">
        <f t="shared" si="95"/>
        <v/>
      </c>
      <c r="D224" s="186"/>
      <c r="E224" s="186"/>
      <c r="F224" s="84"/>
      <c r="G224" s="84"/>
      <c r="H224" s="84"/>
      <c r="I224" s="84"/>
      <c r="J224" s="84"/>
      <c r="K224" s="84"/>
      <c r="L224" s="140" t="str">
        <f t="shared" si="96"/>
        <v/>
      </c>
      <c r="M224" s="86"/>
      <c r="N224" s="86"/>
      <c r="O224" s="86"/>
      <c r="P224" s="86"/>
      <c r="Q224" s="86"/>
      <c r="R224" s="86"/>
      <c r="S224" s="86"/>
      <c r="T224" s="86"/>
      <c r="U224" s="142" t="str">
        <f t="shared" si="97"/>
        <v/>
      </c>
      <c r="V224" s="88"/>
      <c r="W224" s="88"/>
      <c r="X224" s="88"/>
      <c r="Y224" s="88"/>
      <c r="Z224" s="88"/>
      <c r="AA224" s="88"/>
      <c r="AB224" s="88"/>
      <c r="AC224" s="88"/>
      <c r="AD224" s="142" t="str">
        <f t="shared" si="98"/>
        <v/>
      </c>
      <c r="AE224" s="88"/>
      <c r="AF224" s="88"/>
      <c r="AG224" s="88"/>
      <c r="AH224" s="88"/>
      <c r="AI224" s="88"/>
      <c r="AJ224" s="88"/>
      <c r="AK224" s="88"/>
      <c r="AL224" s="88"/>
      <c r="AM224" s="88">
        <v>44.545111362778407</v>
      </c>
      <c r="AN224" s="88">
        <v>105.96000000000001</v>
      </c>
      <c r="AO224" s="89"/>
      <c r="AP224" s="90"/>
      <c r="AQ224" s="146" t="str">
        <f t="shared" si="99"/>
        <v/>
      </c>
      <c r="AR224" s="146" t="str">
        <f t="shared" si="100"/>
        <v/>
      </c>
      <c r="AS224" s="147"/>
      <c r="AT224" s="148"/>
      <c r="AU224" s="149"/>
      <c r="AV224" s="146" t="str">
        <f t="shared" si="101"/>
        <v/>
      </c>
      <c r="AW224" s="146" t="str">
        <f t="shared" si="102"/>
        <v/>
      </c>
      <c r="AX224" s="168" t="str">
        <f t="shared" si="103"/>
        <v/>
      </c>
      <c r="AY224" s="95"/>
      <c r="AZ224" s="96">
        <v>60.28</v>
      </c>
      <c r="BA224" s="96"/>
      <c r="BB224" s="96">
        <v>40</v>
      </c>
      <c r="BC224" s="96"/>
      <c r="BD224" s="97">
        <v>105.96000000000001</v>
      </c>
      <c r="BE224" s="142">
        <f t="shared" si="104"/>
        <v>10562</v>
      </c>
      <c r="BF224" s="98">
        <v>3020</v>
      </c>
      <c r="BG224" s="98">
        <v>0</v>
      </c>
      <c r="BH224" s="98">
        <v>827</v>
      </c>
      <c r="BI224" s="98">
        <v>6715</v>
      </c>
      <c r="BJ224" s="98"/>
      <c r="BK224" s="98"/>
      <c r="BL224" s="97"/>
    </row>
    <row r="225" spans="1:64" outlineLevel="5" x14ac:dyDescent="0.3">
      <c r="A225" s="152">
        <f t="shared" si="76"/>
        <v>7</v>
      </c>
      <c r="B225" s="153">
        <f t="shared" si="105"/>
        <v>45476</v>
      </c>
      <c r="C225" s="138" t="str">
        <f t="shared" si="95"/>
        <v/>
      </c>
      <c r="D225" s="186"/>
      <c r="E225" s="186"/>
      <c r="F225" s="84"/>
      <c r="G225" s="84"/>
      <c r="H225" s="84"/>
      <c r="I225" s="84"/>
      <c r="J225" s="84"/>
      <c r="K225" s="84"/>
      <c r="L225" s="140" t="str">
        <f t="shared" si="96"/>
        <v/>
      </c>
      <c r="M225" s="86"/>
      <c r="N225" s="86"/>
      <c r="O225" s="86"/>
      <c r="P225" s="86"/>
      <c r="Q225" s="86"/>
      <c r="R225" s="86"/>
      <c r="S225" s="86"/>
      <c r="T225" s="86"/>
      <c r="U225" s="142" t="str">
        <f t="shared" si="97"/>
        <v/>
      </c>
      <c r="V225" s="88"/>
      <c r="W225" s="88"/>
      <c r="X225" s="88"/>
      <c r="Y225" s="88"/>
      <c r="Z225" s="88"/>
      <c r="AA225" s="88"/>
      <c r="AB225" s="88"/>
      <c r="AC225" s="88"/>
      <c r="AD225" s="142" t="str">
        <f t="shared" si="98"/>
        <v/>
      </c>
      <c r="AE225" s="88"/>
      <c r="AF225" s="88"/>
      <c r="AG225" s="88"/>
      <c r="AH225" s="88"/>
      <c r="AI225" s="88"/>
      <c r="AJ225" s="88"/>
      <c r="AK225" s="88"/>
      <c r="AL225" s="88"/>
      <c r="AM225" s="88">
        <v>42.684029661783327</v>
      </c>
      <c r="AN225" s="88">
        <v>110.58</v>
      </c>
      <c r="AO225" s="89"/>
      <c r="AP225" s="90"/>
      <c r="AQ225" s="146" t="str">
        <f t="shared" si="99"/>
        <v/>
      </c>
      <c r="AR225" s="146" t="str">
        <f t="shared" si="100"/>
        <v/>
      </c>
      <c r="AS225" s="147"/>
      <c r="AT225" s="148"/>
      <c r="AU225" s="149"/>
      <c r="AV225" s="146" t="str">
        <f t="shared" si="101"/>
        <v/>
      </c>
      <c r="AW225" s="146" t="str">
        <f t="shared" si="102"/>
        <v/>
      </c>
      <c r="AX225" s="168" t="str">
        <f t="shared" si="103"/>
        <v/>
      </c>
      <c r="AY225" s="95"/>
      <c r="AZ225" s="96">
        <v>60.66</v>
      </c>
      <c r="BA225" s="96"/>
      <c r="BB225" s="96">
        <v>39</v>
      </c>
      <c r="BC225" s="96"/>
      <c r="BD225" s="97">
        <v>110.58</v>
      </c>
      <c r="BE225" s="142">
        <f t="shared" si="104"/>
        <v>9187</v>
      </c>
      <c r="BF225" s="98">
        <v>2367</v>
      </c>
      <c r="BG225" s="98">
        <v>0</v>
      </c>
      <c r="BH225" s="98">
        <v>25</v>
      </c>
      <c r="BI225" s="98">
        <v>6795</v>
      </c>
      <c r="BJ225" s="98"/>
      <c r="BK225" s="98"/>
      <c r="BL225" s="97"/>
    </row>
    <row r="226" spans="1:64" outlineLevel="5" x14ac:dyDescent="0.3">
      <c r="A226" s="152">
        <f t="shared" si="76"/>
        <v>7</v>
      </c>
      <c r="B226" s="153">
        <f t="shared" si="105"/>
        <v>45477</v>
      </c>
      <c r="C226" s="138" t="str">
        <f t="shared" si="95"/>
        <v/>
      </c>
      <c r="D226" s="186"/>
      <c r="E226" s="186"/>
      <c r="F226" s="84"/>
      <c r="G226" s="84"/>
      <c r="H226" s="84"/>
      <c r="I226" s="84"/>
      <c r="J226" s="84"/>
      <c r="K226" s="84"/>
      <c r="L226" s="140" t="str">
        <f t="shared" si="96"/>
        <v/>
      </c>
      <c r="M226" s="86"/>
      <c r="N226" s="86"/>
      <c r="O226" s="86"/>
      <c r="P226" s="86"/>
      <c r="Q226" s="86"/>
      <c r="R226" s="86"/>
      <c r="S226" s="86"/>
      <c r="T226" s="86"/>
      <c r="U226" s="142" t="str">
        <f t="shared" si="97"/>
        <v/>
      </c>
      <c r="V226" s="88"/>
      <c r="W226" s="88"/>
      <c r="X226" s="88"/>
      <c r="Y226" s="88"/>
      <c r="Z226" s="88"/>
      <c r="AA226" s="88"/>
      <c r="AB226" s="88"/>
      <c r="AC226" s="88"/>
      <c r="AD226" s="142" t="str">
        <f t="shared" si="98"/>
        <v/>
      </c>
      <c r="AE226" s="88"/>
      <c r="AF226" s="88"/>
      <c r="AG226" s="88"/>
      <c r="AH226" s="88"/>
      <c r="AI226" s="88"/>
      <c r="AJ226" s="88"/>
      <c r="AK226" s="88"/>
      <c r="AL226" s="88"/>
      <c r="AM226" s="88">
        <v>50.005297171310517</v>
      </c>
      <c r="AN226" s="88">
        <v>94.39</v>
      </c>
      <c r="AO226" s="89"/>
      <c r="AP226" s="90"/>
      <c r="AQ226" s="146" t="str">
        <f t="shared" si="99"/>
        <v/>
      </c>
      <c r="AR226" s="146" t="str">
        <f t="shared" si="100"/>
        <v/>
      </c>
      <c r="AS226" s="147"/>
      <c r="AT226" s="148"/>
      <c r="AU226" s="149"/>
      <c r="AV226" s="146" t="str">
        <f t="shared" si="101"/>
        <v/>
      </c>
      <c r="AW226" s="146" t="str">
        <f t="shared" si="102"/>
        <v/>
      </c>
      <c r="AX226" s="168" t="str">
        <f t="shared" si="103"/>
        <v/>
      </c>
      <c r="AY226" s="95"/>
      <c r="AZ226" s="96">
        <v>60.7</v>
      </c>
      <c r="BA226" s="96"/>
      <c r="BB226" s="96">
        <v>31.5</v>
      </c>
      <c r="BC226" s="96"/>
      <c r="BD226" s="97">
        <v>94.39</v>
      </c>
      <c r="BE226" s="142">
        <f t="shared" si="104"/>
        <v>10244</v>
      </c>
      <c r="BF226" s="98">
        <v>2621</v>
      </c>
      <c r="BG226" s="98">
        <v>0</v>
      </c>
      <c r="BH226" s="98">
        <v>828</v>
      </c>
      <c r="BI226" s="98">
        <v>6795</v>
      </c>
      <c r="BJ226" s="98"/>
      <c r="BK226" s="98"/>
      <c r="BL226" s="97"/>
    </row>
    <row r="227" spans="1:64" outlineLevel="5" x14ac:dyDescent="0.3">
      <c r="A227" s="152">
        <f t="shared" si="76"/>
        <v>7</v>
      </c>
      <c r="B227" s="153">
        <f t="shared" si="105"/>
        <v>45478</v>
      </c>
      <c r="C227" s="138" t="str">
        <f t="shared" si="95"/>
        <v/>
      </c>
      <c r="D227" s="186"/>
      <c r="E227" s="186"/>
      <c r="F227" s="84"/>
      <c r="G227" s="84"/>
      <c r="H227" s="84"/>
      <c r="I227" s="84"/>
      <c r="J227" s="84"/>
      <c r="K227" s="84"/>
      <c r="L227" s="140" t="str">
        <f t="shared" si="96"/>
        <v/>
      </c>
      <c r="M227" s="86"/>
      <c r="N227" s="86"/>
      <c r="O227" s="86"/>
      <c r="P227" s="86"/>
      <c r="Q227" s="86"/>
      <c r="R227" s="86"/>
      <c r="S227" s="86"/>
      <c r="T227" s="86"/>
      <c r="U227" s="142" t="str">
        <f t="shared" si="97"/>
        <v/>
      </c>
      <c r="V227" s="88"/>
      <c r="W227" s="88"/>
      <c r="X227" s="88"/>
      <c r="Y227" s="88"/>
      <c r="Z227" s="88"/>
      <c r="AA227" s="88"/>
      <c r="AB227" s="88"/>
      <c r="AC227" s="88"/>
      <c r="AD227" s="142" t="str">
        <f t="shared" si="98"/>
        <v/>
      </c>
      <c r="AE227" s="88"/>
      <c r="AF227" s="88"/>
      <c r="AG227" s="88"/>
      <c r="AH227" s="88"/>
      <c r="AI227" s="88"/>
      <c r="AJ227" s="88"/>
      <c r="AK227" s="88"/>
      <c r="AL227" s="88"/>
      <c r="AM227" s="88">
        <v>45.670053217223028</v>
      </c>
      <c r="AN227" s="88">
        <v>103.35</v>
      </c>
      <c r="AO227" s="89"/>
      <c r="AP227" s="90"/>
      <c r="AQ227" s="146" t="str">
        <f t="shared" si="99"/>
        <v/>
      </c>
      <c r="AR227" s="146" t="str">
        <f t="shared" si="100"/>
        <v/>
      </c>
      <c r="AS227" s="147"/>
      <c r="AT227" s="148"/>
      <c r="AU227" s="149"/>
      <c r="AV227" s="146" t="str">
        <f t="shared" si="101"/>
        <v/>
      </c>
      <c r="AW227" s="146" t="str">
        <f t="shared" si="102"/>
        <v/>
      </c>
      <c r="AX227" s="168" t="str">
        <f t="shared" si="103"/>
        <v/>
      </c>
      <c r="AY227" s="95"/>
      <c r="AZ227" s="96"/>
      <c r="BA227" s="96"/>
      <c r="BB227" s="96"/>
      <c r="BC227" s="96"/>
      <c r="BD227" s="97">
        <v>103.35</v>
      </c>
      <c r="BE227" s="142">
        <f t="shared" si="104"/>
        <v>11709</v>
      </c>
      <c r="BF227" s="98">
        <v>2396</v>
      </c>
      <c r="BG227" s="98">
        <v>0</v>
      </c>
      <c r="BH227" s="98">
        <v>2435</v>
      </c>
      <c r="BI227" s="98">
        <v>6878</v>
      </c>
      <c r="BJ227" s="98"/>
      <c r="BK227" s="98"/>
      <c r="BL227" s="97"/>
    </row>
    <row r="228" spans="1:64" outlineLevel="5" x14ac:dyDescent="0.3">
      <c r="A228" s="152">
        <f t="shared" si="76"/>
        <v>7</v>
      </c>
      <c r="B228" s="153">
        <f t="shared" si="105"/>
        <v>45479</v>
      </c>
      <c r="C228" s="138" t="str">
        <f t="shared" si="95"/>
        <v/>
      </c>
      <c r="D228" s="186"/>
      <c r="E228" s="186"/>
      <c r="F228" s="84"/>
      <c r="G228" s="84"/>
      <c r="H228" s="84"/>
      <c r="I228" s="84"/>
      <c r="J228" s="84"/>
      <c r="K228" s="84"/>
      <c r="L228" s="140" t="str">
        <f t="shared" si="96"/>
        <v/>
      </c>
      <c r="M228" s="86"/>
      <c r="N228" s="86"/>
      <c r="O228" s="86"/>
      <c r="P228" s="86"/>
      <c r="Q228" s="86"/>
      <c r="R228" s="86"/>
      <c r="S228" s="86"/>
      <c r="T228" s="86"/>
      <c r="U228" s="142" t="str">
        <f t="shared" si="97"/>
        <v/>
      </c>
      <c r="V228" s="88"/>
      <c r="W228" s="88"/>
      <c r="X228" s="88"/>
      <c r="Y228" s="88"/>
      <c r="Z228" s="88"/>
      <c r="AA228" s="88"/>
      <c r="AB228" s="88"/>
      <c r="AC228" s="88"/>
      <c r="AD228" s="142" t="str">
        <f t="shared" si="98"/>
        <v/>
      </c>
      <c r="AE228" s="88"/>
      <c r="AF228" s="88"/>
      <c r="AG228" s="88"/>
      <c r="AH228" s="88"/>
      <c r="AI228" s="88"/>
      <c r="AJ228" s="88"/>
      <c r="AK228" s="88"/>
      <c r="AL228" s="88"/>
      <c r="AM228" s="88">
        <v>33.232415686826727</v>
      </c>
      <c r="AN228" s="88">
        <v>142.03</v>
      </c>
      <c r="AO228" s="89"/>
      <c r="AP228" s="90"/>
      <c r="AQ228" s="146" t="str">
        <f t="shared" si="99"/>
        <v/>
      </c>
      <c r="AR228" s="146" t="str">
        <f t="shared" si="100"/>
        <v/>
      </c>
      <c r="AS228" s="147"/>
      <c r="AT228" s="148"/>
      <c r="AU228" s="149"/>
      <c r="AV228" s="146" t="str">
        <f t="shared" si="101"/>
        <v/>
      </c>
      <c r="AW228" s="146" t="str">
        <f t="shared" si="102"/>
        <v/>
      </c>
      <c r="AX228" s="168" t="str">
        <f t="shared" si="103"/>
        <v/>
      </c>
      <c r="AY228" s="95"/>
      <c r="AZ228" s="96"/>
      <c r="BA228" s="96"/>
      <c r="BB228" s="96"/>
      <c r="BC228" s="96"/>
      <c r="BD228" s="97">
        <v>142.03</v>
      </c>
      <c r="BE228" s="142">
        <f t="shared" si="104"/>
        <v>11057</v>
      </c>
      <c r="BF228" s="98">
        <v>1732</v>
      </c>
      <c r="BG228" s="98">
        <v>0</v>
      </c>
      <c r="BH228" s="98">
        <v>2629</v>
      </c>
      <c r="BI228" s="98">
        <v>6696</v>
      </c>
      <c r="BJ228" s="98"/>
      <c r="BK228" s="98"/>
      <c r="BL228" s="97"/>
    </row>
    <row r="229" spans="1:64" outlineLevel="5" x14ac:dyDescent="0.3">
      <c r="A229" s="152">
        <f t="shared" si="76"/>
        <v>7</v>
      </c>
      <c r="B229" s="153">
        <f t="shared" si="105"/>
        <v>45480</v>
      </c>
      <c r="C229" s="138" t="str">
        <f t="shared" si="95"/>
        <v/>
      </c>
      <c r="D229" s="186"/>
      <c r="E229" s="186"/>
      <c r="F229" s="84"/>
      <c r="G229" s="84"/>
      <c r="H229" s="84"/>
      <c r="I229" s="84"/>
      <c r="J229" s="84"/>
      <c r="K229" s="84"/>
      <c r="L229" s="140" t="str">
        <f t="shared" si="96"/>
        <v/>
      </c>
      <c r="M229" s="86"/>
      <c r="N229" s="86"/>
      <c r="O229" s="86"/>
      <c r="P229" s="86"/>
      <c r="Q229" s="86"/>
      <c r="R229" s="86"/>
      <c r="S229" s="86"/>
      <c r="T229" s="86"/>
      <c r="U229" s="142" t="str">
        <f t="shared" si="97"/>
        <v/>
      </c>
      <c r="V229" s="88"/>
      <c r="W229" s="88"/>
      <c r="X229" s="88"/>
      <c r="Y229" s="88"/>
      <c r="Z229" s="88"/>
      <c r="AA229" s="88"/>
      <c r="AB229" s="88"/>
      <c r="AC229" s="88"/>
      <c r="AD229" s="142" t="str">
        <f t="shared" si="98"/>
        <v/>
      </c>
      <c r="AE229" s="88"/>
      <c r="AF229" s="88"/>
      <c r="AG229" s="88"/>
      <c r="AH229" s="88"/>
      <c r="AI229" s="88"/>
      <c r="AJ229" s="88"/>
      <c r="AK229" s="88"/>
      <c r="AL229" s="88"/>
      <c r="AM229" s="88">
        <v>41.043478260869563</v>
      </c>
      <c r="AN229" s="88">
        <v>115</v>
      </c>
      <c r="AO229" s="89"/>
      <c r="AP229" s="90"/>
      <c r="AQ229" s="146" t="str">
        <f t="shared" si="99"/>
        <v/>
      </c>
      <c r="AR229" s="146" t="str">
        <f t="shared" si="100"/>
        <v/>
      </c>
      <c r="AS229" s="147"/>
      <c r="AT229" s="148"/>
      <c r="AU229" s="149"/>
      <c r="AV229" s="146" t="str">
        <f t="shared" si="101"/>
        <v/>
      </c>
      <c r="AW229" s="146" t="str">
        <f t="shared" si="102"/>
        <v/>
      </c>
      <c r="AX229" s="168" t="str">
        <f t="shared" si="103"/>
        <v/>
      </c>
      <c r="AY229" s="95"/>
      <c r="AZ229" s="96"/>
      <c r="BA229" s="96"/>
      <c r="BB229" s="96"/>
      <c r="BC229" s="96"/>
      <c r="BD229" s="97">
        <v>115</v>
      </c>
      <c r="BE229" s="142">
        <f t="shared" si="104"/>
        <v>9871</v>
      </c>
      <c r="BF229" s="98">
        <v>0</v>
      </c>
      <c r="BG229" s="98">
        <v>0</v>
      </c>
      <c r="BH229" s="98">
        <v>3268</v>
      </c>
      <c r="BI229" s="98">
        <v>6603</v>
      </c>
      <c r="BJ229" s="98"/>
      <c r="BK229" s="98"/>
      <c r="BL229" s="97"/>
    </row>
    <row r="230" spans="1:64" outlineLevel="5" x14ac:dyDescent="0.3">
      <c r="A230" s="152">
        <f t="shared" si="76"/>
        <v>7</v>
      </c>
      <c r="B230" s="153">
        <f t="shared" si="105"/>
        <v>45481</v>
      </c>
      <c r="C230" s="138">
        <f t="shared" si="95"/>
        <v>37.5</v>
      </c>
      <c r="D230" s="186">
        <v>37.4</v>
      </c>
      <c r="E230" s="186">
        <v>37.6</v>
      </c>
      <c r="F230" s="84"/>
      <c r="G230" s="84"/>
      <c r="H230" s="84"/>
      <c r="I230" s="84"/>
      <c r="J230" s="84"/>
      <c r="K230" s="84"/>
      <c r="L230" s="140" t="str">
        <f t="shared" si="96"/>
        <v/>
      </c>
      <c r="M230" s="86"/>
      <c r="N230" s="86"/>
      <c r="O230" s="86"/>
      <c r="P230" s="86"/>
      <c r="Q230" s="86"/>
      <c r="R230" s="86"/>
      <c r="S230" s="86"/>
      <c r="T230" s="86"/>
      <c r="U230" s="142">
        <f t="shared" si="97"/>
        <v>2397</v>
      </c>
      <c r="V230" s="88">
        <v>1856</v>
      </c>
      <c r="W230" s="88">
        <v>2938</v>
      </c>
      <c r="X230" s="88"/>
      <c r="Y230" s="88"/>
      <c r="Z230" s="88"/>
      <c r="AA230" s="88"/>
      <c r="AB230" s="88"/>
      <c r="AC230" s="88"/>
      <c r="AD230" s="142">
        <f t="shared" si="98"/>
        <v>11050</v>
      </c>
      <c r="AE230" s="88">
        <v>14000</v>
      </c>
      <c r="AF230" s="88">
        <v>8100</v>
      </c>
      <c r="AG230" s="88"/>
      <c r="AH230" s="88"/>
      <c r="AI230" s="88"/>
      <c r="AJ230" s="88"/>
      <c r="AK230" s="88"/>
      <c r="AL230" s="88"/>
      <c r="AM230" s="88">
        <v>40.844582900657663</v>
      </c>
      <c r="AN230" s="88">
        <v>115.56</v>
      </c>
      <c r="AO230" s="89">
        <v>18.100000000000001</v>
      </c>
      <c r="AP230" s="90">
        <v>16.3</v>
      </c>
      <c r="AQ230" s="146">
        <f t="shared" si="99"/>
        <v>90.055248618784518</v>
      </c>
      <c r="AR230" s="146">
        <f t="shared" si="100"/>
        <v>9.9447513812154824</v>
      </c>
      <c r="AS230" s="147"/>
      <c r="AT230" s="148">
        <v>13.35</v>
      </c>
      <c r="AU230" s="149">
        <v>8.1</v>
      </c>
      <c r="AV230" s="146">
        <f t="shared" si="101"/>
        <v>60.674157303370791</v>
      </c>
      <c r="AW230" s="146">
        <f t="shared" si="102"/>
        <v>39.325842696629209</v>
      </c>
      <c r="AX230" s="168">
        <f t="shared" si="103"/>
        <v>82.96231375985974</v>
      </c>
      <c r="AY230" s="95">
        <v>74.349999999999994</v>
      </c>
      <c r="AZ230" s="96">
        <v>60.900000000000006</v>
      </c>
      <c r="BA230" s="96"/>
      <c r="BB230" s="96">
        <v>40</v>
      </c>
      <c r="BC230" s="96"/>
      <c r="BD230" s="97">
        <v>115.56</v>
      </c>
      <c r="BE230" s="142">
        <f t="shared" si="104"/>
        <v>9213</v>
      </c>
      <c r="BF230" s="98">
        <v>1615</v>
      </c>
      <c r="BG230" s="98">
        <v>0</v>
      </c>
      <c r="BH230" s="98">
        <v>794</v>
      </c>
      <c r="BI230" s="98">
        <v>6804</v>
      </c>
      <c r="BJ230" s="98"/>
      <c r="BK230" s="98"/>
      <c r="BL230" s="97"/>
    </row>
    <row r="231" spans="1:64" outlineLevel="5" x14ac:dyDescent="0.3">
      <c r="A231" s="152">
        <f t="shared" si="76"/>
        <v>7</v>
      </c>
      <c r="B231" s="153">
        <f t="shared" si="105"/>
        <v>45482</v>
      </c>
      <c r="C231" s="138">
        <f t="shared" si="95"/>
        <v>37.200000000000003</v>
      </c>
      <c r="D231" s="186"/>
      <c r="E231" s="186">
        <v>37.200000000000003</v>
      </c>
      <c r="F231" s="84"/>
      <c r="G231" s="84"/>
      <c r="H231" s="84"/>
      <c r="I231" s="84"/>
      <c r="J231" s="84"/>
      <c r="K231" s="84"/>
      <c r="L231" s="140" t="str">
        <f t="shared" si="96"/>
        <v/>
      </c>
      <c r="M231" s="86"/>
      <c r="N231" s="86"/>
      <c r="O231" s="86"/>
      <c r="P231" s="86"/>
      <c r="Q231" s="86"/>
      <c r="R231" s="86"/>
      <c r="S231" s="86"/>
      <c r="T231" s="86"/>
      <c r="U231" s="142" t="str">
        <f t="shared" si="97"/>
        <v/>
      </c>
      <c r="V231" s="88"/>
      <c r="W231" s="88"/>
      <c r="X231" s="88"/>
      <c r="Y231" s="88"/>
      <c r="Z231" s="88"/>
      <c r="AA231" s="88"/>
      <c r="AB231" s="88"/>
      <c r="AC231" s="88"/>
      <c r="AD231" s="142" t="str">
        <f t="shared" si="98"/>
        <v/>
      </c>
      <c r="AE231" s="88"/>
      <c r="AF231" s="88"/>
      <c r="AG231" s="88"/>
      <c r="AH231" s="88"/>
      <c r="AI231" s="88"/>
      <c r="AJ231" s="88"/>
      <c r="AK231" s="88"/>
      <c r="AL231" s="88"/>
      <c r="AM231" s="88">
        <v>46.279046965388758</v>
      </c>
      <c r="AN231" s="88">
        <v>101.99000000000001</v>
      </c>
      <c r="AO231" s="89"/>
      <c r="AP231" s="90"/>
      <c r="AQ231" s="146" t="str">
        <f t="shared" si="99"/>
        <v/>
      </c>
      <c r="AR231" s="146" t="str">
        <f t="shared" si="100"/>
        <v/>
      </c>
      <c r="AS231" s="147"/>
      <c r="AT231" s="148"/>
      <c r="AU231" s="149"/>
      <c r="AV231" s="146" t="str">
        <f t="shared" si="101"/>
        <v/>
      </c>
      <c r="AW231" s="146" t="str">
        <f t="shared" si="102"/>
        <v/>
      </c>
      <c r="AX231" s="168" t="str">
        <f t="shared" si="103"/>
        <v/>
      </c>
      <c r="AY231" s="95"/>
      <c r="AZ231" s="96">
        <v>60.895000000000003</v>
      </c>
      <c r="BA231" s="96"/>
      <c r="BB231" s="96">
        <v>41</v>
      </c>
      <c r="BC231" s="96"/>
      <c r="BD231" s="97">
        <v>101.99000000000001</v>
      </c>
      <c r="BE231" s="142">
        <f t="shared" si="104"/>
        <v>11219</v>
      </c>
      <c r="BF231" s="98">
        <v>1866</v>
      </c>
      <c r="BG231" s="98">
        <v>0</v>
      </c>
      <c r="BH231" s="98">
        <v>2592</v>
      </c>
      <c r="BI231" s="98">
        <v>6761</v>
      </c>
      <c r="BJ231" s="98"/>
      <c r="BK231" s="98"/>
      <c r="BL231" s="97"/>
    </row>
    <row r="232" spans="1:64" outlineLevel="5" x14ac:dyDescent="0.3">
      <c r="A232" s="152">
        <f t="shared" si="76"/>
        <v>7</v>
      </c>
      <c r="B232" s="153">
        <f t="shared" si="105"/>
        <v>45483</v>
      </c>
      <c r="C232" s="138" t="str">
        <f t="shared" si="95"/>
        <v/>
      </c>
      <c r="D232" s="186"/>
      <c r="E232" s="186"/>
      <c r="F232" s="84"/>
      <c r="G232" s="84"/>
      <c r="H232" s="84"/>
      <c r="I232" s="84"/>
      <c r="J232" s="84"/>
      <c r="K232" s="84"/>
      <c r="L232" s="140" t="str">
        <f t="shared" si="96"/>
        <v/>
      </c>
      <c r="M232" s="86"/>
      <c r="N232" s="86"/>
      <c r="O232" s="86"/>
      <c r="P232" s="86"/>
      <c r="Q232" s="86"/>
      <c r="R232" s="86"/>
      <c r="S232" s="86"/>
      <c r="T232" s="86"/>
      <c r="U232" s="142" t="str">
        <f t="shared" si="97"/>
        <v/>
      </c>
      <c r="V232" s="88"/>
      <c r="W232" s="88"/>
      <c r="X232" s="88"/>
      <c r="Y232" s="88"/>
      <c r="Z232" s="88"/>
      <c r="AA232" s="88"/>
      <c r="AB232" s="88"/>
      <c r="AC232" s="88"/>
      <c r="AD232" s="142" t="str">
        <f t="shared" si="98"/>
        <v/>
      </c>
      <c r="AE232" s="88"/>
      <c r="AF232" s="88"/>
      <c r="AG232" s="88"/>
      <c r="AH232" s="88"/>
      <c r="AI232" s="88"/>
      <c r="AJ232" s="88"/>
      <c r="AK232" s="88"/>
      <c r="AL232" s="88"/>
      <c r="AM232" s="88">
        <v>52.908866718977691</v>
      </c>
      <c r="AN232" s="88">
        <v>89.210000000000008</v>
      </c>
      <c r="AO232" s="89"/>
      <c r="AP232" s="90"/>
      <c r="AQ232" s="146" t="str">
        <f t="shared" si="99"/>
        <v/>
      </c>
      <c r="AR232" s="146" t="str">
        <f t="shared" si="100"/>
        <v/>
      </c>
      <c r="AS232" s="147"/>
      <c r="AT232" s="148"/>
      <c r="AU232" s="149"/>
      <c r="AV232" s="146" t="str">
        <f t="shared" si="101"/>
        <v/>
      </c>
      <c r="AW232" s="146" t="str">
        <f t="shared" si="102"/>
        <v/>
      </c>
      <c r="AX232" s="168" t="str">
        <f t="shared" si="103"/>
        <v/>
      </c>
      <c r="AY232" s="95"/>
      <c r="AZ232" s="96">
        <v>61.384999999999998</v>
      </c>
      <c r="BA232" s="96"/>
      <c r="BB232" s="96">
        <v>26.5</v>
      </c>
      <c r="BC232" s="96"/>
      <c r="BD232" s="97">
        <v>89.210000000000008</v>
      </c>
      <c r="BE232" s="142">
        <f t="shared" si="104"/>
        <v>9922</v>
      </c>
      <c r="BF232" s="98">
        <v>0</v>
      </c>
      <c r="BG232" s="98">
        <v>0</v>
      </c>
      <c r="BH232" s="98">
        <v>3285</v>
      </c>
      <c r="BI232" s="98">
        <v>6637</v>
      </c>
      <c r="BJ232" s="98"/>
      <c r="BK232" s="98"/>
      <c r="BL232" s="97"/>
    </row>
    <row r="233" spans="1:64" outlineLevel="5" x14ac:dyDescent="0.3">
      <c r="A233" s="152">
        <f t="shared" si="76"/>
        <v>7</v>
      </c>
      <c r="B233" s="153">
        <f t="shared" si="105"/>
        <v>45484</v>
      </c>
      <c r="C233" s="138" t="str">
        <f t="shared" si="95"/>
        <v/>
      </c>
      <c r="D233" s="186"/>
      <c r="E233" s="186"/>
      <c r="F233" s="84"/>
      <c r="G233" s="84"/>
      <c r="H233" s="84"/>
      <c r="I233" s="84"/>
      <c r="J233" s="84"/>
      <c r="K233" s="84"/>
      <c r="L233" s="140" t="str">
        <f t="shared" si="96"/>
        <v/>
      </c>
      <c r="M233" s="86"/>
      <c r="N233" s="86"/>
      <c r="O233" s="86"/>
      <c r="P233" s="86"/>
      <c r="Q233" s="86"/>
      <c r="R233" s="86"/>
      <c r="S233" s="86"/>
      <c r="T233" s="86"/>
      <c r="U233" s="142" t="str">
        <f t="shared" si="97"/>
        <v/>
      </c>
      <c r="V233" s="88"/>
      <c r="W233" s="88"/>
      <c r="X233" s="88"/>
      <c r="Y233" s="88"/>
      <c r="Z233" s="88"/>
      <c r="AA233" s="88"/>
      <c r="AB233" s="88"/>
      <c r="AC233" s="88"/>
      <c r="AD233" s="142" t="str">
        <f t="shared" si="98"/>
        <v/>
      </c>
      <c r="AE233" s="88"/>
      <c r="AF233" s="88"/>
      <c r="AG233" s="88"/>
      <c r="AH233" s="88"/>
      <c r="AI233" s="88"/>
      <c r="AJ233" s="88"/>
      <c r="AK233" s="88"/>
      <c r="AL233" s="88"/>
      <c r="AM233" s="88">
        <v>41.079199303742385</v>
      </c>
      <c r="AN233" s="88">
        <v>114.9</v>
      </c>
      <c r="AO233" s="89"/>
      <c r="AP233" s="90"/>
      <c r="AQ233" s="146" t="str">
        <f t="shared" si="99"/>
        <v/>
      </c>
      <c r="AR233" s="146" t="str">
        <f t="shared" si="100"/>
        <v/>
      </c>
      <c r="AS233" s="147"/>
      <c r="AT233" s="148"/>
      <c r="AU233" s="149"/>
      <c r="AV233" s="146" t="str">
        <f t="shared" si="101"/>
        <v/>
      </c>
      <c r="AW233" s="146" t="str">
        <f t="shared" si="102"/>
        <v/>
      </c>
      <c r="AX233" s="168" t="str">
        <f t="shared" si="103"/>
        <v/>
      </c>
      <c r="AY233" s="95"/>
      <c r="AZ233" s="96">
        <v>62.545000000000002</v>
      </c>
      <c r="BA233" s="96"/>
      <c r="BB233" s="96">
        <v>27.5</v>
      </c>
      <c r="BC233" s="96"/>
      <c r="BD233" s="97">
        <v>114.9</v>
      </c>
      <c r="BE233" s="142">
        <f t="shared" si="104"/>
        <v>8975</v>
      </c>
      <c r="BF233" s="98">
        <v>144</v>
      </c>
      <c r="BG233" s="98">
        <v>0</v>
      </c>
      <c r="BH233" s="98">
        <v>2133</v>
      </c>
      <c r="BI233" s="98">
        <v>6698</v>
      </c>
      <c r="BJ233" s="98"/>
      <c r="BK233" s="98"/>
      <c r="BL233" s="97"/>
    </row>
    <row r="234" spans="1:64" outlineLevel="5" x14ac:dyDescent="0.3">
      <c r="A234" s="152">
        <f t="shared" si="76"/>
        <v>7</v>
      </c>
      <c r="B234" s="153">
        <f t="shared" si="105"/>
        <v>45485</v>
      </c>
      <c r="C234" s="138" t="str">
        <f t="shared" si="95"/>
        <v/>
      </c>
      <c r="D234" s="186"/>
      <c r="E234" s="186"/>
      <c r="F234" s="84"/>
      <c r="G234" s="84"/>
      <c r="H234" s="84"/>
      <c r="I234" s="84"/>
      <c r="J234" s="84"/>
      <c r="K234" s="84"/>
      <c r="L234" s="140" t="str">
        <f t="shared" si="96"/>
        <v/>
      </c>
      <c r="M234" s="86"/>
      <c r="N234" s="86"/>
      <c r="O234" s="86"/>
      <c r="P234" s="86"/>
      <c r="Q234" s="86"/>
      <c r="R234" s="86"/>
      <c r="S234" s="86"/>
      <c r="T234" s="86"/>
      <c r="U234" s="142" t="str">
        <f t="shared" si="97"/>
        <v/>
      </c>
      <c r="V234" s="88"/>
      <c r="W234" s="88"/>
      <c r="X234" s="88"/>
      <c r="Y234" s="88"/>
      <c r="Z234" s="88"/>
      <c r="AA234" s="88"/>
      <c r="AB234" s="88"/>
      <c r="AC234" s="88"/>
      <c r="AD234" s="142" t="str">
        <f t="shared" si="98"/>
        <v/>
      </c>
      <c r="AE234" s="88"/>
      <c r="AF234" s="88"/>
      <c r="AG234" s="88"/>
      <c r="AH234" s="88"/>
      <c r="AI234" s="88"/>
      <c r="AJ234" s="88"/>
      <c r="AK234" s="88"/>
      <c r="AL234" s="88"/>
      <c r="AM234" s="88">
        <v>43.101086658752628</v>
      </c>
      <c r="AN234" s="88">
        <v>109.50999999999999</v>
      </c>
      <c r="AO234" s="89"/>
      <c r="AP234" s="90"/>
      <c r="AQ234" s="146" t="str">
        <f t="shared" si="99"/>
        <v/>
      </c>
      <c r="AR234" s="146" t="str">
        <f t="shared" si="100"/>
        <v/>
      </c>
      <c r="AS234" s="147"/>
      <c r="AT234" s="148"/>
      <c r="AU234" s="149"/>
      <c r="AV234" s="146" t="str">
        <f t="shared" si="101"/>
        <v/>
      </c>
      <c r="AW234" s="146" t="str">
        <f t="shared" si="102"/>
        <v/>
      </c>
      <c r="AX234" s="168" t="str">
        <f t="shared" si="103"/>
        <v/>
      </c>
      <c r="AY234" s="95"/>
      <c r="AZ234" s="96"/>
      <c r="BA234" s="96"/>
      <c r="BB234" s="96"/>
      <c r="BC234" s="96"/>
      <c r="BD234" s="97">
        <v>109.50999999999999</v>
      </c>
      <c r="BE234" s="142">
        <f t="shared" si="104"/>
        <v>11922</v>
      </c>
      <c r="BF234" s="98">
        <v>2151</v>
      </c>
      <c r="BG234" s="98">
        <v>0</v>
      </c>
      <c r="BH234" s="98">
        <v>3081</v>
      </c>
      <c r="BI234" s="98">
        <v>6690</v>
      </c>
      <c r="BJ234" s="98"/>
      <c r="BK234" s="98"/>
      <c r="BL234" s="97"/>
    </row>
    <row r="235" spans="1:64" outlineLevel="5" x14ac:dyDescent="0.3">
      <c r="A235" s="152">
        <f t="shared" ref="A235:A306" si="106">MONTH(B235)</f>
        <v>7</v>
      </c>
      <c r="B235" s="153">
        <f t="shared" si="105"/>
        <v>45486</v>
      </c>
      <c r="C235" s="138" t="str">
        <f t="shared" si="95"/>
        <v/>
      </c>
      <c r="D235" s="186"/>
      <c r="E235" s="186"/>
      <c r="F235" s="84"/>
      <c r="G235" s="84"/>
      <c r="H235" s="84"/>
      <c r="I235" s="84"/>
      <c r="J235" s="84"/>
      <c r="K235" s="84"/>
      <c r="L235" s="140" t="str">
        <f t="shared" si="96"/>
        <v/>
      </c>
      <c r="M235" s="86"/>
      <c r="N235" s="86"/>
      <c r="O235" s="86"/>
      <c r="P235" s="86"/>
      <c r="Q235" s="86"/>
      <c r="R235" s="86"/>
      <c r="S235" s="86"/>
      <c r="T235" s="86"/>
      <c r="U235" s="142" t="str">
        <f t="shared" si="97"/>
        <v/>
      </c>
      <c r="V235" s="88"/>
      <c r="W235" s="88"/>
      <c r="X235" s="88"/>
      <c r="Y235" s="88"/>
      <c r="Z235" s="88"/>
      <c r="AA235" s="88"/>
      <c r="AB235" s="88"/>
      <c r="AC235" s="88"/>
      <c r="AD235" s="142" t="str">
        <f t="shared" si="98"/>
        <v/>
      </c>
      <c r="AE235" s="88"/>
      <c r="AF235" s="88"/>
      <c r="AG235" s="88"/>
      <c r="AH235" s="88"/>
      <c r="AI235" s="88"/>
      <c r="AJ235" s="88"/>
      <c r="AK235" s="88"/>
      <c r="AL235" s="88"/>
      <c r="AM235" s="88">
        <v>34.60918023170553</v>
      </c>
      <c r="AN235" s="88">
        <v>136.38</v>
      </c>
      <c r="AO235" s="89"/>
      <c r="AP235" s="90"/>
      <c r="AQ235" s="146" t="str">
        <f t="shared" si="99"/>
        <v/>
      </c>
      <c r="AR235" s="146" t="str">
        <f t="shared" si="100"/>
        <v/>
      </c>
      <c r="AS235" s="147"/>
      <c r="AT235" s="148"/>
      <c r="AU235" s="149"/>
      <c r="AV235" s="146" t="str">
        <f t="shared" si="101"/>
        <v/>
      </c>
      <c r="AW235" s="146" t="str">
        <f t="shared" si="102"/>
        <v/>
      </c>
      <c r="AX235" s="168" t="str">
        <f t="shared" si="103"/>
        <v/>
      </c>
      <c r="AY235" s="95"/>
      <c r="AZ235" s="96"/>
      <c r="BA235" s="96"/>
      <c r="BB235" s="96"/>
      <c r="BC235" s="96"/>
      <c r="BD235" s="97">
        <v>136.38</v>
      </c>
      <c r="BE235" s="142">
        <f t="shared" si="104"/>
        <v>9797</v>
      </c>
      <c r="BF235" s="98">
        <v>2529</v>
      </c>
      <c r="BG235" s="98">
        <v>0</v>
      </c>
      <c r="BH235" s="98">
        <v>449</v>
      </c>
      <c r="BI235" s="98">
        <v>6819</v>
      </c>
      <c r="BJ235" s="98"/>
      <c r="BK235" s="98"/>
      <c r="BL235" s="97"/>
    </row>
    <row r="236" spans="1:64" outlineLevel="5" x14ac:dyDescent="0.3">
      <c r="A236" s="152">
        <f t="shared" si="106"/>
        <v>7</v>
      </c>
      <c r="B236" s="153">
        <f t="shared" si="105"/>
        <v>45487</v>
      </c>
      <c r="C236" s="138" t="str">
        <f t="shared" si="95"/>
        <v/>
      </c>
      <c r="D236" s="186"/>
      <c r="E236" s="186"/>
      <c r="F236" s="84"/>
      <c r="G236" s="84"/>
      <c r="H236" s="84"/>
      <c r="I236" s="84"/>
      <c r="J236" s="84"/>
      <c r="K236" s="84"/>
      <c r="L236" s="140" t="str">
        <f t="shared" si="96"/>
        <v/>
      </c>
      <c r="M236" s="86"/>
      <c r="N236" s="86"/>
      <c r="O236" s="86"/>
      <c r="P236" s="86"/>
      <c r="Q236" s="86"/>
      <c r="R236" s="86"/>
      <c r="S236" s="86"/>
      <c r="T236" s="86"/>
      <c r="U236" s="142" t="str">
        <f t="shared" si="97"/>
        <v/>
      </c>
      <c r="V236" s="88"/>
      <c r="W236" s="88"/>
      <c r="X236" s="88"/>
      <c r="Y236" s="88"/>
      <c r="Z236" s="88"/>
      <c r="AA236" s="88"/>
      <c r="AB236" s="88"/>
      <c r="AC236" s="88"/>
      <c r="AD236" s="142" t="str">
        <f t="shared" si="98"/>
        <v/>
      </c>
      <c r="AE236" s="88"/>
      <c r="AF236" s="88"/>
      <c r="AG236" s="88"/>
      <c r="AH236" s="88"/>
      <c r="AI236" s="88"/>
      <c r="AJ236" s="88"/>
      <c r="AK236" s="88"/>
      <c r="AL236" s="88"/>
      <c r="AM236" s="88">
        <v>33.714285714285715</v>
      </c>
      <c r="AN236" s="88">
        <v>140</v>
      </c>
      <c r="AO236" s="89"/>
      <c r="AP236" s="90"/>
      <c r="AQ236" s="146" t="str">
        <f t="shared" si="99"/>
        <v/>
      </c>
      <c r="AR236" s="146" t="str">
        <f t="shared" si="100"/>
        <v/>
      </c>
      <c r="AS236" s="147"/>
      <c r="AT236" s="148"/>
      <c r="AU236" s="149"/>
      <c r="AV236" s="146" t="str">
        <f t="shared" si="101"/>
        <v/>
      </c>
      <c r="AW236" s="146" t="str">
        <f t="shared" si="102"/>
        <v/>
      </c>
      <c r="AX236" s="168" t="str">
        <f t="shared" si="103"/>
        <v/>
      </c>
      <c r="AY236" s="95"/>
      <c r="AZ236" s="96"/>
      <c r="BA236" s="96"/>
      <c r="BB236" s="96"/>
      <c r="BC236" s="96"/>
      <c r="BD236" s="97">
        <v>140</v>
      </c>
      <c r="BE236" s="142">
        <f t="shared" si="104"/>
        <v>8529</v>
      </c>
      <c r="BF236" s="98">
        <v>1717</v>
      </c>
      <c r="BG236" s="98">
        <v>0</v>
      </c>
      <c r="BH236" s="98">
        <v>315</v>
      </c>
      <c r="BI236" s="98">
        <v>6497</v>
      </c>
      <c r="BJ236" s="98"/>
      <c r="BK236" s="98"/>
      <c r="BL236" s="97"/>
    </row>
    <row r="237" spans="1:64" outlineLevel="5" x14ac:dyDescent="0.3">
      <c r="A237" s="152">
        <f t="shared" si="106"/>
        <v>7</v>
      </c>
      <c r="B237" s="153">
        <f t="shared" si="105"/>
        <v>45488</v>
      </c>
      <c r="C237" s="138" t="str">
        <f t="shared" si="95"/>
        <v/>
      </c>
      <c r="D237" s="186"/>
      <c r="E237" s="186"/>
      <c r="F237" s="84"/>
      <c r="G237" s="84"/>
      <c r="H237" s="84"/>
      <c r="I237" s="84"/>
      <c r="J237" s="84"/>
      <c r="K237" s="84"/>
      <c r="L237" s="140" t="str">
        <f t="shared" si="96"/>
        <v/>
      </c>
      <c r="M237" s="86"/>
      <c r="N237" s="86"/>
      <c r="O237" s="86"/>
      <c r="P237" s="86"/>
      <c r="Q237" s="86"/>
      <c r="R237" s="86"/>
      <c r="S237" s="86"/>
      <c r="T237" s="86"/>
      <c r="U237" s="142" t="str">
        <f t="shared" si="97"/>
        <v/>
      </c>
      <c r="V237" s="88"/>
      <c r="W237" s="88"/>
      <c r="X237" s="88"/>
      <c r="Y237" s="88"/>
      <c r="Z237" s="88"/>
      <c r="AA237" s="88"/>
      <c r="AB237" s="88"/>
      <c r="AC237" s="88"/>
      <c r="AD237" s="142" t="str">
        <f t="shared" si="98"/>
        <v/>
      </c>
      <c r="AE237" s="88"/>
      <c r="AF237" s="88"/>
      <c r="AG237" s="88"/>
      <c r="AH237" s="88"/>
      <c r="AI237" s="88"/>
      <c r="AJ237" s="88"/>
      <c r="AK237" s="88"/>
      <c r="AL237" s="88"/>
      <c r="AM237" s="88">
        <v>53.44202898550725</v>
      </c>
      <c r="AN237" s="88">
        <v>88.32</v>
      </c>
      <c r="AO237" s="89">
        <v>20.7</v>
      </c>
      <c r="AP237" s="90">
        <v>14.7</v>
      </c>
      <c r="AQ237" s="146">
        <f t="shared" si="99"/>
        <v>71.014492753623188</v>
      </c>
      <c r="AR237" s="146">
        <f t="shared" si="100"/>
        <v>28.985507246376812</v>
      </c>
      <c r="AS237" s="147"/>
      <c r="AT237" s="148">
        <v>13.35</v>
      </c>
      <c r="AU237" s="149">
        <v>7.8000000000000007</v>
      </c>
      <c r="AV237" s="146">
        <f t="shared" si="101"/>
        <v>58.426966292134843</v>
      </c>
      <c r="AW237" s="146">
        <f t="shared" si="102"/>
        <v>41.573033707865157</v>
      </c>
      <c r="AX237" s="168">
        <f t="shared" si="103"/>
        <v>42.636514065085464</v>
      </c>
      <c r="AY237" s="95">
        <v>73.900000000000006</v>
      </c>
      <c r="AZ237" s="96"/>
      <c r="BA237" s="96"/>
      <c r="BB237" s="96"/>
      <c r="BC237" s="96"/>
      <c r="BD237" s="97">
        <v>88.32</v>
      </c>
      <c r="BE237" s="142">
        <f t="shared" si="104"/>
        <v>8248</v>
      </c>
      <c r="BF237" s="98">
        <v>1330</v>
      </c>
      <c r="BG237" s="98">
        <v>0</v>
      </c>
      <c r="BH237" s="98">
        <v>253</v>
      </c>
      <c r="BI237" s="98">
        <v>6665</v>
      </c>
      <c r="BJ237" s="98"/>
      <c r="BK237" s="98"/>
      <c r="BL237" s="97"/>
    </row>
    <row r="238" spans="1:64" outlineLevel="5" x14ac:dyDescent="0.3">
      <c r="A238" s="152">
        <f t="shared" si="106"/>
        <v>7</v>
      </c>
      <c r="B238" s="153">
        <f t="shared" si="105"/>
        <v>45489</v>
      </c>
      <c r="C238" s="138" t="str">
        <f t="shared" si="95"/>
        <v/>
      </c>
      <c r="D238" s="186"/>
      <c r="E238" s="186"/>
      <c r="F238" s="84"/>
      <c r="G238" s="84"/>
      <c r="H238" s="84"/>
      <c r="I238" s="84"/>
      <c r="J238" s="84"/>
      <c r="K238" s="84"/>
      <c r="L238" s="140" t="str">
        <f t="shared" si="96"/>
        <v/>
      </c>
      <c r="M238" s="86"/>
      <c r="N238" s="86"/>
      <c r="O238" s="86"/>
      <c r="P238" s="86"/>
      <c r="Q238" s="86"/>
      <c r="R238" s="86"/>
      <c r="S238" s="86"/>
      <c r="T238" s="86"/>
      <c r="U238" s="142" t="str">
        <f t="shared" si="97"/>
        <v/>
      </c>
      <c r="V238" s="88"/>
      <c r="W238" s="88"/>
      <c r="X238" s="88"/>
      <c r="Y238" s="88"/>
      <c r="Z238" s="88"/>
      <c r="AA238" s="88"/>
      <c r="AB238" s="88"/>
      <c r="AC238" s="88"/>
      <c r="AD238" s="142" t="str">
        <f t="shared" si="98"/>
        <v/>
      </c>
      <c r="AE238" s="88"/>
      <c r="AF238" s="88"/>
      <c r="AG238" s="88"/>
      <c r="AH238" s="88"/>
      <c r="AI238" s="88"/>
      <c r="AJ238" s="88"/>
      <c r="AK238" s="88"/>
      <c r="AL238" s="88"/>
      <c r="AM238" s="88">
        <v>40.108769544527533</v>
      </c>
      <c r="AN238" s="88">
        <v>117.68</v>
      </c>
      <c r="AO238" s="89"/>
      <c r="AP238" s="90"/>
      <c r="AQ238" s="146" t="str">
        <f t="shared" si="99"/>
        <v/>
      </c>
      <c r="AR238" s="146" t="str">
        <f t="shared" si="100"/>
        <v/>
      </c>
      <c r="AS238" s="147"/>
      <c r="AT238" s="148"/>
      <c r="AU238" s="149"/>
      <c r="AV238" s="146" t="str">
        <f t="shared" si="101"/>
        <v/>
      </c>
      <c r="AW238" s="146" t="str">
        <f t="shared" si="102"/>
        <v/>
      </c>
      <c r="AX238" s="168" t="str">
        <f t="shared" si="103"/>
        <v/>
      </c>
      <c r="AY238" s="95"/>
      <c r="AZ238" s="96"/>
      <c r="BA238" s="96"/>
      <c r="BB238" s="96"/>
      <c r="BC238" s="96"/>
      <c r="BD238" s="97">
        <v>117.68</v>
      </c>
      <c r="BE238" s="142">
        <f t="shared" si="104"/>
        <v>9356</v>
      </c>
      <c r="BF238" s="98">
        <v>0</v>
      </c>
      <c r="BG238" s="98">
        <v>0</v>
      </c>
      <c r="BH238" s="98">
        <v>2459</v>
      </c>
      <c r="BI238" s="98">
        <v>6897</v>
      </c>
      <c r="BJ238" s="98"/>
      <c r="BK238" s="98"/>
      <c r="BL238" s="97"/>
    </row>
    <row r="239" spans="1:64" outlineLevel="5" x14ac:dyDescent="0.3">
      <c r="A239" s="152">
        <f t="shared" si="106"/>
        <v>7</v>
      </c>
      <c r="B239" s="153">
        <f t="shared" si="105"/>
        <v>45490</v>
      </c>
      <c r="C239" s="138" t="str">
        <f t="shared" si="95"/>
        <v/>
      </c>
      <c r="D239" s="186"/>
      <c r="E239" s="186"/>
      <c r="F239" s="84"/>
      <c r="G239" s="84"/>
      <c r="H239" s="84"/>
      <c r="I239" s="84"/>
      <c r="J239" s="84"/>
      <c r="K239" s="84"/>
      <c r="L239" s="140" t="str">
        <f t="shared" si="96"/>
        <v/>
      </c>
      <c r="M239" s="86"/>
      <c r="N239" s="86"/>
      <c r="O239" s="86"/>
      <c r="P239" s="86"/>
      <c r="Q239" s="86"/>
      <c r="R239" s="86"/>
      <c r="S239" s="86"/>
      <c r="T239" s="86"/>
      <c r="U239" s="142" t="str">
        <f t="shared" si="97"/>
        <v/>
      </c>
      <c r="V239" s="88"/>
      <c r="W239" s="88"/>
      <c r="X239" s="88"/>
      <c r="Y239" s="88"/>
      <c r="Z239" s="88"/>
      <c r="AA239" s="88"/>
      <c r="AB239" s="88"/>
      <c r="AC239" s="88"/>
      <c r="AD239" s="142" t="str">
        <f t="shared" si="98"/>
        <v/>
      </c>
      <c r="AE239" s="88"/>
      <c r="AF239" s="88"/>
      <c r="AG239" s="88"/>
      <c r="AH239" s="88"/>
      <c r="AI239" s="88"/>
      <c r="AJ239" s="88"/>
      <c r="AK239" s="88"/>
      <c r="AL239" s="88"/>
      <c r="AM239" s="88">
        <v>35.318766836276566</v>
      </c>
      <c r="AN239" s="88">
        <v>133.63999999999999</v>
      </c>
      <c r="AO239" s="89"/>
      <c r="AP239" s="90"/>
      <c r="AQ239" s="146" t="str">
        <f t="shared" si="99"/>
        <v/>
      </c>
      <c r="AR239" s="146" t="str">
        <f t="shared" si="100"/>
        <v/>
      </c>
      <c r="AS239" s="147"/>
      <c r="AT239" s="148"/>
      <c r="AU239" s="149"/>
      <c r="AV239" s="146" t="str">
        <f t="shared" si="101"/>
        <v/>
      </c>
      <c r="AW239" s="146" t="str">
        <f t="shared" si="102"/>
        <v/>
      </c>
      <c r="AX239" s="168" t="str">
        <f t="shared" si="103"/>
        <v/>
      </c>
      <c r="AY239" s="95"/>
      <c r="AZ239" s="96">
        <v>60.34</v>
      </c>
      <c r="BA239" s="96"/>
      <c r="BB239" s="96">
        <v>42</v>
      </c>
      <c r="BC239" s="96"/>
      <c r="BD239" s="97">
        <v>133.63999999999999</v>
      </c>
      <c r="BE239" s="142">
        <f t="shared" si="104"/>
        <v>10520</v>
      </c>
      <c r="BF239" s="98">
        <v>1552</v>
      </c>
      <c r="BG239" s="98">
        <v>0</v>
      </c>
      <c r="BH239" s="98">
        <v>2289</v>
      </c>
      <c r="BI239" s="98">
        <v>6679</v>
      </c>
      <c r="BJ239" s="98"/>
      <c r="BK239" s="98"/>
      <c r="BL239" s="97"/>
    </row>
    <row r="240" spans="1:64" outlineLevel="5" x14ac:dyDescent="0.3">
      <c r="A240" s="152">
        <f t="shared" si="106"/>
        <v>7</v>
      </c>
      <c r="B240" s="153">
        <f t="shared" si="105"/>
        <v>45491</v>
      </c>
      <c r="C240" s="138" t="str">
        <f t="shared" si="95"/>
        <v/>
      </c>
      <c r="D240" s="186"/>
      <c r="E240" s="186"/>
      <c r="F240" s="84"/>
      <c r="G240" s="84"/>
      <c r="H240" s="84"/>
      <c r="I240" s="84"/>
      <c r="J240" s="84"/>
      <c r="K240" s="84"/>
      <c r="L240" s="140" t="str">
        <f t="shared" si="96"/>
        <v/>
      </c>
      <c r="M240" s="86"/>
      <c r="N240" s="86"/>
      <c r="O240" s="86"/>
      <c r="P240" s="86"/>
      <c r="Q240" s="86"/>
      <c r="R240" s="86"/>
      <c r="S240" s="86"/>
      <c r="T240" s="86"/>
      <c r="U240" s="142" t="str">
        <f t="shared" si="97"/>
        <v/>
      </c>
      <c r="V240" s="88"/>
      <c r="W240" s="88"/>
      <c r="X240" s="88"/>
      <c r="Y240" s="88"/>
      <c r="Z240" s="88"/>
      <c r="AA240" s="88"/>
      <c r="AB240" s="88"/>
      <c r="AC240" s="88"/>
      <c r="AD240" s="142" t="str">
        <f t="shared" si="98"/>
        <v/>
      </c>
      <c r="AE240" s="88"/>
      <c r="AF240" s="88"/>
      <c r="AG240" s="88"/>
      <c r="AH240" s="88"/>
      <c r="AI240" s="88"/>
      <c r="AJ240" s="88"/>
      <c r="AK240" s="88"/>
      <c r="AL240" s="88"/>
      <c r="AM240" s="88">
        <v>37.893384714193964</v>
      </c>
      <c r="AN240" s="88">
        <v>124.56</v>
      </c>
      <c r="AO240" s="89"/>
      <c r="AP240" s="90"/>
      <c r="AQ240" s="146" t="str">
        <f t="shared" si="99"/>
        <v/>
      </c>
      <c r="AR240" s="146" t="str">
        <f t="shared" si="100"/>
        <v/>
      </c>
      <c r="AS240" s="147"/>
      <c r="AT240" s="148"/>
      <c r="AU240" s="149"/>
      <c r="AV240" s="146" t="str">
        <f t="shared" si="101"/>
        <v/>
      </c>
      <c r="AW240" s="146" t="str">
        <f t="shared" si="102"/>
        <v/>
      </c>
      <c r="AX240" s="168" t="str">
        <f t="shared" si="103"/>
        <v/>
      </c>
      <c r="AY240" s="95"/>
      <c r="AZ240" s="96"/>
      <c r="BA240" s="96"/>
      <c r="BB240" s="96"/>
      <c r="BC240" s="96"/>
      <c r="BD240" s="97">
        <v>124.56</v>
      </c>
      <c r="BE240" s="142">
        <f t="shared" si="104"/>
        <v>11811</v>
      </c>
      <c r="BF240" s="98">
        <v>3135</v>
      </c>
      <c r="BG240" s="98">
        <v>0</v>
      </c>
      <c r="BH240" s="98">
        <v>3517</v>
      </c>
      <c r="BI240" s="98">
        <v>5159</v>
      </c>
      <c r="BJ240" s="98"/>
      <c r="BK240" s="98"/>
      <c r="BL240" s="97"/>
    </row>
    <row r="241" spans="1:64" outlineLevel="5" x14ac:dyDescent="0.3">
      <c r="A241" s="152">
        <f t="shared" si="106"/>
        <v>7</v>
      </c>
      <c r="B241" s="153">
        <f t="shared" si="105"/>
        <v>45492</v>
      </c>
      <c r="C241" s="138" t="str">
        <f t="shared" si="95"/>
        <v/>
      </c>
      <c r="D241" s="186"/>
      <c r="E241" s="186"/>
      <c r="F241" s="84"/>
      <c r="G241" s="84"/>
      <c r="H241" s="84"/>
      <c r="I241" s="84"/>
      <c r="J241" s="84"/>
      <c r="K241" s="84"/>
      <c r="L241" s="140" t="str">
        <f t="shared" si="96"/>
        <v/>
      </c>
      <c r="M241" s="86"/>
      <c r="N241" s="86"/>
      <c r="O241" s="86"/>
      <c r="P241" s="86"/>
      <c r="Q241" s="86"/>
      <c r="R241" s="86"/>
      <c r="S241" s="86"/>
      <c r="T241" s="86"/>
      <c r="U241" s="142" t="str">
        <f t="shared" si="97"/>
        <v/>
      </c>
      <c r="V241" s="88"/>
      <c r="W241" s="88"/>
      <c r="X241" s="88"/>
      <c r="Y241" s="88"/>
      <c r="Z241" s="88"/>
      <c r="AA241" s="88"/>
      <c r="AB241" s="88"/>
      <c r="AC241" s="88"/>
      <c r="AD241" s="142" t="str">
        <f t="shared" si="98"/>
        <v/>
      </c>
      <c r="AE241" s="88"/>
      <c r="AF241" s="88"/>
      <c r="AG241" s="88"/>
      <c r="AH241" s="88"/>
      <c r="AI241" s="88"/>
      <c r="AJ241" s="88"/>
      <c r="AK241" s="88"/>
      <c r="AL241" s="88"/>
      <c r="AM241" s="88">
        <v>35.030428974320913</v>
      </c>
      <c r="AN241" s="88">
        <v>134.74</v>
      </c>
      <c r="AO241" s="89"/>
      <c r="AP241" s="90"/>
      <c r="AQ241" s="146" t="str">
        <f t="shared" si="99"/>
        <v/>
      </c>
      <c r="AR241" s="146" t="str">
        <f t="shared" si="100"/>
        <v/>
      </c>
      <c r="AS241" s="147"/>
      <c r="AT241" s="148"/>
      <c r="AU241" s="149"/>
      <c r="AV241" s="146" t="str">
        <f t="shared" si="101"/>
        <v/>
      </c>
      <c r="AW241" s="146" t="str">
        <f t="shared" si="102"/>
        <v/>
      </c>
      <c r="AX241" s="168" t="str">
        <f t="shared" si="103"/>
        <v/>
      </c>
      <c r="AY241" s="95"/>
      <c r="AZ241" s="96"/>
      <c r="BA241" s="96"/>
      <c r="BB241" s="96"/>
      <c r="BC241" s="96"/>
      <c r="BD241" s="97">
        <v>134.74</v>
      </c>
      <c r="BE241" s="142">
        <f t="shared" si="104"/>
        <v>10676</v>
      </c>
      <c r="BF241" s="98">
        <v>1903</v>
      </c>
      <c r="BG241" s="98">
        <v>0</v>
      </c>
      <c r="BH241" s="98">
        <v>2160</v>
      </c>
      <c r="BI241" s="98">
        <v>6613</v>
      </c>
      <c r="BJ241" s="98"/>
      <c r="BK241" s="98"/>
      <c r="BL241" s="97"/>
    </row>
    <row r="242" spans="1:64" outlineLevel="5" x14ac:dyDescent="0.3">
      <c r="A242" s="152">
        <f t="shared" si="106"/>
        <v>7</v>
      </c>
      <c r="B242" s="153">
        <f t="shared" si="105"/>
        <v>45493</v>
      </c>
      <c r="C242" s="138" t="str">
        <f t="shared" si="95"/>
        <v/>
      </c>
      <c r="D242" s="186"/>
      <c r="E242" s="186"/>
      <c r="F242" s="84"/>
      <c r="G242" s="84"/>
      <c r="H242" s="84"/>
      <c r="I242" s="84"/>
      <c r="J242" s="84"/>
      <c r="K242" s="84"/>
      <c r="L242" s="140" t="str">
        <f t="shared" si="96"/>
        <v/>
      </c>
      <c r="M242" s="86"/>
      <c r="N242" s="86"/>
      <c r="O242" s="86"/>
      <c r="P242" s="86"/>
      <c r="Q242" s="86"/>
      <c r="R242" s="86"/>
      <c r="S242" s="86"/>
      <c r="T242" s="86"/>
      <c r="U242" s="142" t="str">
        <f t="shared" si="97"/>
        <v/>
      </c>
      <c r="V242" s="88"/>
      <c r="W242" s="88"/>
      <c r="X242" s="88"/>
      <c r="Y242" s="88"/>
      <c r="Z242" s="88"/>
      <c r="AA242" s="88"/>
      <c r="AB242" s="88"/>
      <c r="AC242" s="88"/>
      <c r="AD242" s="142" t="str">
        <f t="shared" si="98"/>
        <v/>
      </c>
      <c r="AE242" s="88"/>
      <c r="AF242" s="88"/>
      <c r="AG242" s="88"/>
      <c r="AH242" s="88"/>
      <c r="AI242" s="88"/>
      <c r="AJ242" s="88"/>
      <c r="AK242" s="88"/>
      <c r="AL242" s="88"/>
      <c r="AM242" s="88">
        <v>29.892336922102597</v>
      </c>
      <c r="AN242" s="88">
        <v>157.9</v>
      </c>
      <c r="AO242" s="89"/>
      <c r="AP242" s="90"/>
      <c r="AQ242" s="146" t="str">
        <f t="shared" si="99"/>
        <v/>
      </c>
      <c r="AR242" s="146" t="str">
        <f t="shared" si="100"/>
        <v/>
      </c>
      <c r="AS242" s="147"/>
      <c r="AT242" s="148"/>
      <c r="AU242" s="149"/>
      <c r="AV242" s="146" t="str">
        <f t="shared" si="101"/>
        <v/>
      </c>
      <c r="AW242" s="146" t="str">
        <f t="shared" si="102"/>
        <v/>
      </c>
      <c r="AX242" s="168" t="str">
        <f t="shared" si="103"/>
        <v/>
      </c>
      <c r="AY242" s="95"/>
      <c r="AZ242" s="96"/>
      <c r="BA242" s="96"/>
      <c r="BB242" s="96"/>
      <c r="BC242" s="96"/>
      <c r="BD242" s="97">
        <v>157.9</v>
      </c>
      <c r="BE242" s="142">
        <f t="shared" si="104"/>
        <v>10415</v>
      </c>
      <c r="BF242" s="98">
        <v>2452</v>
      </c>
      <c r="BG242" s="98">
        <v>0</v>
      </c>
      <c r="BH242" s="98">
        <v>1350</v>
      </c>
      <c r="BI242" s="98">
        <v>6613</v>
      </c>
      <c r="BJ242" s="98"/>
      <c r="BK242" s="98"/>
      <c r="BL242" s="97"/>
    </row>
    <row r="243" spans="1:64" outlineLevel="5" x14ac:dyDescent="0.3">
      <c r="A243" s="152">
        <f t="shared" si="106"/>
        <v>7</v>
      </c>
      <c r="B243" s="153">
        <f t="shared" si="105"/>
        <v>45494</v>
      </c>
      <c r="C243" s="138" t="str">
        <f t="shared" si="95"/>
        <v/>
      </c>
      <c r="D243" s="186"/>
      <c r="E243" s="186"/>
      <c r="F243" s="84"/>
      <c r="G243" s="84"/>
      <c r="H243" s="84"/>
      <c r="I243" s="84"/>
      <c r="J243" s="84"/>
      <c r="K243" s="84"/>
      <c r="L243" s="140" t="str">
        <f t="shared" si="96"/>
        <v/>
      </c>
      <c r="M243" s="86"/>
      <c r="N243" s="86"/>
      <c r="O243" s="86"/>
      <c r="P243" s="86"/>
      <c r="Q243" s="86"/>
      <c r="R243" s="86"/>
      <c r="S243" s="86"/>
      <c r="T243" s="86"/>
      <c r="U243" s="142" t="str">
        <f t="shared" si="97"/>
        <v/>
      </c>
      <c r="V243" s="88"/>
      <c r="W243" s="88"/>
      <c r="X243" s="88"/>
      <c r="Y243" s="88"/>
      <c r="Z243" s="88"/>
      <c r="AA243" s="88"/>
      <c r="AB243" s="88"/>
      <c r="AC243" s="88"/>
      <c r="AD243" s="142" t="str">
        <f t="shared" si="98"/>
        <v/>
      </c>
      <c r="AE243" s="88"/>
      <c r="AF243" s="88"/>
      <c r="AG243" s="88"/>
      <c r="AH243" s="88"/>
      <c r="AI243" s="88"/>
      <c r="AJ243" s="88"/>
      <c r="AK243" s="88"/>
      <c r="AL243" s="88"/>
      <c r="AM243" s="88">
        <v>39.333333333333336</v>
      </c>
      <c r="AN243" s="88">
        <v>120</v>
      </c>
      <c r="AO243" s="89"/>
      <c r="AP243" s="90"/>
      <c r="AQ243" s="146" t="str">
        <f t="shared" si="99"/>
        <v/>
      </c>
      <c r="AR243" s="146" t="str">
        <f t="shared" si="100"/>
        <v/>
      </c>
      <c r="AS243" s="147"/>
      <c r="AT243" s="148"/>
      <c r="AU243" s="149"/>
      <c r="AV243" s="146" t="str">
        <f t="shared" si="101"/>
        <v/>
      </c>
      <c r="AW243" s="146" t="str">
        <f t="shared" si="102"/>
        <v/>
      </c>
      <c r="AX243" s="168" t="str">
        <f t="shared" si="103"/>
        <v/>
      </c>
      <c r="AY243" s="95"/>
      <c r="AZ243" s="96"/>
      <c r="BA243" s="96"/>
      <c r="BB243" s="96"/>
      <c r="BC243" s="96"/>
      <c r="BD243" s="97">
        <v>120</v>
      </c>
      <c r="BE243" s="142">
        <f t="shared" si="104"/>
        <v>9160</v>
      </c>
      <c r="BF243" s="98">
        <v>2506</v>
      </c>
      <c r="BG243" s="98">
        <v>0</v>
      </c>
      <c r="BH243" s="98">
        <v>41</v>
      </c>
      <c r="BI243" s="98">
        <v>6613</v>
      </c>
      <c r="BJ243" s="98"/>
      <c r="BK243" s="98"/>
      <c r="BL243" s="97"/>
    </row>
    <row r="244" spans="1:64" outlineLevel="5" x14ac:dyDescent="0.3">
      <c r="A244" s="152">
        <f t="shared" si="106"/>
        <v>7</v>
      </c>
      <c r="B244" s="153">
        <f t="shared" si="105"/>
        <v>45495</v>
      </c>
      <c r="C244" s="138">
        <f t="shared" si="95"/>
        <v>36.299999999999997</v>
      </c>
      <c r="D244" s="186">
        <v>36.4</v>
      </c>
      <c r="E244" s="186">
        <v>36.200000000000003</v>
      </c>
      <c r="F244" s="84"/>
      <c r="G244" s="84"/>
      <c r="H244" s="84"/>
      <c r="I244" s="84"/>
      <c r="J244" s="84"/>
      <c r="K244" s="84"/>
      <c r="L244" s="140" t="str">
        <f t="shared" si="96"/>
        <v/>
      </c>
      <c r="M244" s="86"/>
      <c r="N244" s="86"/>
      <c r="O244" s="86"/>
      <c r="P244" s="86"/>
      <c r="Q244" s="86"/>
      <c r="R244" s="86"/>
      <c r="S244" s="86"/>
      <c r="T244" s="86"/>
      <c r="U244" s="142" t="str">
        <f t="shared" si="97"/>
        <v/>
      </c>
      <c r="V244" s="88"/>
      <c r="W244" s="88"/>
      <c r="X244" s="88"/>
      <c r="Y244" s="88"/>
      <c r="Z244" s="88"/>
      <c r="AA244" s="88"/>
      <c r="AB244" s="88"/>
      <c r="AC244" s="88"/>
      <c r="AD244" s="142" t="str">
        <f t="shared" si="98"/>
        <v/>
      </c>
      <c r="AE244" s="88"/>
      <c r="AF244" s="88"/>
      <c r="AG244" s="88"/>
      <c r="AH244" s="88"/>
      <c r="AI244" s="88"/>
      <c r="AJ244" s="88"/>
      <c r="AK244" s="88"/>
      <c r="AL244" s="88"/>
      <c r="AM244" s="88">
        <v>35.975609756097562</v>
      </c>
      <c r="AN244" s="88">
        <v>131.19999999999999</v>
      </c>
      <c r="AO244" s="89">
        <v>18.5</v>
      </c>
      <c r="AP244" s="90">
        <v>16.3</v>
      </c>
      <c r="AQ244" s="146">
        <f t="shared" si="99"/>
        <v>88.108108108108112</v>
      </c>
      <c r="AR244" s="146">
        <f t="shared" si="100"/>
        <v>11.891891891891888</v>
      </c>
      <c r="AS244" s="147"/>
      <c r="AT244" s="148">
        <v>13.05</v>
      </c>
      <c r="AU244" s="149">
        <v>7.2</v>
      </c>
      <c r="AV244" s="146">
        <f t="shared" si="101"/>
        <v>55.172413793103445</v>
      </c>
      <c r="AW244" s="146">
        <f t="shared" si="102"/>
        <v>44.827586206896555</v>
      </c>
      <c r="AX244" s="168">
        <f t="shared" si="103"/>
        <v>83.388390750353949</v>
      </c>
      <c r="AY244" s="95">
        <v>74.599999999999994</v>
      </c>
      <c r="AZ244" s="96"/>
      <c r="BA244" s="96"/>
      <c r="BB244" s="96"/>
      <c r="BC244" s="96"/>
      <c r="BD244" s="97">
        <v>131.19999999999999</v>
      </c>
      <c r="BE244" s="142">
        <f t="shared" si="104"/>
        <v>10745</v>
      </c>
      <c r="BF244" s="98">
        <v>2849</v>
      </c>
      <c r="BG244" s="98">
        <v>0</v>
      </c>
      <c r="BH244" s="98">
        <v>1116</v>
      </c>
      <c r="BI244" s="98">
        <v>6780</v>
      </c>
      <c r="BJ244" s="98"/>
      <c r="BK244" s="98"/>
      <c r="BL244" s="97"/>
    </row>
    <row r="245" spans="1:64" outlineLevel="5" x14ac:dyDescent="0.3">
      <c r="A245" s="152">
        <f t="shared" si="106"/>
        <v>7</v>
      </c>
      <c r="B245" s="153">
        <f t="shared" si="105"/>
        <v>45496</v>
      </c>
      <c r="C245" s="138" t="str">
        <f t="shared" si="95"/>
        <v/>
      </c>
      <c r="D245" s="186"/>
      <c r="E245" s="186"/>
      <c r="F245" s="84"/>
      <c r="G245" s="84"/>
      <c r="H245" s="84"/>
      <c r="I245" s="84"/>
      <c r="J245" s="84"/>
      <c r="K245" s="84"/>
      <c r="L245" s="140" t="str">
        <f t="shared" si="96"/>
        <v/>
      </c>
      <c r="M245" s="86"/>
      <c r="N245" s="86"/>
      <c r="O245" s="86"/>
      <c r="P245" s="86"/>
      <c r="Q245" s="86"/>
      <c r="R245" s="86"/>
      <c r="S245" s="86"/>
      <c r="T245" s="86"/>
      <c r="U245" s="142" t="str">
        <f t="shared" si="97"/>
        <v/>
      </c>
      <c r="V245" s="88"/>
      <c r="W245" s="88"/>
      <c r="X245" s="88"/>
      <c r="Y245" s="88"/>
      <c r="Z245" s="88"/>
      <c r="AA245" s="88"/>
      <c r="AB245" s="88"/>
      <c r="AC245" s="88"/>
      <c r="AD245" s="142" t="str">
        <f t="shared" si="98"/>
        <v/>
      </c>
      <c r="AE245" s="88"/>
      <c r="AF245" s="88"/>
      <c r="AG245" s="88"/>
      <c r="AH245" s="88"/>
      <c r="AI245" s="88"/>
      <c r="AJ245" s="88"/>
      <c r="AK245" s="88"/>
      <c r="AL245" s="88"/>
      <c r="AM245" s="88">
        <v>37.823543553169323</v>
      </c>
      <c r="AN245" s="88">
        <v>124.79</v>
      </c>
      <c r="AO245" s="89"/>
      <c r="AP245" s="90"/>
      <c r="AQ245" s="146" t="str">
        <f t="shared" si="99"/>
        <v/>
      </c>
      <c r="AR245" s="146" t="str">
        <f t="shared" si="100"/>
        <v/>
      </c>
      <c r="AS245" s="147"/>
      <c r="AT245" s="148"/>
      <c r="AU245" s="149"/>
      <c r="AV245" s="146" t="str">
        <f t="shared" si="101"/>
        <v/>
      </c>
      <c r="AW245" s="146" t="str">
        <f t="shared" si="102"/>
        <v/>
      </c>
      <c r="AX245" s="168" t="str">
        <f t="shared" si="103"/>
        <v/>
      </c>
      <c r="AY245" s="95"/>
      <c r="AZ245" s="96">
        <v>59.730000000000004</v>
      </c>
      <c r="BA245" s="96"/>
      <c r="BB245" s="96">
        <v>33.5</v>
      </c>
      <c r="BC245" s="96"/>
      <c r="BD245" s="97">
        <v>124.79</v>
      </c>
      <c r="BE245" s="142">
        <f t="shared" si="104"/>
        <v>13146</v>
      </c>
      <c r="BF245" s="98">
        <v>2514</v>
      </c>
      <c r="BG245" s="98">
        <v>0</v>
      </c>
      <c r="BH245" s="98">
        <v>3888</v>
      </c>
      <c r="BI245" s="98">
        <v>6744</v>
      </c>
      <c r="BJ245" s="98"/>
      <c r="BK245" s="98"/>
      <c r="BL245" s="97"/>
    </row>
    <row r="246" spans="1:64" outlineLevel="5" x14ac:dyDescent="0.3">
      <c r="A246" s="152">
        <f t="shared" si="106"/>
        <v>7</v>
      </c>
      <c r="B246" s="153">
        <f t="shared" si="105"/>
        <v>45497</v>
      </c>
      <c r="C246" s="138">
        <f t="shared" si="95"/>
        <v>36</v>
      </c>
      <c r="D246" s="186">
        <v>36</v>
      </c>
      <c r="E246" s="186"/>
      <c r="F246" s="84"/>
      <c r="G246" s="84"/>
      <c r="H246" s="84"/>
      <c r="I246" s="84"/>
      <c r="J246" s="84"/>
      <c r="K246" s="84"/>
      <c r="L246" s="140" t="str">
        <f t="shared" si="96"/>
        <v/>
      </c>
      <c r="M246" s="86"/>
      <c r="N246" s="86"/>
      <c r="O246" s="86"/>
      <c r="P246" s="86"/>
      <c r="Q246" s="86"/>
      <c r="R246" s="86"/>
      <c r="S246" s="86"/>
      <c r="T246" s="86"/>
      <c r="U246" s="142" t="str">
        <f t="shared" si="97"/>
        <v/>
      </c>
      <c r="V246" s="88"/>
      <c r="W246" s="88"/>
      <c r="X246" s="88"/>
      <c r="Y246" s="88"/>
      <c r="Z246" s="88"/>
      <c r="AA246" s="88"/>
      <c r="AB246" s="88"/>
      <c r="AC246" s="88"/>
      <c r="AD246" s="142" t="str">
        <f t="shared" si="98"/>
        <v/>
      </c>
      <c r="AE246" s="88"/>
      <c r="AF246" s="88"/>
      <c r="AG246" s="88"/>
      <c r="AH246" s="88"/>
      <c r="AI246" s="88"/>
      <c r="AJ246" s="88"/>
      <c r="AK246" s="88"/>
      <c r="AL246" s="88"/>
      <c r="AM246" s="88">
        <v>37.744902039184325</v>
      </c>
      <c r="AN246" s="88">
        <v>125.05</v>
      </c>
      <c r="AO246" s="89"/>
      <c r="AP246" s="90"/>
      <c r="AQ246" s="146" t="str">
        <f t="shared" si="99"/>
        <v/>
      </c>
      <c r="AR246" s="146" t="str">
        <f t="shared" si="100"/>
        <v/>
      </c>
      <c r="AS246" s="147"/>
      <c r="AT246" s="148"/>
      <c r="AU246" s="149"/>
      <c r="AV246" s="146" t="str">
        <f t="shared" si="101"/>
        <v/>
      </c>
      <c r="AW246" s="146" t="str">
        <f t="shared" si="102"/>
        <v/>
      </c>
      <c r="AX246" s="168" t="str">
        <f t="shared" si="103"/>
        <v/>
      </c>
      <c r="AY246" s="95"/>
      <c r="AZ246" s="96"/>
      <c r="BA246" s="96"/>
      <c r="BB246" s="96"/>
      <c r="BC246" s="96"/>
      <c r="BD246" s="97">
        <v>125.05</v>
      </c>
      <c r="BE246" s="142">
        <f t="shared" si="104"/>
        <v>11537</v>
      </c>
      <c r="BF246" s="98">
        <v>2265</v>
      </c>
      <c r="BG246" s="98">
        <v>0</v>
      </c>
      <c r="BH246" s="98">
        <v>2718</v>
      </c>
      <c r="BI246" s="98">
        <v>6554</v>
      </c>
      <c r="BJ246" s="98"/>
      <c r="BK246" s="98"/>
      <c r="BL246" s="97"/>
    </row>
    <row r="247" spans="1:64" outlineLevel="5" x14ac:dyDescent="0.3">
      <c r="A247" s="152">
        <f t="shared" si="106"/>
        <v>7</v>
      </c>
      <c r="B247" s="153">
        <f t="shared" si="105"/>
        <v>45498</v>
      </c>
      <c r="C247" s="138">
        <f t="shared" si="95"/>
        <v>36.4</v>
      </c>
      <c r="D247" s="186">
        <v>36.299999999999997</v>
      </c>
      <c r="E247" s="186">
        <v>36.4</v>
      </c>
      <c r="F247" s="84"/>
      <c r="G247" s="84"/>
      <c r="H247" s="84"/>
      <c r="I247" s="84"/>
      <c r="J247" s="84"/>
      <c r="K247" s="84"/>
      <c r="L247" s="140" t="str">
        <f t="shared" si="96"/>
        <v/>
      </c>
      <c r="M247" s="86"/>
      <c r="N247" s="86"/>
      <c r="O247" s="86"/>
      <c r="P247" s="86"/>
      <c r="Q247" s="86"/>
      <c r="R247" s="86"/>
      <c r="S247" s="86"/>
      <c r="T247" s="86"/>
      <c r="U247" s="142" t="str">
        <f t="shared" si="97"/>
        <v/>
      </c>
      <c r="V247" s="88"/>
      <c r="W247" s="88"/>
      <c r="X247" s="88"/>
      <c r="Y247" s="88"/>
      <c r="Z247" s="88"/>
      <c r="AA247" s="88"/>
      <c r="AB247" s="88"/>
      <c r="AC247" s="88"/>
      <c r="AD247" s="142" t="str">
        <f t="shared" si="98"/>
        <v/>
      </c>
      <c r="AE247" s="88"/>
      <c r="AF247" s="88"/>
      <c r="AG247" s="88"/>
      <c r="AH247" s="88"/>
      <c r="AI247" s="88"/>
      <c r="AJ247" s="88"/>
      <c r="AK247" s="88"/>
      <c r="AL247" s="88"/>
      <c r="AM247" s="88">
        <v>38.190792135286024</v>
      </c>
      <c r="AN247" s="88">
        <v>123.59</v>
      </c>
      <c r="AO247" s="89"/>
      <c r="AP247" s="90"/>
      <c r="AQ247" s="146" t="str">
        <f t="shared" si="99"/>
        <v/>
      </c>
      <c r="AR247" s="146" t="str">
        <f t="shared" si="100"/>
        <v/>
      </c>
      <c r="AS247" s="147"/>
      <c r="AT247" s="148"/>
      <c r="AU247" s="149"/>
      <c r="AV247" s="146" t="str">
        <f t="shared" si="101"/>
        <v/>
      </c>
      <c r="AW247" s="146" t="str">
        <f t="shared" si="102"/>
        <v/>
      </c>
      <c r="AX247" s="168" t="str">
        <f t="shared" si="103"/>
        <v/>
      </c>
      <c r="AY247" s="95"/>
      <c r="AZ247" s="96"/>
      <c r="BA247" s="96"/>
      <c r="BB247" s="96"/>
      <c r="BC247" s="96"/>
      <c r="BD247" s="97">
        <v>123.59</v>
      </c>
      <c r="BE247" s="142">
        <f t="shared" si="104"/>
        <v>8810</v>
      </c>
      <c r="BF247" s="98">
        <v>2160</v>
      </c>
      <c r="BG247" s="98">
        <v>0</v>
      </c>
      <c r="BH247" s="98">
        <v>16</v>
      </c>
      <c r="BI247" s="98">
        <v>6634</v>
      </c>
      <c r="BJ247" s="98"/>
      <c r="BK247" s="98"/>
      <c r="BL247" s="97"/>
    </row>
    <row r="248" spans="1:64" outlineLevel="5" x14ac:dyDescent="0.3">
      <c r="A248" s="152">
        <f t="shared" si="106"/>
        <v>7</v>
      </c>
      <c r="B248" s="153">
        <f t="shared" si="105"/>
        <v>45499</v>
      </c>
      <c r="C248" s="138" t="str">
        <f t="shared" si="95"/>
        <v/>
      </c>
      <c r="D248" s="186"/>
      <c r="E248" s="186"/>
      <c r="F248" s="84"/>
      <c r="G248" s="84"/>
      <c r="H248" s="84"/>
      <c r="I248" s="84"/>
      <c r="J248" s="84"/>
      <c r="K248" s="84"/>
      <c r="L248" s="140" t="str">
        <f t="shared" si="96"/>
        <v/>
      </c>
      <c r="M248" s="86"/>
      <c r="N248" s="86"/>
      <c r="O248" s="86"/>
      <c r="P248" s="86"/>
      <c r="Q248" s="86"/>
      <c r="R248" s="86"/>
      <c r="S248" s="86"/>
      <c r="T248" s="86"/>
      <c r="U248" s="142" t="str">
        <f t="shared" si="97"/>
        <v/>
      </c>
      <c r="V248" s="88"/>
      <c r="W248" s="88"/>
      <c r="X248" s="88"/>
      <c r="Y248" s="88"/>
      <c r="Z248" s="88"/>
      <c r="AA248" s="88"/>
      <c r="AB248" s="88"/>
      <c r="AC248" s="88"/>
      <c r="AD248" s="142" t="str">
        <f t="shared" si="98"/>
        <v/>
      </c>
      <c r="AE248" s="88"/>
      <c r="AF248" s="88"/>
      <c r="AG248" s="88"/>
      <c r="AH248" s="88"/>
      <c r="AI248" s="88"/>
      <c r="AJ248" s="88"/>
      <c r="AK248" s="88"/>
      <c r="AL248" s="88"/>
      <c r="AM248" s="88">
        <v>51.908061145936429</v>
      </c>
      <c r="AN248" s="88">
        <v>90.93</v>
      </c>
      <c r="AO248" s="89"/>
      <c r="AP248" s="90"/>
      <c r="AQ248" s="146" t="str">
        <f t="shared" si="99"/>
        <v/>
      </c>
      <c r="AR248" s="146" t="str">
        <f t="shared" si="100"/>
        <v/>
      </c>
      <c r="AS248" s="147"/>
      <c r="AT248" s="148"/>
      <c r="AU248" s="149"/>
      <c r="AV248" s="146" t="str">
        <f t="shared" si="101"/>
        <v/>
      </c>
      <c r="AW248" s="146" t="str">
        <f t="shared" si="102"/>
        <v/>
      </c>
      <c r="AX248" s="168" t="str">
        <f t="shared" si="103"/>
        <v/>
      </c>
      <c r="AY248" s="95"/>
      <c r="AZ248" s="96">
        <v>62.625</v>
      </c>
      <c r="BA248" s="96"/>
      <c r="BB248" s="96">
        <v>32.5</v>
      </c>
      <c r="BC248" s="96"/>
      <c r="BD248" s="97">
        <v>90.93</v>
      </c>
      <c r="BE248" s="142">
        <f t="shared" si="104"/>
        <v>7670</v>
      </c>
      <c r="BF248" s="98">
        <v>1001</v>
      </c>
      <c r="BG248" s="98">
        <v>0</v>
      </c>
      <c r="BH248" s="98">
        <v>0</v>
      </c>
      <c r="BI248" s="98">
        <v>6669</v>
      </c>
      <c r="BJ248" s="98"/>
      <c r="BK248" s="98"/>
      <c r="BL248" s="97"/>
    </row>
    <row r="249" spans="1:64" outlineLevel="5" x14ac:dyDescent="0.3">
      <c r="A249" s="152">
        <f t="shared" si="106"/>
        <v>7</v>
      </c>
      <c r="B249" s="153">
        <f t="shared" si="105"/>
        <v>45500</v>
      </c>
      <c r="C249" s="138" t="str">
        <f t="shared" si="95"/>
        <v/>
      </c>
      <c r="D249" s="186"/>
      <c r="E249" s="186"/>
      <c r="F249" s="84"/>
      <c r="G249" s="84"/>
      <c r="H249" s="84"/>
      <c r="I249" s="84"/>
      <c r="J249" s="84"/>
      <c r="K249" s="84"/>
      <c r="L249" s="140" t="str">
        <f t="shared" si="96"/>
        <v/>
      </c>
      <c r="M249" s="86"/>
      <c r="N249" s="86"/>
      <c r="O249" s="86"/>
      <c r="P249" s="86"/>
      <c r="Q249" s="86"/>
      <c r="R249" s="86"/>
      <c r="S249" s="86"/>
      <c r="T249" s="86"/>
      <c r="U249" s="142" t="str">
        <f t="shared" si="97"/>
        <v/>
      </c>
      <c r="V249" s="88"/>
      <c r="W249" s="88"/>
      <c r="X249" s="88"/>
      <c r="Y249" s="88"/>
      <c r="Z249" s="88"/>
      <c r="AA249" s="88"/>
      <c r="AB249" s="88"/>
      <c r="AC249" s="88"/>
      <c r="AD249" s="142" t="str">
        <f t="shared" si="98"/>
        <v/>
      </c>
      <c r="AE249" s="88"/>
      <c r="AF249" s="88"/>
      <c r="AG249" s="88"/>
      <c r="AH249" s="88"/>
      <c r="AI249" s="88"/>
      <c r="AJ249" s="88"/>
      <c r="AK249" s="88"/>
      <c r="AL249" s="88"/>
      <c r="AM249" s="88">
        <v>38.110617682680662</v>
      </c>
      <c r="AN249" s="88">
        <v>123.85</v>
      </c>
      <c r="AO249" s="89"/>
      <c r="AP249" s="90"/>
      <c r="AQ249" s="146" t="str">
        <f t="shared" si="99"/>
        <v/>
      </c>
      <c r="AR249" s="146" t="str">
        <f t="shared" si="100"/>
        <v/>
      </c>
      <c r="AS249" s="147"/>
      <c r="AT249" s="148"/>
      <c r="AU249" s="149"/>
      <c r="AV249" s="146" t="str">
        <f t="shared" si="101"/>
        <v/>
      </c>
      <c r="AW249" s="146" t="str">
        <f t="shared" si="102"/>
        <v/>
      </c>
      <c r="AX249" s="168" t="str">
        <f t="shared" si="103"/>
        <v/>
      </c>
      <c r="AY249" s="95"/>
      <c r="AZ249" s="96"/>
      <c r="BA249" s="96"/>
      <c r="BB249" s="96"/>
      <c r="BC249" s="96"/>
      <c r="BD249" s="97">
        <v>123.85</v>
      </c>
      <c r="BE249" s="142">
        <f t="shared" si="104"/>
        <v>8527</v>
      </c>
      <c r="BF249" s="98">
        <v>1890</v>
      </c>
      <c r="BG249" s="98">
        <v>0</v>
      </c>
      <c r="BH249" s="98">
        <v>0</v>
      </c>
      <c r="BI249" s="98">
        <v>6637</v>
      </c>
      <c r="BJ249" s="98"/>
      <c r="BK249" s="98"/>
      <c r="BL249" s="97"/>
    </row>
    <row r="250" spans="1:64" outlineLevel="5" x14ac:dyDescent="0.3">
      <c r="A250" s="152">
        <f t="shared" si="106"/>
        <v>7</v>
      </c>
      <c r="B250" s="153">
        <f t="shared" si="105"/>
        <v>45501</v>
      </c>
      <c r="C250" s="138" t="str">
        <f t="shared" si="95"/>
        <v/>
      </c>
      <c r="D250" s="186"/>
      <c r="E250" s="186"/>
      <c r="F250" s="84"/>
      <c r="G250" s="84"/>
      <c r="H250" s="84"/>
      <c r="I250" s="84"/>
      <c r="J250" s="84"/>
      <c r="K250" s="84"/>
      <c r="L250" s="140" t="str">
        <f t="shared" si="96"/>
        <v/>
      </c>
      <c r="M250" s="86"/>
      <c r="N250" s="86"/>
      <c r="O250" s="86"/>
      <c r="P250" s="86"/>
      <c r="Q250" s="86"/>
      <c r="R250" s="86"/>
      <c r="S250" s="86"/>
      <c r="T250" s="86"/>
      <c r="U250" s="142" t="str">
        <f t="shared" si="97"/>
        <v/>
      </c>
      <c r="V250" s="88"/>
      <c r="W250" s="88"/>
      <c r="X250" s="88"/>
      <c r="Y250" s="88"/>
      <c r="Z250" s="88"/>
      <c r="AA250" s="88"/>
      <c r="AB250" s="88"/>
      <c r="AC250" s="88"/>
      <c r="AD250" s="142" t="str">
        <f t="shared" si="98"/>
        <v/>
      </c>
      <c r="AE250" s="88"/>
      <c r="AF250" s="88"/>
      <c r="AG250" s="88"/>
      <c r="AH250" s="88"/>
      <c r="AI250" s="88"/>
      <c r="AJ250" s="88"/>
      <c r="AK250" s="88"/>
      <c r="AL250" s="88"/>
      <c r="AM250" s="88">
        <v>36.307692307692307</v>
      </c>
      <c r="AN250" s="88">
        <v>130</v>
      </c>
      <c r="AO250" s="89"/>
      <c r="AP250" s="90"/>
      <c r="AQ250" s="146" t="str">
        <f t="shared" si="99"/>
        <v/>
      </c>
      <c r="AR250" s="146" t="str">
        <f t="shared" si="100"/>
        <v/>
      </c>
      <c r="AS250" s="147"/>
      <c r="AT250" s="148"/>
      <c r="AU250" s="149"/>
      <c r="AV250" s="146" t="str">
        <f t="shared" si="101"/>
        <v/>
      </c>
      <c r="AW250" s="146" t="str">
        <f t="shared" si="102"/>
        <v/>
      </c>
      <c r="AX250" s="168" t="str">
        <f t="shared" si="103"/>
        <v/>
      </c>
      <c r="AY250" s="95"/>
      <c r="AZ250" s="96"/>
      <c r="BA250" s="96"/>
      <c r="BB250" s="96"/>
      <c r="BC250" s="96"/>
      <c r="BD250" s="97">
        <v>130</v>
      </c>
      <c r="BE250" s="142">
        <f t="shared" si="104"/>
        <v>8782</v>
      </c>
      <c r="BF250" s="98">
        <v>2143</v>
      </c>
      <c r="BG250" s="98">
        <v>0</v>
      </c>
      <c r="BH250" s="98">
        <v>2</v>
      </c>
      <c r="BI250" s="98">
        <v>6637</v>
      </c>
      <c r="BJ250" s="98"/>
      <c r="BK250" s="98"/>
      <c r="BL250" s="97"/>
    </row>
    <row r="251" spans="1:64" outlineLevel="5" x14ac:dyDescent="0.3">
      <c r="A251" s="152">
        <f t="shared" si="106"/>
        <v>7</v>
      </c>
      <c r="B251" s="153">
        <f t="shared" si="105"/>
        <v>45502</v>
      </c>
      <c r="C251" s="138">
        <f t="shared" si="95"/>
        <v>36.5</v>
      </c>
      <c r="D251" s="186"/>
      <c r="E251" s="186">
        <v>36.5</v>
      </c>
      <c r="F251" s="84"/>
      <c r="G251" s="84"/>
      <c r="H251" s="84"/>
      <c r="I251" s="84"/>
      <c r="J251" s="84"/>
      <c r="K251" s="84"/>
      <c r="L251" s="140" t="str">
        <f t="shared" si="96"/>
        <v/>
      </c>
      <c r="M251" s="86"/>
      <c r="N251" s="86"/>
      <c r="O251" s="86"/>
      <c r="P251" s="86"/>
      <c r="Q251" s="86"/>
      <c r="R251" s="86"/>
      <c r="S251" s="86"/>
      <c r="T251" s="86"/>
      <c r="U251" s="142" t="str">
        <f t="shared" si="97"/>
        <v/>
      </c>
      <c r="V251" s="88"/>
      <c r="W251" s="88"/>
      <c r="X251" s="88"/>
      <c r="Y251" s="88"/>
      <c r="Z251" s="88"/>
      <c r="AA251" s="88"/>
      <c r="AB251" s="88"/>
      <c r="AC251" s="88"/>
      <c r="AD251" s="142" t="str">
        <f t="shared" si="98"/>
        <v/>
      </c>
      <c r="AE251" s="88"/>
      <c r="AF251" s="88"/>
      <c r="AG251" s="88"/>
      <c r="AH251" s="88"/>
      <c r="AI251" s="88"/>
      <c r="AJ251" s="88"/>
      <c r="AK251" s="88"/>
      <c r="AL251" s="88"/>
      <c r="AM251" s="88">
        <v>45.367166474432914</v>
      </c>
      <c r="AN251" s="88">
        <v>104.03999999999999</v>
      </c>
      <c r="AO251" s="89">
        <v>17</v>
      </c>
      <c r="AP251" s="90">
        <v>15</v>
      </c>
      <c r="AQ251" s="146">
        <f t="shared" si="99"/>
        <v>88.235294117647058</v>
      </c>
      <c r="AR251" s="146">
        <f t="shared" si="100"/>
        <v>11.764705882352942</v>
      </c>
      <c r="AS251" s="147"/>
      <c r="AT251" s="148">
        <v>12.9</v>
      </c>
      <c r="AU251" s="149">
        <v>8.1</v>
      </c>
      <c r="AV251" s="146">
        <f t="shared" si="101"/>
        <v>62.790697674418603</v>
      </c>
      <c r="AW251" s="146">
        <f t="shared" si="102"/>
        <v>37.209302325581397</v>
      </c>
      <c r="AX251" s="168">
        <f t="shared" si="103"/>
        <v>77.5</v>
      </c>
      <c r="AY251" s="95">
        <v>78.099999999999994</v>
      </c>
      <c r="AZ251" s="96"/>
      <c r="BA251" s="96"/>
      <c r="BB251" s="96"/>
      <c r="BC251" s="96"/>
      <c r="BD251" s="97">
        <v>104.03999999999999</v>
      </c>
      <c r="BE251" s="142">
        <f t="shared" si="104"/>
        <v>9520</v>
      </c>
      <c r="BF251" s="98">
        <v>2353</v>
      </c>
      <c r="BG251" s="98">
        <v>0</v>
      </c>
      <c r="BH251" s="98">
        <v>487</v>
      </c>
      <c r="BI251" s="98">
        <v>6680</v>
      </c>
      <c r="BJ251" s="98"/>
      <c r="BK251" s="98"/>
      <c r="BL251" s="97"/>
    </row>
    <row r="252" spans="1:64" outlineLevel="5" x14ac:dyDescent="0.3">
      <c r="A252" s="152">
        <f t="shared" si="106"/>
        <v>7</v>
      </c>
      <c r="B252" s="153">
        <f t="shared" si="105"/>
        <v>45503</v>
      </c>
      <c r="C252" s="138" t="str">
        <f t="shared" si="95"/>
        <v/>
      </c>
      <c r="D252" s="186"/>
      <c r="E252" s="186"/>
      <c r="F252" s="84"/>
      <c r="G252" s="84"/>
      <c r="H252" s="84"/>
      <c r="I252" s="84"/>
      <c r="J252" s="84"/>
      <c r="K252" s="84"/>
      <c r="L252" s="140" t="str">
        <f t="shared" si="96"/>
        <v/>
      </c>
      <c r="M252" s="86"/>
      <c r="N252" s="86"/>
      <c r="O252" s="86"/>
      <c r="P252" s="86"/>
      <c r="Q252" s="86"/>
      <c r="R252" s="86"/>
      <c r="S252" s="86"/>
      <c r="T252" s="86"/>
      <c r="U252" s="142" t="str">
        <f t="shared" si="97"/>
        <v/>
      </c>
      <c r="V252" s="88"/>
      <c r="W252" s="88"/>
      <c r="X252" s="88"/>
      <c r="Y252" s="88"/>
      <c r="Z252" s="88"/>
      <c r="AA252" s="88"/>
      <c r="AB252" s="88"/>
      <c r="AC252" s="88"/>
      <c r="AD252" s="142" t="str">
        <f t="shared" si="98"/>
        <v/>
      </c>
      <c r="AE252" s="88"/>
      <c r="AF252" s="88"/>
      <c r="AG252" s="88"/>
      <c r="AH252" s="88"/>
      <c r="AI252" s="88"/>
      <c r="AJ252" s="88"/>
      <c r="AK252" s="88"/>
      <c r="AL252" s="88"/>
      <c r="AM252" s="88">
        <v>35.762994393089855</v>
      </c>
      <c r="AN252" s="88">
        <v>131.98000000000002</v>
      </c>
      <c r="AO252" s="89"/>
      <c r="AP252" s="90"/>
      <c r="AQ252" s="146" t="str">
        <f t="shared" si="99"/>
        <v/>
      </c>
      <c r="AR252" s="146" t="str">
        <f t="shared" si="100"/>
        <v/>
      </c>
      <c r="AS252" s="147"/>
      <c r="AT252" s="148"/>
      <c r="AU252" s="149"/>
      <c r="AV252" s="146" t="str">
        <f t="shared" si="101"/>
        <v/>
      </c>
      <c r="AW252" s="146" t="str">
        <f t="shared" si="102"/>
        <v/>
      </c>
      <c r="AX252" s="168" t="str">
        <f t="shared" si="103"/>
        <v/>
      </c>
      <c r="AY252" s="95"/>
      <c r="AZ252" s="96">
        <v>60.835000000000001</v>
      </c>
      <c r="BA252" s="96"/>
      <c r="BB252" s="96">
        <v>41.5</v>
      </c>
      <c r="BC252" s="96"/>
      <c r="BD252" s="97">
        <v>131.98000000000002</v>
      </c>
      <c r="BE252" s="142">
        <f t="shared" si="104"/>
        <v>12941</v>
      </c>
      <c r="BF252" s="98">
        <v>2809</v>
      </c>
      <c r="BG252" s="98">
        <v>0</v>
      </c>
      <c r="BH252" s="98">
        <v>3412</v>
      </c>
      <c r="BI252" s="98">
        <v>6720</v>
      </c>
      <c r="BJ252" s="98"/>
      <c r="BK252" s="98"/>
      <c r="BL252" s="97"/>
    </row>
    <row r="253" spans="1:64" ht="17.25" outlineLevel="5" thickBot="1" x14ac:dyDescent="0.35">
      <c r="A253" s="154">
        <f t="shared" si="106"/>
        <v>7</v>
      </c>
      <c r="B253" s="155">
        <f t="shared" si="105"/>
        <v>45504</v>
      </c>
      <c r="C253" s="138" t="str">
        <f t="shared" si="95"/>
        <v/>
      </c>
      <c r="D253" s="186"/>
      <c r="E253" s="186"/>
      <c r="F253" s="84"/>
      <c r="G253" s="84"/>
      <c r="H253" s="84"/>
      <c r="I253" s="84"/>
      <c r="J253" s="84"/>
      <c r="K253" s="84"/>
      <c r="L253" s="140" t="str">
        <f t="shared" si="96"/>
        <v/>
      </c>
      <c r="M253" s="86"/>
      <c r="N253" s="86"/>
      <c r="O253" s="86"/>
      <c r="P253" s="86"/>
      <c r="Q253" s="86"/>
      <c r="R253" s="86"/>
      <c r="S253" s="86"/>
      <c r="T253" s="86"/>
      <c r="U253" s="142" t="str">
        <f t="shared" si="97"/>
        <v/>
      </c>
      <c r="V253" s="88"/>
      <c r="W253" s="88"/>
      <c r="X253" s="88"/>
      <c r="Y253" s="88"/>
      <c r="Z253" s="88"/>
      <c r="AA253" s="88"/>
      <c r="AB253" s="88"/>
      <c r="AC253" s="88"/>
      <c r="AD253" s="142" t="str">
        <f t="shared" si="98"/>
        <v/>
      </c>
      <c r="AE253" s="88"/>
      <c r="AF253" s="88"/>
      <c r="AG253" s="88"/>
      <c r="AH253" s="88"/>
      <c r="AI253" s="88"/>
      <c r="AJ253" s="88"/>
      <c r="AK253" s="88"/>
      <c r="AL253" s="88"/>
      <c r="AM253" s="88">
        <v>46.170400078254922</v>
      </c>
      <c r="AN253" s="88">
        <v>102.22999999999999</v>
      </c>
      <c r="AO253" s="89"/>
      <c r="AP253" s="90"/>
      <c r="AQ253" s="146" t="str">
        <f t="shared" si="99"/>
        <v/>
      </c>
      <c r="AR253" s="146" t="str">
        <f t="shared" si="100"/>
        <v/>
      </c>
      <c r="AS253" s="147"/>
      <c r="AT253" s="148"/>
      <c r="AU253" s="149"/>
      <c r="AV253" s="146" t="str">
        <f t="shared" si="101"/>
        <v/>
      </c>
      <c r="AW253" s="146" t="str">
        <f t="shared" si="102"/>
        <v/>
      </c>
      <c r="AX253" s="168" t="str">
        <f t="shared" si="103"/>
        <v/>
      </c>
      <c r="AY253" s="95"/>
      <c r="AZ253" s="96"/>
      <c r="BA253" s="96"/>
      <c r="BB253" s="96"/>
      <c r="BC253" s="96"/>
      <c r="BD253" s="97">
        <v>102.22999999999999</v>
      </c>
      <c r="BE253" s="142">
        <f t="shared" si="104"/>
        <v>10456</v>
      </c>
      <c r="BF253" s="98">
        <v>2538</v>
      </c>
      <c r="BG253" s="98"/>
      <c r="BH253" s="98">
        <v>1259</v>
      </c>
      <c r="BI253" s="98">
        <v>6659</v>
      </c>
      <c r="BJ253" s="98"/>
      <c r="BK253" s="98"/>
      <c r="BL253" s="97"/>
    </row>
    <row r="254" spans="1:64" outlineLevel="4" x14ac:dyDescent="0.3">
      <c r="A254" s="63" t="s">
        <v>81</v>
      </c>
      <c r="B254" s="64"/>
      <c r="C254" s="65">
        <f t="shared" ref="C254:BL254" si="107">SUBTOTAL(4,C223:C253)</f>
        <v>38</v>
      </c>
      <c r="D254" s="66">
        <f t="shared" si="107"/>
        <v>38</v>
      </c>
      <c r="E254" s="66">
        <f t="shared" si="107"/>
        <v>38</v>
      </c>
      <c r="F254" s="66">
        <f t="shared" si="107"/>
        <v>0</v>
      </c>
      <c r="G254" s="66">
        <f t="shared" si="107"/>
        <v>0</v>
      </c>
      <c r="H254" s="66">
        <f t="shared" si="107"/>
        <v>0</v>
      </c>
      <c r="I254" s="66">
        <f t="shared" si="107"/>
        <v>0</v>
      </c>
      <c r="J254" s="66">
        <f t="shared" si="107"/>
        <v>0</v>
      </c>
      <c r="K254" s="66">
        <f t="shared" si="107"/>
        <v>0</v>
      </c>
      <c r="L254" s="67">
        <f t="shared" si="107"/>
        <v>0</v>
      </c>
      <c r="M254" s="68">
        <f t="shared" si="107"/>
        <v>0</v>
      </c>
      <c r="N254" s="68">
        <f t="shared" si="107"/>
        <v>0</v>
      </c>
      <c r="O254" s="68">
        <f t="shared" si="107"/>
        <v>0</v>
      </c>
      <c r="P254" s="68">
        <f t="shared" si="107"/>
        <v>0</v>
      </c>
      <c r="Q254" s="68">
        <f t="shared" si="107"/>
        <v>0</v>
      </c>
      <c r="R254" s="68">
        <f t="shared" si="107"/>
        <v>0</v>
      </c>
      <c r="S254" s="68">
        <f t="shared" si="107"/>
        <v>0</v>
      </c>
      <c r="T254" s="68">
        <f t="shared" si="107"/>
        <v>0</v>
      </c>
      <c r="U254" s="69">
        <f t="shared" si="107"/>
        <v>2397</v>
      </c>
      <c r="V254" s="70">
        <f t="shared" si="107"/>
        <v>2024</v>
      </c>
      <c r="W254" s="70">
        <f t="shared" si="107"/>
        <v>2938</v>
      </c>
      <c r="X254" s="70">
        <f t="shared" si="107"/>
        <v>0</v>
      </c>
      <c r="Y254" s="70">
        <f t="shared" si="107"/>
        <v>0</v>
      </c>
      <c r="Z254" s="70">
        <f t="shared" si="107"/>
        <v>0</v>
      </c>
      <c r="AA254" s="70">
        <f t="shared" si="107"/>
        <v>0</v>
      </c>
      <c r="AB254" s="70">
        <f t="shared" si="107"/>
        <v>0</v>
      </c>
      <c r="AC254" s="70">
        <f t="shared" si="107"/>
        <v>0</v>
      </c>
      <c r="AD254" s="69">
        <f t="shared" si="107"/>
        <v>11050</v>
      </c>
      <c r="AE254" s="70">
        <f t="shared" si="107"/>
        <v>14000</v>
      </c>
      <c r="AF254" s="70">
        <f t="shared" si="107"/>
        <v>8100</v>
      </c>
      <c r="AG254" s="70">
        <f t="shared" si="107"/>
        <v>0</v>
      </c>
      <c r="AH254" s="70">
        <f t="shared" si="107"/>
        <v>0</v>
      </c>
      <c r="AI254" s="70">
        <f t="shared" si="107"/>
        <v>0</v>
      </c>
      <c r="AJ254" s="70">
        <f t="shared" si="107"/>
        <v>0</v>
      </c>
      <c r="AK254" s="70">
        <f t="shared" si="107"/>
        <v>0</v>
      </c>
      <c r="AL254" s="70">
        <f t="shared" si="107"/>
        <v>0</v>
      </c>
      <c r="AM254" s="70">
        <f t="shared" si="107"/>
        <v>53.44202898550725</v>
      </c>
      <c r="AN254" s="70">
        <f t="shared" si="107"/>
        <v>157.9</v>
      </c>
      <c r="AO254" s="71">
        <f t="shared" si="107"/>
        <v>20.7</v>
      </c>
      <c r="AP254" s="72">
        <f t="shared" si="107"/>
        <v>16.3</v>
      </c>
      <c r="AQ254" s="73">
        <f t="shared" si="107"/>
        <v>90.055248618784518</v>
      </c>
      <c r="AR254" s="73">
        <f t="shared" si="107"/>
        <v>28.985507246376812</v>
      </c>
      <c r="AS254" s="74">
        <f t="shared" si="107"/>
        <v>0</v>
      </c>
      <c r="AT254" s="75">
        <f t="shared" si="107"/>
        <v>13.35</v>
      </c>
      <c r="AU254" s="76">
        <f t="shared" si="107"/>
        <v>8.1</v>
      </c>
      <c r="AV254" s="73">
        <f t="shared" si="107"/>
        <v>62.790697674418603</v>
      </c>
      <c r="AW254" s="73">
        <f t="shared" si="107"/>
        <v>44.827586206896555</v>
      </c>
      <c r="AX254" s="65">
        <f t="shared" si="107"/>
        <v>83.388390750353949</v>
      </c>
      <c r="AY254" s="77">
        <f t="shared" si="107"/>
        <v>78.099999999999994</v>
      </c>
      <c r="AZ254" s="78">
        <f t="shared" si="107"/>
        <v>62.625</v>
      </c>
      <c r="BA254" s="78">
        <f t="shared" si="107"/>
        <v>0</v>
      </c>
      <c r="BB254" s="78">
        <f t="shared" si="107"/>
        <v>42</v>
      </c>
      <c r="BC254" s="78">
        <f t="shared" si="107"/>
        <v>0</v>
      </c>
      <c r="BD254" s="79">
        <f t="shared" si="107"/>
        <v>157.9</v>
      </c>
      <c r="BE254" s="69">
        <f t="shared" si="107"/>
        <v>13146</v>
      </c>
      <c r="BF254" s="70">
        <f t="shared" si="107"/>
        <v>3135</v>
      </c>
      <c r="BG254" s="80">
        <f t="shared" si="107"/>
        <v>0</v>
      </c>
      <c r="BH254" s="80">
        <f t="shared" si="107"/>
        <v>3888</v>
      </c>
      <c r="BI254" s="80">
        <f t="shared" si="107"/>
        <v>6897</v>
      </c>
      <c r="BJ254" s="80">
        <f t="shared" si="107"/>
        <v>0</v>
      </c>
      <c r="BK254" s="80">
        <f t="shared" si="107"/>
        <v>0</v>
      </c>
      <c r="BL254" s="79">
        <f t="shared" si="107"/>
        <v>0</v>
      </c>
    </row>
    <row r="255" spans="1:64" outlineLevel="3" x14ac:dyDescent="0.3">
      <c r="A255" s="81" t="s">
        <v>82</v>
      </c>
      <c r="B255" s="82"/>
      <c r="C255" s="83">
        <f t="shared" ref="C255:BL255" si="108">SUBTOTAL(5,C223:C253)</f>
        <v>36</v>
      </c>
      <c r="D255" s="84">
        <f t="shared" si="108"/>
        <v>36</v>
      </c>
      <c r="E255" s="84">
        <f t="shared" si="108"/>
        <v>36.200000000000003</v>
      </c>
      <c r="F255" s="84">
        <f t="shared" si="108"/>
        <v>0</v>
      </c>
      <c r="G255" s="84">
        <f t="shared" si="108"/>
        <v>0</v>
      </c>
      <c r="H255" s="84">
        <f t="shared" si="108"/>
        <v>0</v>
      </c>
      <c r="I255" s="84">
        <f t="shared" si="108"/>
        <v>0</v>
      </c>
      <c r="J255" s="84">
        <f t="shared" si="108"/>
        <v>0</v>
      </c>
      <c r="K255" s="84">
        <f t="shared" si="108"/>
        <v>0</v>
      </c>
      <c r="L255" s="85">
        <f t="shared" si="108"/>
        <v>0</v>
      </c>
      <c r="M255" s="86">
        <f t="shared" si="108"/>
        <v>0</v>
      </c>
      <c r="N255" s="86">
        <f t="shared" si="108"/>
        <v>0</v>
      </c>
      <c r="O255" s="86">
        <f t="shared" si="108"/>
        <v>0</v>
      </c>
      <c r="P255" s="86">
        <f t="shared" si="108"/>
        <v>0</v>
      </c>
      <c r="Q255" s="86">
        <f t="shared" si="108"/>
        <v>0</v>
      </c>
      <c r="R255" s="86">
        <f t="shared" si="108"/>
        <v>0</v>
      </c>
      <c r="S255" s="86">
        <f t="shared" si="108"/>
        <v>0</v>
      </c>
      <c r="T255" s="86">
        <f t="shared" si="108"/>
        <v>0</v>
      </c>
      <c r="U255" s="87">
        <f t="shared" si="108"/>
        <v>2117</v>
      </c>
      <c r="V255" s="88">
        <f t="shared" si="108"/>
        <v>1856</v>
      </c>
      <c r="W255" s="88">
        <f t="shared" si="108"/>
        <v>2210</v>
      </c>
      <c r="X255" s="88">
        <f t="shared" si="108"/>
        <v>0</v>
      </c>
      <c r="Y255" s="88">
        <f t="shared" si="108"/>
        <v>0</v>
      </c>
      <c r="Z255" s="88">
        <f t="shared" si="108"/>
        <v>0</v>
      </c>
      <c r="AA255" s="88">
        <f t="shared" si="108"/>
        <v>0</v>
      </c>
      <c r="AB255" s="88">
        <f t="shared" si="108"/>
        <v>0</v>
      </c>
      <c r="AC255" s="88">
        <f t="shared" si="108"/>
        <v>0</v>
      </c>
      <c r="AD255" s="87">
        <f t="shared" si="108"/>
        <v>10400</v>
      </c>
      <c r="AE255" s="88">
        <f t="shared" si="108"/>
        <v>12900</v>
      </c>
      <c r="AF255" s="88">
        <f t="shared" si="108"/>
        <v>7900</v>
      </c>
      <c r="AG255" s="88">
        <f t="shared" si="108"/>
        <v>0</v>
      </c>
      <c r="AH255" s="88">
        <f t="shared" si="108"/>
        <v>0</v>
      </c>
      <c r="AI255" s="88">
        <f t="shared" si="108"/>
        <v>0</v>
      </c>
      <c r="AJ255" s="88">
        <f t="shared" si="108"/>
        <v>0</v>
      </c>
      <c r="AK255" s="88">
        <f t="shared" si="108"/>
        <v>0</v>
      </c>
      <c r="AL255" s="88">
        <f t="shared" si="108"/>
        <v>0</v>
      </c>
      <c r="AM255" s="88">
        <f t="shared" si="108"/>
        <v>29.892336922102597</v>
      </c>
      <c r="AN255" s="88">
        <f t="shared" si="108"/>
        <v>88.32</v>
      </c>
      <c r="AO255" s="89">
        <f t="shared" si="108"/>
        <v>17</v>
      </c>
      <c r="AP255" s="90">
        <f t="shared" si="108"/>
        <v>14.7</v>
      </c>
      <c r="AQ255" s="91">
        <f t="shared" si="108"/>
        <v>71.014492753623188</v>
      </c>
      <c r="AR255" s="91">
        <f t="shared" si="108"/>
        <v>9.9447513812154824</v>
      </c>
      <c r="AS255" s="92">
        <f t="shared" si="108"/>
        <v>0</v>
      </c>
      <c r="AT255" s="93">
        <f t="shared" si="108"/>
        <v>12.9</v>
      </c>
      <c r="AU255" s="94">
        <f t="shared" si="108"/>
        <v>7.2</v>
      </c>
      <c r="AV255" s="91">
        <f t="shared" si="108"/>
        <v>55.172413793103445</v>
      </c>
      <c r="AW255" s="91">
        <f t="shared" si="108"/>
        <v>37.209302325581397</v>
      </c>
      <c r="AX255" s="83">
        <f t="shared" si="108"/>
        <v>42.636514065085464</v>
      </c>
      <c r="AY255" s="95">
        <f t="shared" si="108"/>
        <v>73.900000000000006</v>
      </c>
      <c r="AZ255" s="96">
        <f t="shared" si="108"/>
        <v>59.730000000000004</v>
      </c>
      <c r="BA255" s="96">
        <f t="shared" si="108"/>
        <v>0</v>
      </c>
      <c r="BB255" s="96">
        <f t="shared" si="108"/>
        <v>26.5</v>
      </c>
      <c r="BC255" s="96">
        <f t="shared" si="108"/>
        <v>0</v>
      </c>
      <c r="BD255" s="97">
        <f t="shared" si="108"/>
        <v>88.32</v>
      </c>
      <c r="BE255" s="87">
        <f t="shared" si="108"/>
        <v>7670</v>
      </c>
      <c r="BF255" s="88">
        <f t="shared" si="108"/>
        <v>0</v>
      </c>
      <c r="BG255" s="98">
        <f t="shared" si="108"/>
        <v>0</v>
      </c>
      <c r="BH255" s="98">
        <f t="shared" si="108"/>
        <v>0</v>
      </c>
      <c r="BI255" s="98">
        <f t="shared" si="108"/>
        <v>5159</v>
      </c>
      <c r="BJ255" s="98">
        <f t="shared" si="108"/>
        <v>0</v>
      </c>
      <c r="BK255" s="98">
        <f t="shared" si="108"/>
        <v>0</v>
      </c>
      <c r="BL255" s="97">
        <f t="shared" si="108"/>
        <v>0</v>
      </c>
    </row>
    <row r="256" spans="1:64" outlineLevel="2" x14ac:dyDescent="0.3">
      <c r="A256" s="81" t="s">
        <v>83</v>
      </c>
      <c r="B256" s="82"/>
      <c r="C256" s="83">
        <f t="shared" ref="C256:BL256" si="109">IFERROR(SUBTOTAL(1,C223:C253),"")</f>
        <v>36.842857142857142</v>
      </c>
      <c r="D256" s="84">
        <f t="shared" si="109"/>
        <v>36.820000000000007</v>
      </c>
      <c r="E256" s="84">
        <f t="shared" si="109"/>
        <v>36.983333333333334</v>
      </c>
      <c r="F256" s="84" t="str">
        <f t="shared" si="109"/>
        <v/>
      </c>
      <c r="G256" s="84" t="str">
        <f t="shared" si="109"/>
        <v/>
      </c>
      <c r="H256" s="84" t="str">
        <f t="shared" si="109"/>
        <v/>
      </c>
      <c r="I256" s="84" t="str">
        <f t="shared" si="109"/>
        <v/>
      </c>
      <c r="J256" s="84" t="str">
        <f t="shared" si="109"/>
        <v/>
      </c>
      <c r="K256" s="84" t="str">
        <f t="shared" si="109"/>
        <v/>
      </c>
      <c r="L256" s="85" t="str">
        <f t="shared" si="109"/>
        <v/>
      </c>
      <c r="M256" s="86" t="str">
        <f t="shared" si="109"/>
        <v/>
      </c>
      <c r="N256" s="86" t="str">
        <f t="shared" si="109"/>
        <v/>
      </c>
      <c r="O256" s="86" t="str">
        <f t="shared" si="109"/>
        <v/>
      </c>
      <c r="P256" s="86" t="str">
        <f t="shared" si="109"/>
        <v/>
      </c>
      <c r="Q256" s="86" t="str">
        <f t="shared" si="109"/>
        <v/>
      </c>
      <c r="R256" s="86" t="str">
        <f t="shared" si="109"/>
        <v/>
      </c>
      <c r="S256" s="86" t="str">
        <f t="shared" si="109"/>
        <v/>
      </c>
      <c r="T256" s="86" t="str">
        <f t="shared" si="109"/>
        <v/>
      </c>
      <c r="U256" s="87">
        <f t="shared" si="109"/>
        <v>2257</v>
      </c>
      <c r="V256" s="88">
        <f t="shared" si="109"/>
        <v>1940</v>
      </c>
      <c r="W256" s="88">
        <f t="shared" si="109"/>
        <v>2574</v>
      </c>
      <c r="X256" s="88" t="str">
        <f t="shared" si="109"/>
        <v/>
      </c>
      <c r="Y256" s="88" t="str">
        <f t="shared" si="109"/>
        <v/>
      </c>
      <c r="Z256" s="88" t="str">
        <f t="shared" si="109"/>
        <v/>
      </c>
      <c r="AA256" s="88" t="str">
        <f t="shared" si="109"/>
        <v/>
      </c>
      <c r="AB256" s="88" t="str">
        <f t="shared" si="109"/>
        <v/>
      </c>
      <c r="AC256" s="88" t="str">
        <f t="shared" si="109"/>
        <v/>
      </c>
      <c r="AD256" s="87">
        <f t="shared" si="109"/>
        <v>10725</v>
      </c>
      <c r="AE256" s="88">
        <f t="shared" si="109"/>
        <v>13450</v>
      </c>
      <c r="AF256" s="88">
        <f t="shared" si="109"/>
        <v>8000</v>
      </c>
      <c r="AG256" s="88" t="str">
        <f t="shared" si="109"/>
        <v/>
      </c>
      <c r="AH256" s="88" t="str">
        <f t="shared" si="109"/>
        <v/>
      </c>
      <c r="AI256" s="88" t="str">
        <f t="shared" si="109"/>
        <v/>
      </c>
      <c r="AJ256" s="88" t="str">
        <f t="shared" si="109"/>
        <v/>
      </c>
      <c r="AK256" s="88" t="str">
        <f t="shared" si="109"/>
        <v/>
      </c>
      <c r="AL256" s="88" t="str">
        <f t="shared" si="109"/>
        <v/>
      </c>
      <c r="AM256" s="88">
        <f t="shared" si="109"/>
        <v>40.74878723569639</v>
      </c>
      <c r="AN256" s="88">
        <f t="shared" si="109"/>
        <v>118.19451612903227</v>
      </c>
      <c r="AO256" s="89">
        <f t="shared" si="109"/>
        <v>18.574999999999999</v>
      </c>
      <c r="AP256" s="90">
        <f t="shared" si="109"/>
        <v>15.574999999999999</v>
      </c>
      <c r="AQ256" s="91">
        <f t="shared" si="109"/>
        <v>84.353285899540722</v>
      </c>
      <c r="AR256" s="91">
        <f t="shared" si="109"/>
        <v>15.646714100459281</v>
      </c>
      <c r="AS256" s="92" t="str">
        <f t="shared" si="109"/>
        <v/>
      </c>
      <c r="AT256" s="93">
        <f t="shared" si="109"/>
        <v>13.1625</v>
      </c>
      <c r="AU256" s="94">
        <f t="shared" si="109"/>
        <v>7.8000000000000007</v>
      </c>
      <c r="AV256" s="91">
        <f t="shared" si="109"/>
        <v>59.266058765756924</v>
      </c>
      <c r="AW256" s="91">
        <f t="shared" si="109"/>
        <v>40.733941234243076</v>
      </c>
      <c r="AX256" s="83">
        <f t="shared" si="109"/>
        <v>71.621804643824788</v>
      </c>
      <c r="AY256" s="95">
        <f t="shared" si="109"/>
        <v>75.490000000000009</v>
      </c>
      <c r="AZ256" s="96">
        <f t="shared" si="109"/>
        <v>60.990454545454554</v>
      </c>
      <c r="BA256" s="96" t="str">
        <f t="shared" si="109"/>
        <v/>
      </c>
      <c r="BB256" s="96">
        <f t="shared" si="109"/>
        <v>35.909090909090907</v>
      </c>
      <c r="BC256" s="96" t="str">
        <f t="shared" si="109"/>
        <v/>
      </c>
      <c r="BD256" s="97">
        <f>IFERROR(SUBTOTAL(1,BD223:BD253),"")</f>
        <v>118.19451612903227</v>
      </c>
      <c r="BE256" s="87">
        <f t="shared" si="109"/>
        <v>10126.58064516129</v>
      </c>
      <c r="BF256" s="88">
        <f t="shared" si="109"/>
        <v>1938.0645161290322</v>
      </c>
      <c r="BG256" s="98">
        <f t="shared" si="109"/>
        <v>0</v>
      </c>
      <c r="BH256" s="98">
        <f t="shared" si="109"/>
        <v>1539.5483870967741</v>
      </c>
      <c r="BI256" s="98">
        <f t="shared" si="109"/>
        <v>6648.9677419354839</v>
      </c>
      <c r="BJ256" s="98" t="str">
        <f t="shared" si="109"/>
        <v/>
      </c>
      <c r="BK256" s="98" t="str">
        <f t="shared" si="109"/>
        <v/>
      </c>
      <c r="BL256" s="97" t="str">
        <f t="shared" si="109"/>
        <v/>
      </c>
    </row>
    <row r="257" spans="1:64" ht="17.25" outlineLevel="1" thickBot="1" x14ac:dyDescent="0.35">
      <c r="A257" s="99" t="s">
        <v>84</v>
      </c>
      <c r="B257" s="100"/>
      <c r="C257" s="101"/>
      <c r="D257" s="102"/>
      <c r="E257" s="102"/>
      <c r="F257" s="102"/>
      <c r="G257" s="102"/>
      <c r="H257" s="102"/>
      <c r="I257" s="102"/>
      <c r="J257" s="102"/>
      <c r="K257" s="102"/>
      <c r="L257" s="103"/>
      <c r="M257" s="104"/>
      <c r="N257" s="104"/>
      <c r="O257" s="104"/>
      <c r="P257" s="104"/>
      <c r="Q257" s="104"/>
      <c r="R257" s="104"/>
      <c r="S257" s="104"/>
      <c r="T257" s="104"/>
      <c r="U257" s="105"/>
      <c r="V257" s="106"/>
      <c r="W257" s="106"/>
      <c r="X257" s="106"/>
      <c r="Y257" s="106"/>
      <c r="Z257" s="106"/>
      <c r="AA257" s="106"/>
      <c r="AB257" s="106"/>
      <c r="AC257" s="106"/>
      <c r="AD257" s="105"/>
      <c r="AE257" s="106"/>
      <c r="AF257" s="106"/>
      <c r="AG257" s="106"/>
      <c r="AH257" s="106"/>
      <c r="AI257" s="106"/>
      <c r="AJ257" s="106"/>
      <c r="AK257" s="106"/>
      <c r="AL257" s="106"/>
      <c r="AM257" s="106"/>
      <c r="AN257" s="107">
        <f>SUBTOTAL(9,AN223:AN253)</f>
        <v>3664.03</v>
      </c>
      <c r="AO257" s="108"/>
      <c r="AP257" s="109"/>
      <c r="AQ257" s="110"/>
      <c r="AR257" s="110"/>
      <c r="AS257" s="111">
        <f>SUBTOTAL(9,AS223:AS253)</f>
        <v>0</v>
      </c>
      <c r="AT257" s="112"/>
      <c r="AU257" s="113"/>
      <c r="AV257" s="110"/>
      <c r="AW257" s="110"/>
      <c r="AX257" s="101"/>
      <c r="AY257" s="114"/>
      <c r="AZ257" s="115"/>
      <c r="BA257" s="115"/>
      <c r="BB257" s="115"/>
      <c r="BC257" s="115"/>
      <c r="BD257" s="116">
        <f>SUBTOTAL(9,BD223:BD253)</f>
        <v>3664.03</v>
      </c>
      <c r="BE257" s="117">
        <f t="shared" ref="BE257:BL257" si="110">SUBTOTAL(9,BE223:BE253)</f>
        <v>313924</v>
      </c>
      <c r="BF257" s="107">
        <f t="shared" si="110"/>
        <v>60080</v>
      </c>
      <c r="BG257" s="118">
        <f t="shared" si="110"/>
        <v>0</v>
      </c>
      <c r="BH257" s="118">
        <f t="shared" si="110"/>
        <v>47726</v>
      </c>
      <c r="BI257" s="118">
        <f t="shared" si="110"/>
        <v>206118</v>
      </c>
      <c r="BJ257" s="118">
        <f t="shared" si="110"/>
        <v>0</v>
      </c>
      <c r="BK257" s="118">
        <f t="shared" si="110"/>
        <v>0</v>
      </c>
      <c r="BL257" s="116">
        <f t="shared" si="110"/>
        <v>0</v>
      </c>
    </row>
    <row r="258" spans="1:64" outlineLevel="5" x14ac:dyDescent="0.3">
      <c r="A258" s="136">
        <f t="shared" si="106"/>
        <v>8</v>
      </c>
      <c r="B258" s="165">
        <f>B253+1</f>
        <v>45505</v>
      </c>
      <c r="C258" s="138">
        <f t="shared" ref="C258:C288" si="111">IFERROR(ROUND(AVERAGE(D258:K258),1),"")</f>
        <v>36.700000000000003</v>
      </c>
      <c r="D258" s="186">
        <v>36.6</v>
      </c>
      <c r="E258" s="186">
        <v>36.799999999999997</v>
      </c>
      <c r="F258" s="84"/>
      <c r="G258" s="84"/>
      <c r="H258" s="84"/>
      <c r="I258" s="84"/>
      <c r="J258" s="84"/>
      <c r="K258" s="84"/>
      <c r="L258" s="140" t="str">
        <f t="shared" ref="L258:L288" si="112">IFERROR(ROUND(AVERAGE(M258:T258),1),"")</f>
        <v/>
      </c>
      <c r="M258" s="86"/>
      <c r="N258" s="86"/>
      <c r="O258" s="86"/>
      <c r="P258" s="86"/>
      <c r="Q258" s="86"/>
      <c r="R258" s="86"/>
      <c r="S258" s="86"/>
      <c r="T258" s="86"/>
      <c r="U258" s="142" t="str">
        <f t="shared" ref="U258:U288" si="113">IFERROR(ROUND(AVERAGE(V258:AC258),1),"")</f>
        <v/>
      </c>
      <c r="V258" s="88"/>
      <c r="W258" s="88"/>
      <c r="X258" s="88"/>
      <c r="Y258" s="88"/>
      <c r="Z258" s="88"/>
      <c r="AA258" s="88"/>
      <c r="AB258" s="88"/>
      <c r="AC258" s="88"/>
      <c r="AD258" s="142" t="str">
        <f t="shared" ref="AD258:AD288" si="114">IFERROR(ROUND(AVERAGE(AE258:AL258),1),"")</f>
        <v/>
      </c>
      <c r="AE258" s="88"/>
      <c r="AF258" s="88"/>
      <c r="AG258" s="88"/>
      <c r="AH258" s="88"/>
      <c r="AI258" s="88"/>
      <c r="AJ258" s="88"/>
      <c r="AK258" s="88"/>
      <c r="AL258" s="88"/>
      <c r="AM258" s="88">
        <v>41.251529452892854</v>
      </c>
      <c r="AN258" s="88">
        <v>114.42</v>
      </c>
      <c r="AO258" s="89"/>
      <c r="AP258" s="90"/>
      <c r="AQ258" s="146" t="str">
        <f t="shared" ref="AQ258:AQ288" si="115">IFERROR(AP258/AO258*100,"")</f>
        <v/>
      </c>
      <c r="AR258" s="146" t="str">
        <f t="shared" ref="AR258:AR288" si="116">IFERROR(100-AQ258,"")</f>
        <v/>
      </c>
      <c r="AS258" s="147"/>
      <c r="AT258" s="148"/>
      <c r="AU258" s="149"/>
      <c r="AV258" s="146" t="str">
        <f t="shared" ref="AV258:AV288" si="117">IFERROR(AU258/AT258*100,"")</f>
        <v/>
      </c>
      <c r="AW258" s="146" t="str">
        <f t="shared" ref="AW258:AW288" si="118">IFERROR(100-AV258,"")</f>
        <v/>
      </c>
      <c r="AX258" s="138" t="str">
        <f t="shared" ref="AX258:AX288" si="119">IFERROR((1-((AV258*AR258)/(AW258*AQ258)))*100,"")</f>
        <v/>
      </c>
      <c r="AY258" s="95"/>
      <c r="AZ258" s="96">
        <v>61.825000000000003</v>
      </c>
      <c r="BA258" s="96"/>
      <c r="BB258" s="96">
        <v>28</v>
      </c>
      <c r="BC258" s="96"/>
      <c r="BD258" s="97">
        <v>114.42</v>
      </c>
      <c r="BE258" s="142">
        <f t="shared" ref="BE258:BE288" si="120">IF(SUM(BF258:BL258)=0,"",SUM(BF258:BL258))</f>
        <v>9054</v>
      </c>
      <c r="BF258" s="98">
        <v>2136</v>
      </c>
      <c r="BG258" s="98">
        <v>0</v>
      </c>
      <c r="BH258" s="98">
        <v>258</v>
      </c>
      <c r="BI258" s="98">
        <v>6660</v>
      </c>
      <c r="BJ258" s="98"/>
      <c r="BK258" s="98"/>
      <c r="BL258" s="97"/>
    </row>
    <row r="259" spans="1:64" outlineLevel="5" x14ac:dyDescent="0.3">
      <c r="A259" s="152">
        <f t="shared" si="106"/>
        <v>8</v>
      </c>
      <c r="B259" s="153">
        <f t="shared" si="105"/>
        <v>45506</v>
      </c>
      <c r="C259" s="138" t="str">
        <f t="shared" si="111"/>
        <v/>
      </c>
      <c r="D259" s="186"/>
      <c r="E259" s="186"/>
      <c r="F259" s="84"/>
      <c r="G259" s="84"/>
      <c r="H259" s="84"/>
      <c r="I259" s="84"/>
      <c r="J259" s="84"/>
      <c r="K259" s="84"/>
      <c r="L259" s="140" t="str">
        <f t="shared" si="112"/>
        <v/>
      </c>
      <c r="M259" s="86"/>
      <c r="N259" s="86"/>
      <c r="O259" s="86"/>
      <c r="P259" s="86"/>
      <c r="Q259" s="86"/>
      <c r="R259" s="86"/>
      <c r="S259" s="86"/>
      <c r="T259" s="86"/>
      <c r="U259" s="142" t="str">
        <f t="shared" si="113"/>
        <v/>
      </c>
      <c r="V259" s="88"/>
      <c r="W259" s="88"/>
      <c r="X259" s="88"/>
      <c r="Y259" s="88"/>
      <c r="Z259" s="88"/>
      <c r="AA259" s="88"/>
      <c r="AB259" s="88"/>
      <c r="AC259" s="88"/>
      <c r="AD259" s="142" t="str">
        <f t="shared" si="114"/>
        <v/>
      </c>
      <c r="AE259" s="88"/>
      <c r="AF259" s="88"/>
      <c r="AG259" s="88"/>
      <c r="AH259" s="88"/>
      <c r="AI259" s="88"/>
      <c r="AJ259" s="88"/>
      <c r="AK259" s="88"/>
      <c r="AL259" s="88"/>
      <c r="AM259" s="88">
        <v>43.506313945985802</v>
      </c>
      <c r="AN259" s="88">
        <v>108.49000000000001</v>
      </c>
      <c r="AO259" s="89"/>
      <c r="AP259" s="90"/>
      <c r="AQ259" s="146" t="str">
        <f t="shared" si="115"/>
        <v/>
      </c>
      <c r="AR259" s="146" t="str">
        <f t="shared" si="116"/>
        <v/>
      </c>
      <c r="AS259" s="147"/>
      <c r="AT259" s="148"/>
      <c r="AU259" s="149"/>
      <c r="AV259" s="146" t="str">
        <f t="shared" si="117"/>
        <v/>
      </c>
      <c r="AW259" s="146" t="str">
        <f t="shared" si="118"/>
        <v/>
      </c>
      <c r="AX259" s="138" t="str">
        <f t="shared" si="119"/>
        <v/>
      </c>
      <c r="AY259" s="95"/>
      <c r="AZ259" s="96"/>
      <c r="BA259" s="96"/>
      <c r="BB259" s="96"/>
      <c r="BC259" s="96"/>
      <c r="BD259" s="97">
        <v>108.49000000000001</v>
      </c>
      <c r="BE259" s="142">
        <f t="shared" si="120"/>
        <v>9156</v>
      </c>
      <c r="BF259" s="98">
        <v>2502</v>
      </c>
      <c r="BG259" s="98"/>
      <c r="BH259" s="98">
        <v>0</v>
      </c>
      <c r="BI259" s="98">
        <v>6654</v>
      </c>
      <c r="BJ259" s="98"/>
      <c r="BK259" s="98"/>
      <c r="BL259" s="97"/>
    </row>
    <row r="260" spans="1:64" outlineLevel="5" x14ac:dyDescent="0.3">
      <c r="A260" s="152">
        <f t="shared" si="106"/>
        <v>8</v>
      </c>
      <c r="B260" s="153">
        <f t="shared" si="105"/>
        <v>45507</v>
      </c>
      <c r="C260" s="138" t="str">
        <f t="shared" si="111"/>
        <v/>
      </c>
      <c r="D260" s="186"/>
      <c r="E260" s="186"/>
      <c r="F260" s="84"/>
      <c r="G260" s="84"/>
      <c r="H260" s="84"/>
      <c r="I260" s="84"/>
      <c r="J260" s="84"/>
      <c r="K260" s="84"/>
      <c r="L260" s="140" t="str">
        <f t="shared" si="112"/>
        <v/>
      </c>
      <c r="M260" s="86"/>
      <c r="N260" s="86"/>
      <c r="O260" s="86"/>
      <c r="P260" s="86"/>
      <c r="Q260" s="86"/>
      <c r="R260" s="86"/>
      <c r="S260" s="86"/>
      <c r="T260" s="86"/>
      <c r="U260" s="142" t="str">
        <f t="shared" si="113"/>
        <v/>
      </c>
      <c r="V260" s="88"/>
      <c r="W260" s="88"/>
      <c r="X260" s="88"/>
      <c r="Y260" s="88"/>
      <c r="Z260" s="88"/>
      <c r="AA260" s="88"/>
      <c r="AB260" s="88"/>
      <c r="AC260" s="88"/>
      <c r="AD260" s="142" t="str">
        <f t="shared" si="114"/>
        <v/>
      </c>
      <c r="AE260" s="88"/>
      <c r="AF260" s="88"/>
      <c r="AG260" s="88"/>
      <c r="AH260" s="88"/>
      <c r="AI260" s="88"/>
      <c r="AJ260" s="88"/>
      <c r="AK260" s="88"/>
      <c r="AL260" s="88"/>
      <c r="AM260" s="88">
        <v>39.14089062111286</v>
      </c>
      <c r="AN260" s="88">
        <v>120.59</v>
      </c>
      <c r="AO260" s="89"/>
      <c r="AP260" s="90"/>
      <c r="AQ260" s="146" t="str">
        <f t="shared" si="115"/>
        <v/>
      </c>
      <c r="AR260" s="146" t="str">
        <f t="shared" si="116"/>
        <v/>
      </c>
      <c r="AS260" s="147"/>
      <c r="AT260" s="148"/>
      <c r="AU260" s="149"/>
      <c r="AV260" s="146" t="str">
        <f t="shared" si="117"/>
        <v/>
      </c>
      <c r="AW260" s="146" t="str">
        <f t="shared" si="118"/>
        <v/>
      </c>
      <c r="AX260" s="138" t="str">
        <f t="shared" si="119"/>
        <v/>
      </c>
      <c r="AY260" s="95"/>
      <c r="AZ260" s="96"/>
      <c r="BA260" s="96"/>
      <c r="BB260" s="96"/>
      <c r="BC260" s="96"/>
      <c r="BD260" s="97">
        <v>120.59</v>
      </c>
      <c r="BE260" s="142">
        <f t="shared" si="120"/>
        <v>8989</v>
      </c>
      <c r="BF260" s="98">
        <v>2317</v>
      </c>
      <c r="BG260" s="98">
        <v>0</v>
      </c>
      <c r="BH260" s="98">
        <v>0</v>
      </c>
      <c r="BI260" s="98">
        <v>6672</v>
      </c>
      <c r="BJ260" s="98"/>
      <c r="BK260" s="98"/>
      <c r="BL260" s="97"/>
    </row>
    <row r="261" spans="1:64" outlineLevel="5" x14ac:dyDescent="0.3">
      <c r="A261" s="152">
        <f t="shared" si="106"/>
        <v>8</v>
      </c>
      <c r="B261" s="153">
        <f t="shared" si="105"/>
        <v>45508</v>
      </c>
      <c r="C261" s="138" t="str">
        <f t="shared" si="111"/>
        <v/>
      </c>
      <c r="D261" s="186"/>
      <c r="E261" s="186"/>
      <c r="F261" s="84"/>
      <c r="G261" s="84"/>
      <c r="H261" s="84"/>
      <c r="I261" s="84"/>
      <c r="J261" s="84"/>
      <c r="K261" s="84"/>
      <c r="L261" s="140" t="str">
        <f t="shared" si="112"/>
        <v/>
      </c>
      <c r="M261" s="86"/>
      <c r="N261" s="86"/>
      <c r="O261" s="86"/>
      <c r="P261" s="86"/>
      <c r="Q261" s="86"/>
      <c r="R261" s="86"/>
      <c r="S261" s="86"/>
      <c r="T261" s="86"/>
      <c r="U261" s="142" t="str">
        <f t="shared" si="113"/>
        <v/>
      </c>
      <c r="V261" s="88"/>
      <c r="W261" s="88"/>
      <c r="X261" s="88"/>
      <c r="Y261" s="88"/>
      <c r="Z261" s="88"/>
      <c r="AA261" s="88"/>
      <c r="AB261" s="88"/>
      <c r="AC261" s="88"/>
      <c r="AD261" s="142" t="str">
        <f t="shared" si="114"/>
        <v/>
      </c>
      <c r="AE261" s="88"/>
      <c r="AF261" s="88"/>
      <c r="AG261" s="88"/>
      <c r="AH261" s="88"/>
      <c r="AI261" s="88"/>
      <c r="AJ261" s="88"/>
      <c r="AK261" s="88"/>
      <c r="AL261" s="88"/>
      <c r="AM261" s="88">
        <v>39.333333333333336</v>
      </c>
      <c r="AN261" s="88">
        <v>120</v>
      </c>
      <c r="AO261" s="89"/>
      <c r="AP261" s="90"/>
      <c r="AQ261" s="146" t="str">
        <f t="shared" si="115"/>
        <v/>
      </c>
      <c r="AR261" s="146" t="str">
        <f t="shared" si="116"/>
        <v/>
      </c>
      <c r="AS261" s="147"/>
      <c r="AT261" s="148"/>
      <c r="AU261" s="149"/>
      <c r="AV261" s="146" t="str">
        <f t="shared" si="117"/>
        <v/>
      </c>
      <c r="AW261" s="146" t="str">
        <f t="shared" si="118"/>
        <v/>
      </c>
      <c r="AX261" s="138" t="str">
        <f t="shared" si="119"/>
        <v/>
      </c>
      <c r="AY261" s="95"/>
      <c r="AZ261" s="96"/>
      <c r="BA261" s="96"/>
      <c r="BB261" s="96"/>
      <c r="BC261" s="96"/>
      <c r="BD261" s="97">
        <v>120</v>
      </c>
      <c r="BE261" s="142">
        <f t="shared" si="120"/>
        <v>9094</v>
      </c>
      <c r="BF261" s="98">
        <v>2473</v>
      </c>
      <c r="BG261" s="98">
        <v>0</v>
      </c>
      <c r="BH261" s="98">
        <v>0</v>
      </c>
      <c r="BI261" s="98">
        <v>6621</v>
      </c>
      <c r="BJ261" s="98"/>
      <c r="BK261" s="98"/>
      <c r="BL261" s="97"/>
    </row>
    <row r="262" spans="1:64" outlineLevel="5" x14ac:dyDescent="0.3">
      <c r="A262" s="152">
        <f t="shared" si="106"/>
        <v>8</v>
      </c>
      <c r="B262" s="153">
        <f t="shared" si="105"/>
        <v>45509</v>
      </c>
      <c r="C262" s="138">
        <f t="shared" si="111"/>
        <v>36.4</v>
      </c>
      <c r="D262" s="186">
        <v>36.299999999999997</v>
      </c>
      <c r="E262" s="186">
        <v>36.5</v>
      </c>
      <c r="F262" s="84"/>
      <c r="G262" s="84"/>
      <c r="H262" s="84"/>
      <c r="I262" s="84"/>
      <c r="J262" s="84"/>
      <c r="K262" s="84"/>
      <c r="L262" s="140" t="str">
        <f t="shared" si="112"/>
        <v/>
      </c>
      <c r="M262" s="86"/>
      <c r="N262" s="86"/>
      <c r="O262" s="86"/>
      <c r="P262" s="86"/>
      <c r="Q262" s="86"/>
      <c r="R262" s="86"/>
      <c r="S262" s="86"/>
      <c r="T262" s="86"/>
      <c r="U262" s="142">
        <f t="shared" si="113"/>
        <v>1943</v>
      </c>
      <c r="V262" s="88">
        <v>2231</v>
      </c>
      <c r="W262" s="88">
        <v>1655</v>
      </c>
      <c r="X262" s="88"/>
      <c r="Y262" s="88"/>
      <c r="Z262" s="88"/>
      <c r="AA262" s="88"/>
      <c r="AB262" s="88"/>
      <c r="AC262" s="88"/>
      <c r="AD262" s="142">
        <f t="shared" si="114"/>
        <v>13235</v>
      </c>
      <c r="AE262" s="88">
        <v>13030</v>
      </c>
      <c r="AF262" s="88">
        <v>13440</v>
      </c>
      <c r="AG262" s="88"/>
      <c r="AH262" s="88"/>
      <c r="AI262" s="88"/>
      <c r="AJ262" s="88"/>
      <c r="AK262" s="88"/>
      <c r="AL262" s="88"/>
      <c r="AM262" s="88">
        <v>63.697705802968954</v>
      </c>
      <c r="AN262" s="88">
        <v>74.100000000000009</v>
      </c>
      <c r="AO262" s="89">
        <v>16.399999999999999</v>
      </c>
      <c r="AP262" s="90">
        <v>13.8</v>
      </c>
      <c r="AQ262" s="146">
        <f t="shared" si="115"/>
        <v>84.146341463414643</v>
      </c>
      <c r="AR262" s="146">
        <f t="shared" si="116"/>
        <v>15.853658536585357</v>
      </c>
      <c r="AS262" s="147"/>
      <c r="AT262" s="148">
        <v>13.7</v>
      </c>
      <c r="AU262" s="149">
        <v>8.3500000000000014</v>
      </c>
      <c r="AV262" s="146">
        <f t="shared" si="117"/>
        <v>60.948905109489061</v>
      </c>
      <c r="AW262" s="146">
        <f t="shared" si="118"/>
        <v>39.051094890510939</v>
      </c>
      <c r="AX262" s="138">
        <f t="shared" si="119"/>
        <v>70.594609237437368</v>
      </c>
      <c r="AY262" s="95">
        <v>73.55</v>
      </c>
      <c r="AZ262" s="96"/>
      <c r="BA262" s="96"/>
      <c r="BB262" s="96"/>
      <c r="BC262" s="96"/>
      <c r="BD262" s="97">
        <v>74.100000000000009</v>
      </c>
      <c r="BE262" s="142">
        <f t="shared" si="120"/>
        <v>9031</v>
      </c>
      <c r="BF262" s="98">
        <v>2410</v>
      </c>
      <c r="BG262" s="98">
        <v>0</v>
      </c>
      <c r="BH262" s="98">
        <v>0</v>
      </c>
      <c r="BI262" s="98">
        <v>6621</v>
      </c>
      <c r="BJ262" s="98"/>
      <c r="BK262" s="98"/>
      <c r="BL262" s="97"/>
    </row>
    <row r="263" spans="1:64" outlineLevel="5" x14ac:dyDescent="0.3">
      <c r="A263" s="152">
        <f t="shared" si="106"/>
        <v>8</v>
      </c>
      <c r="B263" s="153">
        <f t="shared" si="105"/>
        <v>45510</v>
      </c>
      <c r="C263" s="138" t="str">
        <f t="shared" si="111"/>
        <v/>
      </c>
      <c r="D263" s="186"/>
      <c r="E263" s="186"/>
      <c r="F263" s="84"/>
      <c r="G263" s="84"/>
      <c r="H263" s="84"/>
      <c r="I263" s="84"/>
      <c r="J263" s="84"/>
      <c r="K263" s="84"/>
      <c r="L263" s="140" t="str">
        <f t="shared" si="112"/>
        <v/>
      </c>
      <c r="M263" s="86"/>
      <c r="N263" s="86"/>
      <c r="O263" s="86"/>
      <c r="P263" s="86"/>
      <c r="Q263" s="86"/>
      <c r="R263" s="86"/>
      <c r="S263" s="86"/>
      <c r="T263" s="86"/>
      <c r="U263" s="142" t="str">
        <f t="shared" si="113"/>
        <v/>
      </c>
      <c r="V263" s="88"/>
      <c r="W263" s="88"/>
      <c r="X263" s="88"/>
      <c r="Y263" s="88"/>
      <c r="Z263" s="88"/>
      <c r="AA263" s="88"/>
      <c r="AB263" s="88"/>
      <c r="AC263" s="88"/>
      <c r="AD263" s="142" t="str">
        <f t="shared" si="114"/>
        <v/>
      </c>
      <c r="AE263" s="88"/>
      <c r="AF263" s="88"/>
      <c r="AG263" s="88"/>
      <c r="AH263" s="88"/>
      <c r="AI263" s="88"/>
      <c r="AJ263" s="88"/>
      <c r="AK263" s="88"/>
      <c r="AL263" s="88"/>
      <c r="AM263" s="88">
        <v>42.9676832043696</v>
      </c>
      <c r="AN263" s="88">
        <v>109.85</v>
      </c>
      <c r="AO263" s="89"/>
      <c r="AP263" s="90"/>
      <c r="AQ263" s="146" t="str">
        <f t="shared" si="115"/>
        <v/>
      </c>
      <c r="AR263" s="146" t="str">
        <f t="shared" si="116"/>
        <v/>
      </c>
      <c r="AS263" s="147"/>
      <c r="AT263" s="148"/>
      <c r="AU263" s="149"/>
      <c r="AV263" s="146" t="str">
        <f t="shared" si="117"/>
        <v/>
      </c>
      <c r="AW263" s="146" t="str">
        <f t="shared" si="118"/>
        <v/>
      </c>
      <c r="AX263" s="138" t="str">
        <f t="shared" si="119"/>
        <v/>
      </c>
      <c r="AY263" s="95"/>
      <c r="AZ263" s="96">
        <v>61.384999999999998</v>
      </c>
      <c r="BA263" s="96"/>
      <c r="BB263" s="96">
        <v>31</v>
      </c>
      <c r="BC263" s="96"/>
      <c r="BD263" s="97">
        <v>109.85</v>
      </c>
      <c r="BE263" s="142">
        <f t="shared" si="120"/>
        <v>2870</v>
      </c>
      <c r="BF263" s="98">
        <v>2383</v>
      </c>
      <c r="BG263" s="98">
        <v>0</v>
      </c>
      <c r="BH263" s="98">
        <v>0</v>
      </c>
      <c r="BI263" s="98">
        <v>487</v>
      </c>
      <c r="BJ263" s="98"/>
      <c r="BK263" s="98"/>
      <c r="BL263" s="97"/>
    </row>
    <row r="264" spans="1:64" outlineLevel="5" x14ac:dyDescent="0.3">
      <c r="A264" s="152">
        <f t="shared" si="106"/>
        <v>8</v>
      </c>
      <c r="B264" s="153">
        <f t="shared" si="105"/>
        <v>45511</v>
      </c>
      <c r="C264" s="138" t="str">
        <f t="shared" si="111"/>
        <v/>
      </c>
      <c r="D264" s="186"/>
      <c r="E264" s="186"/>
      <c r="F264" s="84"/>
      <c r="G264" s="84"/>
      <c r="H264" s="84"/>
      <c r="I264" s="84"/>
      <c r="J264" s="84"/>
      <c r="K264" s="84"/>
      <c r="L264" s="140" t="str">
        <f t="shared" si="112"/>
        <v/>
      </c>
      <c r="M264" s="86"/>
      <c r="N264" s="86"/>
      <c r="O264" s="86"/>
      <c r="P264" s="86"/>
      <c r="Q264" s="86"/>
      <c r="R264" s="86"/>
      <c r="S264" s="86"/>
      <c r="T264" s="86"/>
      <c r="U264" s="142" t="str">
        <f t="shared" si="113"/>
        <v/>
      </c>
      <c r="V264" s="88"/>
      <c r="W264" s="88"/>
      <c r="X264" s="88"/>
      <c r="Y264" s="88"/>
      <c r="Z264" s="88"/>
      <c r="AA264" s="88"/>
      <c r="AB264" s="88"/>
      <c r="AC264" s="88"/>
      <c r="AD264" s="142" t="str">
        <f t="shared" si="114"/>
        <v/>
      </c>
      <c r="AE264" s="88"/>
      <c r="AF264" s="88"/>
      <c r="AG264" s="88"/>
      <c r="AH264" s="88"/>
      <c r="AI264" s="88"/>
      <c r="AJ264" s="88"/>
      <c r="AK264" s="88"/>
      <c r="AL264" s="88"/>
      <c r="AM264" s="88">
        <v>33.060166701688033</v>
      </c>
      <c r="AN264" s="88">
        <v>142.76999999999998</v>
      </c>
      <c r="AO264" s="89"/>
      <c r="AP264" s="90"/>
      <c r="AQ264" s="146" t="str">
        <f t="shared" si="115"/>
        <v/>
      </c>
      <c r="AR264" s="146" t="str">
        <f t="shared" si="116"/>
        <v/>
      </c>
      <c r="AS264" s="147"/>
      <c r="AT264" s="148"/>
      <c r="AU264" s="149"/>
      <c r="AV264" s="146" t="str">
        <f t="shared" si="117"/>
        <v/>
      </c>
      <c r="AW264" s="146" t="str">
        <f t="shared" si="118"/>
        <v/>
      </c>
      <c r="AX264" s="138" t="str">
        <f t="shared" si="119"/>
        <v/>
      </c>
      <c r="AY264" s="95"/>
      <c r="AZ264" s="96"/>
      <c r="BA264" s="96"/>
      <c r="BB264" s="96"/>
      <c r="BC264" s="96"/>
      <c r="BD264" s="97">
        <v>142.76999999999998</v>
      </c>
      <c r="BE264" s="142">
        <f t="shared" si="120"/>
        <v>5356</v>
      </c>
      <c r="BF264" s="98">
        <v>3012</v>
      </c>
      <c r="BG264" s="98">
        <v>0</v>
      </c>
      <c r="BH264" s="98">
        <v>0</v>
      </c>
      <c r="BI264" s="98">
        <v>2344</v>
      </c>
      <c r="BJ264" s="98"/>
      <c r="BK264" s="98"/>
      <c r="BL264" s="97"/>
    </row>
    <row r="265" spans="1:64" outlineLevel="5" x14ac:dyDescent="0.3">
      <c r="A265" s="152">
        <f t="shared" si="106"/>
        <v>8</v>
      </c>
      <c r="B265" s="153">
        <f t="shared" si="105"/>
        <v>45512</v>
      </c>
      <c r="C265" s="138">
        <f t="shared" si="111"/>
        <v>37.200000000000003</v>
      </c>
      <c r="D265" s="186">
        <v>37.1</v>
      </c>
      <c r="E265" s="186">
        <v>37.299999999999997</v>
      </c>
      <c r="F265" s="84"/>
      <c r="G265" s="84"/>
      <c r="H265" s="84"/>
      <c r="I265" s="84"/>
      <c r="J265" s="84"/>
      <c r="K265" s="84"/>
      <c r="L265" s="140" t="str">
        <f t="shared" si="112"/>
        <v/>
      </c>
      <c r="M265" s="86"/>
      <c r="N265" s="86"/>
      <c r="O265" s="86"/>
      <c r="P265" s="86"/>
      <c r="Q265" s="86"/>
      <c r="R265" s="86"/>
      <c r="S265" s="86"/>
      <c r="T265" s="86"/>
      <c r="U265" s="142" t="str">
        <f t="shared" si="113"/>
        <v/>
      </c>
      <c r="V265" s="88"/>
      <c r="W265" s="88"/>
      <c r="X265" s="88"/>
      <c r="Y265" s="88"/>
      <c r="Z265" s="88"/>
      <c r="AA265" s="88"/>
      <c r="AB265" s="88"/>
      <c r="AC265" s="88"/>
      <c r="AD265" s="142" t="str">
        <f t="shared" si="114"/>
        <v/>
      </c>
      <c r="AE265" s="88"/>
      <c r="AF265" s="88"/>
      <c r="AG265" s="88"/>
      <c r="AH265" s="88"/>
      <c r="AI265" s="88"/>
      <c r="AJ265" s="88"/>
      <c r="AK265" s="88"/>
      <c r="AL265" s="88"/>
      <c r="AM265" s="88">
        <v>39.274421700782156</v>
      </c>
      <c r="AN265" s="88">
        <v>120.18</v>
      </c>
      <c r="AO265" s="89"/>
      <c r="AP265" s="90"/>
      <c r="AQ265" s="146" t="str">
        <f t="shared" si="115"/>
        <v/>
      </c>
      <c r="AR265" s="146" t="str">
        <f t="shared" si="116"/>
        <v/>
      </c>
      <c r="AS265" s="147"/>
      <c r="AT265" s="148"/>
      <c r="AU265" s="149"/>
      <c r="AV265" s="146" t="str">
        <f t="shared" si="117"/>
        <v/>
      </c>
      <c r="AW265" s="146" t="str">
        <f t="shared" si="118"/>
        <v/>
      </c>
      <c r="AX265" s="138" t="str">
        <f t="shared" si="119"/>
        <v/>
      </c>
      <c r="AY265" s="95"/>
      <c r="AZ265" s="96">
        <v>60.3</v>
      </c>
      <c r="BA265" s="96"/>
      <c r="BB265" s="96">
        <v>36.5</v>
      </c>
      <c r="BC265" s="96"/>
      <c r="BD265" s="97">
        <v>120.18</v>
      </c>
      <c r="BE265" s="142">
        <f t="shared" si="120"/>
        <v>9058</v>
      </c>
      <c r="BF265" s="98">
        <v>2454</v>
      </c>
      <c r="BG265" s="98">
        <v>0</v>
      </c>
      <c r="BH265" s="98">
        <v>0</v>
      </c>
      <c r="BI265" s="98">
        <v>6604</v>
      </c>
      <c r="BJ265" s="98"/>
      <c r="BK265" s="98"/>
      <c r="BL265" s="97"/>
    </row>
    <row r="266" spans="1:64" outlineLevel="5" x14ac:dyDescent="0.3">
      <c r="A266" s="152">
        <f t="shared" si="106"/>
        <v>8</v>
      </c>
      <c r="B266" s="153">
        <f t="shared" si="105"/>
        <v>45513</v>
      </c>
      <c r="C266" s="138" t="str">
        <f t="shared" si="111"/>
        <v/>
      </c>
      <c r="D266" s="186"/>
      <c r="E266" s="186"/>
      <c r="F266" s="84"/>
      <c r="G266" s="84"/>
      <c r="H266" s="84"/>
      <c r="I266" s="84"/>
      <c r="J266" s="84"/>
      <c r="K266" s="84"/>
      <c r="L266" s="140" t="str">
        <f t="shared" si="112"/>
        <v/>
      </c>
      <c r="M266" s="86"/>
      <c r="N266" s="86"/>
      <c r="O266" s="86"/>
      <c r="P266" s="86"/>
      <c r="Q266" s="86"/>
      <c r="R266" s="86"/>
      <c r="S266" s="86"/>
      <c r="T266" s="86"/>
      <c r="U266" s="142" t="str">
        <f t="shared" si="113"/>
        <v/>
      </c>
      <c r="V266" s="88"/>
      <c r="W266" s="88"/>
      <c r="X266" s="88"/>
      <c r="Y266" s="88"/>
      <c r="Z266" s="88"/>
      <c r="AA266" s="88"/>
      <c r="AB266" s="88"/>
      <c r="AC266" s="88"/>
      <c r="AD266" s="142" t="str">
        <f t="shared" si="114"/>
        <v/>
      </c>
      <c r="AE266" s="88"/>
      <c r="AF266" s="88"/>
      <c r="AG266" s="88"/>
      <c r="AH266" s="88"/>
      <c r="AI266" s="88"/>
      <c r="AJ266" s="88"/>
      <c r="AK266" s="88"/>
      <c r="AL266" s="88"/>
      <c r="AM266" s="88">
        <v>47.011952191235061</v>
      </c>
      <c r="AN266" s="88">
        <v>100.4</v>
      </c>
      <c r="AO266" s="89"/>
      <c r="AP266" s="90"/>
      <c r="AQ266" s="146" t="str">
        <f t="shared" si="115"/>
        <v/>
      </c>
      <c r="AR266" s="146" t="str">
        <f t="shared" si="116"/>
        <v/>
      </c>
      <c r="AS266" s="147"/>
      <c r="AT266" s="148"/>
      <c r="AU266" s="149"/>
      <c r="AV266" s="146" t="str">
        <f t="shared" si="117"/>
        <v/>
      </c>
      <c r="AW266" s="146" t="str">
        <f t="shared" si="118"/>
        <v/>
      </c>
      <c r="AX266" s="138" t="str">
        <f t="shared" si="119"/>
        <v/>
      </c>
      <c r="AY266" s="95"/>
      <c r="AZ266" s="96">
        <v>60.3</v>
      </c>
      <c r="BA266" s="96"/>
      <c r="BB266" s="96">
        <v>42</v>
      </c>
      <c r="BC266" s="96"/>
      <c r="BD266" s="97">
        <v>100.4</v>
      </c>
      <c r="BE266" s="142">
        <f t="shared" si="120"/>
        <v>8731</v>
      </c>
      <c r="BF266" s="98">
        <v>2145</v>
      </c>
      <c r="BG266" s="98">
        <v>0</v>
      </c>
      <c r="BH266" s="98">
        <v>0</v>
      </c>
      <c r="BI266" s="98">
        <v>6586</v>
      </c>
      <c r="BJ266" s="98"/>
      <c r="BK266" s="98"/>
      <c r="BL266" s="97"/>
    </row>
    <row r="267" spans="1:64" outlineLevel="5" x14ac:dyDescent="0.3">
      <c r="A267" s="152">
        <f t="shared" si="106"/>
        <v>8</v>
      </c>
      <c r="B267" s="153">
        <f t="shared" si="105"/>
        <v>45514</v>
      </c>
      <c r="C267" s="138" t="str">
        <f t="shared" si="111"/>
        <v/>
      </c>
      <c r="D267" s="186"/>
      <c r="E267" s="186"/>
      <c r="F267" s="84"/>
      <c r="G267" s="84"/>
      <c r="H267" s="84"/>
      <c r="I267" s="84"/>
      <c r="J267" s="84"/>
      <c r="K267" s="84"/>
      <c r="L267" s="140" t="str">
        <f t="shared" si="112"/>
        <v/>
      </c>
      <c r="M267" s="86"/>
      <c r="N267" s="86"/>
      <c r="O267" s="86"/>
      <c r="P267" s="86"/>
      <c r="Q267" s="86"/>
      <c r="R267" s="86"/>
      <c r="S267" s="86"/>
      <c r="T267" s="86"/>
      <c r="U267" s="142" t="str">
        <f t="shared" si="113"/>
        <v/>
      </c>
      <c r="V267" s="88"/>
      <c r="W267" s="88"/>
      <c r="X267" s="88"/>
      <c r="Y267" s="88"/>
      <c r="Z267" s="88"/>
      <c r="AA267" s="88"/>
      <c r="AB267" s="88"/>
      <c r="AC267" s="88"/>
      <c r="AD267" s="142" t="str">
        <f t="shared" si="114"/>
        <v/>
      </c>
      <c r="AE267" s="88"/>
      <c r="AF267" s="88"/>
      <c r="AG267" s="88"/>
      <c r="AH267" s="88"/>
      <c r="AI267" s="88"/>
      <c r="AJ267" s="88"/>
      <c r="AK267" s="88"/>
      <c r="AL267" s="88"/>
      <c r="AM267" s="88">
        <v>39.567440690753628</v>
      </c>
      <c r="AN267" s="88">
        <v>119.28999999999999</v>
      </c>
      <c r="AO267" s="89"/>
      <c r="AP267" s="90"/>
      <c r="AQ267" s="146" t="str">
        <f t="shared" si="115"/>
        <v/>
      </c>
      <c r="AR267" s="146" t="str">
        <f t="shared" si="116"/>
        <v/>
      </c>
      <c r="AS267" s="147"/>
      <c r="AT267" s="148"/>
      <c r="AU267" s="149"/>
      <c r="AV267" s="146" t="str">
        <f t="shared" si="117"/>
        <v/>
      </c>
      <c r="AW267" s="146" t="str">
        <f t="shared" si="118"/>
        <v/>
      </c>
      <c r="AX267" s="138" t="str">
        <f t="shared" si="119"/>
        <v/>
      </c>
      <c r="AY267" s="95"/>
      <c r="AZ267" s="96"/>
      <c r="BA267" s="96"/>
      <c r="BB267" s="96"/>
      <c r="BC267" s="96"/>
      <c r="BD267" s="97">
        <v>119.28999999999999</v>
      </c>
      <c r="BE267" s="142">
        <f t="shared" si="120"/>
        <v>8831</v>
      </c>
      <c r="BF267" s="98">
        <v>2237</v>
      </c>
      <c r="BG267" s="98">
        <v>0</v>
      </c>
      <c r="BH267" s="98">
        <v>0</v>
      </c>
      <c r="BI267" s="98">
        <v>6594</v>
      </c>
      <c r="BJ267" s="98"/>
      <c r="BK267" s="98"/>
      <c r="BL267" s="97"/>
    </row>
    <row r="268" spans="1:64" outlineLevel="5" x14ac:dyDescent="0.3">
      <c r="A268" s="152">
        <f t="shared" si="106"/>
        <v>8</v>
      </c>
      <c r="B268" s="153">
        <f t="shared" si="105"/>
        <v>45515</v>
      </c>
      <c r="C268" s="138" t="str">
        <f t="shared" si="111"/>
        <v/>
      </c>
      <c r="D268" s="186"/>
      <c r="E268" s="186"/>
      <c r="F268" s="84"/>
      <c r="G268" s="84"/>
      <c r="H268" s="84"/>
      <c r="I268" s="84"/>
      <c r="J268" s="84"/>
      <c r="K268" s="84"/>
      <c r="L268" s="140" t="str">
        <f t="shared" si="112"/>
        <v/>
      </c>
      <c r="M268" s="86"/>
      <c r="N268" s="86"/>
      <c r="O268" s="86"/>
      <c r="P268" s="86"/>
      <c r="Q268" s="86"/>
      <c r="R268" s="86"/>
      <c r="S268" s="86"/>
      <c r="T268" s="86"/>
      <c r="U268" s="142" t="str">
        <f t="shared" si="113"/>
        <v/>
      </c>
      <c r="V268" s="88"/>
      <c r="W268" s="88"/>
      <c r="X268" s="88"/>
      <c r="Y268" s="88"/>
      <c r="Z268" s="88"/>
      <c r="AA268" s="88"/>
      <c r="AB268" s="88"/>
      <c r="AC268" s="88"/>
      <c r="AD268" s="142" t="str">
        <f t="shared" si="114"/>
        <v/>
      </c>
      <c r="AE268" s="88"/>
      <c r="AF268" s="88"/>
      <c r="AG268" s="88"/>
      <c r="AH268" s="88"/>
      <c r="AI268" s="88"/>
      <c r="AJ268" s="88"/>
      <c r="AK268" s="88"/>
      <c r="AL268" s="88"/>
      <c r="AM268" s="88">
        <v>41.043478260869563</v>
      </c>
      <c r="AN268" s="88">
        <v>115</v>
      </c>
      <c r="AO268" s="89"/>
      <c r="AP268" s="90"/>
      <c r="AQ268" s="146" t="str">
        <f t="shared" si="115"/>
        <v/>
      </c>
      <c r="AR268" s="146" t="str">
        <f t="shared" si="116"/>
        <v/>
      </c>
      <c r="AS268" s="147"/>
      <c r="AT268" s="148"/>
      <c r="AU268" s="149"/>
      <c r="AV268" s="146" t="str">
        <f t="shared" si="117"/>
        <v/>
      </c>
      <c r="AW268" s="146" t="str">
        <f t="shared" si="118"/>
        <v/>
      </c>
      <c r="AX268" s="138" t="str">
        <f t="shared" si="119"/>
        <v/>
      </c>
      <c r="AY268" s="95"/>
      <c r="AZ268" s="96"/>
      <c r="BA268" s="96"/>
      <c r="BB268" s="96"/>
      <c r="BC268" s="96"/>
      <c r="BD268" s="97">
        <v>115</v>
      </c>
      <c r="BE268" s="142">
        <f t="shared" si="120"/>
        <v>8803</v>
      </c>
      <c r="BF268" s="98">
        <v>2236</v>
      </c>
      <c r="BG268" s="98">
        <v>0</v>
      </c>
      <c r="BH268" s="98">
        <v>0</v>
      </c>
      <c r="BI268" s="98">
        <v>6567</v>
      </c>
      <c r="BJ268" s="98"/>
      <c r="BK268" s="98"/>
      <c r="BL268" s="97"/>
    </row>
    <row r="269" spans="1:64" outlineLevel="5" x14ac:dyDescent="0.3">
      <c r="A269" s="152">
        <f t="shared" si="106"/>
        <v>8</v>
      </c>
      <c r="B269" s="153">
        <f t="shared" si="105"/>
        <v>45516</v>
      </c>
      <c r="C269" s="138">
        <f t="shared" si="111"/>
        <v>36.6</v>
      </c>
      <c r="D269" s="186">
        <v>36.4</v>
      </c>
      <c r="E269" s="186">
        <v>36.700000000000003</v>
      </c>
      <c r="F269" s="84"/>
      <c r="G269" s="84"/>
      <c r="H269" s="84"/>
      <c r="I269" s="84"/>
      <c r="J269" s="84"/>
      <c r="K269" s="84"/>
      <c r="L269" s="140" t="str">
        <f t="shared" si="112"/>
        <v/>
      </c>
      <c r="M269" s="86"/>
      <c r="N269" s="86"/>
      <c r="O269" s="86"/>
      <c r="P269" s="86"/>
      <c r="Q269" s="86"/>
      <c r="R269" s="86"/>
      <c r="S269" s="86"/>
      <c r="T269" s="86"/>
      <c r="U269" s="142">
        <f t="shared" si="113"/>
        <v>1402.5</v>
      </c>
      <c r="V269" s="88">
        <v>837</v>
      </c>
      <c r="W269" s="88">
        <v>1968</v>
      </c>
      <c r="X269" s="88"/>
      <c r="Y269" s="88"/>
      <c r="Z269" s="88"/>
      <c r="AA269" s="88"/>
      <c r="AB269" s="88"/>
      <c r="AC269" s="88"/>
      <c r="AD269" s="142">
        <f t="shared" si="114"/>
        <v>14505</v>
      </c>
      <c r="AE269" s="88">
        <v>15870</v>
      </c>
      <c r="AF269" s="88">
        <v>13140</v>
      </c>
      <c r="AG269" s="88"/>
      <c r="AH269" s="88"/>
      <c r="AI269" s="88"/>
      <c r="AJ269" s="88"/>
      <c r="AK269" s="88"/>
      <c r="AL269" s="88"/>
      <c r="AM269" s="88">
        <v>38.940681461925578</v>
      </c>
      <c r="AN269" s="88">
        <v>121.21000000000001</v>
      </c>
      <c r="AO269" s="89">
        <v>15.3</v>
      </c>
      <c r="AP269" s="90"/>
      <c r="AQ269" s="146">
        <f t="shared" si="115"/>
        <v>0</v>
      </c>
      <c r="AR269" s="146">
        <f t="shared" si="116"/>
        <v>100</v>
      </c>
      <c r="AS269" s="147"/>
      <c r="AT269" s="148">
        <v>13.2</v>
      </c>
      <c r="AU269" s="149"/>
      <c r="AV269" s="146">
        <f t="shared" si="117"/>
        <v>0</v>
      </c>
      <c r="AW269" s="146">
        <f t="shared" si="118"/>
        <v>100</v>
      </c>
      <c r="AX269" s="138" t="str">
        <f t="shared" si="119"/>
        <v/>
      </c>
      <c r="AY269" s="95">
        <v>72.55</v>
      </c>
      <c r="AZ269" s="96"/>
      <c r="BA269" s="96"/>
      <c r="BB269" s="96"/>
      <c r="BC269" s="96"/>
      <c r="BD269" s="97">
        <v>121.21000000000001</v>
      </c>
      <c r="BE269" s="142">
        <f t="shared" si="120"/>
        <v>8530</v>
      </c>
      <c r="BF269" s="98">
        <v>1879</v>
      </c>
      <c r="BG269" s="98">
        <v>0</v>
      </c>
      <c r="BH269" s="98">
        <v>0</v>
      </c>
      <c r="BI269" s="98">
        <v>6651</v>
      </c>
      <c r="BJ269" s="98"/>
      <c r="BK269" s="98"/>
      <c r="BL269" s="97"/>
    </row>
    <row r="270" spans="1:64" outlineLevel="5" x14ac:dyDescent="0.3">
      <c r="A270" s="152">
        <f t="shared" si="106"/>
        <v>8</v>
      </c>
      <c r="B270" s="153">
        <f t="shared" si="105"/>
        <v>45517</v>
      </c>
      <c r="C270" s="138" t="str">
        <f t="shared" si="111"/>
        <v/>
      </c>
      <c r="D270" s="186"/>
      <c r="E270" s="186"/>
      <c r="F270" s="84"/>
      <c r="G270" s="84"/>
      <c r="H270" s="84"/>
      <c r="I270" s="84"/>
      <c r="J270" s="84"/>
      <c r="K270" s="84"/>
      <c r="L270" s="140" t="str">
        <f t="shared" si="112"/>
        <v/>
      </c>
      <c r="M270" s="86"/>
      <c r="N270" s="86"/>
      <c r="O270" s="86"/>
      <c r="P270" s="86"/>
      <c r="Q270" s="86"/>
      <c r="R270" s="86"/>
      <c r="S270" s="86"/>
      <c r="T270" s="86"/>
      <c r="U270" s="142" t="str">
        <f t="shared" si="113"/>
        <v/>
      </c>
      <c r="V270" s="88"/>
      <c r="W270" s="88"/>
      <c r="X270" s="88"/>
      <c r="Y270" s="88"/>
      <c r="Z270" s="88"/>
      <c r="AA270" s="88"/>
      <c r="AB270" s="88"/>
      <c r="AC270" s="88"/>
      <c r="AD270" s="142" t="str">
        <f t="shared" si="114"/>
        <v/>
      </c>
      <c r="AE270" s="88"/>
      <c r="AF270" s="88"/>
      <c r="AG270" s="88"/>
      <c r="AH270" s="88"/>
      <c r="AI270" s="88"/>
      <c r="AJ270" s="88"/>
      <c r="AK270" s="88"/>
      <c r="AL270" s="88"/>
      <c r="AM270" s="88">
        <v>57.99950847874171</v>
      </c>
      <c r="AN270" s="88">
        <v>81.38</v>
      </c>
      <c r="AO270" s="89"/>
      <c r="AP270" s="90"/>
      <c r="AQ270" s="146" t="str">
        <f t="shared" si="115"/>
        <v/>
      </c>
      <c r="AR270" s="146" t="str">
        <f t="shared" si="116"/>
        <v/>
      </c>
      <c r="AS270" s="147"/>
      <c r="AT270" s="148"/>
      <c r="AU270" s="149"/>
      <c r="AV270" s="146" t="str">
        <f t="shared" si="117"/>
        <v/>
      </c>
      <c r="AW270" s="146" t="str">
        <f t="shared" si="118"/>
        <v/>
      </c>
      <c r="AX270" s="138" t="str">
        <f t="shared" si="119"/>
        <v/>
      </c>
      <c r="AY270" s="95"/>
      <c r="AZ270" s="96">
        <v>61.105000000000004</v>
      </c>
      <c r="BA270" s="96"/>
      <c r="BB270" s="96">
        <v>33.5</v>
      </c>
      <c r="BC270" s="96"/>
      <c r="BD270" s="97">
        <v>81.38</v>
      </c>
      <c r="BE270" s="142">
        <f t="shared" si="120"/>
        <v>8339</v>
      </c>
      <c r="BF270" s="98">
        <v>1688</v>
      </c>
      <c r="BG270" s="98">
        <v>0</v>
      </c>
      <c r="BH270" s="98">
        <v>0</v>
      </c>
      <c r="BI270" s="98">
        <v>6651</v>
      </c>
      <c r="BJ270" s="98"/>
      <c r="BK270" s="98"/>
      <c r="BL270" s="97"/>
    </row>
    <row r="271" spans="1:64" outlineLevel="5" x14ac:dyDescent="0.3">
      <c r="A271" s="152">
        <f t="shared" si="106"/>
        <v>8</v>
      </c>
      <c r="B271" s="153">
        <f t="shared" si="105"/>
        <v>45518</v>
      </c>
      <c r="C271" s="138" t="str">
        <f t="shared" si="111"/>
        <v/>
      </c>
      <c r="D271" s="186"/>
      <c r="E271" s="186"/>
      <c r="F271" s="84"/>
      <c r="G271" s="84"/>
      <c r="H271" s="84"/>
      <c r="I271" s="84"/>
      <c r="J271" s="84"/>
      <c r="K271" s="84"/>
      <c r="L271" s="140" t="str">
        <f t="shared" si="112"/>
        <v/>
      </c>
      <c r="M271" s="86"/>
      <c r="N271" s="86"/>
      <c r="O271" s="86"/>
      <c r="P271" s="86"/>
      <c r="Q271" s="86"/>
      <c r="R271" s="86"/>
      <c r="S271" s="86"/>
      <c r="T271" s="86"/>
      <c r="U271" s="142" t="str">
        <f t="shared" si="113"/>
        <v/>
      </c>
      <c r="V271" s="88"/>
      <c r="W271" s="88"/>
      <c r="X271" s="88"/>
      <c r="Y271" s="88"/>
      <c r="Z271" s="88"/>
      <c r="AA271" s="88"/>
      <c r="AB271" s="88"/>
      <c r="AC271" s="88"/>
      <c r="AD271" s="142" t="str">
        <f t="shared" si="114"/>
        <v/>
      </c>
      <c r="AE271" s="88"/>
      <c r="AF271" s="88"/>
      <c r="AG271" s="88"/>
      <c r="AH271" s="88"/>
      <c r="AI271" s="88"/>
      <c r="AJ271" s="88"/>
      <c r="AK271" s="88"/>
      <c r="AL271" s="88"/>
      <c r="AM271" s="88">
        <v>38.771151634631181</v>
      </c>
      <c r="AN271" s="88">
        <v>121.74000000000001</v>
      </c>
      <c r="AO271" s="89"/>
      <c r="AP271" s="90"/>
      <c r="AQ271" s="146" t="str">
        <f t="shared" si="115"/>
        <v/>
      </c>
      <c r="AR271" s="146" t="str">
        <f t="shared" si="116"/>
        <v/>
      </c>
      <c r="AS271" s="147"/>
      <c r="AT271" s="148"/>
      <c r="AU271" s="149"/>
      <c r="AV271" s="146" t="str">
        <f t="shared" si="117"/>
        <v/>
      </c>
      <c r="AW271" s="146" t="str">
        <f t="shared" si="118"/>
        <v/>
      </c>
      <c r="AX271" s="138" t="str">
        <f t="shared" si="119"/>
        <v/>
      </c>
      <c r="AY271" s="95"/>
      <c r="AZ271" s="96"/>
      <c r="BA271" s="96"/>
      <c r="BB271" s="96"/>
      <c r="BC271" s="96"/>
      <c r="BD271" s="97">
        <v>121.74000000000001</v>
      </c>
      <c r="BE271" s="142">
        <f t="shared" si="120"/>
        <v>7406</v>
      </c>
      <c r="BF271" s="98">
        <v>720</v>
      </c>
      <c r="BG271" s="98">
        <v>0</v>
      </c>
      <c r="BH271" s="98">
        <v>58</v>
      </c>
      <c r="BI271" s="98">
        <v>6628</v>
      </c>
      <c r="BJ271" s="98"/>
      <c r="BK271" s="98"/>
      <c r="BL271" s="97"/>
    </row>
    <row r="272" spans="1:64" outlineLevel="5" x14ac:dyDescent="0.3">
      <c r="A272" s="152">
        <f t="shared" si="106"/>
        <v>8</v>
      </c>
      <c r="B272" s="153">
        <f t="shared" si="105"/>
        <v>45519</v>
      </c>
      <c r="C272" s="138">
        <f t="shared" si="111"/>
        <v>37.5</v>
      </c>
      <c r="D272" s="186"/>
      <c r="E272" s="186">
        <v>37.5</v>
      </c>
      <c r="F272" s="84"/>
      <c r="G272" s="84"/>
      <c r="H272" s="84"/>
      <c r="I272" s="84"/>
      <c r="J272" s="84"/>
      <c r="K272" s="84"/>
      <c r="L272" s="140" t="str">
        <f t="shared" si="112"/>
        <v/>
      </c>
      <c r="M272" s="86"/>
      <c r="N272" s="86"/>
      <c r="O272" s="86"/>
      <c r="P272" s="86"/>
      <c r="Q272" s="86"/>
      <c r="R272" s="86"/>
      <c r="S272" s="86"/>
      <c r="T272" s="86"/>
      <c r="U272" s="142" t="str">
        <f t="shared" si="113"/>
        <v/>
      </c>
      <c r="V272" s="88"/>
      <c r="W272" s="88"/>
      <c r="X272" s="88"/>
      <c r="Y272" s="88"/>
      <c r="Z272" s="88"/>
      <c r="AA272" s="88"/>
      <c r="AB272" s="88"/>
      <c r="AC272" s="88"/>
      <c r="AD272" s="142" t="str">
        <f t="shared" si="114"/>
        <v/>
      </c>
      <c r="AE272" s="88"/>
      <c r="AF272" s="88"/>
      <c r="AG272" s="88"/>
      <c r="AH272" s="88"/>
      <c r="AI272" s="88"/>
      <c r="AJ272" s="88"/>
      <c r="AK272" s="88"/>
      <c r="AL272" s="88"/>
      <c r="AM272" s="88">
        <v>32.700568103089928</v>
      </c>
      <c r="AN272" s="88">
        <v>144.34</v>
      </c>
      <c r="AO272" s="89"/>
      <c r="AP272" s="90"/>
      <c r="AQ272" s="146" t="str">
        <f t="shared" si="115"/>
        <v/>
      </c>
      <c r="AR272" s="146" t="str">
        <f t="shared" si="116"/>
        <v/>
      </c>
      <c r="AS272" s="147"/>
      <c r="AT272" s="148"/>
      <c r="AU272" s="149"/>
      <c r="AV272" s="146" t="str">
        <f t="shared" si="117"/>
        <v/>
      </c>
      <c r="AW272" s="146" t="str">
        <f t="shared" si="118"/>
        <v/>
      </c>
      <c r="AX272" s="138" t="str">
        <f t="shared" si="119"/>
        <v/>
      </c>
      <c r="AY272" s="95"/>
      <c r="AZ272" s="96"/>
      <c r="BA272" s="96"/>
      <c r="BB272" s="96"/>
      <c r="BC272" s="96"/>
      <c r="BD272" s="97">
        <v>144.34</v>
      </c>
      <c r="BE272" s="142">
        <f t="shared" si="120"/>
        <v>10712</v>
      </c>
      <c r="BF272" s="98">
        <v>1939</v>
      </c>
      <c r="BG272" s="98">
        <v>0</v>
      </c>
      <c r="BH272" s="98">
        <v>2073</v>
      </c>
      <c r="BI272" s="98">
        <v>6700</v>
      </c>
      <c r="BJ272" s="98"/>
      <c r="BK272" s="98"/>
      <c r="BL272" s="97"/>
    </row>
    <row r="273" spans="1:64" outlineLevel="5" x14ac:dyDescent="0.3">
      <c r="A273" s="152">
        <f t="shared" si="106"/>
        <v>8</v>
      </c>
      <c r="B273" s="153">
        <f t="shared" si="105"/>
        <v>45520</v>
      </c>
      <c r="C273" s="138" t="str">
        <f t="shared" si="111"/>
        <v/>
      </c>
      <c r="D273" s="186"/>
      <c r="E273" s="186"/>
      <c r="F273" s="84"/>
      <c r="G273" s="84"/>
      <c r="H273" s="84"/>
      <c r="I273" s="84"/>
      <c r="J273" s="84"/>
      <c r="K273" s="84"/>
      <c r="L273" s="140" t="str">
        <f t="shared" si="112"/>
        <v/>
      </c>
      <c r="M273" s="86"/>
      <c r="N273" s="86"/>
      <c r="O273" s="86"/>
      <c r="P273" s="86"/>
      <c r="Q273" s="86"/>
      <c r="R273" s="86"/>
      <c r="S273" s="86"/>
      <c r="T273" s="86"/>
      <c r="U273" s="142" t="str">
        <f t="shared" si="113"/>
        <v/>
      </c>
      <c r="V273" s="88"/>
      <c r="W273" s="88"/>
      <c r="X273" s="88"/>
      <c r="Y273" s="88"/>
      <c r="Z273" s="88"/>
      <c r="AA273" s="88"/>
      <c r="AB273" s="88"/>
      <c r="AC273" s="88"/>
      <c r="AD273" s="142" t="str">
        <f t="shared" si="114"/>
        <v/>
      </c>
      <c r="AE273" s="88"/>
      <c r="AF273" s="88"/>
      <c r="AG273" s="88"/>
      <c r="AH273" s="88"/>
      <c r="AI273" s="88"/>
      <c r="AJ273" s="88"/>
      <c r="AK273" s="88"/>
      <c r="AL273" s="88"/>
      <c r="AM273" s="88">
        <v>39.834585197063042</v>
      </c>
      <c r="AN273" s="88">
        <v>118.49000000000001</v>
      </c>
      <c r="AO273" s="89"/>
      <c r="AP273" s="90"/>
      <c r="AQ273" s="146" t="str">
        <f t="shared" si="115"/>
        <v/>
      </c>
      <c r="AR273" s="146" t="str">
        <f t="shared" si="116"/>
        <v/>
      </c>
      <c r="AS273" s="147"/>
      <c r="AT273" s="148"/>
      <c r="AU273" s="149"/>
      <c r="AV273" s="146" t="str">
        <f t="shared" si="117"/>
        <v/>
      </c>
      <c r="AW273" s="146" t="str">
        <f t="shared" si="118"/>
        <v/>
      </c>
      <c r="AX273" s="138" t="str">
        <f t="shared" si="119"/>
        <v/>
      </c>
      <c r="AY273" s="95"/>
      <c r="AZ273" s="96"/>
      <c r="BA273" s="96"/>
      <c r="BB273" s="96"/>
      <c r="BC273" s="96"/>
      <c r="BD273" s="97">
        <v>118.49000000000001</v>
      </c>
      <c r="BE273" s="142">
        <f t="shared" si="120"/>
        <v>12641</v>
      </c>
      <c r="BF273" s="98">
        <v>1996</v>
      </c>
      <c r="BG273" s="98">
        <v>0</v>
      </c>
      <c r="BH273" s="98">
        <v>3986</v>
      </c>
      <c r="BI273" s="98">
        <v>6659</v>
      </c>
      <c r="BJ273" s="98"/>
      <c r="BK273" s="98"/>
      <c r="BL273" s="97"/>
    </row>
    <row r="274" spans="1:64" outlineLevel="5" x14ac:dyDescent="0.3">
      <c r="A274" s="152">
        <f t="shared" si="106"/>
        <v>8</v>
      </c>
      <c r="B274" s="153">
        <f t="shared" si="105"/>
        <v>45521</v>
      </c>
      <c r="C274" s="138" t="str">
        <f t="shared" si="111"/>
        <v/>
      </c>
      <c r="D274" s="186"/>
      <c r="E274" s="186"/>
      <c r="F274" s="84"/>
      <c r="G274" s="84"/>
      <c r="H274" s="84"/>
      <c r="I274" s="84"/>
      <c r="J274" s="84"/>
      <c r="K274" s="84"/>
      <c r="L274" s="140" t="str">
        <f t="shared" si="112"/>
        <v/>
      </c>
      <c r="M274" s="86"/>
      <c r="N274" s="86"/>
      <c r="O274" s="86"/>
      <c r="P274" s="86"/>
      <c r="Q274" s="86"/>
      <c r="R274" s="86"/>
      <c r="S274" s="86"/>
      <c r="T274" s="86"/>
      <c r="U274" s="142" t="str">
        <f t="shared" si="113"/>
        <v/>
      </c>
      <c r="V274" s="88"/>
      <c r="W274" s="88"/>
      <c r="X274" s="88"/>
      <c r="Y274" s="88"/>
      <c r="Z274" s="88"/>
      <c r="AA274" s="88"/>
      <c r="AB274" s="88"/>
      <c r="AC274" s="88"/>
      <c r="AD274" s="142" t="str">
        <f t="shared" si="114"/>
        <v/>
      </c>
      <c r="AE274" s="88"/>
      <c r="AF274" s="88"/>
      <c r="AG274" s="88"/>
      <c r="AH274" s="88"/>
      <c r="AI274" s="88"/>
      <c r="AJ274" s="88"/>
      <c r="AK274" s="88"/>
      <c r="AL274" s="88"/>
      <c r="AM274" s="88">
        <v>36.651653983537813</v>
      </c>
      <c r="AN274" s="88">
        <v>128.78</v>
      </c>
      <c r="AO274" s="89"/>
      <c r="AP274" s="90"/>
      <c r="AQ274" s="146" t="str">
        <f t="shared" si="115"/>
        <v/>
      </c>
      <c r="AR274" s="146" t="str">
        <f t="shared" si="116"/>
        <v/>
      </c>
      <c r="AS274" s="147"/>
      <c r="AT274" s="148"/>
      <c r="AU274" s="149"/>
      <c r="AV274" s="146" t="str">
        <f t="shared" si="117"/>
        <v/>
      </c>
      <c r="AW274" s="146" t="str">
        <f t="shared" si="118"/>
        <v/>
      </c>
      <c r="AX274" s="138" t="str">
        <f t="shared" si="119"/>
        <v/>
      </c>
      <c r="AY274" s="95"/>
      <c r="AZ274" s="96"/>
      <c r="BA274" s="96"/>
      <c r="BB274" s="96"/>
      <c r="BC274" s="96"/>
      <c r="BD274" s="97">
        <v>128.78</v>
      </c>
      <c r="BE274" s="142">
        <f t="shared" si="120"/>
        <v>7990</v>
      </c>
      <c r="BF274" s="98">
        <v>1375</v>
      </c>
      <c r="BG274" s="98">
        <v>0</v>
      </c>
      <c r="BH274" s="98">
        <v>12</v>
      </c>
      <c r="BI274" s="98">
        <v>6603</v>
      </c>
      <c r="BJ274" s="98"/>
      <c r="BK274" s="98"/>
      <c r="BL274" s="97"/>
    </row>
    <row r="275" spans="1:64" outlineLevel="5" x14ac:dyDescent="0.3">
      <c r="A275" s="152">
        <f t="shared" si="106"/>
        <v>8</v>
      </c>
      <c r="B275" s="153">
        <f t="shared" si="105"/>
        <v>45522</v>
      </c>
      <c r="C275" s="138" t="str">
        <f t="shared" si="111"/>
        <v/>
      </c>
      <c r="D275" s="186"/>
      <c r="E275" s="186"/>
      <c r="F275" s="84"/>
      <c r="G275" s="84"/>
      <c r="H275" s="84"/>
      <c r="I275" s="84"/>
      <c r="J275" s="84"/>
      <c r="K275" s="84"/>
      <c r="L275" s="140" t="str">
        <f t="shared" si="112"/>
        <v/>
      </c>
      <c r="M275" s="86"/>
      <c r="N275" s="86"/>
      <c r="O275" s="86"/>
      <c r="P275" s="86"/>
      <c r="Q275" s="86"/>
      <c r="R275" s="86"/>
      <c r="S275" s="86"/>
      <c r="T275" s="86"/>
      <c r="U275" s="142" t="str">
        <f t="shared" si="113"/>
        <v/>
      </c>
      <c r="V275" s="88"/>
      <c r="W275" s="88"/>
      <c r="X275" s="88"/>
      <c r="Y275" s="88"/>
      <c r="Z275" s="88"/>
      <c r="AA275" s="88"/>
      <c r="AB275" s="88"/>
      <c r="AC275" s="88"/>
      <c r="AD275" s="142" t="str">
        <f t="shared" si="114"/>
        <v/>
      </c>
      <c r="AE275" s="88"/>
      <c r="AF275" s="88"/>
      <c r="AG275" s="88"/>
      <c r="AH275" s="88"/>
      <c r="AI275" s="88"/>
      <c r="AJ275" s="88"/>
      <c r="AK275" s="88"/>
      <c r="AL275" s="88"/>
      <c r="AM275" s="88">
        <v>42.909090909090907</v>
      </c>
      <c r="AN275" s="88">
        <v>110</v>
      </c>
      <c r="AO275" s="89"/>
      <c r="AP275" s="90"/>
      <c r="AQ275" s="146" t="str">
        <f t="shared" si="115"/>
        <v/>
      </c>
      <c r="AR275" s="146" t="str">
        <f t="shared" si="116"/>
        <v/>
      </c>
      <c r="AS275" s="147"/>
      <c r="AT275" s="148"/>
      <c r="AU275" s="149"/>
      <c r="AV275" s="146" t="str">
        <f t="shared" si="117"/>
        <v/>
      </c>
      <c r="AW275" s="146" t="str">
        <f t="shared" si="118"/>
        <v/>
      </c>
      <c r="AX275" s="138" t="str">
        <f t="shared" si="119"/>
        <v/>
      </c>
      <c r="AY275" s="95"/>
      <c r="AZ275" s="96"/>
      <c r="BA275" s="96"/>
      <c r="BB275" s="96"/>
      <c r="BC275" s="96"/>
      <c r="BD275" s="97">
        <v>110</v>
      </c>
      <c r="BE275" s="142">
        <f t="shared" si="120"/>
        <v>7446</v>
      </c>
      <c r="BF275" s="98">
        <v>869</v>
      </c>
      <c r="BG275" s="98">
        <v>0</v>
      </c>
      <c r="BH275" s="98">
        <v>0</v>
      </c>
      <c r="BI275" s="98">
        <v>6577</v>
      </c>
      <c r="BJ275" s="98"/>
      <c r="BK275" s="98"/>
      <c r="BL275" s="97"/>
    </row>
    <row r="276" spans="1:64" outlineLevel="5" x14ac:dyDescent="0.3">
      <c r="A276" s="152">
        <f t="shared" si="106"/>
        <v>8</v>
      </c>
      <c r="B276" s="153">
        <f t="shared" si="105"/>
        <v>45523</v>
      </c>
      <c r="C276" s="138">
        <f t="shared" si="111"/>
        <v>37.799999999999997</v>
      </c>
      <c r="D276" s="186">
        <v>37.700000000000003</v>
      </c>
      <c r="E276" s="186">
        <v>37.9</v>
      </c>
      <c r="F276" s="84"/>
      <c r="G276" s="84"/>
      <c r="H276" s="84"/>
      <c r="I276" s="84"/>
      <c r="J276" s="84"/>
      <c r="K276" s="84"/>
      <c r="L276" s="140" t="str">
        <f t="shared" si="112"/>
        <v/>
      </c>
      <c r="M276" s="86"/>
      <c r="N276" s="86"/>
      <c r="O276" s="86"/>
      <c r="P276" s="86"/>
      <c r="Q276" s="86"/>
      <c r="R276" s="86"/>
      <c r="S276" s="86"/>
      <c r="T276" s="86"/>
      <c r="U276" s="142" t="str">
        <f t="shared" si="113"/>
        <v/>
      </c>
      <c r="V276" s="88"/>
      <c r="W276" s="88"/>
      <c r="X276" s="88"/>
      <c r="Y276" s="88"/>
      <c r="Z276" s="88"/>
      <c r="AA276" s="88"/>
      <c r="AB276" s="88"/>
      <c r="AC276" s="88"/>
      <c r="AD276" s="142" t="str">
        <f t="shared" si="114"/>
        <v/>
      </c>
      <c r="AE276" s="88"/>
      <c r="AF276" s="88"/>
      <c r="AG276" s="88"/>
      <c r="AH276" s="88"/>
      <c r="AI276" s="88"/>
      <c r="AJ276" s="88"/>
      <c r="AK276" s="88"/>
      <c r="AL276" s="88"/>
      <c r="AM276" s="88">
        <v>47.2</v>
      </c>
      <c r="AN276" s="88">
        <v>100</v>
      </c>
      <c r="AO276" s="89">
        <v>18</v>
      </c>
      <c r="AP276" s="90"/>
      <c r="AQ276" s="146">
        <f t="shared" si="115"/>
        <v>0</v>
      </c>
      <c r="AR276" s="146">
        <f t="shared" si="116"/>
        <v>100</v>
      </c>
      <c r="AS276" s="147"/>
      <c r="AT276" s="148">
        <v>12.7</v>
      </c>
      <c r="AU276" s="149"/>
      <c r="AV276" s="146">
        <f t="shared" si="117"/>
        <v>0</v>
      </c>
      <c r="AW276" s="146">
        <f t="shared" si="118"/>
        <v>100</v>
      </c>
      <c r="AX276" s="138" t="str">
        <f t="shared" si="119"/>
        <v/>
      </c>
      <c r="AY276" s="95">
        <v>77.400000000000006</v>
      </c>
      <c r="AZ276" s="96">
        <v>60.57</v>
      </c>
      <c r="BA276" s="96"/>
      <c r="BB276" s="96">
        <v>56.5</v>
      </c>
      <c r="BC276" s="96"/>
      <c r="BD276" s="97">
        <v>100</v>
      </c>
      <c r="BE276" s="142">
        <f t="shared" si="120"/>
        <v>8409</v>
      </c>
      <c r="BF276" s="98">
        <v>1729</v>
      </c>
      <c r="BG276" s="98">
        <v>0</v>
      </c>
      <c r="BH276" s="98">
        <v>0</v>
      </c>
      <c r="BI276" s="98">
        <v>6680</v>
      </c>
      <c r="BJ276" s="98"/>
      <c r="BK276" s="98"/>
      <c r="BL276" s="97"/>
    </row>
    <row r="277" spans="1:64" outlineLevel="5" x14ac:dyDescent="0.3">
      <c r="A277" s="152">
        <f t="shared" si="106"/>
        <v>8</v>
      </c>
      <c r="B277" s="153">
        <f t="shared" si="105"/>
        <v>45524</v>
      </c>
      <c r="C277" s="138" t="str">
        <f t="shared" si="111"/>
        <v/>
      </c>
      <c r="D277" s="186"/>
      <c r="E277" s="186"/>
      <c r="F277" s="84"/>
      <c r="G277" s="84"/>
      <c r="H277" s="84"/>
      <c r="I277" s="84"/>
      <c r="J277" s="84"/>
      <c r="K277" s="84"/>
      <c r="L277" s="140" t="str">
        <f t="shared" si="112"/>
        <v/>
      </c>
      <c r="M277" s="86"/>
      <c r="N277" s="86"/>
      <c r="O277" s="86"/>
      <c r="P277" s="86"/>
      <c r="Q277" s="86"/>
      <c r="R277" s="86"/>
      <c r="S277" s="86"/>
      <c r="T277" s="86"/>
      <c r="U277" s="142" t="str">
        <f t="shared" si="113"/>
        <v/>
      </c>
      <c r="V277" s="88"/>
      <c r="W277" s="88"/>
      <c r="X277" s="88"/>
      <c r="Y277" s="88"/>
      <c r="Z277" s="88"/>
      <c r="AA277" s="88"/>
      <c r="AB277" s="88"/>
      <c r="AC277" s="88"/>
      <c r="AD277" s="142" t="str">
        <f t="shared" si="114"/>
        <v/>
      </c>
      <c r="AE277" s="88"/>
      <c r="AF277" s="88"/>
      <c r="AG277" s="88"/>
      <c r="AH277" s="88"/>
      <c r="AI277" s="88"/>
      <c r="AJ277" s="88"/>
      <c r="AK277" s="88"/>
      <c r="AL277" s="88"/>
      <c r="AM277" s="88">
        <v>44.31924882629108</v>
      </c>
      <c r="AN277" s="88">
        <v>106.5</v>
      </c>
      <c r="AO277" s="89"/>
      <c r="AP277" s="90"/>
      <c r="AQ277" s="146" t="str">
        <f t="shared" si="115"/>
        <v/>
      </c>
      <c r="AR277" s="146" t="str">
        <f t="shared" si="116"/>
        <v/>
      </c>
      <c r="AS277" s="147"/>
      <c r="AT277" s="148"/>
      <c r="AU277" s="149"/>
      <c r="AV277" s="146" t="str">
        <f t="shared" si="117"/>
        <v/>
      </c>
      <c r="AW277" s="146" t="str">
        <f t="shared" si="118"/>
        <v/>
      </c>
      <c r="AX277" s="138" t="str">
        <f t="shared" si="119"/>
        <v/>
      </c>
      <c r="AY277" s="95"/>
      <c r="AZ277" s="96"/>
      <c r="BA277" s="96"/>
      <c r="BB277" s="96"/>
      <c r="BC277" s="96"/>
      <c r="BD277" s="97">
        <v>106.5</v>
      </c>
      <c r="BE277" s="142">
        <f t="shared" si="120"/>
        <v>6366</v>
      </c>
      <c r="BF277" s="98">
        <v>252</v>
      </c>
      <c r="BG277" s="98">
        <v>0</v>
      </c>
      <c r="BH277" s="98">
        <v>0</v>
      </c>
      <c r="BI277" s="98">
        <v>6114</v>
      </c>
      <c r="BJ277" s="98"/>
      <c r="BK277" s="98"/>
      <c r="BL277" s="97"/>
    </row>
    <row r="278" spans="1:64" outlineLevel="5" x14ac:dyDescent="0.3">
      <c r="A278" s="152">
        <f t="shared" si="106"/>
        <v>8</v>
      </c>
      <c r="B278" s="153">
        <f t="shared" si="105"/>
        <v>45525</v>
      </c>
      <c r="C278" s="138">
        <f t="shared" si="111"/>
        <v>37.700000000000003</v>
      </c>
      <c r="D278" s="186">
        <v>37.700000000000003</v>
      </c>
      <c r="E278" s="189"/>
      <c r="F278" s="84"/>
      <c r="G278" s="84"/>
      <c r="H278" s="84"/>
      <c r="I278" s="84"/>
      <c r="J278" s="84"/>
      <c r="K278" s="84"/>
      <c r="L278" s="140" t="str">
        <f t="shared" si="112"/>
        <v/>
      </c>
      <c r="M278" s="86"/>
      <c r="N278" s="86"/>
      <c r="O278" s="86"/>
      <c r="P278" s="86"/>
      <c r="Q278" s="86"/>
      <c r="R278" s="86"/>
      <c r="S278" s="86"/>
      <c r="T278" s="86"/>
      <c r="U278" s="142" t="str">
        <f t="shared" si="113"/>
        <v/>
      </c>
      <c r="V278" s="88"/>
      <c r="W278" s="88"/>
      <c r="X278" s="88"/>
      <c r="Y278" s="88"/>
      <c r="Z278" s="88"/>
      <c r="AA278" s="88"/>
      <c r="AB278" s="88"/>
      <c r="AC278" s="88"/>
      <c r="AD278" s="142" t="str">
        <f t="shared" si="114"/>
        <v/>
      </c>
      <c r="AE278" s="88"/>
      <c r="AF278" s="88"/>
      <c r="AG278" s="88"/>
      <c r="AH278" s="88"/>
      <c r="AI278" s="88"/>
      <c r="AJ278" s="88"/>
      <c r="AK278" s="88"/>
      <c r="AL278" s="88"/>
      <c r="AM278" s="88">
        <v>72.337164750957854</v>
      </c>
      <c r="AN278" s="88">
        <v>65.25</v>
      </c>
      <c r="AO278" s="89"/>
      <c r="AP278" s="90"/>
      <c r="AQ278" s="146" t="str">
        <f t="shared" si="115"/>
        <v/>
      </c>
      <c r="AR278" s="146" t="str">
        <f t="shared" si="116"/>
        <v/>
      </c>
      <c r="AS278" s="147"/>
      <c r="AT278" s="148"/>
      <c r="AU278" s="149"/>
      <c r="AV278" s="146" t="str">
        <f t="shared" si="117"/>
        <v/>
      </c>
      <c r="AW278" s="146" t="str">
        <f t="shared" si="118"/>
        <v/>
      </c>
      <c r="AX278" s="138" t="str">
        <f t="shared" si="119"/>
        <v/>
      </c>
      <c r="AY278" s="95"/>
      <c r="AZ278" s="96"/>
      <c r="BA278" s="96"/>
      <c r="BB278" s="96"/>
      <c r="BC278" s="96"/>
      <c r="BD278" s="97">
        <v>65.25</v>
      </c>
      <c r="BE278" s="142">
        <f t="shared" si="120"/>
        <v>944</v>
      </c>
      <c r="BF278" s="98">
        <v>944</v>
      </c>
      <c r="BG278" s="98">
        <v>0</v>
      </c>
      <c r="BH278" s="98">
        <v>0</v>
      </c>
      <c r="BI278" s="98">
        <v>0</v>
      </c>
      <c r="BJ278" s="98"/>
      <c r="BK278" s="98"/>
      <c r="BL278" s="97"/>
    </row>
    <row r="279" spans="1:64" outlineLevel="5" x14ac:dyDescent="0.3">
      <c r="A279" s="152">
        <f t="shared" si="106"/>
        <v>8</v>
      </c>
      <c r="B279" s="153">
        <f t="shared" si="105"/>
        <v>45526</v>
      </c>
      <c r="C279" s="138">
        <f t="shared" si="111"/>
        <v>37.700000000000003</v>
      </c>
      <c r="D279" s="186">
        <v>37.5</v>
      </c>
      <c r="E279" s="186">
        <v>37.799999999999997</v>
      </c>
      <c r="F279" s="84"/>
      <c r="G279" s="84"/>
      <c r="H279" s="84"/>
      <c r="I279" s="84"/>
      <c r="J279" s="84"/>
      <c r="K279" s="84"/>
      <c r="L279" s="140" t="str">
        <f t="shared" si="112"/>
        <v/>
      </c>
      <c r="M279" s="86"/>
      <c r="N279" s="86"/>
      <c r="O279" s="86"/>
      <c r="P279" s="86"/>
      <c r="Q279" s="86"/>
      <c r="R279" s="86"/>
      <c r="S279" s="86"/>
      <c r="T279" s="86"/>
      <c r="U279" s="142" t="str">
        <f t="shared" si="113"/>
        <v/>
      </c>
      <c r="V279" s="88"/>
      <c r="W279" s="88"/>
      <c r="X279" s="88"/>
      <c r="Y279" s="88"/>
      <c r="Z279" s="88"/>
      <c r="AA279" s="88"/>
      <c r="AB279" s="88"/>
      <c r="AC279" s="88"/>
      <c r="AD279" s="142" t="str">
        <f t="shared" si="114"/>
        <v/>
      </c>
      <c r="AE279" s="88"/>
      <c r="AF279" s="88"/>
      <c r="AG279" s="88"/>
      <c r="AH279" s="88"/>
      <c r="AI279" s="88"/>
      <c r="AJ279" s="88"/>
      <c r="AK279" s="88"/>
      <c r="AL279" s="88"/>
      <c r="AM279" s="88">
        <v>43.841723945755156</v>
      </c>
      <c r="AN279" s="88">
        <v>107.66</v>
      </c>
      <c r="AO279" s="89"/>
      <c r="AP279" s="90"/>
      <c r="AQ279" s="146" t="str">
        <f t="shared" si="115"/>
        <v/>
      </c>
      <c r="AR279" s="146" t="str">
        <f t="shared" si="116"/>
        <v/>
      </c>
      <c r="AS279" s="147"/>
      <c r="AT279" s="148"/>
      <c r="AU279" s="149"/>
      <c r="AV279" s="146" t="str">
        <f t="shared" si="117"/>
        <v/>
      </c>
      <c r="AW279" s="146" t="str">
        <f t="shared" si="118"/>
        <v/>
      </c>
      <c r="AX279" s="138" t="str">
        <f t="shared" si="119"/>
        <v/>
      </c>
      <c r="AY279" s="95"/>
      <c r="AZ279" s="96">
        <v>60.760000000000005</v>
      </c>
      <c r="BA279" s="96"/>
      <c r="BB279" s="96">
        <v>64.5</v>
      </c>
      <c r="BC279" s="96"/>
      <c r="BD279" s="97">
        <v>107.66</v>
      </c>
      <c r="BE279" s="142">
        <f t="shared" si="120"/>
        <v>3922</v>
      </c>
      <c r="BF279" s="98">
        <v>1757</v>
      </c>
      <c r="BG279" s="98">
        <v>0</v>
      </c>
      <c r="BH279" s="98">
        <v>0</v>
      </c>
      <c r="BI279" s="98">
        <v>2165</v>
      </c>
      <c r="BJ279" s="98"/>
      <c r="BK279" s="98"/>
      <c r="BL279" s="97"/>
    </row>
    <row r="280" spans="1:64" outlineLevel="5" x14ac:dyDescent="0.3">
      <c r="A280" s="152">
        <f t="shared" si="106"/>
        <v>8</v>
      </c>
      <c r="B280" s="153">
        <f t="shared" si="105"/>
        <v>45527</v>
      </c>
      <c r="C280" s="138">
        <f t="shared" si="111"/>
        <v>37.799999999999997</v>
      </c>
      <c r="D280" s="186"/>
      <c r="E280" s="186">
        <v>37.799999999999997</v>
      </c>
      <c r="F280" s="84"/>
      <c r="G280" s="84"/>
      <c r="H280" s="84"/>
      <c r="I280" s="84"/>
      <c r="J280" s="84"/>
      <c r="K280" s="84"/>
      <c r="L280" s="140" t="str">
        <f t="shared" si="112"/>
        <v/>
      </c>
      <c r="M280" s="86"/>
      <c r="N280" s="86"/>
      <c r="O280" s="86"/>
      <c r="P280" s="86"/>
      <c r="Q280" s="86"/>
      <c r="R280" s="86"/>
      <c r="S280" s="86"/>
      <c r="T280" s="86"/>
      <c r="U280" s="142" t="str">
        <f t="shared" si="113"/>
        <v/>
      </c>
      <c r="V280" s="88"/>
      <c r="W280" s="88"/>
      <c r="X280" s="88"/>
      <c r="Y280" s="88"/>
      <c r="Z280" s="88"/>
      <c r="AA280" s="88"/>
      <c r="AB280" s="88"/>
      <c r="AC280" s="88"/>
      <c r="AD280" s="142" t="str">
        <f t="shared" si="114"/>
        <v/>
      </c>
      <c r="AE280" s="88"/>
      <c r="AF280" s="88"/>
      <c r="AG280" s="88"/>
      <c r="AH280" s="88"/>
      <c r="AI280" s="88"/>
      <c r="AJ280" s="88"/>
      <c r="AK280" s="88"/>
      <c r="AL280" s="88"/>
      <c r="AM280" s="88">
        <v>41.461700632466616</v>
      </c>
      <c r="AN280" s="88">
        <v>113.84</v>
      </c>
      <c r="AO280" s="89"/>
      <c r="AP280" s="90"/>
      <c r="AQ280" s="146" t="str">
        <f t="shared" si="115"/>
        <v/>
      </c>
      <c r="AR280" s="146" t="str">
        <f t="shared" si="116"/>
        <v/>
      </c>
      <c r="AS280" s="147"/>
      <c r="AT280" s="148"/>
      <c r="AU280" s="149"/>
      <c r="AV280" s="146" t="str">
        <f t="shared" si="117"/>
        <v/>
      </c>
      <c r="AW280" s="146" t="str">
        <f t="shared" si="118"/>
        <v/>
      </c>
      <c r="AX280" s="138" t="str">
        <f t="shared" si="119"/>
        <v/>
      </c>
      <c r="AY280" s="95"/>
      <c r="AZ280" s="96"/>
      <c r="BA280" s="96"/>
      <c r="BB280" s="96"/>
      <c r="BC280" s="96"/>
      <c r="BD280" s="97">
        <v>113.84</v>
      </c>
      <c r="BE280" s="142">
        <f t="shared" si="120"/>
        <v>8259</v>
      </c>
      <c r="BF280" s="98">
        <v>1585</v>
      </c>
      <c r="BG280" s="98">
        <v>0</v>
      </c>
      <c r="BH280" s="98">
        <v>0</v>
      </c>
      <c r="BI280" s="98">
        <v>6674</v>
      </c>
      <c r="BJ280" s="98"/>
      <c r="BK280" s="98"/>
      <c r="BL280" s="97"/>
    </row>
    <row r="281" spans="1:64" outlineLevel="5" x14ac:dyDescent="0.3">
      <c r="A281" s="152">
        <f t="shared" si="106"/>
        <v>8</v>
      </c>
      <c r="B281" s="153">
        <f t="shared" si="105"/>
        <v>45528</v>
      </c>
      <c r="C281" s="138" t="str">
        <f t="shared" si="111"/>
        <v/>
      </c>
      <c r="D281" s="186"/>
      <c r="E281" s="186"/>
      <c r="F281" s="84"/>
      <c r="G281" s="84"/>
      <c r="H281" s="84"/>
      <c r="I281" s="84"/>
      <c r="J281" s="84"/>
      <c r="K281" s="84"/>
      <c r="L281" s="140" t="str">
        <f t="shared" si="112"/>
        <v/>
      </c>
      <c r="M281" s="86"/>
      <c r="N281" s="86"/>
      <c r="O281" s="86"/>
      <c r="P281" s="86"/>
      <c r="Q281" s="86"/>
      <c r="R281" s="86"/>
      <c r="S281" s="86"/>
      <c r="T281" s="86"/>
      <c r="U281" s="142" t="str">
        <f t="shared" si="113"/>
        <v/>
      </c>
      <c r="V281" s="88"/>
      <c r="W281" s="88"/>
      <c r="X281" s="88"/>
      <c r="Y281" s="88"/>
      <c r="Z281" s="88"/>
      <c r="AA281" s="88"/>
      <c r="AB281" s="88"/>
      <c r="AC281" s="88"/>
      <c r="AD281" s="142" t="str">
        <f t="shared" si="114"/>
        <v/>
      </c>
      <c r="AE281" s="88"/>
      <c r="AF281" s="88"/>
      <c r="AG281" s="88"/>
      <c r="AH281" s="88"/>
      <c r="AI281" s="88"/>
      <c r="AJ281" s="88"/>
      <c r="AK281" s="88"/>
      <c r="AL281" s="88"/>
      <c r="AM281" s="88">
        <v>41.985411848425549</v>
      </c>
      <c r="AN281" s="88">
        <v>112.42</v>
      </c>
      <c r="AO281" s="89"/>
      <c r="AP281" s="90"/>
      <c r="AQ281" s="146" t="str">
        <f t="shared" si="115"/>
        <v/>
      </c>
      <c r="AR281" s="146" t="str">
        <f t="shared" si="116"/>
        <v/>
      </c>
      <c r="AS281" s="147"/>
      <c r="AT281" s="148"/>
      <c r="AU281" s="149"/>
      <c r="AV281" s="146" t="str">
        <f t="shared" si="117"/>
        <v/>
      </c>
      <c r="AW281" s="146" t="str">
        <f t="shared" si="118"/>
        <v/>
      </c>
      <c r="AX281" s="138" t="str">
        <f t="shared" si="119"/>
        <v/>
      </c>
      <c r="AY281" s="95"/>
      <c r="AZ281" s="96"/>
      <c r="BA281" s="96"/>
      <c r="BB281" s="96"/>
      <c r="BC281" s="96"/>
      <c r="BD281" s="97">
        <v>112.42</v>
      </c>
      <c r="BE281" s="142">
        <f t="shared" si="120"/>
        <v>8574</v>
      </c>
      <c r="BF281" s="98">
        <v>1945</v>
      </c>
      <c r="BG281" s="98">
        <v>0</v>
      </c>
      <c r="BH281" s="98">
        <v>0</v>
      </c>
      <c r="BI281" s="98">
        <v>6629</v>
      </c>
      <c r="BJ281" s="98"/>
      <c r="BK281" s="98"/>
      <c r="BL281" s="97"/>
    </row>
    <row r="282" spans="1:64" outlineLevel="5" x14ac:dyDescent="0.3">
      <c r="A282" s="152">
        <f t="shared" si="106"/>
        <v>8</v>
      </c>
      <c r="B282" s="153">
        <f t="shared" si="105"/>
        <v>45529</v>
      </c>
      <c r="C282" s="138" t="str">
        <f t="shared" si="111"/>
        <v/>
      </c>
      <c r="D282" s="186"/>
      <c r="E282" s="186"/>
      <c r="F282" s="84"/>
      <c r="G282" s="84"/>
      <c r="H282" s="84"/>
      <c r="I282" s="84"/>
      <c r="J282" s="84"/>
      <c r="K282" s="84"/>
      <c r="L282" s="140" t="str">
        <f t="shared" si="112"/>
        <v/>
      </c>
      <c r="M282" s="86"/>
      <c r="N282" s="86"/>
      <c r="O282" s="86"/>
      <c r="P282" s="86"/>
      <c r="Q282" s="86"/>
      <c r="R282" s="86"/>
      <c r="S282" s="86"/>
      <c r="T282" s="86"/>
      <c r="U282" s="142" t="str">
        <f t="shared" si="113"/>
        <v/>
      </c>
      <c r="V282" s="88"/>
      <c r="W282" s="88"/>
      <c r="X282" s="88"/>
      <c r="Y282" s="88"/>
      <c r="Z282" s="88"/>
      <c r="AA282" s="88"/>
      <c r="AB282" s="88"/>
      <c r="AC282" s="88"/>
      <c r="AD282" s="142" t="str">
        <f t="shared" si="114"/>
        <v/>
      </c>
      <c r="AE282" s="88"/>
      <c r="AF282" s="88"/>
      <c r="AG282" s="88"/>
      <c r="AH282" s="88"/>
      <c r="AI282" s="88"/>
      <c r="AJ282" s="88"/>
      <c r="AK282" s="88"/>
      <c r="AL282" s="88"/>
      <c r="AM282" s="88">
        <v>41.043478260869563</v>
      </c>
      <c r="AN282" s="88">
        <v>115</v>
      </c>
      <c r="AO282" s="89"/>
      <c r="AP282" s="90"/>
      <c r="AQ282" s="146" t="str">
        <f t="shared" si="115"/>
        <v/>
      </c>
      <c r="AR282" s="146" t="str">
        <f t="shared" si="116"/>
        <v/>
      </c>
      <c r="AS282" s="147"/>
      <c r="AT282" s="148"/>
      <c r="AU282" s="149"/>
      <c r="AV282" s="146" t="str">
        <f t="shared" si="117"/>
        <v/>
      </c>
      <c r="AW282" s="146" t="str">
        <f t="shared" si="118"/>
        <v/>
      </c>
      <c r="AX282" s="138" t="str">
        <f t="shared" si="119"/>
        <v/>
      </c>
      <c r="AY282" s="95"/>
      <c r="AZ282" s="96"/>
      <c r="BA282" s="96"/>
      <c r="BB282" s="96"/>
      <c r="BC282" s="96"/>
      <c r="BD282" s="97">
        <v>115</v>
      </c>
      <c r="BE282" s="142">
        <f t="shared" si="120"/>
        <v>8170</v>
      </c>
      <c r="BF282" s="98">
        <v>1565</v>
      </c>
      <c r="BG282" s="98">
        <v>0</v>
      </c>
      <c r="BH282" s="98">
        <v>0</v>
      </c>
      <c r="BI282" s="98">
        <v>6605</v>
      </c>
      <c r="BJ282" s="98"/>
      <c r="BK282" s="98"/>
      <c r="BL282" s="97"/>
    </row>
    <row r="283" spans="1:64" outlineLevel="5" x14ac:dyDescent="0.3">
      <c r="A283" s="152">
        <f t="shared" si="106"/>
        <v>8</v>
      </c>
      <c r="B283" s="153">
        <f t="shared" si="105"/>
        <v>45530</v>
      </c>
      <c r="C283" s="138">
        <f t="shared" si="111"/>
        <v>38</v>
      </c>
      <c r="D283" s="186">
        <v>37.9</v>
      </c>
      <c r="E283" s="186">
        <v>38.1</v>
      </c>
      <c r="F283" s="84"/>
      <c r="G283" s="84"/>
      <c r="H283" s="84"/>
      <c r="I283" s="84"/>
      <c r="J283" s="84"/>
      <c r="K283" s="84"/>
      <c r="L283" s="140" t="str">
        <f t="shared" si="112"/>
        <v/>
      </c>
      <c r="M283" s="86"/>
      <c r="N283" s="86"/>
      <c r="O283" s="86"/>
      <c r="P283" s="86"/>
      <c r="Q283" s="86"/>
      <c r="R283" s="86"/>
      <c r="S283" s="86"/>
      <c r="T283" s="86"/>
      <c r="U283" s="142" t="str">
        <f t="shared" si="113"/>
        <v/>
      </c>
      <c r="V283" s="88"/>
      <c r="W283" s="88"/>
      <c r="X283" s="88"/>
      <c r="Y283" s="88"/>
      <c r="Z283" s="88"/>
      <c r="AA283" s="88"/>
      <c r="AB283" s="88"/>
      <c r="AC283" s="88"/>
      <c r="AD283" s="142" t="str">
        <f t="shared" si="114"/>
        <v/>
      </c>
      <c r="AE283" s="88"/>
      <c r="AF283" s="88"/>
      <c r="AG283" s="88"/>
      <c r="AH283" s="88"/>
      <c r="AI283" s="88"/>
      <c r="AJ283" s="88"/>
      <c r="AK283" s="88"/>
      <c r="AL283" s="88"/>
      <c r="AM283" s="88">
        <v>45.284467044037221</v>
      </c>
      <c r="AN283" s="88">
        <v>104.23</v>
      </c>
      <c r="AO283" s="89">
        <v>15.4</v>
      </c>
      <c r="AP283" s="90">
        <v>13.2</v>
      </c>
      <c r="AQ283" s="146">
        <f t="shared" si="115"/>
        <v>85.714285714285708</v>
      </c>
      <c r="AR283" s="146">
        <f t="shared" si="116"/>
        <v>14.285714285714292</v>
      </c>
      <c r="AS283" s="147"/>
      <c r="AT283" s="148">
        <v>13.65</v>
      </c>
      <c r="AU283" s="149">
        <v>7.35</v>
      </c>
      <c r="AV283" s="146">
        <f t="shared" si="117"/>
        <v>53.846153846153847</v>
      </c>
      <c r="AW283" s="146">
        <f t="shared" si="118"/>
        <v>46.153846153846153</v>
      </c>
      <c r="AX283" s="138">
        <f t="shared" si="119"/>
        <v>80.555555555555543</v>
      </c>
      <c r="AY283" s="95">
        <v>71.8</v>
      </c>
      <c r="AZ283" s="96"/>
      <c r="BA283" s="96"/>
      <c r="BB283" s="96"/>
      <c r="BC283" s="96"/>
      <c r="BD283" s="97">
        <v>104.23</v>
      </c>
      <c r="BE283" s="142">
        <f t="shared" si="120"/>
        <v>8528</v>
      </c>
      <c r="BF283" s="98">
        <v>1913</v>
      </c>
      <c r="BG283" s="98">
        <v>0</v>
      </c>
      <c r="BH283" s="98">
        <v>0</v>
      </c>
      <c r="BI283" s="98">
        <v>6615</v>
      </c>
      <c r="BJ283" s="98"/>
      <c r="BK283" s="98"/>
      <c r="BL283" s="97"/>
    </row>
    <row r="284" spans="1:64" outlineLevel="5" x14ac:dyDescent="0.3">
      <c r="A284" s="152">
        <f t="shared" si="106"/>
        <v>8</v>
      </c>
      <c r="B284" s="153">
        <f t="shared" si="105"/>
        <v>45531</v>
      </c>
      <c r="C284" s="138" t="str">
        <f t="shared" si="111"/>
        <v/>
      </c>
      <c r="D284" s="186"/>
      <c r="E284" s="186"/>
      <c r="F284" s="84"/>
      <c r="G284" s="84"/>
      <c r="H284" s="84"/>
      <c r="I284" s="84"/>
      <c r="J284" s="84"/>
      <c r="K284" s="84"/>
      <c r="L284" s="140" t="str">
        <f t="shared" si="112"/>
        <v/>
      </c>
      <c r="M284" s="86"/>
      <c r="N284" s="86"/>
      <c r="O284" s="86"/>
      <c r="P284" s="86"/>
      <c r="Q284" s="86"/>
      <c r="R284" s="86"/>
      <c r="S284" s="86"/>
      <c r="T284" s="86"/>
      <c r="U284" s="142" t="str">
        <f t="shared" si="113"/>
        <v/>
      </c>
      <c r="V284" s="88"/>
      <c r="W284" s="88"/>
      <c r="X284" s="88"/>
      <c r="Y284" s="88"/>
      <c r="Z284" s="88"/>
      <c r="AA284" s="88"/>
      <c r="AB284" s="88"/>
      <c r="AC284" s="88"/>
      <c r="AD284" s="142" t="str">
        <f t="shared" si="114"/>
        <v/>
      </c>
      <c r="AE284" s="88"/>
      <c r="AF284" s="88"/>
      <c r="AG284" s="88"/>
      <c r="AH284" s="88"/>
      <c r="AI284" s="88"/>
      <c r="AJ284" s="88"/>
      <c r="AK284" s="88"/>
      <c r="AL284" s="88"/>
      <c r="AM284" s="88">
        <v>48.469911686177859</v>
      </c>
      <c r="AN284" s="88">
        <v>97.38</v>
      </c>
      <c r="AO284" s="89"/>
      <c r="AP284" s="90"/>
      <c r="AQ284" s="146" t="str">
        <f t="shared" si="115"/>
        <v/>
      </c>
      <c r="AR284" s="146" t="str">
        <f t="shared" si="116"/>
        <v/>
      </c>
      <c r="AS284" s="147"/>
      <c r="AT284" s="148"/>
      <c r="AU284" s="149"/>
      <c r="AV284" s="146" t="str">
        <f t="shared" si="117"/>
        <v/>
      </c>
      <c r="AW284" s="146" t="str">
        <f t="shared" si="118"/>
        <v/>
      </c>
      <c r="AX284" s="138" t="str">
        <f t="shared" si="119"/>
        <v/>
      </c>
      <c r="AY284" s="95"/>
      <c r="AZ284" s="96"/>
      <c r="BA284" s="96"/>
      <c r="BB284" s="96"/>
      <c r="BC284" s="96"/>
      <c r="BD284" s="97">
        <v>97.38</v>
      </c>
      <c r="BE284" s="142">
        <f t="shared" si="120"/>
        <v>7609</v>
      </c>
      <c r="BF284" s="98">
        <v>939</v>
      </c>
      <c r="BG284" s="98">
        <v>0</v>
      </c>
      <c r="BH284" s="98">
        <v>0</v>
      </c>
      <c r="BI284" s="98">
        <v>6670</v>
      </c>
      <c r="BJ284" s="98"/>
      <c r="BK284" s="98"/>
      <c r="BL284" s="97"/>
    </row>
    <row r="285" spans="1:64" outlineLevel="5" x14ac:dyDescent="0.3">
      <c r="A285" s="152">
        <f t="shared" si="106"/>
        <v>8</v>
      </c>
      <c r="B285" s="153">
        <f t="shared" si="105"/>
        <v>45532</v>
      </c>
      <c r="C285" s="138" t="str">
        <f t="shared" si="111"/>
        <v/>
      </c>
      <c r="D285" s="186"/>
      <c r="E285" s="186"/>
      <c r="F285" s="84"/>
      <c r="G285" s="84"/>
      <c r="H285" s="84"/>
      <c r="I285" s="84"/>
      <c r="J285" s="84"/>
      <c r="K285" s="84"/>
      <c r="L285" s="140" t="str">
        <f t="shared" si="112"/>
        <v/>
      </c>
      <c r="M285" s="86"/>
      <c r="N285" s="86"/>
      <c r="O285" s="86"/>
      <c r="P285" s="86"/>
      <c r="Q285" s="86"/>
      <c r="R285" s="86"/>
      <c r="S285" s="86"/>
      <c r="T285" s="86"/>
      <c r="U285" s="142" t="str">
        <f t="shared" si="113"/>
        <v/>
      </c>
      <c r="V285" s="88"/>
      <c r="W285" s="88"/>
      <c r="X285" s="88"/>
      <c r="Y285" s="88"/>
      <c r="Z285" s="88"/>
      <c r="AA285" s="88"/>
      <c r="AB285" s="88"/>
      <c r="AC285" s="88"/>
      <c r="AD285" s="142" t="str">
        <f t="shared" si="114"/>
        <v/>
      </c>
      <c r="AE285" s="88"/>
      <c r="AF285" s="88"/>
      <c r="AG285" s="88"/>
      <c r="AH285" s="88"/>
      <c r="AI285" s="88"/>
      <c r="AJ285" s="88"/>
      <c r="AK285" s="88"/>
      <c r="AL285" s="88"/>
      <c r="AM285" s="88">
        <v>59.852903880294193</v>
      </c>
      <c r="AN285" s="88">
        <v>78.86</v>
      </c>
      <c r="AO285" s="89"/>
      <c r="AP285" s="90"/>
      <c r="AQ285" s="146" t="str">
        <f t="shared" si="115"/>
        <v/>
      </c>
      <c r="AR285" s="146" t="str">
        <f t="shared" si="116"/>
        <v/>
      </c>
      <c r="AS285" s="147"/>
      <c r="AT285" s="148"/>
      <c r="AU285" s="149"/>
      <c r="AV285" s="146" t="str">
        <f t="shared" si="117"/>
        <v/>
      </c>
      <c r="AW285" s="146" t="str">
        <f t="shared" si="118"/>
        <v/>
      </c>
      <c r="AX285" s="138" t="str">
        <f t="shared" si="119"/>
        <v/>
      </c>
      <c r="AY285" s="95"/>
      <c r="AZ285" s="96">
        <v>60.825000000000003</v>
      </c>
      <c r="BA285" s="96"/>
      <c r="BB285" s="96">
        <v>56.5</v>
      </c>
      <c r="BC285" s="96"/>
      <c r="BD285" s="97">
        <v>78.86</v>
      </c>
      <c r="BE285" s="142">
        <f t="shared" si="120"/>
        <v>8322</v>
      </c>
      <c r="BF285" s="98">
        <v>1679</v>
      </c>
      <c r="BG285" s="98">
        <v>0</v>
      </c>
      <c r="BH285" s="98">
        <v>0</v>
      </c>
      <c r="BI285" s="98">
        <v>6643</v>
      </c>
      <c r="BJ285" s="98"/>
      <c r="BK285" s="98"/>
      <c r="BL285" s="97"/>
    </row>
    <row r="286" spans="1:64" outlineLevel="5" x14ac:dyDescent="0.3">
      <c r="A286" s="152">
        <f t="shared" si="106"/>
        <v>8</v>
      </c>
      <c r="B286" s="153">
        <f t="shared" si="105"/>
        <v>45533</v>
      </c>
      <c r="C286" s="138">
        <f t="shared" si="111"/>
        <v>36.799999999999997</v>
      </c>
      <c r="D286" s="186">
        <v>36.799999999999997</v>
      </c>
      <c r="E286" s="186">
        <v>36.700000000000003</v>
      </c>
      <c r="F286" s="84"/>
      <c r="G286" s="84"/>
      <c r="H286" s="84"/>
      <c r="I286" s="84"/>
      <c r="J286" s="84"/>
      <c r="K286" s="84"/>
      <c r="L286" s="140" t="str">
        <f t="shared" si="112"/>
        <v/>
      </c>
      <c r="M286" s="86"/>
      <c r="N286" s="86"/>
      <c r="O286" s="86"/>
      <c r="P286" s="86"/>
      <c r="Q286" s="86"/>
      <c r="R286" s="86"/>
      <c r="S286" s="86"/>
      <c r="T286" s="86"/>
      <c r="U286" s="142" t="str">
        <f t="shared" si="113"/>
        <v/>
      </c>
      <c r="V286" s="88"/>
      <c r="W286" s="88"/>
      <c r="X286" s="88"/>
      <c r="Y286" s="88"/>
      <c r="Z286" s="88"/>
      <c r="AA286" s="88"/>
      <c r="AB286" s="88"/>
      <c r="AC286" s="88"/>
      <c r="AD286" s="142" t="str">
        <f t="shared" si="114"/>
        <v/>
      </c>
      <c r="AE286" s="88"/>
      <c r="AF286" s="88"/>
      <c r="AG286" s="88"/>
      <c r="AH286" s="88"/>
      <c r="AI286" s="88"/>
      <c r="AJ286" s="88"/>
      <c r="AK286" s="88"/>
      <c r="AL286" s="88"/>
      <c r="AM286" s="88">
        <v>58.539005333002606</v>
      </c>
      <c r="AN286" s="88">
        <v>80.63</v>
      </c>
      <c r="AO286" s="89"/>
      <c r="AP286" s="90"/>
      <c r="AQ286" s="146" t="str">
        <f t="shared" si="115"/>
        <v/>
      </c>
      <c r="AR286" s="146" t="str">
        <f t="shared" si="116"/>
        <v/>
      </c>
      <c r="AS286" s="147"/>
      <c r="AT286" s="148">
        <v>13.2</v>
      </c>
      <c r="AU286" s="149">
        <v>6.35</v>
      </c>
      <c r="AV286" s="146">
        <f t="shared" si="117"/>
        <v>48.106060606060609</v>
      </c>
      <c r="AW286" s="146">
        <f t="shared" si="118"/>
        <v>51.893939393939391</v>
      </c>
      <c r="AX286" s="138" t="str">
        <f t="shared" si="119"/>
        <v/>
      </c>
      <c r="AY286" s="95"/>
      <c r="AZ286" s="96">
        <v>60.42</v>
      </c>
      <c r="BA286" s="96"/>
      <c r="BB286" s="96">
        <v>42</v>
      </c>
      <c r="BC286" s="96"/>
      <c r="BD286" s="97">
        <v>80.63</v>
      </c>
      <c r="BE286" s="142">
        <f t="shared" si="120"/>
        <v>8352</v>
      </c>
      <c r="BF286" s="98">
        <v>1589</v>
      </c>
      <c r="BG286" s="98">
        <v>0</v>
      </c>
      <c r="BH286" s="98">
        <v>0</v>
      </c>
      <c r="BI286" s="98">
        <v>6763</v>
      </c>
      <c r="BJ286" s="98"/>
      <c r="BK286" s="98"/>
      <c r="BL286" s="97"/>
    </row>
    <row r="287" spans="1:64" outlineLevel="5" x14ac:dyDescent="0.3">
      <c r="A287" s="152">
        <f t="shared" si="106"/>
        <v>8</v>
      </c>
      <c r="B287" s="153">
        <f t="shared" si="105"/>
        <v>45534</v>
      </c>
      <c r="C287" s="138" t="str">
        <f t="shared" si="111"/>
        <v/>
      </c>
      <c r="D287" s="186"/>
      <c r="E287" s="186"/>
      <c r="F287" s="84"/>
      <c r="G287" s="84"/>
      <c r="H287" s="84"/>
      <c r="I287" s="84"/>
      <c r="J287" s="84"/>
      <c r="K287" s="84"/>
      <c r="L287" s="140" t="str">
        <f t="shared" si="112"/>
        <v/>
      </c>
      <c r="M287" s="86"/>
      <c r="N287" s="86"/>
      <c r="O287" s="86"/>
      <c r="P287" s="86"/>
      <c r="Q287" s="86"/>
      <c r="R287" s="86"/>
      <c r="S287" s="86"/>
      <c r="T287" s="86"/>
      <c r="U287" s="142" t="str">
        <f t="shared" si="113"/>
        <v/>
      </c>
      <c r="V287" s="88"/>
      <c r="W287" s="88"/>
      <c r="X287" s="88"/>
      <c r="Y287" s="88"/>
      <c r="Z287" s="88"/>
      <c r="AA287" s="88"/>
      <c r="AB287" s="88"/>
      <c r="AC287" s="88"/>
      <c r="AD287" s="142" t="str">
        <f t="shared" si="114"/>
        <v/>
      </c>
      <c r="AE287" s="88"/>
      <c r="AF287" s="88"/>
      <c r="AG287" s="88"/>
      <c r="AH287" s="88"/>
      <c r="AI287" s="88"/>
      <c r="AJ287" s="88"/>
      <c r="AK287" s="88"/>
      <c r="AL287" s="88"/>
      <c r="AM287" s="88">
        <v>52.843708016121816</v>
      </c>
      <c r="AN287" s="88">
        <v>89.32</v>
      </c>
      <c r="AO287" s="89"/>
      <c r="AP287" s="90"/>
      <c r="AQ287" s="146" t="str">
        <f t="shared" si="115"/>
        <v/>
      </c>
      <c r="AR287" s="146" t="str">
        <f t="shared" si="116"/>
        <v/>
      </c>
      <c r="AS287" s="147"/>
      <c r="AT287" s="148"/>
      <c r="AU287" s="149"/>
      <c r="AV287" s="146" t="str">
        <f t="shared" si="117"/>
        <v/>
      </c>
      <c r="AW287" s="146" t="str">
        <f t="shared" si="118"/>
        <v/>
      </c>
      <c r="AX287" s="138" t="str">
        <f t="shared" si="119"/>
        <v/>
      </c>
      <c r="AY287" s="95"/>
      <c r="AZ287" s="96"/>
      <c r="BA287" s="96"/>
      <c r="BB287" s="96"/>
      <c r="BC287" s="96"/>
      <c r="BD287" s="97">
        <v>89.32</v>
      </c>
      <c r="BE287" s="142">
        <f t="shared" si="120"/>
        <v>8711</v>
      </c>
      <c r="BF287" s="98">
        <v>2024</v>
      </c>
      <c r="BG287" s="98">
        <v>0</v>
      </c>
      <c r="BH287" s="98">
        <v>0</v>
      </c>
      <c r="BI287" s="98">
        <v>6687</v>
      </c>
      <c r="BJ287" s="98"/>
      <c r="BK287" s="98"/>
      <c r="BL287" s="97"/>
    </row>
    <row r="288" spans="1:64" ht="17.25" outlineLevel="5" thickBot="1" x14ac:dyDescent="0.35">
      <c r="A288" s="154">
        <f t="shared" si="106"/>
        <v>8</v>
      </c>
      <c r="B288" s="155">
        <f t="shared" ref="B288:B351" si="121">B287+1</f>
        <v>45535</v>
      </c>
      <c r="C288" s="138" t="str">
        <f t="shared" si="111"/>
        <v/>
      </c>
      <c r="D288" s="186"/>
      <c r="E288" s="186"/>
      <c r="F288" s="84"/>
      <c r="G288" s="84"/>
      <c r="H288" s="84"/>
      <c r="I288" s="84"/>
      <c r="J288" s="84"/>
      <c r="K288" s="84"/>
      <c r="L288" s="140" t="str">
        <f t="shared" si="112"/>
        <v/>
      </c>
      <c r="M288" s="86"/>
      <c r="N288" s="86"/>
      <c r="O288" s="86"/>
      <c r="P288" s="86"/>
      <c r="Q288" s="86"/>
      <c r="R288" s="86"/>
      <c r="S288" s="86"/>
      <c r="T288" s="86"/>
      <c r="U288" s="142" t="str">
        <f t="shared" si="113"/>
        <v/>
      </c>
      <c r="V288" s="88"/>
      <c r="W288" s="88"/>
      <c r="X288" s="88"/>
      <c r="Y288" s="88"/>
      <c r="Z288" s="88"/>
      <c r="AA288" s="88"/>
      <c r="AB288" s="88"/>
      <c r="AC288" s="88"/>
      <c r="AD288" s="142" t="str">
        <f t="shared" si="114"/>
        <v/>
      </c>
      <c r="AE288" s="88"/>
      <c r="AF288" s="88"/>
      <c r="AG288" s="88"/>
      <c r="AH288" s="88"/>
      <c r="AI288" s="88"/>
      <c r="AJ288" s="88"/>
      <c r="AK288" s="88"/>
      <c r="AL288" s="88"/>
      <c r="AM288" s="88">
        <v>46.529968454258679</v>
      </c>
      <c r="AN288" s="88">
        <v>101.44</v>
      </c>
      <c r="AO288" s="89"/>
      <c r="AP288" s="90"/>
      <c r="AQ288" s="146" t="str">
        <f t="shared" si="115"/>
        <v/>
      </c>
      <c r="AR288" s="146" t="str">
        <f t="shared" si="116"/>
        <v/>
      </c>
      <c r="AS288" s="147"/>
      <c r="AT288" s="148"/>
      <c r="AU288" s="149"/>
      <c r="AV288" s="146" t="str">
        <f t="shared" si="117"/>
        <v/>
      </c>
      <c r="AW288" s="146" t="str">
        <f t="shared" si="118"/>
        <v/>
      </c>
      <c r="AX288" s="138" t="str">
        <f t="shared" si="119"/>
        <v/>
      </c>
      <c r="AY288" s="95"/>
      <c r="AZ288" s="96"/>
      <c r="BA288" s="96"/>
      <c r="BB288" s="96"/>
      <c r="BC288" s="96"/>
      <c r="BD288" s="97">
        <v>101.44</v>
      </c>
      <c r="BE288" s="142">
        <f t="shared" si="120"/>
        <v>8951</v>
      </c>
      <c r="BF288" s="98">
        <v>2344</v>
      </c>
      <c r="BG288" s="98">
        <v>0</v>
      </c>
      <c r="BH288" s="98">
        <v>0</v>
      </c>
      <c r="BI288" s="98">
        <v>6607</v>
      </c>
      <c r="BJ288" s="98"/>
      <c r="BK288" s="98"/>
      <c r="BL288" s="97"/>
    </row>
    <row r="289" spans="1:64" outlineLevel="4" x14ac:dyDescent="0.3">
      <c r="A289" s="63" t="s">
        <v>85</v>
      </c>
      <c r="B289" s="64"/>
      <c r="C289" s="65">
        <f t="shared" ref="C289:BL289" si="122">SUBTOTAL(4,C258:C288)</f>
        <v>38</v>
      </c>
      <c r="D289" s="66">
        <f t="shared" si="122"/>
        <v>37.9</v>
      </c>
      <c r="E289" s="66">
        <f t="shared" si="122"/>
        <v>38.1</v>
      </c>
      <c r="F289" s="66">
        <f t="shared" si="122"/>
        <v>0</v>
      </c>
      <c r="G289" s="66">
        <f t="shared" si="122"/>
        <v>0</v>
      </c>
      <c r="H289" s="66">
        <f t="shared" si="122"/>
        <v>0</v>
      </c>
      <c r="I289" s="66">
        <f t="shared" si="122"/>
        <v>0</v>
      </c>
      <c r="J289" s="66">
        <f t="shared" si="122"/>
        <v>0</v>
      </c>
      <c r="K289" s="66">
        <f t="shared" si="122"/>
        <v>0</v>
      </c>
      <c r="L289" s="67">
        <f t="shared" si="122"/>
        <v>0</v>
      </c>
      <c r="M289" s="68">
        <f t="shared" si="122"/>
        <v>0</v>
      </c>
      <c r="N289" s="68">
        <f t="shared" si="122"/>
        <v>0</v>
      </c>
      <c r="O289" s="68">
        <f t="shared" si="122"/>
        <v>0</v>
      </c>
      <c r="P289" s="68">
        <f t="shared" si="122"/>
        <v>0</v>
      </c>
      <c r="Q289" s="68">
        <f t="shared" si="122"/>
        <v>0</v>
      </c>
      <c r="R289" s="68">
        <f t="shared" si="122"/>
        <v>0</v>
      </c>
      <c r="S289" s="68">
        <f t="shared" si="122"/>
        <v>0</v>
      </c>
      <c r="T289" s="68">
        <f t="shared" si="122"/>
        <v>0</v>
      </c>
      <c r="U289" s="69">
        <f t="shared" si="122"/>
        <v>1943</v>
      </c>
      <c r="V289" s="70">
        <f t="shared" si="122"/>
        <v>2231</v>
      </c>
      <c r="W289" s="70">
        <f t="shared" si="122"/>
        <v>1968</v>
      </c>
      <c r="X289" s="70">
        <f t="shared" si="122"/>
        <v>0</v>
      </c>
      <c r="Y289" s="70">
        <f t="shared" si="122"/>
        <v>0</v>
      </c>
      <c r="Z289" s="70">
        <f t="shared" si="122"/>
        <v>0</v>
      </c>
      <c r="AA289" s="70">
        <f t="shared" si="122"/>
        <v>0</v>
      </c>
      <c r="AB289" s="70">
        <f t="shared" si="122"/>
        <v>0</v>
      </c>
      <c r="AC289" s="70">
        <f t="shared" si="122"/>
        <v>0</v>
      </c>
      <c r="AD289" s="69">
        <f t="shared" si="122"/>
        <v>14505</v>
      </c>
      <c r="AE289" s="70">
        <f t="shared" si="122"/>
        <v>15870</v>
      </c>
      <c r="AF289" s="70">
        <f t="shared" si="122"/>
        <v>13440</v>
      </c>
      <c r="AG289" s="70">
        <f t="shared" si="122"/>
        <v>0</v>
      </c>
      <c r="AH289" s="70">
        <f t="shared" si="122"/>
        <v>0</v>
      </c>
      <c r="AI289" s="70">
        <f t="shared" si="122"/>
        <v>0</v>
      </c>
      <c r="AJ289" s="70">
        <f t="shared" si="122"/>
        <v>0</v>
      </c>
      <c r="AK289" s="70">
        <f t="shared" si="122"/>
        <v>0</v>
      </c>
      <c r="AL289" s="70">
        <f t="shared" si="122"/>
        <v>0</v>
      </c>
      <c r="AM289" s="70">
        <f t="shared" si="122"/>
        <v>72.337164750957854</v>
      </c>
      <c r="AN289" s="70">
        <f t="shared" si="122"/>
        <v>144.34</v>
      </c>
      <c r="AO289" s="71">
        <f t="shared" si="122"/>
        <v>18</v>
      </c>
      <c r="AP289" s="72">
        <f t="shared" si="122"/>
        <v>13.8</v>
      </c>
      <c r="AQ289" s="73">
        <f t="shared" si="122"/>
        <v>85.714285714285708</v>
      </c>
      <c r="AR289" s="73">
        <f t="shared" si="122"/>
        <v>100</v>
      </c>
      <c r="AS289" s="74">
        <f t="shared" si="122"/>
        <v>0</v>
      </c>
      <c r="AT289" s="75">
        <f t="shared" si="122"/>
        <v>13.7</v>
      </c>
      <c r="AU289" s="76">
        <f t="shared" si="122"/>
        <v>8.3500000000000014</v>
      </c>
      <c r="AV289" s="73">
        <f t="shared" si="122"/>
        <v>60.948905109489061</v>
      </c>
      <c r="AW289" s="73">
        <f t="shared" si="122"/>
        <v>100</v>
      </c>
      <c r="AX289" s="65">
        <f t="shared" si="122"/>
        <v>80.555555555555543</v>
      </c>
      <c r="AY289" s="77">
        <f t="shared" si="122"/>
        <v>77.400000000000006</v>
      </c>
      <c r="AZ289" s="78">
        <f t="shared" si="122"/>
        <v>61.825000000000003</v>
      </c>
      <c r="BA289" s="78">
        <f t="shared" si="122"/>
        <v>0</v>
      </c>
      <c r="BB289" s="78">
        <f t="shared" si="122"/>
        <v>64.5</v>
      </c>
      <c r="BC289" s="78">
        <f t="shared" si="122"/>
        <v>0</v>
      </c>
      <c r="BD289" s="79">
        <f t="shared" si="122"/>
        <v>144.34</v>
      </c>
      <c r="BE289" s="69">
        <f t="shared" si="122"/>
        <v>12641</v>
      </c>
      <c r="BF289" s="70">
        <f t="shared" si="122"/>
        <v>3012</v>
      </c>
      <c r="BG289" s="80">
        <f t="shared" si="122"/>
        <v>0</v>
      </c>
      <c r="BH289" s="80">
        <f t="shared" si="122"/>
        <v>3986</v>
      </c>
      <c r="BI289" s="80">
        <f t="shared" si="122"/>
        <v>6763</v>
      </c>
      <c r="BJ289" s="80">
        <f t="shared" si="122"/>
        <v>0</v>
      </c>
      <c r="BK289" s="80">
        <f t="shared" si="122"/>
        <v>0</v>
      </c>
      <c r="BL289" s="79">
        <f t="shared" si="122"/>
        <v>0</v>
      </c>
    </row>
    <row r="290" spans="1:64" outlineLevel="3" x14ac:dyDescent="0.3">
      <c r="A290" s="81" t="s">
        <v>86</v>
      </c>
      <c r="B290" s="82"/>
      <c r="C290" s="83">
        <f t="shared" ref="C290:BL290" si="123">SUBTOTAL(5,C258:C288)</f>
        <v>36.4</v>
      </c>
      <c r="D290" s="84">
        <f t="shared" si="123"/>
        <v>36.299999999999997</v>
      </c>
      <c r="E290" s="84">
        <f t="shared" si="123"/>
        <v>36.5</v>
      </c>
      <c r="F290" s="84">
        <f t="shared" si="123"/>
        <v>0</v>
      </c>
      <c r="G290" s="84">
        <f t="shared" si="123"/>
        <v>0</v>
      </c>
      <c r="H290" s="84">
        <f t="shared" si="123"/>
        <v>0</v>
      </c>
      <c r="I290" s="84">
        <f t="shared" si="123"/>
        <v>0</v>
      </c>
      <c r="J290" s="84">
        <f t="shared" si="123"/>
        <v>0</v>
      </c>
      <c r="K290" s="84">
        <f t="shared" si="123"/>
        <v>0</v>
      </c>
      <c r="L290" s="85">
        <f t="shared" si="123"/>
        <v>0</v>
      </c>
      <c r="M290" s="86">
        <f t="shared" si="123"/>
        <v>0</v>
      </c>
      <c r="N290" s="86">
        <f t="shared" si="123"/>
        <v>0</v>
      </c>
      <c r="O290" s="86">
        <f t="shared" si="123"/>
        <v>0</v>
      </c>
      <c r="P290" s="86">
        <f t="shared" si="123"/>
        <v>0</v>
      </c>
      <c r="Q290" s="86">
        <f t="shared" si="123"/>
        <v>0</v>
      </c>
      <c r="R290" s="86">
        <f t="shared" si="123"/>
        <v>0</v>
      </c>
      <c r="S290" s="86">
        <f t="shared" si="123"/>
        <v>0</v>
      </c>
      <c r="T290" s="86">
        <f t="shared" si="123"/>
        <v>0</v>
      </c>
      <c r="U290" s="87">
        <f t="shared" si="123"/>
        <v>1402.5</v>
      </c>
      <c r="V290" s="88">
        <f t="shared" si="123"/>
        <v>837</v>
      </c>
      <c r="W290" s="88">
        <f t="shared" si="123"/>
        <v>1655</v>
      </c>
      <c r="X290" s="88">
        <f t="shared" si="123"/>
        <v>0</v>
      </c>
      <c r="Y290" s="88">
        <f t="shared" si="123"/>
        <v>0</v>
      </c>
      <c r="Z290" s="88">
        <f t="shared" si="123"/>
        <v>0</v>
      </c>
      <c r="AA290" s="88">
        <f t="shared" si="123"/>
        <v>0</v>
      </c>
      <c r="AB290" s="88">
        <f t="shared" si="123"/>
        <v>0</v>
      </c>
      <c r="AC290" s="88">
        <f t="shared" si="123"/>
        <v>0</v>
      </c>
      <c r="AD290" s="87">
        <f t="shared" si="123"/>
        <v>13235</v>
      </c>
      <c r="AE290" s="88">
        <f t="shared" si="123"/>
        <v>13030</v>
      </c>
      <c r="AF290" s="88">
        <f t="shared" si="123"/>
        <v>13140</v>
      </c>
      <c r="AG290" s="88">
        <f t="shared" si="123"/>
        <v>0</v>
      </c>
      <c r="AH290" s="88">
        <f t="shared" si="123"/>
        <v>0</v>
      </c>
      <c r="AI290" s="88">
        <f t="shared" si="123"/>
        <v>0</v>
      </c>
      <c r="AJ290" s="88">
        <f t="shared" si="123"/>
        <v>0</v>
      </c>
      <c r="AK290" s="88">
        <f t="shared" si="123"/>
        <v>0</v>
      </c>
      <c r="AL290" s="88">
        <f t="shared" si="123"/>
        <v>0</v>
      </c>
      <c r="AM290" s="88">
        <f t="shared" si="123"/>
        <v>32.700568103089928</v>
      </c>
      <c r="AN290" s="88">
        <f t="shared" si="123"/>
        <v>65.25</v>
      </c>
      <c r="AO290" s="89">
        <f t="shared" si="123"/>
        <v>15.3</v>
      </c>
      <c r="AP290" s="90">
        <f t="shared" si="123"/>
        <v>13.2</v>
      </c>
      <c r="AQ290" s="91">
        <f t="shared" si="123"/>
        <v>0</v>
      </c>
      <c r="AR290" s="91">
        <f t="shared" si="123"/>
        <v>14.285714285714292</v>
      </c>
      <c r="AS290" s="92">
        <f t="shared" si="123"/>
        <v>0</v>
      </c>
      <c r="AT290" s="93">
        <f t="shared" si="123"/>
        <v>12.7</v>
      </c>
      <c r="AU290" s="94">
        <f t="shared" si="123"/>
        <v>6.35</v>
      </c>
      <c r="AV290" s="91">
        <f t="shared" si="123"/>
        <v>0</v>
      </c>
      <c r="AW290" s="91">
        <f t="shared" si="123"/>
        <v>39.051094890510939</v>
      </c>
      <c r="AX290" s="83">
        <f t="shared" si="123"/>
        <v>70.594609237437368</v>
      </c>
      <c r="AY290" s="95">
        <f t="shared" si="123"/>
        <v>71.8</v>
      </c>
      <c r="AZ290" s="96">
        <f t="shared" si="123"/>
        <v>60.3</v>
      </c>
      <c r="BA290" s="96">
        <f t="shared" si="123"/>
        <v>0</v>
      </c>
      <c r="BB290" s="96">
        <f t="shared" si="123"/>
        <v>28</v>
      </c>
      <c r="BC290" s="96">
        <f t="shared" si="123"/>
        <v>0</v>
      </c>
      <c r="BD290" s="97">
        <f t="shared" si="123"/>
        <v>65.25</v>
      </c>
      <c r="BE290" s="87">
        <f t="shared" si="123"/>
        <v>944</v>
      </c>
      <c r="BF290" s="88">
        <f t="shared" si="123"/>
        <v>252</v>
      </c>
      <c r="BG290" s="98">
        <f t="shared" si="123"/>
        <v>0</v>
      </c>
      <c r="BH290" s="98">
        <f t="shared" si="123"/>
        <v>0</v>
      </c>
      <c r="BI290" s="98">
        <f t="shared" si="123"/>
        <v>0</v>
      </c>
      <c r="BJ290" s="98">
        <f t="shared" si="123"/>
        <v>0</v>
      </c>
      <c r="BK290" s="98">
        <f t="shared" si="123"/>
        <v>0</v>
      </c>
      <c r="BL290" s="97">
        <f t="shared" si="123"/>
        <v>0</v>
      </c>
    </row>
    <row r="291" spans="1:64" outlineLevel="2" x14ac:dyDescent="0.3">
      <c r="A291" s="81" t="s">
        <v>87</v>
      </c>
      <c r="B291" s="82"/>
      <c r="C291" s="83">
        <f t="shared" ref="C291:BL291" si="124">IFERROR(SUBTOTAL(1,C258:C288),"")</f>
        <v>37.290909090909089</v>
      </c>
      <c r="D291" s="84">
        <f t="shared" si="124"/>
        <v>37.111111111111114</v>
      </c>
      <c r="E291" s="84">
        <f t="shared" si="124"/>
        <v>37.31</v>
      </c>
      <c r="F291" s="84" t="str">
        <f t="shared" si="124"/>
        <v/>
      </c>
      <c r="G291" s="84" t="str">
        <f t="shared" si="124"/>
        <v/>
      </c>
      <c r="H291" s="84" t="str">
        <f t="shared" si="124"/>
        <v/>
      </c>
      <c r="I291" s="84" t="str">
        <f t="shared" si="124"/>
        <v/>
      </c>
      <c r="J291" s="84" t="str">
        <f t="shared" si="124"/>
        <v/>
      </c>
      <c r="K291" s="84" t="str">
        <f t="shared" si="124"/>
        <v/>
      </c>
      <c r="L291" s="85" t="str">
        <f t="shared" si="124"/>
        <v/>
      </c>
      <c r="M291" s="86" t="str">
        <f t="shared" si="124"/>
        <v/>
      </c>
      <c r="N291" s="86" t="str">
        <f t="shared" si="124"/>
        <v/>
      </c>
      <c r="O291" s="86" t="str">
        <f t="shared" si="124"/>
        <v/>
      </c>
      <c r="P291" s="86" t="str">
        <f t="shared" si="124"/>
        <v/>
      </c>
      <c r="Q291" s="86" t="str">
        <f t="shared" si="124"/>
        <v/>
      </c>
      <c r="R291" s="86" t="str">
        <f t="shared" si="124"/>
        <v/>
      </c>
      <c r="S291" s="86" t="str">
        <f t="shared" si="124"/>
        <v/>
      </c>
      <c r="T291" s="86" t="str">
        <f t="shared" si="124"/>
        <v/>
      </c>
      <c r="U291" s="87">
        <f t="shared" si="124"/>
        <v>1672.75</v>
      </c>
      <c r="V291" s="88">
        <f t="shared" si="124"/>
        <v>1534</v>
      </c>
      <c r="W291" s="88">
        <f t="shared" si="124"/>
        <v>1811.5</v>
      </c>
      <c r="X291" s="88" t="str">
        <f t="shared" si="124"/>
        <v/>
      </c>
      <c r="Y291" s="88" t="str">
        <f t="shared" si="124"/>
        <v/>
      </c>
      <c r="Z291" s="88" t="str">
        <f t="shared" si="124"/>
        <v/>
      </c>
      <c r="AA291" s="88" t="str">
        <f t="shared" si="124"/>
        <v/>
      </c>
      <c r="AB291" s="88" t="str">
        <f t="shared" si="124"/>
        <v/>
      </c>
      <c r="AC291" s="88" t="str">
        <f t="shared" si="124"/>
        <v/>
      </c>
      <c r="AD291" s="87">
        <f t="shared" si="124"/>
        <v>13870</v>
      </c>
      <c r="AE291" s="88">
        <f t="shared" si="124"/>
        <v>14450</v>
      </c>
      <c r="AF291" s="88">
        <f t="shared" si="124"/>
        <v>13290</v>
      </c>
      <c r="AG291" s="88" t="str">
        <f t="shared" si="124"/>
        <v/>
      </c>
      <c r="AH291" s="88" t="str">
        <f t="shared" si="124"/>
        <v/>
      </c>
      <c r="AI291" s="88" t="str">
        <f t="shared" si="124"/>
        <v/>
      </c>
      <c r="AJ291" s="88" t="str">
        <f t="shared" si="124"/>
        <v/>
      </c>
      <c r="AK291" s="88" t="str">
        <f t="shared" si="124"/>
        <v/>
      </c>
      <c r="AL291" s="88" t="str">
        <f t="shared" si="124"/>
        <v/>
      </c>
      <c r="AM291" s="88">
        <f t="shared" si="124"/>
        <v>45.205511237184865</v>
      </c>
      <c r="AN291" s="88">
        <f t="shared" si="124"/>
        <v>107.85677419354842</v>
      </c>
      <c r="AO291" s="89">
        <f t="shared" si="124"/>
        <v>16.275000000000002</v>
      </c>
      <c r="AP291" s="90">
        <f t="shared" si="124"/>
        <v>13.5</v>
      </c>
      <c r="AQ291" s="91">
        <f t="shared" si="124"/>
        <v>42.465156794425084</v>
      </c>
      <c r="AR291" s="91">
        <f t="shared" si="124"/>
        <v>57.534843205574916</v>
      </c>
      <c r="AS291" s="92" t="str">
        <f t="shared" si="124"/>
        <v/>
      </c>
      <c r="AT291" s="93">
        <f t="shared" si="124"/>
        <v>13.289999999999997</v>
      </c>
      <c r="AU291" s="94">
        <f t="shared" si="124"/>
        <v>7.3500000000000005</v>
      </c>
      <c r="AV291" s="91">
        <f t="shared" si="124"/>
        <v>32.580223912340706</v>
      </c>
      <c r="AW291" s="91">
        <f t="shared" si="124"/>
        <v>67.419776087659301</v>
      </c>
      <c r="AX291" s="83">
        <f t="shared" si="124"/>
        <v>75.575082396496455</v>
      </c>
      <c r="AY291" s="95">
        <f t="shared" si="124"/>
        <v>73.825000000000003</v>
      </c>
      <c r="AZ291" s="96">
        <f t="shared" si="124"/>
        <v>60.832222222222221</v>
      </c>
      <c r="BA291" s="96" t="str">
        <f t="shared" si="124"/>
        <v/>
      </c>
      <c r="BB291" s="96">
        <f t="shared" si="124"/>
        <v>43.388888888888886</v>
      </c>
      <c r="BC291" s="96" t="str">
        <f t="shared" si="124"/>
        <v/>
      </c>
      <c r="BD291" s="97">
        <f>IFERROR(SUBTOTAL(1,BD258:BD288),"")</f>
        <v>107.85677419354842</v>
      </c>
      <c r="BE291" s="87">
        <f t="shared" si="124"/>
        <v>7972.7096774193551</v>
      </c>
      <c r="BF291" s="88">
        <f t="shared" si="124"/>
        <v>1839.8709677419354</v>
      </c>
      <c r="BG291" s="98">
        <f t="shared" si="124"/>
        <v>0</v>
      </c>
      <c r="BH291" s="98">
        <f t="shared" si="124"/>
        <v>206.03225806451613</v>
      </c>
      <c r="BI291" s="98">
        <f t="shared" si="124"/>
        <v>5926.8064516129034</v>
      </c>
      <c r="BJ291" s="98" t="str">
        <f t="shared" si="124"/>
        <v/>
      </c>
      <c r="BK291" s="98" t="str">
        <f t="shared" si="124"/>
        <v/>
      </c>
      <c r="BL291" s="97" t="str">
        <f t="shared" si="124"/>
        <v/>
      </c>
    </row>
    <row r="292" spans="1:64" ht="17.25" outlineLevel="1" thickBot="1" x14ac:dyDescent="0.35">
      <c r="A292" s="99" t="s">
        <v>88</v>
      </c>
      <c r="B292" s="100"/>
      <c r="C292" s="101"/>
      <c r="D292" s="102"/>
      <c r="E292" s="102"/>
      <c r="F292" s="102"/>
      <c r="G292" s="102"/>
      <c r="H292" s="102"/>
      <c r="I292" s="102"/>
      <c r="J292" s="102"/>
      <c r="K292" s="102"/>
      <c r="L292" s="103"/>
      <c r="M292" s="104"/>
      <c r="N292" s="104"/>
      <c r="O292" s="104"/>
      <c r="P292" s="104"/>
      <c r="Q292" s="104"/>
      <c r="R292" s="104"/>
      <c r="S292" s="104"/>
      <c r="T292" s="104"/>
      <c r="U292" s="105"/>
      <c r="V292" s="106"/>
      <c r="W292" s="106"/>
      <c r="X292" s="106"/>
      <c r="Y292" s="106"/>
      <c r="Z292" s="106"/>
      <c r="AA292" s="106"/>
      <c r="AB292" s="106"/>
      <c r="AC292" s="106"/>
      <c r="AD292" s="105"/>
      <c r="AE292" s="106"/>
      <c r="AF292" s="106"/>
      <c r="AG292" s="106"/>
      <c r="AH292" s="106"/>
      <c r="AI292" s="106"/>
      <c r="AJ292" s="106"/>
      <c r="AK292" s="106"/>
      <c r="AL292" s="106"/>
      <c r="AM292" s="106"/>
      <c r="AN292" s="107">
        <f>SUBTOTAL(9,AN258:AN288)</f>
        <v>3343.5600000000009</v>
      </c>
      <c r="AO292" s="108"/>
      <c r="AP292" s="109"/>
      <c r="AQ292" s="110"/>
      <c r="AR292" s="110"/>
      <c r="AS292" s="111">
        <f>SUBTOTAL(9,AS258:AS288)</f>
        <v>0</v>
      </c>
      <c r="AT292" s="112"/>
      <c r="AU292" s="113"/>
      <c r="AV292" s="110"/>
      <c r="AW292" s="110"/>
      <c r="AX292" s="101"/>
      <c r="AY292" s="114"/>
      <c r="AZ292" s="115"/>
      <c r="BA292" s="115"/>
      <c r="BB292" s="115"/>
      <c r="BC292" s="115"/>
      <c r="BD292" s="116">
        <f>SUBTOTAL(9,BD258:BD288)</f>
        <v>3343.5600000000009</v>
      </c>
      <c r="BE292" s="117">
        <f t="shared" ref="BE292:BL292" si="125">SUBTOTAL(9,BE258:BE288)</f>
        <v>247154</v>
      </c>
      <c r="BF292" s="107">
        <f t="shared" si="125"/>
        <v>57036</v>
      </c>
      <c r="BG292" s="118">
        <f t="shared" si="125"/>
        <v>0</v>
      </c>
      <c r="BH292" s="118">
        <f t="shared" si="125"/>
        <v>6387</v>
      </c>
      <c r="BI292" s="118">
        <f t="shared" si="125"/>
        <v>183731</v>
      </c>
      <c r="BJ292" s="118">
        <f t="shared" si="125"/>
        <v>0</v>
      </c>
      <c r="BK292" s="118">
        <f t="shared" si="125"/>
        <v>0</v>
      </c>
      <c r="BL292" s="116">
        <f t="shared" si="125"/>
        <v>0</v>
      </c>
    </row>
    <row r="293" spans="1:64" outlineLevel="5" x14ac:dyDescent="0.3">
      <c r="A293" s="136">
        <f t="shared" si="106"/>
        <v>9</v>
      </c>
      <c r="B293" s="165">
        <f>B288+1</f>
        <v>45536</v>
      </c>
      <c r="C293" s="138" t="str">
        <f t="shared" ref="C293:C322" si="126">IFERROR(ROUND(AVERAGE(D293:K293),1),"")</f>
        <v/>
      </c>
      <c r="D293" s="186"/>
      <c r="E293" s="186"/>
      <c r="F293" s="84"/>
      <c r="G293" s="84"/>
      <c r="H293" s="84"/>
      <c r="I293" s="84"/>
      <c r="J293" s="84"/>
      <c r="K293" s="84"/>
      <c r="L293" s="140" t="str">
        <f t="shared" ref="L293:L322" si="127">IFERROR(ROUND(AVERAGE(M293:T293),1),"")</f>
        <v/>
      </c>
      <c r="M293" s="86"/>
      <c r="N293" s="86"/>
      <c r="O293" s="86"/>
      <c r="P293" s="86"/>
      <c r="Q293" s="86"/>
      <c r="R293" s="86"/>
      <c r="S293" s="86"/>
      <c r="T293" s="86"/>
      <c r="U293" s="142" t="str">
        <f t="shared" ref="U293:U322" si="128">IFERROR(ROUND(AVERAGE(V293:AC293),1),"")</f>
        <v/>
      </c>
      <c r="V293" s="88"/>
      <c r="W293" s="88"/>
      <c r="X293" s="88"/>
      <c r="Y293" s="88"/>
      <c r="Z293" s="88"/>
      <c r="AA293" s="88"/>
      <c r="AB293" s="88"/>
      <c r="AC293" s="88"/>
      <c r="AD293" s="142" t="str">
        <f t="shared" ref="AD293:AD322" si="129">IFERROR(ROUND(AVERAGE(AE293:AL293),1),"")</f>
        <v/>
      </c>
      <c r="AE293" s="88"/>
      <c r="AF293" s="88"/>
      <c r="AG293" s="88"/>
      <c r="AH293" s="88"/>
      <c r="AI293" s="88"/>
      <c r="AJ293" s="88"/>
      <c r="AK293" s="88"/>
      <c r="AL293" s="88"/>
      <c r="AM293" s="88">
        <v>44.952380952380949</v>
      </c>
      <c r="AN293" s="88">
        <v>105</v>
      </c>
      <c r="AO293" s="89"/>
      <c r="AP293" s="90"/>
      <c r="AQ293" s="146" t="str">
        <f t="shared" ref="AQ293:AQ322" si="130">IFERROR(AP293/AO293*100,"")</f>
        <v/>
      </c>
      <c r="AR293" s="146" t="str">
        <f t="shared" ref="AR293:AR322" si="131">IFERROR(100-AQ293,"")</f>
        <v/>
      </c>
      <c r="AS293" s="147"/>
      <c r="AT293" s="148"/>
      <c r="AU293" s="149"/>
      <c r="AV293" s="146" t="str">
        <f t="shared" ref="AV293:AV322" si="132">IFERROR(AU293/AT293*100,"")</f>
        <v/>
      </c>
      <c r="AW293" s="146" t="str">
        <f t="shared" ref="AW293:AW322" si="133">IFERROR(100-AV293,"")</f>
        <v/>
      </c>
      <c r="AX293" s="138" t="str">
        <f t="shared" ref="AX293:AX322" si="134">IFERROR((1-((AV293*AR293)/(AW293*AQ293)))*100,"")</f>
        <v/>
      </c>
      <c r="AY293" s="95"/>
      <c r="AZ293" s="96"/>
      <c r="BA293" s="96"/>
      <c r="BB293" s="96"/>
      <c r="BC293" s="96"/>
      <c r="BD293" s="97">
        <v>105</v>
      </c>
      <c r="BE293" s="142">
        <f t="shared" ref="BE293:BE322" si="135">IF(SUM(BF293:BL293)=0,"",SUM(BF293:BL293))</f>
        <v>8717</v>
      </c>
      <c r="BF293" s="98">
        <v>2112</v>
      </c>
      <c r="BG293" s="98">
        <v>0</v>
      </c>
      <c r="BH293" s="98">
        <v>0</v>
      </c>
      <c r="BI293" s="98">
        <v>6605</v>
      </c>
      <c r="BJ293" s="98"/>
      <c r="BK293" s="98"/>
      <c r="BL293" s="97"/>
    </row>
    <row r="294" spans="1:64" outlineLevel="5" x14ac:dyDescent="0.3">
      <c r="A294" s="152">
        <f t="shared" si="106"/>
        <v>9</v>
      </c>
      <c r="B294" s="153">
        <f t="shared" si="121"/>
        <v>45537</v>
      </c>
      <c r="C294" s="138">
        <f t="shared" si="126"/>
        <v>37.799999999999997</v>
      </c>
      <c r="D294" s="186">
        <v>37.700000000000003</v>
      </c>
      <c r="E294" s="186">
        <v>37.799999999999997</v>
      </c>
      <c r="F294" s="84"/>
      <c r="G294" s="84"/>
      <c r="H294" s="84"/>
      <c r="I294" s="84"/>
      <c r="J294" s="84"/>
      <c r="K294" s="84"/>
      <c r="L294" s="140" t="str">
        <f t="shared" si="127"/>
        <v/>
      </c>
      <c r="M294" s="86"/>
      <c r="N294" s="86"/>
      <c r="O294" s="86"/>
      <c r="P294" s="86"/>
      <c r="Q294" s="86"/>
      <c r="R294" s="86"/>
      <c r="S294" s="86"/>
      <c r="T294" s="86"/>
      <c r="U294" s="142" t="str">
        <f t="shared" si="128"/>
        <v/>
      </c>
      <c r="V294" s="88"/>
      <c r="W294" s="88"/>
      <c r="X294" s="88"/>
      <c r="Y294" s="88"/>
      <c r="Z294" s="88"/>
      <c r="AA294" s="88"/>
      <c r="AB294" s="88"/>
      <c r="AC294" s="88"/>
      <c r="AD294" s="142" t="str">
        <f t="shared" si="129"/>
        <v/>
      </c>
      <c r="AE294" s="88"/>
      <c r="AF294" s="88"/>
      <c r="AG294" s="88"/>
      <c r="AH294" s="88"/>
      <c r="AI294" s="88"/>
      <c r="AJ294" s="88"/>
      <c r="AK294" s="88"/>
      <c r="AL294" s="88"/>
      <c r="AM294" s="88">
        <v>41.869954759159057</v>
      </c>
      <c r="AN294" s="88">
        <v>112.72999999999999</v>
      </c>
      <c r="AO294" s="89">
        <v>18.7</v>
      </c>
      <c r="AP294" s="90">
        <v>16.600000000000001</v>
      </c>
      <c r="AQ294" s="146">
        <f t="shared" si="130"/>
        <v>88.770053475935839</v>
      </c>
      <c r="AR294" s="146">
        <f t="shared" si="131"/>
        <v>11.229946524064161</v>
      </c>
      <c r="AS294" s="147"/>
      <c r="AT294" s="148">
        <v>13.45</v>
      </c>
      <c r="AU294" s="149">
        <v>7.8</v>
      </c>
      <c r="AV294" s="146">
        <f t="shared" si="132"/>
        <v>57.992565055762078</v>
      </c>
      <c r="AW294" s="146">
        <f t="shared" si="133"/>
        <v>42.007434944237922</v>
      </c>
      <c r="AX294" s="138">
        <f t="shared" si="134"/>
        <v>82.535451540675993</v>
      </c>
      <c r="AY294" s="95">
        <v>76.599999999999994</v>
      </c>
      <c r="AZ294" s="96">
        <v>60.97</v>
      </c>
      <c r="BA294" s="96"/>
      <c r="BB294" s="96">
        <v>35</v>
      </c>
      <c r="BC294" s="96"/>
      <c r="BD294" s="97">
        <v>112.72999999999999</v>
      </c>
      <c r="BE294" s="142">
        <f t="shared" si="135"/>
        <v>8398</v>
      </c>
      <c r="BF294" s="98">
        <v>1758</v>
      </c>
      <c r="BG294" s="98">
        <v>0</v>
      </c>
      <c r="BH294" s="98">
        <v>0</v>
      </c>
      <c r="BI294" s="98">
        <v>6640</v>
      </c>
      <c r="BJ294" s="98"/>
      <c r="BK294" s="98"/>
      <c r="BL294" s="97"/>
    </row>
    <row r="295" spans="1:64" outlineLevel="5" x14ac:dyDescent="0.3">
      <c r="A295" s="152">
        <f t="shared" si="106"/>
        <v>9</v>
      </c>
      <c r="B295" s="153">
        <f t="shared" si="121"/>
        <v>45538</v>
      </c>
      <c r="C295" s="138" t="str">
        <f t="shared" si="126"/>
        <v/>
      </c>
      <c r="D295" s="186"/>
      <c r="E295" s="186"/>
      <c r="F295" s="84"/>
      <c r="G295" s="84"/>
      <c r="H295" s="84"/>
      <c r="I295" s="84"/>
      <c r="J295" s="84"/>
      <c r="K295" s="84"/>
      <c r="L295" s="140" t="str">
        <f t="shared" si="127"/>
        <v/>
      </c>
      <c r="M295" s="86"/>
      <c r="N295" s="86"/>
      <c r="O295" s="86"/>
      <c r="P295" s="86"/>
      <c r="Q295" s="86"/>
      <c r="R295" s="86"/>
      <c r="S295" s="86"/>
      <c r="T295" s="86"/>
      <c r="U295" s="142" t="str">
        <f t="shared" si="128"/>
        <v/>
      </c>
      <c r="V295" s="88"/>
      <c r="W295" s="88"/>
      <c r="X295" s="88"/>
      <c r="Y295" s="88"/>
      <c r="Z295" s="88"/>
      <c r="AA295" s="88"/>
      <c r="AB295" s="88"/>
      <c r="AC295" s="88"/>
      <c r="AD295" s="142" t="str">
        <f t="shared" si="129"/>
        <v/>
      </c>
      <c r="AE295" s="88"/>
      <c r="AF295" s="88"/>
      <c r="AG295" s="88"/>
      <c r="AH295" s="88"/>
      <c r="AI295" s="88"/>
      <c r="AJ295" s="88"/>
      <c r="AK295" s="88"/>
      <c r="AL295" s="88"/>
      <c r="AM295" s="88">
        <v>41.097083151937312</v>
      </c>
      <c r="AN295" s="88">
        <v>114.85</v>
      </c>
      <c r="AO295" s="89"/>
      <c r="AP295" s="90"/>
      <c r="AQ295" s="146" t="str">
        <f t="shared" si="130"/>
        <v/>
      </c>
      <c r="AR295" s="146" t="str">
        <f t="shared" si="131"/>
        <v/>
      </c>
      <c r="AS295" s="147"/>
      <c r="AT295" s="148"/>
      <c r="AU295" s="149"/>
      <c r="AV295" s="146" t="str">
        <f t="shared" si="132"/>
        <v/>
      </c>
      <c r="AW295" s="146" t="str">
        <f t="shared" si="133"/>
        <v/>
      </c>
      <c r="AX295" s="138" t="str">
        <f t="shared" si="134"/>
        <v/>
      </c>
      <c r="AY295" s="95"/>
      <c r="AZ295" s="96">
        <v>60.21</v>
      </c>
      <c r="BA295" s="96"/>
      <c r="BB295" s="96">
        <v>38.5</v>
      </c>
      <c r="BC295" s="96"/>
      <c r="BD295" s="97">
        <v>114.85</v>
      </c>
      <c r="BE295" s="142">
        <f t="shared" si="135"/>
        <v>8677</v>
      </c>
      <c r="BF295" s="98">
        <v>2086</v>
      </c>
      <c r="BG295" s="98">
        <v>0</v>
      </c>
      <c r="BH295" s="98">
        <v>0</v>
      </c>
      <c r="BI295" s="98">
        <v>6591</v>
      </c>
      <c r="BJ295" s="98"/>
      <c r="BK295" s="98"/>
      <c r="BL295" s="97"/>
    </row>
    <row r="296" spans="1:64" outlineLevel="5" x14ac:dyDescent="0.3">
      <c r="A296" s="152">
        <f t="shared" si="106"/>
        <v>9</v>
      </c>
      <c r="B296" s="153">
        <f t="shared" si="121"/>
        <v>45539</v>
      </c>
      <c r="C296" s="138" t="str">
        <f t="shared" si="126"/>
        <v/>
      </c>
      <c r="D296" s="186"/>
      <c r="E296" s="186"/>
      <c r="F296" s="84"/>
      <c r="G296" s="84"/>
      <c r="H296" s="84"/>
      <c r="I296" s="84"/>
      <c r="J296" s="84"/>
      <c r="K296" s="84"/>
      <c r="L296" s="140" t="str">
        <f t="shared" si="127"/>
        <v/>
      </c>
      <c r="M296" s="86"/>
      <c r="N296" s="86"/>
      <c r="O296" s="86"/>
      <c r="P296" s="86"/>
      <c r="Q296" s="86"/>
      <c r="R296" s="86"/>
      <c r="S296" s="86"/>
      <c r="T296" s="86"/>
      <c r="U296" s="142" t="str">
        <f t="shared" si="128"/>
        <v/>
      </c>
      <c r="V296" s="88"/>
      <c r="W296" s="88"/>
      <c r="X296" s="88"/>
      <c r="Y296" s="88"/>
      <c r="Z296" s="88"/>
      <c r="AA296" s="88"/>
      <c r="AB296" s="88"/>
      <c r="AC296" s="88"/>
      <c r="AD296" s="142" t="str">
        <f t="shared" si="129"/>
        <v/>
      </c>
      <c r="AE296" s="88"/>
      <c r="AF296" s="88"/>
      <c r="AG296" s="88"/>
      <c r="AH296" s="88"/>
      <c r="AI296" s="88"/>
      <c r="AJ296" s="88"/>
      <c r="AK296" s="88"/>
      <c r="AL296" s="88"/>
      <c r="AM296" s="88">
        <v>46.45212085424663</v>
      </c>
      <c r="AN296" s="88">
        <v>101.61</v>
      </c>
      <c r="AO296" s="89"/>
      <c r="AP296" s="90"/>
      <c r="AQ296" s="146" t="str">
        <f t="shared" si="130"/>
        <v/>
      </c>
      <c r="AR296" s="146" t="str">
        <f t="shared" si="131"/>
        <v/>
      </c>
      <c r="AS296" s="147"/>
      <c r="AT296" s="148"/>
      <c r="AU296" s="149"/>
      <c r="AV296" s="146" t="str">
        <f t="shared" si="132"/>
        <v/>
      </c>
      <c r="AW296" s="146" t="str">
        <f t="shared" si="133"/>
        <v/>
      </c>
      <c r="AX296" s="138" t="str">
        <f t="shared" si="134"/>
        <v/>
      </c>
      <c r="AY296" s="95"/>
      <c r="AZ296" s="96"/>
      <c r="BA296" s="96"/>
      <c r="BB296" s="96"/>
      <c r="BC296" s="96"/>
      <c r="BD296" s="97">
        <v>101.61</v>
      </c>
      <c r="BE296" s="142">
        <f t="shared" si="135"/>
        <v>8784</v>
      </c>
      <c r="BF296" s="98">
        <v>2191</v>
      </c>
      <c r="BG296" s="98">
        <v>0</v>
      </c>
      <c r="BH296" s="98">
        <v>0</v>
      </c>
      <c r="BI296" s="98">
        <v>6593</v>
      </c>
      <c r="BJ296" s="98"/>
      <c r="BK296" s="98"/>
      <c r="BL296" s="97"/>
    </row>
    <row r="297" spans="1:64" outlineLevel="5" x14ac:dyDescent="0.3">
      <c r="A297" s="152">
        <f t="shared" si="106"/>
        <v>9</v>
      </c>
      <c r="B297" s="153">
        <f t="shared" si="121"/>
        <v>45540</v>
      </c>
      <c r="C297" s="138" t="str">
        <f t="shared" si="126"/>
        <v/>
      </c>
      <c r="D297" s="186"/>
      <c r="E297" s="186"/>
      <c r="F297" s="84"/>
      <c r="G297" s="84"/>
      <c r="H297" s="84"/>
      <c r="I297" s="84"/>
      <c r="J297" s="84"/>
      <c r="K297" s="84"/>
      <c r="L297" s="140" t="str">
        <f t="shared" si="127"/>
        <v/>
      </c>
      <c r="M297" s="86"/>
      <c r="N297" s="86"/>
      <c r="O297" s="86"/>
      <c r="P297" s="86"/>
      <c r="Q297" s="86"/>
      <c r="R297" s="86"/>
      <c r="S297" s="86"/>
      <c r="T297" s="86"/>
      <c r="U297" s="142" t="str">
        <f t="shared" si="128"/>
        <v/>
      </c>
      <c r="V297" s="88"/>
      <c r="W297" s="88"/>
      <c r="X297" s="88"/>
      <c r="Y297" s="88"/>
      <c r="Z297" s="88"/>
      <c r="AA297" s="88"/>
      <c r="AB297" s="88"/>
      <c r="AC297" s="88"/>
      <c r="AD297" s="142" t="str">
        <f t="shared" si="129"/>
        <v/>
      </c>
      <c r="AE297" s="88"/>
      <c r="AF297" s="88"/>
      <c r="AG297" s="88"/>
      <c r="AH297" s="88"/>
      <c r="AI297" s="88"/>
      <c r="AJ297" s="88"/>
      <c r="AK297" s="88"/>
      <c r="AL297" s="88"/>
      <c r="AM297" s="88">
        <v>38.85093423327023</v>
      </c>
      <c r="AN297" s="88">
        <v>121.49</v>
      </c>
      <c r="AO297" s="89"/>
      <c r="AP297" s="90"/>
      <c r="AQ297" s="146" t="str">
        <f t="shared" si="130"/>
        <v/>
      </c>
      <c r="AR297" s="146" t="str">
        <f t="shared" si="131"/>
        <v/>
      </c>
      <c r="AS297" s="147"/>
      <c r="AT297" s="148"/>
      <c r="AU297" s="149"/>
      <c r="AV297" s="146" t="str">
        <f t="shared" si="132"/>
        <v/>
      </c>
      <c r="AW297" s="146" t="str">
        <f t="shared" si="133"/>
        <v/>
      </c>
      <c r="AX297" s="138" t="str">
        <f t="shared" si="134"/>
        <v/>
      </c>
      <c r="AY297" s="95"/>
      <c r="AZ297" s="96"/>
      <c r="BA297" s="96"/>
      <c r="BB297" s="96"/>
      <c r="BC297" s="96"/>
      <c r="BD297" s="97">
        <v>121.49</v>
      </c>
      <c r="BE297" s="142">
        <f t="shared" si="135"/>
        <v>8489</v>
      </c>
      <c r="BF297" s="98">
        <v>1898</v>
      </c>
      <c r="BG297" s="98">
        <v>0</v>
      </c>
      <c r="BH297" s="98">
        <v>0</v>
      </c>
      <c r="BI297" s="98">
        <v>6591</v>
      </c>
      <c r="BJ297" s="98"/>
      <c r="BK297" s="98"/>
      <c r="BL297" s="97"/>
    </row>
    <row r="298" spans="1:64" outlineLevel="5" x14ac:dyDescent="0.3">
      <c r="A298" s="152">
        <f t="shared" si="106"/>
        <v>9</v>
      </c>
      <c r="B298" s="153">
        <f t="shared" si="121"/>
        <v>45541</v>
      </c>
      <c r="C298" s="138" t="str">
        <f t="shared" si="126"/>
        <v/>
      </c>
      <c r="D298" s="186"/>
      <c r="E298" s="186"/>
      <c r="F298" s="84"/>
      <c r="G298" s="84"/>
      <c r="H298" s="84"/>
      <c r="I298" s="84"/>
      <c r="J298" s="84"/>
      <c r="K298" s="84"/>
      <c r="L298" s="140" t="str">
        <f t="shared" si="127"/>
        <v/>
      </c>
      <c r="M298" s="86"/>
      <c r="N298" s="86"/>
      <c r="O298" s="86"/>
      <c r="P298" s="86"/>
      <c r="Q298" s="86"/>
      <c r="R298" s="86"/>
      <c r="S298" s="86"/>
      <c r="T298" s="86"/>
      <c r="U298" s="142" t="str">
        <f t="shared" si="128"/>
        <v/>
      </c>
      <c r="V298" s="88"/>
      <c r="W298" s="88"/>
      <c r="X298" s="88"/>
      <c r="Y298" s="88"/>
      <c r="Z298" s="88"/>
      <c r="AA298" s="88"/>
      <c r="AB298" s="88"/>
      <c r="AC298" s="88"/>
      <c r="AD298" s="142" t="str">
        <f t="shared" si="129"/>
        <v/>
      </c>
      <c r="AE298" s="88"/>
      <c r="AF298" s="88"/>
      <c r="AG298" s="88"/>
      <c r="AH298" s="88"/>
      <c r="AI298" s="88"/>
      <c r="AJ298" s="88"/>
      <c r="AK298" s="88"/>
      <c r="AL298" s="88"/>
      <c r="AM298" s="88">
        <v>45.137228650664632</v>
      </c>
      <c r="AN298" s="88">
        <v>104.57</v>
      </c>
      <c r="AO298" s="89"/>
      <c r="AP298" s="90"/>
      <c r="AQ298" s="146" t="str">
        <f t="shared" si="130"/>
        <v/>
      </c>
      <c r="AR298" s="146" t="str">
        <f t="shared" si="131"/>
        <v/>
      </c>
      <c r="AS298" s="147"/>
      <c r="AT298" s="148"/>
      <c r="AU298" s="149"/>
      <c r="AV298" s="146" t="str">
        <f t="shared" si="132"/>
        <v/>
      </c>
      <c r="AW298" s="146" t="str">
        <f t="shared" si="133"/>
        <v/>
      </c>
      <c r="AX298" s="138" t="str">
        <f t="shared" si="134"/>
        <v/>
      </c>
      <c r="AY298" s="95"/>
      <c r="AZ298" s="96">
        <v>60.44</v>
      </c>
      <c r="BA298" s="96"/>
      <c r="BB298" s="96">
        <v>68.5</v>
      </c>
      <c r="BC298" s="96"/>
      <c r="BD298" s="97">
        <v>104.57</v>
      </c>
      <c r="BE298" s="142">
        <f t="shared" si="135"/>
        <v>8852</v>
      </c>
      <c r="BF298" s="98">
        <v>2152</v>
      </c>
      <c r="BG298" s="98">
        <v>0</v>
      </c>
      <c r="BH298" s="98">
        <v>0</v>
      </c>
      <c r="BI298" s="98">
        <v>6700</v>
      </c>
      <c r="BJ298" s="98"/>
      <c r="BK298" s="98"/>
      <c r="BL298" s="97"/>
    </row>
    <row r="299" spans="1:64" outlineLevel="5" x14ac:dyDescent="0.3">
      <c r="A299" s="152">
        <f t="shared" si="106"/>
        <v>9</v>
      </c>
      <c r="B299" s="153">
        <f t="shared" si="121"/>
        <v>45542</v>
      </c>
      <c r="C299" s="138" t="str">
        <f t="shared" si="126"/>
        <v/>
      </c>
      <c r="D299" s="186"/>
      <c r="E299" s="186"/>
      <c r="F299" s="84"/>
      <c r="G299" s="84"/>
      <c r="H299" s="84"/>
      <c r="I299" s="84"/>
      <c r="J299" s="84"/>
      <c r="K299" s="84"/>
      <c r="L299" s="140" t="str">
        <f t="shared" si="127"/>
        <v/>
      </c>
      <c r="M299" s="86"/>
      <c r="N299" s="86"/>
      <c r="O299" s="86"/>
      <c r="P299" s="86"/>
      <c r="Q299" s="86"/>
      <c r="R299" s="86"/>
      <c r="S299" s="86"/>
      <c r="T299" s="86"/>
      <c r="U299" s="142" t="str">
        <f t="shared" si="128"/>
        <v/>
      </c>
      <c r="V299" s="88"/>
      <c r="W299" s="88"/>
      <c r="X299" s="88"/>
      <c r="Y299" s="88"/>
      <c r="Z299" s="88"/>
      <c r="AA299" s="88"/>
      <c r="AB299" s="88"/>
      <c r="AC299" s="88"/>
      <c r="AD299" s="142" t="str">
        <f t="shared" si="129"/>
        <v/>
      </c>
      <c r="AE299" s="88"/>
      <c r="AF299" s="88"/>
      <c r="AG299" s="88"/>
      <c r="AH299" s="88"/>
      <c r="AI299" s="88"/>
      <c r="AJ299" s="88"/>
      <c r="AK299" s="88"/>
      <c r="AL299" s="88"/>
      <c r="AM299" s="88">
        <v>44.52410149985851</v>
      </c>
      <c r="AN299" s="88">
        <v>106.00999999999999</v>
      </c>
      <c r="AO299" s="89"/>
      <c r="AP299" s="90"/>
      <c r="AQ299" s="146" t="str">
        <f t="shared" si="130"/>
        <v/>
      </c>
      <c r="AR299" s="146" t="str">
        <f t="shared" si="131"/>
        <v/>
      </c>
      <c r="AS299" s="147"/>
      <c r="AT299" s="148"/>
      <c r="AU299" s="149"/>
      <c r="AV299" s="146" t="str">
        <f t="shared" si="132"/>
        <v/>
      </c>
      <c r="AW299" s="146" t="str">
        <f t="shared" si="133"/>
        <v/>
      </c>
      <c r="AX299" s="138" t="str">
        <f t="shared" si="134"/>
        <v/>
      </c>
      <c r="AY299" s="95"/>
      <c r="AZ299" s="96"/>
      <c r="BA299" s="96"/>
      <c r="BB299" s="96"/>
      <c r="BC299" s="96"/>
      <c r="BD299" s="97">
        <v>106.00999999999999</v>
      </c>
      <c r="BE299" s="142">
        <f t="shared" si="135"/>
        <v>8635</v>
      </c>
      <c r="BF299" s="98">
        <v>2023</v>
      </c>
      <c r="BG299" s="98">
        <v>0</v>
      </c>
      <c r="BH299" s="98">
        <v>0</v>
      </c>
      <c r="BI299" s="98">
        <v>6612</v>
      </c>
      <c r="BJ299" s="98"/>
      <c r="BK299" s="98"/>
      <c r="BL299" s="97"/>
    </row>
    <row r="300" spans="1:64" outlineLevel="5" x14ac:dyDescent="0.3">
      <c r="A300" s="152">
        <f t="shared" si="106"/>
        <v>9</v>
      </c>
      <c r="B300" s="153">
        <f t="shared" si="121"/>
        <v>45543</v>
      </c>
      <c r="C300" s="138" t="str">
        <f t="shared" si="126"/>
        <v/>
      </c>
      <c r="D300" s="186"/>
      <c r="E300" s="186"/>
      <c r="F300" s="84"/>
      <c r="G300" s="84"/>
      <c r="H300" s="84"/>
      <c r="I300" s="84"/>
      <c r="J300" s="84"/>
      <c r="K300" s="84"/>
      <c r="L300" s="140" t="str">
        <f t="shared" si="127"/>
        <v/>
      </c>
      <c r="M300" s="86"/>
      <c r="N300" s="86"/>
      <c r="O300" s="86"/>
      <c r="P300" s="86"/>
      <c r="Q300" s="86"/>
      <c r="R300" s="86"/>
      <c r="S300" s="86"/>
      <c r="T300" s="86"/>
      <c r="U300" s="142" t="str">
        <f t="shared" si="128"/>
        <v/>
      </c>
      <c r="V300" s="88"/>
      <c r="W300" s="88"/>
      <c r="X300" s="88"/>
      <c r="Y300" s="88"/>
      <c r="Z300" s="88"/>
      <c r="AA300" s="88"/>
      <c r="AB300" s="88"/>
      <c r="AC300" s="88"/>
      <c r="AD300" s="142" t="str">
        <f t="shared" si="129"/>
        <v/>
      </c>
      <c r="AE300" s="88"/>
      <c r="AF300" s="88"/>
      <c r="AG300" s="88"/>
      <c r="AH300" s="88"/>
      <c r="AI300" s="88"/>
      <c r="AJ300" s="88"/>
      <c r="AK300" s="88"/>
      <c r="AL300" s="88"/>
      <c r="AM300" s="88">
        <v>41.043478260869563</v>
      </c>
      <c r="AN300" s="88">
        <v>115</v>
      </c>
      <c r="AO300" s="89"/>
      <c r="AP300" s="90"/>
      <c r="AQ300" s="146" t="str">
        <f t="shared" si="130"/>
        <v/>
      </c>
      <c r="AR300" s="146" t="str">
        <f t="shared" si="131"/>
        <v/>
      </c>
      <c r="AS300" s="147"/>
      <c r="AT300" s="148"/>
      <c r="AU300" s="149"/>
      <c r="AV300" s="146" t="str">
        <f t="shared" si="132"/>
        <v/>
      </c>
      <c r="AW300" s="146" t="str">
        <f t="shared" si="133"/>
        <v/>
      </c>
      <c r="AX300" s="138" t="str">
        <f t="shared" si="134"/>
        <v/>
      </c>
      <c r="AY300" s="95"/>
      <c r="AZ300" s="96"/>
      <c r="BA300" s="96"/>
      <c r="BB300" s="96"/>
      <c r="BC300" s="96"/>
      <c r="BD300" s="97">
        <v>115</v>
      </c>
      <c r="BE300" s="142">
        <f t="shared" si="135"/>
        <v>5370</v>
      </c>
      <c r="BF300" s="98">
        <v>2466</v>
      </c>
      <c r="BG300" s="98">
        <v>0</v>
      </c>
      <c r="BH300" s="98">
        <v>0</v>
      </c>
      <c r="BI300" s="98">
        <v>2904</v>
      </c>
      <c r="BJ300" s="98"/>
      <c r="BK300" s="98"/>
      <c r="BL300" s="97"/>
    </row>
    <row r="301" spans="1:64" outlineLevel="5" x14ac:dyDescent="0.3">
      <c r="A301" s="152">
        <f t="shared" si="106"/>
        <v>9</v>
      </c>
      <c r="B301" s="153">
        <f t="shared" si="121"/>
        <v>45544</v>
      </c>
      <c r="C301" s="138" t="str">
        <f t="shared" si="126"/>
        <v/>
      </c>
      <c r="D301" s="186"/>
      <c r="E301" s="186"/>
      <c r="F301" s="84"/>
      <c r="G301" s="84"/>
      <c r="H301" s="84"/>
      <c r="I301" s="84"/>
      <c r="J301" s="84"/>
      <c r="K301" s="84"/>
      <c r="L301" s="140" t="str">
        <f t="shared" si="127"/>
        <v/>
      </c>
      <c r="M301" s="86"/>
      <c r="N301" s="86"/>
      <c r="O301" s="86"/>
      <c r="P301" s="86"/>
      <c r="Q301" s="86"/>
      <c r="R301" s="86"/>
      <c r="S301" s="86"/>
      <c r="T301" s="86"/>
      <c r="U301" s="142" t="str">
        <f t="shared" si="128"/>
        <v/>
      </c>
      <c r="V301" s="88"/>
      <c r="W301" s="88"/>
      <c r="X301" s="88"/>
      <c r="Y301" s="88"/>
      <c r="Z301" s="88"/>
      <c r="AA301" s="88"/>
      <c r="AB301" s="88"/>
      <c r="AC301" s="88"/>
      <c r="AD301" s="142" t="str">
        <f t="shared" si="129"/>
        <v/>
      </c>
      <c r="AE301" s="88"/>
      <c r="AF301" s="88"/>
      <c r="AG301" s="88"/>
      <c r="AH301" s="88"/>
      <c r="AI301" s="88"/>
      <c r="AJ301" s="88"/>
      <c r="AK301" s="88"/>
      <c r="AL301" s="88"/>
      <c r="AM301" s="88">
        <v>52.843708016121816</v>
      </c>
      <c r="AN301" s="88">
        <v>89.32</v>
      </c>
      <c r="AO301" s="89">
        <v>18.5</v>
      </c>
      <c r="AP301" s="90">
        <v>16.5</v>
      </c>
      <c r="AQ301" s="146">
        <f t="shared" si="130"/>
        <v>89.189189189189193</v>
      </c>
      <c r="AR301" s="146">
        <f t="shared" si="131"/>
        <v>10.810810810810807</v>
      </c>
      <c r="AS301" s="147"/>
      <c r="AT301" s="148">
        <v>14.85</v>
      </c>
      <c r="AU301" s="149">
        <v>8.15</v>
      </c>
      <c r="AV301" s="146">
        <f t="shared" si="132"/>
        <v>54.882154882154886</v>
      </c>
      <c r="AW301" s="146">
        <f t="shared" si="133"/>
        <v>45.117845117845114</v>
      </c>
      <c r="AX301" s="138">
        <f t="shared" si="134"/>
        <v>85.255540479421072</v>
      </c>
      <c r="AY301" s="95">
        <v>77.25</v>
      </c>
      <c r="AZ301" s="96">
        <v>60.230000000000004</v>
      </c>
      <c r="BA301" s="96"/>
      <c r="BB301" s="96">
        <v>32.5</v>
      </c>
      <c r="BC301" s="96"/>
      <c r="BD301" s="97">
        <v>89.32</v>
      </c>
      <c r="BE301" s="142">
        <f t="shared" si="135"/>
        <v>2051</v>
      </c>
      <c r="BF301" s="98">
        <v>2049</v>
      </c>
      <c r="BG301" s="98">
        <v>0</v>
      </c>
      <c r="BH301" s="98">
        <v>0</v>
      </c>
      <c r="BI301" s="98">
        <v>2</v>
      </c>
      <c r="BJ301" s="98"/>
      <c r="BK301" s="98"/>
      <c r="BL301" s="97"/>
    </row>
    <row r="302" spans="1:64" outlineLevel="5" x14ac:dyDescent="0.3">
      <c r="A302" s="152">
        <f t="shared" si="106"/>
        <v>9</v>
      </c>
      <c r="B302" s="153">
        <f t="shared" si="121"/>
        <v>45545</v>
      </c>
      <c r="C302" s="138" t="str">
        <f t="shared" si="126"/>
        <v/>
      </c>
      <c r="D302" s="186"/>
      <c r="E302" s="186"/>
      <c r="F302" s="84"/>
      <c r="G302" s="84"/>
      <c r="H302" s="84"/>
      <c r="I302" s="84"/>
      <c r="J302" s="84"/>
      <c r="K302" s="84"/>
      <c r="L302" s="140" t="str">
        <f t="shared" si="127"/>
        <v/>
      </c>
      <c r="M302" s="86"/>
      <c r="N302" s="86"/>
      <c r="O302" s="86"/>
      <c r="P302" s="86"/>
      <c r="Q302" s="86"/>
      <c r="R302" s="86"/>
      <c r="S302" s="86"/>
      <c r="T302" s="86"/>
      <c r="U302" s="142" t="str">
        <f t="shared" si="128"/>
        <v/>
      </c>
      <c r="V302" s="88"/>
      <c r="W302" s="88"/>
      <c r="X302" s="88"/>
      <c r="Y302" s="88"/>
      <c r="Z302" s="88"/>
      <c r="AA302" s="88"/>
      <c r="AB302" s="88"/>
      <c r="AC302" s="88"/>
      <c r="AD302" s="142" t="str">
        <f t="shared" si="129"/>
        <v/>
      </c>
      <c r="AE302" s="88"/>
      <c r="AF302" s="88"/>
      <c r="AG302" s="88"/>
      <c r="AH302" s="88"/>
      <c r="AI302" s="88"/>
      <c r="AJ302" s="88"/>
      <c r="AK302" s="88"/>
      <c r="AL302" s="88"/>
      <c r="AM302" s="88">
        <v>40.77753779697624</v>
      </c>
      <c r="AN302" s="88">
        <v>115.75</v>
      </c>
      <c r="AO302" s="89"/>
      <c r="AP302" s="90"/>
      <c r="AQ302" s="146" t="str">
        <f t="shared" si="130"/>
        <v/>
      </c>
      <c r="AR302" s="146" t="str">
        <f t="shared" si="131"/>
        <v/>
      </c>
      <c r="AS302" s="147"/>
      <c r="AT302" s="148"/>
      <c r="AU302" s="149"/>
      <c r="AV302" s="146" t="str">
        <f t="shared" si="132"/>
        <v/>
      </c>
      <c r="AW302" s="146" t="str">
        <f t="shared" si="133"/>
        <v/>
      </c>
      <c r="AX302" s="138" t="str">
        <f t="shared" si="134"/>
        <v/>
      </c>
      <c r="AY302" s="95"/>
      <c r="AZ302" s="96"/>
      <c r="BA302" s="96"/>
      <c r="BB302" s="96"/>
      <c r="BC302" s="96"/>
      <c r="BD302" s="97">
        <v>115.75</v>
      </c>
      <c r="BE302" s="142">
        <f t="shared" si="135"/>
        <v>4177</v>
      </c>
      <c r="BF302" s="98">
        <v>1758</v>
      </c>
      <c r="BG302" s="98">
        <v>0</v>
      </c>
      <c r="BH302" s="98">
        <v>0</v>
      </c>
      <c r="BI302" s="98">
        <v>2419</v>
      </c>
      <c r="BJ302" s="98"/>
      <c r="BK302" s="98"/>
      <c r="BL302" s="97"/>
    </row>
    <row r="303" spans="1:64" outlineLevel="5" x14ac:dyDescent="0.3">
      <c r="A303" s="152">
        <f t="shared" si="106"/>
        <v>9</v>
      </c>
      <c r="B303" s="153">
        <f t="shared" si="121"/>
        <v>45546</v>
      </c>
      <c r="C303" s="138" t="str">
        <f t="shared" si="126"/>
        <v/>
      </c>
      <c r="D303" s="186"/>
      <c r="E303" s="186"/>
      <c r="F303" s="84"/>
      <c r="G303" s="84"/>
      <c r="H303" s="84"/>
      <c r="I303" s="84"/>
      <c r="J303" s="84"/>
      <c r="K303" s="84"/>
      <c r="L303" s="140" t="str">
        <f t="shared" si="127"/>
        <v/>
      </c>
      <c r="M303" s="86"/>
      <c r="N303" s="86"/>
      <c r="O303" s="86"/>
      <c r="P303" s="86"/>
      <c r="Q303" s="86"/>
      <c r="R303" s="86"/>
      <c r="S303" s="86"/>
      <c r="T303" s="86"/>
      <c r="U303" s="142" t="str">
        <f t="shared" si="128"/>
        <v/>
      </c>
      <c r="V303" s="88"/>
      <c r="W303" s="88"/>
      <c r="X303" s="88"/>
      <c r="Y303" s="88"/>
      <c r="Z303" s="88"/>
      <c r="AA303" s="88"/>
      <c r="AB303" s="88"/>
      <c r="AC303" s="88"/>
      <c r="AD303" s="142" t="str">
        <f t="shared" si="129"/>
        <v/>
      </c>
      <c r="AE303" s="88"/>
      <c r="AF303" s="88"/>
      <c r="AG303" s="88"/>
      <c r="AH303" s="88"/>
      <c r="AI303" s="88"/>
      <c r="AJ303" s="88"/>
      <c r="AK303" s="88"/>
      <c r="AL303" s="88"/>
      <c r="AM303" s="88">
        <v>39.540923180028486</v>
      </c>
      <c r="AN303" s="88">
        <v>119.36999999999999</v>
      </c>
      <c r="AO303" s="89"/>
      <c r="AP303" s="90"/>
      <c r="AQ303" s="146" t="str">
        <f t="shared" si="130"/>
        <v/>
      </c>
      <c r="AR303" s="146" t="str">
        <f t="shared" si="131"/>
        <v/>
      </c>
      <c r="AS303" s="147"/>
      <c r="AT303" s="148"/>
      <c r="AU303" s="149"/>
      <c r="AV303" s="146" t="str">
        <f t="shared" si="132"/>
        <v/>
      </c>
      <c r="AW303" s="146" t="str">
        <f t="shared" si="133"/>
        <v/>
      </c>
      <c r="AX303" s="138" t="str">
        <f t="shared" si="134"/>
        <v/>
      </c>
      <c r="AY303" s="95"/>
      <c r="AZ303" s="96"/>
      <c r="BA303" s="96"/>
      <c r="BB303" s="96"/>
      <c r="BC303" s="96"/>
      <c r="BD303" s="97">
        <v>119.36999999999999</v>
      </c>
      <c r="BE303" s="142">
        <f t="shared" si="135"/>
        <v>8823</v>
      </c>
      <c r="BF303" s="98">
        <v>2104</v>
      </c>
      <c r="BG303" s="98">
        <v>0</v>
      </c>
      <c r="BH303" s="98">
        <v>0</v>
      </c>
      <c r="BI303" s="98">
        <v>6719</v>
      </c>
      <c r="BJ303" s="98"/>
      <c r="BK303" s="98"/>
      <c r="BL303" s="97"/>
    </row>
    <row r="304" spans="1:64" outlineLevel="5" x14ac:dyDescent="0.3">
      <c r="A304" s="152">
        <f t="shared" si="106"/>
        <v>9</v>
      </c>
      <c r="B304" s="153">
        <f t="shared" si="121"/>
        <v>45547</v>
      </c>
      <c r="C304" s="138" t="str">
        <f t="shared" si="126"/>
        <v/>
      </c>
      <c r="D304" s="186"/>
      <c r="E304" s="186"/>
      <c r="F304" s="84"/>
      <c r="G304" s="84"/>
      <c r="H304" s="84"/>
      <c r="I304" s="84"/>
      <c r="J304" s="84"/>
      <c r="K304" s="84"/>
      <c r="L304" s="140" t="str">
        <f t="shared" si="127"/>
        <v/>
      </c>
      <c r="M304" s="86"/>
      <c r="N304" s="86"/>
      <c r="O304" s="86"/>
      <c r="P304" s="86"/>
      <c r="Q304" s="86"/>
      <c r="R304" s="86"/>
      <c r="S304" s="86"/>
      <c r="T304" s="86"/>
      <c r="U304" s="142" t="str">
        <f t="shared" si="128"/>
        <v/>
      </c>
      <c r="V304" s="88"/>
      <c r="W304" s="88"/>
      <c r="X304" s="88"/>
      <c r="Y304" s="88"/>
      <c r="Z304" s="88"/>
      <c r="AA304" s="88"/>
      <c r="AB304" s="88"/>
      <c r="AC304" s="88"/>
      <c r="AD304" s="142" t="str">
        <f t="shared" si="129"/>
        <v/>
      </c>
      <c r="AE304" s="88"/>
      <c r="AF304" s="88"/>
      <c r="AG304" s="88"/>
      <c r="AH304" s="88"/>
      <c r="AI304" s="88"/>
      <c r="AJ304" s="88"/>
      <c r="AK304" s="88"/>
      <c r="AL304" s="88"/>
      <c r="AM304" s="88">
        <v>46.035306739490878</v>
      </c>
      <c r="AN304" s="88">
        <v>102.53</v>
      </c>
      <c r="AO304" s="89"/>
      <c r="AP304" s="90"/>
      <c r="AQ304" s="146" t="str">
        <f t="shared" si="130"/>
        <v/>
      </c>
      <c r="AR304" s="146" t="str">
        <f t="shared" si="131"/>
        <v/>
      </c>
      <c r="AS304" s="147"/>
      <c r="AT304" s="148"/>
      <c r="AU304" s="149"/>
      <c r="AV304" s="146" t="str">
        <f t="shared" si="132"/>
        <v/>
      </c>
      <c r="AW304" s="146" t="str">
        <f t="shared" si="133"/>
        <v/>
      </c>
      <c r="AX304" s="138" t="str">
        <f t="shared" si="134"/>
        <v/>
      </c>
      <c r="AY304" s="95"/>
      <c r="AZ304" s="96">
        <v>58.614999999999995</v>
      </c>
      <c r="BA304" s="96"/>
      <c r="BB304" s="96">
        <v>50.5</v>
      </c>
      <c r="BC304" s="96"/>
      <c r="BD304" s="97">
        <v>102.53</v>
      </c>
      <c r="BE304" s="142">
        <f t="shared" si="135"/>
        <v>9437</v>
      </c>
      <c r="BF304" s="98">
        <v>2651</v>
      </c>
      <c r="BG304" s="98">
        <v>0</v>
      </c>
      <c r="BH304" s="98">
        <v>0</v>
      </c>
      <c r="BI304" s="98">
        <v>6786</v>
      </c>
      <c r="BJ304" s="98"/>
      <c r="BK304" s="98"/>
      <c r="BL304" s="97"/>
    </row>
    <row r="305" spans="1:64" outlineLevel="5" x14ac:dyDescent="0.3">
      <c r="A305" s="152">
        <f t="shared" si="106"/>
        <v>9</v>
      </c>
      <c r="B305" s="153">
        <f t="shared" si="121"/>
        <v>45548</v>
      </c>
      <c r="C305" s="138" t="str">
        <f t="shared" si="126"/>
        <v/>
      </c>
      <c r="D305" s="186"/>
      <c r="E305" s="186"/>
      <c r="F305" s="84"/>
      <c r="G305" s="84"/>
      <c r="H305" s="84"/>
      <c r="I305" s="84"/>
      <c r="J305" s="84"/>
      <c r="K305" s="84"/>
      <c r="L305" s="140" t="str">
        <f t="shared" si="127"/>
        <v/>
      </c>
      <c r="M305" s="86"/>
      <c r="N305" s="86"/>
      <c r="O305" s="86"/>
      <c r="P305" s="86"/>
      <c r="Q305" s="86"/>
      <c r="R305" s="86"/>
      <c r="S305" s="86"/>
      <c r="T305" s="86"/>
      <c r="U305" s="142" t="str">
        <f t="shared" si="128"/>
        <v/>
      </c>
      <c r="V305" s="88"/>
      <c r="W305" s="88"/>
      <c r="X305" s="88"/>
      <c r="Y305" s="88"/>
      <c r="Z305" s="88"/>
      <c r="AA305" s="88"/>
      <c r="AB305" s="88"/>
      <c r="AC305" s="88"/>
      <c r="AD305" s="142" t="str">
        <f t="shared" si="129"/>
        <v/>
      </c>
      <c r="AE305" s="88"/>
      <c r="AF305" s="88"/>
      <c r="AG305" s="88"/>
      <c r="AH305" s="88"/>
      <c r="AI305" s="88"/>
      <c r="AJ305" s="88"/>
      <c r="AK305" s="88"/>
      <c r="AL305" s="88"/>
      <c r="AM305" s="88">
        <v>34.869976359338061</v>
      </c>
      <c r="AN305" s="88">
        <v>135.36000000000001</v>
      </c>
      <c r="AO305" s="89"/>
      <c r="AP305" s="90"/>
      <c r="AQ305" s="146" t="str">
        <f t="shared" si="130"/>
        <v/>
      </c>
      <c r="AR305" s="146" t="str">
        <f t="shared" si="131"/>
        <v/>
      </c>
      <c r="AS305" s="147"/>
      <c r="AT305" s="148"/>
      <c r="AU305" s="149"/>
      <c r="AV305" s="146" t="str">
        <f t="shared" si="132"/>
        <v/>
      </c>
      <c r="AW305" s="146" t="str">
        <f t="shared" si="133"/>
        <v/>
      </c>
      <c r="AX305" s="138" t="str">
        <f t="shared" si="134"/>
        <v/>
      </c>
      <c r="AY305" s="95"/>
      <c r="AZ305" s="96"/>
      <c r="BA305" s="96"/>
      <c r="BB305" s="96"/>
      <c r="BC305" s="96"/>
      <c r="BD305" s="97">
        <v>135.36000000000001</v>
      </c>
      <c r="BE305" s="142">
        <f t="shared" si="135"/>
        <v>8251</v>
      </c>
      <c r="BF305" s="98">
        <v>1443</v>
      </c>
      <c r="BG305" s="98">
        <v>0</v>
      </c>
      <c r="BH305" s="98">
        <v>0</v>
      </c>
      <c r="BI305" s="98">
        <v>6808</v>
      </c>
      <c r="BJ305" s="98"/>
      <c r="BK305" s="98"/>
      <c r="BL305" s="97"/>
    </row>
    <row r="306" spans="1:64" outlineLevel="5" x14ac:dyDescent="0.3">
      <c r="A306" s="152">
        <f t="shared" si="106"/>
        <v>9</v>
      </c>
      <c r="B306" s="153">
        <f t="shared" si="121"/>
        <v>45549</v>
      </c>
      <c r="C306" s="138" t="str">
        <f t="shared" si="126"/>
        <v/>
      </c>
      <c r="D306" s="186"/>
      <c r="E306" s="186"/>
      <c r="F306" s="84"/>
      <c r="G306" s="84"/>
      <c r="H306" s="84"/>
      <c r="I306" s="84"/>
      <c r="J306" s="84"/>
      <c r="K306" s="84"/>
      <c r="L306" s="140" t="str">
        <f t="shared" si="127"/>
        <v/>
      </c>
      <c r="M306" s="86"/>
      <c r="N306" s="86"/>
      <c r="O306" s="86"/>
      <c r="P306" s="86"/>
      <c r="Q306" s="86"/>
      <c r="R306" s="86"/>
      <c r="S306" s="86"/>
      <c r="T306" s="86"/>
      <c r="U306" s="142" t="str">
        <f t="shared" si="128"/>
        <v/>
      </c>
      <c r="V306" s="88"/>
      <c r="W306" s="88"/>
      <c r="X306" s="88"/>
      <c r="Y306" s="88"/>
      <c r="Z306" s="88"/>
      <c r="AA306" s="88"/>
      <c r="AB306" s="88"/>
      <c r="AC306" s="88"/>
      <c r="AD306" s="142" t="str">
        <f t="shared" si="129"/>
        <v/>
      </c>
      <c r="AE306" s="88"/>
      <c r="AF306" s="88"/>
      <c r="AG306" s="88"/>
      <c r="AH306" s="88"/>
      <c r="AI306" s="88"/>
      <c r="AJ306" s="88"/>
      <c r="AK306" s="88"/>
      <c r="AL306" s="88"/>
      <c r="AM306" s="88">
        <v>40.717736369910284</v>
      </c>
      <c r="AN306" s="88">
        <v>115.92</v>
      </c>
      <c r="AO306" s="89"/>
      <c r="AP306" s="90"/>
      <c r="AQ306" s="146" t="str">
        <f t="shared" si="130"/>
        <v/>
      </c>
      <c r="AR306" s="146" t="str">
        <f t="shared" si="131"/>
        <v/>
      </c>
      <c r="AS306" s="147"/>
      <c r="AT306" s="148"/>
      <c r="AU306" s="149"/>
      <c r="AV306" s="146" t="str">
        <f t="shared" si="132"/>
        <v/>
      </c>
      <c r="AW306" s="146" t="str">
        <f t="shared" si="133"/>
        <v/>
      </c>
      <c r="AX306" s="138" t="str">
        <f t="shared" si="134"/>
        <v/>
      </c>
      <c r="AY306" s="95"/>
      <c r="AZ306" s="96"/>
      <c r="BA306" s="96"/>
      <c r="BB306" s="96"/>
      <c r="BC306" s="96"/>
      <c r="BD306" s="97">
        <v>115.92</v>
      </c>
      <c r="BE306" s="142">
        <f t="shared" si="135"/>
        <v>8623</v>
      </c>
      <c r="BF306" s="98">
        <v>1997</v>
      </c>
      <c r="BG306" s="98">
        <v>0</v>
      </c>
      <c r="BH306" s="98">
        <v>0</v>
      </c>
      <c r="BI306" s="98">
        <v>6626</v>
      </c>
      <c r="BJ306" s="98"/>
      <c r="BK306" s="98"/>
      <c r="BL306" s="97"/>
    </row>
    <row r="307" spans="1:64" outlineLevel="5" x14ac:dyDescent="0.3">
      <c r="A307" s="152">
        <f t="shared" ref="A307:A378" si="136">MONTH(B307)</f>
        <v>9</v>
      </c>
      <c r="B307" s="153">
        <f t="shared" si="121"/>
        <v>45550</v>
      </c>
      <c r="C307" s="138" t="str">
        <f t="shared" si="126"/>
        <v/>
      </c>
      <c r="D307" s="186"/>
      <c r="E307" s="186"/>
      <c r="F307" s="84"/>
      <c r="G307" s="84"/>
      <c r="H307" s="84"/>
      <c r="I307" s="84"/>
      <c r="J307" s="84"/>
      <c r="K307" s="84"/>
      <c r="L307" s="140" t="str">
        <f t="shared" si="127"/>
        <v/>
      </c>
      <c r="M307" s="86"/>
      <c r="N307" s="86"/>
      <c r="O307" s="86"/>
      <c r="P307" s="86"/>
      <c r="Q307" s="86"/>
      <c r="R307" s="86"/>
      <c r="S307" s="86"/>
      <c r="T307" s="86"/>
      <c r="U307" s="142" t="str">
        <f t="shared" si="128"/>
        <v/>
      </c>
      <c r="V307" s="88"/>
      <c r="W307" s="88"/>
      <c r="X307" s="88"/>
      <c r="Y307" s="88"/>
      <c r="Z307" s="88"/>
      <c r="AA307" s="88"/>
      <c r="AB307" s="88"/>
      <c r="AC307" s="88"/>
      <c r="AD307" s="142" t="str">
        <f t="shared" si="129"/>
        <v/>
      </c>
      <c r="AE307" s="88"/>
      <c r="AF307" s="88"/>
      <c r="AG307" s="88"/>
      <c r="AH307" s="88"/>
      <c r="AI307" s="88"/>
      <c r="AJ307" s="88"/>
      <c r="AK307" s="88"/>
      <c r="AL307" s="88"/>
      <c r="AM307" s="88">
        <v>42.909090909090907</v>
      </c>
      <c r="AN307" s="88">
        <v>110</v>
      </c>
      <c r="AO307" s="89"/>
      <c r="AP307" s="90"/>
      <c r="AQ307" s="146" t="str">
        <f t="shared" si="130"/>
        <v/>
      </c>
      <c r="AR307" s="146" t="str">
        <f t="shared" si="131"/>
        <v/>
      </c>
      <c r="AS307" s="147"/>
      <c r="AT307" s="148"/>
      <c r="AU307" s="149"/>
      <c r="AV307" s="146" t="str">
        <f t="shared" si="132"/>
        <v/>
      </c>
      <c r="AW307" s="146" t="str">
        <f t="shared" si="133"/>
        <v/>
      </c>
      <c r="AX307" s="138" t="str">
        <f t="shared" si="134"/>
        <v/>
      </c>
      <c r="AY307" s="95"/>
      <c r="AZ307" s="96"/>
      <c r="BA307" s="96"/>
      <c r="BB307" s="96"/>
      <c r="BC307" s="96"/>
      <c r="BD307" s="97">
        <v>110</v>
      </c>
      <c r="BE307" s="142">
        <f t="shared" si="135"/>
        <v>8577</v>
      </c>
      <c r="BF307" s="98">
        <v>2007</v>
      </c>
      <c r="BG307" s="98">
        <v>0</v>
      </c>
      <c r="BH307" s="98">
        <v>0</v>
      </c>
      <c r="BI307" s="98">
        <v>6570</v>
      </c>
      <c r="BJ307" s="98"/>
      <c r="BK307" s="98"/>
      <c r="BL307" s="97"/>
    </row>
    <row r="308" spans="1:64" outlineLevel="5" x14ac:dyDescent="0.3">
      <c r="A308" s="152">
        <f t="shared" si="136"/>
        <v>9</v>
      </c>
      <c r="B308" s="153">
        <f t="shared" si="121"/>
        <v>45551</v>
      </c>
      <c r="C308" s="138">
        <f t="shared" si="126"/>
        <v>37</v>
      </c>
      <c r="D308" s="186">
        <v>37</v>
      </c>
      <c r="E308" s="186">
        <v>37</v>
      </c>
      <c r="F308" s="84"/>
      <c r="G308" s="84"/>
      <c r="H308" s="84"/>
      <c r="I308" s="84"/>
      <c r="J308" s="84"/>
      <c r="K308" s="84"/>
      <c r="L308" s="140" t="str">
        <f t="shared" si="127"/>
        <v/>
      </c>
      <c r="M308" s="86"/>
      <c r="N308" s="86"/>
      <c r="O308" s="86"/>
      <c r="P308" s="86"/>
      <c r="Q308" s="86"/>
      <c r="R308" s="86"/>
      <c r="S308" s="86"/>
      <c r="T308" s="86"/>
      <c r="U308" s="142" t="str">
        <f t="shared" si="128"/>
        <v/>
      </c>
      <c r="V308" s="88"/>
      <c r="W308" s="88"/>
      <c r="X308" s="88"/>
      <c r="Y308" s="88"/>
      <c r="Z308" s="88"/>
      <c r="AA308" s="88"/>
      <c r="AB308" s="88"/>
      <c r="AC308" s="88"/>
      <c r="AD308" s="142" t="str">
        <f t="shared" si="129"/>
        <v/>
      </c>
      <c r="AE308" s="88"/>
      <c r="AF308" s="88"/>
      <c r="AG308" s="88"/>
      <c r="AH308" s="88"/>
      <c r="AI308" s="88"/>
      <c r="AJ308" s="88"/>
      <c r="AK308" s="88"/>
      <c r="AL308" s="88"/>
      <c r="AM308" s="88">
        <v>44.549315714959889</v>
      </c>
      <c r="AN308" s="88">
        <v>105.94999999999999</v>
      </c>
      <c r="AO308" s="89"/>
      <c r="AP308" s="90"/>
      <c r="AQ308" s="146" t="str">
        <f t="shared" si="130"/>
        <v/>
      </c>
      <c r="AR308" s="146" t="str">
        <f t="shared" si="131"/>
        <v/>
      </c>
      <c r="AS308" s="147"/>
      <c r="AT308" s="148"/>
      <c r="AU308" s="149"/>
      <c r="AV308" s="146" t="str">
        <f t="shared" si="132"/>
        <v/>
      </c>
      <c r="AW308" s="146" t="str">
        <f t="shared" si="133"/>
        <v/>
      </c>
      <c r="AX308" s="138" t="str">
        <f t="shared" si="134"/>
        <v/>
      </c>
      <c r="AY308" s="95"/>
      <c r="AZ308" s="96">
        <v>61.39</v>
      </c>
      <c r="BA308" s="96"/>
      <c r="BB308" s="96">
        <v>38.5</v>
      </c>
      <c r="BC308" s="96"/>
      <c r="BD308" s="97">
        <v>105.94999999999999</v>
      </c>
      <c r="BE308" s="142">
        <f t="shared" si="135"/>
        <v>9076</v>
      </c>
      <c r="BF308" s="98">
        <v>2434</v>
      </c>
      <c r="BG308" s="98">
        <v>0</v>
      </c>
      <c r="BH308" s="98">
        <v>0</v>
      </c>
      <c r="BI308" s="98">
        <v>6642</v>
      </c>
      <c r="BJ308" s="98"/>
      <c r="BK308" s="98"/>
      <c r="BL308" s="97"/>
    </row>
    <row r="309" spans="1:64" outlineLevel="5" x14ac:dyDescent="0.3">
      <c r="A309" s="152">
        <f t="shared" si="136"/>
        <v>9</v>
      </c>
      <c r="B309" s="153">
        <f t="shared" si="121"/>
        <v>45552</v>
      </c>
      <c r="C309" s="138" t="str">
        <f t="shared" si="126"/>
        <v/>
      </c>
      <c r="D309" s="186"/>
      <c r="E309" s="186"/>
      <c r="F309" s="84"/>
      <c r="G309" s="84"/>
      <c r="H309" s="84"/>
      <c r="I309" s="84"/>
      <c r="J309" s="84"/>
      <c r="K309" s="84"/>
      <c r="L309" s="140" t="str">
        <f t="shared" si="127"/>
        <v/>
      </c>
      <c r="M309" s="86"/>
      <c r="N309" s="86"/>
      <c r="O309" s="86"/>
      <c r="P309" s="86"/>
      <c r="Q309" s="86"/>
      <c r="R309" s="86"/>
      <c r="S309" s="86"/>
      <c r="T309" s="86"/>
      <c r="U309" s="142" t="str">
        <f t="shared" si="128"/>
        <v/>
      </c>
      <c r="V309" s="88"/>
      <c r="W309" s="88"/>
      <c r="X309" s="88"/>
      <c r="Y309" s="88"/>
      <c r="Z309" s="88"/>
      <c r="AA309" s="88"/>
      <c r="AB309" s="88"/>
      <c r="AC309" s="88"/>
      <c r="AD309" s="142" t="str">
        <f t="shared" si="129"/>
        <v/>
      </c>
      <c r="AE309" s="88"/>
      <c r="AF309" s="88"/>
      <c r="AG309" s="88"/>
      <c r="AH309" s="88"/>
      <c r="AI309" s="88"/>
      <c r="AJ309" s="88"/>
      <c r="AK309" s="88"/>
      <c r="AL309" s="88"/>
      <c r="AM309" s="88">
        <v>42.909090909090907</v>
      </c>
      <c r="AN309" s="88">
        <v>110</v>
      </c>
      <c r="AO309" s="89"/>
      <c r="AP309" s="90"/>
      <c r="AQ309" s="146" t="str">
        <f t="shared" si="130"/>
        <v/>
      </c>
      <c r="AR309" s="146" t="str">
        <f t="shared" si="131"/>
        <v/>
      </c>
      <c r="AS309" s="147"/>
      <c r="AT309" s="148"/>
      <c r="AU309" s="149"/>
      <c r="AV309" s="146" t="str">
        <f t="shared" si="132"/>
        <v/>
      </c>
      <c r="AW309" s="146" t="str">
        <f t="shared" si="133"/>
        <v/>
      </c>
      <c r="AX309" s="138" t="str">
        <f t="shared" si="134"/>
        <v/>
      </c>
      <c r="AY309" s="95"/>
      <c r="AZ309" s="96"/>
      <c r="BA309" s="96"/>
      <c r="BB309" s="96"/>
      <c r="BC309" s="96"/>
      <c r="BD309" s="97">
        <v>110</v>
      </c>
      <c r="BE309" s="142">
        <f t="shared" si="135"/>
        <v>8747</v>
      </c>
      <c r="BF309" s="98">
        <v>2056</v>
      </c>
      <c r="BG309" s="98">
        <v>0</v>
      </c>
      <c r="BH309" s="98">
        <v>0</v>
      </c>
      <c r="BI309" s="98">
        <v>6691</v>
      </c>
      <c r="BJ309" s="98"/>
      <c r="BK309" s="98"/>
      <c r="BL309" s="97"/>
    </row>
    <row r="310" spans="1:64" outlineLevel="5" x14ac:dyDescent="0.3">
      <c r="A310" s="152">
        <f t="shared" si="136"/>
        <v>9</v>
      </c>
      <c r="B310" s="153">
        <f t="shared" si="121"/>
        <v>45553</v>
      </c>
      <c r="C310" s="138" t="str">
        <f t="shared" si="126"/>
        <v/>
      </c>
      <c r="D310" s="186"/>
      <c r="E310" s="186"/>
      <c r="F310" s="84"/>
      <c r="G310" s="84"/>
      <c r="H310" s="84"/>
      <c r="I310" s="84"/>
      <c r="J310" s="84"/>
      <c r="K310" s="84"/>
      <c r="L310" s="140" t="str">
        <f t="shared" si="127"/>
        <v/>
      </c>
      <c r="M310" s="86"/>
      <c r="N310" s="86"/>
      <c r="O310" s="86"/>
      <c r="P310" s="86"/>
      <c r="Q310" s="86"/>
      <c r="R310" s="86"/>
      <c r="S310" s="86"/>
      <c r="T310" s="86"/>
      <c r="U310" s="142" t="str">
        <f t="shared" si="128"/>
        <v/>
      </c>
      <c r="V310" s="88"/>
      <c r="W310" s="88"/>
      <c r="X310" s="88"/>
      <c r="Y310" s="88"/>
      <c r="Z310" s="88"/>
      <c r="AA310" s="88"/>
      <c r="AB310" s="88"/>
      <c r="AC310" s="88"/>
      <c r="AD310" s="142" t="str">
        <f t="shared" si="129"/>
        <v/>
      </c>
      <c r="AE310" s="88"/>
      <c r="AF310" s="88"/>
      <c r="AG310" s="88"/>
      <c r="AH310" s="88"/>
      <c r="AI310" s="88"/>
      <c r="AJ310" s="88"/>
      <c r="AK310" s="88"/>
      <c r="AL310" s="88"/>
      <c r="AM310" s="88">
        <v>41.714538223596996</v>
      </c>
      <c r="AN310" s="88">
        <v>113.15</v>
      </c>
      <c r="AO310" s="89"/>
      <c r="AP310" s="90"/>
      <c r="AQ310" s="146" t="str">
        <f t="shared" si="130"/>
        <v/>
      </c>
      <c r="AR310" s="146" t="str">
        <f t="shared" si="131"/>
        <v/>
      </c>
      <c r="AS310" s="147"/>
      <c r="AT310" s="148"/>
      <c r="AU310" s="149"/>
      <c r="AV310" s="146" t="str">
        <f t="shared" si="132"/>
        <v/>
      </c>
      <c r="AW310" s="146" t="str">
        <f t="shared" si="133"/>
        <v/>
      </c>
      <c r="AX310" s="138" t="str">
        <f t="shared" si="134"/>
        <v/>
      </c>
      <c r="AY310" s="95"/>
      <c r="AZ310" s="96"/>
      <c r="BA310" s="96"/>
      <c r="BB310" s="96"/>
      <c r="BC310" s="96"/>
      <c r="BD310" s="97">
        <v>113.15</v>
      </c>
      <c r="BE310" s="142">
        <f t="shared" si="135"/>
        <v>8398</v>
      </c>
      <c r="BF310" s="98">
        <v>1801</v>
      </c>
      <c r="BG310" s="98">
        <v>0</v>
      </c>
      <c r="BH310" s="98">
        <v>0</v>
      </c>
      <c r="BI310" s="98">
        <v>6597</v>
      </c>
      <c r="BJ310" s="98"/>
      <c r="BK310" s="98"/>
      <c r="BL310" s="97"/>
    </row>
    <row r="311" spans="1:64" outlineLevel="5" x14ac:dyDescent="0.3">
      <c r="A311" s="152">
        <f t="shared" si="136"/>
        <v>9</v>
      </c>
      <c r="B311" s="153">
        <f t="shared" si="121"/>
        <v>45554</v>
      </c>
      <c r="C311" s="138">
        <f t="shared" si="126"/>
        <v>38</v>
      </c>
      <c r="D311" s="186">
        <v>37.9</v>
      </c>
      <c r="E311" s="186">
        <v>38.1</v>
      </c>
      <c r="F311" s="84"/>
      <c r="G311" s="84"/>
      <c r="H311" s="84"/>
      <c r="I311" s="84"/>
      <c r="J311" s="84"/>
      <c r="K311" s="84"/>
      <c r="L311" s="140" t="str">
        <f t="shared" si="127"/>
        <v/>
      </c>
      <c r="M311" s="86"/>
      <c r="N311" s="86"/>
      <c r="O311" s="86"/>
      <c r="P311" s="86"/>
      <c r="Q311" s="86"/>
      <c r="R311" s="86"/>
      <c r="S311" s="86"/>
      <c r="T311" s="86"/>
      <c r="U311" s="142" t="str">
        <f t="shared" si="128"/>
        <v/>
      </c>
      <c r="V311" s="88"/>
      <c r="W311" s="88"/>
      <c r="X311" s="88"/>
      <c r="Y311" s="88"/>
      <c r="Z311" s="88"/>
      <c r="AA311" s="88"/>
      <c r="AB311" s="88"/>
      <c r="AC311" s="88"/>
      <c r="AD311" s="142" t="str">
        <f t="shared" si="129"/>
        <v/>
      </c>
      <c r="AE311" s="88"/>
      <c r="AF311" s="88"/>
      <c r="AG311" s="88"/>
      <c r="AH311" s="88"/>
      <c r="AI311" s="88"/>
      <c r="AJ311" s="88"/>
      <c r="AK311" s="88"/>
      <c r="AL311" s="88"/>
      <c r="AM311" s="88">
        <v>47.566260203567474</v>
      </c>
      <c r="AN311" s="88">
        <v>99.22999999999999</v>
      </c>
      <c r="AO311" s="89"/>
      <c r="AP311" s="90"/>
      <c r="AQ311" s="146" t="str">
        <f t="shared" si="130"/>
        <v/>
      </c>
      <c r="AR311" s="146" t="str">
        <f t="shared" si="131"/>
        <v/>
      </c>
      <c r="AS311" s="147"/>
      <c r="AT311" s="148"/>
      <c r="AU311" s="149"/>
      <c r="AV311" s="146" t="str">
        <f t="shared" si="132"/>
        <v/>
      </c>
      <c r="AW311" s="146" t="str">
        <f t="shared" si="133"/>
        <v/>
      </c>
      <c r="AX311" s="138" t="str">
        <f t="shared" si="134"/>
        <v/>
      </c>
      <c r="AY311" s="95"/>
      <c r="AZ311" s="96"/>
      <c r="BA311" s="96"/>
      <c r="BB311" s="96"/>
      <c r="BC311" s="96"/>
      <c r="BD311" s="97">
        <v>99.22999999999999</v>
      </c>
      <c r="BE311" s="142">
        <f t="shared" si="135"/>
        <v>8658</v>
      </c>
      <c r="BF311" s="98">
        <v>2055</v>
      </c>
      <c r="BG311" s="98">
        <v>0</v>
      </c>
      <c r="BH311" s="98">
        <v>0</v>
      </c>
      <c r="BI311" s="98">
        <v>6603</v>
      </c>
      <c r="BJ311" s="98"/>
      <c r="BK311" s="98"/>
      <c r="BL311" s="97"/>
    </row>
    <row r="312" spans="1:64" outlineLevel="5" x14ac:dyDescent="0.3">
      <c r="A312" s="152">
        <f t="shared" si="136"/>
        <v>9</v>
      </c>
      <c r="B312" s="153">
        <f t="shared" si="121"/>
        <v>45555</v>
      </c>
      <c r="C312" s="138" t="str">
        <f t="shared" si="126"/>
        <v/>
      </c>
      <c r="D312" s="186"/>
      <c r="E312" s="186"/>
      <c r="F312" s="84"/>
      <c r="G312" s="84"/>
      <c r="H312" s="84"/>
      <c r="I312" s="84"/>
      <c r="J312" s="84"/>
      <c r="K312" s="84"/>
      <c r="L312" s="140" t="str">
        <f t="shared" si="127"/>
        <v/>
      </c>
      <c r="M312" s="86"/>
      <c r="N312" s="86"/>
      <c r="O312" s="86"/>
      <c r="P312" s="86"/>
      <c r="Q312" s="86"/>
      <c r="R312" s="86"/>
      <c r="S312" s="86"/>
      <c r="T312" s="86"/>
      <c r="U312" s="142" t="str">
        <f t="shared" si="128"/>
        <v/>
      </c>
      <c r="V312" s="88"/>
      <c r="W312" s="88"/>
      <c r="X312" s="88"/>
      <c r="Y312" s="88"/>
      <c r="Z312" s="88"/>
      <c r="AA312" s="88"/>
      <c r="AB312" s="88"/>
      <c r="AC312" s="88"/>
      <c r="AD312" s="142" t="str">
        <f t="shared" si="129"/>
        <v/>
      </c>
      <c r="AE312" s="88"/>
      <c r="AF312" s="88"/>
      <c r="AG312" s="88"/>
      <c r="AH312" s="88"/>
      <c r="AI312" s="88"/>
      <c r="AJ312" s="88"/>
      <c r="AK312" s="88"/>
      <c r="AL312" s="88"/>
      <c r="AM312" s="88">
        <v>49.783778082480751</v>
      </c>
      <c r="AN312" s="88">
        <v>94.81</v>
      </c>
      <c r="AO312" s="89"/>
      <c r="AP312" s="90"/>
      <c r="AQ312" s="146" t="str">
        <f t="shared" si="130"/>
        <v/>
      </c>
      <c r="AR312" s="146" t="str">
        <f t="shared" si="131"/>
        <v/>
      </c>
      <c r="AS312" s="147"/>
      <c r="AT312" s="148"/>
      <c r="AU312" s="149"/>
      <c r="AV312" s="146" t="str">
        <f t="shared" si="132"/>
        <v/>
      </c>
      <c r="AW312" s="146" t="str">
        <f t="shared" si="133"/>
        <v/>
      </c>
      <c r="AX312" s="138" t="str">
        <f t="shared" si="134"/>
        <v/>
      </c>
      <c r="AY312" s="95"/>
      <c r="AZ312" s="96"/>
      <c r="BA312" s="96"/>
      <c r="BB312" s="96"/>
      <c r="BC312" s="96"/>
      <c r="BD312" s="97">
        <v>94.81</v>
      </c>
      <c r="BE312" s="142">
        <f t="shared" si="135"/>
        <v>8638</v>
      </c>
      <c r="BF312" s="98">
        <v>1993</v>
      </c>
      <c r="BG312" s="98">
        <v>0</v>
      </c>
      <c r="BH312" s="98">
        <v>0</v>
      </c>
      <c r="BI312" s="98">
        <v>6645</v>
      </c>
      <c r="BJ312" s="98"/>
      <c r="BK312" s="98"/>
      <c r="BL312" s="97"/>
    </row>
    <row r="313" spans="1:64" outlineLevel="5" x14ac:dyDescent="0.3">
      <c r="A313" s="152">
        <f t="shared" si="136"/>
        <v>9</v>
      </c>
      <c r="B313" s="153">
        <f t="shared" si="121"/>
        <v>45556</v>
      </c>
      <c r="C313" s="138" t="str">
        <f t="shared" si="126"/>
        <v/>
      </c>
      <c r="D313" s="186"/>
      <c r="E313" s="186"/>
      <c r="F313" s="84"/>
      <c r="G313" s="84"/>
      <c r="H313" s="84"/>
      <c r="I313" s="84"/>
      <c r="J313" s="84"/>
      <c r="K313" s="84"/>
      <c r="L313" s="140" t="str">
        <f t="shared" si="127"/>
        <v/>
      </c>
      <c r="M313" s="86"/>
      <c r="N313" s="86"/>
      <c r="O313" s="86"/>
      <c r="P313" s="86"/>
      <c r="Q313" s="86"/>
      <c r="R313" s="86"/>
      <c r="S313" s="86"/>
      <c r="T313" s="86"/>
      <c r="U313" s="142" t="str">
        <f t="shared" si="128"/>
        <v/>
      </c>
      <c r="V313" s="88"/>
      <c r="W313" s="88"/>
      <c r="X313" s="88"/>
      <c r="Y313" s="88"/>
      <c r="Z313" s="88"/>
      <c r="AA313" s="88"/>
      <c r="AB313" s="88"/>
      <c r="AC313" s="88"/>
      <c r="AD313" s="142" t="str">
        <f t="shared" si="129"/>
        <v/>
      </c>
      <c r="AE313" s="88"/>
      <c r="AF313" s="88"/>
      <c r="AG313" s="88"/>
      <c r="AH313" s="88"/>
      <c r="AI313" s="88"/>
      <c r="AJ313" s="88"/>
      <c r="AK313" s="88"/>
      <c r="AL313" s="88"/>
      <c r="AM313" s="88">
        <v>46.74655838367832</v>
      </c>
      <c r="AN313" s="88">
        <v>100.97</v>
      </c>
      <c r="AO313" s="89"/>
      <c r="AP313" s="90"/>
      <c r="AQ313" s="146" t="str">
        <f t="shared" si="130"/>
        <v/>
      </c>
      <c r="AR313" s="146" t="str">
        <f t="shared" si="131"/>
        <v/>
      </c>
      <c r="AS313" s="147"/>
      <c r="AT313" s="148"/>
      <c r="AU313" s="149"/>
      <c r="AV313" s="146" t="str">
        <f t="shared" si="132"/>
        <v/>
      </c>
      <c r="AW313" s="146" t="str">
        <f t="shared" si="133"/>
        <v/>
      </c>
      <c r="AX313" s="138" t="str">
        <f t="shared" si="134"/>
        <v/>
      </c>
      <c r="AY313" s="95"/>
      <c r="AZ313" s="96"/>
      <c r="BA313" s="96"/>
      <c r="BB313" s="96"/>
      <c r="BC313" s="96"/>
      <c r="BD313" s="97">
        <v>100.97</v>
      </c>
      <c r="BE313" s="142">
        <f t="shared" si="135"/>
        <v>8599</v>
      </c>
      <c r="BF313" s="98">
        <v>2077</v>
      </c>
      <c r="BG313" s="98">
        <v>0</v>
      </c>
      <c r="BH313" s="98">
        <v>0</v>
      </c>
      <c r="BI313" s="98">
        <v>6522</v>
      </c>
      <c r="BJ313" s="98"/>
      <c r="BK313" s="98"/>
      <c r="BL313" s="97"/>
    </row>
    <row r="314" spans="1:64" outlineLevel="5" x14ac:dyDescent="0.3">
      <c r="A314" s="152">
        <f t="shared" si="136"/>
        <v>9</v>
      </c>
      <c r="B314" s="153">
        <f t="shared" si="121"/>
        <v>45557</v>
      </c>
      <c r="C314" s="138" t="str">
        <f t="shared" si="126"/>
        <v/>
      </c>
      <c r="D314" s="186"/>
      <c r="E314" s="186"/>
      <c r="F314" s="84"/>
      <c r="G314" s="84"/>
      <c r="H314" s="84"/>
      <c r="I314" s="84"/>
      <c r="J314" s="84"/>
      <c r="K314" s="84"/>
      <c r="L314" s="140" t="str">
        <f t="shared" si="127"/>
        <v/>
      </c>
      <c r="M314" s="86"/>
      <c r="N314" s="86"/>
      <c r="O314" s="86"/>
      <c r="P314" s="86"/>
      <c r="Q314" s="86"/>
      <c r="R314" s="86"/>
      <c r="S314" s="86"/>
      <c r="T314" s="86"/>
      <c r="U314" s="142" t="str">
        <f t="shared" si="128"/>
        <v/>
      </c>
      <c r="V314" s="88"/>
      <c r="W314" s="88"/>
      <c r="X314" s="88"/>
      <c r="Y314" s="88"/>
      <c r="Z314" s="88"/>
      <c r="AA314" s="88"/>
      <c r="AB314" s="88"/>
      <c r="AC314" s="88"/>
      <c r="AD314" s="142" t="str">
        <f t="shared" si="129"/>
        <v/>
      </c>
      <c r="AE314" s="88"/>
      <c r="AF314" s="88"/>
      <c r="AG314" s="88"/>
      <c r="AH314" s="88"/>
      <c r="AI314" s="88"/>
      <c r="AJ314" s="88"/>
      <c r="AK314" s="88"/>
      <c r="AL314" s="88"/>
      <c r="AM314" s="88">
        <v>55.529411764705884</v>
      </c>
      <c r="AN314" s="88">
        <v>85</v>
      </c>
      <c r="AO314" s="89"/>
      <c r="AP314" s="90"/>
      <c r="AQ314" s="146" t="str">
        <f t="shared" si="130"/>
        <v/>
      </c>
      <c r="AR314" s="146" t="str">
        <f t="shared" si="131"/>
        <v/>
      </c>
      <c r="AS314" s="147"/>
      <c r="AT314" s="148"/>
      <c r="AU314" s="149"/>
      <c r="AV314" s="146" t="str">
        <f t="shared" si="132"/>
        <v/>
      </c>
      <c r="AW314" s="146" t="str">
        <f t="shared" si="133"/>
        <v/>
      </c>
      <c r="AX314" s="138" t="str">
        <f t="shared" si="134"/>
        <v/>
      </c>
      <c r="AY314" s="95"/>
      <c r="AZ314" s="96"/>
      <c r="BA314" s="96"/>
      <c r="BB314" s="96"/>
      <c r="BC314" s="96"/>
      <c r="BD314" s="97">
        <v>85</v>
      </c>
      <c r="BE314" s="142">
        <f t="shared" si="135"/>
        <v>8610</v>
      </c>
      <c r="BF314" s="98">
        <v>2150</v>
      </c>
      <c r="BG314" s="98">
        <v>0</v>
      </c>
      <c r="BH314" s="98">
        <v>0</v>
      </c>
      <c r="BI314" s="98">
        <v>6460</v>
      </c>
      <c r="BJ314" s="98"/>
      <c r="BK314" s="98"/>
      <c r="BL314" s="97"/>
    </row>
    <row r="315" spans="1:64" outlineLevel="5" x14ac:dyDescent="0.3">
      <c r="A315" s="152">
        <f t="shared" si="136"/>
        <v>9</v>
      </c>
      <c r="B315" s="153">
        <f t="shared" si="121"/>
        <v>45558</v>
      </c>
      <c r="C315" s="138" t="str">
        <f t="shared" si="126"/>
        <v/>
      </c>
      <c r="D315" s="186"/>
      <c r="E315" s="186"/>
      <c r="F315" s="84"/>
      <c r="G315" s="84"/>
      <c r="H315" s="84"/>
      <c r="I315" s="84"/>
      <c r="J315" s="84"/>
      <c r="K315" s="84"/>
      <c r="L315" s="140" t="str">
        <f t="shared" si="127"/>
        <v/>
      </c>
      <c r="M315" s="86"/>
      <c r="N315" s="86"/>
      <c r="O315" s="86"/>
      <c r="P315" s="86"/>
      <c r="Q315" s="86"/>
      <c r="R315" s="86"/>
      <c r="S315" s="86"/>
      <c r="T315" s="86"/>
      <c r="U315" s="142" t="str">
        <f t="shared" si="128"/>
        <v/>
      </c>
      <c r="V315" s="88"/>
      <c r="W315" s="88"/>
      <c r="X315" s="88"/>
      <c r="Y315" s="88"/>
      <c r="Z315" s="88"/>
      <c r="AA315" s="88"/>
      <c r="AB315" s="88"/>
      <c r="AC315" s="88"/>
      <c r="AD315" s="142" t="str">
        <f t="shared" si="129"/>
        <v/>
      </c>
      <c r="AE315" s="88"/>
      <c r="AF315" s="88"/>
      <c r="AG315" s="88"/>
      <c r="AH315" s="88"/>
      <c r="AI315" s="88"/>
      <c r="AJ315" s="88"/>
      <c r="AK315" s="88"/>
      <c r="AL315" s="88"/>
      <c r="AM315" s="88">
        <v>52.160459719305997</v>
      </c>
      <c r="AN315" s="88">
        <v>90.490000000000009</v>
      </c>
      <c r="AO315" s="89">
        <v>20.100000000000001</v>
      </c>
      <c r="AP315" s="90">
        <v>17.5</v>
      </c>
      <c r="AQ315" s="146">
        <f t="shared" si="130"/>
        <v>87.06467661691542</v>
      </c>
      <c r="AR315" s="146">
        <f t="shared" si="131"/>
        <v>12.93532338308458</v>
      </c>
      <c r="AS315" s="147"/>
      <c r="AT315" s="148">
        <v>13.75</v>
      </c>
      <c r="AU315" s="149">
        <v>8.1999999999999993</v>
      </c>
      <c r="AV315" s="146">
        <f t="shared" si="132"/>
        <v>59.636363636363633</v>
      </c>
      <c r="AW315" s="146">
        <f t="shared" si="133"/>
        <v>40.363636363636367</v>
      </c>
      <c r="AX315" s="138">
        <f t="shared" si="134"/>
        <v>78.048906048906048</v>
      </c>
      <c r="AY315" s="95">
        <v>79.150000000000006</v>
      </c>
      <c r="AZ315" s="96">
        <v>61.39</v>
      </c>
      <c r="BA315" s="96"/>
      <c r="BB315" s="96">
        <v>45</v>
      </c>
      <c r="BC315" s="96"/>
      <c r="BD315" s="97">
        <v>90.490000000000009</v>
      </c>
      <c r="BE315" s="142">
        <f t="shared" si="135"/>
        <v>8617</v>
      </c>
      <c r="BF315" s="98">
        <v>2235</v>
      </c>
      <c r="BG315" s="98">
        <v>0</v>
      </c>
      <c r="BH315" s="98">
        <v>0</v>
      </c>
      <c r="BI315" s="98">
        <v>6382</v>
      </c>
      <c r="BJ315" s="98"/>
      <c r="BK315" s="98"/>
      <c r="BL315" s="97"/>
    </row>
    <row r="316" spans="1:64" outlineLevel="5" x14ac:dyDescent="0.3">
      <c r="A316" s="152">
        <f t="shared" si="136"/>
        <v>9</v>
      </c>
      <c r="B316" s="153">
        <f t="shared" si="121"/>
        <v>45559</v>
      </c>
      <c r="C316" s="138" t="str">
        <f t="shared" si="126"/>
        <v/>
      </c>
      <c r="D316" s="186"/>
      <c r="E316" s="186"/>
      <c r="F316" s="84"/>
      <c r="G316" s="84"/>
      <c r="H316" s="84"/>
      <c r="I316" s="84"/>
      <c r="J316" s="84"/>
      <c r="K316" s="84"/>
      <c r="L316" s="140" t="str">
        <f t="shared" si="127"/>
        <v/>
      </c>
      <c r="M316" s="86"/>
      <c r="N316" s="86"/>
      <c r="O316" s="86"/>
      <c r="P316" s="86"/>
      <c r="Q316" s="86"/>
      <c r="R316" s="86"/>
      <c r="S316" s="86"/>
      <c r="T316" s="86"/>
      <c r="U316" s="142" t="str">
        <f t="shared" si="128"/>
        <v/>
      </c>
      <c r="V316" s="88"/>
      <c r="W316" s="88"/>
      <c r="X316" s="88"/>
      <c r="Y316" s="88"/>
      <c r="Z316" s="88"/>
      <c r="AA316" s="88"/>
      <c r="AB316" s="88"/>
      <c r="AC316" s="88"/>
      <c r="AD316" s="142" t="str">
        <f t="shared" si="129"/>
        <v/>
      </c>
      <c r="AE316" s="88"/>
      <c r="AF316" s="88"/>
      <c r="AG316" s="88"/>
      <c r="AH316" s="88"/>
      <c r="AI316" s="88"/>
      <c r="AJ316" s="88"/>
      <c r="AK316" s="88"/>
      <c r="AL316" s="88"/>
      <c r="AM316" s="88">
        <v>46.899841017488079</v>
      </c>
      <c r="AN316" s="88">
        <v>100.64</v>
      </c>
      <c r="AO316" s="89"/>
      <c r="AP316" s="90"/>
      <c r="AQ316" s="146" t="str">
        <f t="shared" si="130"/>
        <v/>
      </c>
      <c r="AR316" s="146" t="str">
        <f t="shared" si="131"/>
        <v/>
      </c>
      <c r="AS316" s="147"/>
      <c r="AT316" s="148"/>
      <c r="AU316" s="149"/>
      <c r="AV316" s="146" t="str">
        <f t="shared" si="132"/>
        <v/>
      </c>
      <c r="AW316" s="146" t="str">
        <f t="shared" si="133"/>
        <v/>
      </c>
      <c r="AX316" s="138" t="str">
        <f t="shared" si="134"/>
        <v/>
      </c>
      <c r="AY316" s="95"/>
      <c r="AZ316" s="96">
        <v>61.174999999999997</v>
      </c>
      <c r="BA316" s="96"/>
      <c r="BB316" s="96">
        <v>36</v>
      </c>
      <c r="BC316" s="96"/>
      <c r="BD316" s="97">
        <v>100.64</v>
      </c>
      <c r="BE316" s="142">
        <f t="shared" si="135"/>
        <v>7598</v>
      </c>
      <c r="BF316" s="98">
        <v>2659</v>
      </c>
      <c r="BG316" s="98">
        <v>0</v>
      </c>
      <c r="BH316" s="98">
        <v>0</v>
      </c>
      <c r="BI316" s="98">
        <v>4939</v>
      </c>
      <c r="BJ316" s="98"/>
      <c r="BK316" s="98"/>
      <c r="BL316" s="97"/>
    </row>
    <row r="317" spans="1:64" outlineLevel="5" x14ac:dyDescent="0.3">
      <c r="A317" s="152">
        <f t="shared" si="136"/>
        <v>9</v>
      </c>
      <c r="B317" s="153">
        <f t="shared" si="121"/>
        <v>45560</v>
      </c>
      <c r="C317" s="138" t="str">
        <f t="shared" si="126"/>
        <v/>
      </c>
      <c r="D317" s="186"/>
      <c r="E317" s="186"/>
      <c r="F317" s="84"/>
      <c r="G317" s="84"/>
      <c r="H317" s="84"/>
      <c r="I317" s="84"/>
      <c r="J317" s="84"/>
      <c r="K317" s="84"/>
      <c r="L317" s="140" t="str">
        <f t="shared" si="127"/>
        <v/>
      </c>
      <c r="M317" s="86"/>
      <c r="N317" s="86"/>
      <c r="O317" s="86"/>
      <c r="P317" s="86"/>
      <c r="Q317" s="86"/>
      <c r="R317" s="86"/>
      <c r="S317" s="86"/>
      <c r="T317" s="86"/>
      <c r="U317" s="142" t="str">
        <f t="shared" si="128"/>
        <v/>
      </c>
      <c r="V317" s="88"/>
      <c r="W317" s="88"/>
      <c r="X317" s="88"/>
      <c r="Y317" s="88"/>
      <c r="Z317" s="88"/>
      <c r="AA317" s="88"/>
      <c r="AB317" s="88"/>
      <c r="AC317" s="88"/>
      <c r="AD317" s="142" t="str">
        <f t="shared" si="129"/>
        <v/>
      </c>
      <c r="AE317" s="88"/>
      <c r="AF317" s="88"/>
      <c r="AG317" s="88"/>
      <c r="AH317" s="88"/>
      <c r="AI317" s="88"/>
      <c r="AJ317" s="88"/>
      <c r="AK317" s="88"/>
      <c r="AL317" s="88"/>
      <c r="AM317" s="88">
        <v>35.121660837859963</v>
      </c>
      <c r="AN317" s="88">
        <v>134.38999999999999</v>
      </c>
      <c r="AO317" s="89"/>
      <c r="AP317" s="90"/>
      <c r="AQ317" s="146" t="str">
        <f t="shared" si="130"/>
        <v/>
      </c>
      <c r="AR317" s="146" t="str">
        <f t="shared" si="131"/>
        <v/>
      </c>
      <c r="AS317" s="147"/>
      <c r="AT317" s="148"/>
      <c r="AU317" s="149"/>
      <c r="AV317" s="146" t="str">
        <f t="shared" si="132"/>
        <v/>
      </c>
      <c r="AW317" s="146" t="str">
        <f t="shared" si="133"/>
        <v/>
      </c>
      <c r="AX317" s="138" t="str">
        <f t="shared" si="134"/>
        <v/>
      </c>
      <c r="AY317" s="95"/>
      <c r="AZ317" s="96">
        <v>59.58</v>
      </c>
      <c r="BA317" s="96"/>
      <c r="BB317" s="96">
        <v>27.5</v>
      </c>
      <c r="BC317" s="96"/>
      <c r="BD317" s="97">
        <v>134.38999999999999</v>
      </c>
      <c r="BE317" s="142">
        <f t="shared" si="135"/>
        <v>9018</v>
      </c>
      <c r="BF317" s="98">
        <v>2490</v>
      </c>
      <c r="BG317" s="98">
        <v>0</v>
      </c>
      <c r="BH317" s="98">
        <v>0</v>
      </c>
      <c r="BI317" s="98">
        <v>6528</v>
      </c>
      <c r="BJ317" s="98"/>
      <c r="BK317" s="98"/>
      <c r="BL317" s="97"/>
    </row>
    <row r="318" spans="1:64" outlineLevel="5" x14ac:dyDescent="0.3">
      <c r="A318" s="152">
        <f t="shared" si="136"/>
        <v>9</v>
      </c>
      <c r="B318" s="153">
        <f t="shared" si="121"/>
        <v>45561</v>
      </c>
      <c r="C318" s="138" t="str">
        <f t="shared" si="126"/>
        <v/>
      </c>
      <c r="D318" s="186"/>
      <c r="E318" s="186"/>
      <c r="F318" s="84"/>
      <c r="G318" s="84"/>
      <c r="H318" s="84"/>
      <c r="I318" s="84"/>
      <c r="J318" s="84"/>
      <c r="K318" s="84"/>
      <c r="L318" s="140" t="str">
        <f t="shared" si="127"/>
        <v/>
      </c>
      <c r="M318" s="86"/>
      <c r="N318" s="86"/>
      <c r="O318" s="86"/>
      <c r="P318" s="86"/>
      <c r="Q318" s="86"/>
      <c r="R318" s="86"/>
      <c r="S318" s="86"/>
      <c r="T318" s="86"/>
      <c r="U318" s="142" t="str">
        <f t="shared" si="128"/>
        <v/>
      </c>
      <c r="V318" s="88"/>
      <c r="W318" s="88"/>
      <c r="X318" s="88"/>
      <c r="Y318" s="88"/>
      <c r="Z318" s="88"/>
      <c r="AA318" s="88"/>
      <c r="AB318" s="88"/>
      <c r="AC318" s="88"/>
      <c r="AD318" s="142" t="str">
        <f t="shared" si="129"/>
        <v/>
      </c>
      <c r="AE318" s="88"/>
      <c r="AF318" s="88"/>
      <c r="AG318" s="88"/>
      <c r="AH318" s="88"/>
      <c r="AI318" s="88"/>
      <c r="AJ318" s="88"/>
      <c r="AK318" s="88"/>
      <c r="AL318" s="88"/>
      <c r="AM318" s="88">
        <v>34.324776379899646</v>
      </c>
      <c r="AN318" s="88">
        <v>137.51</v>
      </c>
      <c r="AO318" s="89"/>
      <c r="AP318" s="90"/>
      <c r="AQ318" s="146" t="str">
        <f t="shared" si="130"/>
        <v/>
      </c>
      <c r="AR318" s="146" t="str">
        <f t="shared" si="131"/>
        <v/>
      </c>
      <c r="AS318" s="147"/>
      <c r="AT318" s="148"/>
      <c r="AU318" s="149"/>
      <c r="AV318" s="146" t="str">
        <f t="shared" si="132"/>
        <v/>
      </c>
      <c r="AW318" s="146" t="str">
        <f t="shared" si="133"/>
        <v/>
      </c>
      <c r="AX318" s="138" t="str">
        <f t="shared" si="134"/>
        <v/>
      </c>
      <c r="AY318" s="95"/>
      <c r="AZ318" s="96">
        <v>61.694999999999993</v>
      </c>
      <c r="BA318" s="96"/>
      <c r="BB318" s="96">
        <v>33.5</v>
      </c>
      <c r="BC318" s="96"/>
      <c r="BD318" s="97">
        <v>137.51</v>
      </c>
      <c r="BE318" s="142">
        <f t="shared" si="135"/>
        <v>8197</v>
      </c>
      <c r="BF318" s="98">
        <v>1683</v>
      </c>
      <c r="BG318" s="98">
        <v>0</v>
      </c>
      <c r="BH318" s="98">
        <v>0</v>
      </c>
      <c r="BI318" s="98">
        <v>6514</v>
      </c>
      <c r="BJ318" s="98"/>
      <c r="BK318" s="98"/>
      <c r="BL318" s="97"/>
    </row>
    <row r="319" spans="1:64" outlineLevel="5" x14ac:dyDescent="0.3">
      <c r="A319" s="152">
        <f t="shared" si="136"/>
        <v>9</v>
      </c>
      <c r="B319" s="153">
        <f t="shared" si="121"/>
        <v>45562</v>
      </c>
      <c r="C319" s="138" t="str">
        <f t="shared" si="126"/>
        <v/>
      </c>
      <c r="D319" s="186"/>
      <c r="E319" s="186"/>
      <c r="F319" s="84"/>
      <c r="G319" s="84"/>
      <c r="H319" s="84"/>
      <c r="I319" s="84"/>
      <c r="J319" s="84"/>
      <c r="K319" s="84"/>
      <c r="L319" s="140" t="str">
        <f t="shared" si="127"/>
        <v/>
      </c>
      <c r="M319" s="86"/>
      <c r="N319" s="86"/>
      <c r="O319" s="86"/>
      <c r="P319" s="86"/>
      <c r="Q319" s="86"/>
      <c r="R319" s="86"/>
      <c r="S319" s="86"/>
      <c r="T319" s="86"/>
      <c r="U319" s="142" t="str">
        <f t="shared" si="128"/>
        <v/>
      </c>
      <c r="V319" s="88"/>
      <c r="W319" s="88"/>
      <c r="X319" s="88"/>
      <c r="Y319" s="88"/>
      <c r="Z319" s="88"/>
      <c r="AA319" s="88"/>
      <c r="AB319" s="88"/>
      <c r="AC319" s="88"/>
      <c r="AD319" s="142" t="str">
        <f t="shared" si="129"/>
        <v/>
      </c>
      <c r="AE319" s="88"/>
      <c r="AF319" s="88"/>
      <c r="AG319" s="88"/>
      <c r="AH319" s="88"/>
      <c r="AI319" s="88"/>
      <c r="AJ319" s="88"/>
      <c r="AK319" s="88"/>
      <c r="AL319" s="88"/>
      <c r="AM319" s="88">
        <v>35.507409914992849</v>
      </c>
      <c r="AN319" s="88">
        <v>132.93</v>
      </c>
      <c r="AO319" s="89"/>
      <c r="AP319" s="90"/>
      <c r="AQ319" s="146" t="str">
        <f t="shared" si="130"/>
        <v/>
      </c>
      <c r="AR319" s="146" t="str">
        <f t="shared" si="131"/>
        <v/>
      </c>
      <c r="AS319" s="147"/>
      <c r="AT319" s="148"/>
      <c r="AU319" s="149"/>
      <c r="AV319" s="146" t="str">
        <f t="shared" si="132"/>
        <v/>
      </c>
      <c r="AW319" s="146" t="str">
        <f t="shared" si="133"/>
        <v/>
      </c>
      <c r="AX319" s="138" t="str">
        <f t="shared" si="134"/>
        <v/>
      </c>
      <c r="AY319" s="95"/>
      <c r="AZ319" s="96">
        <v>61.400000000000006</v>
      </c>
      <c r="BA319" s="96"/>
      <c r="BB319" s="96">
        <v>15</v>
      </c>
      <c r="BC319" s="96"/>
      <c r="BD319" s="97">
        <v>132.93</v>
      </c>
      <c r="BE319" s="142">
        <f t="shared" si="135"/>
        <v>8742</v>
      </c>
      <c r="BF319" s="98">
        <v>2279</v>
      </c>
      <c r="BG319" s="98">
        <v>0</v>
      </c>
      <c r="BH319" s="98">
        <v>0</v>
      </c>
      <c r="BI319" s="98">
        <v>6463</v>
      </c>
      <c r="BJ319" s="98"/>
      <c r="BK319" s="98"/>
      <c r="BL319" s="97"/>
    </row>
    <row r="320" spans="1:64" outlineLevel="5" x14ac:dyDescent="0.3">
      <c r="A320" s="152">
        <f t="shared" si="136"/>
        <v>9</v>
      </c>
      <c r="B320" s="153">
        <f t="shared" si="121"/>
        <v>45563</v>
      </c>
      <c r="C320" s="138" t="str">
        <f t="shared" si="126"/>
        <v/>
      </c>
      <c r="D320" s="186"/>
      <c r="E320" s="186"/>
      <c r="F320" s="84"/>
      <c r="G320" s="84"/>
      <c r="H320" s="84"/>
      <c r="I320" s="84"/>
      <c r="J320" s="84"/>
      <c r="K320" s="84"/>
      <c r="L320" s="140" t="str">
        <f t="shared" si="127"/>
        <v/>
      </c>
      <c r="M320" s="86"/>
      <c r="N320" s="86"/>
      <c r="O320" s="86"/>
      <c r="P320" s="86"/>
      <c r="Q320" s="86"/>
      <c r="R320" s="86"/>
      <c r="S320" s="86"/>
      <c r="T320" s="86"/>
      <c r="U320" s="142" t="str">
        <f t="shared" si="128"/>
        <v/>
      </c>
      <c r="V320" s="88"/>
      <c r="W320" s="88"/>
      <c r="X320" s="88"/>
      <c r="Y320" s="88"/>
      <c r="Z320" s="88"/>
      <c r="AA320" s="88"/>
      <c r="AB320" s="88"/>
      <c r="AC320" s="88"/>
      <c r="AD320" s="142" t="str">
        <f t="shared" si="129"/>
        <v/>
      </c>
      <c r="AE320" s="88"/>
      <c r="AF320" s="88"/>
      <c r="AG320" s="88"/>
      <c r="AH320" s="88"/>
      <c r="AI320" s="88"/>
      <c r="AJ320" s="88"/>
      <c r="AK320" s="88"/>
      <c r="AL320" s="88"/>
      <c r="AM320" s="88">
        <v>48.301268931641424</v>
      </c>
      <c r="AN320" s="88">
        <v>97.72</v>
      </c>
      <c r="AO320" s="89"/>
      <c r="AP320" s="90"/>
      <c r="AQ320" s="146" t="str">
        <f t="shared" si="130"/>
        <v/>
      </c>
      <c r="AR320" s="146" t="str">
        <f t="shared" si="131"/>
        <v/>
      </c>
      <c r="AS320" s="147"/>
      <c r="AT320" s="148"/>
      <c r="AU320" s="149"/>
      <c r="AV320" s="146" t="str">
        <f t="shared" si="132"/>
        <v/>
      </c>
      <c r="AW320" s="146" t="str">
        <f t="shared" si="133"/>
        <v/>
      </c>
      <c r="AX320" s="138" t="str">
        <f t="shared" si="134"/>
        <v/>
      </c>
      <c r="AY320" s="95"/>
      <c r="AZ320" s="96"/>
      <c r="BA320" s="96"/>
      <c r="BB320" s="96"/>
      <c r="BC320" s="96"/>
      <c r="BD320" s="97">
        <v>97.72</v>
      </c>
      <c r="BE320" s="142">
        <f t="shared" si="135"/>
        <v>8665</v>
      </c>
      <c r="BF320" s="98">
        <v>2207</v>
      </c>
      <c r="BG320" s="98">
        <v>0</v>
      </c>
      <c r="BH320" s="98">
        <v>0</v>
      </c>
      <c r="BI320" s="98">
        <v>6458</v>
      </c>
      <c r="BJ320" s="98"/>
      <c r="BK320" s="98"/>
      <c r="BL320" s="97"/>
    </row>
    <row r="321" spans="1:64" outlineLevel="5" x14ac:dyDescent="0.3">
      <c r="A321" s="152">
        <f t="shared" si="136"/>
        <v>9</v>
      </c>
      <c r="B321" s="153">
        <f t="shared" si="121"/>
        <v>45564</v>
      </c>
      <c r="C321" s="138" t="str">
        <f t="shared" si="126"/>
        <v/>
      </c>
      <c r="D321" s="186"/>
      <c r="E321" s="186"/>
      <c r="F321" s="84"/>
      <c r="G321" s="84"/>
      <c r="H321" s="84"/>
      <c r="I321" s="84"/>
      <c r="J321" s="84"/>
      <c r="K321" s="84"/>
      <c r="L321" s="140" t="str">
        <f t="shared" si="127"/>
        <v/>
      </c>
      <c r="M321" s="86"/>
      <c r="N321" s="86"/>
      <c r="O321" s="86"/>
      <c r="P321" s="86"/>
      <c r="Q321" s="86"/>
      <c r="R321" s="86"/>
      <c r="S321" s="86"/>
      <c r="T321" s="86"/>
      <c r="U321" s="142" t="str">
        <f t="shared" si="128"/>
        <v/>
      </c>
      <c r="V321" s="88"/>
      <c r="W321" s="88"/>
      <c r="X321" s="88"/>
      <c r="Y321" s="88"/>
      <c r="Z321" s="88"/>
      <c r="AA321" s="88"/>
      <c r="AB321" s="88"/>
      <c r="AC321" s="88"/>
      <c r="AD321" s="142" t="str">
        <f t="shared" si="129"/>
        <v/>
      </c>
      <c r="AE321" s="88"/>
      <c r="AF321" s="88"/>
      <c r="AG321" s="88"/>
      <c r="AH321" s="88"/>
      <c r="AI321" s="88"/>
      <c r="AJ321" s="88"/>
      <c r="AK321" s="88"/>
      <c r="AL321" s="88"/>
      <c r="AM321" s="88">
        <v>44.952380952380949</v>
      </c>
      <c r="AN321" s="88">
        <v>105</v>
      </c>
      <c r="AO321" s="89"/>
      <c r="AP321" s="90"/>
      <c r="AQ321" s="146" t="str">
        <f t="shared" si="130"/>
        <v/>
      </c>
      <c r="AR321" s="146" t="str">
        <f t="shared" si="131"/>
        <v/>
      </c>
      <c r="AS321" s="147"/>
      <c r="AT321" s="148"/>
      <c r="AU321" s="149"/>
      <c r="AV321" s="146" t="str">
        <f t="shared" si="132"/>
        <v/>
      </c>
      <c r="AW321" s="146" t="str">
        <f t="shared" si="133"/>
        <v/>
      </c>
      <c r="AX321" s="138" t="str">
        <f t="shared" si="134"/>
        <v/>
      </c>
      <c r="AY321" s="95"/>
      <c r="AZ321" s="96"/>
      <c r="BA321" s="96"/>
      <c r="BB321" s="96"/>
      <c r="BC321" s="96"/>
      <c r="BD321" s="97">
        <v>105</v>
      </c>
      <c r="BE321" s="142">
        <f t="shared" si="135"/>
        <v>8593</v>
      </c>
      <c r="BF321" s="98">
        <v>2215</v>
      </c>
      <c r="BG321" s="98">
        <v>0</v>
      </c>
      <c r="BH321" s="98">
        <v>0</v>
      </c>
      <c r="BI321" s="98">
        <v>6378</v>
      </c>
      <c r="BJ321" s="98"/>
      <c r="BK321" s="98"/>
      <c r="BL321" s="97"/>
    </row>
    <row r="322" spans="1:64" ht="17.25" outlineLevel="5" thickBot="1" x14ac:dyDescent="0.35">
      <c r="A322" s="154">
        <f t="shared" si="136"/>
        <v>9</v>
      </c>
      <c r="B322" s="155">
        <f t="shared" si="121"/>
        <v>45565</v>
      </c>
      <c r="C322" s="138" t="str">
        <f t="shared" si="126"/>
        <v/>
      </c>
      <c r="D322" s="186"/>
      <c r="E322" s="186"/>
      <c r="F322" s="84"/>
      <c r="G322" s="84"/>
      <c r="H322" s="84"/>
      <c r="I322" s="84"/>
      <c r="J322" s="84"/>
      <c r="K322" s="84"/>
      <c r="L322" s="140" t="str">
        <f t="shared" si="127"/>
        <v/>
      </c>
      <c r="M322" s="86"/>
      <c r="N322" s="86"/>
      <c r="O322" s="86"/>
      <c r="P322" s="86"/>
      <c r="Q322" s="86"/>
      <c r="R322" s="86"/>
      <c r="S322" s="86"/>
      <c r="T322" s="86"/>
      <c r="U322" s="142" t="str">
        <f t="shared" si="128"/>
        <v/>
      </c>
      <c r="V322" s="88"/>
      <c r="W322" s="88"/>
      <c r="X322" s="88"/>
      <c r="Y322" s="88"/>
      <c r="Z322" s="88"/>
      <c r="AA322" s="88"/>
      <c r="AB322" s="88"/>
      <c r="AC322" s="88"/>
      <c r="AD322" s="142" t="str">
        <f t="shared" si="129"/>
        <v/>
      </c>
      <c r="AE322" s="88"/>
      <c r="AF322" s="88"/>
      <c r="AG322" s="88"/>
      <c r="AH322" s="88"/>
      <c r="AI322" s="88"/>
      <c r="AJ322" s="88"/>
      <c r="AK322" s="88"/>
      <c r="AL322" s="88"/>
      <c r="AM322" s="158">
        <v>60.738643675202674</v>
      </c>
      <c r="AN322" s="88">
        <v>77.710000000000008</v>
      </c>
      <c r="AO322" s="89"/>
      <c r="AP322" s="90"/>
      <c r="AQ322" s="146" t="str">
        <f t="shared" si="130"/>
        <v/>
      </c>
      <c r="AR322" s="146" t="str">
        <f t="shared" si="131"/>
        <v/>
      </c>
      <c r="AS322" s="147"/>
      <c r="AT322" s="148"/>
      <c r="AU322" s="149"/>
      <c r="AV322" s="146" t="str">
        <f t="shared" si="132"/>
        <v/>
      </c>
      <c r="AW322" s="146" t="str">
        <f t="shared" si="133"/>
        <v/>
      </c>
      <c r="AX322" s="138" t="str">
        <f t="shared" si="134"/>
        <v/>
      </c>
      <c r="AY322" s="95">
        <v>76.650000000000006</v>
      </c>
      <c r="AZ322" s="96">
        <v>61.099999999999994</v>
      </c>
      <c r="BA322" s="96"/>
      <c r="BB322" s="96">
        <v>40</v>
      </c>
      <c r="BC322" s="96"/>
      <c r="BD322" s="97">
        <v>77.710000000000008</v>
      </c>
      <c r="BE322" s="142">
        <f t="shared" si="135"/>
        <v>8605</v>
      </c>
      <c r="BF322" s="98">
        <v>2205</v>
      </c>
      <c r="BG322" s="98">
        <v>0</v>
      </c>
      <c r="BH322" s="98">
        <v>0</v>
      </c>
      <c r="BI322" s="98">
        <v>6400</v>
      </c>
      <c r="BJ322" s="98"/>
      <c r="BK322" s="98"/>
      <c r="BL322" s="97"/>
    </row>
    <row r="323" spans="1:64" outlineLevel="4" x14ac:dyDescent="0.3">
      <c r="A323" s="63" t="s">
        <v>89</v>
      </c>
      <c r="B323" s="64"/>
      <c r="C323" s="65">
        <f t="shared" ref="C323:BL323" si="137">SUBTOTAL(4,C293:C322)</f>
        <v>38</v>
      </c>
      <c r="D323" s="66">
        <f t="shared" si="137"/>
        <v>37.9</v>
      </c>
      <c r="E323" s="66">
        <f t="shared" si="137"/>
        <v>38.1</v>
      </c>
      <c r="F323" s="66">
        <f t="shared" si="137"/>
        <v>0</v>
      </c>
      <c r="G323" s="66">
        <f t="shared" si="137"/>
        <v>0</v>
      </c>
      <c r="H323" s="66">
        <f t="shared" si="137"/>
        <v>0</v>
      </c>
      <c r="I323" s="66">
        <f t="shared" si="137"/>
        <v>0</v>
      </c>
      <c r="J323" s="66">
        <f t="shared" si="137"/>
        <v>0</v>
      </c>
      <c r="K323" s="66">
        <f t="shared" si="137"/>
        <v>0</v>
      </c>
      <c r="L323" s="67">
        <f t="shared" si="137"/>
        <v>0</v>
      </c>
      <c r="M323" s="68">
        <f t="shared" si="137"/>
        <v>0</v>
      </c>
      <c r="N323" s="68">
        <f t="shared" si="137"/>
        <v>0</v>
      </c>
      <c r="O323" s="68">
        <f t="shared" si="137"/>
        <v>0</v>
      </c>
      <c r="P323" s="68">
        <f t="shared" si="137"/>
        <v>0</v>
      </c>
      <c r="Q323" s="68">
        <f t="shared" si="137"/>
        <v>0</v>
      </c>
      <c r="R323" s="68">
        <f t="shared" si="137"/>
        <v>0</v>
      </c>
      <c r="S323" s="68">
        <f t="shared" si="137"/>
        <v>0</v>
      </c>
      <c r="T323" s="68">
        <f t="shared" si="137"/>
        <v>0</v>
      </c>
      <c r="U323" s="69">
        <f t="shared" si="137"/>
        <v>0</v>
      </c>
      <c r="V323" s="70">
        <f t="shared" si="137"/>
        <v>0</v>
      </c>
      <c r="W323" s="70">
        <f t="shared" si="137"/>
        <v>0</v>
      </c>
      <c r="X323" s="70">
        <f t="shared" si="137"/>
        <v>0</v>
      </c>
      <c r="Y323" s="70">
        <f t="shared" si="137"/>
        <v>0</v>
      </c>
      <c r="Z323" s="70">
        <f t="shared" si="137"/>
        <v>0</v>
      </c>
      <c r="AA323" s="70">
        <f t="shared" si="137"/>
        <v>0</v>
      </c>
      <c r="AB323" s="70">
        <f t="shared" si="137"/>
        <v>0</v>
      </c>
      <c r="AC323" s="70">
        <f t="shared" si="137"/>
        <v>0</v>
      </c>
      <c r="AD323" s="69">
        <f t="shared" si="137"/>
        <v>0</v>
      </c>
      <c r="AE323" s="70">
        <f t="shared" si="137"/>
        <v>0</v>
      </c>
      <c r="AF323" s="70">
        <f t="shared" si="137"/>
        <v>0</v>
      </c>
      <c r="AG323" s="70">
        <f t="shared" si="137"/>
        <v>0</v>
      </c>
      <c r="AH323" s="70">
        <f t="shared" si="137"/>
        <v>0</v>
      </c>
      <c r="AI323" s="70">
        <f t="shared" si="137"/>
        <v>0</v>
      </c>
      <c r="AJ323" s="70">
        <f t="shared" si="137"/>
        <v>0</v>
      </c>
      <c r="AK323" s="70">
        <f t="shared" si="137"/>
        <v>0</v>
      </c>
      <c r="AL323" s="70">
        <f t="shared" si="137"/>
        <v>0</v>
      </c>
      <c r="AM323" s="70">
        <f>SUBTOTAL(4,AM293:AM322)</f>
        <v>60.738643675202674</v>
      </c>
      <c r="AN323" s="70">
        <f t="shared" ref="AN323:AW323" si="138">SUBTOTAL(4,AN293:AN322)</f>
        <v>137.51</v>
      </c>
      <c r="AO323" s="71">
        <f t="shared" si="138"/>
        <v>20.100000000000001</v>
      </c>
      <c r="AP323" s="72">
        <f t="shared" si="138"/>
        <v>17.5</v>
      </c>
      <c r="AQ323" s="73">
        <f t="shared" si="138"/>
        <v>89.189189189189193</v>
      </c>
      <c r="AR323" s="73">
        <f t="shared" si="138"/>
        <v>12.93532338308458</v>
      </c>
      <c r="AS323" s="74">
        <f t="shared" si="138"/>
        <v>0</v>
      </c>
      <c r="AT323" s="75">
        <f t="shared" si="138"/>
        <v>14.85</v>
      </c>
      <c r="AU323" s="76">
        <f t="shared" si="138"/>
        <v>8.1999999999999993</v>
      </c>
      <c r="AV323" s="73">
        <f t="shared" si="138"/>
        <v>59.636363636363633</v>
      </c>
      <c r="AW323" s="73">
        <f t="shared" si="138"/>
        <v>45.117845117845114</v>
      </c>
      <c r="AX323" s="65">
        <f t="shared" si="137"/>
        <v>85.255540479421072</v>
      </c>
      <c r="AY323" s="77">
        <f t="shared" si="137"/>
        <v>79.150000000000006</v>
      </c>
      <c r="AZ323" s="78">
        <f t="shared" si="137"/>
        <v>61.694999999999993</v>
      </c>
      <c r="BA323" s="78">
        <f t="shared" si="137"/>
        <v>0</v>
      </c>
      <c r="BB323" s="78">
        <f t="shared" si="137"/>
        <v>68.5</v>
      </c>
      <c r="BC323" s="78">
        <f t="shared" si="137"/>
        <v>0</v>
      </c>
      <c r="BD323" s="79">
        <f t="shared" si="137"/>
        <v>137.51</v>
      </c>
      <c r="BE323" s="69">
        <f t="shared" si="137"/>
        <v>9437</v>
      </c>
      <c r="BF323" s="70">
        <f t="shared" si="137"/>
        <v>2659</v>
      </c>
      <c r="BG323" s="80">
        <f t="shared" si="137"/>
        <v>0</v>
      </c>
      <c r="BH323" s="80">
        <f t="shared" si="137"/>
        <v>0</v>
      </c>
      <c r="BI323" s="80">
        <f t="shared" si="137"/>
        <v>6808</v>
      </c>
      <c r="BJ323" s="80">
        <f t="shared" si="137"/>
        <v>0</v>
      </c>
      <c r="BK323" s="80">
        <f t="shared" si="137"/>
        <v>0</v>
      </c>
      <c r="BL323" s="79">
        <f t="shared" si="137"/>
        <v>0</v>
      </c>
    </row>
    <row r="324" spans="1:64" outlineLevel="3" x14ac:dyDescent="0.3">
      <c r="A324" s="81" t="s">
        <v>90</v>
      </c>
      <c r="B324" s="82"/>
      <c r="C324" s="83">
        <f t="shared" ref="C324:BL324" si="139">SUBTOTAL(5,C293:C322)</f>
        <v>37</v>
      </c>
      <c r="D324" s="84">
        <f t="shared" si="139"/>
        <v>37</v>
      </c>
      <c r="E324" s="84">
        <f t="shared" si="139"/>
        <v>37</v>
      </c>
      <c r="F324" s="84">
        <f t="shared" si="139"/>
        <v>0</v>
      </c>
      <c r="G324" s="84">
        <f t="shared" si="139"/>
        <v>0</v>
      </c>
      <c r="H324" s="84">
        <f t="shared" si="139"/>
        <v>0</v>
      </c>
      <c r="I324" s="84">
        <f t="shared" si="139"/>
        <v>0</v>
      </c>
      <c r="J324" s="84">
        <f t="shared" si="139"/>
        <v>0</v>
      </c>
      <c r="K324" s="84">
        <f t="shared" si="139"/>
        <v>0</v>
      </c>
      <c r="L324" s="85">
        <f t="shared" si="139"/>
        <v>0</v>
      </c>
      <c r="M324" s="86">
        <f t="shared" si="139"/>
        <v>0</v>
      </c>
      <c r="N324" s="86">
        <f t="shared" si="139"/>
        <v>0</v>
      </c>
      <c r="O324" s="86">
        <f t="shared" si="139"/>
        <v>0</v>
      </c>
      <c r="P324" s="86">
        <f t="shared" si="139"/>
        <v>0</v>
      </c>
      <c r="Q324" s="86">
        <f t="shared" si="139"/>
        <v>0</v>
      </c>
      <c r="R324" s="86">
        <f t="shared" si="139"/>
        <v>0</v>
      </c>
      <c r="S324" s="86">
        <f t="shared" si="139"/>
        <v>0</v>
      </c>
      <c r="T324" s="86">
        <f t="shared" si="139"/>
        <v>0</v>
      </c>
      <c r="U324" s="87">
        <f t="shared" si="139"/>
        <v>0</v>
      </c>
      <c r="V324" s="88">
        <f t="shared" si="139"/>
        <v>0</v>
      </c>
      <c r="W324" s="88">
        <f t="shared" si="139"/>
        <v>0</v>
      </c>
      <c r="X324" s="88">
        <f t="shared" si="139"/>
        <v>0</v>
      </c>
      <c r="Y324" s="88">
        <f t="shared" si="139"/>
        <v>0</v>
      </c>
      <c r="Z324" s="88">
        <f t="shared" si="139"/>
        <v>0</v>
      </c>
      <c r="AA324" s="88">
        <f t="shared" si="139"/>
        <v>0</v>
      </c>
      <c r="AB324" s="88">
        <f t="shared" si="139"/>
        <v>0</v>
      </c>
      <c r="AC324" s="88">
        <f t="shared" si="139"/>
        <v>0</v>
      </c>
      <c r="AD324" s="87">
        <f t="shared" si="139"/>
        <v>0</v>
      </c>
      <c r="AE324" s="88">
        <f t="shared" si="139"/>
        <v>0</v>
      </c>
      <c r="AF324" s="88">
        <f t="shared" si="139"/>
        <v>0</v>
      </c>
      <c r="AG324" s="88">
        <f t="shared" si="139"/>
        <v>0</v>
      </c>
      <c r="AH324" s="88">
        <f t="shared" si="139"/>
        <v>0</v>
      </c>
      <c r="AI324" s="88">
        <f t="shared" si="139"/>
        <v>0</v>
      </c>
      <c r="AJ324" s="88">
        <f t="shared" si="139"/>
        <v>0</v>
      </c>
      <c r="AK324" s="88">
        <f t="shared" si="139"/>
        <v>0</v>
      </c>
      <c r="AL324" s="88">
        <f t="shared" si="139"/>
        <v>0</v>
      </c>
      <c r="AM324" s="88">
        <f>SUBTOTAL(5,AM293:AM322)</f>
        <v>34.324776379899646</v>
      </c>
      <c r="AN324" s="88">
        <f t="shared" ref="AN324:AW324" si="140">SUBTOTAL(5,AN293:AN322)</f>
        <v>77.710000000000008</v>
      </c>
      <c r="AO324" s="89">
        <f t="shared" si="140"/>
        <v>18.5</v>
      </c>
      <c r="AP324" s="90">
        <f t="shared" si="140"/>
        <v>16.5</v>
      </c>
      <c r="AQ324" s="91">
        <f t="shared" si="140"/>
        <v>87.06467661691542</v>
      </c>
      <c r="AR324" s="91">
        <f t="shared" si="140"/>
        <v>10.810810810810807</v>
      </c>
      <c r="AS324" s="92">
        <f t="shared" si="140"/>
        <v>0</v>
      </c>
      <c r="AT324" s="93">
        <f t="shared" si="140"/>
        <v>13.45</v>
      </c>
      <c r="AU324" s="94">
        <f t="shared" si="140"/>
        <v>7.8</v>
      </c>
      <c r="AV324" s="91">
        <f t="shared" si="140"/>
        <v>54.882154882154886</v>
      </c>
      <c r="AW324" s="91">
        <f t="shared" si="140"/>
        <v>40.363636363636367</v>
      </c>
      <c r="AX324" s="83">
        <f t="shared" si="139"/>
        <v>78.048906048906048</v>
      </c>
      <c r="AY324" s="95">
        <f t="shared" si="139"/>
        <v>76.599999999999994</v>
      </c>
      <c r="AZ324" s="96">
        <f t="shared" si="139"/>
        <v>58.614999999999995</v>
      </c>
      <c r="BA324" s="96">
        <f t="shared" si="139"/>
        <v>0</v>
      </c>
      <c r="BB324" s="96">
        <f t="shared" si="139"/>
        <v>15</v>
      </c>
      <c r="BC324" s="96">
        <f t="shared" si="139"/>
        <v>0</v>
      </c>
      <c r="BD324" s="97">
        <f t="shared" si="139"/>
        <v>77.710000000000008</v>
      </c>
      <c r="BE324" s="87">
        <f t="shared" si="139"/>
        <v>2051</v>
      </c>
      <c r="BF324" s="88">
        <f t="shared" si="139"/>
        <v>1443</v>
      </c>
      <c r="BG324" s="98">
        <f t="shared" si="139"/>
        <v>0</v>
      </c>
      <c r="BH324" s="98">
        <f t="shared" si="139"/>
        <v>0</v>
      </c>
      <c r="BI324" s="98">
        <f t="shared" si="139"/>
        <v>2</v>
      </c>
      <c r="BJ324" s="98">
        <f t="shared" si="139"/>
        <v>0</v>
      </c>
      <c r="BK324" s="98">
        <f t="shared" si="139"/>
        <v>0</v>
      </c>
      <c r="BL324" s="97">
        <f t="shared" si="139"/>
        <v>0</v>
      </c>
    </row>
    <row r="325" spans="1:64" outlineLevel="2" x14ac:dyDescent="0.3">
      <c r="A325" s="81" t="s">
        <v>91</v>
      </c>
      <c r="B325" s="82"/>
      <c r="C325" s="83">
        <f t="shared" ref="C325:BL325" si="141">IFERROR(SUBTOTAL(1,C293:C322),"")</f>
        <v>37.6</v>
      </c>
      <c r="D325" s="84">
        <f t="shared" si="141"/>
        <v>37.533333333333331</v>
      </c>
      <c r="E325" s="84">
        <f t="shared" si="141"/>
        <v>37.633333333333333</v>
      </c>
      <c r="F325" s="84" t="str">
        <f t="shared" si="141"/>
        <v/>
      </c>
      <c r="G325" s="84" t="str">
        <f t="shared" si="141"/>
        <v/>
      </c>
      <c r="H325" s="84" t="str">
        <f t="shared" si="141"/>
        <v/>
      </c>
      <c r="I325" s="84" t="str">
        <f t="shared" si="141"/>
        <v/>
      </c>
      <c r="J325" s="84" t="str">
        <f t="shared" si="141"/>
        <v/>
      </c>
      <c r="K325" s="84" t="str">
        <f t="shared" si="141"/>
        <v/>
      </c>
      <c r="L325" s="85" t="str">
        <f t="shared" si="141"/>
        <v/>
      </c>
      <c r="M325" s="86" t="str">
        <f t="shared" si="141"/>
        <v/>
      </c>
      <c r="N325" s="86" t="str">
        <f t="shared" si="141"/>
        <v/>
      </c>
      <c r="O325" s="86" t="str">
        <f t="shared" si="141"/>
        <v/>
      </c>
      <c r="P325" s="86" t="str">
        <f t="shared" si="141"/>
        <v/>
      </c>
      <c r="Q325" s="86" t="str">
        <f t="shared" si="141"/>
        <v/>
      </c>
      <c r="R325" s="86" t="str">
        <f t="shared" si="141"/>
        <v/>
      </c>
      <c r="S325" s="86" t="str">
        <f t="shared" si="141"/>
        <v/>
      </c>
      <c r="T325" s="86" t="str">
        <f t="shared" si="141"/>
        <v/>
      </c>
      <c r="U325" s="87" t="str">
        <f t="shared" si="141"/>
        <v/>
      </c>
      <c r="V325" s="88" t="str">
        <f t="shared" si="141"/>
        <v/>
      </c>
      <c r="W325" s="88" t="str">
        <f t="shared" si="141"/>
        <v/>
      </c>
      <c r="X325" s="88" t="str">
        <f t="shared" si="141"/>
        <v/>
      </c>
      <c r="Y325" s="88" t="str">
        <f t="shared" si="141"/>
        <v/>
      </c>
      <c r="Z325" s="88" t="str">
        <f t="shared" si="141"/>
        <v/>
      </c>
      <c r="AA325" s="88" t="str">
        <f t="shared" si="141"/>
        <v/>
      </c>
      <c r="AB325" s="88" t="str">
        <f t="shared" si="141"/>
        <v/>
      </c>
      <c r="AC325" s="88" t="str">
        <f t="shared" si="141"/>
        <v/>
      </c>
      <c r="AD325" s="87" t="str">
        <f t="shared" si="141"/>
        <v/>
      </c>
      <c r="AE325" s="88" t="str">
        <f t="shared" si="141"/>
        <v/>
      </c>
      <c r="AF325" s="88" t="str">
        <f t="shared" si="141"/>
        <v/>
      </c>
      <c r="AG325" s="88" t="str">
        <f t="shared" si="141"/>
        <v/>
      </c>
      <c r="AH325" s="88" t="str">
        <f t="shared" si="141"/>
        <v/>
      </c>
      <c r="AI325" s="88" t="str">
        <f t="shared" si="141"/>
        <v/>
      </c>
      <c r="AJ325" s="88" t="str">
        <f t="shared" si="141"/>
        <v/>
      </c>
      <c r="AK325" s="88" t="str">
        <f t="shared" si="141"/>
        <v/>
      </c>
      <c r="AL325" s="88" t="str">
        <f t="shared" si="141"/>
        <v/>
      </c>
      <c r="AM325" s="88">
        <f>IFERROR(SUBTOTAL(1,AM293:AM322),"")</f>
        <v>44.280898548139845</v>
      </c>
      <c r="AN325" s="88">
        <f t="shared" si="141"/>
        <v>108.50033333333332</v>
      </c>
      <c r="AO325" s="89">
        <f t="shared" si="141"/>
        <v>19.100000000000001</v>
      </c>
      <c r="AP325" s="90">
        <f t="shared" si="141"/>
        <v>16.866666666666667</v>
      </c>
      <c r="AQ325" s="91">
        <f t="shared" si="141"/>
        <v>88.341306427346808</v>
      </c>
      <c r="AR325" s="91">
        <f t="shared" si="141"/>
        <v>11.658693572653183</v>
      </c>
      <c r="AS325" s="92" t="str">
        <f t="shared" si="141"/>
        <v/>
      </c>
      <c r="AT325" s="93">
        <f t="shared" si="141"/>
        <v>14.016666666666666</v>
      </c>
      <c r="AU325" s="94">
        <f t="shared" si="141"/>
        <v>8.0499999999999989</v>
      </c>
      <c r="AV325" s="91">
        <f t="shared" si="141"/>
        <v>57.503694524760199</v>
      </c>
      <c r="AW325" s="91">
        <f t="shared" si="141"/>
        <v>42.496305475239801</v>
      </c>
      <c r="AX325" s="83">
        <f t="shared" si="141"/>
        <v>81.946632689667709</v>
      </c>
      <c r="AY325" s="95">
        <f t="shared" si="141"/>
        <v>77.412499999999994</v>
      </c>
      <c r="AZ325" s="96">
        <f t="shared" si="141"/>
        <v>60.682916666666664</v>
      </c>
      <c r="BA325" s="96" t="str">
        <f t="shared" si="141"/>
        <v/>
      </c>
      <c r="BB325" s="96">
        <f t="shared" si="141"/>
        <v>38.375</v>
      </c>
      <c r="BC325" s="96" t="str">
        <f t="shared" si="141"/>
        <v/>
      </c>
      <c r="BD325" s="97">
        <f>IFERROR(SUBTOTAL(1,BD293:BD322),"")</f>
        <v>108.50033333333332</v>
      </c>
      <c r="BE325" s="87">
        <f t="shared" si="141"/>
        <v>8154.0666666666666</v>
      </c>
      <c r="BF325" s="88">
        <f t="shared" si="141"/>
        <v>2107.8000000000002</v>
      </c>
      <c r="BG325" s="98">
        <f t="shared" si="141"/>
        <v>0</v>
      </c>
      <c r="BH325" s="98">
        <f t="shared" si="141"/>
        <v>0</v>
      </c>
      <c r="BI325" s="98">
        <f t="shared" si="141"/>
        <v>6046.2666666666664</v>
      </c>
      <c r="BJ325" s="98" t="str">
        <f t="shared" si="141"/>
        <v/>
      </c>
      <c r="BK325" s="98" t="str">
        <f t="shared" si="141"/>
        <v/>
      </c>
      <c r="BL325" s="97" t="str">
        <f t="shared" si="141"/>
        <v/>
      </c>
    </row>
    <row r="326" spans="1:64" ht="17.25" outlineLevel="1" thickBot="1" x14ac:dyDescent="0.35">
      <c r="A326" s="99" t="s">
        <v>92</v>
      </c>
      <c r="B326" s="100"/>
      <c r="C326" s="101"/>
      <c r="D326" s="102"/>
      <c r="E326" s="102"/>
      <c r="F326" s="102"/>
      <c r="G326" s="102"/>
      <c r="H326" s="102"/>
      <c r="I326" s="102"/>
      <c r="J326" s="102"/>
      <c r="K326" s="102"/>
      <c r="L326" s="103"/>
      <c r="M326" s="104"/>
      <c r="N326" s="104"/>
      <c r="O326" s="104"/>
      <c r="P326" s="104"/>
      <c r="Q326" s="104"/>
      <c r="R326" s="104"/>
      <c r="S326" s="104"/>
      <c r="T326" s="104"/>
      <c r="U326" s="105"/>
      <c r="V326" s="106"/>
      <c r="W326" s="106"/>
      <c r="X326" s="106"/>
      <c r="Y326" s="106"/>
      <c r="Z326" s="106"/>
      <c r="AA326" s="106"/>
      <c r="AB326" s="106"/>
      <c r="AC326" s="106"/>
      <c r="AD326" s="105"/>
      <c r="AE326" s="106"/>
      <c r="AF326" s="106"/>
      <c r="AG326" s="106"/>
      <c r="AH326" s="106"/>
      <c r="AI326" s="106"/>
      <c r="AJ326" s="106"/>
      <c r="AK326" s="106"/>
      <c r="AL326" s="106"/>
      <c r="AM326" s="106"/>
      <c r="AN326" s="107">
        <f>SUBTOTAL(9,AN293:AN322)</f>
        <v>3255.0099999999993</v>
      </c>
      <c r="AO326" s="108"/>
      <c r="AP326" s="109"/>
      <c r="AQ326" s="110"/>
      <c r="AR326" s="110"/>
      <c r="AS326" s="111">
        <f>SUBTOTAL(9,AS293:AS322)</f>
        <v>0</v>
      </c>
      <c r="AT326" s="112"/>
      <c r="AU326" s="113"/>
      <c r="AV326" s="110"/>
      <c r="AW326" s="110"/>
      <c r="AX326" s="101"/>
      <c r="AY326" s="114"/>
      <c r="AZ326" s="115"/>
      <c r="BA326" s="115"/>
      <c r="BB326" s="115"/>
      <c r="BC326" s="115"/>
      <c r="BD326" s="116">
        <f>SUBTOTAL(9,BD293:BD322)</f>
        <v>3255.0099999999993</v>
      </c>
      <c r="BE326" s="117">
        <f t="shared" ref="BE326:BL326" si="142">SUBTOTAL(9,BE293:BE322)</f>
        <v>244622</v>
      </c>
      <c r="BF326" s="107">
        <f t="shared" si="142"/>
        <v>63234</v>
      </c>
      <c r="BG326" s="118">
        <f t="shared" si="142"/>
        <v>0</v>
      </c>
      <c r="BH326" s="118">
        <f t="shared" si="142"/>
        <v>0</v>
      </c>
      <c r="BI326" s="118">
        <f t="shared" si="142"/>
        <v>181388</v>
      </c>
      <c r="BJ326" s="118">
        <f t="shared" si="142"/>
        <v>0</v>
      </c>
      <c r="BK326" s="118">
        <f t="shared" si="142"/>
        <v>0</v>
      </c>
      <c r="BL326" s="116">
        <f t="shared" si="142"/>
        <v>0</v>
      </c>
    </row>
    <row r="327" spans="1:64" outlineLevel="5" x14ac:dyDescent="0.3">
      <c r="A327" s="136">
        <f t="shared" si="136"/>
        <v>10</v>
      </c>
      <c r="B327" s="165">
        <f>B322+1</f>
        <v>45566</v>
      </c>
      <c r="C327" s="138" t="str">
        <f t="shared" ref="C327:C357" si="143">IFERROR(ROUND(AVERAGE(D327:K327),1),"")</f>
        <v/>
      </c>
      <c r="D327" s="186"/>
      <c r="E327" s="186"/>
      <c r="F327" s="84"/>
      <c r="G327" s="84"/>
      <c r="H327" s="84"/>
      <c r="I327" s="84"/>
      <c r="J327" s="84"/>
      <c r="K327" s="84"/>
      <c r="L327" s="140" t="str">
        <f t="shared" ref="L327:L357" si="144">IFERROR(ROUND(AVERAGE(M327:T327),1),"")</f>
        <v/>
      </c>
      <c r="M327" s="86"/>
      <c r="N327" s="86"/>
      <c r="O327" s="86"/>
      <c r="P327" s="86"/>
      <c r="Q327" s="86"/>
      <c r="R327" s="86"/>
      <c r="S327" s="86"/>
      <c r="T327" s="86"/>
      <c r="U327" s="142" t="str">
        <f t="shared" ref="U327:U357" si="145">IFERROR(ROUND(AVERAGE(V327:AC327),1),"")</f>
        <v/>
      </c>
      <c r="V327" s="88"/>
      <c r="W327" s="88"/>
      <c r="X327" s="88"/>
      <c r="Y327" s="88"/>
      <c r="Z327" s="88"/>
      <c r="AA327" s="88"/>
      <c r="AB327" s="88"/>
      <c r="AC327" s="88"/>
      <c r="AD327" s="142" t="str">
        <f t="shared" ref="AD327:AD357" si="146">IFERROR(ROUND(AVERAGE(AE327:AL327),1),"")</f>
        <v/>
      </c>
      <c r="AE327" s="88"/>
      <c r="AF327" s="88"/>
      <c r="AG327" s="88"/>
      <c r="AH327" s="88"/>
      <c r="AI327" s="88"/>
      <c r="AJ327" s="88"/>
      <c r="AK327" s="88"/>
      <c r="AL327" s="88"/>
      <c r="AM327" s="88">
        <v>43.542435424354238</v>
      </c>
      <c r="AN327" s="88">
        <v>108.4</v>
      </c>
      <c r="AO327" s="89"/>
      <c r="AP327" s="90"/>
      <c r="AQ327" s="146" t="str">
        <f t="shared" ref="AQ327:AQ357" si="147">IFERROR(AP327/AO327*100,"")</f>
        <v/>
      </c>
      <c r="AR327" s="146" t="str">
        <f t="shared" ref="AR327:AR357" si="148">IFERROR(100-AQ327,"")</f>
        <v/>
      </c>
      <c r="AS327" s="147"/>
      <c r="AT327" s="148"/>
      <c r="AU327" s="149"/>
      <c r="AV327" s="146" t="str">
        <f t="shared" ref="AV327:AV357" si="149">IFERROR(AU327/AT327*100,"")</f>
        <v/>
      </c>
      <c r="AW327" s="146" t="str">
        <f t="shared" ref="AW327:AW357" si="150">IFERROR(100-AV327,"")</f>
        <v/>
      </c>
      <c r="AX327" s="138" t="str">
        <f t="shared" ref="AX327:AX357" si="151">IFERROR((1-((AV327*AR327)/(AW327*AQ327)))*100,"")</f>
        <v/>
      </c>
      <c r="AY327" s="95"/>
      <c r="AZ327" s="96"/>
      <c r="BA327" s="96"/>
      <c r="BB327" s="96"/>
      <c r="BC327" s="96"/>
      <c r="BD327" s="97">
        <v>108.4</v>
      </c>
      <c r="BE327" s="142">
        <f t="shared" ref="BE327:BE357" si="152">IF(SUM(BF327:BL327)=0,"",SUM(BF327:BL327))</f>
        <v>8515</v>
      </c>
      <c r="BF327" s="88">
        <v>2075</v>
      </c>
      <c r="BG327" s="98">
        <v>0</v>
      </c>
      <c r="BH327" s="98">
        <v>0</v>
      </c>
      <c r="BI327" s="98">
        <v>6440</v>
      </c>
      <c r="BJ327" s="98"/>
      <c r="BK327" s="98"/>
      <c r="BL327" s="97"/>
    </row>
    <row r="328" spans="1:64" outlineLevel="5" x14ac:dyDescent="0.3">
      <c r="A328" s="152">
        <f t="shared" si="136"/>
        <v>10</v>
      </c>
      <c r="B328" s="153">
        <f t="shared" si="121"/>
        <v>45567</v>
      </c>
      <c r="C328" s="138" t="str">
        <f t="shared" si="143"/>
        <v/>
      </c>
      <c r="D328" s="186"/>
      <c r="E328" s="186"/>
      <c r="F328" s="84"/>
      <c r="G328" s="84"/>
      <c r="H328" s="84"/>
      <c r="I328" s="84"/>
      <c r="J328" s="84"/>
      <c r="K328" s="84"/>
      <c r="L328" s="140" t="str">
        <f t="shared" si="144"/>
        <v/>
      </c>
      <c r="M328" s="86"/>
      <c r="N328" s="86"/>
      <c r="O328" s="86"/>
      <c r="P328" s="86"/>
      <c r="Q328" s="86"/>
      <c r="R328" s="86"/>
      <c r="S328" s="86"/>
      <c r="T328" s="86"/>
      <c r="U328" s="142" t="str">
        <f t="shared" si="145"/>
        <v/>
      </c>
      <c r="V328" s="88"/>
      <c r="W328" s="88"/>
      <c r="X328" s="88"/>
      <c r="Y328" s="88"/>
      <c r="Z328" s="88"/>
      <c r="AA328" s="88"/>
      <c r="AB328" s="88"/>
      <c r="AC328" s="88"/>
      <c r="AD328" s="142" t="str">
        <f t="shared" si="146"/>
        <v/>
      </c>
      <c r="AE328" s="88"/>
      <c r="AF328" s="88"/>
      <c r="AG328" s="88"/>
      <c r="AH328" s="88"/>
      <c r="AI328" s="88"/>
      <c r="AJ328" s="88"/>
      <c r="AK328" s="88"/>
      <c r="AL328" s="88"/>
      <c r="AM328" s="88">
        <v>47.633464527197496</v>
      </c>
      <c r="AN328" s="88">
        <v>99.09</v>
      </c>
      <c r="AO328" s="89"/>
      <c r="AP328" s="90"/>
      <c r="AQ328" s="146" t="str">
        <f t="shared" si="147"/>
        <v/>
      </c>
      <c r="AR328" s="146" t="str">
        <f t="shared" si="148"/>
        <v/>
      </c>
      <c r="AS328" s="147"/>
      <c r="AT328" s="148"/>
      <c r="AU328" s="149"/>
      <c r="AV328" s="146" t="str">
        <f t="shared" si="149"/>
        <v/>
      </c>
      <c r="AW328" s="146" t="str">
        <f t="shared" si="150"/>
        <v/>
      </c>
      <c r="AX328" s="138" t="str">
        <f t="shared" si="151"/>
        <v/>
      </c>
      <c r="AY328" s="95"/>
      <c r="AZ328" s="96"/>
      <c r="BA328" s="96"/>
      <c r="BB328" s="96"/>
      <c r="BC328" s="96"/>
      <c r="BD328" s="97">
        <v>99.09</v>
      </c>
      <c r="BE328" s="142">
        <f t="shared" si="152"/>
        <v>8808</v>
      </c>
      <c r="BF328" s="88">
        <v>2556</v>
      </c>
      <c r="BG328" s="98">
        <v>0</v>
      </c>
      <c r="BH328" s="98">
        <v>0</v>
      </c>
      <c r="BI328" s="98">
        <v>6252</v>
      </c>
      <c r="BJ328" s="98"/>
      <c r="BK328" s="98"/>
      <c r="BL328" s="97"/>
    </row>
    <row r="329" spans="1:64" outlineLevel="5" x14ac:dyDescent="0.3">
      <c r="A329" s="152">
        <f t="shared" si="136"/>
        <v>10</v>
      </c>
      <c r="B329" s="153">
        <f t="shared" si="121"/>
        <v>45568</v>
      </c>
      <c r="C329" s="138" t="str">
        <f t="shared" si="143"/>
        <v/>
      </c>
      <c r="D329" s="186"/>
      <c r="E329" s="186"/>
      <c r="F329" s="84"/>
      <c r="G329" s="84"/>
      <c r="H329" s="84"/>
      <c r="I329" s="84"/>
      <c r="J329" s="84"/>
      <c r="K329" s="84"/>
      <c r="L329" s="140" t="str">
        <f t="shared" si="144"/>
        <v/>
      </c>
      <c r="M329" s="86"/>
      <c r="N329" s="86"/>
      <c r="O329" s="86"/>
      <c r="P329" s="86"/>
      <c r="Q329" s="86"/>
      <c r="R329" s="86"/>
      <c r="S329" s="86"/>
      <c r="T329" s="86"/>
      <c r="U329" s="142" t="str">
        <f t="shared" si="145"/>
        <v/>
      </c>
      <c r="V329" s="88"/>
      <c r="W329" s="88"/>
      <c r="X329" s="88"/>
      <c r="Y329" s="88"/>
      <c r="Z329" s="88"/>
      <c r="AA329" s="88"/>
      <c r="AB329" s="88"/>
      <c r="AC329" s="88"/>
      <c r="AD329" s="142" t="str">
        <f t="shared" si="146"/>
        <v/>
      </c>
      <c r="AE329" s="88"/>
      <c r="AF329" s="88"/>
      <c r="AG329" s="88"/>
      <c r="AH329" s="88"/>
      <c r="AI329" s="88"/>
      <c r="AJ329" s="88"/>
      <c r="AK329" s="88"/>
      <c r="AL329" s="88"/>
      <c r="AM329" s="88">
        <v>37.747920665387078</v>
      </c>
      <c r="AN329" s="88">
        <v>125.03999999999999</v>
      </c>
      <c r="AO329" s="89"/>
      <c r="AP329" s="90"/>
      <c r="AQ329" s="146" t="str">
        <f t="shared" si="147"/>
        <v/>
      </c>
      <c r="AR329" s="146" t="str">
        <f t="shared" si="148"/>
        <v/>
      </c>
      <c r="AS329" s="147"/>
      <c r="AT329" s="148"/>
      <c r="AU329" s="149"/>
      <c r="AV329" s="146" t="str">
        <f t="shared" si="149"/>
        <v/>
      </c>
      <c r="AW329" s="146" t="str">
        <f t="shared" si="150"/>
        <v/>
      </c>
      <c r="AX329" s="138" t="str">
        <f t="shared" si="151"/>
        <v/>
      </c>
      <c r="AY329" s="95"/>
      <c r="AZ329" s="96"/>
      <c r="BA329" s="96"/>
      <c r="BB329" s="96"/>
      <c r="BC329" s="96"/>
      <c r="BD329" s="97">
        <v>125.03999999999999</v>
      </c>
      <c r="BE329" s="142">
        <f t="shared" si="152"/>
        <v>8208</v>
      </c>
      <c r="BF329" s="88">
        <v>1935</v>
      </c>
      <c r="BG329" s="98">
        <v>0</v>
      </c>
      <c r="BH329" s="98">
        <v>0</v>
      </c>
      <c r="BI329" s="98">
        <v>6273</v>
      </c>
      <c r="BJ329" s="98"/>
      <c r="BK329" s="98"/>
      <c r="BL329" s="97"/>
    </row>
    <row r="330" spans="1:64" outlineLevel="5" x14ac:dyDescent="0.3">
      <c r="A330" s="152">
        <f t="shared" si="136"/>
        <v>10</v>
      </c>
      <c r="B330" s="153">
        <f t="shared" si="121"/>
        <v>45569</v>
      </c>
      <c r="C330" s="138" t="str">
        <f t="shared" si="143"/>
        <v/>
      </c>
      <c r="D330" s="186"/>
      <c r="E330" s="186"/>
      <c r="F330" s="84"/>
      <c r="G330" s="84"/>
      <c r="H330" s="84"/>
      <c r="I330" s="84"/>
      <c r="J330" s="84"/>
      <c r="K330" s="84"/>
      <c r="L330" s="140" t="str">
        <f t="shared" si="144"/>
        <v/>
      </c>
      <c r="M330" s="86"/>
      <c r="N330" s="86"/>
      <c r="O330" s="86"/>
      <c r="P330" s="86"/>
      <c r="Q330" s="86"/>
      <c r="R330" s="86"/>
      <c r="S330" s="86"/>
      <c r="T330" s="86"/>
      <c r="U330" s="142" t="str">
        <f t="shared" si="145"/>
        <v/>
      </c>
      <c r="V330" s="88"/>
      <c r="W330" s="88"/>
      <c r="X330" s="88"/>
      <c r="Y330" s="88"/>
      <c r="Z330" s="88"/>
      <c r="AA330" s="88"/>
      <c r="AB330" s="88"/>
      <c r="AC330" s="88"/>
      <c r="AD330" s="142" t="str">
        <f t="shared" si="146"/>
        <v/>
      </c>
      <c r="AE330" s="88"/>
      <c r="AF330" s="88"/>
      <c r="AG330" s="88"/>
      <c r="AH330" s="88"/>
      <c r="AI330" s="88"/>
      <c r="AJ330" s="88"/>
      <c r="AK330" s="88"/>
      <c r="AL330" s="88"/>
      <c r="AM330" s="88">
        <v>40.69316320372446</v>
      </c>
      <c r="AN330" s="88">
        <v>115.99</v>
      </c>
      <c r="AO330" s="89"/>
      <c r="AP330" s="90"/>
      <c r="AQ330" s="146" t="str">
        <f t="shared" si="147"/>
        <v/>
      </c>
      <c r="AR330" s="146" t="str">
        <f t="shared" si="148"/>
        <v/>
      </c>
      <c r="AS330" s="147"/>
      <c r="AT330" s="148"/>
      <c r="AU330" s="149"/>
      <c r="AV330" s="146" t="str">
        <f t="shared" si="149"/>
        <v/>
      </c>
      <c r="AW330" s="146" t="str">
        <f t="shared" si="150"/>
        <v/>
      </c>
      <c r="AX330" s="138" t="str">
        <f t="shared" si="151"/>
        <v/>
      </c>
      <c r="AY330" s="95"/>
      <c r="AZ330" s="96"/>
      <c r="BA330" s="96"/>
      <c r="BB330" s="96"/>
      <c r="BC330" s="96"/>
      <c r="BD330" s="97">
        <v>115.99</v>
      </c>
      <c r="BE330" s="142">
        <f t="shared" si="152"/>
        <v>7587</v>
      </c>
      <c r="BF330" s="88">
        <v>1285</v>
      </c>
      <c r="BG330" s="98">
        <v>0</v>
      </c>
      <c r="BH330" s="98">
        <v>0</v>
      </c>
      <c r="BI330" s="98">
        <v>6302</v>
      </c>
      <c r="BJ330" s="98"/>
      <c r="BK330" s="98"/>
      <c r="BL330" s="97"/>
    </row>
    <row r="331" spans="1:64" outlineLevel="5" x14ac:dyDescent="0.3">
      <c r="A331" s="152">
        <f t="shared" si="136"/>
        <v>10</v>
      </c>
      <c r="B331" s="153">
        <f t="shared" si="121"/>
        <v>45570</v>
      </c>
      <c r="C331" s="138" t="str">
        <f t="shared" si="143"/>
        <v/>
      </c>
      <c r="D331" s="186"/>
      <c r="E331" s="186"/>
      <c r="F331" s="84"/>
      <c r="G331" s="84"/>
      <c r="H331" s="84"/>
      <c r="I331" s="84"/>
      <c r="J331" s="84"/>
      <c r="K331" s="84"/>
      <c r="L331" s="140" t="str">
        <f t="shared" si="144"/>
        <v/>
      </c>
      <c r="M331" s="86"/>
      <c r="N331" s="86"/>
      <c r="O331" s="86"/>
      <c r="P331" s="86"/>
      <c r="Q331" s="86"/>
      <c r="R331" s="86"/>
      <c r="S331" s="86"/>
      <c r="T331" s="86"/>
      <c r="U331" s="142" t="str">
        <f t="shared" si="145"/>
        <v/>
      </c>
      <c r="V331" s="88"/>
      <c r="W331" s="88"/>
      <c r="X331" s="88"/>
      <c r="Y331" s="88"/>
      <c r="Z331" s="88"/>
      <c r="AA331" s="88"/>
      <c r="AB331" s="88"/>
      <c r="AC331" s="88"/>
      <c r="AD331" s="142" t="str">
        <f t="shared" si="146"/>
        <v/>
      </c>
      <c r="AE331" s="88"/>
      <c r="AF331" s="88"/>
      <c r="AG331" s="88"/>
      <c r="AH331" s="88"/>
      <c r="AI331" s="88"/>
      <c r="AJ331" s="88"/>
      <c r="AK331" s="88"/>
      <c r="AL331" s="88"/>
      <c r="AM331" s="88">
        <v>36.433809340023153</v>
      </c>
      <c r="AN331" s="88">
        <v>129.55000000000001</v>
      </c>
      <c r="AO331" s="89"/>
      <c r="AP331" s="90"/>
      <c r="AQ331" s="146" t="str">
        <f t="shared" si="147"/>
        <v/>
      </c>
      <c r="AR331" s="146" t="str">
        <f t="shared" si="148"/>
        <v/>
      </c>
      <c r="AS331" s="147"/>
      <c r="AT331" s="148"/>
      <c r="AU331" s="149"/>
      <c r="AV331" s="146" t="str">
        <f t="shared" si="149"/>
        <v/>
      </c>
      <c r="AW331" s="146" t="str">
        <f t="shared" si="150"/>
        <v/>
      </c>
      <c r="AX331" s="138" t="str">
        <f t="shared" si="151"/>
        <v/>
      </c>
      <c r="AY331" s="95"/>
      <c r="AZ331" s="96"/>
      <c r="BA331" s="96"/>
      <c r="BB331" s="96"/>
      <c r="BC331" s="96"/>
      <c r="BD331" s="97">
        <v>129.55000000000001</v>
      </c>
      <c r="BE331" s="142">
        <f t="shared" si="152"/>
        <v>6994</v>
      </c>
      <c r="BF331" s="88">
        <v>718</v>
      </c>
      <c r="BG331" s="98">
        <v>0</v>
      </c>
      <c r="BH331" s="98">
        <v>0</v>
      </c>
      <c r="BI331" s="98">
        <v>6276</v>
      </c>
      <c r="BJ331" s="98"/>
      <c r="BK331" s="98"/>
      <c r="BL331" s="97"/>
    </row>
    <row r="332" spans="1:64" outlineLevel="5" x14ac:dyDescent="0.3">
      <c r="A332" s="152">
        <f t="shared" si="136"/>
        <v>10</v>
      </c>
      <c r="B332" s="153">
        <f t="shared" si="121"/>
        <v>45571</v>
      </c>
      <c r="C332" s="138" t="str">
        <f t="shared" si="143"/>
        <v/>
      </c>
      <c r="D332" s="186"/>
      <c r="E332" s="186"/>
      <c r="F332" s="84"/>
      <c r="G332" s="84"/>
      <c r="H332" s="84"/>
      <c r="I332" s="84"/>
      <c r="J332" s="84"/>
      <c r="K332" s="84"/>
      <c r="L332" s="140" t="str">
        <f t="shared" si="144"/>
        <v/>
      </c>
      <c r="M332" s="86"/>
      <c r="N332" s="86"/>
      <c r="O332" s="86"/>
      <c r="P332" s="86"/>
      <c r="Q332" s="86"/>
      <c r="R332" s="86"/>
      <c r="S332" s="86"/>
      <c r="T332" s="86"/>
      <c r="U332" s="142" t="str">
        <f t="shared" si="145"/>
        <v/>
      </c>
      <c r="V332" s="88"/>
      <c r="W332" s="88"/>
      <c r="X332" s="88"/>
      <c r="Y332" s="88"/>
      <c r="Z332" s="88"/>
      <c r="AA332" s="88"/>
      <c r="AB332" s="88"/>
      <c r="AC332" s="88"/>
      <c r="AD332" s="142" t="str">
        <f t="shared" si="146"/>
        <v/>
      </c>
      <c r="AE332" s="88"/>
      <c r="AF332" s="88"/>
      <c r="AG332" s="88"/>
      <c r="AH332" s="88"/>
      <c r="AI332" s="88"/>
      <c r="AJ332" s="88"/>
      <c r="AK332" s="88"/>
      <c r="AL332" s="88"/>
      <c r="AM332" s="88">
        <v>52.444444444444443</v>
      </c>
      <c r="AN332" s="88">
        <v>90</v>
      </c>
      <c r="AO332" s="89"/>
      <c r="AP332" s="90"/>
      <c r="AQ332" s="146" t="str">
        <f t="shared" si="147"/>
        <v/>
      </c>
      <c r="AR332" s="146" t="str">
        <f t="shared" si="148"/>
        <v/>
      </c>
      <c r="AS332" s="147"/>
      <c r="AT332" s="148"/>
      <c r="AU332" s="149"/>
      <c r="AV332" s="146" t="str">
        <f t="shared" si="149"/>
        <v/>
      </c>
      <c r="AW332" s="146" t="str">
        <f t="shared" si="150"/>
        <v/>
      </c>
      <c r="AX332" s="138" t="str">
        <f t="shared" si="151"/>
        <v/>
      </c>
      <c r="AY332" s="95"/>
      <c r="AZ332" s="96">
        <v>61.774999999999999</v>
      </c>
      <c r="BA332" s="96"/>
      <c r="BB332" s="96">
        <v>33</v>
      </c>
      <c r="BC332" s="96"/>
      <c r="BD332" s="97">
        <v>90</v>
      </c>
      <c r="BE332" s="142">
        <f t="shared" si="152"/>
        <v>8420</v>
      </c>
      <c r="BF332" s="88">
        <v>2111</v>
      </c>
      <c r="BG332" s="98">
        <v>0</v>
      </c>
      <c r="BH332" s="98">
        <v>0</v>
      </c>
      <c r="BI332" s="98">
        <v>6309</v>
      </c>
      <c r="BJ332" s="98"/>
      <c r="BK332" s="98"/>
      <c r="BL332" s="97"/>
    </row>
    <row r="333" spans="1:64" outlineLevel="5" x14ac:dyDescent="0.3">
      <c r="A333" s="152">
        <f t="shared" si="136"/>
        <v>10</v>
      </c>
      <c r="B333" s="153">
        <f t="shared" si="121"/>
        <v>45572</v>
      </c>
      <c r="C333" s="138">
        <f t="shared" si="143"/>
        <v>36.299999999999997</v>
      </c>
      <c r="D333" s="186">
        <v>36</v>
      </c>
      <c r="E333" s="186">
        <v>36.5</v>
      </c>
      <c r="F333" s="84"/>
      <c r="G333" s="84"/>
      <c r="H333" s="84"/>
      <c r="I333" s="84"/>
      <c r="J333" s="84"/>
      <c r="K333" s="84"/>
      <c r="L333" s="140" t="str">
        <f t="shared" si="144"/>
        <v/>
      </c>
      <c r="M333" s="86"/>
      <c r="N333" s="86"/>
      <c r="O333" s="86"/>
      <c r="P333" s="86"/>
      <c r="Q333" s="86"/>
      <c r="R333" s="86"/>
      <c r="S333" s="86"/>
      <c r="T333" s="86"/>
      <c r="U333" s="142">
        <f t="shared" si="145"/>
        <v>685.5</v>
      </c>
      <c r="V333" s="88">
        <v>707</v>
      </c>
      <c r="W333" s="88">
        <v>664</v>
      </c>
      <c r="X333" s="88"/>
      <c r="Y333" s="88"/>
      <c r="Z333" s="88"/>
      <c r="AA333" s="88"/>
      <c r="AB333" s="88"/>
      <c r="AC333" s="88"/>
      <c r="AD333" s="142" t="str">
        <f t="shared" si="146"/>
        <v/>
      </c>
      <c r="AE333" s="88"/>
      <c r="AF333" s="88"/>
      <c r="AG333" s="88"/>
      <c r="AH333" s="88"/>
      <c r="AI333" s="88"/>
      <c r="AJ333" s="88"/>
      <c r="AK333" s="88"/>
      <c r="AL333" s="88"/>
      <c r="AM333" s="88">
        <v>54.128440366972477</v>
      </c>
      <c r="AN333" s="88">
        <v>87.2</v>
      </c>
      <c r="AO333" s="89">
        <v>18.2</v>
      </c>
      <c r="AP333" s="90">
        <v>16</v>
      </c>
      <c r="AQ333" s="146">
        <f t="shared" si="147"/>
        <v>87.912087912087912</v>
      </c>
      <c r="AR333" s="146">
        <f t="shared" si="148"/>
        <v>12.087912087912088</v>
      </c>
      <c r="AS333" s="147"/>
      <c r="AT333" s="148">
        <v>14.4</v>
      </c>
      <c r="AU333" s="149">
        <v>8.6</v>
      </c>
      <c r="AV333" s="146">
        <f t="shared" si="149"/>
        <v>59.722222222222221</v>
      </c>
      <c r="AW333" s="146">
        <f t="shared" si="150"/>
        <v>40.277777777777779</v>
      </c>
      <c r="AX333" s="138">
        <f t="shared" si="151"/>
        <v>79.612068965517253</v>
      </c>
      <c r="AY333" s="95">
        <v>76.75</v>
      </c>
      <c r="AZ333" s="96"/>
      <c r="BA333" s="96"/>
      <c r="BB333" s="96"/>
      <c r="BC333" s="96"/>
      <c r="BD333" s="97">
        <v>87.2</v>
      </c>
      <c r="BE333" s="142">
        <f t="shared" si="152"/>
        <v>8457</v>
      </c>
      <c r="BF333" s="88">
        <v>2169</v>
      </c>
      <c r="BG333" s="98">
        <v>0</v>
      </c>
      <c r="BH333" s="98">
        <v>0</v>
      </c>
      <c r="BI333" s="98">
        <v>6288</v>
      </c>
      <c r="BJ333" s="98"/>
      <c r="BK333" s="98"/>
      <c r="BL333" s="97"/>
    </row>
    <row r="334" spans="1:64" outlineLevel="5" x14ac:dyDescent="0.3">
      <c r="A334" s="152">
        <f t="shared" si="136"/>
        <v>10</v>
      </c>
      <c r="B334" s="153">
        <f t="shared" si="121"/>
        <v>45573</v>
      </c>
      <c r="C334" s="138" t="str">
        <f t="shared" si="143"/>
        <v/>
      </c>
      <c r="D334" s="186"/>
      <c r="E334" s="186"/>
      <c r="F334" s="84"/>
      <c r="G334" s="84"/>
      <c r="H334" s="84"/>
      <c r="I334" s="84"/>
      <c r="J334" s="84"/>
      <c r="K334" s="84"/>
      <c r="L334" s="140" t="str">
        <f t="shared" si="144"/>
        <v/>
      </c>
      <c r="M334" s="86"/>
      <c r="N334" s="86"/>
      <c r="O334" s="86"/>
      <c r="P334" s="86"/>
      <c r="Q334" s="86"/>
      <c r="R334" s="86"/>
      <c r="S334" s="86"/>
      <c r="T334" s="86"/>
      <c r="U334" s="142" t="str">
        <f t="shared" si="145"/>
        <v/>
      </c>
      <c r="V334" s="88"/>
      <c r="W334" s="88"/>
      <c r="X334" s="88"/>
      <c r="Y334" s="88"/>
      <c r="Z334" s="88"/>
      <c r="AA334" s="88"/>
      <c r="AB334" s="88"/>
      <c r="AC334" s="88"/>
      <c r="AD334" s="142" t="str">
        <f t="shared" si="146"/>
        <v/>
      </c>
      <c r="AE334" s="88"/>
      <c r="AF334" s="88"/>
      <c r="AG334" s="88"/>
      <c r="AH334" s="88"/>
      <c r="AI334" s="88"/>
      <c r="AJ334" s="88"/>
      <c r="AK334" s="88"/>
      <c r="AL334" s="88"/>
      <c r="AM334" s="88">
        <v>62.70758602364819</v>
      </c>
      <c r="AN334" s="88">
        <v>75.27000000000001</v>
      </c>
      <c r="AO334" s="89"/>
      <c r="AP334" s="90"/>
      <c r="AQ334" s="146" t="str">
        <f t="shared" si="147"/>
        <v/>
      </c>
      <c r="AR334" s="146" t="str">
        <f t="shared" si="148"/>
        <v/>
      </c>
      <c r="AS334" s="147"/>
      <c r="AT334" s="148"/>
      <c r="AU334" s="149"/>
      <c r="AV334" s="146" t="str">
        <f t="shared" si="149"/>
        <v/>
      </c>
      <c r="AW334" s="146" t="str">
        <f t="shared" si="150"/>
        <v/>
      </c>
      <c r="AX334" s="138" t="str">
        <f t="shared" si="151"/>
        <v/>
      </c>
      <c r="AY334" s="95"/>
      <c r="AZ334" s="96"/>
      <c r="BA334" s="96"/>
      <c r="BB334" s="96"/>
      <c r="BC334" s="96"/>
      <c r="BD334" s="97">
        <v>75.27000000000001</v>
      </c>
      <c r="BE334" s="142">
        <f t="shared" si="152"/>
        <v>6696</v>
      </c>
      <c r="BF334" s="88">
        <v>398</v>
      </c>
      <c r="BG334" s="98">
        <v>0</v>
      </c>
      <c r="BH334" s="98">
        <v>0</v>
      </c>
      <c r="BI334" s="98">
        <v>6298</v>
      </c>
      <c r="BJ334" s="98"/>
      <c r="BK334" s="98"/>
      <c r="BL334" s="97"/>
    </row>
    <row r="335" spans="1:64" outlineLevel="5" x14ac:dyDescent="0.3">
      <c r="A335" s="152">
        <f t="shared" si="136"/>
        <v>10</v>
      </c>
      <c r="B335" s="153">
        <f t="shared" si="121"/>
        <v>45574</v>
      </c>
      <c r="C335" s="138" t="str">
        <f t="shared" si="143"/>
        <v/>
      </c>
      <c r="D335" s="186"/>
      <c r="E335" s="186"/>
      <c r="F335" s="84"/>
      <c r="G335" s="84"/>
      <c r="H335" s="84"/>
      <c r="I335" s="84"/>
      <c r="J335" s="84"/>
      <c r="K335" s="84"/>
      <c r="L335" s="140" t="str">
        <f t="shared" si="144"/>
        <v/>
      </c>
      <c r="M335" s="86"/>
      <c r="N335" s="86"/>
      <c r="O335" s="86"/>
      <c r="P335" s="86"/>
      <c r="Q335" s="86"/>
      <c r="R335" s="86"/>
      <c r="S335" s="86"/>
      <c r="T335" s="86"/>
      <c r="U335" s="142" t="str">
        <f t="shared" si="145"/>
        <v/>
      </c>
      <c r="V335" s="88"/>
      <c r="W335" s="88"/>
      <c r="X335" s="88"/>
      <c r="Y335" s="88"/>
      <c r="Z335" s="88"/>
      <c r="AA335" s="88"/>
      <c r="AB335" s="88"/>
      <c r="AC335" s="88"/>
      <c r="AD335" s="142">
        <f t="shared" si="146"/>
        <v>19895</v>
      </c>
      <c r="AE335" s="88">
        <v>17260</v>
      </c>
      <c r="AF335" s="88">
        <v>22530</v>
      </c>
      <c r="AG335" s="88"/>
      <c r="AH335" s="88"/>
      <c r="AI335" s="88"/>
      <c r="AJ335" s="88"/>
      <c r="AK335" s="88"/>
      <c r="AL335" s="88"/>
      <c r="AM335" s="88">
        <v>33.93242271746945</v>
      </c>
      <c r="AN335" s="88">
        <v>139.1</v>
      </c>
      <c r="AO335" s="89"/>
      <c r="AP335" s="90"/>
      <c r="AQ335" s="146" t="str">
        <f t="shared" si="147"/>
        <v/>
      </c>
      <c r="AR335" s="146" t="str">
        <f t="shared" si="148"/>
        <v/>
      </c>
      <c r="AS335" s="147"/>
      <c r="AT335" s="148"/>
      <c r="AU335" s="149"/>
      <c r="AV335" s="146" t="str">
        <f t="shared" si="149"/>
        <v/>
      </c>
      <c r="AW335" s="146" t="str">
        <f t="shared" si="150"/>
        <v/>
      </c>
      <c r="AX335" s="138" t="str">
        <f t="shared" si="151"/>
        <v/>
      </c>
      <c r="AY335" s="95"/>
      <c r="AZ335" s="96"/>
      <c r="BA335" s="96"/>
      <c r="BB335" s="96"/>
      <c r="BC335" s="96"/>
      <c r="BD335" s="97">
        <v>139.1</v>
      </c>
      <c r="BE335" s="142">
        <f t="shared" si="152"/>
        <v>7980</v>
      </c>
      <c r="BF335" s="88">
        <v>1627</v>
      </c>
      <c r="BG335" s="98">
        <v>0</v>
      </c>
      <c r="BH335" s="98">
        <v>0</v>
      </c>
      <c r="BI335" s="98">
        <v>6353</v>
      </c>
      <c r="BJ335" s="98"/>
      <c r="BK335" s="98"/>
      <c r="BL335" s="97"/>
    </row>
    <row r="336" spans="1:64" outlineLevel="5" x14ac:dyDescent="0.3">
      <c r="A336" s="152">
        <f t="shared" si="136"/>
        <v>10</v>
      </c>
      <c r="B336" s="153">
        <f t="shared" si="121"/>
        <v>45575</v>
      </c>
      <c r="C336" s="138" t="str">
        <f t="shared" si="143"/>
        <v/>
      </c>
      <c r="D336" s="186"/>
      <c r="E336" s="186"/>
      <c r="F336" s="84"/>
      <c r="G336" s="84"/>
      <c r="H336" s="84"/>
      <c r="I336" s="84"/>
      <c r="J336" s="84"/>
      <c r="K336" s="84"/>
      <c r="L336" s="140" t="str">
        <f t="shared" si="144"/>
        <v/>
      </c>
      <c r="M336" s="86"/>
      <c r="N336" s="86"/>
      <c r="O336" s="86"/>
      <c r="P336" s="86"/>
      <c r="Q336" s="86"/>
      <c r="R336" s="86"/>
      <c r="S336" s="86"/>
      <c r="T336" s="86"/>
      <c r="U336" s="142" t="str">
        <f t="shared" si="145"/>
        <v/>
      </c>
      <c r="V336" s="88"/>
      <c r="W336" s="88"/>
      <c r="X336" s="88"/>
      <c r="Y336" s="88"/>
      <c r="Z336" s="88"/>
      <c r="AA336" s="88"/>
      <c r="AB336" s="88"/>
      <c r="AC336" s="88"/>
      <c r="AD336" s="142" t="str">
        <f t="shared" si="146"/>
        <v/>
      </c>
      <c r="AE336" s="88"/>
      <c r="AF336" s="88"/>
      <c r="AG336" s="88"/>
      <c r="AH336" s="88"/>
      <c r="AI336" s="88"/>
      <c r="AJ336" s="88"/>
      <c r="AK336" s="88"/>
      <c r="AL336" s="88"/>
      <c r="AM336" s="88">
        <v>33.791523482245132</v>
      </c>
      <c r="AN336" s="88">
        <v>139.68</v>
      </c>
      <c r="AO336" s="89"/>
      <c r="AP336" s="90"/>
      <c r="AQ336" s="146" t="str">
        <f t="shared" si="147"/>
        <v/>
      </c>
      <c r="AR336" s="146" t="str">
        <f t="shared" si="148"/>
        <v/>
      </c>
      <c r="AS336" s="147"/>
      <c r="AT336" s="148"/>
      <c r="AU336" s="149"/>
      <c r="AV336" s="146" t="str">
        <f t="shared" si="149"/>
        <v/>
      </c>
      <c r="AW336" s="146" t="str">
        <f t="shared" si="150"/>
        <v/>
      </c>
      <c r="AX336" s="138" t="str">
        <f t="shared" si="151"/>
        <v/>
      </c>
      <c r="AY336" s="95"/>
      <c r="AZ336" s="96"/>
      <c r="BA336" s="96"/>
      <c r="BB336" s="96"/>
      <c r="BC336" s="96"/>
      <c r="BD336" s="97">
        <v>139.68</v>
      </c>
      <c r="BE336" s="142">
        <f t="shared" si="152"/>
        <v>6039</v>
      </c>
      <c r="BF336" s="88">
        <v>0</v>
      </c>
      <c r="BG336" s="98">
        <v>0</v>
      </c>
      <c r="BH336" s="98">
        <v>0</v>
      </c>
      <c r="BI336" s="98">
        <v>6039</v>
      </c>
      <c r="BJ336" s="98"/>
      <c r="BK336" s="98"/>
      <c r="BL336" s="97"/>
    </row>
    <row r="337" spans="1:64" outlineLevel="5" x14ac:dyDescent="0.3">
      <c r="A337" s="152">
        <f t="shared" si="136"/>
        <v>10</v>
      </c>
      <c r="B337" s="153">
        <f t="shared" si="121"/>
        <v>45576</v>
      </c>
      <c r="C337" s="138" t="str">
        <f t="shared" si="143"/>
        <v/>
      </c>
      <c r="D337" s="186"/>
      <c r="E337" s="186"/>
      <c r="F337" s="84"/>
      <c r="G337" s="84"/>
      <c r="H337" s="84"/>
      <c r="I337" s="84"/>
      <c r="J337" s="84"/>
      <c r="K337" s="84"/>
      <c r="L337" s="140" t="str">
        <f t="shared" si="144"/>
        <v/>
      </c>
      <c r="M337" s="86"/>
      <c r="N337" s="86"/>
      <c r="O337" s="86"/>
      <c r="P337" s="86"/>
      <c r="Q337" s="86"/>
      <c r="R337" s="86"/>
      <c r="S337" s="86"/>
      <c r="T337" s="86"/>
      <c r="U337" s="142" t="str">
        <f t="shared" si="145"/>
        <v/>
      </c>
      <c r="V337" s="88"/>
      <c r="W337" s="88"/>
      <c r="X337" s="88"/>
      <c r="Y337" s="88"/>
      <c r="Z337" s="88"/>
      <c r="AA337" s="88"/>
      <c r="AB337" s="88"/>
      <c r="AC337" s="88"/>
      <c r="AD337" s="142" t="str">
        <f t="shared" si="146"/>
        <v/>
      </c>
      <c r="AE337" s="88"/>
      <c r="AF337" s="88"/>
      <c r="AG337" s="88"/>
      <c r="AH337" s="88"/>
      <c r="AI337" s="88"/>
      <c r="AJ337" s="88"/>
      <c r="AK337" s="88"/>
      <c r="AL337" s="88"/>
      <c r="AM337" s="88">
        <v>43.659235963370641</v>
      </c>
      <c r="AN337" s="88">
        <v>108.11</v>
      </c>
      <c r="AO337" s="89"/>
      <c r="AP337" s="90"/>
      <c r="AQ337" s="146" t="str">
        <f t="shared" si="147"/>
        <v/>
      </c>
      <c r="AR337" s="146" t="str">
        <f t="shared" si="148"/>
        <v/>
      </c>
      <c r="AS337" s="147"/>
      <c r="AT337" s="148"/>
      <c r="AU337" s="149"/>
      <c r="AV337" s="146" t="str">
        <f t="shared" si="149"/>
        <v/>
      </c>
      <c r="AW337" s="146" t="str">
        <f t="shared" si="150"/>
        <v/>
      </c>
      <c r="AX337" s="138" t="str">
        <f t="shared" si="151"/>
        <v/>
      </c>
      <c r="AY337" s="95"/>
      <c r="AZ337" s="96"/>
      <c r="BA337" s="96"/>
      <c r="BB337" s="96"/>
      <c r="BC337" s="96"/>
      <c r="BD337" s="97">
        <v>108.11</v>
      </c>
      <c r="BE337" s="142">
        <f t="shared" si="152"/>
        <v>6249</v>
      </c>
      <c r="BF337" s="88">
        <v>0</v>
      </c>
      <c r="BG337" s="98">
        <v>0</v>
      </c>
      <c r="BH337" s="98">
        <v>0</v>
      </c>
      <c r="BI337" s="98">
        <v>6249</v>
      </c>
      <c r="BJ337" s="98"/>
      <c r="BK337" s="98"/>
      <c r="BL337" s="97"/>
    </row>
    <row r="338" spans="1:64" outlineLevel="5" x14ac:dyDescent="0.3">
      <c r="A338" s="152">
        <f t="shared" si="136"/>
        <v>10</v>
      </c>
      <c r="B338" s="153">
        <f t="shared" si="121"/>
        <v>45577</v>
      </c>
      <c r="C338" s="138" t="str">
        <f t="shared" si="143"/>
        <v/>
      </c>
      <c r="D338" s="186"/>
      <c r="E338" s="186"/>
      <c r="F338" s="84"/>
      <c r="G338" s="84"/>
      <c r="H338" s="84"/>
      <c r="I338" s="84"/>
      <c r="J338" s="84"/>
      <c r="K338" s="84"/>
      <c r="L338" s="140" t="str">
        <f t="shared" si="144"/>
        <v/>
      </c>
      <c r="M338" s="86"/>
      <c r="N338" s="86"/>
      <c r="O338" s="86"/>
      <c r="P338" s="86"/>
      <c r="Q338" s="86"/>
      <c r="R338" s="86"/>
      <c r="S338" s="86"/>
      <c r="T338" s="86"/>
      <c r="U338" s="142" t="str">
        <f t="shared" si="145"/>
        <v/>
      </c>
      <c r="V338" s="88"/>
      <c r="W338" s="88"/>
      <c r="X338" s="88"/>
      <c r="Y338" s="88"/>
      <c r="Z338" s="88"/>
      <c r="AA338" s="88"/>
      <c r="AB338" s="88"/>
      <c r="AC338" s="88"/>
      <c r="AD338" s="142" t="str">
        <f t="shared" si="146"/>
        <v/>
      </c>
      <c r="AE338" s="88"/>
      <c r="AF338" s="88"/>
      <c r="AG338" s="88"/>
      <c r="AH338" s="88"/>
      <c r="AI338" s="88"/>
      <c r="AJ338" s="88"/>
      <c r="AK338" s="88"/>
      <c r="AL338" s="88"/>
      <c r="AM338" s="88">
        <v>35.443418187279413</v>
      </c>
      <c r="AN338" s="88">
        <v>133.17000000000002</v>
      </c>
      <c r="AO338" s="89"/>
      <c r="AP338" s="90"/>
      <c r="AQ338" s="146" t="str">
        <f t="shared" si="147"/>
        <v/>
      </c>
      <c r="AR338" s="146" t="str">
        <f t="shared" si="148"/>
        <v/>
      </c>
      <c r="AS338" s="147"/>
      <c r="AT338" s="148"/>
      <c r="AU338" s="149"/>
      <c r="AV338" s="146" t="str">
        <f t="shared" si="149"/>
        <v/>
      </c>
      <c r="AW338" s="146" t="str">
        <f t="shared" si="150"/>
        <v/>
      </c>
      <c r="AX338" s="138" t="str">
        <f t="shared" si="151"/>
        <v/>
      </c>
      <c r="AY338" s="95"/>
      <c r="AZ338" s="96"/>
      <c r="BA338" s="96"/>
      <c r="BB338" s="96"/>
      <c r="BC338" s="96"/>
      <c r="BD338" s="97">
        <v>133.17000000000002</v>
      </c>
      <c r="BE338" s="142">
        <f t="shared" si="152"/>
        <v>6395</v>
      </c>
      <c r="BF338" s="88">
        <v>117</v>
      </c>
      <c r="BG338" s="98">
        <v>0</v>
      </c>
      <c r="BH338" s="98">
        <v>0</v>
      </c>
      <c r="BI338" s="98">
        <v>6278</v>
      </c>
      <c r="BJ338" s="98"/>
      <c r="BK338" s="98"/>
      <c r="BL338" s="97"/>
    </row>
    <row r="339" spans="1:64" outlineLevel="5" x14ac:dyDescent="0.3">
      <c r="A339" s="152">
        <f t="shared" si="136"/>
        <v>10</v>
      </c>
      <c r="B339" s="153">
        <f t="shared" si="121"/>
        <v>45578</v>
      </c>
      <c r="C339" s="138" t="str">
        <f t="shared" si="143"/>
        <v/>
      </c>
      <c r="D339" s="186"/>
      <c r="E339" s="186"/>
      <c r="F339" s="84"/>
      <c r="G339" s="84"/>
      <c r="H339" s="84"/>
      <c r="I339" s="84"/>
      <c r="J339" s="84"/>
      <c r="K339" s="84"/>
      <c r="L339" s="140" t="str">
        <f t="shared" si="144"/>
        <v/>
      </c>
      <c r="M339" s="86"/>
      <c r="N339" s="86"/>
      <c r="O339" s="86"/>
      <c r="P339" s="86"/>
      <c r="Q339" s="86"/>
      <c r="R339" s="86"/>
      <c r="S339" s="86"/>
      <c r="T339" s="86"/>
      <c r="U339" s="142" t="str">
        <f t="shared" si="145"/>
        <v/>
      </c>
      <c r="V339" s="88"/>
      <c r="W339" s="88"/>
      <c r="X339" s="88"/>
      <c r="Y339" s="88"/>
      <c r="Z339" s="88"/>
      <c r="AA339" s="88"/>
      <c r="AB339" s="88"/>
      <c r="AC339" s="88"/>
      <c r="AD339" s="142" t="str">
        <f t="shared" si="146"/>
        <v/>
      </c>
      <c r="AE339" s="88"/>
      <c r="AF339" s="88"/>
      <c r="AG339" s="88"/>
      <c r="AH339" s="88"/>
      <c r="AI339" s="88"/>
      <c r="AJ339" s="88"/>
      <c r="AK339" s="88"/>
      <c r="AL339" s="88"/>
      <c r="AM339" s="88">
        <v>34.962962962962962</v>
      </c>
      <c r="AN339" s="88">
        <v>135</v>
      </c>
      <c r="AO339" s="89"/>
      <c r="AP339" s="90"/>
      <c r="AQ339" s="146" t="str">
        <f t="shared" si="147"/>
        <v/>
      </c>
      <c r="AR339" s="146" t="str">
        <f t="shared" si="148"/>
        <v/>
      </c>
      <c r="AS339" s="147"/>
      <c r="AT339" s="148"/>
      <c r="AU339" s="149"/>
      <c r="AV339" s="146" t="str">
        <f t="shared" si="149"/>
        <v/>
      </c>
      <c r="AW339" s="146" t="str">
        <f t="shared" si="150"/>
        <v/>
      </c>
      <c r="AX339" s="138" t="str">
        <f t="shared" si="151"/>
        <v/>
      </c>
      <c r="AY339" s="95"/>
      <c r="AZ339" s="96"/>
      <c r="BA339" s="96"/>
      <c r="BB339" s="96"/>
      <c r="BC339" s="96"/>
      <c r="BD339" s="97">
        <v>135</v>
      </c>
      <c r="BE339" s="142">
        <f t="shared" si="152"/>
        <v>6267</v>
      </c>
      <c r="BF339" s="88">
        <v>0</v>
      </c>
      <c r="BG339" s="98">
        <v>0</v>
      </c>
      <c r="BH339" s="98">
        <v>0</v>
      </c>
      <c r="BI339" s="98">
        <v>6267</v>
      </c>
      <c r="BJ339" s="98"/>
      <c r="BK339" s="98"/>
      <c r="BL339" s="97"/>
    </row>
    <row r="340" spans="1:64" outlineLevel="5" x14ac:dyDescent="0.3">
      <c r="A340" s="152">
        <f t="shared" si="136"/>
        <v>10</v>
      </c>
      <c r="B340" s="153">
        <f t="shared" si="121"/>
        <v>45579</v>
      </c>
      <c r="C340" s="138">
        <f t="shared" si="143"/>
        <v>37.6</v>
      </c>
      <c r="D340" s="186">
        <v>37</v>
      </c>
      <c r="E340" s="186">
        <v>38.1</v>
      </c>
      <c r="F340" s="84"/>
      <c r="G340" s="84"/>
      <c r="H340" s="84"/>
      <c r="I340" s="84"/>
      <c r="J340" s="84"/>
      <c r="K340" s="84"/>
      <c r="L340" s="140" t="str">
        <f t="shared" si="144"/>
        <v/>
      </c>
      <c r="M340" s="86"/>
      <c r="N340" s="86"/>
      <c r="O340" s="86"/>
      <c r="P340" s="86"/>
      <c r="Q340" s="86"/>
      <c r="R340" s="86"/>
      <c r="S340" s="86"/>
      <c r="T340" s="86"/>
      <c r="U340" s="142">
        <f t="shared" si="145"/>
        <v>585.5</v>
      </c>
      <c r="V340" s="88">
        <v>594</v>
      </c>
      <c r="W340" s="88">
        <v>577</v>
      </c>
      <c r="X340" s="88"/>
      <c r="Y340" s="88"/>
      <c r="Z340" s="88"/>
      <c r="AA340" s="88"/>
      <c r="AB340" s="88"/>
      <c r="AC340" s="88"/>
      <c r="AD340" s="142" t="str">
        <f t="shared" si="146"/>
        <v/>
      </c>
      <c r="AE340" s="88"/>
      <c r="AF340" s="88"/>
      <c r="AG340" s="88"/>
      <c r="AH340" s="88"/>
      <c r="AI340" s="88"/>
      <c r="AJ340" s="88"/>
      <c r="AK340" s="88"/>
      <c r="AL340" s="88"/>
      <c r="AM340" s="88">
        <v>36.708663866853328</v>
      </c>
      <c r="AN340" s="88">
        <v>128.57999999999998</v>
      </c>
      <c r="AO340" s="89">
        <v>16.8</v>
      </c>
      <c r="AP340" s="90">
        <v>14.5</v>
      </c>
      <c r="AQ340" s="146">
        <f t="shared" si="147"/>
        <v>86.309523809523796</v>
      </c>
      <c r="AR340" s="146">
        <f t="shared" si="148"/>
        <v>13.690476190476204</v>
      </c>
      <c r="AS340" s="147"/>
      <c r="AT340" s="148">
        <v>14.100000000000001</v>
      </c>
      <c r="AU340" s="149">
        <v>8.9499999999999993</v>
      </c>
      <c r="AV340" s="146">
        <f t="shared" si="149"/>
        <v>63.475177304964525</v>
      </c>
      <c r="AW340" s="146">
        <f t="shared" si="150"/>
        <v>36.524822695035475</v>
      </c>
      <c r="AX340" s="138">
        <f t="shared" si="151"/>
        <v>72.433880147304961</v>
      </c>
      <c r="AY340" s="95">
        <v>78.25</v>
      </c>
      <c r="AZ340" s="96">
        <v>62.995000000000005</v>
      </c>
      <c r="BA340" s="96"/>
      <c r="BB340" s="96">
        <v>73.5</v>
      </c>
      <c r="BC340" s="96"/>
      <c r="BD340" s="97">
        <v>128.57999999999998</v>
      </c>
      <c r="BE340" s="142">
        <f t="shared" si="152"/>
        <v>5917</v>
      </c>
      <c r="BF340" s="88">
        <v>0</v>
      </c>
      <c r="BG340" s="98">
        <v>0</v>
      </c>
      <c r="BH340" s="98">
        <v>0</v>
      </c>
      <c r="BI340" s="98">
        <v>5917</v>
      </c>
      <c r="BJ340" s="98"/>
      <c r="BK340" s="98"/>
      <c r="BL340" s="97"/>
    </row>
    <row r="341" spans="1:64" outlineLevel="5" x14ac:dyDescent="0.3">
      <c r="A341" s="152">
        <f t="shared" si="136"/>
        <v>10</v>
      </c>
      <c r="B341" s="153">
        <f t="shared" si="121"/>
        <v>45580</v>
      </c>
      <c r="C341" s="138" t="str">
        <f t="shared" si="143"/>
        <v/>
      </c>
      <c r="D341" s="186"/>
      <c r="E341" s="186"/>
      <c r="F341" s="84"/>
      <c r="G341" s="84"/>
      <c r="H341" s="84"/>
      <c r="I341" s="84"/>
      <c r="J341" s="84"/>
      <c r="K341" s="84"/>
      <c r="L341" s="140" t="str">
        <f t="shared" si="144"/>
        <v/>
      </c>
      <c r="M341" s="86"/>
      <c r="N341" s="86"/>
      <c r="O341" s="86"/>
      <c r="P341" s="86"/>
      <c r="Q341" s="86"/>
      <c r="R341" s="86"/>
      <c r="S341" s="86"/>
      <c r="T341" s="86"/>
      <c r="U341" s="142" t="str">
        <f t="shared" si="145"/>
        <v/>
      </c>
      <c r="V341" s="88"/>
      <c r="W341" s="88"/>
      <c r="X341" s="88"/>
      <c r="Y341" s="88"/>
      <c r="Z341" s="88"/>
      <c r="AA341" s="88"/>
      <c r="AB341" s="88"/>
      <c r="AC341" s="88"/>
      <c r="AD341" s="142" t="str">
        <f t="shared" si="146"/>
        <v/>
      </c>
      <c r="AE341" s="88"/>
      <c r="AF341" s="88"/>
      <c r="AG341" s="88"/>
      <c r="AH341" s="88"/>
      <c r="AI341" s="88"/>
      <c r="AJ341" s="88"/>
      <c r="AK341" s="88"/>
      <c r="AL341" s="88"/>
      <c r="AM341" s="88"/>
      <c r="AN341" s="88">
        <v>23.689999999999998</v>
      </c>
      <c r="AO341" s="89"/>
      <c r="AP341" s="90"/>
      <c r="AQ341" s="146" t="str">
        <f t="shared" si="147"/>
        <v/>
      </c>
      <c r="AR341" s="146" t="str">
        <f t="shared" si="148"/>
        <v/>
      </c>
      <c r="AS341" s="147"/>
      <c r="AT341" s="148"/>
      <c r="AU341" s="149"/>
      <c r="AV341" s="146" t="str">
        <f t="shared" si="149"/>
        <v/>
      </c>
      <c r="AW341" s="146" t="str">
        <f t="shared" si="150"/>
        <v/>
      </c>
      <c r="AX341" s="138" t="str">
        <f t="shared" si="151"/>
        <v/>
      </c>
      <c r="AY341" s="95"/>
      <c r="AZ341" s="96"/>
      <c r="BA341" s="96"/>
      <c r="BB341" s="96"/>
      <c r="BC341" s="96"/>
      <c r="BD341" s="97">
        <v>23.689999999999998</v>
      </c>
      <c r="BE341" s="142" t="str">
        <f t="shared" si="152"/>
        <v/>
      </c>
      <c r="BF341" s="88">
        <v>0</v>
      </c>
      <c r="BG341" s="98">
        <v>0</v>
      </c>
      <c r="BH341" s="98">
        <v>0</v>
      </c>
      <c r="BI341" s="98">
        <v>0</v>
      </c>
      <c r="BJ341" s="98"/>
      <c r="BK341" s="98"/>
      <c r="BL341" s="97"/>
    </row>
    <row r="342" spans="1:64" outlineLevel="5" x14ac:dyDescent="0.3">
      <c r="A342" s="152">
        <f t="shared" si="136"/>
        <v>10</v>
      </c>
      <c r="B342" s="153">
        <f t="shared" si="121"/>
        <v>45581</v>
      </c>
      <c r="C342" s="138" t="str">
        <f t="shared" si="143"/>
        <v/>
      </c>
      <c r="D342" s="186"/>
      <c r="E342" s="186"/>
      <c r="F342" s="84"/>
      <c r="G342" s="84"/>
      <c r="H342" s="84"/>
      <c r="I342" s="84"/>
      <c r="J342" s="84"/>
      <c r="K342" s="84"/>
      <c r="L342" s="140" t="str">
        <f t="shared" si="144"/>
        <v/>
      </c>
      <c r="M342" s="86"/>
      <c r="N342" s="86"/>
      <c r="O342" s="86"/>
      <c r="P342" s="86"/>
      <c r="Q342" s="86"/>
      <c r="R342" s="86"/>
      <c r="S342" s="86"/>
      <c r="T342" s="86"/>
      <c r="U342" s="142" t="str">
        <f t="shared" si="145"/>
        <v/>
      </c>
      <c r="V342" s="88"/>
      <c r="W342" s="88"/>
      <c r="X342" s="88"/>
      <c r="Y342" s="88"/>
      <c r="Z342" s="88"/>
      <c r="AA342" s="88"/>
      <c r="AB342" s="88"/>
      <c r="AC342" s="88"/>
      <c r="AD342" s="142">
        <f t="shared" si="146"/>
        <v>17635</v>
      </c>
      <c r="AE342" s="88">
        <v>15770</v>
      </c>
      <c r="AF342" s="88">
        <v>19500</v>
      </c>
      <c r="AG342" s="88"/>
      <c r="AH342" s="88"/>
      <c r="AI342" s="88"/>
      <c r="AJ342" s="88"/>
      <c r="AK342" s="88"/>
      <c r="AL342" s="88"/>
      <c r="AM342" s="88"/>
      <c r="AN342" s="88">
        <v>0</v>
      </c>
      <c r="AO342" s="89"/>
      <c r="AP342" s="90"/>
      <c r="AQ342" s="146" t="str">
        <f t="shared" si="147"/>
        <v/>
      </c>
      <c r="AR342" s="146" t="str">
        <f t="shared" si="148"/>
        <v/>
      </c>
      <c r="AS342" s="147"/>
      <c r="AT342" s="148"/>
      <c r="AU342" s="149"/>
      <c r="AV342" s="146" t="str">
        <f t="shared" si="149"/>
        <v/>
      </c>
      <c r="AW342" s="146" t="str">
        <f t="shared" si="150"/>
        <v/>
      </c>
      <c r="AX342" s="138" t="str">
        <f t="shared" si="151"/>
        <v/>
      </c>
      <c r="AY342" s="95"/>
      <c r="AZ342" s="96"/>
      <c r="BA342" s="96"/>
      <c r="BB342" s="96"/>
      <c r="BC342" s="96"/>
      <c r="BD342" s="97">
        <v>0</v>
      </c>
      <c r="BE342" s="142" t="str">
        <f t="shared" si="152"/>
        <v/>
      </c>
      <c r="BF342" s="88">
        <v>0</v>
      </c>
      <c r="BG342" s="98">
        <v>0</v>
      </c>
      <c r="BH342" s="98">
        <v>0</v>
      </c>
      <c r="BI342" s="98">
        <v>0</v>
      </c>
      <c r="BJ342" s="98"/>
      <c r="BK342" s="98"/>
      <c r="BL342" s="97"/>
    </row>
    <row r="343" spans="1:64" outlineLevel="5" x14ac:dyDescent="0.3">
      <c r="A343" s="152">
        <f t="shared" si="136"/>
        <v>10</v>
      </c>
      <c r="B343" s="153">
        <f t="shared" si="121"/>
        <v>45582</v>
      </c>
      <c r="C343" s="138">
        <f t="shared" si="143"/>
        <v>36.799999999999997</v>
      </c>
      <c r="D343" s="186">
        <v>36.299999999999997</v>
      </c>
      <c r="E343" s="186">
        <v>37.299999999999997</v>
      </c>
      <c r="F343" s="84"/>
      <c r="G343" s="84"/>
      <c r="H343" s="84"/>
      <c r="I343" s="84"/>
      <c r="J343" s="84"/>
      <c r="K343" s="84"/>
      <c r="L343" s="140" t="str">
        <f t="shared" si="144"/>
        <v/>
      </c>
      <c r="M343" s="86"/>
      <c r="N343" s="86"/>
      <c r="O343" s="86"/>
      <c r="P343" s="86"/>
      <c r="Q343" s="86"/>
      <c r="R343" s="86"/>
      <c r="S343" s="86"/>
      <c r="T343" s="86"/>
      <c r="U343" s="142" t="str">
        <f t="shared" si="145"/>
        <v/>
      </c>
      <c r="V343" s="88"/>
      <c r="W343" s="88"/>
      <c r="X343" s="88"/>
      <c r="Y343" s="88"/>
      <c r="Z343" s="88"/>
      <c r="AA343" s="88"/>
      <c r="AB343" s="88"/>
      <c r="AC343" s="88"/>
      <c r="AD343" s="142" t="str">
        <f t="shared" si="146"/>
        <v/>
      </c>
      <c r="AE343" s="88"/>
      <c r="AF343" s="88"/>
      <c r="AG343" s="88"/>
      <c r="AH343" s="88"/>
      <c r="AI343" s="88"/>
      <c r="AJ343" s="88"/>
      <c r="AK343" s="88"/>
      <c r="AL343" s="88"/>
      <c r="AM343" s="88"/>
      <c r="AN343" s="88">
        <v>0</v>
      </c>
      <c r="AO343" s="89"/>
      <c r="AP343" s="90"/>
      <c r="AQ343" s="146" t="str">
        <f t="shared" si="147"/>
        <v/>
      </c>
      <c r="AR343" s="146" t="str">
        <f t="shared" si="148"/>
        <v/>
      </c>
      <c r="AS343" s="147"/>
      <c r="AT343" s="148"/>
      <c r="AU343" s="149"/>
      <c r="AV343" s="146" t="str">
        <f t="shared" si="149"/>
        <v/>
      </c>
      <c r="AW343" s="146" t="str">
        <f t="shared" si="150"/>
        <v/>
      </c>
      <c r="AX343" s="138" t="str">
        <f t="shared" si="151"/>
        <v/>
      </c>
      <c r="AY343" s="95"/>
      <c r="AZ343" s="96"/>
      <c r="BA343" s="96"/>
      <c r="BB343" s="96"/>
      <c r="BC343" s="96"/>
      <c r="BD343" s="97">
        <v>0</v>
      </c>
      <c r="BE343" s="142" t="str">
        <f t="shared" si="152"/>
        <v/>
      </c>
      <c r="BF343" s="88">
        <v>0</v>
      </c>
      <c r="BG343" s="98">
        <v>0</v>
      </c>
      <c r="BH343" s="98">
        <v>0</v>
      </c>
      <c r="BI343" s="98">
        <v>0</v>
      </c>
      <c r="BJ343" s="98"/>
      <c r="BK343" s="98"/>
      <c r="BL343" s="97"/>
    </row>
    <row r="344" spans="1:64" outlineLevel="5" x14ac:dyDescent="0.3">
      <c r="A344" s="152">
        <f t="shared" si="136"/>
        <v>10</v>
      </c>
      <c r="B344" s="153">
        <f t="shared" si="121"/>
        <v>45583</v>
      </c>
      <c r="C344" s="138" t="str">
        <f t="shared" si="143"/>
        <v/>
      </c>
      <c r="D344" s="186"/>
      <c r="E344" s="186"/>
      <c r="F344" s="84"/>
      <c r="G344" s="84"/>
      <c r="H344" s="84"/>
      <c r="I344" s="84"/>
      <c r="J344" s="84"/>
      <c r="K344" s="84"/>
      <c r="L344" s="140" t="str">
        <f t="shared" si="144"/>
        <v/>
      </c>
      <c r="M344" s="86"/>
      <c r="N344" s="86"/>
      <c r="O344" s="86"/>
      <c r="P344" s="86"/>
      <c r="Q344" s="86"/>
      <c r="R344" s="86"/>
      <c r="S344" s="86"/>
      <c r="T344" s="86"/>
      <c r="U344" s="142" t="str">
        <f t="shared" si="145"/>
        <v/>
      </c>
      <c r="V344" s="88"/>
      <c r="W344" s="88"/>
      <c r="X344" s="88"/>
      <c r="Y344" s="88"/>
      <c r="Z344" s="88"/>
      <c r="AA344" s="88"/>
      <c r="AB344" s="88"/>
      <c r="AC344" s="88"/>
      <c r="AD344" s="142" t="str">
        <f t="shared" si="146"/>
        <v/>
      </c>
      <c r="AE344" s="88"/>
      <c r="AF344" s="88"/>
      <c r="AG344" s="88"/>
      <c r="AH344" s="88"/>
      <c r="AI344" s="88"/>
      <c r="AJ344" s="88"/>
      <c r="AK344" s="88"/>
      <c r="AL344" s="88"/>
      <c r="AM344" s="88"/>
      <c r="AN344" s="88">
        <v>0</v>
      </c>
      <c r="AO344" s="89"/>
      <c r="AP344" s="90"/>
      <c r="AQ344" s="146" t="str">
        <f t="shared" si="147"/>
        <v/>
      </c>
      <c r="AR344" s="146" t="str">
        <f t="shared" si="148"/>
        <v/>
      </c>
      <c r="AS344" s="147"/>
      <c r="AT344" s="148"/>
      <c r="AU344" s="149"/>
      <c r="AV344" s="146" t="str">
        <f t="shared" si="149"/>
        <v/>
      </c>
      <c r="AW344" s="146" t="str">
        <f t="shared" si="150"/>
        <v/>
      </c>
      <c r="AX344" s="138" t="str">
        <f t="shared" si="151"/>
        <v/>
      </c>
      <c r="AY344" s="95"/>
      <c r="AZ344" s="96">
        <v>62.564999999999998</v>
      </c>
      <c r="BA344" s="96"/>
      <c r="BB344" s="96">
        <v>33.5</v>
      </c>
      <c r="BC344" s="96"/>
      <c r="BD344" s="97">
        <v>0</v>
      </c>
      <c r="BE344" s="142" t="str">
        <f t="shared" si="152"/>
        <v/>
      </c>
      <c r="BF344" s="88">
        <v>0</v>
      </c>
      <c r="BG344" s="98">
        <v>0</v>
      </c>
      <c r="BH344" s="98">
        <v>0</v>
      </c>
      <c r="BI344" s="98">
        <v>0</v>
      </c>
      <c r="BJ344" s="98"/>
      <c r="BK344" s="98"/>
      <c r="BL344" s="97"/>
    </row>
    <row r="345" spans="1:64" outlineLevel="5" x14ac:dyDescent="0.3">
      <c r="A345" s="152">
        <f t="shared" si="136"/>
        <v>10</v>
      </c>
      <c r="B345" s="153">
        <f t="shared" si="121"/>
        <v>45584</v>
      </c>
      <c r="C345" s="138" t="str">
        <f t="shared" si="143"/>
        <v/>
      </c>
      <c r="D345" s="186"/>
      <c r="E345" s="186"/>
      <c r="F345" s="84"/>
      <c r="G345" s="84"/>
      <c r="H345" s="84"/>
      <c r="I345" s="84"/>
      <c r="J345" s="84"/>
      <c r="K345" s="84"/>
      <c r="L345" s="140" t="str">
        <f t="shared" si="144"/>
        <v/>
      </c>
      <c r="M345" s="86"/>
      <c r="N345" s="86"/>
      <c r="O345" s="86"/>
      <c r="P345" s="86"/>
      <c r="Q345" s="86"/>
      <c r="R345" s="86"/>
      <c r="S345" s="86"/>
      <c r="T345" s="86"/>
      <c r="U345" s="142" t="str">
        <f t="shared" si="145"/>
        <v/>
      </c>
      <c r="V345" s="88"/>
      <c r="W345" s="88"/>
      <c r="X345" s="88"/>
      <c r="Y345" s="88"/>
      <c r="Z345" s="88"/>
      <c r="AA345" s="88"/>
      <c r="AB345" s="88"/>
      <c r="AC345" s="88"/>
      <c r="AD345" s="142" t="str">
        <f t="shared" si="146"/>
        <v/>
      </c>
      <c r="AE345" s="88"/>
      <c r="AF345" s="88"/>
      <c r="AG345" s="88"/>
      <c r="AH345" s="88"/>
      <c r="AI345" s="88"/>
      <c r="AJ345" s="88"/>
      <c r="AK345" s="88"/>
      <c r="AL345" s="88"/>
      <c r="AM345" s="88"/>
      <c r="AN345" s="88">
        <v>0</v>
      </c>
      <c r="AO345" s="89"/>
      <c r="AP345" s="90"/>
      <c r="AQ345" s="146" t="str">
        <f t="shared" si="147"/>
        <v/>
      </c>
      <c r="AR345" s="146" t="str">
        <f t="shared" si="148"/>
        <v/>
      </c>
      <c r="AS345" s="147"/>
      <c r="AT345" s="148"/>
      <c r="AU345" s="149"/>
      <c r="AV345" s="146" t="str">
        <f t="shared" si="149"/>
        <v/>
      </c>
      <c r="AW345" s="146" t="str">
        <f t="shared" si="150"/>
        <v/>
      </c>
      <c r="AX345" s="138" t="str">
        <f t="shared" si="151"/>
        <v/>
      </c>
      <c r="AY345" s="95"/>
      <c r="AZ345" s="96"/>
      <c r="BA345" s="96"/>
      <c r="BB345" s="96"/>
      <c r="BC345" s="96"/>
      <c r="BD345" s="97">
        <v>0</v>
      </c>
      <c r="BE345" s="142" t="str">
        <f t="shared" si="152"/>
        <v/>
      </c>
      <c r="BF345" s="88">
        <v>0</v>
      </c>
      <c r="BG345" s="98">
        <v>0</v>
      </c>
      <c r="BH345" s="98">
        <v>0</v>
      </c>
      <c r="BI345" s="98">
        <v>0</v>
      </c>
      <c r="BJ345" s="98"/>
      <c r="BK345" s="98"/>
      <c r="BL345" s="97"/>
    </row>
    <row r="346" spans="1:64" outlineLevel="5" x14ac:dyDescent="0.3">
      <c r="A346" s="152">
        <f t="shared" si="136"/>
        <v>10</v>
      </c>
      <c r="B346" s="153">
        <f t="shared" si="121"/>
        <v>45585</v>
      </c>
      <c r="C346" s="138" t="str">
        <f t="shared" si="143"/>
        <v/>
      </c>
      <c r="D346" s="186"/>
      <c r="E346" s="186"/>
      <c r="F346" s="84"/>
      <c r="G346" s="84"/>
      <c r="H346" s="84"/>
      <c r="I346" s="84"/>
      <c r="J346" s="84"/>
      <c r="K346" s="84"/>
      <c r="L346" s="140" t="str">
        <f t="shared" si="144"/>
        <v/>
      </c>
      <c r="M346" s="86"/>
      <c r="N346" s="86"/>
      <c r="O346" s="86"/>
      <c r="P346" s="86"/>
      <c r="Q346" s="86"/>
      <c r="R346" s="86"/>
      <c r="S346" s="86"/>
      <c r="T346" s="86"/>
      <c r="U346" s="142" t="str">
        <f t="shared" si="145"/>
        <v/>
      </c>
      <c r="V346" s="88"/>
      <c r="W346" s="88"/>
      <c r="X346" s="88"/>
      <c r="Y346" s="88"/>
      <c r="Z346" s="88"/>
      <c r="AA346" s="88"/>
      <c r="AB346" s="88"/>
      <c r="AC346" s="88"/>
      <c r="AD346" s="142" t="str">
        <f t="shared" si="146"/>
        <v/>
      </c>
      <c r="AE346" s="88"/>
      <c r="AF346" s="88"/>
      <c r="AG346" s="88"/>
      <c r="AH346" s="88"/>
      <c r="AI346" s="88"/>
      <c r="AJ346" s="88"/>
      <c r="AK346" s="88"/>
      <c r="AL346" s="88"/>
      <c r="AM346" s="88"/>
      <c r="AN346" s="88">
        <v>0</v>
      </c>
      <c r="AO346" s="89"/>
      <c r="AP346" s="90"/>
      <c r="AQ346" s="146" t="str">
        <f t="shared" si="147"/>
        <v/>
      </c>
      <c r="AR346" s="146" t="str">
        <f t="shared" si="148"/>
        <v/>
      </c>
      <c r="AS346" s="147"/>
      <c r="AT346" s="148"/>
      <c r="AU346" s="149"/>
      <c r="AV346" s="146" t="str">
        <f t="shared" si="149"/>
        <v/>
      </c>
      <c r="AW346" s="146" t="str">
        <f t="shared" si="150"/>
        <v/>
      </c>
      <c r="AX346" s="138" t="str">
        <f t="shared" si="151"/>
        <v/>
      </c>
      <c r="AY346" s="95"/>
      <c r="AZ346" s="96"/>
      <c r="BA346" s="96"/>
      <c r="BB346" s="96"/>
      <c r="BC346" s="96"/>
      <c r="BD346" s="97">
        <v>0</v>
      </c>
      <c r="BE346" s="142" t="str">
        <f t="shared" si="152"/>
        <v/>
      </c>
      <c r="BF346" s="88">
        <v>0</v>
      </c>
      <c r="BG346" s="98">
        <v>0</v>
      </c>
      <c r="BH346" s="98">
        <v>0</v>
      </c>
      <c r="BI346" s="98">
        <v>0</v>
      </c>
      <c r="BJ346" s="98"/>
      <c r="BK346" s="98"/>
      <c r="BL346" s="97"/>
    </row>
    <row r="347" spans="1:64" outlineLevel="5" x14ac:dyDescent="0.3">
      <c r="A347" s="152">
        <f t="shared" si="136"/>
        <v>10</v>
      </c>
      <c r="B347" s="153">
        <f t="shared" si="121"/>
        <v>45586</v>
      </c>
      <c r="C347" s="138" t="str">
        <f t="shared" si="143"/>
        <v/>
      </c>
      <c r="D347" s="186"/>
      <c r="E347" s="186"/>
      <c r="F347" s="84"/>
      <c r="G347" s="84"/>
      <c r="H347" s="84"/>
      <c r="I347" s="84"/>
      <c r="J347" s="84"/>
      <c r="K347" s="84"/>
      <c r="L347" s="140" t="str">
        <f t="shared" si="144"/>
        <v/>
      </c>
      <c r="M347" s="86"/>
      <c r="N347" s="86"/>
      <c r="O347" s="86"/>
      <c r="P347" s="86"/>
      <c r="Q347" s="86"/>
      <c r="R347" s="86"/>
      <c r="S347" s="86"/>
      <c r="T347" s="86"/>
      <c r="U347" s="142">
        <f t="shared" si="145"/>
        <v>1032.5</v>
      </c>
      <c r="V347" s="88">
        <v>774</v>
      </c>
      <c r="W347" s="88">
        <v>1291</v>
      </c>
      <c r="X347" s="88"/>
      <c r="Y347" s="88"/>
      <c r="Z347" s="88"/>
      <c r="AA347" s="88"/>
      <c r="AB347" s="88"/>
      <c r="AC347" s="88"/>
      <c r="AD347" s="142" t="str">
        <f t="shared" si="146"/>
        <v/>
      </c>
      <c r="AE347" s="88"/>
      <c r="AF347" s="88"/>
      <c r="AG347" s="88"/>
      <c r="AH347" s="88"/>
      <c r="AI347" s="88"/>
      <c r="AJ347" s="88"/>
      <c r="AK347" s="88"/>
      <c r="AL347" s="88"/>
      <c r="AM347" s="88"/>
      <c r="AN347" s="88">
        <v>0</v>
      </c>
      <c r="AO347" s="89"/>
      <c r="AP347" s="90"/>
      <c r="AQ347" s="146" t="str">
        <f t="shared" si="147"/>
        <v/>
      </c>
      <c r="AR347" s="146" t="str">
        <f t="shared" si="148"/>
        <v/>
      </c>
      <c r="AS347" s="147"/>
      <c r="AT347" s="148">
        <v>16.350000000000001</v>
      </c>
      <c r="AU347" s="149">
        <v>9.75</v>
      </c>
      <c r="AV347" s="146">
        <f t="shared" si="149"/>
        <v>59.633027522935777</v>
      </c>
      <c r="AW347" s="146">
        <f t="shared" si="150"/>
        <v>40.366972477064223</v>
      </c>
      <c r="AX347" s="138" t="str">
        <f t="shared" si="151"/>
        <v/>
      </c>
      <c r="AY347" s="95">
        <v>76.8</v>
      </c>
      <c r="AZ347" s="96"/>
      <c r="BA347" s="96"/>
      <c r="BB347" s="96"/>
      <c r="BC347" s="96"/>
      <c r="BD347" s="97">
        <v>0</v>
      </c>
      <c r="BE347" s="142" t="str">
        <f t="shared" si="152"/>
        <v/>
      </c>
      <c r="BF347" s="88">
        <v>0</v>
      </c>
      <c r="BG347" s="98">
        <v>0</v>
      </c>
      <c r="BH347" s="98">
        <v>0</v>
      </c>
      <c r="BI347" s="98">
        <v>0</v>
      </c>
      <c r="BJ347" s="98"/>
      <c r="BK347" s="98"/>
      <c r="BL347" s="97"/>
    </row>
    <row r="348" spans="1:64" outlineLevel="5" x14ac:dyDescent="0.3">
      <c r="A348" s="152">
        <f t="shared" si="136"/>
        <v>10</v>
      </c>
      <c r="B348" s="153">
        <f t="shared" si="121"/>
        <v>45587</v>
      </c>
      <c r="C348" s="138" t="str">
        <f t="shared" si="143"/>
        <v/>
      </c>
      <c r="D348" s="186"/>
      <c r="E348" s="186"/>
      <c r="F348" s="84"/>
      <c r="G348" s="84"/>
      <c r="H348" s="84"/>
      <c r="I348" s="84"/>
      <c r="J348" s="84"/>
      <c r="K348" s="84"/>
      <c r="L348" s="140" t="str">
        <f t="shared" si="144"/>
        <v/>
      </c>
      <c r="M348" s="86"/>
      <c r="N348" s="86"/>
      <c r="O348" s="86"/>
      <c r="P348" s="86"/>
      <c r="Q348" s="86"/>
      <c r="R348" s="86"/>
      <c r="S348" s="86"/>
      <c r="T348" s="86"/>
      <c r="U348" s="142" t="str">
        <f t="shared" si="145"/>
        <v/>
      </c>
      <c r="V348" s="88"/>
      <c r="W348" s="88"/>
      <c r="X348" s="88"/>
      <c r="Y348" s="88"/>
      <c r="Z348" s="88"/>
      <c r="AA348" s="88"/>
      <c r="AB348" s="88"/>
      <c r="AC348" s="88"/>
      <c r="AD348" s="142" t="str">
        <f t="shared" si="146"/>
        <v/>
      </c>
      <c r="AE348" s="88"/>
      <c r="AF348" s="88"/>
      <c r="AG348" s="88"/>
      <c r="AH348" s="88"/>
      <c r="AI348" s="88"/>
      <c r="AJ348" s="88"/>
      <c r="AK348" s="88"/>
      <c r="AL348" s="88"/>
      <c r="AM348" s="88"/>
      <c r="AN348" s="88">
        <v>0</v>
      </c>
      <c r="AO348" s="89"/>
      <c r="AP348" s="90"/>
      <c r="AQ348" s="146" t="str">
        <f t="shared" si="147"/>
        <v/>
      </c>
      <c r="AR348" s="146" t="str">
        <f t="shared" si="148"/>
        <v/>
      </c>
      <c r="AS348" s="147"/>
      <c r="AT348" s="148"/>
      <c r="AU348" s="149"/>
      <c r="AV348" s="146" t="str">
        <f t="shared" si="149"/>
        <v/>
      </c>
      <c r="AW348" s="146" t="str">
        <f t="shared" si="150"/>
        <v/>
      </c>
      <c r="AX348" s="138" t="str">
        <f t="shared" si="151"/>
        <v/>
      </c>
      <c r="AY348" s="95"/>
      <c r="AZ348" s="96"/>
      <c r="BA348" s="96"/>
      <c r="BB348" s="96"/>
      <c r="BC348" s="96"/>
      <c r="BD348" s="97">
        <v>0</v>
      </c>
      <c r="BE348" s="142" t="str">
        <f t="shared" si="152"/>
        <v/>
      </c>
      <c r="BF348" s="88">
        <v>0</v>
      </c>
      <c r="BG348" s="98">
        <v>0</v>
      </c>
      <c r="BH348" s="98">
        <v>0</v>
      </c>
      <c r="BI348" s="98">
        <v>0</v>
      </c>
      <c r="BJ348" s="98"/>
      <c r="BK348" s="98"/>
      <c r="BL348" s="97"/>
    </row>
    <row r="349" spans="1:64" outlineLevel="5" x14ac:dyDescent="0.3">
      <c r="A349" s="152">
        <f t="shared" si="136"/>
        <v>10</v>
      </c>
      <c r="B349" s="153">
        <f t="shared" si="121"/>
        <v>45588</v>
      </c>
      <c r="C349" s="138" t="str">
        <f t="shared" si="143"/>
        <v/>
      </c>
      <c r="D349" s="186"/>
      <c r="E349" s="186"/>
      <c r="F349" s="84"/>
      <c r="G349" s="84"/>
      <c r="H349" s="84"/>
      <c r="I349" s="84"/>
      <c r="J349" s="84"/>
      <c r="K349" s="84"/>
      <c r="L349" s="140" t="str">
        <f t="shared" si="144"/>
        <v/>
      </c>
      <c r="M349" s="86"/>
      <c r="N349" s="86"/>
      <c r="O349" s="86"/>
      <c r="P349" s="86"/>
      <c r="Q349" s="86"/>
      <c r="R349" s="86"/>
      <c r="S349" s="86"/>
      <c r="T349" s="86"/>
      <c r="U349" s="142" t="str">
        <f t="shared" si="145"/>
        <v/>
      </c>
      <c r="V349" s="88"/>
      <c r="W349" s="88"/>
      <c r="X349" s="88"/>
      <c r="Y349" s="88"/>
      <c r="Z349" s="88"/>
      <c r="AA349" s="88"/>
      <c r="AB349" s="88"/>
      <c r="AC349" s="88"/>
      <c r="AD349" s="142">
        <f t="shared" si="146"/>
        <v>16310</v>
      </c>
      <c r="AE349" s="88">
        <v>17550</v>
      </c>
      <c r="AF349" s="88">
        <v>15070</v>
      </c>
      <c r="AG349" s="88"/>
      <c r="AH349" s="88"/>
      <c r="AI349" s="88"/>
      <c r="AJ349" s="88"/>
      <c r="AK349" s="88"/>
      <c r="AL349" s="88"/>
      <c r="AM349" s="88">
        <v>104.88888888888889</v>
      </c>
      <c r="AN349" s="88">
        <v>45</v>
      </c>
      <c r="AO349" s="89"/>
      <c r="AP349" s="90"/>
      <c r="AQ349" s="146" t="str">
        <f t="shared" si="147"/>
        <v/>
      </c>
      <c r="AR349" s="146" t="str">
        <f t="shared" si="148"/>
        <v/>
      </c>
      <c r="AS349" s="147"/>
      <c r="AT349" s="148"/>
      <c r="AU349" s="149"/>
      <c r="AV349" s="146" t="str">
        <f t="shared" si="149"/>
        <v/>
      </c>
      <c r="AW349" s="146" t="str">
        <f t="shared" si="150"/>
        <v/>
      </c>
      <c r="AX349" s="138" t="str">
        <f t="shared" si="151"/>
        <v/>
      </c>
      <c r="AY349" s="95"/>
      <c r="AZ349" s="96">
        <v>62.400000000000006</v>
      </c>
      <c r="BA349" s="96"/>
      <c r="BB349" s="96">
        <v>13</v>
      </c>
      <c r="BC349" s="96"/>
      <c r="BD349" s="97">
        <v>45</v>
      </c>
      <c r="BE349" s="142" t="str">
        <f t="shared" si="152"/>
        <v/>
      </c>
      <c r="BF349" s="88">
        <v>0</v>
      </c>
      <c r="BG349" s="98">
        <v>0</v>
      </c>
      <c r="BH349" s="98">
        <v>0</v>
      </c>
      <c r="BI349" s="98">
        <v>0</v>
      </c>
      <c r="BJ349" s="98"/>
      <c r="BK349" s="98"/>
      <c r="BL349" s="97"/>
    </row>
    <row r="350" spans="1:64" outlineLevel="5" x14ac:dyDescent="0.3">
      <c r="A350" s="152">
        <f t="shared" si="136"/>
        <v>10</v>
      </c>
      <c r="B350" s="153">
        <f t="shared" si="121"/>
        <v>45589</v>
      </c>
      <c r="C350" s="138" t="str">
        <f t="shared" si="143"/>
        <v/>
      </c>
      <c r="D350" s="186"/>
      <c r="E350" s="186"/>
      <c r="F350" s="84"/>
      <c r="G350" s="84"/>
      <c r="H350" s="84"/>
      <c r="I350" s="84"/>
      <c r="J350" s="84"/>
      <c r="K350" s="84"/>
      <c r="L350" s="140" t="str">
        <f t="shared" si="144"/>
        <v/>
      </c>
      <c r="M350" s="86"/>
      <c r="N350" s="86"/>
      <c r="O350" s="86"/>
      <c r="P350" s="86"/>
      <c r="Q350" s="86"/>
      <c r="R350" s="86"/>
      <c r="S350" s="86"/>
      <c r="T350" s="86"/>
      <c r="U350" s="142" t="str">
        <f t="shared" si="145"/>
        <v/>
      </c>
      <c r="V350" s="88"/>
      <c r="W350" s="88"/>
      <c r="X350" s="88"/>
      <c r="Y350" s="88"/>
      <c r="Z350" s="88"/>
      <c r="AA350" s="88"/>
      <c r="AB350" s="88"/>
      <c r="AC350" s="88"/>
      <c r="AD350" s="142" t="str">
        <f t="shared" si="146"/>
        <v/>
      </c>
      <c r="AE350" s="88"/>
      <c r="AF350" s="88"/>
      <c r="AG350" s="88"/>
      <c r="AH350" s="88"/>
      <c r="AI350" s="88"/>
      <c r="AJ350" s="88"/>
      <c r="AK350" s="88"/>
      <c r="AL350" s="88"/>
      <c r="AM350" s="88">
        <v>134.85714285714286</v>
      </c>
      <c r="AN350" s="88">
        <v>35</v>
      </c>
      <c r="AO350" s="89"/>
      <c r="AP350" s="90"/>
      <c r="AQ350" s="146" t="str">
        <f t="shared" si="147"/>
        <v/>
      </c>
      <c r="AR350" s="146" t="str">
        <f t="shared" si="148"/>
        <v/>
      </c>
      <c r="AS350" s="147"/>
      <c r="AT350" s="148"/>
      <c r="AU350" s="149"/>
      <c r="AV350" s="146" t="str">
        <f t="shared" si="149"/>
        <v/>
      </c>
      <c r="AW350" s="146" t="str">
        <f t="shared" si="150"/>
        <v/>
      </c>
      <c r="AX350" s="138" t="str">
        <f t="shared" si="151"/>
        <v/>
      </c>
      <c r="AY350" s="95"/>
      <c r="AZ350" s="96"/>
      <c r="BA350" s="96"/>
      <c r="BB350" s="96"/>
      <c r="BC350" s="96"/>
      <c r="BD350" s="97">
        <v>35</v>
      </c>
      <c r="BE350" s="142">
        <f t="shared" si="152"/>
        <v>1982</v>
      </c>
      <c r="BF350" s="88">
        <v>0</v>
      </c>
      <c r="BG350" s="98">
        <v>0</v>
      </c>
      <c r="BH350" s="98">
        <v>0</v>
      </c>
      <c r="BI350" s="98">
        <v>1982</v>
      </c>
      <c r="BJ350" s="98"/>
      <c r="BK350" s="98"/>
      <c r="BL350" s="97"/>
    </row>
    <row r="351" spans="1:64" outlineLevel="5" x14ac:dyDescent="0.3">
      <c r="A351" s="152">
        <f t="shared" si="136"/>
        <v>10</v>
      </c>
      <c r="B351" s="153">
        <f t="shared" si="121"/>
        <v>45590</v>
      </c>
      <c r="C351" s="138" t="str">
        <f t="shared" si="143"/>
        <v/>
      </c>
      <c r="D351" s="186"/>
      <c r="E351" s="186"/>
      <c r="F351" s="84"/>
      <c r="G351" s="84"/>
      <c r="H351" s="84"/>
      <c r="I351" s="84"/>
      <c r="J351" s="84"/>
      <c r="K351" s="84"/>
      <c r="L351" s="140" t="str">
        <f t="shared" si="144"/>
        <v/>
      </c>
      <c r="M351" s="86"/>
      <c r="N351" s="86"/>
      <c r="O351" s="86"/>
      <c r="P351" s="86"/>
      <c r="Q351" s="86"/>
      <c r="R351" s="86"/>
      <c r="S351" s="86"/>
      <c r="T351" s="86"/>
      <c r="U351" s="142" t="str">
        <f t="shared" si="145"/>
        <v/>
      </c>
      <c r="V351" s="88"/>
      <c r="W351" s="88"/>
      <c r="X351" s="88"/>
      <c r="Y351" s="88"/>
      <c r="Z351" s="88"/>
      <c r="AA351" s="88"/>
      <c r="AB351" s="88"/>
      <c r="AC351" s="88"/>
      <c r="AD351" s="142" t="str">
        <f t="shared" si="146"/>
        <v/>
      </c>
      <c r="AE351" s="88"/>
      <c r="AF351" s="88"/>
      <c r="AG351" s="88"/>
      <c r="AH351" s="88"/>
      <c r="AI351" s="88"/>
      <c r="AJ351" s="88"/>
      <c r="AK351" s="88"/>
      <c r="AL351" s="88"/>
      <c r="AM351" s="88">
        <v>136.65315576143598</v>
      </c>
      <c r="AN351" s="88">
        <v>34.540000000000006</v>
      </c>
      <c r="AO351" s="89"/>
      <c r="AP351" s="90"/>
      <c r="AQ351" s="146" t="str">
        <f t="shared" si="147"/>
        <v/>
      </c>
      <c r="AR351" s="146" t="str">
        <f t="shared" si="148"/>
        <v/>
      </c>
      <c r="AS351" s="147"/>
      <c r="AT351" s="148"/>
      <c r="AU351" s="149"/>
      <c r="AV351" s="146" t="str">
        <f t="shared" si="149"/>
        <v/>
      </c>
      <c r="AW351" s="146" t="str">
        <f t="shared" si="150"/>
        <v/>
      </c>
      <c r="AX351" s="138" t="str">
        <f t="shared" si="151"/>
        <v/>
      </c>
      <c r="AY351" s="95"/>
      <c r="AZ351" s="96"/>
      <c r="BA351" s="96"/>
      <c r="BB351" s="96"/>
      <c r="BC351" s="96"/>
      <c r="BD351" s="97">
        <v>34.540000000000006</v>
      </c>
      <c r="BE351" s="142">
        <f t="shared" si="152"/>
        <v>1434</v>
      </c>
      <c r="BF351" s="88">
        <v>1434</v>
      </c>
      <c r="BG351" s="98">
        <v>0</v>
      </c>
      <c r="BH351" s="98">
        <v>0</v>
      </c>
      <c r="BI351" s="98">
        <v>0</v>
      </c>
      <c r="BJ351" s="98"/>
      <c r="BK351" s="98"/>
      <c r="BL351" s="97"/>
    </row>
    <row r="352" spans="1:64" outlineLevel="5" x14ac:dyDescent="0.3">
      <c r="A352" s="152">
        <f t="shared" si="136"/>
        <v>10</v>
      </c>
      <c r="B352" s="153">
        <f t="shared" ref="B352:B415" si="153">B351+1</f>
        <v>45591</v>
      </c>
      <c r="C352" s="138" t="str">
        <f t="shared" si="143"/>
        <v/>
      </c>
      <c r="D352" s="186"/>
      <c r="E352" s="186"/>
      <c r="F352" s="84"/>
      <c r="G352" s="84"/>
      <c r="H352" s="84"/>
      <c r="I352" s="84"/>
      <c r="J352" s="84"/>
      <c r="K352" s="84"/>
      <c r="L352" s="140" t="str">
        <f t="shared" si="144"/>
        <v/>
      </c>
      <c r="M352" s="86"/>
      <c r="N352" s="86"/>
      <c r="O352" s="86"/>
      <c r="P352" s="86"/>
      <c r="Q352" s="86"/>
      <c r="R352" s="86"/>
      <c r="S352" s="86"/>
      <c r="T352" s="86"/>
      <c r="U352" s="142" t="str">
        <f t="shared" si="145"/>
        <v/>
      </c>
      <c r="V352" s="88"/>
      <c r="W352" s="88"/>
      <c r="X352" s="88"/>
      <c r="Y352" s="88"/>
      <c r="Z352" s="88"/>
      <c r="AA352" s="88"/>
      <c r="AB352" s="88"/>
      <c r="AC352" s="88"/>
      <c r="AD352" s="142" t="str">
        <f t="shared" si="146"/>
        <v/>
      </c>
      <c r="AE352" s="88"/>
      <c r="AF352" s="88"/>
      <c r="AG352" s="88"/>
      <c r="AH352" s="88"/>
      <c r="AI352" s="88"/>
      <c r="AJ352" s="88"/>
      <c r="AK352" s="88"/>
      <c r="AL352" s="88"/>
      <c r="AM352" s="88">
        <v>70.416231538117259</v>
      </c>
      <c r="AN352" s="88">
        <v>67.03</v>
      </c>
      <c r="AO352" s="89"/>
      <c r="AP352" s="90"/>
      <c r="AQ352" s="146" t="str">
        <f t="shared" si="147"/>
        <v/>
      </c>
      <c r="AR352" s="146" t="str">
        <f t="shared" si="148"/>
        <v/>
      </c>
      <c r="AS352" s="147"/>
      <c r="AT352" s="148"/>
      <c r="AU352" s="149"/>
      <c r="AV352" s="146" t="str">
        <f t="shared" si="149"/>
        <v/>
      </c>
      <c r="AW352" s="146" t="str">
        <f t="shared" si="150"/>
        <v/>
      </c>
      <c r="AX352" s="138" t="str">
        <f t="shared" si="151"/>
        <v/>
      </c>
      <c r="AY352" s="95"/>
      <c r="AZ352" s="96"/>
      <c r="BA352" s="96"/>
      <c r="BB352" s="96"/>
      <c r="BC352" s="96"/>
      <c r="BD352" s="97">
        <v>67.03</v>
      </c>
      <c r="BE352" s="142">
        <f t="shared" si="152"/>
        <v>2250</v>
      </c>
      <c r="BF352" s="88">
        <v>2250</v>
      </c>
      <c r="BG352" s="98">
        <v>0</v>
      </c>
      <c r="BH352" s="98">
        <v>0</v>
      </c>
      <c r="BI352" s="98">
        <v>0</v>
      </c>
      <c r="BJ352" s="98"/>
      <c r="BK352" s="98"/>
      <c r="BL352" s="97"/>
    </row>
    <row r="353" spans="1:64" outlineLevel="5" x14ac:dyDescent="0.3">
      <c r="A353" s="152">
        <f t="shared" si="136"/>
        <v>10</v>
      </c>
      <c r="B353" s="153">
        <f t="shared" si="153"/>
        <v>45592</v>
      </c>
      <c r="C353" s="138" t="str">
        <f t="shared" si="143"/>
        <v/>
      </c>
      <c r="D353" s="186"/>
      <c r="E353" s="186"/>
      <c r="F353" s="84"/>
      <c r="G353" s="84"/>
      <c r="H353" s="84"/>
      <c r="I353" s="84"/>
      <c r="J353" s="84"/>
      <c r="K353" s="84"/>
      <c r="L353" s="140" t="str">
        <f t="shared" si="144"/>
        <v/>
      </c>
      <c r="M353" s="86"/>
      <c r="N353" s="86"/>
      <c r="O353" s="86"/>
      <c r="P353" s="86"/>
      <c r="Q353" s="86"/>
      <c r="R353" s="86"/>
      <c r="S353" s="86"/>
      <c r="T353" s="86"/>
      <c r="U353" s="142" t="str">
        <f t="shared" si="145"/>
        <v/>
      </c>
      <c r="V353" s="88"/>
      <c r="W353" s="88"/>
      <c r="X353" s="88"/>
      <c r="Y353" s="88"/>
      <c r="Z353" s="88"/>
      <c r="AA353" s="88"/>
      <c r="AB353" s="88"/>
      <c r="AC353" s="88"/>
      <c r="AD353" s="142" t="str">
        <f t="shared" si="146"/>
        <v/>
      </c>
      <c r="AE353" s="88"/>
      <c r="AF353" s="88"/>
      <c r="AG353" s="88"/>
      <c r="AH353" s="88"/>
      <c r="AI353" s="88"/>
      <c r="AJ353" s="88"/>
      <c r="AK353" s="88"/>
      <c r="AL353" s="88"/>
      <c r="AM353" s="88">
        <v>42.909090909090907</v>
      </c>
      <c r="AN353" s="88">
        <v>110</v>
      </c>
      <c r="AO353" s="89"/>
      <c r="AP353" s="90"/>
      <c r="AQ353" s="146" t="str">
        <f t="shared" si="147"/>
        <v/>
      </c>
      <c r="AR353" s="146" t="str">
        <f t="shared" si="148"/>
        <v/>
      </c>
      <c r="AS353" s="147"/>
      <c r="AT353" s="148"/>
      <c r="AU353" s="149"/>
      <c r="AV353" s="146" t="str">
        <f t="shared" si="149"/>
        <v/>
      </c>
      <c r="AW353" s="146" t="str">
        <f t="shared" si="150"/>
        <v/>
      </c>
      <c r="AX353" s="138" t="str">
        <f t="shared" si="151"/>
        <v/>
      </c>
      <c r="AY353" s="95"/>
      <c r="AZ353" s="96"/>
      <c r="BA353" s="96"/>
      <c r="BB353" s="96"/>
      <c r="BC353" s="96"/>
      <c r="BD353" s="97">
        <v>110</v>
      </c>
      <c r="BE353" s="142">
        <f t="shared" si="152"/>
        <v>2103</v>
      </c>
      <c r="BF353" s="88">
        <v>2103</v>
      </c>
      <c r="BG353" s="98">
        <v>0</v>
      </c>
      <c r="BH353" s="98">
        <v>0</v>
      </c>
      <c r="BI353" s="98">
        <v>0</v>
      </c>
      <c r="BJ353" s="98"/>
      <c r="BK353" s="98"/>
      <c r="BL353" s="97"/>
    </row>
    <row r="354" spans="1:64" outlineLevel="5" x14ac:dyDescent="0.3">
      <c r="A354" s="152">
        <f t="shared" si="136"/>
        <v>10</v>
      </c>
      <c r="B354" s="153">
        <f t="shared" si="153"/>
        <v>45593</v>
      </c>
      <c r="C354" s="138" t="str">
        <f t="shared" si="143"/>
        <v/>
      </c>
      <c r="D354" s="186"/>
      <c r="E354" s="186"/>
      <c r="F354" s="84"/>
      <c r="G354" s="84"/>
      <c r="H354" s="84"/>
      <c r="I354" s="84"/>
      <c r="J354" s="84"/>
      <c r="K354" s="84"/>
      <c r="L354" s="140" t="str">
        <f t="shared" si="144"/>
        <v/>
      </c>
      <c r="M354" s="86"/>
      <c r="N354" s="86"/>
      <c r="O354" s="86"/>
      <c r="P354" s="86"/>
      <c r="Q354" s="86"/>
      <c r="R354" s="86"/>
      <c r="S354" s="86"/>
      <c r="T354" s="86"/>
      <c r="U354" s="142">
        <f t="shared" si="145"/>
        <v>566</v>
      </c>
      <c r="V354" s="88">
        <v>587</v>
      </c>
      <c r="W354" s="88">
        <v>545</v>
      </c>
      <c r="X354" s="88"/>
      <c r="Y354" s="88"/>
      <c r="Z354" s="88"/>
      <c r="AA354" s="88"/>
      <c r="AB354" s="88"/>
      <c r="AC354" s="88"/>
      <c r="AD354" s="142" t="str">
        <f t="shared" si="146"/>
        <v/>
      </c>
      <c r="AE354" s="88"/>
      <c r="AF354" s="88"/>
      <c r="AG354" s="88"/>
      <c r="AH354" s="88"/>
      <c r="AI354" s="88"/>
      <c r="AJ354" s="88"/>
      <c r="AK354" s="88"/>
      <c r="AL354" s="88"/>
      <c r="AM354" s="88">
        <v>39.124668435013255</v>
      </c>
      <c r="AN354" s="88">
        <v>120.64000000000001</v>
      </c>
      <c r="AO354" s="89">
        <v>18.600000000000001</v>
      </c>
      <c r="AP354" s="90">
        <v>16.3</v>
      </c>
      <c r="AQ354" s="146">
        <f t="shared" si="147"/>
        <v>87.634408602150543</v>
      </c>
      <c r="AR354" s="146">
        <f t="shared" si="148"/>
        <v>12.365591397849457</v>
      </c>
      <c r="AS354" s="147"/>
      <c r="AT354" s="148">
        <v>15.5</v>
      </c>
      <c r="AU354" s="149">
        <v>9.6</v>
      </c>
      <c r="AV354" s="146">
        <f t="shared" si="149"/>
        <v>61.935483870967744</v>
      </c>
      <c r="AW354" s="146">
        <f t="shared" si="150"/>
        <v>38.064516129032256</v>
      </c>
      <c r="AX354" s="138">
        <f t="shared" si="151"/>
        <v>77.040657169595519</v>
      </c>
      <c r="AY354" s="95">
        <v>78.55</v>
      </c>
      <c r="AZ354" s="96"/>
      <c r="BA354" s="96"/>
      <c r="BB354" s="96"/>
      <c r="BC354" s="96"/>
      <c r="BD354" s="97">
        <v>120.64000000000001</v>
      </c>
      <c r="BE354" s="142">
        <f t="shared" si="152"/>
        <v>4820</v>
      </c>
      <c r="BF354" s="88">
        <v>1725</v>
      </c>
      <c r="BG354" s="98">
        <v>0</v>
      </c>
      <c r="BH354" s="98">
        <v>0</v>
      </c>
      <c r="BI354" s="98">
        <v>3095</v>
      </c>
      <c r="BJ354" s="98"/>
      <c r="BK354" s="98"/>
      <c r="BL354" s="97"/>
    </row>
    <row r="355" spans="1:64" outlineLevel="5" x14ac:dyDescent="0.3">
      <c r="A355" s="152">
        <f t="shared" si="136"/>
        <v>10</v>
      </c>
      <c r="B355" s="153">
        <f t="shared" si="153"/>
        <v>45594</v>
      </c>
      <c r="C355" s="138">
        <f t="shared" si="143"/>
        <v>40.299999999999997</v>
      </c>
      <c r="D355" s="186"/>
      <c r="E355" s="186">
        <v>40.299999999999997</v>
      </c>
      <c r="F355" s="84"/>
      <c r="G355" s="84"/>
      <c r="H355" s="84"/>
      <c r="I355" s="84"/>
      <c r="J355" s="84"/>
      <c r="K355" s="84"/>
      <c r="L355" s="140" t="str">
        <f t="shared" si="144"/>
        <v/>
      </c>
      <c r="M355" s="86"/>
      <c r="N355" s="86"/>
      <c r="O355" s="86"/>
      <c r="P355" s="86"/>
      <c r="Q355" s="86"/>
      <c r="R355" s="86"/>
      <c r="S355" s="86"/>
      <c r="T355" s="86"/>
      <c r="U355" s="142" t="str">
        <f t="shared" si="145"/>
        <v/>
      </c>
      <c r="V355" s="88"/>
      <c r="W355" s="88"/>
      <c r="X355" s="88"/>
      <c r="Y355" s="88"/>
      <c r="Z355" s="88"/>
      <c r="AA355" s="88"/>
      <c r="AB355" s="88"/>
      <c r="AC355" s="88"/>
      <c r="AD355" s="142" t="str">
        <f t="shared" si="146"/>
        <v/>
      </c>
      <c r="AE355" s="88"/>
      <c r="AF355" s="88"/>
      <c r="AG355" s="88"/>
      <c r="AH355" s="88"/>
      <c r="AI355" s="88"/>
      <c r="AJ355" s="88"/>
      <c r="AK355" s="88"/>
      <c r="AL355" s="88"/>
      <c r="AM355" s="88">
        <v>50.18073570061663</v>
      </c>
      <c r="AN355" s="88">
        <v>94.06</v>
      </c>
      <c r="AO355" s="89"/>
      <c r="AP355" s="90"/>
      <c r="AQ355" s="146" t="str">
        <f t="shared" si="147"/>
        <v/>
      </c>
      <c r="AR355" s="146" t="str">
        <f t="shared" si="148"/>
        <v/>
      </c>
      <c r="AS355" s="147"/>
      <c r="AT355" s="148"/>
      <c r="AU355" s="149"/>
      <c r="AV355" s="146" t="str">
        <f t="shared" si="149"/>
        <v/>
      </c>
      <c r="AW355" s="146" t="str">
        <f t="shared" si="150"/>
        <v/>
      </c>
      <c r="AX355" s="138" t="str">
        <f t="shared" si="151"/>
        <v/>
      </c>
      <c r="AY355" s="95"/>
      <c r="AZ355" s="96">
        <v>60.65</v>
      </c>
      <c r="BA355" s="96"/>
      <c r="BB355" s="96">
        <v>51</v>
      </c>
      <c r="BC355" s="96"/>
      <c r="BD355" s="97">
        <v>94.06</v>
      </c>
      <c r="BE355" s="142">
        <f t="shared" si="152"/>
        <v>7601</v>
      </c>
      <c r="BF355" s="88">
        <v>1927</v>
      </c>
      <c r="BG355" s="98">
        <v>0</v>
      </c>
      <c r="BH355" s="98">
        <v>0</v>
      </c>
      <c r="BI355" s="98">
        <v>5674</v>
      </c>
      <c r="BJ355" s="98"/>
      <c r="BK355" s="98"/>
      <c r="BL355" s="97"/>
    </row>
    <row r="356" spans="1:64" outlineLevel="5" x14ac:dyDescent="0.3">
      <c r="A356" s="152">
        <f t="shared" si="136"/>
        <v>10</v>
      </c>
      <c r="B356" s="153">
        <f t="shared" si="153"/>
        <v>45595</v>
      </c>
      <c r="C356" s="138" t="str">
        <f t="shared" si="143"/>
        <v/>
      </c>
      <c r="D356" s="186"/>
      <c r="E356" s="186"/>
      <c r="F356" s="84"/>
      <c r="G356" s="84"/>
      <c r="H356" s="84"/>
      <c r="I356" s="84"/>
      <c r="J356" s="84"/>
      <c r="K356" s="84"/>
      <c r="L356" s="140" t="str">
        <f t="shared" si="144"/>
        <v/>
      </c>
      <c r="M356" s="86"/>
      <c r="N356" s="86"/>
      <c r="O356" s="86"/>
      <c r="P356" s="86"/>
      <c r="Q356" s="86"/>
      <c r="R356" s="86"/>
      <c r="S356" s="86"/>
      <c r="T356" s="86"/>
      <c r="U356" s="142" t="str">
        <f t="shared" si="145"/>
        <v/>
      </c>
      <c r="V356" s="88"/>
      <c r="W356" s="88"/>
      <c r="X356" s="88"/>
      <c r="Y356" s="88"/>
      <c r="Z356" s="88"/>
      <c r="AA356" s="88"/>
      <c r="AB356" s="88"/>
      <c r="AC356" s="88"/>
      <c r="AD356" s="142">
        <f t="shared" si="146"/>
        <v>16030</v>
      </c>
      <c r="AE356" s="88">
        <v>16580</v>
      </c>
      <c r="AF356" s="88">
        <v>15480</v>
      </c>
      <c r="AG356" s="88"/>
      <c r="AH356" s="88"/>
      <c r="AI356" s="88"/>
      <c r="AJ356" s="88"/>
      <c r="AK356" s="88"/>
      <c r="AL356" s="88"/>
      <c r="AM356" s="88">
        <v>51.38813282525858</v>
      </c>
      <c r="AN356" s="88">
        <v>91.85</v>
      </c>
      <c r="AO356" s="89"/>
      <c r="AP356" s="90"/>
      <c r="AQ356" s="146" t="str">
        <f t="shared" si="147"/>
        <v/>
      </c>
      <c r="AR356" s="146" t="str">
        <f t="shared" si="148"/>
        <v/>
      </c>
      <c r="AS356" s="147"/>
      <c r="AT356" s="148"/>
      <c r="AU356" s="149"/>
      <c r="AV356" s="146" t="str">
        <f t="shared" si="149"/>
        <v/>
      </c>
      <c r="AW356" s="146" t="str">
        <f t="shared" si="150"/>
        <v/>
      </c>
      <c r="AX356" s="138" t="str">
        <f t="shared" si="151"/>
        <v/>
      </c>
      <c r="AY356" s="95"/>
      <c r="AZ356" s="96"/>
      <c r="BA356" s="96"/>
      <c r="BB356" s="96"/>
      <c r="BC356" s="96"/>
      <c r="BD356" s="97">
        <v>91.85</v>
      </c>
      <c r="BE356" s="142">
        <f t="shared" si="152"/>
        <v>8254</v>
      </c>
      <c r="BF356" s="88">
        <v>2235</v>
      </c>
      <c r="BG356" s="98">
        <v>0</v>
      </c>
      <c r="BH356" s="98">
        <v>0</v>
      </c>
      <c r="BI356" s="98">
        <v>6019</v>
      </c>
      <c r="BJ356" s="98"/>
      <c r="BK356" s="98"/>
      <c r="BL356" s="97"/>
    </row>
    <row r="357" spans="1:64" ht="17.25" outlineLevel="5" thickBot="1" x14ac:dyDescent="0.35">
      <c r="A357" s="154">
        <f t="shared" si="136"/>
        <v>10</v>
      </c>
      <c r="B357" s="155">
        <f t="shared" si="153"/>
        <v>45596</v>
      </c>
      <c r="C357" s="138">
        <f t="shared" si="143"/>
        <v>38.200000000000003</v>
      </c>
      <c r="D357" s="186">
        <v>38.1</v>
      </c>
      <c r="E357" s="186">
        <v>38.299999999999997</v>
      </c>
      <c r="F357" s="84"/>
      <c r="G357" s="84"/>
      <c r="H357" s="84"/>
      <c r="I357" s="84"/>
      <c r="J357" s="84"/>
      <c r="K357" s="84"/>
      <c r="L357" s="140" t="str">
        <f t="shared" si="144"/>
        <v/>
      </c>
      <c r="M357" s="86"/>
      <c r="N357" s="86"/>
      <c r="O357" s="86"/>
      <c r="P357" s="86"/>
      <c r="Q357" s="86"/>
      <c r="R357" s="86"/>
      <c r="S357" s="86"/>
      <c r="T357" s="86"/>
      <c r="U357" s="142" t="str">
        <f t="shared" si="145"/>
        <v/>
      </c>
      <c r="V357" s="88"/>
      <c r="W357" s="88"/>
      <c r="X357" s="88"/>
      <c r="Y357" s="88"/>
      <c r="Z357" s="88"/>
      <c r="AA357" s="88"/>
      <c r="AB357" s="88"/>
      <c r="AC357" s="88"/>
      <c r="AD357" s="142" t="str">
        <f t="shared" si="146"/>
        <v/>
      </c>
      <c r="AE357" s="88"/>
      <c r="AF357" s="88"/>
      <c r="AG357" s="88"/>
      <c r="AH357" s="88"/>
      <c r="AI357" s="88"/>
      <c r="AJ357" s="88"/>
      <c r="AK357" s="88"/>
      <c r="AL357" s="88"/>
      <c r="AM357" s="88">
        <v>46.292663789721459</v>
      </c>
      <c r="AN357" s="88">
        <v>101.96000000000001</v>
      </c>
      <c r="AO357" s="89"/>
      <c r="AP357" s="90"/>
      <c r="AQ357" s="146" t="str">
        <f t="shared" si="147"/>
        <v/>
      </c>
      <c r="AR357" s="146" t="str">
        <f t="shared" si="148"/>
        <v/>
      </c>
      <c r="AS357" s="147"/>
      <c r="AT357" s="148"/>
      <c r="AU357" s="149"/>
      <c r="AV357" s="146" t="str">
        <f t="shared" si="149"/>
        <v/>
      </c>
      <c r="AW357" s="146" t="str">
        <f t="shared" si="150"/>
        <v/>
      </c>
      <c r="AX357" s="138" t="str">
        <f t="shared" si="151"/>
        <v/>
      </c>
      <c r="AY357" s="95"/>
      <c r="AZ357" s="96">
        <v>62.93</v>
      </c>
      <c r="BA357" s="96"/>
      <c r="BB357" s="96">
        <v>42.5</v>
      </c>
      <c r="BC357" s="96"/>
      <c r="BD357" s="97">
        <v>101.96000000000001</v>
      </c>
      <c r="BE357" s="142">
        <f t="shared" si="152"/>
        <v>8693</v>
      </c>
      <c r="BF357" s="88">
        <v>2268</v>
      </c>
      <c r="BG357" s="98">
        <v>0</v>
      </c>
      <c r="BH357" s="98">
        <v>0</v>
      </c>
      <c r="BI357" s="98">
        <v>6425</v>
      </c>
      <c r="BJ357" s="98"/>
      <c r="BK357" s="98"/>
      <c r="BL357" s="97"/>
    </row>
    <row r="358" spans="1:64" outlineLevel="4" x14ac:dyDescent="0.3">
      <c r="A358" s="63" t="s">
        <v>93</v>
      </c>
      <c r="B358" s="64"/>
      <c r="C358" s="65">
        <f t="shared" ref="C358:BL358" si="154">SUBTOTAL(4,C327:C357)</f>
        <v>40.299999999999997</v>
      </c>
      <c r="D358" s="66">
        <f t="shared" si="154"/>
        <v>38.1</v>
      </c>
      <c r="E358" s="66">
        <f t="shared" si="154"/>
        <v>40.299999999999997</v>
      </c>
      <c r="F358" s="66">
        <f t="shared" si="154"/>
        <v>0</v>
      </c>
      <c r="G358" s="66">
        <f t="shared" si="154"/>
        <v>0</v>
      </c>
      <c r="H358" s="66">
        <f t="shared" si="154"/>
        <v>0</v>
      </c>
      <c r="I358" s="66">
        <f t="shared" si="154"/>
        <v>0</v>
      </c>
      <c r="J358" s="66">
        <f t="shared" si="154"/>
        <v>0</v>
      </c>
      <c r="K358" s="66">
        <f t="shared" si="154"/>
        <v>0</v>
      </c>
      <c r="L358" s="67">
        <f t="shared" si="154"/>
        <v>0</v>
      </c>
      <c r="M358" s="68">
        <f t="shared" si="154"/>
        <v>0</v>
      </c>
      <c r="N358" s="68">
        <f t="shared" si="154"/>
        <v>0</v>
      </c>
      <c r="O358" s="68">
        <f t="shared" si="154"/>
        <v>0</v>
      </c>
      <c r="P358" s="68">
        <f t="shared" si="154"/>
        <v>0</v>
      </c>
      <c r="Q358" s="68">
        <f t="shared" si="154"/>
        <v>0</v>
      </c>
      <c r="R358" s="68">
        <f t="shared" si="154"/>
        <v>0</v>
      </c>
      <c r="S358" s="68">
        <f t="shared" si="154"/>
        <v>0</v>
      </c>
      <c r="T358" s="68">
        <f t="shared" si="154"/>
        <v>0</v>
      </c>
      <c r="U358" s="69">
        <f t="shared" si="154"/>
        <v>1032.5</v>
      </c>
      <c r="V358" s="70">
        <f t="shared" si="154"/>
        <v>774</v>
      </c>
      <c r="W358" s="70">
        <f t="shared" si="154"/>
        <v>1291</v>
      </c>
      <c r="X358" s="70">
        <f t="shared" si="154"/>
        <v>0</v>
      </c>
      <c r="Y358" s="70">
        <f t="shared" si="154"/>
        <v>0</v>
      </c>
      <c r="Z358" s="70">
        <f t="shared" si="154"/>
        <v>0</v>
      </c>
      <c r="AA358" s="70">
        <f t="shared" si="154"/>
        <v>0</v>
      </c>
      <c r="AB358" s="70">
        <f t="shared" si="154"/>
        <v>0</v>
      </c>
      <c r="AC358" s="70">
        <f t="shared" si="154"/>
        <v>0</v>
      </c>
      <c r="AD358" s="69">
        <f t="shared" si="154"/>
        <v>19895</v>
      </c>
      <c r="AE358" s="70"/>
      <c r="AF358" s="70"/>
      <c r="AG358" s="70">
        <f t="shared" si="154"/>
        <v>0</v>
      </c>
      <c r="AH358" s="70">
        <f t="shared" si="154"/>
        <v>0</v>
      </c>
      <c r="AI358" s="70">
        <f t="shared" si="154"/>
        <v>0</v>
      </c>
      <c r="AJ358" s="70">
        <f t="shared" si="154"/>
        <v>0</v>
      </c>
      <c r="AK358" s="70">
        <f t="shared" si="154"/>
        <v>0</v>
      </c>
      <c r="AL358" s="70">
        <f t="shared" si="154"/>
        <v>0</v>
      </c>
      <c r="AM358" s="70">
        <f t="shared" si="154"/>
        <v>136.65315576143598</v>
      </c>
      <c r="AN358" s="70">
        <f t="shared" si="154"/>
        <v>139.68</v>
      </c>
      <c r="AO358" s="71">
        <f t="shared" si="154"/>
        <v>18.600000000000001</v>
      </c>
      <c r="AP358" s="72">
        <f t="shared" si="154"/>
        <v>16.3</v>
      </c>
      <c r="AQ358" s="73">
        <f t="shared" si="154"/>
        <v>87.912087912087912</v>
      </c>
      <c r="AR358" s="73">
        <f t="shared" si="154"/>
        <v>13.690476190476204</v>
      </c>
      <c r="AS358" s="74">
        <f t="shared" si="154"/>
        <v>0</v>
      </c>
      <c r="AT358" s="75">
        <f t="shared" si="154"/>
        <v>16.350000000000001</v>
      </c>
      <c r="AU358" s="76">
        <f t="shared" si="154"/>
        <v>9.75</v>
      </c>
      <c r="AV358" s="73">
        <f t="shared" si="154"/>
        <v>63.475177304964525</v>
      </c>
      <c r="AW358" s="73">
        <f t="shared" si="154"/>
        <v>40.366972477064223</v>
      </c>
      <c r="AX358" s="65">
        <f t="shared" si="154"/>
        <v>79.612068965517253</v>
      </c>
      <c r="AY358" s="77">
        <f t="shared" si="154"/>
        <v>78.55</v>
      </c>
      <c r="AZ358" s="78">
        <f t="shared" si="154"/>
        <v>62.995000000000005</v>
      </c>
      <c r="BA358" s="78">
        <f t="shared" si="154"/>
        <v>0</v>
      </c>
      <c r="BB358" s="78">
        <f t="shared" si="154"/>
        <v>73.5</v>
      </c>
      <c r="BC358" s="78">
        <f t="shared" si="154"/>
        <v>0</v>
      </c>
      <c r="BD358" s="79">
        <f t="shared" si="154"/>
        <v>139.68</v>
      </c>
      <c r="BE358" s="69">
        <f t="shared" si="154"/>
        <v>8808</v>
      </c>
      <c r="BF358" s="70">
        <f t="shared" si="154"/>
        <v>2556</v>
      </c>
      <c r="BG358" s="80">
        <f t="shared" si="154"/>
        <v>0</v>
      </c>
      <c r="BH358" s="80">
        <f t="shared" si="154"/>
        <v>0</v>
      </c>
      <c r="BI358" s="80">
        <f t="shared" si="154"/>
        <v>6440</v>
      </c>
      <c r="BJ358" s="80">
        <f t="shared" si="154"/>
        <v>0</v>
      </c>
      <c r="BK358" s="80">
        <f t="shared" si="154"/>
        <v>0</v>
      </c>
      <c r="BL358" s="79">
        <f t="shared" si="154"/>
        <v>0</v>
      </c>
    </row>
    <row r="359" spans="1:64" outlineLevel="3" x14ac:dyDescent="0.3">
      <c r="A359" s="81" t="s">
        <v>94</v>
      </c>
      <c r="B359" s="82"/>
      <c r="C359" s="83">
        <f t="shared" ref="C359:BL359" si="155">SUBTOTAL(5,C327:C357)</f>
        <v>36.299999999999997</v>
      </c>
      <c r="D359" s="84">
        <f t="shared" si="155"/>
        <v>36</v>
      </c>
      <c r="E359" s="84">
        <f t="shared" si="155"/>
        <v>36.5</v>
      </c>
      <c r="F359" s="84">
        <f t="shared" si="155"/>
        <v>0</v>
      </c>
      <c r="G359" s="84">
        <f t="shared" si="155"/>
        <v>0</v>
      </c>
      <c r="H359" s="84">
        <f t="shared" si="155"/>
        <v>0</v>
      </c>
      <c r="I359" s="84">
        <f t="shared" si="155"/>
        <v>0</v>
      </c>
      <c r="J359" s="84">
        <f t="shared" si="155"/>
        <v>0</v>
      </c>
      <c r="K359" s="84">
        <f t="shared" si="155"/>
        <v>0</v>
      </c>
      <c r="L359" s="85">
        <f t="shared" si="155"/>
        <v>0</v>
      </c>
      <c r="M359" s="86">
        <f t="shared" si="155"/>
        <v>0</v>
      </c>
      <c r="N359" s="86">
        <f t="shared" si="155"/>
        <v>0</v>
      </c>
      <c r="O359" s="86">
        <f t="shared" si="155"/>
        <v>0</v>
      </c>
      <c r="P359" s="86">
        <f t="shared" si="155"/>
        <v>0</v>
      </c>
      <c r="Q359" s="86">
        <f t="shared" si="155"/>
        <v>0</v>
      </c>
      <c r="R359" s="86">
        <f t="shared" si="155"/>
        <v>0</v>
      </c>
      <c r="S359" s="86">
        <f t="shared" si="155"/>
        <v>0</v>
      </c>
      <c r="T359" s="86">
        <f t="shared" si="155"/>
        <v>0</v>
      </c>
      <c r="U359" s="87">
        <f t="shared" si="155"/>
        <v>566</v>
      </c>
      <c r="V359" s="88">
        <f t="shared" si="155"/>
        <v>587</v>
      </c>
      <c r="W359" s="88">
        <f t="shared" si="155"/>
        <v>545</v>
      </c>
      <c r="X359" s="88">
        <f t="shared" si="155"/>
        <v>0</v>
      </c>
      <c r="Y359" s="88">
        <f t="shared" si="155"/>
        <v>0</v>
      </c>
      <c r="Z359" s="88">
        <f t="shared" si="155"/>
        <v>0</v>
      </c>
      <c r="AA359" s="88">
        <f t="shared" si="155"/>
        <v>0</v>
      </c>
      <c r="AB359" s="88">
        <f t="shared" si="155"/>
        <v>0</v>
      </c>
      <c r="AC359" s="88">
        <f t="shared" si="155"/>
        <v>0</v>
      </c>
      <c r="AD359" s="87">
        <f t="shared" si="155"/>
        <v>16030</v>
      </c>
      <c r="AE359" s="88"/>
      <c r="AF359" s="88"/>
      <c r="AG359" s="88">
        <f t="shared" si="155"/>
        <v>0</v>
      </c>
      <c r="AH359" s="88">
        <f t="shared" si="155"/>
        <v>0</v>
      </c>
      <c r="AI359" s="88">
        <f t="shared" si="155"/>
        <v>0</v>
      </c>
      <c r="AJ359" s="88">
        <f t="shared" si="155"/>
        <v>0</v>
      </c>
      <c r="AK359" s="88">
        <f t="shared" si="155"/>
        <v>0</v>
      </c>
      <c r="AL359" s="88">
        <f t="shared" si="155"/>
        <v>0</v>
      </c>
      <c r="AM359" s="88">
        <f t="shared" si="155"/>
        <v>33.791523482245132</v>
      </c>
      <c r="AN359" s="88">
        <f t="shared" si="155"/>
        <v>0</v>
      </c>
      <c r="AO359" s="89">
        <f t="shared" si="155"/>
        <v>16.8</v>
      </c>
      <c r="AP359" s="90">
        <f t="shared" si="155"/>
        <v>14.5</v>
      </c>
      <c r="AQ359" s="91">
        <f t="shared" si="155"/>
        <v>86.309523809523796</v>
      </c>
      <c r="AR359" s="91">
        <f t="shared" si="155"/>
        <v>12.087912087912088</v>
      </c>
      <c r="AS359" s="92">
        <f t="shared" si="155"/>
        <v>0</v>
      </c>
      <c r="AT359" s="93">
        <f t="shared" si="155"/>
        <v>14.100000000000001</v>
      </c>
      <c r="AU359" s="94">
        <f t="shared" si="155"/>
        <v>8.6</v>
      </c>
      <c r="AV359" s="91">
        <f t="shared" si="155"/>
        <v>59.633027522935777</v>
      </c>
      <c r="AW359" s="91">
        <f t="shared" si="155"/>
        <v>36.524822695035475</v>
      </c>
      <c r="AX359" s="83">
        <f t="shared" si="155"/>
        <v>72.433880147304961</v>
      </c>
      <c r="AY359" s="95">
        <f t="shared" si="155"/>
        <v>76.75</v>
      </c>
      <c r="AZ359" s="96">
        <f t="shared" si="155"/>
        <v>60.65</v>
      </c>
      <c r="BA359" s="96">
        <f t="shared" si="155"/>
        <v>0</v>
      </c>
      <c r="BB359" s="96">
        <f t="shared" si="155"/>
        <v>13</v>
      </c>
      <c r="BC359" s="96">
        <f t="shared" si="155"/>
        <v>0</v>
      </c>
      <c r="BD359" s="97">
        <f t="shared" si="155"/>
        <v>0</v>
      </c>
      <c r="BE359" s="87">
        <f t="shared" si="155"/>
        <v>1434</v>
      </c>
      <c r="BF359" s="88">
        <f t="shared" si="155"/>
        <v>0</v>
      </c>
      <c r="BG359" s="98">
        <f t="shared" si="155"/>
        <v>0</v>
      </c>
      <c r="BH359" s="98">
        <f t="shared" si="155"/>
        <v>0</v>
      </c>
      <c r="BI359" s="98">
        <f t="shared" si="155"/>
        <v>0</v>
      </c>
      <c r="BJ359" s="98">
        <f t="shared" si="155"/>
        <v>0</v>
      </c>
      <c r="BK359" s="98">
        <f t="shared" si="155"/>
        <v>0</v>
      </c>
      <c r="BL359" s="97">
        <f t="shared" si="155"/>
        <v>0</v>
      </c>
    </row>
    <row r="360" spans="1:64" outlineLevel="2" x14ac:dyDescent="0.3">
      <c r="A360" s="81" t="s">
        <v>95</v>
      </c>
      <c r="B360" s="82"/>
      <c r="C360" s="83">
        <f t="shared" ref="C360:BL360" si="156">IFERROR(SUBTOTAL(1,C327:C357),"")</f>
        <v>37.839999999999996</v>
      </c>
      <c r="D360" s="84">
        <f t="shared" si="156"/>
        <v>36.85</v>
      </c>
      <c r="E360" s="84">
        <f t="shared" si="156"/>
        <v>38.1</v>
      </c>
      <c r="F360" s="84" t="str">
        <f t="shared" si="156"/>
        <v/>
      </c>
      <c r="G360" s="84" t="str">
        <f t="shared" si="156"/>
        <v/>
      </c>
      <c r="H360" s="84" t="str">
        <f t="shared" si="156"/>
        <v/>
      </c>
      <c r="I360" s="84" t="str">
        <f t="shared" si="156"/>
        <v/>
      </c>
      <c r="J360" s="84" t="str">
        <f t="shared" si="156"/>
        <v/>
      </c>
      <c r="K360" s="84" t="str">
        <f t="shared" si="156"/>
        <v/>
      </c>
      <c r="L360" s="85" t="str">
        <f t="shared" si="156"/>
        <v/>
      </c>
      <c r="M360" s="86" t="str">
        <f t="shared" si="156"/>
        <v/>
      </c>
      <c r="N360" s="86" t="str">
        <f t="shared" si="156"/>
        <v/>
      </c>
      <c r="O360" s="86" t="str">
        <f t="shared" si="156"/>
        <v/>
      </c>
      <c r="P360" s="86" t="str">
        <f t="shared" si="156"/>
        <v/>
      </c>
      <c r="Q360" s="86" t="str">
        <f t="shared" si="156"/>
        <v/>
      </c>
      <c r="R360" s="86" t="str">
        <f t="shared" si="156"/>
        <v/>
      </c>
      <c r="S360" s="86" t="str">
        <f t="shared" si="156"/>
        <v/>
      </c>
      <c r="T360" s="86" t="str">
        <f t="shared" si="156"/>
        <v/>
      </c>
      <c r="U360" s="87">
        <f t="shared" si="156"/>
        <v>717.375</v>
      </c>
      <c r="V360" s="88">
        <f t="shared" si="156"/>
        <v>665.5</v>
      </c>
      <c r="W360" s="88">
        <f t="shared" si="156"/>
        <v>769.25</v>
      </c>
      <c r="X360" s="88" t="str">
        <f t="shared" si="156"/>
        <v/>
      </c>
      <c r="Y360" s="88" t="str">
        <f t="shared" si="156"/>
        <v/>
      </c>
      <c r="Z360" s="88" t="str">
        <f t="shared" si="156"/>
        <v/>
      </c>
      <c r="AA360" s="88" t="str">
        <f t="shared" si="156"/>
        <v/>
      </c>
      <c r="AB360" s="88" t="str">
        <f t="shared" si="156"/>
        <v/>
      </c>
      <c r="AC360" s="88" t="str">
        <f t="shared" si="156"/>
        <v/>
      </c>
      <c r="AD360" s="87">
        <f t="shared" si="156"/>
        <v>17467.5</v>
      </c>
      <c r="AE360" s="88">
        <f t="shared" si="156"/>
        <v>16790</v>
      </c>
      <c r="AF360" s="88">
        <f t="shared" si="156"/>
        <v>18145</v>
      </c>
      <c r="AG360" s="88" t="str">
        <f t="shared" si="156"/>
        <v/>
      </c>
      <c r="AH360" s="88" t="str">
        <f t="shared" si="156"/>
        <v/>
      </c>
      <c r="AI360" s="88" t="str">
        <f t="shared" si="156"/>
        <v/>
      </c>
      <c r="AJ360" s="88" t="str">
        <f t="shared" si="156"/>
        <v/>
      </c>
      <c r="AK360" s="88" t="str">
        <f t="shared" si="156"/>
        <v/>
      </c>
      <c r="AL360" s="88" t="str">
        <f t="shared" si="156"/>
        <v/>
      </c>
      <c r="AM360" s="88">
        <f t="shared" si="156"/>
        <v>55.240878342661667</v>
      </c>
      <c r="AN360" s="88">
        <f t="shared" si="156"/>
        <v>75.417741935483861</v>
      </c>
      <c r="AO360" s="89">
        <f t="shared" si="156"/>
        <v>17.866666666666667</v>
      </c>
      <c r="AP360" s="90">
        <f t="shared" si="156"/>
        <v>15.6</v>
      </c>
      <c r="AQ360" s="91">
        <f t="shared" si="156"/>
        <v>87.28534010792076</v>
      </c>
      <c r="AR360" s="91">
        <f t="shared" si="156"/>
        <v>12.714659892079249</v>
      </c>
      <c r="AS360" s="92" t="str">
        <f t="shared" si="156"/>
        <v/>
      </c>
      <c r="AT360" s="93">
        <f t="shared" si="156"/>
        <v>15.0875</v>
      </c>
      <c r="AU360" s="94">
        <f t="shared" si="156"/>
        <v>9.2249999999999996</v>
      </c>
      <c r="AV360" s="91">
        <f t="shared" si="156"/>
        <v>61.191477730272567</v>
      </c>
      <c r="AW360" s="91">
        <f t="shared" si="156"/>
        <v>38.808522269727433</v>
      </c>
      <c r="AX360" s="83">
        <f t="shared" si="156"/>
        <v>76.362202094139249</v>
      </c>
      <c r="AY360" s="95">
        <f t="shared" si="156"/>
        <v>77.587500000000006</v>
      </c>
      <c r="AZ360" s="96">
        <f t="shared" si="156"/>
        <v>62.219166666666666</v>
      </c>
      <c r="BA360" s="96" t="str">
        <f t="shared" si="156"/>
        <v/>
      </c>
      <c r="BB360" s="96">
        <f t="shared" si="156"/>
        <v>41.083333333333336</v>
      </c>
      <c r="BC360" s="96" t="str">
        <f t="shared" si="156"/>
        <v/>
      </c>
      <c r="BD360" s="97">
        <f>IFERROR(SUBTOTAL(1,BD327:BD357),"")</f>
        <v>75.417741935483861</v>
      </c>
      <c r="BE360" s="87">
        <f t="shared" si="156"/>
        <v>6348.590909090909</v>
      </c>
      <c r="BF360" s="88">
        <f t="shared" si="156"/>
        <v>933.32258064516134</v>
      </c>
      <c r="BG360" s="98">
        <f t="shared" si="156"/>
        <v>0</v>
      </c>
      <c r="BH360" s="98">
        <f t="shared" si="156"/>
        <v>0</v>
      </c>
      <c r="BI360" s="98">
        <f t="shared" si="156"/>
        <v>3572.1290322580644</v>
      </c>
      <c r="BJ360" s="98" t="str">
        <f t="shared" si="156"/>
        <v/>
      </c>
      <c r="BK360" s="98" t="str">
        <f t="shared" si="156"/>
        <v/>
      </c>
      <c r="BL360" s="97" t="str">
        <f t="shared" si="156"/>
        <v/>
      </c>
    </row>
    <row r="361" spans="1:64" ht="17.25" outlineLevel="1" thickBot="1" x14ac:dyDescent="0.35">
      <c r="A361" s="99" t="s">
        <v>96</v>
      </c>
      <c r="B361" s="100"/>
      <c r="C361" s="101"/>
      <c r="D361" s="102"/>
      <c r="E361" s="102"/>
      <c r="F361" s="102"/>
      <c r="G361" s="102"/>
      <c r="H361" s="102"/>
      <c r="I361" s="102"/>
      <c r="J361" s="102"/>
      <c r="K361" s="102"/>
      <c r="L361" s="103"/>
      <c r="M361" s="104"/>
      <c r="N361" s="104"/>
      <c r="O361" s="104"/>
      <c r="P361" s="104"/>
      <c r="Q361" s="104"/>
      <c r="R361" s="104"/>
      <c r="S361" s="104"/>
      <c r="T361" s="104"/>
      <c r="U361" s="105"/>
      <c r="V361" s="106"/>
      <c r="W361" s="106"/>
      <c r="X361" s="106"/>
      <c r="Y361" s="106"/>
      <c r="Z361" s="106"/>
      <c r="AA361" s="106"/>
      <c r="AB361" s="106"/>
      <c r="AC361" s="106"/>
      <c r="AD361" s="105"/>
      <c r="AE361" s="106"/>
      <c r="AF361" s="106"/>
      <c r="AG361" s="106"/>
      <c r="AH361" s="106"/>
      <c r="AI361" s="106"/>
      <c r="AJ361" s="106"/>
      <c r="AK361" s="106"/>
      <c r="AL361" s="106"/>
      <c r="AM361" s="106"/>
      <c r="AN361" s="107">
        <f>SUBTOTAL(9,AN327:AN357)</f>
        <v>2337.9499999999998</v>
      </c>
      <c r="AO361" s="108"/>
      <c r="AP361" s="109"/>
      <c r="AQ361" s="110"/>
      <c r="AR361" s="110"/>
      <c r="AS361" s="111">
        <f>SUBTOTAL(9,AS327:AS357)</f>
        <v>0</v>
      </c>
      <c r="AT361" s="112"/>
      <c r="AU361" s="113"/>
      <c r="AV361" s="110"/>
      <c r="AW361" s="110"/>
      <c r="AX361" s="101"/>
      <c r="AY361" s="114"/>
      <c r="AZ361" s="115"/>
      <c r="BA361" s="115"/>
      <c r="BB361" s="115"/>
      <c r="BC361" s="115"/>
      <c r="BD361" s="116">
        <f>SUBTOTAL(9,BD327:BD357)</f>
        <v>2337.9499999999998</v>
      </c>
      <c r="BE361" s="117">
        <f t="shared" ref="BE361:BL361" si="157">SUBTOTAL(9,BE327:BE357)</f>
        <v>139669</v>
      </c>
      <c r="BF361" s="107">
        <f t="shared" si="157"/>
        <v>28933</v>
      </c>
      <c r="BG361" s="118">
        <f t="shared" si="157"/>
        <v>0</v>
      </c>
      <c r="BH361" s="118">
        <f t="shared" si="157"/>
        <v>0</v>
      </c>
      <c r="BI361" s="118">
        <f t="shared" si="157"/>
        <v>110736</v>
      </c>
      <c r="BJ361" s="118">
        <f t="shared" si="157"/>
        <v>0</v>
      </c>
      <c r="BK361" s="118">
        <f t="shared" si="157"/>
        <v>0</v>
      </c>
      <c r="BL361" s="116">
        <f t="shared" si="157"/>
        <v>0</v>
      </c>
    </row>
    <row r="362" spans="1:64" outlineLevel="5" x14ac:dyDescent="0.3">
      <c r="A362" s="136">
        <f t="shared" si="136"/>
        <v>11</v>
      </c>
      <c r="B362" s="165">
        <f>B357+1</f>
        <v>45597</v>
      </c>
      <c r="C362" s="138" t="str">
        <f t="shared" ref="C362:C391" si="158">IFERROR(ROUND(AVERAGE(D362:K362),1),"")</f>
        <v/>
      </c>
      <c r="D362" s="186"/>
      <c r="E362" s="186"/>
      <c r="F362" s="84"/>
      <c r="G362" s="84"/>
      <c r="H362" s="84"/>
      <c r="I362" s="84"/>
      <c r="J362" s="84"/>
      <c r="K362" s="84"/>
      <c r="L362" s="140" t="str">
        <f t="shared" ref="L362:L391" si="159">IFERROR(ROUND(AVERAGE(M362:T362),1),"")</f>
        <v/>
      </c>
      <c r="M362" s="86"/>
      <c r="N362" s="86"/>
      <c r="O362" s="86"/>
      <c r="P362" s="86"/>
      <c r="Q362" s="86"/>
      <c r="R362" s="86"/>
      <c r="S362" s="86"/>
      <c r="T362" s="86"/>
      <c r="U362" s="142" t="str">
        <f t="shared" ref="U362:U391" si="160">IFERROR(ROUND(AVERAGE(V362:AC362),1),"")</f>
        <v/>
      </c>
      <c r="V362" s="88"/>
      <c r="W362" s="88"/>
      <c r="X362" s="88"/>
      <c r="Y362" s="88"/>
      <c r="Z362" s="88"/>
      <c r="AA362" s="88"/>
      <c r="AB362" s="88"/>
      <c r="AC362" s="88"/>
      <c r="AD362" s="142" t="str">
        <f t="shared" ref="AD362:AD391" si="161">IFERROR(ROUND(AVERAGE(AE362:AL362),1),"")</f>
        <v/>
      </c>
      <c r="AE362" s="88"/>
      <c r="AF362" s="88"/>
      <c r="AG362" s="88"/>
      <c r="AH362" s="88"/>
      <c r="AI362" s="88"/>
      <c r="AJ362" s="88"/>
      <c r="AK362" s="88"/>
      <c r="AL362" s="88"/>
      <c r="AM362" s="88">
        <v>123.04483837330552</v>
      </c>
      <c r="AN362" s="88">
        <v>38.36</v>
      </c>
      <c r="AO362" s="89"/>
      <c r="AP362" s="90"/>
      <c r="AQ362" s="146" t="str">
        <f t="shared" ref="AQ362:AQ391" si="162">IFERROR(AP362/AO362*100,"")</f>
        <v/>
      </c>
      <c r="AR362" s="146" t="str">
        <f t="shared" ref="AR362:AR391" si="163">IFERROR(100-AQ362,"")</f>
        <v/>
      </c>
      <c r="AS362" s="147"/>
      <c r="AT362" s="148"/>
      <c r="AU362" s="149"/>
      <c r="AV362" s="146" t="str">
        <f t="shared" ref="AV362:AV391" si="164">IFERROR(AU362/AT362*100,"")</f>
        <v/>
      </c>
      <c r="AW362" s="146" t="str">
        <f t="shared" ref="AW362:AW391" si="165">IFERROR(100-AV362,"")</f>
        <v/>
      </c>
      <c r="AX362" s="138" t="str">
        <f t="shared" ref="AX362:AX391" si="166">IFERROR((1-((AV362*AR362)/(AW362*AQ362)))*100,"")</f>
        <v/>
      </c>
      <c r="AY362" s="95"/>
      <c r="AZ362" s="96"/>
      <c r="BA362" s="96"/>
      <c r="BB362" s="96"/>
      <c r="BC362" s="96"/>
      <c r="BD362" s="97">
        <v>38.36</v>
      </c>
      <c r="BE362" s="142">
        <f t="shared" ref="BE362:BE391" si="167">IF(SUM(BF362:BL362)=0,"",SUM(BF362:BL362))</f>
        <v>6004</v>
      </c>
      <c r="BF362" s="88">
        <v>1295</v>
      </c>
      <c r="BG362" s="98">
        <v>0</v>
      </c>
      <c r="BH362" s="98">
        <v>0</v>
      </c>
      <c r="BI362" s="98">
        <v>4709</v>
      </c>
      <c r="BJ362" s="98"/>
      <c r="BK362" s="98"/>
      <c r="BL362" s="97"/>
    </row>
    <row r="363" spans="1:64" outlineLevel="5" x14ac:dyDescent="0.3">
      <c r="A363" s="152">
        <f t="shared" si="136"/>
        <v>11</v>
      </c>
      <c r="B363" s="153">
        <f t="shared" si="153"/>
        <v>45598</v>
      </c>
      <c r="C363" s="138" t="str">
        <f t="shared" si="158"/>
        <v/>
      </c>
      <c r="D363" s="186"/>
      <c r="E363" s="186"/>
      <c r="F363" s="84"/>
      <c r="G363" s="84"/>
      <c r="H363" s="84"/>
      <c r="I363" s="84"/>
      <c r="J363" s="84"/>
      <c r="K363" s="84"/>
      <c r="L363" s="140" t="str">
        <f t="shared" si="159"/>
        <v/>
      </c>
      <c r="M363" s="86"/>
      <c r="N363" s="86"/>
      <c r="O363" s="86"/>
      <c r="P363" s="86"/>
      <c r="Q363" s="86"/>
      <c r="R363" s="86"/>
      <c r="S363" s="86"/>
      <c r="T363" s="86"/>
      <c r="U363" s="142" t="str">
        <f t="shared" si="160"/>
        <v/>
      </c>
      <c r="V363" s="88"/>
      <c r="W363" s="88"/>
      <c r="X363" s="88"/>
      <c r="Y363" s="88"/>
      <c r="Z363" s="88"/>
      <c r="AA363" s="88"/>
      <c r="AB363" s="88"/>
      <c r="AC363" s="88"/>
      <c r="AD363" s="142" t="str">
        <f t="shared" si="161"/>
        <v/>
      </c>
      <c r="AE363" s="88"/>
      <c r="AF363" s="88"/>
      <c r="AG363" s="88"/>
      <c r="AH363" s="88"/>
      <c r="AI363" s="88"/>
      <c r="AJ363" s="88"/>
      <c r="AK363" s="88"/>
      <c r="AL363" s="88"/>
      <c r="AM363" s="88">
        <v>32.673404402602799</v>
      </c>
      <c r="AN363" s="88">
        <v>144.45999999999998</v>
      </c>
      <c r="AO363" s="89"/>
      <c r="AP363" s="90"/>
      <c r="AQ363" s="146" t="str">
        <f t="shared" si="162"/>
        <v/>
      </c>
      <c r="AR363" s="146" t="str">
        <f t="shared" si="163"/>
        <v/>
      </c>
      <c r="AS363" s="147"/>
      <c r="AT363" s="148"/>
      <c r="AU363" s="149"/>
      <c r="AV363" s="146" t="str">
        <f t="shared" si="164"/>
        <v/>
      </c>
      <c r="AW363" s="146" t="str">
        <f t="shared" si="165"/>
        <v/>
      </c>
      <c r="AX363" s="138" t="str">
        <f t="shared" si="166"/>
        <v/>
      </c>
      <c r="AY363" s="95"/>
      <c r="AZ363" s="96"/>
      <c r="BA363" s="96"/>
      <c r="BB363" s="96"/>
      <c r="BC363" s="96"/>
      <c r="BD363" s="97">
        <v>144.45999999999998</v>
      </c>
      <c r="BE363" s="142">
        <f t="shared" si="167"/>
        <v>4895</v>
      </c>
      <c r="BF363" s="88">
        <v>1909</v>
      </c>
      <c r="BG363" s="98">
        <v>0</v>
      </c>
      <c r="BH363" s="98">
        <v>0</v>
      </c>
      <c r="BI363" s="98">
        <v>2986</v>
      </c>
      <c r="BJ363" s="98"/>
      <c r="BK363" s="98"/>
      <c r="BL363" s="97"/>
    </row>
    <row r="364" spans="1:64" outlineLevel="5" x14ac:dyDescent="0.3">
      <c r="A364" s="152">
        <f t="shared" si="136"/>
        <v>11</v>
      </c>
      <c r="B364" s="153">
        <f t="shared" si="153"/>
        <v>45599</v>
      </c>
      <c r="C364" s="138" t="str">
        <f t="shared" si="158"/>
        <v/>
      </c>
      <c r="D364" s="186"/>
      <c r="E364" s="186"/>
      <c r="F364" s="84"/>
      <c r="G364" s="84"/>
      <c r="H364" s="84"/>
      <c r="I364" s="84"/>
      <c r="J364" s="84"/>
      <c r="K364" s="84"/>
      <c r="L364" s="140" t="str">
        <f t="shared" si="159"/>
        <v/>
      </c>
      <c r="M364" s="86"/>
      <c r="N364" s="86"/>
      <c r="O364" s="86"/>
      <c r="P364" s="86"/>
      <c r="Q364" s="86"/>
      <c r="R364" s="86"/>
      <c r="S364" s="86"/>
      <c r="T364" s="86"/>
      <c r="U364" s="142" t="str">
        <f t="shared" si="160"/>
        <v/>
      </c>
      <c r="V364" s="88"/>
      <c r="W364" s="88"/>
      <c r="X364" s="88"/>
      <c r="Y364" s="88"/>
      <c r="Z364" s="88"/>
      <c r="AA364" s="88"/>
      <c r="AB364" s="88"/>
      <c r="AC364" s="88"/>
      <c r="AD364" s="142" t="str">
        <f t="shared" si="161"/>
        <v/>
      </c>
      <c r="AE364" s="88"/>
      <c r="AF364" s="88"/>
      <c r="AG364" s="88"/>
      <c r="AH364" s="88"/>
      <c r="AI364" s="88"/>
      <c r="AJ364" s="88"/>
      <c r="AK364" s="88"/>
      <c r="AL364" s="88"/>
      <c r="AM364" s="88">
        <v>29.5</v>
      </c>
      <c r="AN364" s="88">
        <v>160</v>
      </c>
      <c r="AO364" s="89"/>
      <c r="AP364" s="90"/>
      <c r="AQ364" s="146" t="str">
        <f t="shared" si="162"/>
        <v/>
      </c>
      <c r="AR364" s="146" t="str">
        <f t="shared" si="163"/>
        <v/>
      </c>
      <c r="AS364" s="147"/>
      <c r="AT364" s="148"/>
      <c r="AU364" s="149"/>
      <c r="AV364" s="146" t="str">
        <f t="shared" si="164"/>
        <v/>
      </c>
      <c r="AW364" s="146" t="str">
        <f t="shared" si="165"/>
        <v/>
      </c>
      <c r="AX364" s="138" t="str">
        <f t="shared" si="166"/>
        <v/>
      </c>
      <c r="AY364" s="95"/>
      <c r="AZ364" s="96"/>
      <c r="BA364" s="96"/>
      <c r="BB364" s="96"/>
      <c r="BC364" s="96"/>
      <c r="BD364" s="97">
        <v>160</v>
      </c>
      <c r="BE364" s="142">
        <f t="shared" si="167"/>
        <v>5624</v>
      </c>
      <c r="BF364" s="88">
        <v>2609</v>
      </c>
      <c r="BG364" s="98">
        <v>0</v>
      </c>
      <c r="BH364" s="98">
        <v>0</v>
      </c>
      <c r="BI364" s="98">
        <v>3015</v>
      </c>
      <c r="BJ364" s="98"/>
      <c r="BK364" s="98"/>
      <c r="BL364" s="97"/>
    </row>
    <row r="365" spans="1:64" outlineLevel="5" x14ac:dyDescent="0.3">
      <c r="A365" s="152">
        <f t="shared" si="136"/>
        <v>11</v>
      </c>
      <c r="B365" s="153">
        <f t="shared" si="153"/>
        <v>45600</v>
      </c>
      <c r="C365" s="138">
        <f t="shared" si="158"/>
        <v>38.299999999999997</v>
      </c>
      <c r="D365" s="186">
        <v>38.1</v>
      </c>
      <c r="E365" s="186">
        <v>38.5</v>
      </c>
      <c r="F365" s="84"/>
      <c r="G365" s="84"/>
      <c r="H365" s="84"/>
      <c r="I365" s="84"/>
      <c r="J365" s="84"/>
      <c r="K365" s="84"/>
      <c r="L365" s="140" t="str">
        <f t="shared" si="159"/>
        <v/>
      </c>
      <c r="M365" s="86"/>
      <c r="N365" s="86"/>
      <c r="O365" s="86"/>
      <c r="P365" s="86"/>
      <c r="Q365" s="86"/>
      <c r="R365" s="86"/>
      <c r="S365" s="86"/>
      <c r="T365" s="86"/>
      <c r="U365" s="142">
        <f t="shared" si="160"/>
        <v>1475.5</v>
      </c>
      <c r="V365" s="88">
        <v>2002</v>
      </c>
      <c r="W365" s="88">
        <v>949</v>
      </c>
      <c r="X365" s="88"/>
      <c r="Y365" s="88"/>
      <c r="Z365" s="88"/>
      <c r="AA365" s="88"/>
      <c r="AB365" s="88"/>
      <c r="AC365" s="88"/>
      <c r="AD365" s="142">
        <f t="shared" si="161"/>
        <v>14620</v>
      </c>
      <c r="AE365" s="88">
        <v>15540</v>
      </c>
      <c r="AF365" s="88">
        <v>13700</v>
      </c>
      <c r="AG365" s="88"/>
      <c r="AH365" s="88"/>
      <c r="AI365" s="88"/>
      <c r="AJ365" s="88"/>
      <c r="AK365" s="88"/>
      <c r="AL365" s="88"/>
      <c r="AM365" s="88">
        <v>46.96984774604438</v>
      </c>
      <c r="AN365" s="88">
        <v>100.49000000000001</v>
      </c>
      <c r="AO365" s="89">
        <v>20.3</v>
      </c>
      <c r="AP365" s="90">
        <v>18</v>
      </c>
      <c r="AQ365" s="146">
        <f t="shared" si="162"/>
        <v>88.669950738916242</v>
      </c>
      <c r="AR365" s="146">
        <f t="shared" si="163"/>
        <v>11.330049261083758</v>
      </c>
      <c r="AS365" s="147"/>
      <c r="AT365" s="148">
        <v>15.5</v>
      </c>
      <c r="AU365" s="149">
        <v>9.3000000000000007</v>
      </c>
      <c r="AV365" s="146">
        <f t="shared" si="164"/>
        <v>60.000000000000007</v>
      </c>
      <c r="AW365" s="146">
        <f t="shared" si="165"/>
        <v>39.999999999999993</v>
      </c>
      <c r="AX365" s="138">
        <f t="shared" si="166"/>
        <v>80.8333333333333</v>
      </c>
      <c r="AY365" s="95">
        <v>74.5</v>
      </c>
      <c r="AZ365" s="96">
        <v>61.465000000000003</v>
      </c>
      <c r="BA365" s="96"/>
      <c r="BB365" s="96">
        <v>35.5</v>
      </c>
      <c r="BC365" s="96"/>
      <c r="BD365" s="97">
        <v>100.49000000000001</v>
      </c>
      <c r="BE365" s="142">
        <f t="shared" si="167"/>
        <v>8639</v>
      </c>
      <c r="BF365" s="88">
        <v>2262</v>
      </c>
      <c r="BG365" s="98">
        <v>0</v>
      </c>
      <c r="BH365" s="98">
        <v>0</v>
      </c>
      <c r="BI365" s="98">
        <v>6377</v>
      </c>
      <c r="BJ365" s="98"/>
      <c r="BK365" s="98"/>
      <c r="BL365" s="97"/>
    </row>
    <row r="366" spans="1:64" outlineLevel="5" x14ac:dyDescent="0.3">
      <c r="A366" s="152">
        <f t="shared" si="136"/>
        <v>11</v>
      </c>
      <c r="B366" s="153">
        <f t="shared" si="153"/>
        <v>45601</v>
      </c>
      <c r="C366" s="138" t="str">
        <f t="shared" si="158"/>
        <v/>
      </c>
      <c r="D366" s="186"/>
      <c r="E366" s="186"/>
      <c r="F366" s="84"/>
      <c r="G366" s="84"/>
      <c r="H366" s="84"/>
      <c r="I366" s="84"/>
      <c r="J366" s="84"/>
      <c r="K366" s="84"/>
      <c r="L366" s="140" t="str">
        <f t="shared" si="159"/>
        <v/>
      </c>
      <c r="M366" s="86"/>
      <c r="N366" s="86"/>
      <c r="O366" s="86"/>
      <c r="P366" s="86"/>
      <c r="Q366" s="86"/>
      <c r="R366" s="86"/>
      <c r="S366" s="86"/>
      <c r="T366" s="86"/>
      <c r="U366" s="142" t="str">
        <f t="shared" si="160"/>
        <v/>
      </c>
      <c r="V366" s="88"/>
      <c r="W366" s="88"/>
      <c r="X366" s="88"/>
      <c r="Y366" s="88"/>
      <c r="Z366" s="88"/>
      <c r="AA366" s="88"/>
      <c r="AB366" s="88"/>
      <c r="AC366" s="88"/>
      <c r="AD366" s="142" t="str">
        <f t="shared" si="161"/>
        <v/>
      </c>
      <c r="AE366" s="88"/>
      <c r="AF366" s="88"/>
      <c r="AG366" s="88"/>
      <c r="AH366" s="88"/>
      <c r="AI366" s="88"/>
      <c r="AJ366" s="88"/>
      <c r="AK366" s="88"/>
      <c r="AL366" s="88"/>
      <c r="AM366" s="88">
        <v>39.274421700782156</v>
      </c>
      <c r="AN366" s="88">
        <v>120.18</v>
      </c>
      <c r="AO366" s="89"/>
      <c r="AP366" s="90"/>
      <c r="AQ366" s="146" t="str">
        <f t="shared" si="162"/>
        <v/>
      </c>
      <c r="AR366" s="146" t="str">
        <f t="shared" si="163"/>
        <v/>
      </c>
      <c r="AS366" s="147"/>
      <c r="AT366" s="148"/>
      <c r="AU366" s="149"/>
      <c r="AV366" s="146" t="str">
        <f t="shared" si="164"/>
        <v/>
      </c>
      <c r="AW366" s="146" t="str">
        <f t="shared" si="165"/>
        <v/>
      </c>
      <c r="AX366" s="138" t="str">
        <f t="shared" si="166"/>
        <v/>
      </c>
      <c r="AY366" s="95"/>
      <c r="AZ366" s="96">
        <v>59.784999999999997</v>
      </c>
      <c r="BA366" s="96"/>
      <c r="BB366" s="96">
        <v>57.5</v>
      </c>
      <c r="BC366" s="96"/>
      <c r="BD366" s="97">
        <v>120.18</v>
      </c>
      <c r="BE366" s="142">
        <f t="shared" si="167"/>
        <v>8510</v>
      </c>
      <c r="BF366" s="88">
        <v>1918</v>
      </c>
      <c r="BG366" s="98">
        <v>0</v>
      </c>
      <c r="BH366" s="98">
        <v>0</v>
      </c>
      <c r="BI366" s="98">
        <v>6592</v>
      </c>
      <c r="BJ366" s="98"/>
      <c r="BK366" s="98"/>
      <c r="BL366" s="97"/>
    </row>
    <row r="367" spans="1:64" outlineLevel="5" x14ac:dyDescent="0.3">
      <c r="A367" s="152">
        <f t="shared" si="136"/>
        <v>11</v>
      </c>
      <c r="B367" s="153">
        <f t="shared" si="153"/>
        <v>45602</v>
      </c>
      <c r="C367" s="138" t="str">
        <f t="shared" si="158"/>
        <v/>
      </c>
      <c r="D367" s="186"/>
      <c r="E367" s="186"/>
      <c r="F367" s="84"/>
      <c r="G367" s="84"/>
      <c r="H367" s="84"/>
      <c r="I367" s="84"/>
      <c r="J367" s="84"/>
      <c r="K367" s="84"/>
      <c r="L367" s="140" t="str">
        <f t="shared" si="159"/>
        <v/>
      </c>
      <c r="M367" s="86"/>
      <c r="N367" s="86"/>
      <c r="O367" s="86"/>
      <c r="P367" s="86"/>
      <c r="Q367" s="86"/>
      <c r="R367" s="86"/>
      <c r="S367" s="86"/>
      <c r="T367" s="86"/>
      <c r="U367" s="142" t="str">
        <f t="shared" si="160"/>
        <v/>
      </c>
      <c r="V367" s="88"/>
      <c r="W367" s="88"/>
      <c r="X367" s="88"/>
      <c r="Y367" s="88"/>
      <c r="Z367" s="88"/>
      <c r="AA367" s="88"/>
      <c r="AB367" s="88"/>
      <c r="AC367" s="88"/>
      <c r="AD367" s="142" t="str">
        <f t="shared" si="161"/>
        <v/>
      </c>
      <c r="AE367" s="88"/>
      <c r="AF367" s="88"/>
      <c r="AG367" s="88"/>
      <c r="AH367" s="88"/>
      <c r="AI367" s="88"/>
      <c r="AJ367" s="88"/>
      <c r="AK367" s="88"/>
      <c r="AL367" s="88"/>
      <c r="AM367" s="88">
        <v>38.392711891979829</v>
      </c>
      <c r="AN367" s="88">
        <v>122.94</v>
      </c>
      <c r="AO367" s="89"/>
      <c r="AP367" s="90"/>
      <c r="AQ367" s="146" t="str">
        <f t="shared" si="162"/>
        <v/>
      </c>
      <c r="AR367" s="146" t="str">
        <f t="shared" si="163"/>
        <v/>
      </c>
      <c r="AS367" s="147"/>
      <c r="AT367" s="148"/>
      <c r="AU367" s="149"/>
      <c r="AV367" s="146" t="str">
        <f t="shared" si="164"/>
        <v/>
      </c>
      <c r="AW367" s="146" t="str">
        <f t="shared" si="165"/>
        <v/>
      </c>
      <c r="AX367" s="138" t="str">
        <f t="shared" si="166"/>
        <v/>
      </c>
      <c r="AY367" s="95"/>
      <c r="AZ367" s="96">
        <v>62.905000000000001</v>
      </c>
      <c r="BA367" s="96"/>
      <c r="BB367" s="96">
        <v>50</v>
      </c>
      <c r="BC367" s="96"/>
      <c r="BD367" s="97">
        <v>122.94</v>
      </c>
      <c r="BE367" s="142">
        <f t="shared" si="167"/>
        <v>7998</v>
      </c>
      <c r="BF367" s="88">
        <v>1697</v>
      </c>
      <c r="BG367" s="98">
        <v>0</v>
      </c>
      <c r="BH367" s="98">
        <v>0</v>
      </c>
      <c r="BI367" s="98">
        <v>6301</v>
      </c>
      <c r="BJ367" s="98"/>
      <c r="BK367" s="98"/>
      <c r="BL367" s="97"/>
    </row>
    <row r="368" spans="1:64" outlineLevel="5" x14ac:dyDescent="0.3">
      <c r="A368" s="152">
        <f t="shared" si="136"/>
        <v>11</v>
      </c>
      <c r="B368" s="153">
        <f t="shared" si="153"/>
        <v>45603</v>
      </c>
      <c r="C368" s="138">
        <f t="shared" si="158"/>
        <v>37.200000000000003</v>
      </c>
      <c r="D368" s="186">
        <v>37.1</v>
      </c>
      <c r="E368" s="186">
        <v>37.299999999999997</v>
      </c>
      <c r="F368" s="84"/>
      <c r="G368" s="84"/>
      <c r="H368" s="84"/>
      <c r="I368" s="84"/>
      <c r="J368" s="84"/>
      <c r="K368" s="84"/>
      <c r="L368" s="140" t="str">
        <f t="shared" si="159"/>
        <v/>
      </c>
      <c r="M368" s="86"/>
      <c r="N368" s="86"/>
      <c r="O368" s="86"/>
      <c r="P368" s="86"/>
      <c r="Q368" s="86"/>
      <c r="R368" s="86"/>
      <c r="S368" s="86"/>
      <c r="T368" s="86"/>
      <c r="U368" s="142" t="str">
        <f t="shared" si="160"/>
        <v/>
      </c>
      <c r="V368" s="88"/>
      <c r="W368" s="88"/>
      <c r="X368" s="88"/>
      <c r="Y368" s="88"/>
      <c r="Z368" s="88"/>
      <c r="AA368" s="88"/>
      <c r="AB368" s="88"/>
      <c r="AC368" s="88"/>
      <c r="AD368" s="142" t="str">
        <f t="shared" si="161"/>
        <v/>
      </c>
      <c r="AE368" s="88"/>
      <c r="AF368" s="88"/>
      <c r="AG368" s="88"/>
      <c r="AH368" s="88"/>
      <c r="AI368" s="88"/>
      <c r="AJ368" s="88"/>
      <c r="AK368" s="88"/>
      <c r="AL368" s="88"/>
      <c r="AM368" s="88">
        <v>42.776871488127604</v>
      </c>
      <c r="AN368" s="88">
        <v>110.34</v>
      </c>
      <c r="AO368" s="89"/>
      <c r="AP368" s="90"/>
      <c r="AQ368" s="146" t="str">
        <f t="shared" si="162"/>
        <v/>
      </c>
      <c r="AR368" s="146" t="str">
        <f t="shared" si="163"/>
        <v/>
      </c>
      <c r="AS368" s="147"/>
      <c r="AT368" s="148"/>
      <c r="AU368" s="149"/>
      <c r="AV368" s="146" t="str">
        <f t="shared" si="164"/>
        <v/>
      </c>
      <c r="AW368" s="146" t="str">
        <f t="shared" si="165"/>
        <v/>
      </c>
      <c r="AX368" s="138" t="str">
        <f t="shared" si="166"/>
        <v/>
      </c>
      <c r="AY368" s="95"/>
      <c r="AZ368" s="96"/>
      <c r="BA368" s="96"/>
      <c r="BB368" s="96"/>
      <c r="BC368" s="96"/>
      <c r="BD368" s="97">
        <v>110.34</v>
      </c>
      <c r="BE368" s="142">
        <f t="shared" si="167"/>
        <v>8664</v>
      </c>
      <c r="BF368" s="88">
        <v>2222</v>
      </c>
      <c r="BG368" s="98">
        <v>0</v>
      </c>
      <c r="BH368" s="98">
        <v>0</v>
      </c>
      <c r="BI368" s="98">
        <v>6442</v>
      </c>
      <c r="BJ368" s="98"/>
      <c r="BK368" s="98"/>
      <c r="BL368" s="97"/>
    </row>
    <row r="369" spans="1:64" outlineLevel="5" x14ac:dyDescent="0.3">
      <c r="A369" s="152">
        <f t="shared" si="136"/>
        <v>11</v>
      </c>
      <c r="B369" s="153">
        <f t="shared" si="153"/>
        <v>45604</v>
      </c>
      <c r="C369" s="138" t="str">
        <f t="shared" si="158"/>
        <v/>
      </c>
      <c r="D369" s="186"/>
      <c r="E369" s="186"/>
      <c r="F369" s="84"/>
      <c r="G369" s="84"/>
      <c r="H369" s="84"/>
      <c r="I369" s="84"/>
      <c r="J369" s="84"/>
      <c r="K369" s="84"/>
      <c r="L369" s="140" t="str">
        <f t="shared" si="159"/>
        <v/>
      </c>
      <c r="M369" s="86"/>
      <c r="N369" s="86"/>
      <c r="O369" s="86"/>
      <c r="P369" s="86"/>
      <c r="Q369" s="86"/>
      <c r="R369" s="86"/>
      <c r="S369" s="86"/>
      <c r="T369" s="86"/>
      <c r="U369" s="142" t="str">
        <f t="shared" si="160"/>
        <v/>
      </c>
      <c r="V369" s="88"/>
      <c r="W369" s="88"/>
      <c r="X369" s="88"/>
      <c r="Y369" s="88"/>
      <c r="Z369" s="88"/>
      <c r="AA369" s="88"/>
      <c r="AB369" s="88"/>
      <c r="AC369" s="88"/>
      <c r="AD369" s="142" t="str">
        <f t="shared" si="161"/>
        <v/>
      </c>
      <c r="AE369" s="88"/>
      <c r="AF369" s="88"/>
      <c r="AG369" s="88"/>
      <c r="AH369" s="88"/>
      <c r="AI369" s="88"/>
      <c r="AJ369" s="88"/>
      <c r="AK369" s="88"/>
      <c r="AL369" s="88"/>
      <c r="AM369" s="88">
        <v>34.895756321159254</v>
      </c>
      <c r="AN369" s="88">
        <v>135.26</v>
      </c>
      <c r="AO369" s="89"/>
      <c r="AP369" s="90"/>
      <c r="AQ369" s="146" t="str">
        <f t="shared" si="162"/>
        <v/>
      </c>
      <c r="AR369" s="146" t="str">
        <f t="shared" si="163"/>
        <v/>
      </c>
      <c r="AS369" s="147"/>
      <c r="AT369" s="148"/>
      <c r="AU369" s="149"/>
      <c r="AV369" s="146" t="str">
        <f t="shared" si="164"/>
        <v/>
      </c>
      <c r="AW369" s="146" t="str">
        <f t="shared" si="165"/>
        <v/>
      </c>
      <c r="AX369" s="138" t="str">
        <f t="shared" si="166"/>
        <v/>
      </c>
      <c r="AY369" s="95"/>
      <c r="AZ369" s="96">
        <v>59.43</v>
      </c>
      <c r="BA369" s="96"/>
      <c r="BB369" s="96">
        <v>55</v>
      </c>
      <c r="BC369" s="96"/>
      <c r="BD369" s="97">
        <v>135.26</v>
      </c>
      <c r="BE369" s="142">
        <f t="shared" si="167"/>
        <v>10219</v>
      </c>
      <c r="BF369" s="88">
        <v>2182</v>
      </c>
      <c r="BG369" s="98">
        <v>0</v>
      </c>
      <c r="BH369" s="98">
        <v>1741</v>
      </c>
      <c r="BI369" s="98">
        <v>6296</v>
      </c>
      <c r="BJ369" s="98"/>
      <c r="BK369" s="98"/>
      <c r="BL369" s="97"/>
    </row>
    <row r="370" spans="1:64" outlineLevel="5" x14ac:dyDescent="0.3">
      <c r="A370" s="152">
        <f t="shared" si="136"/>
        <v>11</v>
      </c>
      <c r="B370" s="153">
        <f t="shared" si="153"/>
        <v>45605</v>
      </c>
      <c r="C370" s="138" t="str">
        <f t="shared" si="158"/>
        <v/>
      </c>
      <c r="D370" s="186"/>
      <c r="E370" s="186"/>
      <c r="F370" s="84"/>
      <c r="G370" s="84"/>
      <c r="H370" s="84"/>
      <c r="I370" s="84"/>
      <c r="J370" s="84"/>
      <c r="K370" s="84"/>
      <c r="L370" s="140" t="str">
        <f t="shared" si="159"/>
        <v/>
      </c>
      <c r="M370" s="86"/>
      <c r="N370" s="86"/>
      <c r="O370" s="86"/>
      <c r="P370" s="86"/>
      <c r="Q370" s="86"/>
      <c r="R370" s="86"/>
      <c r="S370" s="86"/>
      <c r="T370" s="86"/>
      <c r="U370" s="142" t="str">
        <f t="shared" si="160"/>
        <v/>
      </c>
      <c r="V370" s="88"/>
      <c r="W370" s="88"/>
      <c r="X370" s="88"/>
      <c r="Y370" s="88"/>
      <c r="Z370" s="88"/>
      <c r="AA370" s="88"/>
      <c r="AB370" s="88"/>
      <c r="AC370" s="88"/>
      <c r="AD370" s="142" t="str">
        <f t="shared" si="161"/>
        <v/>
      </c>
      <c r="AE370" s="88"/>
      <c r="AF370" s="88"/>
      <c r="AG370" s="88"/>
      <c r="AH370" s="88"/>
      <c r="AI370" s="88"/>
      <c r="AJ370" s="88"/>
      <c r="AK370" s="88"/>
      <c r="AL370" s="88"/>
      <c r="AM370" s="88">
        <v>54.321555990332612</v>
      </c>
      <c r="AN370" s="88">
        <v>86.889999999999986</v>
      </c>
      <c r="AO370" s="89"/>
      <c r="AP370" s="90"/>
      <c r="AQ370" s="146" t="str">
        <f t="shared" si="162"/>
        <v/>
      </c>
      <c r="AR370" s="146" t="str">
        <f t="shared" si="163"/>
        <v/>
      </c>
      <c r="AS370" s="147"/>
      <c r="AT370" s="148"/>
      <c r="AU370" s="149"/>
      <c r="AV370" s="146" t="str">
        <f t="shared" si="164"/>
        <v/>
      </c>
      <c r="AW370" s="146" t="str">
        <f t="shared" si="165"/>
        <v/>
      </c>
      <c r="AX370" s="138" t="str">
        <f t="shared" si="166"/>
        <v/>
      </c>
      <c r="AY370" s="95"/>
      <c r="AZ370" s="96"/>
      <c r="BA370" s="96"/>
      <c r="BB370" s="96"/>
      <c r="BC370" s="96"/>
      <c r="BD370" s="97">
        <v>86.889999999999986</v>
      </c>
      <c r="BE370" s="142">
        <f t="shared" si="167"/>
        <v>13819</v>
      </c>
      <c r="BF370" s="88">
        <v>2093</v>
      </c>
      <c r="BG370" s="98">
        <v>0</v>
      </c>
      <c r="BH370" s="98">
        <v>5185</v>
      </c>
      <c r="BI370" s="98">
        <v>6541</v>
      </c>
      <c r="BJ370" s="98"/>
      <c r="BK370" s="98"/>
      <c r="BL370" s="97"/>
    </row>
    <row r="371" spans="1:64" outlineLevel="5" x14ac:dyDescent="0.3">
      <c r="A371" s="152">
        <f t="shared" si="136"/>
        <v>11</v>
      </c>
      <c r="B371" s="153">
        <f t="shared" si="153"/>
        <v>45606</v>
      </c>
      <c r="C371" s="138" t="str">
        <f t="shared" si="158"/>
        <v/>
      </c>
      <c r="D371" s="186"/>
      <c r="E371" s="186"/>
      <c r="F371" s="84"/>
      <c r="G371" s="84"/>
      <c r="H371" s="84"/>
      <c r="I371" s="84"/>
      <c r="J371" s="84"/>
      <c r="K371" s="84"/>
      <c r="L371" s="140" t="str">
        <f t="shared" si="159"/>
        <v/>
      </c>
      <c r="M371" s="86"/>
      <c r="N371" s="86"/>
      <c r="O371" s="86"/>
      <c r="P371" s="86"/>
      <c r="Q371" s="86"/>
      <c r="R371" s="86"/>
      <c r="S371" s="86"/>
      <c r="T371" s="86"/>
      <c r="U371" s="142" t="str">
        <f t="shared" si="160"/>
        <v/>
      </c>
      <c r="V371" s="88"/>
      <c r="W371" s="88"/>
      <c r="X371" s="88"/>
      <c r="Y371" s="88"/>
      <c r="Z371" s="88"/>
      <c r="AA371" s="88"/>
      <c r="AB371" s="88"/>
      <c r="AC371" s="88"/>
      <c r="AD371" s="142" t="str">
        <f t="shared" si="161"/>
        <v/>
      </c>
      <c r="AE371" s="88"/>
      <c r="AF371" s="88"/>
      <c r="AG371" s="88"/>
      <c r="AH371" s="88"/>
      <c r="AI371" s="88"/>
      <c r="AJ371" s="88"/>
      <c r="AK371" s="88"/>
      <c r="AL371" s="88"/>
      <c r="AM371" s="88">
        <v>34.962962962962962</v>
      </c>
      <c r="AN371" s="88">
        <v>135</v>
      </c>
      <c r="AO371" s="89"/>
      <c r="AP371" s="90"/>
      <c r="AQ371" s="146" t="str">
        <f t="shared" si="162"/>
        <v/>
      </c>
      <c r="AR371" s="146" t="str">
        <f t="shared" si="163"/>
        <v/>
      </c>
      <c r="AS371" s="147"/>
      <c r="AT371" s="148"/>
      <c r="AU371" s="149"/>
      <c r="AV371" s="146" t="str">
        <f t="shared" si="164"/>
        <v/>
      </c>
      <c r="AW371" s="146" t="str">
        <f t="shared" si="165"/>
        <v/>
      </c>
      <c r="AX371" s="138" t="str">
        <f t="shared" si="166"/>
        <v/>
      </c>
      <c r="AY371" s="95"/>
      <c r="AZ371" s="96"/>
      <c r="BA371" s="96"/>
      <c r="BB371" s="96"/>
      <c r="BC371" s="96"/>
      <c r="BD371" s="97">
        <v>135</v>
      </c>
      <c r="BE371" s="142">
        <f t="shared" si="167"/>
        <v>14006</v>
      </c>
      <c r="BF371" s="88">
        <v>2191</v>
      </c>
      <c r="BG371" s="98">
        <v>0</v>
      </c>
      <c r="BH371" s="98">
        <v>5334</v>
      </c>
      <c r="BI371" s="98">
        <v>6481</v>
      </c>
      <c r="BJ371" s="98"/>
      <c r="BK371" s="98"/>
      <c r="BL371" s="97"/>
    </row>
    <row r="372" spans="1:64" outlineLevel="5" x14ac:dyDescent="0.3">
      <c r="A372" s="152">
        <f t="shared" si="136"/>
        <v>11</v>
      </c>
      <c r="B372" s="153">
        <f t="shared" si="153"/>
        <v>45607</v>
      </c>
      <c r="C372" s="138">
        <f t="shared" si="158"/>
        <v>36.1</v>
      </c>
      <c r="D372" s="186">
        <v>36</v>
      </c>
      <c r="E372" s="186">
        <v>36.1</v>
      </c>
      <c r="F372" s="84"/>
      <c r="G372" s="84"/>
      <c r="H372" s="84"/>
      <c r="I372" s="84"/>
      <c r="J372" s="84"/>
      <c r="K372" s="84"/>
      <c r="L372" s="140" t="str">
        <f t="shared" si="159"/>
        <v/>
      </c>
      <c r="M372" s="86"/>
      <c r="N372" s="86"/>
      <c r="O372" s="86"/>
      <c r="P372" s="86"/>
      <c r="Q372" s="86"/>
      <c r="R372" s="86"/>
      <c r="S372" s="86"/>
      <c r="T372" s="86"/>
      <c r="U372" s="142">
        <f t="shared" si="160"/>
        <v>1917.5</v>
      </c>
      <c r="V372" s="88">
        <v>1948</v>
      </c>
      <c r="W372" s="88">
        <v>1887</v>
      </c>
      <c r="X372" s="88"/>
      <c r="Y372" s="88"/>
      <c r="Z372" s="88"/>
      <c r="AA372" s="88"/>
      <c r="AB372" s="88"/>
      <c r="AC372" s="88"/>
      <c r="AD372" s="142">
        <f t="shared" si="161"/>
        <v>17875</v>
      </c>
      <c r="AE372" s="88">
        <v>18800</v>
      </c>
      <c r="AF372" s="88">
        <v>16950</v>
      </c>
      <c r="AG372" s="88"/>
      <c r="AH372" s="88"/>
      <c r="AI372" s="88"/>
      <c r="AJ372" s="88"/>
      <c r="AK372" s="88"/>
      <c r="AL372" s="88"/>
      <c r="AM372" s="88">
        <v>45.498361287834967</v>
      </c>
      <c r="AN372" s="88">
        <v>103.74000000000001</v>
      </c>
      <c r="AO372" s="89">
        <v>19.100000000000001</v>
      </c>
      <c r="AP372" s="90">
        <v>14.8</v>
      </c>
      <c r="AQ372" s="146">
        <f t="shared" si="162"/>
        <v>77.486910994764386</v>
      </c>
      <c r="AR372" s="146">
        <f t="shared" si="163"/>
        <v>22.513089005235614</v>
      </c>
      <c r="AS372" s="147"/>
      <c r="AT372" s="148">
        <v>15.649999999999999</v>
      </c>
      <c r="AU372" s="149">
        <v>10.25</v>
      </c>
      <c r="AV372" s="146">
        <f t="shared" si="164"/>
        <v>65.495207667731634</v>
      </c>
      <c r="AW372" s="146">
        <f t="shared" si="165"/>
        <v>34.504792332268366</v>
      </c>
      <c r="AX372" s="138">
        <f t="shared" si="166"/>
        <v>44.851101101101051</v>
      </c>
      <c r="AY372" s="95">
        <v>75.150000000000006</v>
      </c>
      <c r="AZ372" s="96"/>
      <c r="BA372" s="96"/>
      <c r="BB372" s="96"/>
      <c r="BC372" s="96"/>
      <c r="BD372" s="97">
        <v>103.74000000000001</v>
      </c>
      <c r="BE372" s="142">
        <f t="shared" si="167"/>
        <v>12942</v>
      </c>
      <c r="BF372" s="88">
        <v>2166</v>
      </c>
      <c r="BG372" s="98">
        <v>0</v>
      </c>
      <c r="BH372" s="98">
        <v>4259</v>
      </c>
      <c r="BI372" s="98">
        <v>6517</v>
      </c>
      <c r="BJ372" s="98"/>
      <c r="BK372" s="98"/>
      <c r="BL372" s="97"/>
    </row>
    <row r="373" spans="1:64" outlineLevel="5" x14ac:dyDescent="0.3">
      <c r="A373" s="152">
        <f t="shared" si="136"/>
        <v>11</v>
      </c>
      <c r="B373" s="153">
        <f t="shared" si="153"/>
        <v>45608</v>
      </c>
      <c r="C373" s="138" t="str">
        <f t="shared" si="158"/>
        <v/>
      </c>
      <c r="D373" s="186"/>
      <c r="E373" s="186"/>
      <c r="F373" s="84"/>
      <c r="G373" s="84"/>
      <c r="H373" s="84"/>
      <c r="I373" s="84"/>
      <c r="J373" s="84"/>
      <c r="K373" s="84"/>
      <c r="L373" s="140" t="str">
        <f t="shared" si="159"/>
        <v/>
      </c>
      <c r="M373" s="86"/>
      <c r="N373" s="86"/>
      <c r="O373" s="86"/>
      <c r="P373" s="86"/>
      <c r="Q373" s="86"/>
      <c r="R373" s="86"/>
      <c r="S373" s="86"/>
      <c r="T373" s="86"/>
      <c r="U373" s="142" t="str">
        <f t="shared" si="160"/>
        <v/>
      </c>
      <c r="V373" s="88"/>
      <c r="W373" s="88"/>
      <c r="X373" s="88"/>
      <c r="Y373" s="88"/>
      <c r="Z373" s="88"/>
      <c r="AA373" s="88"/>
      <c r="AB373" s="88"/>
      <c r="AC373" s="88"/>
      <c r="AD373" s="142" t="str">
        <f t="shared" si="161"/>
        <v/>
      </c>
      <c r="AE373" s="88"/>
      <c r="AF373" s="88"/>
      <c r="AG373" s="88"/>
      <c r="AH373" s="88"/>
      <c r="AI373" s="88"/>
      <c r="AJ373" s="88"/>
      <c r="AK373" s="88"/>
      <c r="AL373" s="88"/>
      <c r="AM373" s="88">
        <v>39.375990656544587</v>
      </c>
      <c r="AN373" s="88">
        <v>119.87</v>
      </c>
      <c r="AO373" s="89"/>
      <c r="AP373" s="90"/>
      <c r="AQ373" s="146" t="str">
        <f t="shared" si="162"/>
        <v/>
      </c>
      <c r="AR373" s="146" t="str">
        <f t="shared" si="163"/>
        <v/>
      </c>
      <c r="AS373" s="147"/>
      <c r="AT373" s="148"/>
      <c r="AU373" s="149"/>
      <c r="AV373" s="146" t="str">
        <f t="shared" si="164"/>
        <v/>
      </c>
      <c r="AW373" s="146" t="str">
        <f t="shared" si="165"/>
        <v/>
      </c>
      <c r="AX373" s="138" t="str">
        <f t="shared" si="166"/>
        <v/>
      </c>
      <c r="AY373" s="95"/>
      <c r="AZ373" s="96"/>
      <c r="BA373" s="96"/>
      <c r="BB373" s="96"/>
      <c r="BC373" s="96"/>
      <c r="BD373" s="97">
        <v>119.87</v>
      </c>
      <c r="BE373" s="142">
        <f t="shared" si="167"/>
        <v>8555</v>
      </c>
      <c r="BF373" s="88">
        <v>2195</v>
      </c>
      <c r="BG373" s="98">
        <v>0</v>
      </c>
      <c r="BH373" s="98">
        <v>0</v>
      </c>
      <c r="BI373" s="98">
        <v>6360</v>
      </c>
      <c r="BJ373" s="98"/>
      <c r="BK373" s="98"/>
      <c r="BL373" s="97"/>
    </row>
    <row r="374" spans="1:64" outlineLevel="5" x14ac:dyDescent="0.3">
      <c r="A374" s="152">
        <f t="shared" si="136"/>
        <v>11</v>
      </c>
      <c r="B374" s="153">
        <f t="shared" si="153"/>
        <v>45609</v>
      </c>
      <c r="C374" s="138" t="str">
        <f t="shared" si="158"/>
        <v/>
      </c>
      <c r="D374" s="186"/>
      <c r="E374" s="186"/>
      <c r="F374" s="84"/>
      <c r="G374" s="84"/>
      <c r="H374" s="84"/>
      <c r="I374" s="84"/>
      <c r="J374" s="84"/>
      <c r="K374" s="84"/>
      <c r="L374" s="140" t="str">
        <f t="shared" si="159"/>
        <v/>
      </c>
      <c r="M374" s="86"/>
      <c r="N374" s="86"/>
      <c r="O374" s="86"/>
      <c r="P374" s="86"/>
      <c r="Q374" s="86"/>
      <c r="R374" s="86"/>
      <c r="S374" s="86"/>
      <c r="T374" s="86"/>
      <c r="U374" s="142" t="str">
        <f t="shared" si="160"/>
        <v/>
      </c>
      <c r="V374" s="88"/>
      <c r="W374" s="88"/>
      <c r="X374" s="88"/>
      <c r="Y374" s="88"/>
      <c r="Z374" s="88"/>
      <c r="AA374" s="88"/>
      <c r="AB374" s="88"/>
      <c r="AC374" s="88"/>
      <c r="AD374" s="142" t="str">
        <f t="shared" si="161"/>
        <v/>
      </c>
      <c r="AE374" s="88"/>
      <c r="AF374" s="88"/>
      <c r="AG374" s="88"/>
      <c r="AH374" s="88"/>
      <c r="AI374" s="88"/>
      <c r="AJ374" s="88"/>
      <c r="AK374" s="88"/>
      <c r="AL374" s="88"/>
      <c r="AM374" s="88">
        <v>39.471483525673193</v>
      </c>
      <c r="AN374" s="88">
        <v>119.58</v>
      </c>
      <c r="AO374" s="89"/>
      <c r="AP374" s="90"/>
      <c r="AQ374" s="146" t="str">
        <f t="shared" si="162"/>
        <v/>
      </c>
      <c r="AR374" s="146" t="str">
        <f t="shared" si="163"/>
        <v/>
      </c>
      <c r="AS374" s="147"/>
      <c r="AT374" s="148"/>
      <c r="AU374" s="149"/>
      <c r="AV374" s="146" t="str">
        <f t="shared" si="164"/>
        <v/>
      </c>
      <c r="AW374" s="146" t="str">
        <f t="shared" si="165"/>
        <v/>
      </c>
      <c r="AX374" s="138" t="str">
        <f t="shared" si="166"/>
        <v/>
      </c>
      <c r="AY374" s="95"/>
      <c r="AZ374" s="96"/>
      <c r="BA374" s="96"/>
      <c r="BB374" s="96"/>
      <c r="BC374" s="96"/>
      <c r="BD374" s="97">
        <v>119.58</v>
      </c>
      <c r="BE374" s="142">
        <f t="shared" si="167"/>
        <v>8395</v>
      </c>
      <c r="BF374" s="88">
        <v>1988</v>
      </c>
      <c r="BG374" s="98">
        <v>0</v>
      </c>
      <c r="BH374" s="98">
        <v>3</v>
      </c>
      <c r="BI374" s="98">
        <v>6404</v>
      </c>
      <c r="BJ374" s="98"/>
      <c r="BK374" s="98"/>
      <c r="BL374" s="97"/>
    </row>
    <row r="375" spans="1:64" outlineLevel="5" x14ac:dyDescent="0.3">
      <c r="A375" s="152">
        <f t="shared" si="136"/>
        <v>11</v>
      </c>
      <c r="B375" s="153">
        <f t="shared" si="153"/>
        <v>45610</v>
      </c>
      <c r="C375" s="138">
        <f t="shared" si="158"/>
        <v>38.799999999999997</v>
      </c>
      <c r="D375" s="186">
        <v>38.700000000000003</v>
      </c>
      <c r="E375" s="186">
        <v>38.799999999999997</v>
      </c>
      <c r="F375" s="84"/>
      <c r="G375" s="84"/>
      <c r="H375" s="84"/>
      <c r="I375" s="84"/>
      <c r="J375" s="84"/>
      <c r="K375" s="84"/>
      <c r="L375" s="140" t="str">
        <f t="shared" si="159"/>
        <v/>
      </c>
      <c r="M375" s="86"/>
      <c r="N375" s="86"/>
      <c r="O375" s="86"/>
      <c r="P375" s="86"/>
      <c r="Q375" s="86"/>
      <c r="R375" s="86"/>
      <c r="S375" s="86"/>
      <c r="T375" s="86"/>
      <c r="U375" s="142" t="str">
        <f t="shared" si="160"/>
        <v/>
      </c>
      <c r="V375" s="88"/>
      <c r="W375" s="88"/>
      <c r="X375" s="88"/>
      <c r="Y375" s="88"/>
      <c r="Z375" s="88"/>
      <c r="AA375" s="88"/>
      <c r="AB375" s="88"/>
      <c r="AC375" s="88"/>
      <c r="AD375" s="142" t="str">
        <f t="shared" si="161"/>
        <v/>
      </c>
      <c r="AE375" s="88"/>
      <c r="AF375" s="88"/>
      <c r="AG375" s="88"/>
      <c r="AH375" s="88"/>
      <c r="AI375" s="88"/>
      <c r="AJ375" s="88"/>
      <c r="AK375" s="88"/>
      <c r="AL375" s="88"/>
      <c r="AM375" s="88">
        <v>36.296524146416488</v>
      </c>
      <c r="AN375" s="88">
        <v>130.04</v>
      </c>
      <c r="AO375" s="89"/>
      <c r="AP375" s="90"/>
      <c r="AQ375" s="146" t="str">
        <f t="shared" si="162"/>
        <v/>
      </c>
      <c r="AR375" s="146" t="str">
        <f t="shared" si="163"/>
        <v/>
      </c>
      <c r="AS375" s="147"/>
      <c r="AT375" s="148"/>
      <c r="AU375" s="149"/>
      <c r="AV375" s="146" t="str">
        <f t="shared" si="164"/>
        <v/>
      </c>
      <c r="AW375" s="146" t="str">
        <f t="shared" si="165"/>
        <v/>
      </c>
      <c r="AX375" s="138" t="str">
        <f t="shared" si="166"/>
        <v/>
      </c>
      <c r="AY375" s="95"/>
      <c r="AZ375" s="96"/>
      <c r="BA375" s="96"/>
      <c r="BB375" s="96"/>
      <c r="BC375" s="96"/>
      <c r="BD375" s="97">
        <v>130.04</v>
      </c>
      <c r="BE375" s="142">
        <f t="shared" si="167"/>
        <v>8664</v>
      </c>
      <c r="BF375" s="88">
        <v>2247</v>
      </c>
      <c r="BG375" s="98">
        <v>0</v>
      </c>
      <c r="BH375" s="98">
        <v>0</v>
      </c>
      <c r="BI375" s="98">
        <v>6417</v>
      </c>
      <c r="BJ375" s="98"/>
      <c r="BK375" s="98"/>
      <c r="BL375" s="97"/>
    </row>
    <row r="376" spans="1:64" outlineLevel="5" x14ac:dyDescent="0.3">
      <c r="A376" s="152">
        <f t="shared" si="136"/>
        <v>11</v>
      </c>
      <c r="B376" s="153">
        <f t="shared" si="153"/>
        <v>45611</v>
      </c>
      <c r="C376" s="138" t="str">
        <f t="shared" si="158"/>
        <v/>
      </c>
      <c r="D376" s="186"/>
      <c r="E376" s="186"/>
      <c r="F376" s="84"/>
      <c r="G376" s="84"/>
      <c r="H376" s="84"/>
      <c r="I376" s="84"/>
      <c r="J376" s="84"/>
      <c r="K376" s="84"/>
      <c r="L376" s="140" t="str">
        <f t="shared" si="159"/>
        <v/>
      </c>
      <c r="M376" s="86"/>
      <c r="N376" s="86"/>
      <c r="O376" s="86"/>
      <c r="P376" s="86"/>
      <c r="Q376" s="86"/>
      <c r="R376" s="86"/>
      <c r="S376" s="86"/>
      <c r="T376" s="86"/>
      <c r="U376" s="142" t="str">
        <f t="shared" si="160"/>
        <v/>
      </c>
      <c r="V376" s="88"/>
      <c r="W376" s="88"/>
      <c r="X376" s="88"/>
      <c r="Y376" s="88"/>
      <c r="Z376" s="88"/>
      <c r="AA376" s="88"/>
      <c r="AB376" s="88"/>
      <c r="AC376" s="88"/>
      <c r="AD376" s="142" t="str">
        <f t="shared" si="161"/>
        <v/>
      </c>
      <c r="AE376" s="88"/>
      <c r="AF376" s="88"/>
      <c r="AG376" s="88"/>
      <c r="AH376" s="88"/>
      <c r="AI376" s="88"/>
      <c r="AJ376" s="88"/>
      <c r="AK376" s="88"/>
      <c r="AL376" s="88"/>
      <c r="AM376" s="88">
        <v>36.324457441896257</v>
      </c>
      <c r="AN376" s="88">
        <v>129.94</v>
      </c>
      <c r="AO376" s="89"/>
      <c r="AP376" s="90"/>
      <c r="AQ376" s="146" t="str">
        <f t="shared" si="162"/>
        <v/>
      </c>
      <c r="AR376" s="146" t="str">
        <f t="shared" si="163"/>
        <v/>
      </c>
      <c r="AS376" s="147"/>
      <c r="AT376" s="148"/>
      <c r="AU376" s="149"/>
      <c r="AV376" s="146" t="str">
        <f t="shared" si="164"/>
        <v/>
      </c>
      <c r="AW376" s="146" t="str">
        <f t="shared" si="165"/>
        <v/>
      </c>
      <c r="AX376" s="138" t="str">
        <f t="shared" si="166"/>
        <v/>
      </c>
      <c r="AY376" s="95"/>
      <c r="AZ376" s="96">
        <v>60.879999999999995</v>
      </c>
      <c r="BA376" s="96"/>
      <c r="BB376" s="96">
        <v>53.5</v>
      </c>
      <c r="BC376" s="96"/>
      <c r="BD376" s="97">
        <v>129.94</v>
      </c>
      <c r="BE376" s="142">
        <f t="shared" si="167"/>
        <v>8923</v>
      </c>
      <c r="BF376" s="88">
        <v>2331</v>
      </c>
      <c r="BG376" s="98">
        <v>0</v>
      </c>
      <c r="BH376" s="98">
        <v>0</v>
      </c>
      <c r="BI376" s="98">
        <v>6592</v>
      </c>
      <c r="BJ376" s="98"/>
      <c r="BK376" s="98"/>
      <c r="BL376" s="97"/>
    </row>
    <row r="377" spans="1:64" outlineLevel="5" x14ac:dyDescent="0.3">
      <c r="A377" s="152">
        <f t="shared" si="136"/>
        <v>11</v>
      </c>
      <c r="B377" s="153">
        <f t="shared" si="153"/>
        <v>45612</v>
      </c>
      <c r="C377" s="138" t="str">
        <f t="shared" si="158"/>
        <v/>
      </c>
      <c r="D377" s="186"/>
      <c r="E377" s="186"/>
      <c r="F377" s="84"/>
      <c r="G377" s="84"/>
      <c r="H377" s="84"/>
      <c r="I377" s="84"/>
      <c r="J377" s="84"/>
      <c r="K377" s="84"/>
      <c r="L377" s="140" t="str">
        <f t="shared" si="159"/>
        <v/>
      </c>
      <c r="M377" s="86"/>
      <c r="N377" s="86"/>
      <c r="O377" s="86"/>
      <c r="P377" s="86"/>
      <c r="Q377" s="86"/>
      <c r="R377" s="86"/>
      <c r="S377" s="86"/>
      <c r="T377" s="86"/>
      <c r="U377" s="142" t="str">
        <f t="shared" si="160"/>
        <v/>
      </c>
      <c r="V377" s="88"/>
      <c r="W377" s="88"/>
      <c r="X377" s="88"/>
      <c r="Y377" s="88"/>
      <c r="Z377" s="88"/>
      <c r="AA377" s="88"/>
      <c r="AB377" s="88"/>
      <c r="AC377" s="88"/>
      <c r="AD377" s="142" t="str">
        <f t="shared" si="161"/>
        <v/>
      </c>
      <c r="AE377" s="88"/>
      <c r="AF377" s="88"/>
      <c r="AG377" s="88"/>
      <c r="AH377" s="88"/>
      <c r="AI377" s="88"/>
      <c r="AJ377" s="88"/>
      <c r="AK377" s="88"/>
      <c r="AL377" s="88"/>
      <c r="AM377" s="88">
        <v>31.917771165810116</v>
      </c>
      <c r="AN377" s="88">
        <v>147.88</v>
      </c>
      <c r="AO377" s="89"/>
      <c r="AP377" s="90"/>
      <c r="AQ377" s="146" t="str">
        <f t="shared" si="162"/>
        <v/>
      </c>
      <c r="AR377" s="146" t="str">
        <f t="shared" si="163"/>
        <v/>
      </c>
      <c r="AS377" s="147"/>
      <c r="AT377" s="148"/>
      <c r="AU377" s="149"/>
      <c r="AV377" s="146" t="str">
        <f t="shared" si="164"/>
        <v/>
      </c>
      <c r="AW377" s="146" t="str">
        <f t="shared" si="165"/>
        <v/>
      </c>
      <c r="AX377" s="138" t="str">
        <f t="shared" si="166"/>
        <v/>
      </c>
      <c r="AY377" s="95"/>
      <c r="AZ377" s="96"/>
      <c r="BA377" s="96"/>
      <c r="BB377" s="96"/>
      <c r="BC377" s="96"/>
      <c r="BD377" s="97">
        <v>147.88</v>
      </c>
      <c r="BE377" s="142">
        <f t="shared" si="167"/>
        <v>8665</v>
      </c>
      <c r="BF377" s="88">
        <v>2049</v>
      </c>
      <c r="BG377" s="98">
        <v>0</v>
      </c>
      <c r="BH377" s="98">
        <v>0</v>
      </c>
      <c r="BI377" s="98">
        <v>6616</v>
      </c>
      <c r="BJ377" s="98"/>
      <c r="BK377" s="98"/>
      <c r="BL377" s="97"/>
    </row>
    <row r="378" spans="1:64" outlineLevel="5" x14ac:dyDescent="0.3">
      <c r="A378" s="152">
        <f t="shared" si="136"/>
        <v>11</v>
      </c>
      <c r="B378" s="153">
        <f t="shared" si="153"/>
        <v>45613</v>
      </c>
      <c r="C378" s="138" t="str">
        <f t="shared" si="158"/>
        <v/>
      </c>
      <c r="D378" s="186"/>
      <c r="E378" s="186"/>
      <c r="F378" s="84"/>
      <c r="G378" s="84"/>
      <c r="H378" s="84"/>
      <c r="I378" s="84"/>
      <c r="J378" s="84"/>
      <c r="K378" s="84"/>
      <c r="L378" s="140" t="str">
        <f t="shared" si="159"/>
        <v/>
      </c>
      <c r="M378" s="86"/>
      <c r="N378" s="86"/>
      <c r="O378" s="86"/>
      <c r="P378" s="86"/>
      <c r="Q378" s="86"/>
      <c r="R378" s="86"/>
      <c r="S378" s="86"/>
      <c r="T378" s="86"/>
      <c r="U378" s="142" t="str">
        <f t="shared" si="160"/>
        <v/>
      </c>
      <c r="V378" s="88"/>
      <c r="W378" s="88"/>
      <c r="X378" s="88"/>
      <c r="Y378" s="88"/>
      <c r="Z378" s="88"/>
      <c r="AA378" s="88"/>
      <c r="AB378" s="88"/>
      <c r="AC378" s="88"/>
      <c r="AD378" s="142" t="str">
        <f t="shared" si="161"/>
        <v/>
      </c>
      <c r="AE378" s="88"/>
      <c r="AF378" s="88"/>
      <c r="AG378" s="88"/>
      <c r="AH378" s="88"/>
      <c r="AI378" s="88"/>
      <c r="AJ378" s="88"/>
      <c r="AK378" s="88"/>
      <c r="AL378" s="88"/>
      <c r="AM378" s="88">
        <v>39.333333333333336</v>
      </c>
      <c r="AN378" s="88">
        <v>120</v>
      </c>
      <c r="AO378" s="89"/>
      <c r="AP378" s="90"/>
      <c r="AQ378" s="146" t="str">
        <f t="shared" si="162"/>
        <v/>
      </c>
      <c r="AR378" s="146" t="str">
        <f t="shared" si="163"/>
        <v/>
      </c>
      <c r="AS378" s="147"/>
      <c r="AT378" s="148"/>
      <c r="AU378" s="149"/>
      <c r="AV378" s="146" t="str">
        <f t="shared" si="164"/>
        <v/>
      </c>
      <c r="AW378" s="146" t="str">
        <f t="shared" si="165"/>
        <v/>
      </c>
      <c r="AX378" s="138" t="str">
        <f t="shared" si="166"/>
        <v/>
      </c>
      <c r="AY378" s="95"/>
      <c r="AZ378" s="96"/>
      <c r="BA378" s="96"/>
      <c r="BB378" s="96"/>
      <c r="BC378" s="96"/>
      <c r="BD378" s="97">
        <v>120</v>
      </c>
      <c r="BE378" s="142">
        <f t="shared" si="167"/>
        <v>8571</v>
      </c>
      <c r="BF378" s="88">
        <v>2137</v>
      </c>
      <c r="BG378" s="98">
        <v>0</v>
      </c>
      <c r="BH378" s="98">
        <v>1</v>
      </c>
      <c r="BI378" s="98">
        <v>6433</v>
      </c>
      <c r="BJ378" s="98"/>
      <c r="BK378" s="98"/>
      <c r="BL378" s="97"/>
    </row>
    <row r="379" spans="1:64" outlineLevel="5" x14ac:dyDescent="0.3">
      <c r="A379" s="152">
        <f t="shared" ref="A379:A426" si="168">MONTH(B379)</f>
        <v>11</v>
      </c>
      <c r="B379" s="153">
        <f t="shared" si="153"/>
        <v>45614</v>
      </c>
      <c r="C379" s="138">
        <f t="shared" si="158"/>
        <v>37.5</v>
      </c>
      <c r="D379" s="186">
        <v>37.5</v>
      </c>
      <c r="E379" s="186">
        <v>37.5</v>
      </c>
      <c r="F379" s="84"/>
      <c r="G379" s="84"/>
      <c r="H379" s="84"/>
      <c r="I379" s="84"/>
      <c r="J379" s="84"/>
      <c r="K379" s="84"/>
      <c r="L379" s="140" t="str">
        <f t="shared" si="159"/>
        <v/>
      </c>
      <c r="M379" s="86"/>
      <c r="N379" s="86"/>
      <c r="O379" s="86"/>
      <c r="P379" s="86"/>
      <c r="Q379" s="86"/>
      <c r="R379" s="86"/>
      <c r="S379" s="86"/>
      <c r="T379" s="86"/>
      <c r="U379" s="142">
        <f t="shared" si="160"/>
        <v>890.5</v>
      </c>
      <c r="V379" s="88">
        <v>983</v>
      </c>
      <c r="W379" s="88">
        <v>798</v>
      </c>
      <c r="X379" s="88"/>
      <c r="Y379" s="88"/>
      <c r="Z379" s="88"/>
      <c r="AA379" s="88"/>
      <c r="AB379" s="88"/>
      <c r="AC379" s="88"/>
      <c r="AD379" s="142">
        <f t="shared" si="161"/>
        <v>16260</v>
      </c>
      <c r="AE379" s="88">
        <v>16370</v>
      </c>
      <c r="AF379" s="88">
        <v>16150</v>
      </c>
      <c r="AG379" s="88"/>
      <c r="AH379" s="88"/>
      <c r="AI379" s="88"/>
      <c r="AJ379" s="88"/>
      <c r="AK379" s="88"/>
      <c r="AL379" s="88"/>
      <c r="AM379" s="88">
        <v>79.675894665766378</v>
      </c>
      <c r="AN379" s="88">
        <v>59.24</v>
      </c>
      <c r="AO379" s="89"/>
      <c r="AP379" s="90"/>
      <c r="AQ379" s="146" t="str">
        <f t="shared" si="162"/>
        <v/>
      </c>
      <c r="AR379" s="146" t="str">
        <f t="shared" si="163"/>
        <v/>
      </c>
      <c r="AS379" s="147"/>
      <c r="AT379" s="148"/>
      <c r="AU379" s="149"/>
      <c r="AV379" s="146" t="str">
        <f t="shared" si="164"/>
        <v/>
      </c>
      <c r="AW379" s="146" t="str">
        <f t="shared" si="165"/>
        <v/>
      </c>
      <c r="AX379" s="138" t="str">
        <f t="shared" si="166"/>
        <v/>
      </c>
      <c r="AY379" s="95">
        <v>75.3</v>
      </c>
      <c r="AZ379" s="96"/>
      <c r="BA379" s="96"/>
      <c r="BB379" s="96"/>
      <c r="BC379" s="96"/>
      <c r="BD379" s="97">
        <v>59.24</v>
      </c>
      <c r="BE379" s="142">
        <f t="shared" si="167"/>
        <v>7875</v>
      </c>
      <c r="BF379" s="88">
        <v>1745</v>
      </c>
      <c r="BG379" s="98">
        <v>0</v>
      </c>
      <c r="BH379" s="98">
        <v>0</v>
      </c>
      <c r="BI379" s="98">
        <v>6130</v>
      </c>
      <c r="BJ379" s="98"/>
      <c r="BK379" s="98"/>
      <c r="BL379" s="97"/>
    </row>
    <row r="380" spans="1:64" outlineLevel="5" x14ac:dyDescent="0.3">
      <c r="A380" s="152">
        <f t="shared" si="168"/>
        <v>11</v>
      </c>
      <c r="B380" s="153">
        <f t="shared" si="153"/>
        <v>45615</v>
      </c>
      <c r="C380" s="138" t="str">
        <f t="shared" si="158"/>
        <v/>
      </c>
      <c r="D380" s="186"/>
      <c r="E380" s="186"/>
      <c r="F380" s="84"/>
      <c r="G380" s="84"/>
      <c r="H380" s="84"/>
      <c r="I380" s="84"/>
      <c r="J380" s="84"/>
      <c r="K380" s="84"/>
      <c r="L380" s="140" t="str">
        <f t="shared" si="159"/>
        <v/>
      </c>
      <c r="M380" s="86"/>
      <c r="N380" s="86"/>
      <c r="O380" s="86"/>
      <c r="P380" s="86"/>
      <c r="Q380" s="86"/>
      <c r="R380" s="86"/>
      <c r="S380" s="86"/>
      <c r="T380" s="86"/>
      <c r="U380" s="142" t="str">
        <f t="shared" si="160"/>
        <v/>
      </c>
      <c r="V380" s="88"/>
      <c r="W380" s="88"/>
      <c r="X380" s="88"/>
      <c r="Y380" s="88"/>
      <c r="Z380" s="88"/>
      <c r="AA380" s="88"/>
      <c r="AB380" s="88"/>
      <c r="AC380" s="88"/>
      <c r="AD380" s="142" t="str">
        <f t="shared" si="161"/>
        <v/>
      </c>
      <c r="AE380" s="88"/>
      <c r="AF380" s="88"/>
      <c r="AG380" s="88"/>
      <c r="AH380" s="88"/>
      <c r="AI380" s="88"/>
      <c r="AJ380" s="88"/>
      <c r="AK380" s="88"/>
      <c r="AL380" s="88"/>
      <c r="AM380" s="88">
        <v>37.101084735104543</v>
      </c>
      <c r="AN380" s="88">
        <v>127.22</v>
      </c>
      <c r="AO380" s="89"/>
      <c r="AP380" s="90"/>
      <c r="AQ380" s="146" t="str">
        <f t="shared" si="162"/>
        <v/>
      </c>
      <c r="AR380" s="146" t="str">
        <f t="shared" si="163"/>
        <v/>
      </c>
      <c r="AS380" s="147"/>
      <c r="AT380" s="148"/>
      <c r="AU380" s="149"/>
      <c r="AV380" s="146" t="str">
        <f t="shared" si="164"/>
        <v/>
      </c>
      <c r="AW380" s="146" t="str">
        <f t="shared" si="165"/>
        <v/>
      </c>
      <c r="AX380" s="138" t="str">
        <f t="shared" si="166"/>
        <v/>
      </c>
      <c r="AY380" s="95"/>
      <c r="AZ380" s="96"/>
      <c r="BA380" s="96"/>
      <c r="BB380" s="96"/>
      <c r="BC380" s="96"/>
      <c r="BD380" s="97">
        <v>127.22</v>
      </c>
      <c r="BE380" s="142">
        <f t="shared" si="167"/>
        <v>7275</v>
      </c>
      <c r="BF380" s="88">
        <v>871</v>
      </c>
      <c r="BG380" s="98">
        <v>0</v>
      </c>
      <c r="BH380" s="98">
        <v>0</v>
      </c>
      <c r="BI380" s="98">
        <v>6404</v>
      </c>
      <c r="BJ380" s="98"/>
      <c r="BK380" s="98"/>
      <c r="BL380" s="97"/>
    </row>
    <row r="381" spans="1:64" outlineLevel="5" x14ac:dyDescent="0.3">
      <c r="A381" s="152">
        <f t="shared" si="168"/>
        <v>11</v>
      </c>
      <c r="B381" s="153">
        <f t="shared" si="153"/>
        <v>45616</v>
      </c>
      <c r="C381" s="138">
        <f t="shared" si="158"/>
        <v>36.4</v>
      </c>
      <c r="D381" s="186">
        <v>36.5</v>
      </c>
      <c r="E381" s="186">
        <v>36.200000000000003</v>
      </c>
      <c r="F381" s="84"/>
      <c r="G381" s="84"/>
      <c r="H381" s="84"/>
      <c r="I381" s="84"/>
      <c r="J381" s="84"/>
      <c r="K381" s="84"/>
      <c r="L381" s="140" t="str">
        <f t="shared" si="159"/>
        <v/>
      </c>
      <c r="M381" s="86"/>
      <c r="N381" s="86"/>
      <c r="O381" s="86"/>
      <c r="P381" s="86"/>
      <c r="Q381" s="86"/>
      <c r="R381" s="86"/>
      <c r="S381" s="86"/>
      <c r="T381" s="86"/>
      <c r="U381" s="142" t="str">
        <f t="shared" si="160"/>
        <v/>
      </c>
      <c r="V381" s="88"/>
      <c r="W381" s="88"/>
      <c r="X381" s="88"/>
      <c r="Y381" s="88"/>
      <c r="Z381" s="88"/>
      <c r="AA381" s="88"/>
      <c r="AB381" s="88"/>
      <c r="AC381" s="88"/>
      <c r="AD381" s="142" t="str">
        <f t="shared" si="161"/>
        <v/>
      </c>
      <c r="AE381" s="88"/>
      <c r="AF381" s="88"/>
      <c r="AG381" s="88"/>
      <c r="AH381" s="88"/>
      <c r="AI381" s="88"/>
      <c r="AJ381" s="88"/>
      <c r="AK381" s="88"/>
      <c r="AL381" s="88"/>
      <c r="AM381" s="88">
        <v>38.427094358055847</v>
      </c>
      <c r="AN381" s="88">
        <v>122.83000000000001</v>
      </c>
      <c r="AO381" s="89"/>
      <c r="AP381" s="90"/>
      <c r="AQ381" s="146" t="str">
        <f t="shared" si="162"/>
        <v/>
      </c>
      <c r="AR381" s="146" t="str">
        <f t="shared" si="163"/>
        <v/>
      </c>
      <c r="AS381" s="147"/>
      <c r="AT381" s="148"/>
      <c r="AU381" s="149"/>
      <c r="AV381" s="146" t="str">
        <f t="shared" si="164"/>
        <v/>
      </c>
      <c r="AW381" s="146" t="str">
        <f t="shared" si="165"/>
        <v/>
      </c>
      <c r="AX381" s="138" t="str">
        <f t="shared" si="166"/>
        <v/>
      </c>
      <c r="AY381" s="95"/>
      <c r="AZ381" s="96"/>
      <c r="BA381" s="96"/>
      <c r="BB381" s="96"/>
      <c r="BC381" s="96"/>
      <c r="BD381" s="97">
        <v>122.83000000000001</v>
      </c>
      <c r="BE381" s="142">
        <f t="shared" si="167"/>
        <v>8741</v>
      </c>
      <c r="BF381" s="88">
        <v>2168</v>
      </c>
      <c r="BG381" s="98">
        <v>0</v>
      </c>
      <c r="BH381" s="98">
        <v>0</v>
      </c>
      <c r="BI381" s="98">
        <v>6573</v>
      </c>
      <c r="BJ381" s="98"/>
      <c r="BK381" s="98"/>
      <c r="BL381" s="97"/>
    </row>
    <row r="382" spans="1:64" outlineLevel="5" x14ac:dyDescent="0.3">
      <c r="A382" s="152">
        <f t="shared" si="168"/>
        <v>11</v>
      </c>
      <c r="B382" s="153">
        <f t="shared" si="153"/>
        <v>45617</v>
      </c>
      <c r="C382" s="138" t="str">
        <f t="shared" si="158"/>
        <v/>
      </c>
      <c r="D382" s="186"/>
      <c r="E382" s="186"/>
      <c r="F382" s="84"/>
      <c r="G382" s="84"/>
      <c r="H382" s="84"/>
      <c r="I382" s="84"/>
      <c r="J382" s="84"/>
      <c r="K382" s="84"/>
      <c r="L382" s="140" t="str">
        <f t="shared" si="159"/>
        <v/>
      </c>
      <c r="M382" s="86"/>
      <c r="N382" s="86"/>
      <c r="O382" s="86"/>
      <c r="P382" s="86"/>
      <c r="Q382" s="86"/>
      <c r="R382" s="86"/>
      <c r="S382" s="86"/>
      <c r="T382" s="86"/>
      <c r="U382" s="142" t="str">
        <f t="shared" si="160"/>
        <v/>
      </c>
      <c r="V382" s="88"/>
      <c r="W382" s="88"/>
      <c r="X382" s="88"/>
      <c r="Y382" s="88"/>
      <c r="Z382" s="88"/>
      <c r="AA382" s="88"/>
      <c r="AB382" s="88"/>
      <c r="AC382" s="88"/>
      <c r="AD382" s="142" t="str">
        <f t="shared" si="161"/>
        <v/>
      </c>
      <c r="AE382" s="88"/>
      <c r="AF382" s="88"/>
      <c r="AG382" s="88"/>
      <c r="AH382" s="88"/>
      <c r="AI382" s="88"/>
      <c r="AJ382" s="88"/>
      <c r="AK382" s="88"/>
      <c r="AL382" s="88"/>
      <c r="AM382" s="88">
        <v>35.744036349867471</v>
      </c>
      <c r="AN382" s="88">
        <v>132.05000000000001</v>
      </c>
      <c r="AO382" s="89"/>
      <c r="AP382" s="90"/>
      <c r="AQ382" s="146" t="str">
        <f t="shared" si="162"/>
        <v/>
      </c>
      <c r="AR382" s="146" t="str">
        <f t="shared" si="163"/>
        <v/>
      </c>
      <c r="AS382" s="147"/>
      <c r="AT382" s="148"/>
      <c r="AU382" s="149"/>
      <c r="AV382" s="146" t="str">
        <f t="shared" si="164"/>
        <v/>
      </c>
      <c r="AW382" s="146" t="str">
        <f t="shared" si="165"/>
        <v/>
      </c>
      <c r="AX382" s="138" t="str">
        <f t="shared" si="166"/>
        <v/>
      </c>
      <c r="AY382" s="95"/>
      <c r="AZ382" s="96"/>
      <c r="BA382" s="96"/>
      <c r="BB382" s="96"/>
      <c r="BC382" s="96"/>
      <c r="BD382" s="97">
        <v>132.05000000000001</v>
      </c>
      <c r="BE382" s="142">
        <f t="shared" si="167"/>
        <v>8564</v>
      </c>
      <c r="BF382" s="88">
        <v>1933</v>
      </c>
      <c r="BG382" s="98">
        <v>0</v>
      </c>
      <c r="BH382" s="98">
        <v>0</v>
      </c>
      <c r="BI382" s="98">
        <v>6631</v>
      </c>
      <c r="BJ382" s="98"/>
      <c r="BK382" s="98"/>
      <c r="BL382" s="97"/>
    </row>
    <row r="383" spans="1:64" outlineLevel="5" x14ac:dyDescent="0.3">
      <c r="A383" s="152">
        <f t="shared" si="168"/>
        <v>11</v>
      </c>
      <c r="B383" s="153">
        <f t="shared" si="153"/>
        <v>45618</v>
      </c>
      <c r="C383" s="138" t="str">
        <f t="shared" si="158"/>
        <v/>
      </c>
      <c r="D383" s="186"/>
      <c r="E383" s="186"/>
      <c r="F383" s="84"/>
      <c r="G383" s="84"/>
      <c r="H383" s="84"/>
      <c r="I383" s="84"/>
      <c r="J383" s="84"/>
      <c r="K383" s="84"/>
      <c r="L383" s="140" t="str">
        <f t="shared" si="159"/>
        <v/>
      </c>
      <c r="M383" s="86"/>
      <c r="N383" s="86"/>
      <c r="O383" s="86"/>
      <c r="P383" s="86"/>
      <c r="Q383" s="86"/>
      <c r="R383" s="86"/>
      <c r="S383" s="86"/>
      <c r="T383" s="86"/>
      <c r="U383" s="142" t="str">
        <f t="shared" si="160"/>
        <v/>
      </c>
      <c r="V383" s="88"/>
      <c r="W383" s="88"/>
      <c r="X383" s="88"/>
      <c r="Y383" s="88"/>
      <c r="Z383" s="88"/>
      <c r="AA383" s="88"/>
      <c r="AB383" s="88"/>
      <c r="AC383" s="88"/>
      <c r="AD383" s="142" t="str">
        <f t="shared" si="161"/>
        <v/>
      </c>
      <c r="AE383" s="88"/>
      <c r="AF383" s="88"/>
      <c r="AG383" s="88"/>
      <c r="AH383" s="88"/>
      <c r="AI383" s="88"/>
      <c r="AJ383" s="88"/>
      <c r="AK383" s="88"/>
      <c r="AL383" s="88"/>
      <c r="AM383" s="88">
        <v>39.392421966282761</v>
      </c>
      <c r="AN383" s="88">
        <v>119.82</v>
      </c>
      <c r="AO383" s="89"/>
      <c r="AP383" s="90"/>
      <c r="AQ383" s="146" t="str">
        <f t="shared" si="162"/>
        <v/>
      </c>
      <c r="AR383" s="146" t="str">
        <f t="shared" si="163"/>
        <v/>
      </c>
      <c r="AS383" s="147"/>
      <c r="AT383" s="148"/>
      <c r="AU383" s="149"/>
      <c r="AV383" s="146" t="str">
        <f t="shared" si="164"/>
        <v/>
      </c>
      <c r="AW383" s="146" t="str">
        <f t="shared" si="165"/>
        <v/>
      </c>
      <c r="AX383" s="138" t="str">
        <f t="shared" si="166"/>
        <v/>
      </c>
      <c r="AY383" s="95"/>
      <c r="AZ383" s="96"/>
      <c r="BA383" s="96"/>
      <c r="BB383" s="96"/>
      <c r="BC383" s="96"/>
      <c r="BD383" s="97">
        <v>119.82</v>
      </c>
      <c r="BE383" s="142">
        <f t="shared" si="167"/>
        <v>8624</v>
      </c>
      <c r="BF383" s="88">
        <v>2226</v>
      </c>
      <c r="BG383" s="98">
        <v>0</v>
      </c>
      <c r="BH383" s="98">
        <v>0</v>
      </c>
      <c r="BI383" s="98">
        <v>6398</v>
      </c>
      <c r="BJ383" s="98"/>
      <c r="BK383" s="98"/>
      <c r="BL383" s="97"/>
    </row>
    <row r="384" spans="1:64" outlineLevel="5" x14ac:dyDescent="0.3">
      <c r="A384" s="152">
        <f t="shared" si="168"/>
        <v>11</v>
      </c>
      <c r="B384" s="153">
        <f t="shared" si="153"/>
        <v>45619</v>
      </c>
      <c r="C384" s="138" t="str">
        <f t="shared" si="158"/>
        <v/>
      </c>
      <c r="D384" s="186"/>
      <c r="E384" s="186"/>
      <c r="F384" s="84"/>
      <c r="G384" s="84"/>
      <c r="H384" s="84"/>
      <c r="I384" s="84"/>
      <c r="J384" s="84"/>
      <c r="K384" s="84"/>
      <c r="L384" s="140" t="str">
        <f t="shared" si="159"/>
        <v/>
      </c>
      <c r="M384" s="86"/>
      <c r="N384" s="86"/>
      <c r="O384" s="86"/>
      <c r="P384" s="86"/>
      <c r="Q384" s="86"/>
      <c r="R384" s="86"/>
      <c r="S384" s="86"/>
      <c r="T384" s="86"/>
      <c r="U384" s="142" t="str">
        <f t="shared" si="160"/>
        <v/>
      </c>
      <c r="V384" s="88"/>
      <c r="W384" s="88"/>
      <c r="X384" s="88"/>
      <c r="Y384" s="88"/>
      <c r="Z384" s="88"/>
      <c r="AA384" s="88"/>
      <c r="AB384" s="88"/>
      <c r="AC384" s="88"/>
      <c r="AD384" s="142" t="str">
        <f t="shared" si="161"/>
        <v/>
      </c>
      <c r="AE384" s="88"/>
      <c r="AF384" s="88"/>
      <c r="AG384" s="88"/>
      <c r="AH384" s="88"/>
      <c r="AI384" s="88"/>
      <c r="AJ384" s="88"/>
      <c r="AK384" s="88"/>
      <c r="AL384" s="88"/>
      <c r="AM384" s="88">
        <v>32.766400555362722</v>
      </c>
      <c r="AN384" s="88">
        <v>144.05000000000001</v>
      </c>
      <c r="AO384" s="89"/>
      <c r="AP384" s="90"/>
      <c r="AQ384" s="146" t="str">
        <f t="shared" si="162"/>
        <v/>
      </c>
      <c r="AR384" s="146" t="str">
        <f t="shared" si="163"/>
        <v/>
      </c>
      <c r="AS384" s="147"/>
      <c r="AT384" s="148"/>
      <c r="AU384" s="149"/>
      <c r="AV384" s="146" t="str">
        <f t="shared" si="164"/>
        <v/>
      </c>
      <c r="AW384" s="146" t="str">
        <f t="shared" si="165"/>
        <v/>
      </c>
      <c r="AX384" s="138" t="str">
        <f t="shared" si="166"/>
        <v/>
      </c>
      <c r="AY384" s="95"/>
      <c r="AZ384" s="96"/>
      <c r="BA384" s="96"/>
      <c r="BB384" s="96"/>
      <c r="BC384" s="96"/>
      <c r="BD384" s="97">
        <v>144.05000000000001</v>
      </c>
      <c r="BE384" s="142">
        <f t="shared" si="167"/>
        <v>8511</v>
      </c>
      <c r="BF384" s="88">
        <v>2287</v>
      </c>
      <c r="BG384" s="98">
        <v>0</v>
      </c>
      <c r="BH384" s="98">
        <v>0</v>
      </c>
      <c r="BI384" s="98">
        <v>6224</v>
      </c>
      <c r="BJ384" s="98"/>
      <c r="BK384" s="98"/>
      <c r="BL384" s="97"/>
    </row>
    <row r="385" spans="1:64" outlineLevel="5" x14ac:dyDescent="0.3">
      <c r="A385" s="152">
        <f t="shared" si="168"/>
        <v>11</v>
      </c>
      <c r="B385" s="153">
        <f t="shared" si="153"/>
        <v>45620</v>
      </c>
      <c r="C385" s="138">
        <f t="shared" si="158"/>
        <v>37.4</v>
      </c>
      <c r="D385" s="186">
        <v>37.299999999999997</v>
      </c>
      <c r="E385" s="186">
        <v>37.5</v>
      </c>
      <c r="F385" s="84"/>
      <c r="G385" s="84"/>
      <c r="H385" s="84"/>
      <c r="I385" s="84"/>
      <c r="J385" s="84"/>
      <c r="K385" s="84"/>
      <c r="L385" s="140" t="str">
        <f t="shared" si="159"/>
        <v/>
      </c>
      <c r="M385" s="86"/>
      <c r="N385" s="86"/>
      <c r="O385" s="86"/>
      <c r="P385" s="86"/>
      <c r="Q385" s="86"/>
      <c r="R385" s="86"/>
      <c r="S385" s="86"/>
      <c r="T385" s="86"/>
      <c r="U385" s="142" t="str">
        <f t="shared" si="160"/>
        <v/>
      </c>
      <c r="V385" s="88"/>
      <c r="W385" s="88"/>
      <c r="X385" s="88"/>
      <c r="Y385" s="88"/>
      <c r="Z385" s="88"/>
      <c r="AA385" s="88"/>
      <c r="AB385" s="88"/>
      <c r="AC385" s="88"/>
      <c r="AD385" s="142" t="str">
        <f t="shared" si="161"/>
        <v/>
      </c>
      <c r="AE385" s="88"/>
      <c r="AF385" s="88"/>
      <c r="AG385" s="88"/>
      <c r="AH385" s="88"/>
      <c r="AI385" s="88"/>
      <c r="AJ385" s="88"/>
      <c r="AK385" s="88"/>
      <c r="AL385" s="88"/>
      <c r="AM385" s="88">
        <v>34.962962962962962</v>
      </c>
      <c r="AN385" s="88">
        <v>135</v>
      </c>
      <c r="AO385" s="89"/>
      <c r="AP385" s="90"/>
      <c r="AQ385" s="146" t="str">
        <f t="shared" si="162"/>
        <v/>
      </c>
      <c r="AR385" s="146" t="str">
        <f t="shared" si="163"/>
        <v/>
      </c>
      <c r="AS385" s="147"/>
      <c r="AT385" s="148"/>
      <c r="AU385" s="149"/>
      <c r="AV385" s="146" t="str">
        <f t="shared" si="164"/>
        <v/>
      </c>
      <c r="AW385" s="146" t="str">
        <f t="shared" si="165"/>
        <v/>
      </c>
      <c r="AX385" s="138" t="str">
        <f t="shared" si="166"/>
        <v/>
      </c>
      <c r="AY385" s="95"/>
      <c r="AZ385" s="96"/>
      <c r="BA385" s="96"/>
      <c r="BB385" s="96"/>
      <c r="BC385" s="96"/>
      <c r="BD385" s="97">
        <v>135</v>
      </c>
      <c r="BE385" s="142">
        <f t="shared" si="167"/>
        <v>8271</v>
      </c>
      <c r="BF385" s="88">
        <v>1810</v>
      </c>
      <c r="BG385" s="98">
        <v>0</v>
      </c>
      <c r="BH385" s="98">
        <v>0</v>
      </c>
      <c r="BI385" s="98">
        <v>6461</v>
      </c>
      <c r="BJ385" s="98"/>
      <c r="BK385" s="98"/>
      <c r="BL385" s="97"/>
    </row>
    <row r="386" spans="1:64" outlineLevel="5" x14ac:dyDescent="0.3">
      <c r="A386" s="152">
        <f t="shared" si="168"/>
        <v>11</v>
      </c>
      <c r="B386" s="153">
        <f t="shared" si="153"/>
        <v>45621</v>
      </c>
      <c r="C386" s="138" t="str">
        <f t="shared" si="158"/>
        <v/>
      </c>
      <c r="D386" s="186"/>
      <c r="E386" s="186"/>
      <c r="F386" s="84"/>
      <c r="G386" s="84"/>
      <c r="H386" s="84"/>
      <c r="I386" s="84"/>
      <c r="J386" s="84"/>
      <c r="K386" s="84"/>
      <c r="L386" s="140" t="str">
        <f t="shared" si="159"/>
        <v/>
      </c>
      <c r="M386" s="86"/>
      <c r="N386" s="86"/>
      <c r="O386" s="86"/>
      <c r="P386" s="86"/>
      <c r="Q386" s="86"/>
      <c r="R386" s="86"/>
      <c r="S386" s="86"/>
      <c r="T386" s="86"/>
      <c r="U386" s="142">
        <f t="shared" si="160"/>
        <v>1248</v>
      </c>
      <c r="V386" s="88">
        <v>752</v>
      </c>
      <c r="W386" s="88">
        <v>1744</v>
      </c>
      <c r="X386" s="88"/>
      <c r="Y386" s="88"/>
      <c r="Z386" s="88"/>
      <c r="AA386" s="88"/>
      <c r="AB386" s="88"/>
      <c r="AC386" s="88"/>
      <c r="AD386" s="142">
        <f t="shared" si="161"/>
        <v>20555</v>
      </c>
      <c r="AE386" s="88">
        <v>19910</v>
      </c>
      <c r="AF386" s="88">
        <v>21200</v>
      </c>
      <c r="AG386" s="88"/>
      <c r="AH386" s="88"/>
      <c r="AI386" s="88"/>
      <c r="AJ386" s="88"/>
      <c r="AK386" s="88"/>
      <c r="AL386" s="88"/>
      <c r="AM386" s="88">
        <v>60.762100926879498</v>
      </c>
      <c r="AN386" s="88">
        <v>77.680000000000007</v>
      </c>
      <c r="AO386" s="89">
        <v>19</v>
      </c>
      <c r="AP386" s="90">
        <v>15.2</v>
      </c>
      <c r="AQ386" s="146">
        <f t="shared" si="162"/>
        <v>80</v>
      </c>
      <c r="AR386" s="146">
        <f t="shared" si="163"/>
        <v>20</v>
      </c>
      <c r="AS386" s="147"/>
      <c r="AT386" s="148">
        <v>14.45</v>
      </c>
      <c r="AU386" s="149">
        <v>9.3000000000000007</v>
      </c>
      <c r="AV386" s="146">
        <f t="shared" si="164"/>
        <v>64.359861591695505</v>
      </c>
      <c r="AW386" s="146">
        <f t="shared" si="165"/>
        <v>35.640138408304495</v>
      </c>
      <c r="AX386" s="138">
        <f t="shared" si="166"/>
        <v>54.854368932038831</v>
      </c>
      <c r="AY386" s="95">
        <v>76.849999999999994</v>
      </c>
      <c r="AZ386" s="96"/>
      <c r="BA386" s="96"/>
      <c r="BB386" s="96"/>
      <c r="BC386" s="96"/>
      <c r="BD386" s="97">
        <v>77.680000000000007</v>
      </c>
      <c r="BE386" s="142">
        <f t="shared" si="167"/>
        <v>8413</v>
      </c>
      <c r="BF386" s="88">
        <v>2099</v>
      </c>
      <c r="BG386" s="98">
        <v>0</v>
      </c>
      <c r="BH386" s="98">
        <v>0</v>
      </c>
      <c r="BI386" s="98">
        <v>6314</v>
      </c>
      <c r="BJ386" s="98"/>
      <c r="BK386" s="98"/>
      <c r="BL386" s="97"/>
    </row>
    <row r="387" spans="1:64" outlineLevel="5" x14ac:dyDescent="0.3">
      <c r="A387" s="152">
        <f t="shared" si="168"/>
        <v>11</v>
      </c>
      <c r="B387" s="153">
        <f t="shared" si="153"/>
        <v>45622</v>
      </c>
      <c r="C387" s="138" t="str">
        <f t="shared" si="158"/>
        <v/>
      </c>
      <c r="D387" s="186"/>
      <c r="E387" s="186"/>
      <c r="F387" s="84"/>
      <c r="G387" s="84"/>
      <c r="H387" s="84"/>
      <c r="I387" s="84"/>
      <c r="J387" s="84"/>
      <c r="K387" s="84"/>
      <c r="L387" s="140" t="str">
        <f t="shared" si="159"/>
        <v/>
      </c>
      <c r="M387" s="86"/>
      <c r="N387" s="86"/>
      <c r="O387" s="86"/>
      <c r="P387" s="86"/>
      <c r="Q387" s="86"/>
      <c r="R387" s="86"/>
      <c r="S387" s="86"/>
      <c r="T387" s="86"/>
      <c r="U387" s="142" t="str">
        <f t="shared" si="160"/>
        <v/>
      </c>
      <c r="V387" s="88"/>
      <c r="W387" s="88"/>
      <c r="X387" s="88"/>
      <c r="Y387" s="88"/>
      <c r="Z387" s="88"/>
      <c r="AA387" s="88"/>
      <c r="AB387" s="88"/>
      <c r="AC387" s="88"/>
      <c r="AD387" s="142" t="str">
        <f t="shared" si="161"/>
        <v/>
      </c>
      <c r="AE387" s="88"/>
      <c r="AF387" s="88"/>
      <c r="AG387" s="88"/>
      <c r="AH387" s="88"/>
      <c r="AI387" s="88"/>
      <c r="AJ387" s="88"/>
      <c r="AK387" s="88"/>
      <c r="AL387" s="88"/>
      <c r="AM387" s="88">
        <v>35.847193741930582</v>
      </c>
      <c r="AN387" s="88">
        <v>131.67000000000002</v>
      </c>
      <c r="AO387" s="89"/>
      <c r="AP387" s="90"/>
      <c r="AQ387" s="146" t="str">
        <f t="shared" si="162"/>
        <v/>
      </c>
      <c r="AR387" s="146" t="str">
        <f t="shared" si="163"/>
        <v/>
      </c>
      <c r="AS387" s="147"/>
      <c r="AT387" s="148"/>
      <c r="AU387" s="149"/>
      <c r="AV387" s="146" t="str">
        <f t="shared" si="164"/>
        <v/>
      </c>
      <c r="AW387" s="146" t="str">
        <f t="shared" si="165"/>
        <v/>
      </c>
      <c r="AX387" s="138" t="str">
        <f t="shared" si="166"/>
        <v/>
      </c>
      <c r="AY387" s="95"/>
      <c r="AZ387" s="96"/>
      <c r="BA387" s="96"/>
      <c r="BB387" s="96"/>
      <c r="BC387" s="96"/>
      <c r="BD387" s="97">
        <v>131.67000000000002</v>
      </c>
      <c r="BE387" s="142">
        <f t="shared" si="167"/>
        <v>8380</v>
      </c>
      <c r="BF387" s="88">
        <v>1878</v>
      </c>
      <c r="BG387" s="98">
        <v>0</v>
      </c>
      <c r="BH387" s="98">
        <v>0</v>
      </c>
      <c r="BI387" s="98">
        <v>6502</v>
      </c>
      <c r="BJ387" s="98"/>
      <c r="BK387" s="98"/>
      <c r="BL387" s="97"/>
    </row>
    <row r="388" spans="1:64" outlineLevel="5" x14ac:dyDescent="0.3">
      <c r="A388" s="152">
        <f t="shared" si="168"/>
        <v>11</v>
      </c>
      <c r="B388" s="153">
        <f t="shared" si="153"/>
        <v>45623</v>
      </c>
      <c r="C388" s="138" t="str">
        <f t="shared" si="158"/>
        <v/>
      </c>
      <c r="D388" s="186"/>
      <c r="E388" s="186"/>
      <c r="F388" s="84"/>
      <c r="G388" s="84"/>
      <c r="H388" s="84"/>
      <c r="I388" s="84"/>
      <c r="J388" s="84"/>
      <c r="K388" s="84"/>
      <c r="L388" s="140" t="str">
        <f t="shared" si="159"/>
        <v/>
      </c>
      <c r="M388" s="86"/>
      <c r="N388" s="86"/>
      <c r="O388" s="86"/>
      <c r="P388" s="86"/>
      <c r="Q388" s="86"/>
      <c r="R388" s="86"/>
      <c r="S388" s="86"/>
      <c r="T388" s="86"/>
      <c r="U388" s="142" t="str">
        <f t="shared" si="160"/>
        <v/>
      </c>
      <c r="V388" s="88"/>
      <c r="W388" s="88"/>
      <c r="X388" s="88"/>
      <c r="Y388" s="88"/>
      <c r="Z388" s="88"/>
      <c r="AA388" s="88"/>
      <c r="AB388" s="88"/>
      <c r="AC388" s="88"/>
      <c r="AD388" s="142" t="str">
        <f t="shared" si="161"/>
        <v/>
      </c>
      <c r="AE388" s="88"/>
      <c r="AF388" s="88"/>
      <c r="AG388" s="88"/>
      <c r="AH388" s="88"/>
      <c r="AI388" s="88"/>
      <c r="AJ388" s="88"/>
      <c r="AK388" s="88"/>
      <c r="AL388" s="88"/>
      <c r="AM388" s="88">
        <v>40.766971843150806</v>
      </c>
      <c r="AN388" s="88">
        <v>115.78</v>
      </c>
      <c r="AO388" s="89"/>
      <c r="AP388" s="90"/>
      <c r="AQ388" s="146" t="str">
        <f t="shared" si="162"/>
        <v/>
      </c>
      <c r="AR388" s="146" t="str">
        <f t="shared" si="163"/>
        <v/>
      </c>
      <c r="AS388" s="147"/>
      <c r="AT388" s="148"/>
      <c r="AU388" s="149"/>
      <c r="AV388" s="146" t="str">
        <f t="shared" si="164"/>
        <v/>
      </c>
      <c r="AW388" s="146" t="str">
        <f t="shared" si="165"/>
        <v/>
      </c>
      <c r="AX388" s="138" t="str">
        <f t="shared" si="166"/>
        <v/>
      </c>
      <c r="AY388" s="95"/>
      <c r="AZ388" s="96"/>
      <c r="BA388" s="96"/>
      <c r="BB388" s="96"/>
      <c r="BC388" s="96"/>
      <c r="BD388" s="97">
        <v>115.78</v>
      </c>
      <c r="BE388" s="142">
        <f t="shared" si="167"/>
        <v>9653</v>
      </c>
      <c r="BF388" s="88">
        <v>2619</v>
      </c>
      <c r="BG388" s="98">
        <v>0</v>
      </c>
      <c r="BH388" s="98">
        <v>0</v>
      </c>
      <c r="BI388" s="98">
        <v>7034</v>
      </c>
      <c r="BJ388" s="98"/>
      <c r="BK388" s="98"/>
      <c r="BL388" s="97"/>
    </row>
    <row r="389" spans="1:64" outlineLevel="5" x14ac:dyDescent="0.3">
      <c r="A389" s="152">
        <f t="shared" si="168"/>
        <v>11</v>
      </c>
      <c r="B389" s="153">
        <f t="shared" si="153"/>
        <v>45624</v>
      </c>
      <c r="C389" s="138">
        <f t="shared" si="158"/>
        <v>37.6</v>
      </c>
      <c r="D389" s="186">
        <v>37.200000000000003</v>
      </c>
      <c r="E389" s="186">
        <v>38</v>
      </c>
      <c r="F389" s="84"/>
      <c r="G389" s="84"/>
      <c r="H389" s="84"/>
      <c r="I389" s="84"/>
      <c r="J389" s="84"/>
      <c r="K389" s="84"/>
      <c r="L389" s="140" t="str">
        <f t="shared" si="159"/>
        <v/>
      </c>
      <c r="M389" s="86"/>
      <c r="N389" s="86"/>
      <c r="O389" s="86"/>
      <c r="P389" s="86"/>
      <c r="Q389" s="86"/>
      <c r="R389" s="86"/>
      <c r="S389" s="86"/>
      <c r="T389" s="86"/>
      <c r="U389" s="142" t="str">
        <f t="shared" si="160"/>
        <v/>
      </c>
      <c r="V389" s="88"/>
      <c r="W389" s="88"/>
      <c r="X389" s="88"/>
      <c r="Y389" s="88"/>
      <c r="Z389" s="88"/>
      <c r="AA389" s="88"/>
      <c r="AB389" s="88"/>
      <c r="AC389" s="88"/>
      <c r="AD389" s="142" t="str">
        <f t="shared" si="161"/>
        <v/>
      </c>
      <c r="AE389" s="88"/>
      <c r="AF389" s="88"/>
      <c r="AG389" s="88"/>
      <c r="AH389" s="88"/>
      <c r="AI389" s="88"/>
      <c r="AJ389" s="88"/>
      <c r="AK389" s="88"/>
      <c r="AL389" s="88"/>
      <c r="AM389" s="88">
        <v>31.50026695141484</v>
      </c>
      <c r="AN389" s="88">
        <v>149.84</v>
      </c>
      <c r="AO389" s="89"/>
      <c r="AP389" s="90"/>
      <c r="AQ389" s="146" t="str">
        <f t="shared" si="162"/>
        <v/>
      </c>
      <c r="AR389" s="146" t="str">
        <f t="shared" si="163"/>
        <v/>
      </c>
      <c r="AS389" s="147"/>
      <c r="AT389" s="148"/>
      <c r="AU389" s="149"/>
      <c r="AV389" s="146" t="str">
        <f t="shared" si="164"/>
        <v/>
      </c>
      <c r="AW389" s="146" t="str">
        <f t="shared" si="165"/>
        <v/>
      </c>
      <c r="AX389" s="138" t="str">
        <f t="shared" si="166"/>
        <v/>
      </c>
      <c r="AY389" s="95"/>
      <c r="AZ389" s="96"/>
      <c r="BA389" s="96"/>
      <c r="BB389" s="96"/>
      <c r="BC389" s="96"/>
      <c r="BD389" s="97">
        <v>149.84</v>
      </c>
      <c r="BE389" s="142">
        <f t="shared" si="167"/>
        <v>8914</v>
      </c>
      <c r="BF389" s="88">
        <v>2249</v>
      </c>
      <c r="BG389" s="98">
        <v>0</v>
      </c>
      <c r="BH389" s="98">
        <v>0</v>
      </c>
      <c r="BI389" s="98">
        <v>6665</v>
      </c>
      <c r="BJ389" s="98"/>
      <c r="BK389" s="98"/>
      <c r="BL389" s="97"/>
    </row>
    <row r="390" spans="1:64" outlineLevel="5" x14ac:dyDescent="0.3">
      <c r="A390" s="152">
        <f t="shared" si="168"/>
        <v>11</v>
      </c>
      <c r="B390" s="153">
        <f t="shared" si="153"/>
        <v>45625</v>
      </c>
      <c r="C390" s="138" t="str">
        <f t="shared" si="158"/>
        <v/>
      </c>
      <c r="D390" s="186"/>
      <c r="E390" s="186"/>
      <c r="F390" s="84"/>
      <c r="G390" s="84"/>
      <c r="H390" s="84"/>
      <c r="I390" s="84"/>
      <c r="J390" s="84"/>
      <c r="K390" s="84"/>
      <c r="L390" s="140" t="str">
        <f t="shared" si="159"/>
        <v/>
      </c>
      <c r="M390" s="86"/>
      <c r="N390" s="86"/>
      <c r="O390" s="86"/>
      <c r="P390" s="86"/>
      <c r="Q390" s="86"/>
      <c r="R390" s="86"/>
      <c r="S390" s="86"/>
      <c r="T390" s="86"/>
      <c r="U390" s="142" t="str">
        <f t="shared" si="160"/>
        <v/>
      </c>
      <c r="V390" s="88"/>
      <c r="W390" s="88"/>
      <c r="X390" s="88"/>
      <c r="Y390" s="88"/>
      <c r="Z390" s="88"/>
      <c r="AA390" s="88"/>
      <c r="AB390" s="88"/>
      <c r="AC390" s="88"/>
      <c r="AD390" s="142" t="str">
        <f t="shared" si="161"/>
        <v/>
      </c>
      <c r="AE390" s="88"/>
      <c r="AF390" s="88"/>
      <c r="AG390" s="88"/>
      <c r="AH390" s="88"/>
      <c r="AI390" s="88"/>
      <c r="AJ390" s="88"/>
      <c r="AK390" s="88"/>
      <c r="AL390" s="88"/>
      <c r="AM390" s="88">
        <v>34.637117487341314</v>
      </c>
      <c r="AN390" s="88">
        <v>136.26999999999998</v>
      </c>
      <c r="AO390" s="89"/>
      <c r="AP390" s="90"/>
      <c r="AQ390" s="146" t="str">
        <f t="shared" si="162"/>
        <v/>
      </c>
      <c r="AR390" s="146" t="str">
        <f t="shared" si="163"/>
        <v/>
      </c>
      <c r="AS390" s="147"/>
      <c r="AT390" s="148"/>
      <c r="AU390" s="149"/>
      <c r="AV390" s="146" t="str">
        <f t="shared" si="164"/>
        <v/>
      </c>
      <c r="AW390" s="146" t="str">
        <f t="shared" si="165"/>
        <v/>
      </c>
      <c r="AX390" s="138" t="str">
        <f t="shared" si="166"/>
        <v/>
      </c>
      <c r="AY390" s="95"/>
      <c r="AZ390" s="96">
        <v>62.905000000000001</v>
      </c>
      <c r="BA390" s="96"/>
      <c r="BB390" s="96"/>
      <c r="BC390" s="96"/>
      <c r="BD390" s="97">
        <v>136.26999999999998</v>
      </c>
      <c r="BE390" s="142">
        <f t="shared" si="167"/>
        <v>8292</v>
      </c>
      <c r="BF390" s="88">
        <v>1837</v>
      </c>
      <c r="BG390" s="98">
        <v>0</v>
      </c>
      <c r="BH390" s="98">
        <v>0</v>
      </c>
      <c r="BI390" s="98">
        <v>6455</v>
      </c>
      <c r="BJ390" s="98"/>
      <c r="BK390" s="98"/>
      <c r="BL390" s="97"/>
    </row>
    <row r="391" spans="1:64" ht="17.25" outlineLevel="5" thickBot="1" x14ac:dyDescent="0.35">
      <c r="A391" s="154">
        <f t="shared" si="168"/>
        <v>11</v>
      </c>
      <c r="B391" s="155">
        <f t="shared" si="153"/>
        <v>45626</v>
      </c>
      <c r="C391" s="138" t="str">
        <f t="shared" si="158"/>
        <v/>
      </c>
      <c r="D391" s="186"/>
      <c r="E391" s="186"/>
      <c r="F391" s="84"/>
      <c r="G391" s="84"/>
      <c r="H391" s="84"/>
      <c r="I391" s="84"/>
      <c r="J391" s="84"/>
      <c r="K391" s="84"/>
      <c r="L391" s="140" t="str">
        <f t="shared" si="159"/>
        <v/>
      </c>
      <c r="M391" s="86"/>
      <c r="N391" s="86"/>
      <c r="O391" s="86"/>
      <c r="P391" s="86"/>
      <c r="Q391" s="86"/>
      <c r="R391" s="86"/>
      <c r="S391" s="86"/>
      <c r="T391" s="86"/>
      <c r="U391" s="142" t="str">
        <f t="shared" si="160"/>
        <v/>
      </c>
      <c r="V391" s="88"/>
      <c r="W391" s="88"/>
      <c r="X391" s="88"/>
      <c r="Y391" s="88"/>
      <c r="Z391" s="88"/>
      <c r="AA391" s="88"/>
      <c r="AB391" s="88"/>
      <c r="AC391" s="88"/>
      <c r="AD391" s="142" t="str">
        <f t="shared" si="161"/>
        <v/>
      </c>
      <c r="AE391" s="88"/>
      <c r="AF391" s="88"/>
      <c r="AG391" s="88"/>
      <c r="AH391" s="88"/>
      <c r="AI391" s="88"/>
      <c r="AJ391" s="88"/>
      <c r="AK391" s="88"/>
      <c r="AL391" s="88"/>
      <c r="AM391" s="88">
        <v>38.349041273968155</v>
      </c>
      <c r="AN391" s="88">
        <v>123.08</v>
      </c>
      <c r="AO391" s="89"/>
      <c r="AP391" s="90"/>
      <c r="AQ391" s="146" t="str">
        <f t="shared" si="162"/>
        <v/>
      </c>
      <c r="AR391" s="146" t="str">
        <f t="shared" si="163"/>
        <v/>
      </c>
      <c r="AS391" s="147"/>
      <c r="AT391" s="148"/>
      <c r="AU391" s="149"/>
      <c r="AV391" s="146" t="str">
        <f t="shared" si="164"/>
        <v/>
      </c>
      <c r="AW391" s="146" t="str">
        <f t="shared" si="165"/>
        <v/>
      </c>
      <c r="AX391" s="138" t="str">
        <f t="shared" si="166"/>
        <v/>
      </c>
      <c r="AY391" s="95"/>
      <c r="AZ391" s="96"/>
      <c r="BA391" s="96"/>
      <c r="BB391" s="96"/>
      <c r="BC391" s="96"/>
      <c r="BD391" s="97">
        <v>123.08</v>
      </c>
      <c r="BE391" s="142">
        <f t="shared" si="167"/>
        <v>8449</v>
      </c>
      <c r="BF391" s="88">
        <v>2291</v>
      </c>
      <c r="BG391" s="98">
        <v>0</v>
      </c>
      <c r="BH391" s="98">
        <v>0</v>
      </c>
      <c r="BI391" s="98">
        <v>6158</v>
      </c>
      <c r="BJ391" s="98"/>
      <c r="BK391" s="98"/>
      <c r="BL391" s="97"/>
    </row>
    <row r="392" spans="1:64" outlineLevel="4" x14ac:dyDescent="0.3">
      <c r="A392" s="63" t="s">
        <v>97</v>
      </c>
      <c r="B392" s="64"/>
      <c r="C392" s="65">
        <f t="shared" ref="C392:BL392" si="169">SUBTOTAL(4,C362:C391)</f>
        <v>38.799999999999997</v>
      </c>
      <c r="D392" s="66">
        <f t="shared" si="169"/>
        <v>38.700000000000003</v>
      </c>
      <c r="E392" s="66">
        <f t="shared" si="169"/>
        <v>38.799999999999997</v>
      </c>
      <c r="F392" s="66">
        <f t="shared" si="169"/>
        <v>0</v>
      </c>
      <c r="G392" s="66">
        <f t="shared" si="169"/>
        <v>0</v>
      </c>
      <c r="H392" s="66">
        <f t="shared" si="169"/>
        <v>0</v>
      </c>
      <c r="I392" s="66">
        <f t="shared" si="169"/>
        <v>0</v>
      </c>
      <c r="J392" s="66">
        <f t="shared" si="169"/>
        <v>0</v>
      </c>
      <c r="K392" s="66">
        <f t="shared" si="169"/>
        <v>0</v>
      </c>
      <c r="L392" s="67">
        <f t="shared" si="169"/>
        <v>0</v>
      </c>
      <c r="M392" s="68">
        <f t="shared" si="169"/>
        <v>0</v>
      </c>
      <c r="N392" s="68">
        <f t="shared" si="169"/>
        <v>0</v>
      </c>
      <c r="O392" s="68">
        <f t="shared" si="169"/>
        <v>0</v>
      </c>
      <c r="P392" s="68">
        <f t="shared" si="169"/>
        <v>0</v>
      </c>
      <c r="Q392" s="68">
        <f t="shared" si="169"/>
        <v>0</v>
      </c>
      <c r="R392" s="68">
        <f t="shared" si="169"/>
        <v>0</v>
      </c>
      <c r="S392" s="68">
        <f t="shared" si="169"/>
        <v>0</v>
      </c>
      <c r="T392" s="68">
        <f t="shared" si="169"/>
        <v>0</v>
      </c>
      <c r="U392" s="69">
        <f t="shared" si="169"/>
        <v>1917.5</v>
      </c>
      <c r="V392" s="70">
        <f t="shared" si="169"/>
        <v>2002</v>
      </c>
      <c r="W392" s="70">
        <f t="shared" si="169"/>
        <v>1887</v>
      </c>
      <c r="X392" s="70">
        <f t="shared" si="169"/>
        <v>0</v>
      </c>
      <c r="Y392" s="70">
        <f t="shared" si="169"/>
        <v>0</v>
      </c>
      <c r="Z392" s="70">
        <f t="shared" si="169"/>
        <v>0</v>
      </c>
      <c r="AA392" s="70">
        <f t="shared" si="169"/>
        <v>0</v>
      </c>
      <c r="AB392" s="70">
        <f t="shared" si="169"/>
        <v>0</v>
      </c>
      <c r="AC392" s="70">
        <f t="shared" si="169"/>
        <v>0</v>
      </c>
      <c r="AD392" s="69">
        <f t="shared" si="169"/>
        <v>20555</v>
      </c>
      <c r="AE392" s="70">
        <f t="shared" si="169"/>
        <v>19910</v>
      </c>
      <c r="AF392" s="70">
        <f t="shared" si="169"/>
        <v>21200</v>
      </c>
      <c r="AG392" s="70">
        <f t="shared" si="169"/>
        <v>0</v>
      </c>
      <c r="AH392" s="70">
        <f t="shared" si="169"/>
        <v>0</v>
      </c>
      <c r="AI392" s="70">
        <f t="shared" si="169"/>
        <v>0</v>
      </c>
      <c r="AJ392" s="70">
        <f t="shared" si="169"/>
        <v>0</v>
      </c>
      <c r="AK392" s="70">
        <f t="shared" si="169"/>
        <v>0</v>
      </c>
      <c r="AL392" s="70">
        <f t="shared" si="169"/>
        <v>0</v>
      </c>
      <c r="AM392" s="70">
        <f t="shared" si="169"/>
        <v>123.04483837330552</v>
      </c>
      <c r="AN392" s="70">
        <f t="shared" si="169"/>
        <v>160</v>
      </c>
      <c r="AO392" s="71">
        <f t="shared" si="169"/>
        <v>20.3</v>
      </c>
      <c r="AP392" s="72">
        <f t="shared" si="169"/>
        <v>18</v>
      </c>
      <c r="AQ392" s="73">
        <f t="shared" si="169"/>
        <v>88.669950738916242</v>
      </c>
      <c r="AR392" s="73">
        <f t="shared" si="169"/>
        <v>22.513089005235614</v>
      </c>
      <c r="AS392" s="74">
        <f t="shared" si="169"/>
        <v>0</v>
      </c>
      <c r="AT392" s="75">
        <f t="shared" si="169"/>
        <v>15.649999999999999</v>
      </c>
      <c r="AU392" s="76">
        <f t="shared" si="169"/>
        <v>10.25</v>
      </c>
      <c r="AV392" s="73">
        <f t="shared" si="169"/>
        <v>65.495207667731634</v>
      </c>
      <c r="AW392" s="73">
        <f t="shared" si="169"/>
        <v>39.999999999999993</v>
      </c>
      <c r="AX392" s="65">
        <f t="shared" si="169"/>
        <v>80.8333333333333</v>
      </c>
      <c r="AY392" s="77">
        <f t="shared" si="169"/>
        <v>76.849999999999994</v>
      </c>
      <c r="AZ392" s="78">
        <f t="shared" si="169"/>
        <v>62.905000000000001</v>
      </c>
      <c r="BA392" s="78">
        <f t="shared" si="169"/>
        <v>0</v>
      </c>
      <c r="BB392" s="78">
        <f t="shared" si="169"/>
        <v>57.5</v>
      </c>
      <c r="BC392" s="78">
        <f t="shared" si="169"/>
        <v>0</v>
      </c>
      <c r="BD392" s="79">
        <f t="shared" si="169"/>
        <v>160</v>
      </c>
      <c r="BE392" s="69">
        <f t="shared" si="169"/>
        <v>14006</v>
      </c>
      <c r="BF392" s="70">
        <f t="shared" si="169"/>
        <v>2619</v>
      </c>
      <c r="BG392" s="80">
        <f t="shared" si="169"/>
        <v>0</v>
      </c>
      <c r="BH392" s="80">
        <f t="shared" si="169"/>
        <v>5334</v>
      </c>
      <c r="BI392" s="80">
        <f t="shared" si="169"/>
        <v>7034</v>
      </c>
      <c r="BJ392" s="80">
        <f t="shared" si="169"/>
        <v>0</v>
      </c>
      <c r="BK392" s="80">
        <f t="shared" si="169"/>
        <v>0</v>
      </c>
      <c r="BL392" s="79">
        <f t="shared" si="169"/>
        <v>0</v>
      </c>
    </row>
    <row r="393" spans="1:64" outlineLevel="3" x14ac:dyDescent="0.3">
      <c r="A393" s="81" t="s">
        <v>98</v>
      </c>
      <c r="B393" s="82"/>
      <c r="C393" s="83">
        <f t="shared" ref="C393:BL393" si="170">SUBTOTAL(5,C362:C391)</f>
        <v>36.1</v>
      </c>
      <c r="D393" s="84">
        <f t="shared" si="170"/>
        <v>36</v>
      </c>
      <c r="E393" s="84">
        <f t="shared" si="170"/>
        <v>36.1</v>
      </c>
      <c r="F393" s="84">
        <f t="shared" si="170"/>
        <v>0</v>
      </c>
      <c r="G393" s="84">
        <f t="shared" si="170"/>
        <v>0</v>
      </c>
      <c r="H393" s="84">
        <f t="shared" si="170"/>
        <v>0</v>
      </c>
      <c r="I393" s="84">
        <f t="shared" si="170"/>
        <v>0</v>
      </c>
      <c r="J393" s="84">
        <f t="shared" si="170"/>
        <v>0</v>
      </c>
      <c r="K393" s="84">
        <f t="shared" si="170"/>
        <v>0</v>
      </c>
      <c r="L393" s="85">
        <f t="shared" si="170"/>
        <v>0</v>
      </c>
      <c r="M393" s="86">
        <f t="shared" si="170"/>
        <v>0</v>
      </c>
      <c r="N393" s="86">
        <f t="shared" si="170"/>
        <v>0</v>
      </c>
      <c r="O393" s="86">
        <f t="shared" si="170"/>
        <v>0</v>
      </c>
      <c r="P393" s="86">
        <f t="shared" si="170"/>
        <v>0</v>
      </c>
      <c r="Q393" s="86">
        <f t="shared" si="170"/>
        <v>0</v>
      </c>
      <c r="R393" s="86">
        <f t="shared" si="170"/>
        <v>0</v>
      </c>
      <c r="S393" s="86">
        <f t="shared" si="170"/>
        <v>0</v>
      </c>
      <c r="T393" s="86">
        <f t="shared" si="170"/>
        <v>0</v>
      </c>
      <c r="U393" s="87">
        <f t="shared" si="170"/>
        <v>890.5</v>
      </c>
      <c r="V393" s="88">
        <f t="shared" si="170"/>
        <v>752</v>
      </c>
      <c r="W393" s="88">
        <f t="shared" si="170"/>
        <v>798</v>
      </c>
      <c r="X393" s="88">
        <f t="shared" si="170"/>
        <v>0</v>
      </c>
      <c r="Y393" s="88">
        <f t="shared" si="170"/>
        <v>0</v>
      </c>
      <c r="Z393" s="88">
        <f t="shared" si="170"/>
        <v>0</v>
      </c>
      <c r="AA393" s="88">
        <f t="shared" si="170"/>
        <v>0</v>
      </c>
      <c r="AB393" s="88">
        <f t="shared" si="170"/>
        <v>0</v>
      </c>
      <c r="AC393" s="88">
        <f t="shared" si="170"/>
        <v>0</v>
      </c>
      <c r="AD393" s="87">
        <f t="shared" si="170"/>
        <v>14620</v>
      </c>
      <c r="AE393" s="88">
        <f t="shared" si="170"/>
        <v>15540</v>
      </c>
      <c r="AF393" s="88">
        <f t="shared" si="170"/>
        <v>13700</v>
      </c>
      <c r="AG393" s="88">
        <f t="shared" si="170"/>
        <v>0</v>
      </c>
      <c r="AH393" s="88">
        <f t="shared" si="170"/>
        <v>0</v>
      </c>
      <c r="AI393" s="88">
        <f t="shared" si="170"/>
        <v>0</v>
      </c>
      <c r="AJ393" s="88">
        <f t="shared" si="170"/>
        <v>0</v>
      </c>
      <c r="AK393" s="88">
        <f t="shared" si="170"/>
        <v>0</v>
      </c>
      <c r="AL393" s="88">
        <f t="shared" si="170"/>
        <v>0</v>
      </c>
      <c r="AM393" s="88">
        <f t="shared" si="170"/>
        <v>29.5</v>
      </c>
      <c r="AN393" s="88">
        <f t="shared" si="170"/>
        <v>38.36</v>
      </c>
      <c r="AO393" s="89">
        <f t="shared" si="170"/>
        <v>19</v>
      </c>
      <c r="AP393" s="90">
        <f t="shared" si="170"/>
        <v>14.8</v>
      </c>
      <c r="AQ393" s="91">
        <f t="shared" si="170"/>
        <v>77.486910994764386</v>
      </c>
      <c r="AR393" s="91">
        <f t="shared" si="170"/>
        <v>11.330049261083758</v>
      </c>
      <c r="AS393" s="92">
        <f t="shared" si="170"/>
        <v>0</v>
      </c>
      <c r="AT393" s="93">
        <f t="shared" si="170"/>
        <v>14.45</v>
      </c>
      <c r="AU393" s="94">
        <f t="shared" si="170"/>
        <v>9.3000000000000007</v>
      </c>
      <c r="AV393" s="91">
        <f t="shared" si="170"/>
        <v>60.000000000000007</v>
      </c>
      <c r="AW393" s="91">
        <f t="shared" si="170"/>
        <v>34.504792332268366</v>
      </c>
      <c r="AX393" s="83">
        <f t="shared" si="170"/>
        <v>44.851101101101051</v>
      </c>
      <c r="AY393" s="95">
        <f t="shared" si="170"/>
        <v>74.5</v>
      </c>
      <c r="AZ393" s="96">
        <f t="shared" si="170"/>
        <v>59.43</v>
      </c>
      <c r="BA393" s="96">
        <f t="shared" si="170"/>
        <v>0</v>
      </c>
      <c r="BB393" s="96">
        <f t="shared" si="170"/>
        <v>35.5</v>
      </c>
      <c r="BC393" s="96">
        <f t="shared" si="170"/>
        <v>0</v>
      </c>
      <c r="BD393" s="97">
        <f t="shared" si="170"/>
        <v>38.36</v>
      </c>
      <c r="BE393" s="87">
        <f t="shared" si="170"/>
        <v>4895</v>
      </c>
      <c r="BF393" s="88">
        <f t="shared" si="170"/>
        <v>871</v>
      </c>
      <c r="BG393" s="98">
        <f t="shared" si="170"/>
        <v>0</v>
      </c>
      <c r="BH393" s="98">
        <f t="shared" si="170"/>
        <v>0</v>
      </c>
      <c r="BI393" s="98">
        <f t="shared" si="170"/>
        <v>2986</v>
      </c>
      <c r="BJ393" s="98">
        <f t="shared" si="170"/>
        <v>0</v>
      </c>
      <c r="BK393" s="98">
        <f t="shared" si="170"/>
        <v>0</v>
      </c>
      <c r="BL393" s="97">
        <f t="shared" si="170"/>
        <v>0</v>
      </c>
    </row>
    <row r="394" spans="1:64" outlineLevel="2" x14ac:dyDescent="0.3">
      <c r="A394" s="81" t="s">
        <v>99</v>
      </c>
      <c r="B394" s="82"/>
      <c r="C394" s="83">
        <f t="shared" ref="C394:BL394" si="171">IFERROR(SUBTOTAL(1,C362:C391),"")</f>
        <v>37.412500000000001</v>
      </c>
      <c r="D394" s="84">
        <f t="shared" si="171"/>
        <v>37.299999999999997</v>
      </c>
      <c r="E394" s="84">
        <f t="shared" si="171"/>
        <v>37.487499999999997</v>
      </c>
      <c r="F394" s="84" t="str">
        <f t="shared" si="171"/>
        <v/>
      </c>
      <c r="G394" s="84" t="str">
        <f t="shared" si="171"/>
        <v/>
      </c>
      <c r="H394" s="84" t="str">
        <f t="shared" si="171"/>
        <v/>
      </c>
      <c r="I394" s="84" t="str">
        <f t="shared" si="171"/>
        <v/>
      </c>
      <c r="J394" s="84" t="str">
        <f t="shared" si="171"/>
        <v/>
      </c>
      <c r="K394" s="84" t="str">
        <f t="shared" si="171"/>
        <v/>
      </c>
      <c r="L394" s="85" t="str">
        <f t="shared" si="171"/>
        <v/>
      </c>
      <c r="M394" s="86" t="str">
        <f t="shared" si="171"/>
        <v/>
      </c>
      <c r="N394" s="86" t="str">
        <f t="shared" si="171"/>
        <v/>
      </c>
      <c r="O394" s="86" t="str">
        <f t="shared" si="171"/>
        <v/>
      </c>
      <c r="P394" s="86" t="str">
        <f t="shared" si="171"/>
        <v/>
      </c>
      <c r="Q394" s="86" t="str">
        <f t="shared" si="171"/>
        <v/>
      </c>
      <c r="R394" s="86" t="str">
        <f t="shared" si="171"/>
        <v/>
      </c>
      <c r="S394" s="86" t="str">
        <f t="shared" si="171"/>
        <v/>
      </c>
      <c r="T394" s="86" t="str">
        <f t="shared" si="171"/>
        <v/>
      </c>
      <c r="U394" s="87">
        <f t="shared" si="171"/>
        <v>1382.875</v>
      </c>
      <c r="V394" s="88">
        <f t="shared" si="171"/>
        <v>1421.25</v>
      </c>
      <c r="W394" s="88">
        <f t="shared" si="171"/>
        <v>1344.5</v>
      </c>
      <c r="X394" s="88" t="str">
        <f t="shared" si="171"/>
        <v/>
      </c>
      <c r="Y394" s="88" t="str">
        <f t="shared" si="171"/>
        <v/>
      </c>
      <c r="Z394" s="88" t="str">
        <f t="shared" si="171"/>
        <v/>
      </c>
      <c r="AA394" s="88" t="str">
        <f t="shared" si="171"/>
        <v/>
      </c>
      <c r="AB394" s="88" t="str">
        <f t="shared" si="171"/>
        <v/>
      </c>
      <c r="AC394" s="88" t="str">
        <f t="shared" si="171"/>
        <v/>
      </c>
      <c r="AD394" s="87">
        <f t="shared" si="171"/>
        <v>17327.5</v>
      </c>
      <c r="AE394" s="88">
        <f t="shared" si="171"/>
        <v>17655</v>
      </c>
      <c r="AF394" s="88">
        <f t="shared" si="171"/>
        <v>17000</v>
      </c>
      <c r="AG394" s="88" t="str">
        <f t="shared" si="171"/>
        <v/>
      </c>
      <c r="AH394" s="88" t="str">
        <f t="shared" si="171"/>
        <v/>
      </c>
      <c r="AI394" s="88" t="str">
        <f t="shared" si="171"/>
        <v/>
      </c>
      <c r="AJ394" s="88" t="str">
        <f t="shared" si="171"/>
        <v/>
      </c>
      <c r="AK394" s="88" t="str">
        <f t="shared" si="171"/>
        <v/>
      </c>
      <c r="AL394" s="88" t="str">
        <f t="shared" si="171"/>
        <v/>
      </c>
      <c r="AM394" s="88">
        <f t="shared" si="171"/>
        <v>42.832096008429787</v>
      </c>
      <c r="AN394" s="88">
        <f t="shared" si="171"/>
        <v>119.98333333333335</v>
      </c>
      <c r="AO394" s="89">
        <f t="shared" si="171"/>
        <v>19.466666666666669</v>
      </c>
      <c r="AP394" s="90">
        <f t="shared" si="171"/>
        <v>16</v>
      </c>
      <c r="AQ394" s="91">
        <f t="shared" si="171"/>
        <v>82.052287244560205</v>
      </c>
      <c r="AR394" s="91">
        <f t="shared" si="171"/>
        <v>17.947712755439792</v>
      </c>
      <c r="AS394" s="92" t="str">
        <f t="shared" si="171"/>
        <v/>
      </c>
      <c r="AT394" s="93">
        <f t="shared" si="171"/>
        <v>15.199999999999998</v>
      </c>
      <c r="AU394" s="94">
        <f t="shared" si="171"/>
        <v>9.6166666666666671</v>
      </c>
      <c r="AV394" s="91">
        <f t="shared" si="171"/>
        <v>63.285023086475718</v>
      </c>
      <c r="AW394" s="91">
        <f t="shared" si="171"/>
        <v>36.714976913524282</v>
      </c>
      <c r="AX394" s="83">
        <f t="shared" si="171"/>
        <v>60.179601122157727</v>
      </c>
      <c r="AY394" s="95">
        <f t="shared" si="171"/>
        <v>75.449999999999989</v>
      </c>
      <c r="AZ394" s="96">
        <f t="shared" si="171"/>
        <v>61.228333333333332</v>
      </c>
      <c r="BA394" s="96" t="str">
        <f t="shared" si="171"/>
        <v/>
      </c>
      <c r="BB394" s="96">
        <f t="shared" si="171"/>
        <v>50.3</v>
      </c>
      <c r="BC394" s="96" t="str">
        <f t="shared" si="171"/>
        <v/>
      </c>
      <c r="BD394" s="97">
        <f>IFERROR(SUBTOTAL(1,BD362:BD391),"")</f>
        <v>119.98333333333335</v>
      </c>
      <c r="BE394" s="87">
        <f t="shared" si="171"/>
        <v>8768.5</v>
      </c>
      <c r="BF394" s="88">
        <f t="shared" si="171"/>
        <v>2050.1333333333332</v>
      </c>
      <c r="BG394" s="98">
        <f t="shared" si="171"/>
        <v>0</v>
      </c>
      <c r="BH394" s="98">
        <f t="shared" si="171"/>
        <v>550.76666666666665</v>
      </c>
      <c r="BI394" s="98">
        <f t="shared" si="171"/>
        <v>6167.6</v>
      </c>
      <c r="BJ394" s="98" t="str">
        <f t="shared" si="171"/>
        <v/>
      </c>
      <c r="BK394" s="98" t="str">
        <f t="shared" si="171"/>
        <v/>
      </c>
      <c r="BL394" s="97" t="str">
        <f t="shared" si="171"/>
        <v/>
      </c>
    </row>
    <row r="395" spans="1:64" ht="17.25" outlineLevel="1" thickBot="1" x14ac:dyDescent="0.35">
      <c r="A395" s="99" t="s">
        <v>100</v>
      </c>
      <c r="B395" s="100"/>
      <c r="C395" s="101"/>
      <c r="D395" s="102"/>
      <c r="E395" s="102"/>
      <c r="F395" s="102"/>
      <c r="G395" s="102"/>
      <c r="H395" s="102"/>
      <c r="I395" s="102"/>
      <c r="J395" s="102"/>
      <c r="K395" s="102"/>
      <c r="L395" s="103"/>
      <c r="M395" s="104"/>
      <c r="N395" s="104"/>
      <c r="O395" s="104"/>
      <c r="P395" s="104"/>
      <c r="Q395" s="104"/>
      <c r="R395" s="104"/>
      <c r="S395" s="104"/>
      <c r="T395" s="104"/>
      <c r="U395" s="105"/>
      <c r="V395" s="106"/>
      <c r="W395" s="106"/>
      <c r="X395" s="106"/>
      <c r="Y395" s="106"/>
      <c r="Z395" s="106"/>
      <c r="AA395" s="106"/>
      <c r="AB395" s="106"/>
      <c r="AC395" s="106"/>
      <c r="AD395" s="105"/>
      <c r="AE395" s="106"/>
      <c r="AF395" s="106"/>
      <c r="AG395" s="106"/>
      <c r="AH395" s="106"/>
      <c r="AI395" s="106"/>
      <c r="AJ395" s="106"/>
      <c r="AK395" s="106"/>
      <c r="AL395" s="106"/>
      <c r="AM395" s="106"/>
      <c r="AN395" s="107">
        <f>SUBTOTAL(9,AN362:AN391)</f>
        <v>3599.5000000000005</v>
      </c>
      <c r="AO395" s="108"/>
      <c r="AP395" s="109"/>
      <c r="AQ395" s="110"/>
      <c r="AR395" s="110"/>
      <c r="AS395" s="111">
        <f>SUBTOTAL(9,AS362:AS391)</f>
        <v>0</v>
      </c>
      <c r="AT395" s="112"/>
      <c r="AU395" s="113"/>
      <c r="AV395" s="110"/>
      <c r="AW395" s="110"/>
      <c r="AX395" s="101"/>
      <c r="AY395" s="114"/>
      <c r="AZ395" s="115"/>
      <c r="BA395" s="115"/>
      <c r="BB395" s="115"/>
      <c r="BC395" s="115"/>
      <c r="BD395" s="116">
        <f>SUBTOTAL(9,BD362:BD391)</f>
        <v>3599.5000000000005</v>
      </c>
      <c r="BE395" s="117">
        <f t="shared" ref="BE395:BL395" si="172">SUBTOTAL(9,BE362:BE391)</f>
        <v>263055</v>
      </c>
      <c r="BF395" s="107">
        <f t="shared" si="172"/>
        <v>61504</v>
      </c>
      <c r="BG395" s="118">
        <f t="shared" si="172"/>
        <v>0</v>
      </c>
      <c r="BH395" s="118">
        <f t="shared" si="172"/>
        <v>16523</v>
      </c>
      <c r="BI395" s="118">
        <f t="shared" si="172"/>
        <v>185028</v>
      </c>
      <c r="BJ395" s="118">
        <f t="shared" si="172"/>
        <v>0</v>
      </c>
      <c r="BK395" s="118">
        <f t="shared" si="172"/>
        <v>0</v>
      </c>
      <c r="BL395" s="116">
        <f t="shared" si="172"/>
        <v>0</v>
      </c>
    </row>
    <row r="396" spans="1:64" outlineLevel="5" x14ac:dyDescent="0.3">
      <c r="A396" s="136">
        <f t="shared" si="168"/>
        <v>12</v>
      </c>
      <c r="B396" s="165">
        <f>B391+1</f>
        <v>45627</v>
      </c>
      <c r="C396" s="138">
        <f t="shared" ref="C396:C426" si="173">IFERROR(ROUND(AVERAGE(D396:K396),1),"")</f>
        <v>36.9</v>
      </c>
      <c r="D396" s="186">
        <v>36.299999999999997</v>
      </c>
      <c r="E396" s="186">
        <v>37.5</v>
      </c>
      <c r="F396" s="84"/>
      <c r="G396" s="84"/>
      <c r="H396" s="84"/>
      <c r="I396" s="84"/>
      <c r="J396" s="84"/>
      <c r="K396" s="84"/>
      <c r="L396" s="140" t="str">
        <f t="shared" ref="L396:L426" si="174">IFERROR(ROUND(AVERAGE(M396:T396),1),"")</f>
        <v/>
      </c>
      <c r="M396" s="86"/>
      <c r="N396" s="86"/>
      <c r="O396" s="86"/>
      <c r="P396" s="86"/>
      <c r="Q396" s="86"/>
      <c r="R396" s="86"/>
      <c r="S396" s="86"/>
      <c r="T396" s="86"/>
      <c r="U396" s="142" t="str">
        <f t="shared" ref="U396:U426" si="175">IFERROR(ROUND(AVERAGE(V396:AC396),1),"")</f>
        <v/>
      </c>
      <c r="V396" s="88"/>
      <c r="W396" s="88"/>
      <c r="X396" s="88"/>
      <c r="Y396" s="88"/>
      <c r="Z396" s="88"/>
      <c r="AA396" s="88"/>
      <c r="AB396" s="88"/>
      <c r="AC396" s="88"/>
      <c r="AD396" s="142" t="str">
        <f t="shared" ref="AD396:AD426" si="176">IFERROR(ROUND(AVERAGE(AE396:AL396),1),"")</f>
        <v/>
      </c>
      <c r="AE396" s="88"/>
      <c r="AF396" s="88"/>
      <c r="AG396" s="88"/>
      <c r="AH396" s="88"/>
      <c r="AI396" s="88"/>
      <c r="AJ396" s="88"/>
      <c r="AK396" s="88"/>
      <c r="AL396" s="88"/>
      <c r="AM396" s="88">
        <v>36.307692307692307</v>
      </c>
      <c r="AN396" s="88">
        <v>130</v>
      </c>
      <c r="AO396" s="89"/>
      <c r="AP396" s="90"/>
      <c r="AQ396" s="146" t="str">
        <f t="shared" ref="AQ396:AQ426" si="177">IFERROR(AP396/AO396*100,"")</f>
        <v/>
      </c>
      <c r="AR396" s="146" t="str">
        <f t="shared" ref="AR396:AR426" si="178">IFERROR(100-AQ396,"")</f>
        <v/>
      </c>
      <c r="AS396" s="147"/>
      <c r="AT396" s="148"/>
      <c r="AU396" s="149"/>
      <c r="AV396" s="146" t="str">
        <f t="shared" ref="AV396:AV426" si="179">IFERROR(AU396/AT396*100,"")</f>
        <v/>
      </c>
      <c r="AW396" s="146" t="str">
        <f t="shared" ref="AW396:AW426" si="180">IFERROR(100-AV396,"")</f>
        <v/>
      </c>
      <c r="AX396" s="138" t="str">
        <f t="shared" ref="AX396:AX426" si="181">IFERROR((1-((AV396*AR396)/(AW396*AQ396)))*100,"")</f>
        <v/>
      </c>
      <c r="AY396" s="95"/>
      <c r="AZ396" s="96"/>
      <c r="BA396" s="96"/>
      <c r="BB396" s="96"/>
      <c r="BC396" s="96"/>
      <c r="BD396" s="97">
        <v>130</v>
      </c>
      <c r="BE396" s="142">
        <f t="shared" ref="BE396:BE426" si="182">IF(SUM(BF396:BL396)=0,"",SUM(BF396:BL396))</f>
        <v>8360</v>
      </c>
      <c r="BF396" s="88">
        <v>2068</v>
      </c>
      <c r="BG396" s="98">
        <v>0</v>
      </c>
      <c r="BH396" s="98">
        <v>0</v>
      </c>
      <c r="BI396" s="98">
        <v>6292</v>
      </c>
      <c r="BJ396" s="98"/>
      <c r="BK396" s="98"/>
      <c r="BL396" s="97"/>
    </row>
    <row r="397" spans="1:64" outlineLevel="5" x14ac:dyDescent="0.3">
      <c r="A397" s="152">
        <f t="shared" si="168"/>
        <v>12</v>
      </c>
      <c r="B397" s="153">
        <f t="shared" si="153"/>
        <v>45628</v>
      </c>
      <c r="C397" s="138" t="str">
        <f t="shared" si="173"/>
        <v/>
      </c>
      <c r="D397" s="186"/>
      <c r="E397" s="186"/>
      <c r="F397" s="84"/>
      <c r="G397" s="84"/>
      <c r="H397" s="84"/>
      <c r="I397" s="84"/>
      <c r="J397" s="84"/>
      <c r="K397" s="84"/>
      <c r="L397" s="140" t="str">
        <f t="shared" si="174"/>
        <v/>
      </c>
      <c r="M397" s="86"/>
      <c r="N397" s="86"/>
      <c r="O397" s="86"/>
      <c r="P397" s="86"/>
      <c r="Q397" s="86"/>
      <c r="R397" s="86"/>
      <c r="S397" s="86"/>
      <c r="T397" s="86"/>
      <c r="U397" s="142">
        <f t="shared" si="175"/>
        <v>1282.5</v>
      </c>
      <c r="V397" s="88">
        <v>1437</v>
      </c>
      <c r="W397" s="88">
        <v>1128</v>
      </c>
      <c r="X397" s="88"/>
      <c r="Y397" s="88"/>
      <c r="Z397" s="88"/>
      <c r="AA397" s="88"/>
      <c r="AB397" s="88"/>
      <c r="AC397" s="88"/>
      <c r="AD397" s="142">
        <f t="shared" si="176"/>
        <v>12680</v>
      </c>
      <c r="AE397" s="88">
        <v>13780</v>
      </c>
      <c r="AF397" s="88">
        <v>11580</v>
      </c>
      <c r="AG397" s="88"/>
      <c r="AH397" s="88"/>
      <c r="AI397" s="88"/>
      <c r="AJ397" s="88"/>
      <c r="AK397" s="88"/>
      <c r="AL397" s="88"/>
      <c r="AM397" s="88">
        <v>44.244469441319829</v>
      </c>
      <c r="AN397" s="88">
        <v>106.68</v>
      </c>
      <c r="AO397" s="89">
        <v>21.1</v>
      </c>
      <c r="AP397" s="90">
        <v>17.100000000000001</v>
      </c>
      <c r="AQ397" s="146">
        <f t="shared" si="177"/>
        <v>81.042654028436019</v>
      </c>
      <c r="AR397" s="146">
        <f t="shared" si="178"/>
        <v>18.957345971563981</v>
      </c>
      <c r="AS397" s="147"/>
      <c r="AT397" s="148">
        <v>14.5</v>
      </c>
      <c r="AU397" s="149">
        <v>9.5500000000000007</v>
      </c>
      <c r="AV397" s="146">
        <f t="shared" si="179"/>
        <v>65.862068965517253</v>
      </c>
      <c r="AW397" s="146">
        <f t="shared" si="180"/>
        <v>34.137931034482747</v>
      </c>
      <c r="AX397" s="138">
        <f t="shared" si="181"/>
        <v>54.870340835253096</v>
      </c>
      <c r="AY397" s="95">
        <v>76.400000000000006</v>
      </c>
      <c r="AZ397" s="96"/>
      <c r="BA397" s="96"/>
      <c r="BB397" s="96"/>
      <c r="BC397" s="96"/>
      <c r="BD397" s="97">
        <v>106.68</v>
      </c>
      <c r="BE397" s="142">
        <f t="shared" si="182"/>
        <v>8776</v>
      </c>
      <c r="BF397" s="88">
        <v>2323</v>
      </c>
      <c r="BG397" s="98">
        <v>0</v>
      </c>
      <c r="BH397" s="98">
        <v>0</v>
      </c>
      <c r="BI397" s="98">
        <v>6453</v>
      </c>
      <c r="BJ397" s="98"/>
      <c r="BK397" s="98"/>
      <c r="BL397" s="97"/>
    </row>
    <row r="398" spans="1:64" outlineLevel="5" x14ac:dyDescent="0.3">
      <c r="A398" s="152">
        <f t="shared" si="168"/>
        <v>12</v>
      </c>
      <c r="B398" s="153">
        <f t="shared" si="153"/>
        <v>45629</v>
      </c>
      <c r="C398" s="138" t="str">
        <f t="shared" si="173"/>
        <v/>
      </c>
      <c r="D398" s="186"/>
      <c r="E398" s="186"/>
      <c r="F398" s="84"/>
      <c r="G398" s="84"/>
      <c r="H398" s="84"/>
      <c r="I398" s="84"/>
      <c r="J398" s="84"/>
      <c r="K398" s="84"/>
      <c r="L398" s="140" t="str">
        <f t="shared" si="174"/>
        <v/>
      </c>
      <c r="M398" s="86"/>
      <c r="N398" s="86"/>
      <c r="O398" s="86"/>
      <c r="P398" s="86"/>
      <c r="Q398" s="86"/>
      <c r="R398" s="86"/>
      <c r="S398" s="86"/>
      <c r="T398" s="86"/>
      <c r="U398" s="142" t="str">
        <f t="shared" si="175"/>
        <v/>
      </c>
      <c r="V398" s="88"/>
      <c r="W398" s="88"/>
      <c r="X398" s="88"/>
      <c r="Y398" s="88"/>
      <c r="Z398" s="88"/>
      <c r="AA398" s="88"/>
      <c r="AB398" s="88"/>
      <c r="AC398" s="88"/>
      <c r="AD398" s="142" t="str">
        <f t="shared" si="176"/>
        <v/>
      </c>
      <c r="AE398" s="88"/>
      <c r="AF398" s="88"/>
      <c r="AG398" s="88"/>
      <c r="AH398" s="88"/>
      <c r="AI398" s="88"/>
      <c r="AJ398" s="88"/>
      <c r="AK398" s="88"/>
      <c r="AL398" s="88"/>
      <c r="AM398" s="88">
        <v>56.655863641819707</v>
      </c>
      <c r="AN398" s="88">
        <v>83.31</v>
      </c>
      <c r="AO398" s="89"/>
      <c r="AP398" s="90"/>
      <c r="AQ398" s="146" t="str">
        <f t="shared" si="177"/>
        <v/>
      </c>
      <c r="AR398" s="146" t="str">
        <f t="shared" si="178"/>
        <v/>
      </c>
      <c r="AS398" s="147"/>
      <c r="AT398" s="148"/>
      <c r="AU398" s="149"/>
      <c r="AV398" s="146" t="str">
        <f t="shared" si="179"/>
        <v/>
      </c>
      <c r="AW398" s="146" t="str">
        <f t="shared" si="180"/>
        <v/>
      </c>
      <c r="AX398" s="138" t="str">
        <f t="shared" si="181"/>
        <v/>
      </c>
      <c r="AY398" s="95"/>
      <c r="AZ398" s="96">
        <v>61.125</v>
      </c>
      <c r="BA398" s="96"/>
      <c r="BB398" s="96">
        <v>42.5</v>
      </c>
      <c r="BC398" s="96"/>
      <c r="BD398" s="97">
        <v>83.31</v>
      </c>
      <c r="BE398" s="142">
        <f t="shared" si="182"/>
        <v>8712</v>
      </c>
      <c r="BF398" s="88">
        <v>2255</v>
      </c>
      <c r="BG398" s="98">
        <v>0</v>
      </c>
      <c r="BH398" s="98">
        <v>0</v>
      </c>
      <c r="BI398" s="98">
        <v>6457</v>
      </c>
      <c r="BJ398" s="98"/>
      <c r="BK398" s="98"/>
      <c r="BL398" s="97"/>
    </row>
    <row r="399" spans="1:64" outlineLevel="5" x14ac:dyDescent="0.3">
      <c r="A399" s="152">
        <f t="shared" si="168"/>
        <v>12</v>
      </c>
      <c r="B399" s="153">
        <f t="shared" si="153"/>
        <v>45630</v>
      </c>
      <c r="C399" s="138" t="str">
        <f t="shared" si="173"/>
        <v/>
      </c>
      <c r="D399" s="186"/>
      <c r="E399" s="186"/>
      <c r="F399" s="84"/>
      <c r="G399" s="84"/>
      <c r="H399" s="84"/>
      <c r="I399" s="84"/>
      <c r="J399" s="84"/>
      <c r="K399" s="84"/>
      <c r="L399" s="140" t="str">
        <f t="shared" si="174"/>
        <v/>
      </c>
      <c r="M399" s="86"/>
      <c r="N399" s="86"/>
      <c r="O399" s="86"/>
      <c r="P399" s="86"/>
      <c r="Q399" s="86"/>
      <c r="R399" s="86"/>
      <c r="S399" s="86"/>
      <c r="T399" s="86"/>
      <c r="U399" s="142" t="str">
        <f t="shared" si="175"/>
        <v/>
      </c>
      <c r="V399" s="88"/>
      <c r="W399" s="88"/>
      <c r="X399" s="88"/>
      <c r="Y399" s="88"/>
      <c r="Z399" s="88"/>
      <c r="AA399" s="88"/>
      <c r="AB399" s="88"/>
      <c r="AC399" s="88"/>
      <c r="AD399" s="142" t="str">
        <f t="shared" si="176"/>
        <v/>
      </c>
      <c r="AE399" s="88"/>
      <c r="AF399" s="88"/>
      <c r="AG399" s="88"/>
      <c r="AH399" s="88"/>
      <c r="AI399" s="88"/>
      <c r="AJ399" s="88"/>
      <c r="AK399" s="88"/>
      <c r="AL399" s="88"/>
      <c r="AM399" s="88">
        <v>37.76906457549812</v>
      </c>
      <c r="AN399" s="88">
        <v>124.97</v>
      </c>
      <c r="AO399" s="89"/>
      <c r="AP399" s="90"/>
      <c r="AQ399" s="146" t="str">
        <f t="shared" si="177"/>
        <v/>
      </c>
      <c r="AR399" s="146" t="str">
        <f t="shared" si="178"/>
        <v/>
      </c>
      <c r="AS399" s="147"/>
      <c r="AT399" s="148"/>
      <c r="AU399" s="149"/>
      <c r="AV399" s="146" t="str">
        <f t="shared" si="179"/>
        <v/>
      </c>
      <c r="AW399" s="146" t="str">
        <f t="shared" si="180"/>
        <v/>
      </c>
      <c r="AX399" s="138" t="str">
        <f t="shared" si="181"/>
        <v/>
      </c>
      <c r="AY399" s="95"/>
      <c r="AZ399" s="96"/>
      <c r="BA399" s="96"/>
      <c r="BB399" s="96"/>
      <c r="BC399" s="96"/>
      <c r="BD399" s="97">
        <v>124.97</v>
      </c>
      <c r="BE399" s="142">
        <f>IF(SUM(BF399:BL399)=0,"",SUM(BF399:BL399))</f>
        <v>8696</v>
      </c>
      <c r="BF399" s="88">
        <v>2228</v>
      </c>
      <c r="BG399" s="98">
        <v>0</v>
      </c>
      <c r="BH399" s="98">
        <v>0</v>
      </c>
      <c r="BI399" s="98">
        <v>6468</v>
      </c>
      <c r="BJ399" s="98"/>
      <c r="BK399" s="98"/>
      <c r="BL399" s="97"/>
    </row>
    <row r="400" spans="1:64" outlineLevel="5" x14ac:dyDescent="0.3">
      <c r="A400" s="152">
        <f t="shared" si="168"/>
        <v>12</v>
      </c>
      <c r="B400" s="153">
        <f t="shared" si="153"/>
        <v>45631</v>
      </c>
      <c r="C400" s="138">
        <f t="shared" si="173"/>
        <v>36.700000000000003</v>
      </c>
      <c r="D400" s="186">
        <v>36</v>
      </c>
      <c r="E400" s="186">
        <v>37.4</v>
      </c>
      <c r="F400" s="84"/>
      <c r="G400" s="84"/>
      <c r="H400" s="84"/>
      <c r="I400" s="84"/>
      <c r="J400" s="84"/>
      <c r="K400" s="84"/>
      <c r="L400" s="140" t="str">
        <f t="shared" si="174"/>
        <v/>
      </c>
      <c r="M400" s="86"/>
      <c r="N400" s="86"/>
      <c r="O400" s="86"/>
      <c r="P400" s="86"/>
      <c r="Q400" s="86"/>
      <c r="R400" s="86"/>
      <c r="S400" s="86"/>
      <c r="T400" s="86"/>
      <c r="U400" s="142" t="str">
        <f t="shared" si="175"/>
        <v/>
      </c>
      <c r="V400" s="88"/>
      <c r="W400" s="88"/>
      <c r="X400" s="88"/>
      <c r="Y400" s="88"/>
      <c r="Z400" s="88"/>
      <c r="AA400" s="88"/>
      <c r="AB400" s="88"/>
      <c r="AC400" s="88"/>
      <c r="AD400" s="142" t="str">
        <f t="shared" si="176"/>
        <v/>
      </c>
      <c r="AE400" s="88"/>
      <c r="AF400" s="88"/>
      <c r="AG400" s="88"/>
      <c r="AH400" s="88"/>
      <c r="AI400" s="88"/>
      <c r="AJ400" s="88"/>
      <c r="AK400" s="88"/>
      <c r="AL400" s="88"/>
      <c r="AM400" s="88">
        <v>30.759204952753343</v>
      </c>
      <c r="AN400" s="88">
        <v>153.44999999999999</v>
      </c>
      <c r="AO400" s="89"/>
      <c r="AP400" s="90"/>
      <c r="AQ400" s="146" t="str">
        <f t="shared" si="177"/>
        <v/>
      </c>
      <c r="AR400" s="146" t="str">
        <f t="shared" si="178"/>
        <v/>
      </c>
      <c r="AS400" s="147"/>
      <c r="AT400" s="148"/>
      <c r="AU400" s="149"/>
      <c r="AV400" s="146" t="str">
        <f t="shared" si="179"/>
        <v/>
      </c>
      <c r="AW400" s="146" t="str">
        <f t="shared" si="180"/>
        <v/>
      </c>
      <c r="AX400" s="138" t="str">
        <f t="shared" si="181"/>
        <v/>
      </c>
      <c r="AY400" s="95"/>
      <c r="AZ400" s="96"/>
      <c r="BA400" s="96"/>
      <c r="BB400" s="96"/>
      <c r="BC400" s="96"/>
      <c r="BD400" s="97">
        <v>153.44999999999999</v>
      </c>
      <c r="BE400" s="142">
        <f t="shared" si="182"/>
        <v>8926</v>
      </c>
      <c r="BF400" s="88">
        <v>2611</v>
      </c>
      <c r="BG400" s="98">
        <v>0</v>
      </c>
      <c r="BH400" s="98">
        <v>0</v>
      </c>
      <c r="BI400" s="98">
        <v>6315</v>
      </c>
      <c r="BJ400" s="98"/>
      <c r="BK400" s="98"/>
      <c r="BL400" s="97"/>
    </row>
    <row r="401" spans="1:64" outlineLevel="5" x14ac:dyDescent="0.3">
      <c r="A401" s="152">
        <f t="shared" si="168"/>
        <v>12</v>
      </c>
      <c r="B401" s="153">
        <f t="shared" si="153"/>
        <v>45632</v>
      </c>
      <c r="C401" s="138" t="str">
        <f t="shared" si="173"/>
        <v/>
      </c>
      <c r="D401" s="186"/>
      <c r="E401" s="186"/>
      <c r="F401" s="84"/>
      <c r="G401" s="84"/>
      <c r="H401" s="84"/>
      <c r="I401" s="84"/>
      <c r="J401" s="84"/>
      <c r="K401" s="84"/>
      <c r="L401" s="140" t="str">
        <f t="shared" si="174"/>
        <v/>
      </c>
      <c r="M401" s="86"/>
      <c r="N401" s="86"/>
      <c r="O401" s="86"/>
      <c r="P401" s="86"/>
      <c r="Q401" s="86"/>
      <c r="R401" s="86"/>
      <c r="S401" s="86"/>
      <c r="T401" s="86"/>
      <c r="U401" s="142" t="str">
        <f t="shared" si="175"/>
        <v/>
      </c>
      <c r="V401" s="88"/>
      <c r="W401" s="88"/>
      <c r="X401" s="88"/>
      <c r="Y401" s="88"/>
      <c r="Z401" s="88"/>
      <c r="AA401" s="88"/>
      <c r="AB401" s="88"/>
      <c r="AC401" s="88"/>
      <c r="AD401" s="142" t="str">
        <f t="shared" si="176"/>
        <v/>
      </c>
      <c r="AE401" s="88"/>
      <c r="AF401" s="88"/>
      <c r="AG401" s="88"/>
      <c r="AH401" s="88"/>
      <c r="AI401" s="88"/>
      <c r="AJ401" s="88"/>
      <c r="AK401" s="88"/>
      <c r="AL401" s="88"/>
      <c r="AM401" s="88">
        <v>36.274208422994157</v>
      </c>
      <c r="AN401" s="88">
        <v>130.12</v>
      </c>
      <c r="AO401" s="89"/>
      <c r="AP401" s="90"/>
      <c r="AQ401" s="146" t="str">
        <f t="shared" si="177"/>
        <v/>
      </c>
      <c r="AR401" s="146" t="str">
        <f t="shared" si="178"/>
        <v/>
      </c>
      <c r="AS401" s="147"/>
      <c r="AT401" s="148"/>
      <c r="AU401" s="149"/>
      <c r="AV401" s="146" t="str">
        <f t="shared" si="179"/>
        <v/>
      </c>
      <c r="AW401" s="146" t="str">
        <f t="shared" si="180"/>
        <v/>
      </c>
      <c r="AX401" s="138" t="str">
        <f t="shared" si="181"/>
        <v/>
      </c>
      <c r="AY401" s="95"/>
      <c r="AZ401" s="96"/>
      <c r="BA401" s="96"/>
      <c r="BB401" s="96"/>
      <c r="BC401" s="96"/>
      <c r="BD401" s="97">
        <v>130.12</v>
      </c>
      <c r="BE401" s="142">
        <f t="shared" si="182"/>
        <v>8784</v>
      </c>
      <c r="BF401" s="88">
        <v>2400</v>
      </c>
      <c r="BG401" s="98">
        <v>0</v>
      </c>
      <c r="BH401" s="98">
        <v>0</v>
      </c>
      <c r="BI401" s="98">
        <v>6384</v>
      </c>
      <c r="BJ401" s="98"/>
      <c r="BK401" s="98"/>
      <c r="BL401" s="97"/>
    </row>
    <row r="402" spans="1:64" outlineLevel="5" x14ac:dyDescent="0.3">
      <c r="A402" s="152">
        <f t="shared" si="168"/>
        <v>12</v>
      </c>
      <c r="B402" s="153">
        <f t="shared" si="153"/>
        <v>45633</v>
      </c>
      <c r="C402" s="138" t="str">
        <f t="shared" si="173"/>
        <v/>
      </c>
      <c r="D402" s="186"/>
      <c r="E402" s="186"/>
      <c r="F402" s="84"/>
      <c r="G402" s="84"/>
      <c r="H402" s="84"/>
      <c r="I402" s="84"/>
      <c r="J402" s="84"/>
      <c r="K402" s="84"/>
      <c r="L402" s="140" t="str">
        <f t="shared" si="174"/>
        <v/>
      </c>
      <c r="M402" s="86"/>
      <c r="N402" s="86"/>
      <c r="O402" s="86"/>
      <c r="P402" s="86"/>
      <c r="Q402" s="86"/>
      <c r="R402" s="86"/>
      <c r="S402" s="86"/>
      <c r="T402" s="86"/>
      <c r="U402" s="142" t="str">
        <f t="shared" si="175"/>
        <v/>
      </c>
      <c r="V402" s="88"/>
      <c r="W402" s="88"/>
      <c r="X402" s="88"/>
      <c r="Y402" s="88"/>
      <c r="Z402" s="88"/>
      <c r="AA402" s="88"/>
      <c r="AB402" s="88"/>
      <c r="AC402" s="88"/>
      <c r="AD402" s="142" t="str">
        <f t="shared" si="176"/>
        <v/>
      </c>
      <c r="AE402" s="88"/>
      <c r="AF402" s="88"/>
      <c r="AG402" s="88"/>
      <c r="AH402" s="88"/>
      <c r="AI402" s="88"/>
      <c r="AJ402" s="88"/>
      <c r="AK402" s="88"/>
      <c r="AL402" s="88"/>
      <c r="AM402" s="88">
        <v>34.94225644062778</v>
      </c>
      <c r="AN402" s="88">
        <v>135.07999999999998</v>
      </c>
      <c r="AO402" s="89"/>
      <c r="AP402" s="90"/>
      <c r="AQ402" s="146" t="str">
        <f t="shared" si="177"/>
        <v/>
      </c>
      <c r="AR402" s="146" t="str">
        <f t="shared" si="178"/>
        <v/>
      </c>
      <c r="AS402" s="147"/>
      <c r="AT402" s="148"/>
      <c r="AU402" s="149"/>
      <c r="AV402" s="146" t="str">
        <f t="shared" si="179"/>
        <v/>
      </c>
      <c r="AW402" s="146" t="str">
        <f t="shared" si="180"/>
        <v/>
      </c>
      <c r="AX402" s="138" t="str">
        <f t="shared" si="181"/>
        <v/>
      </c>
      <c r="AY402" s="95"/>
      <c r="AZ402" s="96"/>
      <c r="BA402" s="96"/>
      <c r="BB402" s="96"/>
      <c r="BC402" s="96"/>
      <c r="BD402" s="97">
        <v>135.07999999999998</v>
      </c>
      <c r="BE402" s="142">
        <f t="shared" si="182"/>
        <v>8372</v>
      </c>
      <c r="BF402" s="88">
        <v>2006</v>
      </c>
      <c r="BG402" s="98">
        <v>0</v>
      </c>
      <c r="BH402" s="98">
        <v>0</v>
      </c>
      <c r="BI402" s="98">
        <v>6366</v>
      </c>
      <c r="BJ402" s="98"/>
      <c r="BK402" s="98"/>
      <c r="BL402" s="97"/>
    </row>
    <row r="403" spans="1:64" outlineLevel="5" x14ac:dyDescent="0.3">
      <c r="A403" s="152">
        <f t="shared" si="168"/>
        <v>12</v>
      </c>
      <c r="B403" s="153">
        <f t="shared" si="153"/>
        <v>45634</v>
      </c>
      <c r="C403" s="138" t="str">
        <f t="shared" si="173"/>
        <v/>
      </c>
      <c r="D403" s="189"/>
      <c r="E403" s="189"/>
      <c r="F403" s="84"/>
      <c r="G403" s="84"/>
      <c r="H403" s="84"/>
      <c r="I403" s="84"/>
      <c r="J403" s="84"/>
      <c r="K403" s="84"/>
      <c r="L403" s="140" t="str">
        <f t="shared" si="174"/>
        <v/>
      </c>
      <c r="M403" s="86"/>
      <c r="N403" s="86"/>
      <c r="O403" s="86"/>
      <c r="P403" s="86"/>
      <c r="Q403" s="86"/>
      <c r="R403" s="86"/>
      <c r="S403" s="86"/>
      <c r="T403" s="86"/>
      <c r="U403" s="142" t="str">
        <f t="shared" si="175"/>
        <v/>
      </c>
      <c r="V403" s="88"/>
      <c r="W403" s="88"/>
      <c r="X403" s="88"/>
      <c r="Y403" s="88"/>
      <c r="Z403" s="88"/>
      <c r="AA403" s="88"/>
      <c r="AB403" s="88"/>
      <c r="AC403" s="88"/>
      <c r="AD403" s="142" t="str">
        <f t="shared" si="176"/>
        <v/>
      </c>
      <c r="AE403" s="88"/>
      <c r="AF403" s="88"/>
      <c r="AG403" s="88"/>
      <c r="AH403" s="88"/>
      <c r="AI403" s="88"/>
      <c r="AJ403" s="88"/>
      <c r="AK403" s="88"/>
      <c r="AL403" s="88"/>
      <c r="AM403" s="88">
        <v>33.714285714285715</v>
      </c>
      <c r="AN403" s="88">
        <v>140</v>
      </c>
      <c r="AO403" s="89"/>
      <c r="AP403" s="90"/>
      <c r="AQ403" s="146" t="str">
        <f t="shared" si="177"/>
        <v/>
      </c>
      <c r="AR403" s="146" t="str">
        <f t="shared" si="178"/>
        <v/>
      </c>
      <c r="AS403" s="147"/>
      <c r="AT403" s="148"/>
      <c r="AU403" s="149"/>
      <c r="AV403" s="146" t="str">
        <f t="shared" si="179"/>
        <v/>
      </c>
      <c r="AW403" s="146" t="str">
        <f t="shared" si="180"/>
        <v/>
      </c>
      <c r="AX403" s="138" t="str">
        <f t="shared" si="181"/>
        <v/>
      </c>
      <c r="AY403" s="95"/>
      <c r="AZ403" s="96"/>
      <c r="BA403" s="96"/>
      <c r="BB403" s="96"/>
      <c r="BC403" s="96"/>
      <c r="BD403" s="97">
        <v>140</v>
      </c>
      <c r="BE403" s="142">
        <f t="shared" si="182"/>
        <v>8523</v>
      </c>
      <c r="BF403" s="88">
        <v>2266</v>
      </c>
      <c r="BG403" s="98">
        <v>0</v>
      </c>
      <c r="BH403" s="98">
        <v>0</v>
      </c>
      <c r="BI403" s="98">
        <v>6257</v>
      </c>
      <c r="BJ403" s="98"/>
      <c r="BK403" s="98"/>
      <c r="BL403" s="97"/>
    </row>
    <row r="404" spans="1:64" outlineLevel="5" x14ac:dyDescent="0.3">
      <c r="A404" s="152">
        <f t="shared" si="168"/>
        <v>12</v>
      </c>
      <c r="B404" s="153">
        <f t="shared" si="153"/>
        <v>45635</v>
      </c>
      <c r="C404" s="138">
        <f t="shared" si="173"/>
        <v>36.6</v>
      </c>
      <c r="D404" s="186">
        <v>36</v>
      </c>
      <c r="E404" s="186">
        <v>37.200000000000003</v>
      </c>
      <c r="F404" s="84"/>
      <c r="G404" s="84"/>
      <c r="H404" s="84"/>
      <c r="I404" s="84"/>
      <c r="J404" s="84"/>
      <c r="K404" s="84"/>
      <c r="L404" s="140" t="str">
        <f t="shared" si="174"/>
        <v/>
      </c>
      <c r="M404" s="86"/>
      <c r="N404" s="86"/>
      <c r="O404" s="86"/>
      <c r="P404" s="86"/>
      <c r="Q404" s="86"/>
      <c r="R404" s="86"/>
      <c r="S404" s="86"/>
      <c r="T404" s="86"/>
      <c r="U404" s="142">
        <f t="shared" si="175"/>
        <v>650.5</v>
      </c>
      <c r="V404" s="88">
        <v>632</v>
      </c>
      <c r="W404" s="88">
        <v>669</v>
      </c>
      <c r="X404" s="88"/>
      <c r="Y404" s="88"/>
      <c r="Z404" s="88"/>
      <c r="AA404" s="88"/>
      <c r="AB404" s="88"/>
      <c r="AC404" s="88"/>
      <c r="AD404" s="142">
        <f t="shared" si="176"/>
        <v>12140</v>
      </c>
      <c r="AE404" s="88">
        <v>12200</v>
      </c>
      <c r="AF404" s="88">
        <v>12080</v>
      </c>
      <c r="AG404" s="88"/>
      <c r="AH404" s="88"/>
      <c r="AI404" s="88"/>
      <c r="AJ404" s="88"/>
      <c r="AK404" s="88"/>
      <c r="AL404" s="88"/>
      <c r="AM404" s="88">
        <v>42.530185619030462</v>
      </c>
      <c r="AN404" s="88">
        <v>110.97999999999999</v>
      </c>
      <c r="AO404" s="89"/>
      <c r="AP404" s="90"/>
      <c r="AQ404" s="146" t="str">
        <f t="shared" si="177"/>
        <v/>
      </c>
      <c r="AR404" s="146" t="str">
        <f t="shared" si="178"/>
        <v/>
      </c>
      <c r="AS404" s="147"/>
      <c r="AT404" s="148"/>
      <c r="AU404" s="149"/>
      <c r="AV404" s="146" t="str">
        <f t="shared" si="179"/>
        <v/>
      </c>
      <c r="AW404" s="146" t="str">
        <f t="shared" si="180"/>
        <v/>
      </c>
      <c r="AX404" s="138" t="str">
        <f t="shared" si="181"/>
        <v/>
      </c>
      <c r="AY404" s="95">
        <v>77.8</v>
      </c>
      <c r="AZ404" s="96"/>
      <c r="BA404" s="96"/>
      <c r="BB404" s="96"/>
      <c r="BC404" s="96"/>
      <c r="BD404" s="97">
        <v>110.97999999999999</v>
      </c>
      <c r="BE404" s="142">
        <f t="shared" si="182"/>
        <v>8490</v>
      </c>
      <c r="BF404" s="88">
        <v>2260</v>
      </c>
      <c r="BG404" s="98">
        <v>0</v>
      </c>
      <c r="BH404" s="98">
        <v>0</v>
      </c>
      <c r="BI404" s="98">
        <v>6230</v>
      </c>
      <c r="BJ404" s="98"/>
      <c r="BK404" s="98"/>
      <c r="BL404" s="97"/>
    </row>
    <row r="405" spans="1:64" outlineLevel="5" x14ac:dyDescent="0.3">
      <c r="A405" s="152">
        <f t="shared" si="168"/>
        <v>12</v>
      </c>
      <c r="B405" s="153">
        <f t="shared" si="153"/>
        <v>45636</v>
      </c>
      <c r="C405" s="138" t="str">
        <f t="shared" si="173"/>
        <v/>
      </c>
      <c r="D405" s="186"/>
      <c r="E405" s="186"/>
      <c r="F405" s="84"/>
      <c r="G405" s="84"/>
      <c r="H405" s="84"/>
      <c r="I405" s="84"/>
      <c r="J405" s="84"/>
      <c r="K405" s="84"/>
      <c r="L405" s="140" t="str">
        <f t="shared" si="174"/>
        <v/>
      </c>
      <c r="M405" s="86"/>
      <c r="N405" s="86"/>
      <c r="O405" s="86"/>
      <c r="P405" s="86"/>
      <c r="Q405" s="86"/>
      <c r="R405" s="86"/>
      <c r="S405" s="86"/>
      <c r="T405" s="86"/>
      <c r="U405" s="142" t="str">
        <f t="shared" si="175"/>
        <v/>
      </c>
      <c r="V405" s="88"/>
      <c r="W405" s="88"/>
      <c r="X405" s="88"/>
      <c r="Y405" s="88"/>
      <c r="Z405" s="88"/>
      <c r="AA405" s="88"/>
      <c r="AB405" s="88"/>
      <c r="AC405" s="88"/>
      <c r="AD405" s="142" t="str">
        <f t="shared" si="176"/>
        <v/>
      </c>
      <c r="AE405" s="88"/>
      <c r="AF405" s="88"/>
      <c r="AG405" s="88"/>
      <c r="AH405" s="88"/>
      <c r="AI405" s="88"/>
      <c r="AJ405" s="88"/>
      <c r="AK405" s="88"/>
      <c r="AL405" s="88"/>
      <c r="AM405" s="88">
        <v>35.871713026295794</v>
      </c>
      <c r="AN405" s="88">
        <v>131.57999999999998</v>
      </c>
      <c r="AO405" s="89"/>
      <c r="AP405" s="90"/>
      <c r="AQ405" s="146" t="str">
        <f t="shared" si="177"/>
        <v/>
      </c>
      <c r="AR405" s="146" t="str">
        <f t="shared" si="178"/>
        <v/>
      </c>
      <c r="AS405" s="147"/>
      <c r="AT405" s="148"/>
      <c r="AU405" s="149"/>
      <c r="AV405" s="146" t="str">
        <f t="shared" si="179"/>
        <v/>
      </c>
      <c r="AW405" s="146" t="str">
        <f t="shared" si="180"/>
        <v/>
      </c>
      <c r="AX405" s="138" t="str">
        <f t="shared" si="181"/>
        <v/>
      </c>
      <c r="AY405" s="95"/>
      <c r="AZ405" s="96">
        <v>60.34</v>
      </c>
      <c r="BA405" s="96"/>
      <c r="BB405" s="96">
        <v>43.5</v>
      </c>
      <c r="BC405" s="96"/>
      <c r="BD405" s="97">
        <v>131.57999999999998</v>
      </c>
      <c r="BE405" s="142">
        <f t="shared" si="182"/>
        <v>8623</v>
      </c>
      <c r="BF405" s="88">
        <v>2194</v>
      </c>
      <c r="BG405" s="98">
        <v>0</v>
      </c>
      <c r="BH405" s="98">
        <v>0</v>
      </c>
      <c r="BI405" s="98">
        <v>6429</v>
      </c>
      <c r="BJ405" s="98"/>
      <c r="BK405" s="98"/>
      <c r="BL405" s="97"/>
    </row>
    <row r="406" spans="1:64" outlineLevel="5" x14ac:dyDescent="0.3">
      <c r="A406" s="152">
        <f t="shared" si="168"/>
        <v>12</v>
      </c>
      <c r="B406" s="153">
        <f t="shared" si="153"/>
        <v>45637</v>
      </c>
      <c r="C406" s="138" t="str">
        <f t="shared" si="173"/>
        <v/>
      </c>
      <c r="D406" s="186"/>
      <c r="E406" s="186"/>
      <c r="F406" s="84"/>
      <c r="G406" s="84"/>
      <c r="H406" s="84"/>
      <c r="I406" s="84"/>
      <c r="J406" s="84"/>
      <c r="K406" s="84"/>
      <c r="L406" s="140" t="str">
        <f t="shared" si="174"/>
        <v/>
      </c>
      <c r="M406" s="86"/>
      <c r="N406" s="86"/>
      <c r="O406" s="86"/>
      <c r="P406" s="86"/>
      <c r="Q406" s="86"/>
      <c r="R406" s="86"/>
      <c r="S406" s="86"/>
      <c r="T406" s="86"/>
      <c r="U406" s="142" t="str">
        <f t="shared" si="175"/>
        <v/>
      </c>
      <c r="V406" s="88"/>
      <c r="W406" s="88"/>
      <c r="X406" s="88"/>
      <c r="Y406" s="88"/>
      <c r="Z406" s="88"/>
      <c r="AA406" s="88"/>
      <c r="AB406" s="88"/>
      <c r="AC406" s="88"/>
      <c r="AD406" s="142" t="str">
        <f t="shared" si="176"/>
        <v/>
      </c>
      <c r="AE406" s="88"/>
      <c r="AF406" s="88"/>
      <c r="AG406" s="88"/>
      <c r="AH406" s="88"/>
      <c r="AI406" s="88"/>
      <c r="AJ406" s="88"/>
      <c r="AK406" s="88"/>
      <c r="AL406" s="88"/>
      <c r="AM406" s="88">
        <v>59.096031050456986</v>
      </c>
      <c r="AN406" s="88">
        <v>79.87</v>
      </c>
      <c r="AO406" s="89"/>
      <c r="AP406" s="90"/>
      <c r="AQ406" s="146" t="str">
        <f t="shared" si="177"/>
        <v/>
      </c>
      <c r="AR406" s="146" t="str">
        <f t="shared" si="178"/>
        <v/>
      </c>
      <c r="AS406" s="147"/>
      <c r="AT406" s="148"/>
      <c r="AU406" s="149"/>
      <c r="AV406" s="146" t="str">
        <f t="shared" si="179"/>
        <v/>
      </c>
      <c r="AW406" s="146" t="str">
        <f t="shared" si="180"/>
        <v/>
      </c>
      <c r="AX406" s="138" t="str">
        <f t="shared" si="181"/>
        <v/>
      </c>
      <c r="AY406" s="95"/>
      <c r="AZ406" s="96"/>
      <c r="BA406" s="96"/>
      <c r="BB406" s="96"/>
      <c r="BC406" s="96"/>
      <c r="BD406" s="97">
        <v>79.87</v>
      </c>
      <c r="BE406" s="142">
        <f t="shared" si="182"/>
        <v>8361</v>
      </c>
      <c r="BF406" s="88">
        <v>1654</v>
      </c>
      <c r="BG406" s="98">
        <v>0</v>
      </c>
      <c r="BH406" s="98">
        <v>12</v>
      </c>
      <c r="BI406" s="98">
        <v>6695</v>
      </c>
      <c r="BJ406" s="98"/>
      <c r="BK406" s="98"/>
      <c r="BL406" s="97"/>
    </row>
    <row r="407" spans="1:64" outlineLevel="5" x14ac:dyDescent="0.3">
      <c r="A407" s="152">
        <f t="shared" si="168"/>
        <v>12</v>
      </c>
      <c r="B407" s="153">
        <f t="shared" si="153"/>
        <v>45638</v>
      </c>
      <c r="C407" s="138">
        <f t="shared" si="173"/>
        <v>36.4</v>
      </c>
      <c r="D407" s="186">
        <v>36.200000000000003</v>
      </c>
      <c r="E407" s="186">
        <v>36.5</v>
      </c>
      <c r="F407" s="84"/>
      <c r="G407" s="84"/>
      <c r="H407" s="84"/>
      <c r="I407" s="84"/>
      <c r="J407" s="84"/>
      <c r="K407" s="84"/>
      <c r="L407" s="140" t="str">
        <f t="shared" si="174"/>
        <v/>
      </c>
      <c r="M407" s="86"/>
      <c r="N407" s="86"/>
      <c r="O407" s="86"/>
      <c r="P407" s="86"/>
      <c r="Q407" s="86"/>
      <c r="R407" s="86"/>
      <c r="S407" s="86"/>
      <c r="T407" s="86"/>
      <c r="U407" s="142" t="str">
        <f t="shared" si="175"/>
        <v/>
      </c>
      <c r="V407" s="88"/>
      <c r="W407" s="88"/>
      <c r="X407" s="88"/>
      <c r="Y407" s="88"/>
      <c r="Z407" s="88"/>
      <c r="AA407" s="88"/>
      <c r="AB407" s="88"/>
      <c r="AC407" s="88"/>
      <c r="AD407" s="142" t="str">
        <f t="shared" si="176"/>
        <v/>
      </c>
      <c r="AE407" s="88"/>
      <c r="AF407" s="88"/>
      <c r="AG407" s="88"/>
      <c r="AH407" s="88"/>
      <c r="AI407" s="88"/>
      <c r="AJ407" s="88"/>
      <c r="AK407" s="88"/>
      <c r="AL407" s="88"/>
      <c r="AM407" s="88">
        <v>35.121660837859963</v>
      </c>
      <c r="AN407" s="88">
        <v>134.38999999999999</v>
      </c>
      <c r="AO407" s="89"/>
      <c r="AP407" s="90"/>
      <c r="AQ407" s="146" t="str">
        <f t="shared" si="177"/>
        <v/>
      </c>
      <c r="AR407" s="146" t="str">
        <f t="shared" si="178"/>
        <v/>
      </c>
      <c r="AS407" s="147"/>
      <c r="AT407" s="148"/>
      <c r="AU407" s="149"/>
      <c r="AV407" s="146" t="str">
        <f t="shared" si="179"/>
        <v/>
      </c>
      <c r="AW407" s="146" t="str">
        <f t="shared" si="180"/>
        <v/>
      </c>
      <c r="AX407" s="138" t="str">
        <f t="shared" si="181"/>
        <v/>
      </c>
      <c r="AY407" s="95"/>
      <c r="AZ407" s="96"/>
      <c r="BA407" s="96"/>
      <c r="BB407" s="96"/>
      <c r="BC407" s="96"/>
      <c r="BD407" s="97">
        <v>134.38999999999999</v>
      </c>
      <c r="BE407" s="142">
        <f t="shared" si="182"/>
        <v>6360</v>
      </c>
      <c r="BF407" s="88">
        <v>2220</v>
      </c>
      <c r="BG407" s="98">
        <v>0</v>
      </c>
      <c r="BH407" s="98">
        <v>65</v>
      </c>
      <c r="BI407" s="98">
        <v>4075</v>
      </c>
      <c r="BJ407" s="98"/>
      <c r="BK407" s="98"/>
      <c r="BL407" s="97"/>
    </row>
    <row r="408" spans="1:64" outlineLevel="5" x14ac:dyDescent="0.3">
      <c r="A408" s="152">
        <f t="shared" si="168"/>
        <v>12</v>
      </c>
      <c r="B408" s="153">
        <f t="shared" si="153"/>
        <v>45639</v>
      </c>
      <c r="C408" s="138" t="str">
        <f t="shared" si="173"/>
        <v/>
      </c>
      <c r="D408" s="186"/>
      <c r="E408" s="186"/>
      <c r="F408" s="84"/>
      <c r="G408" s="84"/>
      <c r="H408" s="84"/>
      <c r="I408" s="84"/>
      <c r="J408" s="84"/>
      <c r="K408" s="84"/>
      <c r="L408" s="140" t="str">
        <f t="shared" si="174"/>
        <v/>
      </c>
      <c r="M408" s="86"/>
      <c r="N408" s="86"/>
      <c r="O408" s="86"/>
      <c r="P408" s="86"/>
      <c r="Q408" s="86"/>
      <c r="R408" s="86"/>
      <c r="S408" s="86"/>
      <c r="T408" s="86"/>
      <c r="U408" s="142" t="str">
        <f t="shared" si="175"/>
        <v/>
      </c>
      <c r="V408" s="88"/>
      <c r="W408" s="88"/>
      <c r="X408" s="88"/>
      <c r="Y408" s="88"/>
      <c r="Z408" s="88"/>
      <c r="AA408" s="88"/>
      <c r="AB408" s="88"/>
      <c r="AC408" s="88"/>
      <c r="AD408" s="142" t="str">
        <f t="shared" si="176"/>
        <v/>
      </c>
      <c r="AE408" s="88"/>
      <c r="AF408" s="88"/>
      <c r="AG408" s="88"/>
      <c r="AH408" s="88"/>
      <c r="AI408" s="88"/>
      <c r="AJ408" s="88"/>
      <c r="AK408" s="88"/>
      <c r="AL408" s="88"/>
      <c r="AM408" s="88">
        <v>31.77381353079771</v>
      </c>
      <c r="AN408" s="88">
        <v>148.55000000000001</v>
      </c>
      <c r="AO408" s="89"/>
      <c r="AP408" s="90"/>
      <c r="AQ408" s="146" t="str">
        <f t="shared" si="177"/>
        <v/>
      </c>
      <c r="AR408" s="146" t="str">
        <f t="shared" si="178"/>
        <v/>
      </c>
      <c r="AS408" s="147"/>
      <c r="AT408" s="148"/>
      <c r="AU408" s="149"/>
      <c r="AV408" s="146" t="str">
        <f t="shared" si="179"/>
        <v/>
      </c>
      <c r="AW408" s="146" t="str">
        <f t="shared" si="180"/>
        <v/>
      </c>
      <c r="AX408" s="138" t="str">
        <f t="shared" si="181"/>
        <v/>
      </c>
      <c r="AY408" s="95"/>
      <c r="AZ408" s="96"/>
      <c r="BA408" s="96"/>
      <c r="BB408" s="96"/>
      <c r="BC408" s="96"/>
      <c r="BD408" s="97">
        <v>148.55000000000001</v>
      </c>
      <c r="BE408" s="142">
        <f t="shared" si="182"/>
        <v>8986</v>
      </c>
      <c r="BF408" s="88">
        <v>2563</v>
      </c>
      <c r="BG408" s="98">
        <v>0</v>
      </c>
      <c r="BH408" s="98">
        <v>5</v>
      </c>
      <c r="BI408" s="98">
        <v>6418</v>
      </c>
      <c r="BJ408" s="98"/>
      <c r="BK408" s="98"/>
      <c r="BL408" s="97"/>
    </row>
    <row r="409" spans="1:64" outlineLevel="5" x14ac:dyDescent="0.3">
      <c r="A409" s="152">
        <f t="shared" si="168"/>
        <v>12</v>
      </c>
      <c r="B409" s="153">
        <f t="shared" si="153"/>
        <v>45640</v>
      </c>
      <c r="C409" s="138" t="str">
        <f t="shared" si="173"/>
        <v/>
      </c>
      <c r="D409" s="186"/>
      <c r="E409" s="186"/>
      <c r="F409" s="84"/>
      <c r="G409" s="84"/>
      <c r="H409" s="84"/>
      <c r="I409" s="84"/>
      <c r="J409" s="84"/>
      <c r="K409" s="84"/>
      <c r="L409" s="140" t="str">
        <f t="shared" si="174"/>
        <v/>
      </c>
      <c r="M409" s="86"/>
      <c r="N409" s="86"/>
      <c r="O409" s="86"/>
      <c r="P409" s="86"/>
      <c r="Q409" s="86"/>
      <c r="R409" s="86"/>
      <c r="S409" s="86"/>
      <c r="T409" s="86"/>
      <c r="U409" s="142" t="str">
        <f t="shared" si="175"/>
        <v/>
      </c>
      <c r="V409" s="88"/>
      <c r="W409" s="88"/>
      <c r="X409" s="88"/>
      <c r="Y409" s="88"/>
      <c r="Z409" s="88"/>
      <c r="AA409" s="88"/>
      <c r="AB409" s="88"/>
      <c r="AC409" s="88"/>
      <c r="AD409" s="142" t="str">
        <f t="shared" si="176"/>
        <v/>
      </c>
      <c r="AE409" s="88"/>
      <c r="AF409" s="88"/>
      <c r="AG409" s="88"/>
      <c r="AH409" s="88"/>
      <c r="AI409" s="88"/>
      <c r="AJ409" s="88"/>
      <c r="AK409" s="88"/>
      <c r="AL409" s="88"/>
      <c r="AM409" s="88">
        <v>41.640935156594622</v>
      </c>
      <c r="AN409" s="88">
        <v>113.35</v>
      </c>
      <c r="AO409" s="89"/>
      <c r="AP409" s="90"/>
      <c r="AQ409" s="146" t="str">
        <f t="shared" si="177"/>
        <v/>
      </c>
      <c r="AR409" s="146" t="str">
        <f t="shared" si="178"/>
        <v/>
      </c>
      <c r="AS409" s="147"/>
      <c r="AT409" s="148"/>
      <c r="AU409" s="149"/>
      <c r="AV409" s="146" t="str">
        <f t="shared" si="179"/>
        <v/>
      </c>
      <c r="AW409" s="146" t="str">
        <f t="shared" si="180"/>
        <v/>
      </c>
      <c r="AX409" s="138" t="str">
        <f t="shared" si="181"/>
        <v/>
      </c>
      <c r="AY409" s="95"/>
      <c r="AZ409" s="96"/>
      <c r="BA409" s="96"/>
      <c r="BB409" s="96"/>
      <c r="BC409" s="96"/>
      <c r="BD409" s="97">
        <v>113.35</v>
      </c>
      <c r="BE409" s="142">
        <f t="shared" si="182"/>
        <v>8345</v>
      </c>
      <c r="BF409" s="88">
        <v>2103</v>
      </c>
      <c r="BG409" s="98">
        <v>0</v>
      </c>
      <c r="BH409" s="98">
        <v>0</v>
      </c>
      <c r="BI409" s="98">
        <v>6242</v>
      </c>
      <c r="BJ409" s="98"/>
      <c r="BK409" s="98"/>
      <c r="BL409" s="97"/>
    </row>
    <row r="410" spans="1:64" outlineLevel="5" x14ac:dyDescent="0.3">
      <c r="A410" s="152">
        <f t="shared" si="168"/>
        <v>12</v>
      </c>
      <c r="B410" s="153">
        <f t="shared" si="153"/>
        <v>45641</v>
      </c>
      <c r="C410" s="138" t="str">
        <f t="shared" si="173"/>
        <v/>
      </c>
      <c r="D410" s="186"/>
      <c r="E410" s="186"/>
      <c r="F410" s="84"/>
      <c r="G410" s="84"/>
      <c r="H410" s="84"/>
      <c r="I410" s="84"/>
      <c r="J410" s="84"/>
      <c r="K410" s="84"/>
      <c r="L410" s="140" t="str">
        <f t="shared" si="174"/>
        <v/>
      </c>
      <c r="M410" s="86"/>
      <c r="N410" s="86"/>
      <c r="O410" s="86"/>
      <c r="P410" s="86"/>
      <c r="Q410" s="86"/>
      <c r="R410" s="86"/>
      <c r="S410" s="86"/>
      <c r="T410" s="86"/>
      <c r="U410" s="142" t="str">
        <f t="shared" si="175"/>
        <v/>
      </c>
      <c r="V410" s="88"/>
      <c r="W410" s="88"/>
      <c r="X410" s="88"/>
      <c r="Y410" s="88"/>
      <c r="Z410" s="88"/>
      <c r="AA410" s="88"/>
      <c r="AB410" s="88"/>
      <c r="AC410" s="88"/>
      <c r="AD410" s="142" t="str">
        <f t="shared" si="176"/>
        <v/>
      </c>
      <c r="AE410" s="88"/>
      <c r="AF410" s="88"/>
      <c r="AG410" s="88"/>
      <c r="AH410" s="88"/>
      <c r="AI410" s="88"/>
      <c r="AJ410" s="88"/>
      <c r="AK410" s="88"/>
      <c r="AL410" s="88"/>
      <c r="AM410" s="88">
        <v>34.962962962962962</v>
      </c>
      <c r="AN410" s="88">
        <v>135</v>
      </c>
      <c r="AO410" s="89"/>
      <c r="AP410" s="90"/>
      <c r="AQ410" s="146" t="str">
        <f t="shared" si="177"/>
        <v/>
      </c>
      <c r="AR410" s="146" t="str">
        <f t="shared" si="178"/>
        <v/>
      </c>
      <c r="AS410" s="147"/>
      <c r="AT410" s="148"/>
      <c r="AU410" s="149"/>
      <c r="AV410" s="146" t="str">
        <f t="shared" si="179"/>
        <v/>
      </c>
      <c r="AW410" s="146" t="str">
        <f t="shared" si="180"/>
        <v/>
      </c>
      <c r="AX410" s="138" t="str">
        <f t="shared" si="181"/>
        <v/>
      </c>
      <c r="AY410" s="95"/>
      <c r="AZ410" s="96"/>
      <c r="BA410" s="96"/>
      <c r="BB410" s="96"/>
      <c r="BC410" s="96"/>
      <c r="BD410" s="97">
        <v>135</v>
      </c>
      <c r="BE410" s="142">
        <f t="shared" si="182"/>
        <v>8162</v>
      </c>
      <c r="BF410" s="88">
        <v>1965</v>
      </c>
      <c r="BG410" s="98">
        <v>0</v>
      </c>
      <c r="BH410" s="98">
        <v>0</v>
      </c>
      <c r="BI410" s="98">
        <v>6197</v>
      </c>
      <c r="BJ410" s="98"/>
      <c r="BK410" s="98"/>
      <c r="BL410" s="97"/>
    </row>
    <row r="411" spans="1:64" outlineLevel="5" x14ac:dyDescent="0.3">
      <c r="A411" s="152">
        <f t="shared" si="168"/>
        <v>12</v>
      </c>
      <c r="B411" s="153">
        <f t="shared" si="153"/>
        <v>45642</v>
      </c>
      <c r="C411" s="138">
        <f t="shared" si="173"/>
        <v>38.299999999999997</v>
      </c>
      <c r="D411" s="186">
        <v>37.5</v>
      </c>
      <c r="E411" s="186">
        <v>39</v>
      </c>
      <c r="F411" s="84"/>
      <c r="G411" s="84"/>
      <c r="H411" s="84"/>
      <c r="I411" s="84"/>
      <c r="J411" s="84"/>
      <c r="K411" s="84"/>
      <c r="L411" s="140" t="str">
        <f t="shared" si="174"/>
        <v/>
      </c>
      <c r="M411" s="86"/>
      <c r="N411" s="86"/>
      <c r="O411" s="86"/>
      <c r="P411" s="86"/>
      <c r="Q411" s="86"/>
      <c r="R411" s="86"/>
      <c r="S411" s="86"/>
      <c r="T411" s="86"/>
      <c r="U411" s="142">
        <f t="shared" si="175"/>
        <v>678</v>
      </c>
      <c r="V411" s="88">
        <v>623</v>
      </c>
      <c r="W411" s="88">
        <v>733</v>
      </c>
      <c r="X411" s="88"/>
      <c r="Y411" s="88"/>
      <c r="Z411" s="88"/>
      <c r="AA411" s="88"/>
      <c r="AB411" s="88"/>
      <c r="AC411" s="88"/>
      <c r="AD411" s="142">
        <f t="shared" si="176"/>
        <v>20060</v>
      </c>
      <c r="AE411" s="88">
        <v>19910</v>
      </c>
      <c r="AF411" s="88">
        <v>20210</v>
      </c>
      <c r="AG411" s="88"/>
      <c r="AH411" s="88"/>
      <c r="AI411" s="88"/>
      <c r="AJ411" s="88"/>
      <c r="AK411" s="88"/>
      <c r="AL411" s="88"/>
      <c r="AM411" s="88">
        <v>38.685353659536105</v>
      </c>
      <c r="AN411" s="88">
        <v>122.00999999999999</v>
      </c>
      <c r="AO411" s="89">
        <v>21.4</v>
      </c>
      <c r="AP411" s="90">
        <v>16.100000000000001</v>
      </c>
      <c r="AQ411" s="146">
        <f t="shared" si="177"/>
        <v>75.233644859813097</v>
      </c>
      <c r="AR411" s="146">
        <f t="shared" si="178"/>
        <v>24.766355140186903</v>
      </c>
      <c r="AS411" s="147"/>
      <c r="AT411" s="148">
        <v>13.55</v>
      </c>
      <c r="AU411" s="149">
        <v>8.5500000000000007</v>
      </c>
      <c r="AV411" s="146">
        <f t="shared" si="179"/>
        <v>63.099630996309962</v>
      </c>
      <c r="AW411" s="146">
        <f t="shared" si="180"/>
        <v>36.900369003690038</v>
      </c>
      <c r="AX411" s="138">
        <f t="shared" si="181"/>
        <v>43.708074534161533</v>
      </c>
      <c r="AY411" s="95">
        <v>75.150000000000006</v>
      </c>
      <c r="AZ411" s="96"/>
      <c r="BA411" s="96"/>
      <c r="BB411" s="96"/>
      <c r="BC411" s="96"/>
      <c r="BD411" s="97">
        <v>122.00999999999999</v>
      </c>
      <c r="BE411" s="142">
        <f t="shared" si="182"/>
        <v>8651</v>
      </c>
      <c r="BF411" s="88">
        <v>2222</v>
      </c>
      <c r="BG411" s="98">
        <v>0</v>
      </c>
      <c r="BH411" s="98">
        <v>0</v>
      </c>
      <c r="BI411" s="98">
        <v>6429</v>
      </c>
      <c r="BJ411" s="98"/>
      <c r="BK411" s="98"/>
      <c r="BL411" s="97"/>
    </row>
    <row r="412" spans="1:64" outlineLevel="5" x14ac:dyDescent="0.3">
      <c r="A412" s="152">
        <f t="shared" si="168"/>
        <v>12</v>
      </c>
      <c r="B412" s="153">
        <f t="shared" si="153"/>
        <v>45643</v>
      </c>
      <c r="C412" s="138" t="str">
        <f t="shared" si="173"/>
        <v/>
      </c>
      <c r="D412" s="186"/>
      <c r="E412" s="186"/>
      <c r="F412" s="84"/>
      <c r="G412" s="84"/>
      <c r="H412" s="84"/>
      <c r="I412" s="84"/>
      <c r="J412" s="84"/>
      <c r="K412" s="84"/>
      <c r="L412" s="140" t="str">
        <f t="shared" si="174"/>
        <v/>
      </c>
      <c r="M412" s="86"/>
      <c r="N412" s="86"/>
      <c r="O412" s="86"/>
      <c r="P412" s="86"/>
      <c r="Q412" s="86"/>
      <c r="R412" s="86"/>
      <c r="S412" s="86"/>
      <c r="T412" s="86"/>
      <c r="U412" s="142" t="str">
        <f t="shared" si="175"/>
        <v/>
      </c>
      <c r="V412" s="88"/>
      <c r="W412" s="88"/>
      <c r="X412" s="88"/>
      <c r="Y412" s="88"/>
      <c r="Z412" s="88"/>
      <c r="AA412" s="88"/>
      <c r="AB412" s="88"/>
      <c r="AC412" s="88"/>
      <c r="AD412" s="142" t="str">
        <f t="shared" si="176"/>
        <v/>
      </c>
      <c r="AE412" s="88"/>
      <c r="AF412" s="88"/>
      <c r="AG412" s="88"/>
      <c r="AH412" s="88"/>
      <c r="AI412" s="88"/>
      <c r="AJ412" s="88"/>
      <c r="AK412" s="88"/>
      <c r="AL412" s="88"/>
      <c r="AM412" s="88">
        <v>40.204429301533217</v>
      </c>
      <c r="AN412" s="88">
        <v>117.4</v>
      </c>
      <c r="AO412" s="89"/>
      <c r="AP412" s="90"/>
      <c r="AQ412" s="146" t="str">
        <f t="shared" si="177"/>
        <v/>
      </c>
      <c r="AR412" s="146" t="str">
        <f t="shared" si="178"/>
        <v/>
      </c>
      <c r="AS412" s="147"/>
      <c r="AT412" s="148"/>
      <c r="AU412" s="149"/>
      <c r="AV412" s="146" t="str">
        <f t="shared" si="179"/>
        <v/>
      </c>
      <c r="AW412" s="146" t="str">
        <f t="shared" si="180"/>
        <v/>
      </c>
      <c r="AX412" s="138" t="str">
        <f t="shared" si="181"/>
        <v/>
      </c>
      <c r="AY412" s="95"/>
      <c r="AZ412" s="96">
        <v>60.284999999999997</v>
      </c>
      <c r="BA412" s="96"/>
      <c r="BB412" s="96">
        <v>46.5</v>
      </c>
      <c r="BC412" s="96"/>
      <c r="BD412" s="97">
        <v>117.4</v>
      </c>
      <c r="BE412" s="142">
        <f t="shared" si="182"/>
        <v>8739</v>
      </c>
      <c r="BF412" s="88">
        <v>2338</v>
      </c>
      <c r="BG412" s="98">
        <v>0</v>
      </c>
      <c r="BH412" s="98">
        <v>0</v>
      </c>
      <c r="BI412" s="98">
        <v>6401</v>
      </c>
      <c r="BJ412" s="98"/>
      <c r="BK412" s="98"/>
      <c r="BL412" s="97"/>
    </row>
    <row r="413" spans="1:64" outlineLevel="5" x14ac:dyDescent="0.3">
      <c r="A413" s="152">
        <f t="shared" si="168"/>
        <v>12</v>
      </c>
      <c r="B413" s="153">
        <f t="shared" si="153"/>
        <v>45644</v>
      </c>
      <c r="C413" s="138" t="str">
        <f t="shared" si="173"/>
        <v/>
      </c>
      <c r="D413" s="186"/>
      <c r="E413" s="186"/>
      <c r="F413" s="84"/>
      <c r="G413" s="84"/>
      <c r="H413" s="84"/>
      <c r="I413" s="84"/>
      <c r="J413" s="84"/>
      <c r="K413" s="84"/>
      <c r="L413" s="140" t="str">
        <f t="shared" si="174"/>
        <v/>
      </c>
      <c r="M413" s="86"/>
      <c r="N413" s="86"/>
      <c r="O413" s="86"/>
      <c r="P413" s="86"/>
      <c r="Q413" s="86"/>
      <c r="R413" s="86"/>
      <c r="S413" s="86"/>
      <c r="T413" s="86"/>
      <c r="U413" s="142" t="str">
        <f t="shared" si="175"/>
        <v/>
      </c>
      <c r="V413" s="88"/>
      <c r="W413" s="88"/>
      <c r="X413" s="88"/>
      <c r="Y413" s="88"/>
      <c r="Z413" s="88"/>
      <c r="AA413" s="88"/>
      <c r="AB413" s="88"/>
      <c r="AC413" s="88"/>
      <c r="AD413" s="142" t="str">
        <f t="shared" si="176"/>
        <v/>
      </c>
      <c r="AE413" s="88"/>
      <c r="AF413" s="88"/>
      <c r="AG413" s="88"/>
      <c r="AH413" s="88"/>
      <c r="AI413" s="88"/>
      <c r="AJ413" s="88"/>
      <c r="AK413" s="88"/>
      <c r="AL413" s="88"/>
      <c r="AM413" s="88">
        <v>39.402287336171639</v>
      </c>
      <c r="AN413" s="88">
        <v>119.78999999999999</v>
      </c>
      <c r="AO413" s="89"/>
      <c r="AP413" s="90"/>
      <c r="AQ413" s="146" t="str">
        <f t="shared" si="177"/>
        <v/>
      </c>
      <c r="AR413" s="146" t="str">
        <f t="shared" si="178"/>
        <v/>
      </c>
      <c r="AS413" s="147"/>
      <c r="AT413" s="148"/>
      <c r="AU413" s="149"/>
      <c r="AV413" s="146" t="str">
        <f t="shared" si="179"/>
        <v/>
      </c>
      <c r="AW413" s="146" t="str">
        <f t="shared" si="180"/>
        <v/>
      </c>
      <c r="AX413" s="138" t="str">
        <f t="shared" si="181"/>
        <v/>
      </c>
      <c r="AY413" s="95"/>
      <c r="AZ413" s="96">
        <v>60.760000000000005</v>
      </c>
      <c r="BA413" s="96"/>
      <c r="BB413" s="96">
        <v>49.5</v>
      </c>
      <c r="BC413" s="96"/>
      <c r="BD413" s="97">
        <v>119.78999999999999</v>
      </c>
      <c r="BE413" s="142">
        <f t="shared" si="182"/>
        <v>8904</v>
      </c>
      <c r="BF413" s="88">
        <v>2430</v>
      </c>
      <c r="BG413" s="98">
        <v>0</v>
      </c>
      <c r="BH413" s="98">
        <v>0</v>
      </c>
      <c r="BI413" s="98">
        <v>6474</v>
      </c>
      <c r="BJ413" s="98"/>
      <c r="BK413" s="98"/>
      <c r="BL413" s="97"/>
    </row>
    <row r="414" spans="1:64" outlineLevel="5" x14ac:dyDescent="0.3">
      <c r="A414" s="152">
        <f t="shared" si="168"/>
        <v>12</v>
      </c>
      <c r="B414" s="153">
        <f t="shared" si="153"/>
        <v>45645</v>
      </c>
      <c r="C414" s="138" t="str">
        <f t="shared" si="173"/>
        <v/>
      </c>
      <c r="D414" s="186"/>
      <c r="E414" s="186"/>
      <c r="F414" s="84"/>
      <c r="G414" s="84"/>
      <c r="H414" s="84"/>
      <c r="I414" s="84"/>
      <c r="J414" s="84"/>
      <c r="K414" s="84"/>
      <c r="L414" s="140" t="str">
        <f t="shared" si="174"/>
        <v/>
      </c>
      <c r="M414" s="86"/>
      <c r="N414" s="86"/>
      <c r="O414" s="86"/>
      <c r="P414" s="86"/>
      <c r="Q414" s="86"/>
      <c r="R414" s="86"/>
      <c r="S414" s="86"/>
      <c r="T414" s="86"/>
      <c r="U414" s="142" t="str">
        <f t="shared" si="175"/>
        <v/>
      </c>
      <c r="V414" s="88"/>
      <c r="W414" s="88"/>
      <c r="X414" s="88"/>
      <c r="Y414" s="88"/>
      <c r="Z414" s="88"/>
      <c r="AA414" s="88"/>
      <c r="AB414" s="88"/>
      <c r="AC414" s="88"/>
      <c r="AD414" s="142" t="str">
        <f t="shared" si="176"/>
        <v/>
      </c>
      <c r="AE414" s="88"/>
      <c r="AF414" s="88"/>
      <c r="AG414" s="88"/>
      <c r="AH414" s="88"/>
      <c r="AI414" s="88"/>
      <c r="AJ414" s="88"/>
      <c r="AK414" s="88"/>
      <c r="AL414" s="88"/>
      <c r="AM414" s="88">
        <v>45.887614232937977</v>
      </c>
      <c r="AN414" s="88">
        <v>102.86</v>
      </c>
      <c r="AO414" s="89"/>
      <c r="AP414" s="90"/>
      <c r="AQ414" s="146" t="str">
        <f t="shared" si="177"/>
        <v/>
      </c>
      <c r="AR414" s="146" t="str">
        <f t="shared" si="178"/>
        <v/>
      </c>
      <c r="AS414" s="147"/>
      <c r="AT414" s="148"/>
      <c r="AU414" s="149"/>
      <c r="AV414" s="146" t="str">
        <f t="shared" si="179"/>
        <v/>
      </c>
      <c r="AW414" s="146" t="str">
        <f t="shared" si="180"/>
        <v/>
      </c>
      <c r="AX414" s="138" t="str">
        <f t="shared" si="181"/>
        <v/>
      </c>
      <c r="AY414" s="95"/>
      <c r="AZ414" s="96"/>
      <c r="BA414" s="96"/>
      <c r="BB414" s="96"/>
      <c r="BC414" s="96"/>
      <c r="BD414" s="97">
        <v>102.86</v>
      </c>
      <c r="BE414" s="142">
        <f t="shared" si="182"/>
        <v>8153</v>
      </c>
      <c r="BF414" s="88">
        <v>1830</v>
      </c>
      <c r="BG414" s="98">
        <v>0</v>
      </c>
      <c r="BH414" s="98">
        <v>0</v>
      </c>
      <c r="BI414" s="98">
        <v>6323</v>
      </c>
      <c r="BJ414" s="98"/>
      <c r="BK414" s="98"/>
      <c r="BL414" s="97"/>
    </row>
    <row r="415" spans="1:64" outlineLevel="5" x14ac:dyDescent="0.3">
      <c r="A415" s="152">
        <f t="shared" si="168"/>
        <v>12</v>
      </c>
      <c r="B415" s="153">
        <f t="shared" si="153"/>
        <v>45646</v>
      </c>
      <c r="C415" s="138">
        <f t="shared" si="173"/>
        <v>39</v>
      </c>
      <c r="D415" s="186">
        <v>38.200000000000003</v>
      </c>
      <c r="E415" s="186">
        <v>39.799999999999997</v>
      </c>
      <c r="F415" s="84"/>
      <c r="G415" s="84"/>
      <c r="H415" s="84"/>
      <c r="I415" s="84"/>
      <c r="J415" s="84"/>
      <c r="K415" s="84"/>
      <c r="L415" s="140" t="str">
        <f t="shared" si="174"/>
        <v/>
      </c>
      <c r="M415" s="86"/>
      <c r="N415" s="86"/>
      <c r="O415" s="86"/>
      <c r="P415" s="86"/>
      <c r="Q415" s="86"/>
      <c r="R415" s="86"/>
      <c r="S415" s="86"/>
      <c r="T415" s="86"/>
      <c r="U415" s="142" t="str">
        <f t="shared" si="175"/>
        <v/>
      </c>
      <c r="V415" s="88"/>
      <c r="W415" s="88"/>
      <c r="X415" s="88"/>
      <c r="Y415" s="88"/>
      <c r="Z415" s="88"/>
      <c r="AA415" s="88"/>
      <c r="AB415" s="88"/>
      <c r="AC415" s="88"/>
      <c r="AD415" s="142" t="str">
        <f t="shared" si="176"/>
        <v/>
      </c>
      <c r="AE415" s="88"/>
      <c r="AF415" s="88"/>
      <c r="AG415" s="88"/>
      <c r="AH415" s="88"/>
      <c r="AI415" s="88"/>
      <c r="AJ415" s="88"/>
      <c r="AK415" s="88"/>
      <c r="AL415" s="88"/>
      <c r="AM415" s="88">
        <v>47.865328060034479</v>
      </c>
      <c r="AN415" s="88">
        <v>98.61</v>
      </c>
      <c r="AO415" s="89"/>
      <c r="AP415" s="90"/>
      <c r="AQ415" s="146" t="str">
        <f t="shared" si="177"/>
        <v/>
      </c>
      <c r="AR415" s="146" t="str">
        <f t="shared" si="178"/>
        <v/>
      </c>
      <c r="AS415" s="147"/>
      <c r="AT415" s="148"/>
      <c r="AU415" s="149"/>
      <c r="AV415" s="146" t="str">
        <f t="shared" si="179"/>
        <v/>
      </c>
      <c r="AW415" s="146" t="str">
        <f t="shared" si="180"/>
        <v/>
      </c>
      <c r="AX415" s="138" t="str">
        <f t="shared" si="181"/>
        <v/>
      </c>
      <c r="AY415" s="95"/>
      <c r="AZ415" s="96"/>
      <c r="BA415" s="96"/>
      <c r="BB415" s="96"/>
      <c r="BC415" s="96"/>
      <c r="BD415" s="97">
        <v>98.61</v>
      </c>
      <c r="BE415" s="142">
        <f t="shared" si="182"/>
        <v>8151</v>
      </c>
      <c r="BF415" s="88">
        <v>2310</v>
      </c>
      <c r="BG415" s="98">
        <v>0</v>
      </c>
      <c r="BH415" s="98">
        <v>0</v>
      </c>
      <c r="BI415" s="98">
        <v>5841</v>
      </c>
      <c r="BJ415" s="98"/>
      <c r="BK415" s="98"/>
      <c r="BL415" s="97"/>
    </row>
    <row r="416" spans="1:64" outlineLevel="5" x14ac:dyDescent="0.3">
      <c r="A416" s="152">
        <f t="shared" si="168"/>
        <v>12</v>
      </c>
      <c r="B416" s="153">
        <f t="shared" ref="B416:B426" si="183">B415+1</f>
        <v>45647</v>
      </c>
      <c r="C416" s="138" t="str">
        <f t="shared" si="173"/>
        <v/>
      </c>
      <c r="D416" s="186"/>
      <c r="E416" s="186"/>
      <c r="F416" s="84"/>
      <c r="G416" s="84"/>
      <c r="H416" s="84"/>
      <c r="I416" s="84"/>
      <c r="J416" s="84"/>
      <c r="K416" s="84"/>
      <c r="L416" s="140" t="str">
        <f t="shared" si="174"/>
        <v/>
      </c>
      <c r="M416" s="86"/>
      <c r="N416" s="86"/>
      <c r="O416" s="86"/>
      <c r="P416" s="86"/>
      <c r="Q416" s="86"/>
      <c r="R416" s="86"/>
      <c r="S416" s="86"/>
      <c r="T416" s="86"/>
      <c r="U416" s="142" t="str">
        <f t="shared" si="175"/>
        <v/>
      </c>
      <c r="V416" s="88"/>
      <c r="W416" s="88"/>
      <c r="X416" s="88"/>
      <c r="Y416" s="88"/>
      <c r="Z416" s="88"/>
      <c r="AA416" s="88"/>
      <c r="AB416" s="88"/>
      <c r="AC416" s="88"/>
      <c r="AD416" s="142" t="str">
        <f t="shared" si="176"/>
        <v/>
      </c>
      <c r="AE416" s="88"/>
      <c r="AF416" s="88"/>
      <c r="AG416" s="88"/>
      <c r="AH416" s="88"/>
      <c r="AI416" s="88"/>
      <c r="AJ416" s="88"/>
      <c r="AK416" s="88"/>
      <c r="AL416" s="88"/>
      <c r="AM416" s="88">
        <v>45.581844519555773</v>
      </c>
      <c r="AN416" s="88">
        <v>103.55</v>
      </c>
      <c r="AO416" s="89"/>
      <c r="AP416" s="90"/>
      <c r="AQ416" s="146" t="str">
        <f t="shared" si="177"/>
        <v/>
      </c>
      <c r="AR416" s="146" t="str">
        <f t="shared" si="178"/>
        <v/>
      </c>
      <c r="AS416" s="147"/>
      <c r="AT416" s="148"/>
      <c r="AU416" s="149"/>
      <c r="AV416" s="146" t="str">
        <f t="shared" si="179"/>
        <v/>
      </c>
      <c r="AW416" s="146" t="str">
        <f t="shared" si="180"/>
        <v/>
      </c>
      <c r="AX416" s="138" t="str">
        <f t="shared" si="181"/>
        <v/>
      </c>
      <c r="AY416" s="95"/>
      <c r="AZ416" s="96"/>
      <c r="BA416" s="96"/>
      <c r="BB416" s="96"/>
      <c r="BC416" s="96"/>
      <c r="BD416" s="97">
        <v>103.55</v>
      </c>
      <c r="BE416" s="142">
        <f t="shared" si="182"/>
        <v>8972</v>
      </c>
      <c r="BF416" s="88">
        <v>2590</v>
      </c>
      <c r="BG416" s="98">
        <v>0</v>
      </c>
      <c r="BH416" s="98">
        <v>0</v>
      </c>
      <c r="BI416" s="98">
        <v>6382</v>
      </c>
      <c r="BJ416" s="98"/>
      <c r="BK416" s="98"/>
      <c r="BL416" s="97"/>
    </row>
    <row r="417" spans="1:64" outlineLevel="5" x14ac:dyDescent="0.3">
      <c r="A417" s="152">
        <f t="shared" si="168"/>
        <v>12</v>
      </c>
      <c r="B417" s="153">
        <f t="shared" si="183"/>
        <v>45648</v>
      </c>
      <c r="C417" s="138" t="str">
        <f t="shared" si="173"/>
        <v/>
      </c>
      <c r="D417" s="186"/>
      <c r="E417" s="186"/>
      <c r="F417" s="84"/>
      <c r="G417" s="84"/>
      <c r="H417" s="84"/>
      <c r="I417" s="84"/>
      <c r="J417" s="84"/>
      <c r="K417" s="84"/>
      <c r="L417" s="140" t="str">
        <f t="shared" si="174"/>
        <v/>
      </c>
      <c r="M417" s="86"/>
      <c r="N417" s="86"/>
      <c r="O417" s="86"/>
      <c r="P417" s="86"/>
      <c r="Q417" s="86"/>
      <c r="R417" s="86"/>
      <c r="S417" s="86"/>
      <c r="T417" s="86"/>
      <c r="U417" s="142" t="str">
        <f t="shared" si="175"/>
        <v/>
      </c>
      <c r="V417" s="88"/>
      <c r="W417" s="88"/>
      <c r="X417" s="88"/>
      <c r="Y417" s="88"/>
      <c r="Z417" s="88"/>
      <c r="AA417" s="88"/>
      <c r="AB417" s="88"/>
      <c r="AC417" s="88"/>
      <c r="AD417" s="142" t="str">
        <f t="shared" si="176"/>
        <v/>
      </c>
      <c r="AE417" s="88"/>
      <c r="AF417" s="88"/>
      <c r="AG417" s="88"/>
      <c r="AH417" s="88"/>
      <c r="AI417" s="88"/>
      <c r="AJ417" s="88"/>
      <c r="AK417" s="88"/>
      <c r="AL417" s="88"/>
      <c r="AM417" s="88">
        <v>47.2</v>
      </c>
      <c r="AN417" s="88">
        <v>100</v>
      </c>
      <c r="AO417" s="89"/>
      <c r="AP417" s="90"/>
      <c r="AQ417" s="146" t="str">
        <f t="shared" si="177"/>
        <v/>
      </c>
      <c r="AR417" s="146" t="str">
        <f t="shared" si="178"/>
        <v/>
      </c>
      <c r="AS417" s="147"/>
      <c r="AT417" s="148"/>
      <c r="AU417" s="149"/>
      <c r="AV417" s="146" t="str">
        <f t="shared" si="179"/>
        <v/>
      </c>
      <c r="AW417" s="146" t="str">
        <f t="shared" si="180"/>
        <v/>
      </c>
      <c r="AX417" s="138" t="str">
        <f t="shared" si="181"/>
        <v/>
      </c>
      <c r="AY417" s="95"/>
      <c r="AZ417" s="96"/>
      <c r="BA417" s="96"/>
      <c r="BB417" s="96"/>
      <c r="BC417" s="96"/>
      <c r="BD417" s="97">
        <v>100</v>
      </c>
      <c r="BE417" s="142">
        <f t="shared" si="182"/>
        <v>8403</v>
      </c>
      <c r="BF417" s="88">
        <v>2132</v>
      </c>
      <c r="BG417" s="98">
        <v>0</v>
      </c>
      <c r="BH417" s="98">
        <v>0</v>
      </c>
      <c r="BI417" s="98">
        <v>6271</v>
      </c>
      <c r="BJ417" s="98"/>
      <c r="BK417" s="98"/>
      <c r="BL417" s="97"/>
    </row>
    <row r="418" spans="1:64" outlineLevel="5" x14ac:dyDescent="0.3">
      <c r="A418" s="152">
        <f t="shared" si="168"/>
        <v>12</v>
      </c>
      <c r="B418" s="153">
        <f t="shared" si="183"/>
        <v>45649</v>
      </c>
      <c r="C418" s="138">
        <f t="shared" si="173"/>
        <v>38.200000000000003</v>
      </c>
      <c r="D418" s="186">
        <v>37.9</v>
      </c>
      <c r="E418" s="186">
        <v>38.5</v>
      </c>
      <c r="F418" s="84"/>
      <c r="G418" s="84"/>
      <c r="H418" s="84"/>
      <c r="I418" s="84"/>
      <c r="J418" s="84"/>
      <c r="K418" s="84"/>
      <c r="L418" s="140" t="str">
        <f t="shared" si="174"/>
        <v/>
      </c>
      <c r="M418" s="86"/>
      <c r="N418" s="86"/>
      <c r="O418" s="86"/>
      <c r="P418" s="86"/>
      <c r="Q418" s="86"/>
      <c r="R418" s="86"/>
      <c r="S418" s="86"/>
      <c r="T418" s="86"/>
      <c r="U418" s="142">
        <f t="shared" si="175"/>
        <v>678</v>
      </c>
      <c r="V418" s="88">
        <v>623</v>
      </c>
      <c r="W418" s="88">
        <v>733</v>
      </c>
      <c r="X418" s="88"/>
      <c r="Y418" s="88"/>
      <c r="Z418" s="88"/>
      <c r="AA418" s="88"/>
      <c r="AB418" s="88"/>
      <c r="AC418" s="88"/>
      <c r="AD418" s="142">
        <f t="shared" si="176"/>
        <v>15570</v>
      </c>
      <c r="AE418" s="88">
        <v>16010</v>
      </c>
      <c r="AF418" s="88">
        <v>15130</v>
      </c>
      <c r="AG418" s="88"/>
      <c r="AH418" s="88"/>
      <c r="AI418" s="88"/>
      <c r="AJ418" s="88"/>
      <c r="AK418" s="88"/>
      <c r="AL418" s="88"/>
      <c r="AM418" s="88">
        <v>43.77260502643049</v>
      </c>
      <c r="AN418" s="88">
        <v>107.83</v>
      </c>
      <c r="AO418" s="89">
        <v>19.899999999999999</v>
      </c>
      <c r="AP418" s="90">
        <v>17.5</v>
      </c>
      <c r="AQ418" s="146">
        <f t="shared" si="177"/>
        <v>87.939698492462313</v>
      </c>
      <c r="AR418" s="146">
        <f t="shared" si="178"/>
        <v>12.060301507537687</v>
      </c>
      <c r="AS418" s="147"/>
      <c r="AT418" s="148">
        <v>12.75</v>
      </c>
      <c r="AU418" s="149">
        <v>7.9</v>
      </c>
      <c r="AV418" s="146">
        <f t="shared" si="179"/>
        <v>61.96078431372549</v>
      </c>
      <c r="AW418" s="146">
        <f t="shared" si="180"/>
        <v>38.03921568627451</v>
      </c>
      <c r="AX418" s="138">
        <f t="shared" si="181"/>
        <v>77.661266568483072</v>
      </c>
      <c r="AY418" s="95">
        <v>75.8</v>
      </c>
      <c r="AZ418" s="96">
        <v>61.534999999999997</v>
      </c>
      <c r="BA418" s="96"/>
      <c r="BB418" s="96">
        <v>33.5</v>
      </c>
      <c r="BC418" s="96"/>
      <c r="BD418" s="97">
        <v>107.83</v>
      </c>
      <c r="BE418" s="142">
        <f t="shared" si="182"/>
        <v>8011</v>
      </c>
      <c r="BF418" s="88">
        <v>1734</v>
      </c>
      <c r="BG418" s="98">
        <v>0</v>
      </c>
      <c r="BH418" s="98">
        <v>0</v>
      </c>
      <c r="BI418" s="98">
        <v>6277</v>
      </c>
      <c r="BJ418" s="98"/>
      <c r="BK418" s="98"/>
      <c r="BL418" s="97"/>
    </row>
    <row r="419" spans="1:64" outlineLevel="5" x14ac:dyDescent="0.3">
      <c r="A419" s="152">
        <f t="shared" si="168"/>
        <v>12</v>
      </c>
      <c r="B419" s="153">
        <f t="shared" si="183"/>
        <v>45650</v>
      </c>
      <c r="C419" s="138" t="str">
        <f t="shared" si="173"/>
        <v/>
      </c>
      <c r="D419" s="186"/>
      <c r="E419" s="186"/>
      <c r="F419" s="84"/>
      <c r="G419" s="84"/>
      <c r="H419" s="84"/>
      <c r="I419" s="84"/>
      <c r="J419" s="84"/>
      <c r="K419" s="84"/>
      <c r="L419" s="140" t="str">
        <f t="shared" si="174"/>
        <v/>
      </c>
      <c r="M419" s="86"/>
      <c r="N419" s="86"/>
      <c r="O419" s="86"/>
      <c r="P419" s="86"/>
      <c r="Q419" s="86"/>
      <c r="R419" s="86"/>
      <c r="S419" s="86"/>
      <c r="T419" s="86"/>
      <c r="U419" s="142" t="str">
        <f t="shared" si="175"/>
        <v/>
      </c>
      <c r="V419" s="88"/>
      <c r="W419" s="88"/>
      <c r="X419" s="88"/>
      <c r="Y419" s="88"/>
      <c r="Z419" s="88"/>
      <c r="AA419" s="88"/>
      <c r="AB419" s="88"/>
      <c r="AC419" s="88"/>
      <c r="AD419" s="142" t="str">
        <f t="shared" si="176"/>
        <v/>
      </c>
      <c r="AE419" s="88"/>
      <c r="AF419" s="88"/>
      <c r="AG419" s="88"/>
      <c r="AH419" s="88"/>
      <c r="AI419" s="88"/>
      <c r="AJ419" s="88"/>
      <c r="AK419" s="88"/>
      <c r="AL419" s="88"/>
      <c r="AM419" s="88">
        <v>44.281827563561308</v>
      </c>
      <c r="AN419" s="88">
        <v>106.59</v>
      </c>
      <c r="AO419" s="89"/>
      <c r="AP419" s="90"/>
      <c r="AQ419" s="146" t="str">
        <f t="shared" si="177"/>
        <v/>
      </c>
      <c r="AR419" s="146" t="str">
        <f t="shared" si="178"/>
        <v/>
      </c>
      <c r="AS419" s="147"/>
      <c r="AT419" s="148"/>
      <c r="AU419" s="149"/>
      <c r="AV419" s="146" t="str">
        <f t="shared" si="179"/>
        <v/>
      </c>
      <c r="AW419" s="146" t="str">
        <f t="shared" si="180"/>
        <v/>
      </c>
      <c r="AX419" s="138" t="str">
        <f t="shared" si="181"/>
        <v/>
      </c>
      <c r="AY419" s="95"/>
      <c r="AZ419" s="96">
        <v>61.555</v>
      </c>
      <c r="BA419" s="96"/>
      <c r="BB419" s="96">
        <v>37.5</v>
      </c>
      <c r="BC419" s="96"/>
      <c r="BD419" s="97">
        <v>106.59</v>
      </c>
      <c r="BE419" s="142">
        <f t="shared" si="182"/>
        <v>8299</v>
      </c>
      <c r="BF419" s="88">
        <v>1828</v>
      </c>
      <c r="BG419" s="98">
        <v>0</v>
      </c>
      <c r="BH419" s="98">
        <v>0</v>
      </c>
      <c r="BI419" s="98">
        <v>6471</v>
      </c>
      <c r="BJ419" s="98"/>
      <c r="BK419" s="98"/>
      <c r="BL419" s="97"/>
    </row>
    <row r="420" spans="1:64" outlineLevel="5" x14ac:dyDescent="0.3">
      <c r="A420" s="152">
        <f t="shared" si="168"/>
        <v>12</v>
      </c>
      <c r="B420" s="153">
        <f t="shared" si="183"/>
        <v>45651</v>
      </c>
      <c r="C420" s="138">
        <f t="shared" si="173"/>
        <v>37.4</v>
      </c>
      <c r="D420" s="186">
        <v>36.799999999999997</v>
      </c>
      <c r="E420" s="186">
        <v>38</v>
      </c>
      <c r="F420" s="84"/>
      <c r="G420" s="84"/>
      <c r="H420" s="84"/>
      <c r="I420" s="84"/>
      <c r="J420" s="84"/>
      <c r="K420" s="84"/>
      <c r="L420" s="140" t="str">
        <f t="shared" si="174"/>
        <v/>
      </c>
      <c r="M420" s="86"/>
      <c r="N420" s="86"/>
      <c r="O420" s="86"/>
      <c r="P420" s="86"/>
      <c r="Q420" s="86"/>
      <c r="R420" s="86"/>
      <c r="S420" s="86"/>
      <c r="T420" s="86"/>
      <c r="U420" s="142" t="str">
        <f t="shared" si="175"/>
        <v/>
      </c>
      <c r="V420" s="88"/>
      <c r="W420" s="88"/>
      <c r="X420" s="88"/>
      <c r="Y420" s="88"/>
      <c r="Z420" s="88"/>
      <c r="AA420" s="88"/>
      <c r="AB420" s="88"/>
      <c r="AC420" s="88"/>
      <c r="AD420" s="142" t="str">
        <f t="shared" si="176"/>
        <v/>
      </c>
      <c r="AE420" s="88"/>
      <c r="AF420" s="88"/>
      <c r="AG420" s="88"/>
      <c r="AH420" s="88"/>
      <c r="AI420" s="88"/>
      <c r="AJ420" s="88"/>
      <c r="AK420" s="88"/>
      <c r="AL420" s="88"/>
      <c r="AM420" s="88">
        <v>45.749733449646214</v>
      </c>
      <c r="AN420" s="88">
        <v>103.17</v>
      </c>
      <c r="AO420" s="89"/>
      <c r="AP420" s="90"/>
      <c r="AQ420" s="146" t="str">
        <f t="shared" si="177"/>
        <v/>
      </c>
      <c r="AR420" s="146" t="str">
        <f t="shared" si="178"/>
        <v/>
      </c>
      <c r="AS420" s="147"/>
      <c r="AT420" s="148"/>
      <c r="AU420" s="149"/>
      <c r="AV420" s="146" t="str">
        <f t="shared" si="179"/>
        <v/>
      </c>
      <c r="AW420" s="146" t="str">
        <f t="shared" si="180"/>
        <v/>
      </c>
      <c r="AX420" s="138" t="str">
        <f t="shared" si="181"/>
        <v/>
      </c>
      <c r="AY420" s="95"/>
      <c r="AZ420" s="96"/>
      <c r="BA420" s="96"/>
      <c r="BB420" s="96"/>
      <c r="BC420" s="96"/>
      <c r="BD420" s="97">
        <v>103.17</v>
      </c>
      <c r="BE420" s="142">
        <f t="shared" si="182"/>
        <v>8705</v>
      </c>
      <c r="BF420" s="88">
        <v>2152</v>
      </c>
      <c r="BG420" s="98">
        <v>0</v>
      </c>
      <c r="BH420" s="98">
        <v>0</v>
      </c>
      <c r="BI420" s="98">
        <v>6553</v>
      </c>
      <c r="BJ420" s="98"/>
      <c r="BK420" s="98"/>
      <c r="BL420" s="97"/>
    </row>
    <row r="421" spans="1:64" outlineLevel="5" x14ac:dyDescent="0.3">
      <c r="A421" s="152">
        <f t="shared" si="168"/>
        <v>12</v>
      </c>
      <c r="B421" s="153">
        <f t="shared" si="183"/>
        <v>45652</v>
      </c>
      <c r="C421" s="138" t="str">
        <f t="shared" si="173"/>
        <v/>
      </c>
      <c r="D421" s="186"/>
      <c r="E421" s="186"/>
      <c r="F421" s="84"/>
      <c r="G421" s="84"/>
      <c r="H421" s="84"/>
      <c r="I421" s="84"/>
      <c r="J421" s="84"/>
      <c r="K421" s="84"/>
      <c r="L421" s="140" t="str">
        <f t="shared" si="174"/>
        <v/>
      </c>
      <c r="M421" s="86"/>
      <c r="N421" s="86"/>
      <c r="O421" s="86"/>
      <c r="P421" s="86"/>
      <c r="Q421" s="86"/>
      <c r="R421" s="86"/>
      <c r="S421" s="86"/>
      <c r="T421" s="86"/>
      <c r="U421" s="142" t="str">
        <f t="shared" si="175"/>
        <v/>
      </c>
      <c r="V421" s="88"/>
      <c r="W421" s="88"/>
      <c r="X421" s="88"/>
      <c r="Y421" s="88"/>
      <c r="Z421" s="88"/>
      <c r="AA421" s="88"/>
      <c r="AB421" s="88"/>
      <c r="AC421" s="88"/>
      <c r="AD421" s="142" t="str">
        <f t="shared" si="176"/>
        <v/>
      </c>
      <c r="AE421" s="88"/>
      <c r="AF421" s="88"/>
      <c r="AG421" s="88"/>
      <c r="AH421" s="88"/>
      <c r="AI421" s="88"/>
      <c r="AJ421" s="88"/>
      <c r="AK421" s="88"/>
      <c r="AL421" s="88"/>
      <c r="AM421" s="88">
        <v>33.494181095657105</v>
      </c>
      <c r="AN421" s="88">
        <v>140.92000000000002</v>
      </c>
      <c r="AO421" s="89"/>
      <c r="AP421" s="90"/>
      <c r="AQ421" s="146" t="str">
        <f t="shared" si="177"/>
        <v/>
      </c>
      <c r="AR421" s="146" t="str">
        <f t="shared" si="178"/>
        <v/>
      </c>
      <c r="AS421" s="147"/>
      <c r="AT421" s="148"/>
      <c r="AU421" s="149"/>
      <c r="AV421" s="146" t="str">
        <f t="shared" si="179"/>
        <v/>
      </c>
      <c r="AW421" s="146" t="str">
        <f t="shared" si="180"/>
        <v/>
      </c>
      <c r="AX421" s="138" t="str">
        <f t="shared" si="181"/>
        <v/>
      </c>
      <c r="AY421" s="95"/>
      <c r="AZ421" s="96"/>
      <c r="BA421" s="96"/>
      <c r="BB421" s="96"/>
      <c r="BC421" s="96"/>
      <c r="BD421" s="97">
        <v>140.92000000000002</v>
      </c>
      <c r="BE421" s="142">
        <f t="shared" si="182"/>
        <v>8691</v>
      </c>
      <c r="BF421" s="88">
        <v>1968</v>
      </c>
      <c r="BG421" s="98">
        <v>0</v>
      </c>
      <c r="BH421" s="98">
        <v>0</v>
      </c>
      <c r="BI421" s="98">
        <v>6723</v>
      </c>
      <c r="BJ421" s="98"/>
      <c r="BK421" s="98"/>
      <c r="BL421" s="97"/>
    </row>
    <row r="422" spans="1:64" outlineLevel="5" x14ac:dyDescent="0.3">
      <c r="A422" s="152">
        <f t="shared" si="168"/>
        <v>12</v>
      </c>
      <c r="B422" s="153">
        <f t="shared" si="183"/>
        <v>45653</v>
      </c>
      <c r="C422" s="138" t="str">
        <f t="shared" si="173"/>
        <v/>
      </c>
      <c r="D422" s="186"/>
      <c r="E422" s="186"/>
      <c r="F422" s="84"/>
      <c r="G422" s="84"/>
      <c r="H422" s="84"/>
      <c r="I422" s="84"/>
      <c r="J422" s="84"/>
      <c r="K422" s="84"/>
      <c r="L422" s="140" t="str">
        <f t="shared" si="174"/>
        <v/>
      </c>
      <c r="M422" s="86"/>
      <c r="N422" s="86"/>
      <c r="O422" s="86"/>
      <c r="P422" s="86"/>
      <c r="Q422" s="86"/>
      <c r="R422" s="86"/>
      <c r="S422" s="86"/>
      <c r="T422" s="86"/>
      <c r="U422" s="142" t="str">
        <f t="shared" si="175"/>
        <v/>
      </c>
      <c r="V422" s="88"/>
      <c r="W422" s="88"/>
      <c r="X422" s="88"/>
      <c r="Y422" s="88"/>
      <c r="Z422" s="88"/>
      <c r="AA422" s="88"/>
      <c r="AB422" s="88"/>
      <c r="AC422" s="88"/>
      <c r="AD422" s="142" t="str">
        <f t="shared" si="176"/>
        <v/>
      </c>
      <c r="AE422" s="88"/>
      <c r="AF422" s="88"/>
      <c r="AG422" s="88"/>
      <c r="AH422" s="88"/>
      <c r="AI422" s="88"/>
      <c r="AJ422" s="88"/>
      <c r="AK422" s="88"/>
      <c r="AL422" s="88"/>
      <c r="AM422" s="88">
        <v>67.083570210346792</v>
      </c>
      <c r="AN422" s="88">
        <v>70.36</v>
      </c>
      <c r="AO422" s="89"/>
      <c r="AP422" s="90"/>
      <c r="AQ422" s="146" t="str">
        <f t="shared" si="177"/>
        <v/>
      </c>
      <c r="AR422" s="146" t="str">
        <f t="shared" si="178"/>
        <v/>
      </c>
      <c r="AS422" s="147"/>
      <c r="AT422" s="148"/>
      <c r="AU422" s="149"/>
      <c r="AV422" s="146" t="str">
        <f t="shared" si="179"/>
        <v/>
      </c>
      <c r="AW422" s="146" t="str">
        <f t="shared" si="180"/>
        <v/>
      </c>
      <c r="AX422" s="138" t="str">
        <f t="shared" si="181"/>
        <v/>
      </c>
      <c r="AY422" s="95"/>
      <c r="AZ422" s="96"/>
      <c r="BA422" s="96"/>
      <c r="BB422" s="96"/>
      <c r="BC422" s="96"/>
      <c r="BD422" s="97">
        <v>70.36</v>
      </c>
      <c r="BE422" s="142">
        <f t="shared" si="182"/>
        <v>7567</v>
      </c>
      <c r="BF422" s="88">
        <v>1170</v>
      </c>
      <c r="BG422" s="98">
        <v>0</v>
      </c>
      <c r="BH422" s="98">
        <v>12</v>
      </c>
      <c r="BI422" s="98">
        <v>6385</v>
      </c>
      <c r="BJ422" s="98"/>
      <c r="BK422" s="98"/>
      <c r="BL422" s="97"/>
    </row>
    <row r="423" spans="1:64" outlineLevel="5" x14ac:dyDescent="0.3">
      <c r="A423" s="152">
        <f t="shared" si="168"/>
        <v>12</v>
      </c>
      <c r="B423" s="153">
        <f t="shared" si="183"/>
        <v>45654</v>
      </c>
      <c r="C423" s="138" t="str">
        <f t="shared" si="173"/>
        <v/>
      </c>
      <c r="D423" s="186"/>
      <c r="E423" s="186"/>
      <c r="F423" s="84"/>
      <c r="G423" s="84"/>
      <c r="H423" s="84"/>
      <c r="I423" s="84"/>
      <c r="J423" s="84"/>
      <c r="K423" s="84"/>
      <c r="L423" s="140" t="str">
        <f t="shared" si="174"/>
        <v/>
      </c>
      <c r="M423" s="86"/>
      <c r="N423" s="86"/>
      <c r="O423" s="86"/>
      <c r="P423" s="86"/>
      <c r="Q423" s="86"/>
      <c r="R423" s="86"/>
      <c r="S423" s="86"/>
      <c r="T423" s="86"/>
      <c r="U423" s="142" t="str">
        <f t="shared" si="175"/>
        <v/>
      </c>
      <c r="V423" s="88"/>
      <c r="W423" s="88"/>
      <c r="X423" s="88"/>
      <c r="Y423" s="88"/>
      <c r="Z423" s="88"/>
      <c r="AA423" s="88"/>
      <c r="AB423" s="88"/>
      <c r="AC423" s="88"/>
      <c r="AD423" s="142" t="str">
        <f t="shared" si="176"/>
        <v/>
      </c>
      <c r="AE423" s="88"/>
      <c r="AF423" s="88"/>
      <c r="AG423" s="88"/>
      <c r="AH423" s="88"/>
      <c r="AI423" s="88"/>
      <c r="AJ423" s="88"/>
      <c r="AK423" s="88"/>
      <c r="AL423" s="88"/>
      <c r="AM423" s="88">
        <v>44.498915810313946</v>
      </c>
      <c r="AN423" s="88">
        <v>106.07</v>
      </c>
      <c r="AO423" s="89"/>
      <c r="AP423" s="90"/>
      <c r="AQ423" s="146" t="str">
        <f t="shared" si="177"/>
        <v/>
      </c>
      <c r="AR423" s="146" t="str">
        <f t="shared" si="178"/>
        <v/>
      </c>
      <c r="AS423" s="147"/>
      <c r="AT423" s="148"/>
      <c r="AU423" s="149"/>
      <c r="AV423" s="146" t="str">
        <f t="shared" si="179"/>
        <v/>
      </c>
      <c r="AW423" s="146" t="str">
        <f t="shared" si="180"/>
        <v/>
      </c>
      <c r="AX423" s="138" t="str">
        <f t="shared" si="181"/>
        <v/>
      </c>
      <c r="AY423" s="95"/>
      <c r="AZ423" s="96"/>
      <c r="BA423" s="96"/>
      <c r="BB423" s="96"/>
      <c r="BC423" s="96"/>
      <c r="BD423" s="97">
        <v>106.07</v>
      </c>
      <c r="BE423" s="142">
        <f t="shared" si="182"/>
        <v>8625</v>
      </c>
      <c r="BF423" s="88">
        <v>2230</v>
      </c>
      <c r="BG423" s="98">
        <v>0</v>
      </c>
      <c r="BH423" s="98">
        <v>0</v>
      </c>
      <c r="BI423" s="98">
        <v>6395</v>
      </c>
      <c r="BJ423" s="98"/>
      <c r="BK423" s="98"/>
      <c r="BL423" s="97"/>
    </row>
    <row r="424" spans="1:64" outlineLevel="5" x14ac:dyDescent="0.3">
      <c r="A424" s="152">
        <f t="shared" si="168"/>
        <v>12</v>
      </c>
      <c r="B424" s="153">
        <f t="shared" si="183"/>
        <v>45655</v>
      </c>
      <c r="C424" s="138" t="str">
        <f t="shared" si="173"/>
        <v/>
      </c>
      <c r="D424" s="186"/>
      <c r="E424" s="186"/>
      <c r="F424" s="84"/>
      <c r="G424" s="84"/>
      <c r="H424" s="84"/>
      <c r="I424" s="84"/>
      <c r="J424" s="84"/>
      <c r="K424" s="84"/>
      <c r="L424" s="140" t="str">
        <f t="shared" si="174"/>
        <v/>
      </c>
      <c r="M424" s="86"/>
      <c r="N424" s="86"/>
      <c r="O424" s="86"/>
      <c r="P424" s="86"/>
      <c r="Q424" s="86"/>
      <c r="R424" s="86"/>
      <c r="S424" s="86"/>
      <c r="T424" s="86"/>
      <c r="U424" s="142" t="str">
        <f t="shared" si="175"/>
        <v/>
      </c>
      <c r="V424" s="88"/>
      <c r="W424" s="88"/>
      <c r="X424" s="88"/>
      <c r="Y424" s="88"/>
      <c r="Z424" s="88"/>
      <c r="AA424" s="88"/>
      <c r="AB424" s="88"/>
      <c r="AC424" s="88"/>
      <c r="AD424" s="142" t="str">
        <f t="shared" si="176"/>
        <v/>
      </c>
      <c r="AE424" s="88"/>
      <c r="AF424" s="88"/>
      <c r="AG424" s="88"/>
      <c r="AH424" s="88"/>
      <c r="AI424" s="88"/>
      <c r="AJ424" s="88"/>
      <c r="AK424" s="88"/>
      <c r="AL424" s="88"/>
      <c r="AM424" s="88">
        <v>41.043478260869563</v>
      </c>
      <c r="AN424" s="88">
        <v>115</v>
      </c>
      <c r="AO424" s="89"/>
      <c r="AP424" s="90"/>
      <c r="AQ424" s="146" t="str">
        <f t="shared" si="177"/>
        <v/>
      </c>
      <c r="AR424" s="146" t="str">
        <f t="shared" si="178"/>
        <v/>
      </c>
      <c r="AS424" s="147"/>
      <c r="AT424" s="148"/>
      <c r="AU424" s="149"/>
      <c r="AV424" s="146" t="str">
        <f t="shared" si="179"/>
        <v/>
      </c>
      <c r="AW424" s="146" t="str">
        <f t="shared" si="180"/>
        <v/>
      </c>
      <c r="AX424" s="138" t="str">
        <f t="shared" si="181"/>
        <v/>
      </c>
      <c r="AY424" s="95"/>
      <c r="AZ424" s="96"/>
      <c r="BA424" s="96"/>
      <c r="BB424" s="96"/>
      <c r="BC424" s="96"/>
      <c r="BD424" s="97">
        <v>115</v>
      </c>
      <c r="BE424" s="142">
        <f t="shared" si="182"/>
        <v>8473</v>
      </c>
      <c r="BF424" s="88">
        <v>1976</v>
      </c>
      <c r="BG424" s="98">
        <v>0</v>
      </c>
      <c r="BH424" s="98">
        <v>0</v>
      </c>
      <c r="BI424" s="98">
        <v>6497</v>
      </c>
      <c r="BJ424" s="98"/>
      <c r="BK424" s="98"/>
      <c r="BL424" s="97"/>
    </row>
    <row r="425" spans="1:64" outlineLevel="5" x14ac:dyDescent="0.3">
      <c r="A425" s="152">
        <f t="shared" si="168"/>
        <v>12</v>
      </c>
      <c r="B425" s="153">
        <f t="shared" si="183"/>
        <v>45656</v>
      </c>
      <c r="C425" s="138">
        <f t="shared" si="173"/>
        <v>36.4</v>
      </c>
      <c r="D425" s="186">
        <v>35.200000000000003</v>
      </c>
      <c r="E425" s="186">
        <v>37.5</v>
      </c>
      <c r="F425" s="84"/>
      <c r="G425" s="84"/>
      <c r="H425" s="84"/>
      <c r="I425" s="84"/>
      <c r="J425" s="84"/>
      <c r="K425" s="84"/>
      <c r="L425" s="140" t="str">
        <f t="shared" si="174"/>
        <v/>
      </c>
      <c r="M425" s="86"/>
      <c r="N425" s="86"/>
      <c r="O425" s="86"/>
      <c r="P425" s="86"/>
      <c r="Q425" s="86"/>
      <c r="R425" s="86"/>
      <c r="S425" s="86"/>
      <c r="T425" s="86"/>
      <c r="U425" s="142">
        <f t="shared" si="175"/>
        <v>1303</v>
      </c>
      <c r="V425" s="88">
        <v>1050</v>
      </c>
      <c r="W425" s="88">
        <v>1556</v>
      </c>
      <c r="X425" s="88"/>
      <c r="Y425" s="88"/>
      <c r="Z425" s="88"/>
      <c r="AA425" s="88"/>
      <c r="AB425" s="88"/>
      <c r="AC425" s="88"/>
      <c r="AD425" s="142">
        <f t="shared" si="176"/>
        <v>13635</v>
      </c>
      <c r="AE425" s="88">
        <v>14480</v>
      </c>
      <c r="AF425" s="88">
        <v>12790</v>
      </c>
      <c r="AG425" s="88"/>
      <c r="AH425" s="88"/>
      <c r="AI425" s="88"/>
      <c r="AJ425" s="88"/>
      <c r="AK425" s="88"/>
      <c r="AL425" s="88"/>
      <c r="AM425" s="88">
        <v>46.147829487680873</v>
      </c>
      <c r="AN425" s="88">
        <v>102.28</v>
      </c>
      <c r="AO425" s="89">
        <v>20.2</v>
      </c>
      <c r="AP425" s="90">
        <v>18</v>
      </c>
      <c r="AQ425" s="146">
        <f t="shared" si="177"/>
        <v>89.10891089108911</v>
      </c>
      <c r="AR425" s="146">
        <f t="shared" si="178"/>
        <v>10.89108910891089</v>
      </c>
      <c r="AS425" s="147"/>
      <c r="AT425" s="148">
        <v>13</v>
      </c>
      <c r="AU425" s="149">
        <v>7.6999999999999993</v>
      </c>
      <c r="AV425" s="146">
        <f t="shared" si="179"/>
        <v>59.230769230769219</v>
      </c>
      <c r="AW425" s="146">
        <f t="shared" si="180"/>
        <v>40.769230769230781</v>
      </c>
      <c r="AX425" s="138">
        <f t="shared" si="181"/>
        <v>82.24318658280923</v>
      </c>
      <c r="AY425" s="95">
        <v>77.45</v>
      </c>
      <c r="AZ425" s="96"/>
      <c r="BA425" s="96"/>
      <c r="BB425" s="96"/>
      <c r="BC425" s="96"/>
      <c r="BD425" s="97">
        <v>102.28</v>
      </c>
      <c r="BE425" s="142">
        <f t="shared" si="182"/>
        <v>7850</v>
      </c>
      <c r="BF425" s="88">
        <v>1043</v>
      </c>
      <c r="BG425" s="98">
        <v>0</v>
      </c>
      <c r="BH425" s="98">
        <v>41</v>
      </c>
      <c r="BI425" s="98">
        <v>6766</v>
      </c>
      <c r="BJ425" s="98"/>
      <c r="BK425" s="98"/>
      <c r="BL425" s="97"/>
    </row>
    <row r="426" spans="1:64" ht="17.25" outlineLevel="5" thickBot="1" x14ac:dyDescent="0.35">
      <c r="A426" s="169">
        <f t="shared" si="168"/>
        <v>12</v>
      </c>
      <c r="B426" s="170">
        <f t="shared" si="183"/>
        <v>45657</v>
      </c>
      <c r="C426" s="138" t="str">
        <f t="shared" si="173"/>
        <v/>
      </c>
      <c r="D426" s="186"/>
      <c r="E426" s="186"/>
      <c r="F426" s="171"/>
      <c r="G426" s="171"/>
      <c r="H426" s="171"/>
      <c r="I426" s="171"/>
      <c r="J426" s="171"/>
      <c r="K426" s="171"/>
      <c r="L426" s="140" t="str">
        <f t="shared" si="174"/>
        <v/>
      </c>
      <c r="M426" s="172"/>
      <c r="N426" s="172"/>
      <c r="O426" s="172"/>
      <c r="P426" s="172"/>
      <c r="Q426" s="172"/>
      <c r="R426" s="172"/>
      <c r="S426" s="172"/>
      <c r="T426" s="172"/>
      <c r="U426" s="142" t="str">
        <f t="shared" si="175"/>
        <v/>
      </c>
      <c r="V426" s="107"/>
      <c r="W426" s="107"/>
      <c r="X426" s="107"/>
      <c r="Y426" s="107"/>
      <c r="Z426" s="107"/>
      <c r="AA426" s="107"/>
      <c r="AB426" s="107"/>
      <c r="AC426" s="107"/>
      <c r="AD426" s="142" t="str">
        <f t="shared" si="176"/>
        <v/>
      </c>
      <c r="AE426" s="107"/>
      <c r="AF426" s="107"/>
      <c r="AG426" s="107"/>
      <c r="AH426" s="107"/>
      <c r="AI426" s="107"/>
      <c r="AJ426" s="107"/>
      <c r="AK426" s="107"/>
      <c r="AL426" s="107"/>
      <c r="AM426" s="107">
        <v>30.223474418902477</v>
      </c>
      <c r="AN426" s="107">
        <v>156.17000000000002</v>
      </c>
      <c r="AO426" s="173"/>
      <c r="AP426" s="174"/>
      <c r="AQ426" s="146" t="str">
        <f t="shared" si="177"/>
        <v/>
      </c>
      <c r="AR426" s="146" t="str">
        <f t="shared" si="178"/>
        <v/>
      </c>
      <c r="AS426" s="147"/>
      <c r="AT426" s="148"/>
      <c r="AU426" s="149"/>
      <c r="AV426" s="146" t="str">
        <f t="shared" si="179"/>
        <v/>
      </c>
      <c r="AW426" s="146" t="str">
        <f t="shared" si="180"/>
        <v/>
      </c>
      <c r="AX426" s="138" t="str">
        <f t="shared" si="181"/>
        <v/>
      </c>
      <c r="AY426" s="175"/>
      <c r="AZ426" s="176">
        <v>60.025000000000006</v>
      </c>
      <c r="BA426" s="176"/>
      <c r="BB426" s="176">
        <v>47.5</v>
      </c>
      <c r="BC426" s="176"/>
      <c r="BD426" s="116">
        <v>156.17000000000002</v>
      </c>
      <c r="BE426" s="142">
        <f t="shared" si="182"/>
        <v>11143</v>
      </c>
      <c r="BF426" s="107">
        <v>1601</v>
      </c>
      <c r="BG426" s="118">
        <v>0</v>
      </c>
      <c r="BH426" s="118">
        <v>2961</v>
      </c>
      <c r="BI426" s="118">
        <v>6581</v>
      </c>
      <c r="BJ426" s="118"/>
      <c r="BK426" s="118"/>
      <c r="BL426" s="116"/>
    </row>
    <row r="427" spans="1:64" outlineLevel="4" x14ac:dyDescent="0.3">
      <c r="A427" s="63" t="s">
        <v>101</v>
      </c>
      <c r="B427" s="64"/>
      <c r="C427" s="65">
        <f t="shared" ref="C427:BL427" si="184">SUBTOTAL(4,C396:C426)</f>
        <v>39</v>
      </c>
      <c r="D427" s="66">
        <f t="shared" si="184"/>
        <v>38.200000000000003</v>
      </c>
      <c r="E427" s="66">
        <f t="shared" si="184"/>
        <v>39.799999999999997</v>
      </c>
      <c r="F427" s="66">
        <f t="shared" si="184"/>
        <v>0</v>
      </c>
      <c r="G427" s="66">
        <f t="shared" si="184"/>
        <v>0</v>
      </c>
      <c r="H427" s="66">
        <f t="shared" si="184"/>
        <v>0</v>
      </c>
      <c r="I427" s="66">
        <f t="shared" si="184"/>
        <v>0</v>
      </c>
      <c r="J427" s="66">
        <f t="shared" si="184"/>
        <v>0</v>
      </c>
      <c r="K427" s="66">
        <f t="shared" si="184"/>
        <v>0</v>
      </c>
      <c r="L427" s="67">
        <f t="shared" si="184"/>
        <v>0</v>
      </c>
      <c r="M427" s="68">
        <f t="shared" si="184"/>
        <v>0</v>
      </c>
      <c r="N427" s="68">
        <f t="shared" si="184"/>
        <v>0</v>
      </c>
      <c r="O427" s="68">
        <f t="shared" si="184"/>
        <v>0</v>
      </c>
      <c r="P427" s="68">
        <f t="shared" si="184"/>
        <v>0</v>
      </c>
      <c r="Q427" s="68">
        <f t="shared" si="184"/>
        <v>0</v>
      </c>
      <c r="R427" s="68">
        <f t="shared" si="184"/>
        <v>0</v>
      </c>
      <c r="S427" s="68">
        <f t="shared" si="184"/>
        <v>0</v>
      </c>
      <c r="T427" s="68">
        <f t="shared" si="184"/>
        <v>0</v>
      </c>
      <c r="U427" s="69">
        <f t="shared" si="184"/>
        <v>1303</v>
      </c>
      <c r="V427" s="70">
        <f t="shared" si="184"/>
        <v>1437</v>
      </c>
      <c r="W427" s="70">
        <f t="shared" si="184"/>
        <v>1556</v>
      </c>
      <c r="X427" s="70">
        <f t="shared" si="184"/>
        <v>0</v>
      </c>
      <c r="Y427" s="70">
        <f t="shared" si="184"/>
        <v>0</v>
      </c>
      <c r="Z427" s="70">
        <f t="shared" si="184"/>
        <v>0</v>
      </c>
      <c r="AA427" s="70">
        <f t="shared" si="184"/>
        <v>0</v>
      </c>
      <c r="AB427" s="70">
        <f t="shared" si="184"/>
        <v>0</v>
      </c>
      <c r="AC427" s="70">
        <f t="shared" si="184"/>
        <v>0</v>
      </c>
      <c r="AD427" s="69">
        <f t="shared" si="184"/>
        <v>20060</v>
      </c>
      <c r="AE427" s="70">
        <f t="shared" si="184"/>
        <v>19910</v>
      </c>
      <c r="AF427" s="70">
        <f t="shared" si="184"/>
        <v>20210</v>
      </c>
      <c r="AG427" s="70">
        <f t="shared" si="184"/>
        <v>0</v>
      </c>
      <c r="AH427" s="70">
        <f t="shared" si="184"/>
        <v>0</v>
      </c>
      <c r="AI427" s="70">
        <f t="shared" si="184"/>
        <v>0</v>
      </c>
      <c r="AJ427" s="70">
        <f t="shared" si="184"/>
        <v>0</v>
      </c>
      <c r="AK427" s="70">
        <f t="shared" si="184"/>
        <v>0</v>
      </c>
      <c r="AL427" s="70">
        <f t="shared" si="184"/>
        <v>0</v>
      </c>
      <c r="AM427" s="70">
        <f t="shared" si="184"/>
        <v>67.083570210346792</v>
      </c>
      <c r="AN427" s="70">
        <f t="shared" si="184"/>
        <v>156.17000000000002</v>
      </c>
      <c r="AO427" s="71">
        <f t="shared" si="184"/>
        <v>21.4</v>
      </c>
      <c r="AP427" s="72">
        <f t="shared" si="184"/>
        <v>18</v>
      </c>
      <c r="AQ427" s="73">
        <f t="shared" si="184"/>
        <v>89.10891089108911</v>
      </c>
      <c r="AR427" s="73">
        <f t="shared" si="184"/>
        <v>24.766355140186903</v>
      </c>
      <c r="AS427" s="74">
        <f t="shared" si="184"/>
        <v>0</v>
      </c>
      <c r="AT427" s="75">
        <f t="shared" si="184"/>
        <v>14.5</v>
      </c>
      <c r="AU427" s="76">
        <f t="shared" si="184"/>
        <v>9.5500000000000007</v>
      </c>
      <c r="AV427" s="73">
        <f t="shared" si="184"/>
        <v>65.862068965517253</v>
      </c>
      <c r="AW427" s="73">
        <f t="shared" si="184"/>
        <v>40.769230769230781</v>
      </c>
      <c r="AX427" s="65">
        <f t="shared" si="184"/>
        <v>82.24318658280923</v>
      </c>
      <c r="AY427" s="77">
        <f t="shared" si="184"/>
        <v>77.8</v>
      </c>
      <c r="AZ427" s="78">
        <f t="shared" si="184"/>
        <v>61.555</v>
      </c>
      <c r="BA427" s="78">
        <f t="shared" si="184"/>
        <v>0</v>
      </c>
      <c r="BB427" s="78">
        <f t="shared" si="184"/>
        <v>49.5</v>
      </c>
      <c r="BC427" s="78">
        <f t="shared" si="184"/>
        <v>0</v>
      </c>
      <c r="BD427" s="79">
        <f t="shared" si="184"/>
        <v>156.17000000000002</v>
      </c>
      <c r="BE427" s="69">
        <f t="shared" si="184"/>
        <v>11143</v>
      </c>
      <c r="BF427" s="70">
        <f t="shared" si="184"/>
        <v>2611</v>
      </c>
      <c r="BG427" s="80">
        <f t="shared" si="184"/>
        <v>0</v>
      </c>
      <c r="BH427" s="80">
        <f t="shared" si="184"/>
        <v>2961</v>
      </c>
      <c r="BI427" s="80">
        <f t="shared" si="184"/>
        <v>6766</v>
      </c>
      <c r="BJ427" s="80">
        <f t="shared" si="184"/>
        <v>0</v>
      </c>
      <c r="BK427" s="80">
        <f t="shared" si="184"/>
        <v>0</v>
      </c>
      <c r="BL427" s="79">
        <f t="shared" si="184"/>
        <v>0</v>
      </c>
    </row>
    <row r="428" spans="1:64" outlineLevel="3" x14ac:dyDescent="0.3">
      <c r="A428" s="81" t="s">
        <v>102</v>
      </c>
      <c r="B428" s="82"/>
      <c r="C428" s="83">
        <f t="shared" ref="C428:BL428" si="185">SUBTOTAL(5,C396:C426)</f>
        <v>36.4</v>
      </c>
      <c r="D428" s="84">
        <f t="shared" si="185"/>
        <v>35.200000000000003</v>
      </c>
      <c r="E428" s="84">
        <f t="shared" si="185"/>
        <v>36.5</v>
      </c>
      <c r="F428" s="84">
        <f t="shared" si="185"/>
        <v>0</v>
      </c>
      <c r="G428" s="84">
        <f t="shared" si="185"/>
        <v>0</v>
      </c>
      <c r="H428" s="84">
        <f t="shared" si="185"/>
        <v>0</v>
      </c>
      <c r="I428" s="84">
        <f t="shared" si="185"/>
        <v>0</v>
      </c>
      <c r="J428" s="84">
        <f t="shared" si="185"/>
        <v>0</v>
      </c>
      <c r="K428" s="84">
        <f t="shared" si="185"/>
        <v>0</v>
      </c>
      <c r="L428" s="85">
        <f t="shared" si="185"/>
        <v>0</v>
      </c>
      <c r="M428" s="86">
        <f t="shared" si="185"/>
        <v>0</v>
      </c>
      <c r="N428" s="86">
        <f t="shared" si="185"/>
        <v>0</v>
      </c>
      <c r="O428" s="86">
        <f t="shared" si="185"/>
        <v>0</v>
      </c>
      <c r="P428" s="86">
        <f t="shared" si="185"/>
        <v>0</v>
      </c>
      <c r="Q428" s="86">
        <f t="shared" si="185"/>
        <v>0</v>
      </c>
      <c r="R428" s="86">
        <f t="shared" si="185"/>
        <v>0</v>
      </c>
      <c r="S428" s="86">
        <f t="shared" si="185"/>
        <v>0</v>
      </c>
      <c r="T428" s="86">
        <f t="shared" si="185"/>
        <v>0</v>
      </c>
      <c r="U428" s="87">
        <f t="shared" si="185"/>
        <v>650.5</v>
      </c>
      <c r="V428" s="88">
        <f t="shared" si="185"/>
        <v>623</v>
      </c>
      <c r="W428" s="88">
        <f t="shared" si="185"/>
        <v>669</v>
      </c>
      <c r="X428" s="88">
        <f t="shared" si="185"/>
        <v>0</v>
      </c>
      <c r="Y428" s="88">
        <f t="shared" si="185"/>
        <v>0</v>
      </c>
      <c r="Z428" s="88">
        <f t="shared" si="185"/>
        <v>0</v>
      </c>
      <c r="AA428" s="88">
        <f t="shared" si="185"/>
        <v>0</v>
      </c>
      <c r="AB428" s="88">
        <f t="shared" si="185"/>
        <v>0</v>
      </c>
      <c r="AC428" s="88">
        <f t="shared" si="185"/>
        <v>0</v>
      </c>
      <c r="AD428" s="87">
        <f t="shared" si="185"/>
        <v>12140</v>
      </c>
      <c r="AE428" s="88">
        <f t="shared" si="185"/>
        <v>12200</v>
      </c>
      <c r="AF428" s="88">
        <f t="shared" si="185"/>
        <v>11580</v>
      </c>
      <c r="AG428" s="88">
        <f t="shared" si="185"/>
        <v>0</v>
      </c>
      <c r="AH428" s="88">
        <f t="shared" si="185"/>
        <v>0</v>
      </c>
      <c r="AI428" s="88">
        <f t="shared" si="185"/>
        <v>0</v>
      </c>
      <c r="AJ428" s="88">
        <f t="shared" si="185"/>
        <v>0</v>
      </c>
      <c r="AK428" s="88">
        <f t="shared" si="185"/>
        <v>0</v>
      </c>
      <c r="AL428" s="88">
        <f t="shared" si="185"/>
        <v>0</v>
      </c>
      <c r="AM428" s="88">
        <f t="shared" si="185"/>
        <v>30.223474418902477</v>
      </c>
      <c r="AN428" s="88">
        <f t="shared" si="185"/>
        <v>70.36</v>
      </c>
      <c r="AO428" s="89">
        <f t="shared" si="185"/>
        <v>19.899999999999999</v>
      </c>
      <c r="AP428" s="90">
        <f t="shared" si="185"/>
        <v>16.100000000000001</v>
      </c>
      <c r="AQ428" s="91">
        <f t="shared" si="185"/>
        <v>75.233644859813097</v>
      </c>
      <c r="AR428" s="91">
        <f t="shared" si="185"/>
        <v>10.89108910891089</v>
      </c>
      <c r="AS428" s="92">
        <f t="shared" si="185"/>
        <v>0</v>
      </c>
      <c r="AT428" s="93">
        <f t="shared" si="185"/>
        <v>12.75</v>
      </c>
      <c r="AU428" s="94">
        <f t="shared" si="185"/>
        <v>7.6999999999999993</v>
      </c>
      <c r="AV428" s="91">
        <f t="shared" si="185"/>
        <v>59.230769230769219</v>
      </c>
      <c r="AW428" s="91">
        <f t="shared" si="185"/>
        <v>34.137931034482747</v>
      </c>
      <c r="AX428" s="83">
        <f t="shared" si="185"/>
        <v>43.708074534161533</v>
      </c>
      <c r="AY428" s="95">
        <f t="shared" si="185"/>
        <v>75.150000000000006</v>
      </c>
      <c r="AZ428" s="96">
        <f t="shared" si="185"/>
        <v>60.025000000000006</v>
      </c>
      <c r="BA428" s="96">
        <f t="shared" si="185"/>
        <v>0</v>
      </c>
      <c r="BB428" s="96">
        <f t="shared" si="185"/>
        <v>33.5</v>
      </c>
      <c r="BC428" s="96">
        <f t="shared" si="185"/>
        <v>0</v>
      </c>
      <c r="BD428" s="97">
        <f t="shared" si="185"/>
        <v>70.36</v>
      </c>
      <c r="BE428" s="87">
        <f t="shared" si="185"/>
        <v>6360</v>
      </c>
      <c r="BF428" s="88">
        <f t="shared" si="185"/>
        <v>1043</v>
      </c>
      <c r="BG428" s="98">
        <f t="shared" si="185"/>
        <v>0</v>
      </c>
      <c r="BH428" s="98">
        <f t="shared" si="185"/>
        <v>0</v>
      </c>
      <c r="BI428" s="98">
        <f t="shared" si="185"/>
        <v>4075</v>
      </c>
      <c r="BJ428" s="98">
        <f t="shared" si="185"/>
        <v>0</v>
      </c>
      <c r="BK428" s="98">
        <f t="shared" si="185"/>
        <v>0</v>
      </c>
      <c r="BL428" s="97">
        <f t="shared" si="185"/>
        <v>0</v>
      </c>
    </row>
    <row r="429" spans="1:64" outlineLevel="2" x14ac:dyDescent="0.3">
      <c r="A429" s="81" t="s">
        <v>103</v>
      </c>
      <c r="B429" s="82"/>
      <c r="C429" s="83">
        <f t="shared" ref="C429:BL429" si="186">IFERROR(SUBTOTAL(1,C396:C426),"")</f>
        <v>37.322222222222216</v>
      </c>
      <c r="D429" s="84">
        <f t="shared" si="186"/>
        <v>36.677777777777777</v>
      </c>
      <c r="E429" s="84">
        <f t="shared" si="186"/>
        <v>37.933333333333337</v>
      </c>
      <c r="F429" s="84" t="str">
        <f t="shared" si="186"/>
        <v/>
      </c>
      <c r="G429" s="84" t="str">
        <f t="shared" si="186"/>
        <v/>
      </c>
      <c r="H429" s="84" t="str">
        <f t="shared" si="186"/>
        <v/>
      </c>
      <c r="I429" s="84" t="str">
        <f t="shared" si="186"/>
        <v/>
      </c>
      <c r="J429" s="84" t="str">
        <f t="shared" si="186"/>
        <v/>
      </c>
      <c r="K429" s="84" t="str">
        <f t="shared" si="186"/>
        <v/>
      </c>
      <c r="L429" s="85" t="str">
        <f t="shared" si="186"/>
        <v/>
      </c>
      <c r="M429" s="86" t="str">
        <f t="shared" si="186"/>
        <v/>
      </c>
      <c r="N429" s="86" t="str">
        <f t="shared" si="186"/>
        <v/>
      </c>
      <c r="O429" s="86" t="str">
        <f t="shared" si="186"/>
        <v/>
      </c>
      <c r="P429" s="86" t="str">
        <f t="shared" si="186"/>
        <v/>
      </c>
      <c r="Q429" s="86" t="str">
        <f t="shared" si="186"/>
        <v/>
      </c>
      <c r="R429" s="86" t="str">
        <f t="shared" si="186"/>
        <v/>
      </c>
      <c r="S429" s="86" t="str">
        <f t="shared" si="186"/>
        <v/>
      </c>
      <c r="T429" s="86" t="str">
        <f t="shared" si="186"/>
        <v/>
      </c>
      <c r="U429" s="87">
        <f t="shared" si="186"/>
        <v>918.4</v>
      </c>
      <c r="V429" s="88">
        <f t="shared" si="186"/>
        <v>873</v>
      </c>
      <c r="W429" s="88">
        <f t="shared" si="186"/>
        <v>963.8</v>
      </c>
      <c r="X429" s="88" t="str">
        <f t="shared" si="186"/>
        <v/>
      </c>
      <c r="Y429" s="88" t="str">
        <f t="shared" si="186"/>
        <v/>
      </c>
      <c r="Z429" s="88" t="str">
        <f t="shared" si="186"/>
        <v/>
      </c>
      <c r="AA429" s="88" t="str">
        <f t="shared" si="186"/>
        <v/>
      </c>
      <c r="AB429" s="88" t="str">
        <f t="shared" si="186"/>
        <v/>
      </c>
      <c r="AC429" s="88" t="str">
        <f t="shared" si="186"/>
        <v/>
      </c>
      <c r="AD429" s="87">
        <f t="shared" si="186"/>
        <v>14817</v>
      </c>
      <c r="AE429" s="88">
        <f t="shared" si="186"/>
        <v>15276</v>
      </c>
      <c r="AF429" s="88">
        <f t="shared" si="186"/>
        <v>14358</v>
      </c>
      <c r="AG429" s="88" t="str">
        <f t="shared" si="186"/>
        <v/>
      </c>
      <c r="AH429" s="88" t="str">
        <f t="shared" si="186"/>
        <v/>
      </c>
      <c r="AI429" s="88" t="str">
        <f t="shared" si="186"/>
        <v/>
      </c>
      <c r="AJ429" s="88" t="str">
        <f t="shared" si="186"/>
        <v/>
      </c>
      <c r="AK429" s="88" t="str">
        <f t="shared" si="186"/>
        <v/>
      </c>
      <c r="AL429" s="88" t="str">
        <f t="shared" si="186"/>
        <v/>
      </c>
      <c r="AM429" s="88">
        <f t="shared" si="186"/>
        <v>41.702800648844104</v>
      </c>
      <c r="AN429" s="88">
        <f t="shared" si="186"/>
        <v>117.09483870967745</v>
      </c>
      <c r="AO429" s="89">
        <f t="shared" si="186"/>
        <v>20.65</v>
      </c>
      <c r="AP429" s="90">
        <f t="shared" si="186"/>
        <v>17.175000000000001</v>
      </c>
      <c r="AQ429" s="91">
        <f t="shared" si="186"/>
        <v>83.331227067950138</v>
      </c>
      <c r="AR429" s="91">
        <f t="shared" si="186"/>
        <v>16.668772932049865</v>
      </c>
      <c r="AS429" s="92" t="str">
        <f t="shared" si="186"/>
        <v/>
      </c>
      <c r="AT429" s="93">
        <f t="shared" si="186"/>
        <v>13.45</v>
      </c>
      <c r="AU429" s="94">
        <f t="shared" si="186"/>
        <v>8.4250000000000007</v>
      </c>
      <c r="AV429" s="91">
        <f t="shared" si="186"/>
        <v>62.538313376580483</v>
      </c>
      <c r="AW429" s="91">
        <f t="shared" si="186"/>
        <v>37.461686623419517</v>
      </c>
      <c r="AX429" s="83">
        <f t="shared" si="186"/>
        <v>64.620717130176729</v>
      </c>
      <c r="AY429" s="95">
        <f t="shared" si="186"/>
        <v>76.52</v>
      </c>
      <c r="AZ429" s="96">
        <f t="shared" si="186"/>
        <v>60.803571428571431</v>
      </c>
      <c r="BA429" s="96" t="str">
        <f t="shared" si="186"/>
        <v/>
      </c>
      <c r="BB429" s="96">
        <f t="shared" si="186"/>
        <v>42.928571428571431</v>
      </c>
      <c r="BC429" s="96" t="str">
        <f t="shared" si="186"/>
        <v/>
      </c>
      <c r="BD429" s="97">
        <f>IFERROR(SUBTOTAL(1,BD396:BD426),"")</f>
        <v>117.09483870967745</v>
      </c>
      <c r="BE429" s="87">
        <f t="shared" si="186"/>
        <v>8510.0967741935492</v>
      </c>
      <c r="BF429" s="88">
        <f t="shared" si="186"/>
        <v>2086.1290322580644</v>
      </c>
      <c r="BG429" s="98">
        <f t="shared" si="186"/>
        <v>0</v>
      </c>
      <c r="BH429" s="98">
        <f t="shared" si="186"/>
        <v>99.870967741935488</v>
      </c>
      <c r="BI429" s="98">
        <f t="shared" si="186"/>
        <v>6324.0967741935483</v>
      </c>
      <c r="BJ429" s="98" t="str">
        <f t="shared" si="186"/>
        <v/>
      </c>
      <c r="BK429" s="98" t="str">
        <f t="shared" si="186"/>
        <v/>
      </c>
      <c r="BL429" s="97" t="str">
        <f t="shared" si="186"/>
        <v/>
      </c>
    </row>
    <row r="430" spans="1:64" ht="17.25" outlineLevel="1" thickBot="1" x14ac:dyDescent="0.35">
      <c r="A430" s="99" t="s">
        <v>104</v>
      </c>
      <c r="B430" s="100"/>
      <c r="C430" s="101"/>
      <c r="D430" s="102"/>
      <c r="E430" s="102"/>
      <c r="F430" s="102"/>
      <c r="G430" s="102"/>
      <c r="H430" s="102"/>
      <c r="I430" s="102"/>
      <c r="J430" s="102"/>
      <c r="K430" s="102"/>
      <c r="L430" s="103"/>
      <c r="M430" s="104"/>
      <c r="N430" s="104"/>
      <c r="O430" s="104"/>
      <c r="P430" s="104"/>
      <c r="Q430" s="104"/>
      <c r="R430" s="104"/>
      <c r="S430" s="104"/>
      <c r="T430" s="104"/>
      <c r="U430" s="105"/>
      <c r="V430" s="106"/>
      <c r="W430" s="106"/>
      <c r="X430" s="106"/>
      <c r="Y430" s="106"/>
      <c r="Z430" s="106"/>
      <c r="AA430" s="106"/>
      <c r="AB430" s="106"/>
      <c r="AC430" s="106"/>
      <c r="AD430" s="105"/>
      <c r="AE430" s="106"/>
      <c r="AF430" s="106"/>
      <c r="AG430" s="106"/>
      <c r="AH430" s="106"/>
      <c r="AI430" s="106"/>
      <c r="AJ430" s="106"/>
      <c r="AK430" s="106"/>
      <c r="AL430" s="106"/>
      <c r="AM430" s="106"/>
      <c r="AN430" s="107">
        <f>SUBTOTAL(9,AN396:AN426)</f>
        <v>3629.940000000001</v>
      </c>
      <c r="AO430" s="108"/>
      <c r="AP430" s="109"/>
      <c r="AQ430" s="110"/>
      <c r="AR430" s="110"/>
      <c r="AS430" s="111">
        <f>SUBTOTAL(9,AS396:AS426)</f>
        <v>0</v>
      </c>
      <c r="AT430" s="112"/>
      <c r="AU430" s="113"/>
      <c r="AV430" s="110"/>
      <c r="AW430" s="110"/>
      <c r="AX430" s="101"/>
      <c r="AY430" s="114"/>
      <c r="AZ430" s="115"/>
      <c r="BA430" s="115"/>
      <c r="BB430" s="115"/>
      <c r="BC430" s="115"/>
      <c r="BD430" s="116">
        <f>SUBTOTAL(9,BD396:BD426)</f>
        <v>3629.940000000001</v>
      </c>
      <c r="BE430" s="117">
        <f t="shared" ref="BE430:BL430" si="187">SUBTOTAL(9,BE396:BE426)</f>
        <v>263813</v>
      </c>
      <c r="BF430" s="107">
        <f t="shared" si="187"/>
        <v>64670</v>
      </c>
      <c r="BG430" s="118">
        <f t="shared" si="187"/>
        <v>0</v>
      </c>
      <c r="BH430" s="118">
        <f t="shared" si="187"/>
        <v>3096</v>
      </c>
      <c r="BI430" s="118">
        <f t="shared" si="187"/>
        <v>196047</v>
      </c>
      <c r="BJ430" s="118">
        <f t="shared" si="187"/>
        <v>0</v>
      </c>
      <c r="BK430" s="118">
        <f t="shared" si="187"/>
        <v>0</v>
      </c>
      <c r="BL430" s="116">
        <f t="shared" si="187"/>
        <v>0</v>
      </c>
    </row>
    <row r="431" spans="1:64" outlineLevel="1" x14ac:dyDescent="0.3">
      <c r="A431" s="177"/>
      <c r="B431" s="177"/>
      <c r="C431" s="178"/>
      <c r="D431" s="178"/>
      <c r="E431" s="178"/>
      <c r="F431" s="178"/>
      <c r="G431" s="178"/>
      <c r="H431" s="178"/>
      <c r="I431" s="178"/>
      <c r="J431" s="178"/>
      <c r="K431" s="178"/>
      <c r="L431" s="127"/>
      <c r="M431" s="127"/>
      <c r="N431" s="127"/>
      <c r="O431" s="127"/>
      <c r="P431" s="127"/>
      <c r="Q431" s="127"/>
      <c r="R431" s="127"/>
      <c r="S431" s="127"/>
      <c r="T431" s="127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30"/>
      <c r="AP431" s="130"/>
      <c r="AQ431" s="130"/>
      <c r="AR431" s="130"/>
      <c r="AS431" s="179"/>
      <c r="AT431" s="180"/>
      <c r="AU431" s="180"/>
      <c r="AV431" s="130"/>
      <c r="AW431" s="130"/>
      <c r="AX431" s="178"/>
      <c r="AY431" s="127"/>
      <c r="AZ431" s="127"/>
      <c r="BA431" s="127"/>
      <c r="BB431" s="127"/>
      <c r="BC431" s="127"/>
      <c r="BD431" s="129"/>
      <c r="BE431" s="129"/>
      <c r="BF431" s="129"/>
      <c r="BG431" s="129"/>
      <c r="BH431" s="129"/>
      <c r="BI431" s="129"/>
      <c r="BJ431" s="129"/>
      <c r="BK431" s="129"/>
      <c r="BL431" s="129"/>
    </row>
  </sheetData>
  <mergeCells count="110">
    <mergeCell ref="A429:B429"/>
    <mergeCell ref="A430:B430"/>
    <mergeCell ref="A392:B392"/>
    <mergeCell ref="A393:B393"/>
    <mergeCell ref="A394:B394"/>
    <mergeCell ref="A395:B395"/>
    <mergeCell ref="A427:B427"/>
    <mergeCell ref="A428:B428"/>
    <mergeCell ref="A325:B325"/>
    <mergeCell ref="A326:B326"/>
    <mergeCell ref="A358:B358"/>
    <mergeCell ref="A359:B359"/>
    <mergeCell ref="A360:B360"/>
    <mergeCell ref="A361:B361"/>
    <mergeCell ref="A289:B289"/>
    <mergeCell ref="A290:B290"/>
    <mergeCell ref="A291:B291"/>
    <mergeCell ref="A292:B292"/>
    <mergeCell ref="A323:B323"/>
    <mergeCell ref="A324:B324"/>
    <mergeCell ref="A221:B221"/>
    <mergeCell ref="A222:B222"/>
    <mergeCell ref="A254:B254"/>
    <mergeCell ref="A255:B255"/>
    <mergeCell ref="A256:B256"/>
    <mergeCell ref="A257:B257"/>
    <mergeCell ref="A185:B185"/>
    <mergeCell ref="A186:B186"/>
    <mergeCell ref="A187:B187"/>
    <mergeCell ref="A188:B188"/>
    <mergeCell ref="A219:B219"/>
    <mergeCell ref="A220:B220"/>
    <mergeCell ref="A118:B118"/>
    <mergeCell ref="A119:B119"/>
    <mergeCell ref="A150:B150"/>
    <mergeCell ref="A151:B151"/>
    <mergeCell ref="A152:B152"/>
    <mergeCell ref="A153:B153"/>
    <mergeCell ref="A81:B81"/>
    <mergeCell ref="A82:B82"/>
    <mergeCell ref="A83:B83"/>
    <mergeCell ref="A84:B84"/>
    <mergeCell ref="A116:B116"/>
    <mergeCell ref="A117:B117"/>
    <mergeCell ref="BK15:BK16"/>
    <mergeCell ref="BL15:BL16"/>
    <mergeCell ref="A48:B48"/>
    <mergeCell ref="A49:B49"/>
    <mergeCell ref="A50:B50"/>
    <mergeCell ref="A51:B51"/>
    <mergeCell ref="BE15:BE16"/>
    <mergeCell ref="BF15:BF16"/>
    <mergeCell ref="BG15:BG16"/>
    <mergeCell ref="BH15:BH16"/>
    <mergeCell ref="BI15:BI16"/>
    <mergeCell ref="BJ15:BJ16"/>
    <mergeCell ref="AV15:AV16"/>
    <mergeCell ref="AW15:AW16"/>
    <mergeCell ref="AX15:AX16"/>
    <mergeCell ref="AY15:AY16"/>
    <mergeCell ref="AZ15:BC15"/>
    <mergeCell ref="BD15:BD16"/>
    <mergeCell ref="AP15:AP16"/>
    <mergeCell ref="AQ15:AQ16"/>
    <mergeCell ref="AR15:AR16"/>
    <mergeCell ref="AS15:AS16"/>
    <mergeCell ref="AT15:AT16"/>
    <mergeCell ref="AU15:AU16"/>
    <mergeCell ref="L15:T15"/>
    <mergeCell ref="U15:AC15"/>
    <mergeCell ref="AD15:AL15"/>
    <mergeCell ref="AM15:AM16"/>
    <mergeCell ref="AN15:AN16"/>
    <mergeCell ref="AO15:AO16"/>
    <mergeCell ref="A10:B10"/>
    <mergeCell ref="A11:B11"/>
    <mergeCell ref="A12:B12"/>
    <mergeCell ref="A15:A16"/>
    <mergeCell ref="B15:B16"/>
    <mergeCell ref="C15:K15"/>
    <mergeCell ref="BI6:BI7"/>
    <mergeCell ref="BJ6:BJ7"/>
    <mergeCell ref="BK6:BK7"/>
    <mergeCell ref="BL6:BL7"/>
    <mergeCell ref="A8:B8"/>
    <mergeCell ref="A9:B9"/>
    <mergeCell ref="AZ6:BC6"/>
    <mergeCell ref="BD6:BD7"/>
    <mergeCell ref="BE6:BE7"/>
    <mergeCell ref="BF6:BF7"/>
    <mergeCell ref="BG6:BG7"/>
    <mergeCell ref="BH6:BH7"/>
    <mergeCell ref="AT6:AT7"/>
    <mergeCell ref="AU6:AU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  <mergeCell ref="A6:B7"/>
    <mergeCell ref="C6:K6"/>
    <mergeCell ref="L6:T6"/>
    <mergeCell ref="U6:AC6"/>
    <mergeCell ref="AD6:AL6"/>
    <mergeCell ref="AM6:AM7"/>
  </mergeCells>
  <phoneticPr fontId="3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43" fitToHeight="0" orientation="landscape" horizontalDpi="1200" r:id="rId1"/>
  <rowBreaks count="11" manualBreakCount="11">
    <brk id="51" max="16383" man="1"/>
    <brk id="84" max="16383" man="1"/>
    <brk id="119" max="16383" man="1"/>
    <brk id="153" max="16383" man="1"/>
    <brk id="188" max="16383" man="1"/>
    <brk id="222" max="16383" man="1"/>
    <brk id="257" max="16383" man="1"/>
    <brk id="292" max="16383" man="1"/>
    <brk id="326" max="19" man="1"/>
    <brk id="361" max="16383" man="1"/>
    <brk id="395" max="19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24B17A1A86CED4EA1D04B6447AEFBA6" ma:contentTypeVersion="15" ma:contentTypeDescription="새 문서를 만듭니다." ma:contentTypeScope="" ma:versionID="4231d192995e773447eed5778dc635b6">
  <xsd:schema xmlns:xsd="http://www.w3.org/2001/XMLSchema" xmlns:xs="http://www.w3.org/2001/XMLSchema" xmlns:p="http://schemas.microsoft.com/office/2006/metadata/properties" xmlns:ns3="56adb9f4-aea3-4bfc-a4e5-4f78b36c5939" targetNamespace="http://schemas.microsoft.com/office/2006/metadata/properties" ma:root="true" ma:fieldsID="55f7a1e9f895f7b1e50e0609f0e40f72" ns3:_="">
    <xsd:import namespace="56adb9f4-aea3-4bfc-a4e5-4f78b36c593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adb9f4-aea3-4bfc-a4e5-4f78b36c59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6adb9f4-aea3-4bfc-a4e5-4f78b36c5939" xsi:nil="true"/>
  </documentManagement>
</p:properties>
</file>

<file path=customXml/itemProps1.xml><?xml version="1.0" encoding="utf-8"?>
<ds:datastoreItem xmlns:ds="http://schemas.openxmlformats.org/officeDocument/2006/customXml" ds:itemID="{CF4A7906-D30C-48CE-80CF-DC1E8C3282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adb9f4-aea3-4bfc-a4e5-4f78b36c59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7E036F-5B98-43F1-9B67-9857167049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098475-C9E6-4B71-AC27-22427756600B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56adb9f4-aea3-4bfc-a4e5-4f78b36c5939"/>
    <ds:schemaRef ds:uri="http://schemas.microsoft.com/office/infopath/2007/PartnerControl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10</vt:i4>
      </vt:variant>
    </vt:vector>
  </HeadingPairs>
  <TitlesOfParts>
    <vt:vector size="15" baseType="lpstr">
      <vt:lpstr>2020년</vt:lpstr>
      <vt:lpstr>2021년</vt:lpstr>
      <vt:lpstr>2022년</vt:lpstr>
      <vt:lpstr>2023년</vt:lpstr>
      <vt:lpstr>2024년</vt:lpstr>
      <vt:lpstr>'2020년'!Print_Area</vt:lpstr>
      <vt:lpstr>'2021년'!Print_Area</vt:lpstr>
      <vt:lpstr>'2022년'!Print_Area</vt:lpstr>
      <vt:lpstr>'2023년'!Print_Area</vt:lpstr>
      <vt:lpstr>'2024년'!Print_Area</vt:lpstr>
      <vt:lpstr>'2020년'!Print_Titles</vt:lpstr>
      <vt:lpstr>'2021년'!Print_Titles</vt:lpstr>
      <vt:lpstr>'2022년'!Print_Titles</vt:lpstr>
      <vt:lpstr>'2023년'!Print_Titles</vt:lpstr>
      <vt:lpstr>'2024년'!Print_Titles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최수진(환경공학부)</dc:creator>
  <cp:lastModifiedBy>최수진(환경공학부)</cp:lastModifiedBy>
  <dcterms:created xsi:type="dcterms:W3CDTF">2025-06-12T07:15:10Z</dcterms:created>
  <dcterms:modified xsi:type="dcterms:W3CDTF">2025-06-12T07:18:25Z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0x010100524B17A1A86CED4EA1D04B6447AEFBA6</vt:lpwstr>
  </property>
</Properties>
</file>